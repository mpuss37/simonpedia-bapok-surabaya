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A65136DB-AC27-466E-AF1E-09D6849014F5}" xr6:coauthVersionLast="47" xr6:coauthVersionMax="47" xr10:uidLastSave="{00000000-0000-0000-0000-000000000000}"/>
  <bookViews>
    <workbookView xWindow="-120" yWindow="-120" windowWidth="24240" windowHeight="13140" xr2:uid="{4C192097-C7C4-45F9-8F41-4BB5DE9D5F4A}"/>
  </bookViews>
  <sheets>
    <sheet name="REKAPITULASI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4" sheetId="25" r:id="rId23"/>
    <sheet name="25" sheetId="26" r:id="rId24"/>
    <sheet name="26" sheetId="27" r:id="rId25"/>
    <sheet name="27" sheetId="28" r:id="rId26"/>
    <sheet name="28" sheetId="29" r:id="rId27"/>
    <sheet name="29" sheetId="30" r:id="rId28"/>
    <sheet name="30" sheetId="31" r:id="rId2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" i="1" l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" i="1"/>
  <c r="AG16" i="1"/>
  <c r="R9" i="1"/>
  <c r="S9" i="1"/>
  <c r="R10" i="1"/>
  <c r="S10" i="1"/>
  <c r="R11" i="1"/>
  <c r="S11" i="1"/>
  <c r="R12" i="1"/>
  <c r="S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G13" i="1" s="1"/>
  <c r="R14" i="1"/>
  <c r="S14" i="1"/>
  <c r="R15" i="1"/>
  <c r="S15" i="1"/>
  <c r="AD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R17" i="1"/>
  <c r="S17" i="1"/>
  <c r="R18" i="1"/>
  <c r="S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G19" i="1" s="1"/>
  <c r="R20" i="1"/>
  <c r="S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G21" i="1" s="1"/>
  <c r="R22" i="1"/>
  <c r="S22" i="1"/>
  <c r="R23" i="1"/>
  <c r="S23" i="1"/>
  <c r="AD23" i="1"/>
  <c r="R24" i="1"/>
  <c r="S24" i="1"/>
  <c r="R25" i="1"/>
  <c r="S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G26" i="1" s="1"/>
  <c r="R27" i="1"/>
  <c r="S27" i="1"/>
  <c r="R28" i="1"/>
  <c r="S28" i="1"/>
  <c r="AD28" i="1"/>
  <c r="R29" i="1"/>
  <c r="S29" i="1"/>
  <c r="R30" i="1"/>
  <c r="S30" i="1"/>
  <c r="R31" i="1"/>
  <c r="S31" i="1"/>
  <c r="R32" i="1"/>
  <c r="S32" i="1"/>
  <c r="AD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G33" i="1" s="1"/>
  <c r="R34" i="1"/>
  <c r="S34" i="1"/>
  <c r="R35" i="1"/>
  <c r="S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G36" i="1" s="1"/>
  <c r="R37" i="1"/>
  <c r="S37" i="1"/>
  <c r="R38" i="1"/>
  <c r="S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G39" i="1" s="1"/>
  <c r="R40" i="1"/>
  <c r="S40" i="1"/>
  <c r="R41" i="1"/>
  <c r="S41" i="1"/>
  <c r="R42" i="1"/>
  <c r="S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G43" i="1" s="1"/>
  <c r="R44" i="1"/>
  <c r="S44" i="1"/>
  <c r="R45" i="1"/>
  <c r="S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G46" i="1" s="1"/>
  <c r="R47" i="1"/>
  <c r="S47" i="1"/>
  <c r="R48" i="1"/>
  <c r="S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G49" i="1" s="1"/>
  <c r="R50" i="1"/>
  <c r="S50" i="1"/>
  <c r="R51" i="1"/>
  <c r="S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G52" i="1" s="1"/>
  <c r="R53" i="1"/>
  <c r="S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G54" i="1" s="1"/>
  <c r="R55" i="1"/>
  <c r="S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G56" i="1" s="1"/>
  <c r="R57" i="1"/>
  <c r="S57" i="1"/>
  <c r="R58" i="1"/>
  <c r="S58" i="1"/>
  <c r="R59" i="1"/>
  <c r="S59" i="1"/>
  <c r="R60" i="1"/>
  <c r="S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G61" i="1" s="1"/>
  <c r="R62" i="1"/>
  <c r="S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G63" i="1" s="1"/>
  <c r="R64" i="1"/>
  <c r="S64" i="1"/>
  <c r="AE64" i="1"/>
  <c r="R65" i="1"/>
  <c r="S65" i="1"/>
  <c r="R66" i="1"/>
  <c r="S66" i="1"/>
  <c r="AD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R68" i="1"/>
  <c r="S68" i="1"/>
  <c r="AD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R70" i="1"/>
  <c r="S70" i="1"/>
  <c r="AD70" i="1"/>
  <c r="R71" i="1"/>
  <c r="S71" i="1"/>
  <c r="R72" i="1"/>
  <c r="S72" i="1"/>
  <c r="AD72" i="1"/>
  <c r="R73" i="1"/>
  <c r="S73" i="1"/>
  <c r="AD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R75" i="1"/>
  <c r="S75" i="1"/>
  <c r="AD75" i="1"/>
  <c r="R76" i="1"/>
  <c r="S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R78" i="1"/>
  <c r="S78" i="1"/>
  <c r="AD78" i="1"/>
  <c r="R79" i="1"/>
  <c r="S79" i="1"/>
  <c r="AD79" i="1"/>
  <c r="R80" i="1"/>
  <c r="S80" i="1"/>
  <c r="AD80" i="1"/>
  <c r="R81" i="1"/>
  <c r="S81" i="1"/>
  <c r="R82" i="1"/>
  <c r="S82" i="1"/>
  <c r="AD82" i="1"/>
  <c r="R83" i="1"/>
  <c r="S83" i="1"/>
  <c r="AD83" i="1"/>
  <c r="R84" i="1"/>
  <c r="S84" i="1"/>
  <c r="AD84" i="1"/>
  <c r="R85" i="1"/>
  <c r="S85" i="1"/>
  <c r="R86" i="1"/>
  <c r="S86" i="1"/>
  <c r="AD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R88" i="1"/>
  <c r="S88" i="1"/>
  <c r="AD88" i="1"/>
  <c r="K88" i="31"/>
  <c r="AE88" i="1" s="1"/>
  <c r="K86" i="31"/>
  <c r="AE86" i="1" s="1"/>
  <c r="K85" i="31"/>
  <c r="AE85" i="1" s="1"/>
  <c r="K84" i="31"/>
  <c r="AE84" i="1" s="1"/>
  <c r="K83" i="31"/>
  <c r="AE83" i="1" s="1"/>
  <c r="K82" i="31"/>
  <c r="AE82" i="1" s="1"/>
  <c r="K81" i="31"/>
  <c r="AE81" i="1" s="1"/>
  <c r="K80" i="31"/>
  <c r="AE80" i="1" s="1"/>
  <c r="K79" i="31"/>
  <c r="AE79" i="1" s="1"/>
  <c r="K78" i="31"/>
  <c r="AE78" i="1" s="1"/>
  <c r="K76" i="31"/>
  <c r="AE76" i="1" s="1"/>
  <c r="K75" i="31"/>
  <c r="AE75" i="1" s="1"/>
  <c r="K73" i="31"/>
  <c r="AE73" i="1" s="1"/>
  <c r="K72" i="31"/>
  <c r="AE72" i="1" s="1"/>
  <c r="K71" i="31"/>
  <c r="AE71" i="1" s="1"/>
  <c r="K70" i="31"/>
  <c r="AE70" i="1" s="1"/>
  <c r="K68" i="31"/>
  <c r="AE68" i="1" s="1"/>
  <c r="K66" i="31"/>
  <c r="AE66" i="1" s="1"/>
  <c r="K65" i="31"/>
  <c r="AE65" i="1" s="1"/>
  <c r="K64" i="31"/>
  <c r="K62" i="31"/>
  <c r="AE62" i="1" s="1"/>
  <c r="K60" i="31"/>
  <c r="AE60" i="1" s="1"/>
  <c r="K59" i="31"/>
  <c r="AE59" i="1" s="1"/>
  <c r="K58" i="31"/>
  <c r="AE58" i="1" s="1"/>
  <c r="K57" i="31"/>
  <c r="AE57" i="1" s="1"/>
  <c r="K55" i="31"/>
  <c r="AE55" i="1" s="1"/>
  <c r="K53" i="31"/>
  <c r="AE53" i="1" s="1"/>
  <c r="K51" i="31"/>
  <c r="AE51" i="1" s="1"/>
  <c r="K50" i="31"/>
  <c r="AE50" i="1" s="1"/>
  <c r="K48" i="31"/>
  <c r="AE48" i="1" s="1"/>
  <c r="K47" i="31"/>
  <c r="AE47" i="1" s="1"/>
  <c r="K45" i="31"/>
  <c r="AE45" i="1" s="1"/>
  <c r="K44" i="31"/>
  <c r="AE44" i="1" s="1"/>
  <c r="K42" i="31"/>
  <c r="AE42" i="1" s="1"/>
  <c r="K41" i="31"/>
  <c r="AE41" i="1" s="1"/>
  <c r="K40" i="31"/>
  <c r="AE40" i="1" s="1"/>
  <c r="K38" i="31"/>
  <c r="AE38" i="1" s="1"/>
  <c r="K37" i="31"/>
  <c r="AE37" i="1" s="1"/>
  <c r="K35" i="31"/>
  <c r="AE35" i="1" s="1"/>
  <c r="K34" i="31"/>
  <c r="AE34" i="1" s="1"/>
  <c r="K32" i="31"/>
  <c r="AE32" i="1" s="1"/>
  <c r="K31" i="31"/>
  <c r="AE31" i="1" s="1"/>
  <c r="K30" i="31"/>
  <c r="AE30" i="1" s="1"/>
  <c r="K29" i="31"/>
  <c r="AE29" i="1" s="1"/>
  <c r="K28" i="31"/>
  <c r="AE28" i="1" s="1"/>
  <c r="K27" i="31"/>
  <c r="AE27" i="1" s="1"/>
  <c r="K25" i="31"/>
  <c r="AE25" i="1" s="1"/>
  <c r="K24" i="31"/>
  <c r="AE24" i="1" s="1"/>
  <c r="K23" i="31"/>
  <c r="AE23" i="1" s="1"/>
  <c r="K22" i="31"/>
  <c r="AE22" i="1" s="1"/>
  <c r="K20" i="31"/>
  <c r="AE20" i="1" s="1"/>
  <c r="K18" i="31"/>
  <c r="AE18" i="1" s="1"/>
  <c r="K17" i="31"/>
  <c r="AE17" i="1" s="1"/>
  <c r="K15" i="31"/>
  <c r="AE15" i="1" s="1"/>
  <c r="K14" i="31"/>
  <c r="AE14" i="1" s="1"/>
  <c r="K12" i="31"/>
  <c r="AE12" i="1" s="1"/>
  <c r="K11" i="31"/>
  <c r="AE11" i="1" s="1"/>
  <c r="K10" i="31"/>
  <c r="AE10" i="1" s="1"/>
  <c r="K9" i="31"/>
  <c r="AE9" i="1" s="1"/>
  <c r="K8" i="31"/>
  <c r="K88" i="30"/>
  <c r="K86" i="30"/>
  <c r="K85" i="30"/>
  <c r="AD85" i="1" s="1"/>
  <c r="K84" i="30"/>
  <c r="K83" i="30"/>
  <c r="K82" i="30"/>
  <c r="K81" i="30"/>
  <c r="AD81" i="1" s="1"/>
  <c r="K80" i="30"/>
  <c r="K79" i="30"/>
  <c r="K78" i="30"/>
  <c r="K76" i="30"/>
  <c r="AD76" i="1" s="1"/>
  <c r="K75" i="30"/>
  <c r="K73" i="30"/>
  <c r="K72" i="30"/>
  <c r="K71" i="30"/>
  <c r="AD71" i="1" s="1"/>
  <c r="K70" i="30"/>
  <c r="K68" i="30"/>
  <c r="K66" i="30"/>
  <c r="K65" i="30"/>
  <c r="AD65" i="1" s="1"/>
  <c r="K64" i="30"/>
  <c r="AD64" i="1" s="1"/>
  <c r="K62" i="30"/>
  <c r="AD62" i="1" s="1"/>
  <c r="K60" i="30"/>
  <c r="AD60" i="1" s="1"/>
  <c r="K59" i="30"/>
  <c r="AD59" i="1" s="1"/>
  <c r="K58" i="30"/>
  <c r="AD58" i="1" s="1"/>
  <c r="K57" i="30"/>
  <c r="AD57" i="1" s="1"/>
  <c r="K55" i="30"/>
  <c r="AD55" i="1" s="1"/>
  <c r="K53" i="30"/>
  <c r="AD53" i="1" s="1"/>
  <c r="K51" i="30"/>
  <c r="AD51" i="1" s="1"/>
  <c r="K50" i="30"/>
  <c r="AD50" i="1" s="1"/>
  <c r="K48" i="30"/>
  <c r="AD48" i="1" s="1"/>
  <c r="K47" i="30"/>
  <c r="AD47" i="1" s="1"/>
  <c r="K45" i="30"/>
  <c r="AD45" i="1" s="1"/>
  <c r="K44" i="30"/>
  <c r="AD44" i="1" s="1"/>
  <c r="K42" i="30"/>
  <c r="AD42" i="1" s="1"/>
  <c r="K41" i="30"/>
  <c r="AD41" i="1" s="1"/>
  <c r="K40" i="30"/>
  <c r="AD40" i="1" s="1"/>
  <c r="K38" i="30"/>
  <c r="AD38" i="1" s="1"/>
  <c r="K37" i="30"/>
  <c r="AD37" i="1" s="1"/>
  <c r="K35" i="30"/>
  <c r="AD35" i="1" s="1"/>
  <c r="K34" i="30"/>
  <c r="AD34" i="1" s="1"/>
  <c r="K32" i="30"/>
  <c r="K31" i="30"/>
  <c r="AD31" i="1" s="1"/>
  <c r="K30" i="30"/>
  <c r="AD30" i="1" s="1"/>
  <c r="K29" i="30"/>
  <c r="AD29" i="1" s="1"/>
  <c r="K28" i="30"/>
  <c r="K27" i="30"/>
  <c r="AD27" i="1" s="1"/>
  <c r="K25" i="30"/>
  <c r="AD25" i="1" s="1"/>
  <c r="K24" i="30"/>
  <c r="AD24" i="1" s="1"/>
  <c r="K23" i="30"/>
  <c r="K22" i="30"/>
  <c r="AD22" i="1" s="1"/>
  <c r="K20" i="30"/>
  <c r="AD20" i="1" s="1"/>
  <c r="K18" i="30"/>
  <c r="AD18" i="1" s="1"/>
  <c r="K17" i="30"/>
  <c r="AD17" i="1" s="1"/>
  <c r="K15" i="30"/>
  <c r="K14" i="30"/>
  <c r="AD14" i="1" s="1"/>
  <c r="K12" i="30"/>
  <c r="AD12" i="1" s="1"/>
  <c r="K11" i="30"/>
  <c r="AD11" i="1" s="1"/>
  <c r="K10" i="30"/>
  <c r="AD10" i="1" s="1"/>
  <c r="K9" i="30"/>
  <c r="AD9" i="1" s="1"/>
  <c r="K8" i="30"/>
  <c r="AG87" i="1" l="1"/>
  <c r="AG77" i="1"/>
  <c r="AG74" i="1"/>
  <c r="AG69" i="1"/>
  <c r="AG67" i="1"/>
  <c r="K88" i="29"/>
  <c r="AC88" i="1" s="1"/>
  <c r="K86" i="29"/>
  <c r="AC86" i="1" s="1"/>
  <c r="K85" i="29"/>
  <c r="AC85" i="1" s="1"/>
  <c r="K84" i="29"/>
  <c r="AC84" i="1" s="1"/>
  <c r="K83" i="29"/>
  <c r="AC83" i="1" s="1"/>
  <c r="K82" i="29"/>
  <c r="AC82" i="1" s="1"/>
  <c r="K81" i="29"/>
  <c r="AC81" i="1" s="1"/>
  <c r="K80" i="29"/>
  <c r="AC80" i="1" s="1"/>
  <c r="K79" i="29"/>
  <c r="AC79" i="1" s="1"/>
  <c r="K78" i="29"/>
  <c r="AC78" i="1" s="1"/>
  <c r="K76" i="29"/>
  <c r="AC76" i="1" s="1"/>
  <c r="K75" i="29"/>
  <c r="AC75" i="1" s="1"/>
  <c r="K73" i="29"/>
  <c r="AC73" i="1" s="1"/>
  <c r="K72" i="29"/>
  <c r="AC72" i="1" s="1"/>
  <c r="K71" i="29"/>
  <c r="AC71" i="1" s="1"/>
  <c r="K70" i="29"/>
  <c r="AC70" i="1" s="1"/>
  <c r="K68" i="29"/>
  <c r="AC68" i="1" s="1"/>
  <c r="K66" i="29"/>
  <c r="AC66" i="1" s="1"/>
  <c r="K65" i="29"/>
  <c r="AC65" i="1" s="1"/>
  <c r="K64" i="29"/>
  <c r="AC64" i="1" s="1"/>
  <c r="K62" i="29"/>
  <c r="AC62" i="1" s="1"/>
  <c r="K60" i="29"/>
  <c r="AC60" i="1" s="1"/>
  <c r="K59" i="29"/>
  <c r="AC59" i="1" s="1"/>
  <c r="K58" i="29"/>
  <c r="AC58" i="1" s="1"/>
  <c r="K57" i="29"/>
  <c r="AC57" i="1" s="1"/>
  <c r="K55" i="29"/>
  <c r="AC55" i="1" s="1"/>
  <c r="K53" i="29"/>
  <c r="AC53" i="1" s="1"/>
  <c r="K51" i="29"/>
  <c r="AC51" i="1" s="1"/>
  <c r="K50" i="29"/>
  <c r="AC50" i="1" s="1"/>
  <c r="K48" i="29"/>
  <c r="AC48" i="1" s="1"/>
  <c r="K47" i="29"/>
  <c r="AC47" i="1" s="1"/>
  <c r="K45" i="29"/>
  <c r="AC45" i="1" s="1"/>
  <c r="K44" i="29"/>
  <c r="AC44" i="1" s="1"/>
  <c r="K42" i="29"/>
  <c r="AC42" i="1" s="1"/>
  <c r="K41" i="29"/>
  <c r="AC41" i="1" s="1"/>
  <c r="K40" i="29"/>
  <c r="AC40" i="1" s="1"/>
  <c r="K38" i="29"/>
  <c r="AC38" i="1" s="1"/>
  <c r="K37" i="29"/>
  <c r="AC37" i="1" s="1"/>
  <c r="K35" i="29"/>
  <c r="AC35" i="1" s="1"/>
  <c r="K34" i="29"/>
  <c r="AC34" i="1" s="1"/>
  <c r="K32" i="29"/>
  <c r="AC32" i="1" s="1"/>
  <c r="K31" i="29"/>
  <c r="AC31" i="1" s="1"/>
  <c r="K30" i="29"/>
  <c r="AC30" i="1" s="1"/>
  <c r="K29" i="29"/>
  <c r="AC29" i="1" s="1"/>
  <c r="K28" i="29"/>
  <c r="AC28" i="1" s="1"/>
  <c r="K27" i="29"/>
  <c r="AC27" i="1" s="1"/>
  <c r="K25" i="29"/>
  <c r="AC25" i="1" s="1"/>
  <c r="K24" i="29"/>
  <c r="AC24" i="1" s="1"/>
  <c r="K23" i="29"/>
  <c r="AC23" i="1" s="1"/>
  <c r="K22" i="29"/>
  <c r="AC22" i="1" s="1"/>
  <c r="K20" i="29"/>
  <c r="AC20" i="1" s="1"/>
  <c r="K18" i="29"/>
  <c r="AC18" i="1" s="1"/>
  <c r="K17" i="29"/>
  <c r="AC17" i="1" s="1"/>
  <c r="K15" i="29"/>
  <c r="AC15" i="1" s="1"/>
  <c r="K14" i="29"/>
  <c r="AC14" i="1" s="1"/>
  <c r="K12" i="29"/>
  <c r="AC12" i="1" s="1"/>
  <c r="K11" i="29"/>
  <c r="AC11" i="1" s="1"/>
  <c r="K10" i="29"/>
  <c r="AC10" i="1" s="1"/>
  <c r="K9" i="29"/>
  <c r="AC9" i="1" s="1"/>
  <c r="K8" i="29"/>
  <c r="K88" i="28"/>
  <c r="AB88" i="1" s="1"/>
  <c r="K86" i="28"/>
  <c r="AB86" i="1" s="1"/>
  <c r="K85" i="28"/>
  <c r="AB85" i="1" s="1"/>
  <c r="K84" i="28"/>
  <c r="AB84" i="1" s="1"/>
  <c r="K83" i="28"/>
  <c r="AB83" i="1" s="1"/>
  <c r="K82" i="28"/>
  <c r="AB82" i="1" s="1"/>
  <c r="K81" i="28"/>
  <c r="AB81" i="1" s="1"/>
  <c r="K80" i="28"/>
  <c r="AB80" i="1" s="1"/>
  <c r="K79" i="28"/>
  <c r="AB79" i="1" s="1"/>
  <c r="K78" i="28"/>
  <c r="AB78" i="1" s="1"/>
  <c r="K76" i="28"/>
  <c r="AB76" i="1" s="1"/>
  <c r="K75" i="28"/>
  <c r="AB75" i="1" s="1"/>
  <c r="K73" i="28"/>
  <c r="AB73" i="1" s="1"/>
  <c r="K72" i="28"/>
  <c r="AB72" i="1" s="1"/>
  <c r="K71" i="28"/>
  <c r="AB71" i="1" s="1"/>
  <c r="K70" i="28"/>
  <c r="AB70" i="1" s="1"/>
  <c r="K68" i="28"/>
  <c r="AB68" i="1" s="1"/>
  <c r="K66" i="28"/>
  <c r="AB66" i="1" s="1"/>
  <c r="K65" i="28"/>
  <c r="AB65" i="1" s="1"/>
  <c r="K64" i="28"/>
  <c r="AB64" i="1" s="1"/>
  <c r="K62" i="28"/>
  <c r="AB62" i="1" s="1"/>
  <c r="K60" i="28"/>
  <c r="AB60" i="1" s="1"/>
  <c r="K59" i="28"/>
  <c r="AB59" i="1" s="1"/>
  <c r="K58" i="28"/>
  <c r="AB58" i="1" s="1"/>
  <c r="K57" i="28"/>
  <c r="AB57" i="1" s="1"/>
  <c r="K55" i="28"/>
  <c r="AB55" i="1" s="1"/>
  <c r="K53" i="28"/>
  <c r="AB53" i="1" s="1"/>
  <c r="K51" i="28"/>
  <c r="AB51" i="1" s="1"/>
  <c r="K50" i="28"/>
  <c r="AB50" i="1" s="1"/>
  <c r="K48" i="28"/>
  <c r="AB48" i="1" s="1"/>
  <c r="K47" i="28"/>
  <c r="AB47" i="1" s="1"/>
  <c r="K45" i="28"/>
  <c r="AB45" i="1" s="1"/>
  <c r="K44" i="28"/>
  <c r="AB44" i="1" s="1"/>
  <c r="K42" i="28"/>
  <c r="AB42" i="1" s="1"/>
  <c r="K41" i="28"/>
  <c r="AB41" i="1" s="1"/>
  <c r="K40" i="28"/>
  <c r="AB40" i="1" s="1"/>
  <c r="K38" i="28"/>
  <c r="AB38" i="1" s="1"/>
  <c r="K37" i="28"/>
  <c r="AB37" i="1" s="1"/>
  <c r="K35" i="28"/>
  <c r="AB35" i="1" s="1"/>
  <c r="K34" i="28"/>
  <c r="AB34" i="1" s="1"/>
  <c r="K32" i="28"/>
  <c r="AB32" i="1" s="1"/>
  <c r="K31" i="28"/>
  <c r="AB31" i="1" s="1"/>
  <c r="K30" i="28"/>
  <c r="AB30" i="1" s="1"/>
  <c r="K29" i="28"/>
  <c r="AB29" i="1" s="1"/>
  <c r="K28" i="28"/>
  <c r="AB28" i="1" s="1"/>
  <c r="K27" i="28"/>
  <c r="AB27" i="1" s="1"/>
  <c r="K25" i="28"/>
  <c r="AB25" i="1" s="1"/>
  <c r="K24" i="28"/>
  <c r="AB24" i="1" s="1"/>
  <c r="K23" i="28"/>
  <c r="AB23" i="1" s="1"/>
  <c r="K22" i="28"/>
  <c r="AB22" i="1" s="1"/>
  <c r="K20" i="28"/>
  <c r="AB20" i="1" s="1"/>
  <c r="K18" i="28"/>
  <c r="AB18" i="1" s="1"/>
  <c r="K17" i="28"/>
  <c r="AB17" i="1" s="1"/>
  <c r="K15" i="28"/>
  <c r="AB15" i="1" s="1"/>
  <c r="K14" i="28"/>
  <c r="AB14" i="1" s="1"/>
  <c r="K12" i="28"/>
  <c r="AB12" i="1" s="1"/>
  <c r="K11" i="28"/>
  <c r="AB11" i="1" s="1"/>
  <c r="K10" i="28"/>
  <c r="AB10" i="1" s="1"/>
  <c r="K9" i="28"/>
  <c r="AB9" i="1" s="1"/>
  <c r="K8" i="28"/>
  <c r="K88" i="27"/>
  <c r="AA88" i="1" s="1"/>
  <c r="K86" i="27"/>
  <c r="AA86" i="1" s="1"/>
  <c r="K85" i="27"/>
  <c r="AA85" i="1" s="1"/>
  <c r="K84" i="27"/>
  <c r="AA84" i="1" s="1"/>
  <c r="K83" i="27"/>
  <c r="AA83" i="1" s="1"/>
  <c r="K82" i="27"/>
  <c r="AA82" i="1" s="1"/>
  <c r="K81" i="27"/>
  <c r="AA81" i="1" s="1"/>
  <c r="K80" i="27"/>
  <c r="AA80" i="1" s="1"/>
  <c r="K79" i="27"/>
  <c r="AA79" i="1" s="1"/>
  <c r="K78" i="27"/>
  <c r="AA78" i="1" s="1"/>
  <c r="K76" i="27"/>
  <c r="AA76" i="1" s="1"/>
  <c r="K75" i="27"/>
  <c r="AA75" i="1" s="1"/>
  <c r="K73" i="27"/>
  <c r="AA73" i="1" s="1"/>
  <c r="K72" i="27"/>
  <c r="AA72" i="1" s="1"/>
  <c r="K71" i="27"/>
  <c r="AA71" i="1" s="1"/>
  <c r="K70" i="27"/>
  <c r="AA70" i="1" s="1"/>
  <c r="K68" i="27"/>
  <c r="AA68" i="1" s="1"/>
  <c r="K66" i="27"/>
  <c r="AA66" i="1" s="1"/>
  <c r="K65" i="27"/>
  <c r="AA65" i="1" s="1"/>
  <c r="K64" i="27"/>
  <c r="AA64" i="1" s="1"/>
  <c r="K62" i="27"/>
  <c r="AA62" i="1" s="1"/>
  <c r="K60" i="27"/>
  <c r="AA60" i="1" s="1"/>
  <c r="K59" i="27"/>
  <c r="AA59" i="1" s="1"/>
  <c r="K58" i="27"/>
  <c r="AA58" i="1" s="1"/>
  <c r="K57" i="27"/>
  <c r="AA57" i="1" s="1"/>
  <c r="K55" i="27"/>
  <c r="AA55" i="1" s="1"/>
  <c r="K53" i="27"/>
  <c r="AA53" i="1" s="1"/>
  <c r="K51" i="27"/>
  <c r="AA51" i="1" s="1"/>
  <c r="K50" i="27"/>
  <c r="AA50" i="1" s="1"/>
  <c r="K48" i="27"/>
  <c r="AA48" i="1" s="1"/>
  <c r="K47" i="27"/>
  <c r="AA47" i="1" s="1"/>
  <c r="K45" i="27"/>
  <c r="AA45" i="1" s="1"/>
  <c r="K44" i="27"/>
  <c r="AA44" i="1" s="1"/>
  <c r="K42" i="27"/>
  <c r="AA42" i="1" s="1"/>
  <c r="K41" i="27"/>
  <c r="AA41" i="1" s="1"/>
  <c r="K40" i="27"/>
  <c r="AA40" i="1" s="1"/>
  <c r="K38" i="27"/>
  <c r="AA38" i="1" s="1"/>
  <c r="K37" i="27"/>
  <c r="AA37" i="1" s="1"/>
  <c r="K35" i="27"/>
  <c r="AA35" i="1" s="1"/>
  <c r="K34" i="27"/>
  <c r="AA34" i="1" s="1"/>
  <c r="K32" i="27"/>
  <c r="AA32" i="1" s="1"/>
  <c r="K31" i="27"/>
  <c r="AA31" i="1" s="1"/>
  <c r="K30" i="27"/>
  <c r="AA30" i="1" s="1"/>
  <c r="K29" i="27"/>
  <c r="AA29" i="1" s="1"/>
  <c r="K28" i="27"/>
  <c r="AA28" i="1" s="1"/>
  <c r="K27" i="27"/>
  <c r="AA27" i="1" s="1"/>
  <c r="K25" i="27"/>
  <c r="AA25" i="1" s="1"/>
  <c r="K24" i="27"/>
  <c r="AA24" i="1" s="1"/>
  <c r="K23" i="27"/>
  <c r="AA23" i="1" s="1"/>
  <c r="K22" i="27"/>
  <c r="AA22" i="1" s="1"/>
  <c r="K20" i="27"/>
  <c r="AA20" i="1" s="1"/>
  <c r="K18" i="27"/>
  <c r="AA18" i="1" s="1"/>
  <c r="K17" i="27"/>
  <c r="AA17" i="1" s="1"/>
  <c r="K15" i="27"/>
  <c r="AA15" i="1" s="1"/>
  <c r="K14" i="27"/>
  <c r="AA14" i="1" s="1"/>
  <c r="K12" i="27"/>
  <c r="AA12" i="1" s="1"/>
  <c r="K11" i="27"/>
  <c r="AA11" i="1" s="1"/>
  <c r="K10" i="27"/>
  <c r="AA10" i="1" s="1"/>
  <c r="K9" i="27"/>
  <c r="AA9" i="1" s="1"/>
  <c r="K8" i="27"/>
  <c r="K88" i="26" l="1"/>
  <c r="Z88" i="1" s="1"/>
  <c r="K86" i="26"/>
  <c r="Z86" i="1" s="1"/>
  <c r="K85" i="26"/>
  <c r="Z85" i="1" s="1"/>
  <c r="K84" i="26"/>
  <c r="Z84" i="1" s="1"/>
  <c r="K83" i="26"/>
  <c r="Z83" i="1" s="1"/>
  <c r="K82" i="26"/>
  <c r="Z82" i="1" s="1"/>
  <c r="K81" i="26"/>
  <c r="Z81" i="1" s="1"/>
  <c r="K80" i="26"/>
  <c r="Z80" i="1" s="1"/>
  <c r="K79" i="26"/>
  <c r="Z79" i="1" s="1"/>
  <c r="K78" i="26"/>
  <c r="Z78" i="1" s="1"/>
  <c r="K76" i="26"/>
  <c r="Z76" i="1" s="1"/>
  <c r="K75" i="26"/>
  <c r="Z75" i="1" s="1"/>
  <c r="K73" i="26"/>
  <c r="Z73" i="1" s="1"/>
  <c r="K72" i="26"/>
  <c r="Z72" i="1" s="1"/>
  <c r="K71" i="26"/>
  <c r="Z71" i="1" s="1"/>
  <c r="K70" i="26"/>
  <c r="Z70" i="1" s="1"/>
  <c r="K68" i="26"/>
  <c r="Z68" i="1" s="1"/>
  <c r="K66" i="26"/>
  <c r="Z66" i="1" s="1"/>
  <c r="K65" i="26"/>
  <c r="Z65" i="1" s="1"/>
  <c r="K64" i="26"/>
  <c r="Z64" i="1" s="1"/>
  <c r="K62" i="26"/>
  <c r="Z62" i="1" s="1"/>
  <c r="K60" i="26"/>
  <c r="Z60" i="1" s="1"/>
  <c r="K59" i="26"/>
  <c r="Z59" i="1" s="1"/>
  <c r="K58" i="26"/>
  <c r="Z58" i="1" s="1"/>
  <c r="K57" i="26"/>
  <c r="Z57" i="1" s="1"/>
  <c r="K55" i="26"/>
  <c r="Z55" i="1" s="1"/>
  <c r="K53" i="26"/>
  <c r="Z53" i="1" s="1"/>
  <c r="K51" i="26"/>
  <c r="Z51" i="1" s="1"/>
  <c r="K50" i="26"/>
  <c r="Z50" i="1" s="1"/>
  <c r="K48" i="26"/>
  <c r="Z48" i="1" s="1"/>
  <c r="K47" i="26"/>
  <c r="Z47" i="1" s="1"/>
  <c r="K45" i="26"/>
  <c r="Z45" i="1" s="1"/>
  <c r="K44" i="26"/>
  <c r="Z44" i="1" s="1"/>
  <c r="K42" i="26"/>
  <c r="Z42" i="1" s="1"/>
  <c r="K41" i="26"/>
  <c r="Z41" i="1" s="1"/>
  <c r="K40" i="26"/>
  <c r="Z40" i="1" s="1"/>
  <c r="K38" i="26"/>
  <c r="Z38" i="1" s="1"/>
  <c r="K37" i="26"/>
  <c r="Z37" i="1" s="1"/>
  <c r="K35" i="26"/>
  <c r="Z35" i="1" s="1"/>
  <c r="K34" i="26"/>
  <c r="Z34" i="1" s="1"/>
  <c r="K32" i="26"/>
  <c r="Z32" i="1" s="1"/>
  <c r="K31" i="26"/>
  <c r="Z31" i="1" s="1"/>
  <c r="K30" i="26"/>
  <c r="Z30" i="1" s="1"/>
  <c r="K29" i="26"/>
  <c r="Z29" i="1" s="1"/>
  <c r="K28" i="26"/>
  <c r="Z28" i="1" s="1"/>
  <c r="K27" i="26"/>
  <c r="Z27" i="1" s="1"/>
  <c r="K25" i="26"/>
  <c r="Z25" i="1" s="1"/>
  <c r="K24" i="26"/>
  <c r="Z24" i="1" s="1"/>
  <c r="K23" i="26"/>
  <c r="Z23" i="1" s="1"/>
  <c r="K22" i="26"/>
  <c r="Z22" i="1" s="1"/>
  <c r="K20" i="26"/>
  <c r="Z20" i="1" s="1"/>
  <c r="K18" i="26"/>
  <c r="Z18" i="1" s="1"/>
  <c r="K17" i="26"/>
  <c r="Z17" i="1" s="1"/>
  <c r="K15" i="26"/>
  <c r="Z15" i="1" s="1"/>
  <c r="K14" i="26"/>
  <c r="Z14" i="1" s="1"/>
  <c r="K12" i="26"/>
  <c r="Z12" i="1" s="1"/>
  <c r="K11" i="26"/>
  <c r="Z11" i="1" s="1"/>
  <c r="K10" i="26"/>
  <c r="Z10" i="1" s="1"/>
  <c r="K9" i="26"/>
  <c r="Z9" i="1" s="1"/>
  <c r="K8" i="26"/>
  <c r="K88" i="25"/>
  <c r="Y88" i="1" s="1"/>
  <c r="K86" i="25"/>
  <c r="Y86" i="1" s="1"/>
  <c r="K85" i="25"/>
  <c r="Y85" i="1" s="1"/>
  <c r="K84" i="25"/>
  <c r="Y84" i="1" s="1"/>
  <c r="K83" i="25"/>
  <c r="Y83" i="1" s="1"/>
  <c r="K82" i="25"/>
  <c r="Y82" i="1" s="1"/>
  <c r="K81" i="25"/>
  <c r="Y81" i="1" s="1"/>
  <c r="K80" i="25"/>
  <c r="Y80" i="1" s="1"/>
  <c r="K79" i="25"/>
  <c r="Y79" i="1" s="1"/>
  <c r="K78" i="25"/>
  <c r="Y78" i="1" s="1"/>
  <c r="K76" i="25"/>
  <c r="Y76" i="1" s="1"/>
  <c r="K75" i="25"/>
  <c r="Y75" i="1" s="1"/>
  <c r="K73" i="25"/>
  <c r="Y73" i="1" s="1"/>
  <c r="K72" i="25"/>
  <c r="Y72" i="1" s="1"/>
  <c r="K71" i="25"/>
  <c r="Y71" i="1" s="1"/>
  <c r="K70" i="25"/>
  <c r="Y70" i="1" s="1"/>
  <c r="K68" i="25"/>
  <c r="Y68" i="1" s="1"/>
  <c r="K66" i="25"/>
  <c r="Y66" i="1" s="1"/>
  <c r="K65" i="25"/>
  <c r="Y65" i="1" s="1"/>
  <c r="K64" i="25"/>
  <c r="Y64" i="1" s="1"/>
  <c r="K62" i="25"/>
  <c r="Y62" i="1" s="1"/>
  <c r="K60" i="25"/>
  <c r="Y60" i="1" s="1"/>
  <c r="K59" i="25"/>
  <c r="Y59" i="1" s="1"/>
  <c r="K58" i="25"/>
  <c r="Y58" i="1" s="1"/>
  <c r="K57" i="25"/>
  <c r="Y57" i="1" s="1"/>
  <c r="K55" i="25"/>
  <c r="Y55" i="1" s="1"/>
  <c r="K53" i="25"/>
  <c r="Y53" i="1" s="1"/>
  <c r="K51" i="25"/>
  <c r="Y51" i="1" s="1"/>
  <c r="K50" i="25"/>
  <c r="Y50" i="1" s="1"/>
  <c r="K48" i="25"/>
  <c r="Y48" i="1" s="1"/>
  <c r="K47" i="25"/>
  <c r="Y47" i="1" s="1"/>
  <c r="K45" i="25"/>
  <c r="Y45" i="1" s="1"/>
  <c r="K44" i="25"/>
  <c r="Y44" i="1" s="1"/>
  <c r="K42" i="25"/>
  <c r="Y42" i="1" s="1"/>
  <c r="K41" i="25"/>
  <c r="Y41" i="1" s="1"/>
  <c r="K40" i="25"/>
  <c r="Y40" i="1" s="1"/>
  <c r="K38" i="25"/>
  <c r="Y38" i="1" s="1"/>
  <c r="K37" i="25"/>
  <c r="Y37" i="1" s="1"/>
  <c r="K35" i="25"/>
  <c r="Y35" i="1" s="1"/>
  <c r="K34" i="25"/>
  <c r="Y34" i="1" s="1"/>
  <c r="K32" i="25"/>
  <c r="Y32" i="1" s="1"/>
  <c r="K31" i="25"/>
  <c r="Y31" i="1" s="1"/>
  <c r="K30" i="25"/>
  <c r="Y30" i="1" s="1"/>
  <c r="K29" i="25"/>
  <c r="Y29" i="1" s="1"/>
  <c r="K28" i="25"/>
  <c r="Y28" i="1" s="1"/>
  <c r="K27" i="25"/>
  <c r="Y27" i="1" s="1"/>
  <c r="K25" i="25"/>
  <c r="Y25" i="1" s="1"/>
  <c r="K24" i="25"/>
  <c r="Y24" i="1" s="1"/>
  <c r="K23" i="25"/>
  <c r="Y23" i="1" s="1"/>
  <c r="K22" i="25"/>
  <c r="Y22" i="1" s="1"/>
  <c r="K20" i="25"/>
  <c r="Y20" i="1" s="1"/>
  <c r="K18" i="25"/>
  <c r="Y18" i="1" s="1"/>
  <c r="K17" i="25"/>
  <c r="Y17" i="1" s="1"/>
  <c r="K15" i="25"/>
  <c r="Y15" i="1" s="1"/>
  <c r="K14" i="25"/>
  <c r="Y14" i="1" s="1"/>
  <c r="K12" i="25"/>
  <c r="Y12" i="1" s="1"/>
  <c r="K11" i="25"/>
  <c r="Y11" i="1" s="1"/>
  <c r="K10" i="25"/>
  <c r="Y10" i="1" s="1"/>
  <c r="K9" i="25"/>
  <c r="Y9" i="1" s="1"/>
  <c r="K8" i="25"/>
  <c r="K88" i="22"/>
  <c r="X88" i="1" s="1"/>
  <c r="K86" i="22"/>
  <c r="X86" i="1" s="1"/>
  <c r="K85" i="22"/>
  <c r="X85" i="1" s="1"/>
  <c r="K84" i="22"/>
  <c r="X84" i="1" s="1"/>
  <c r="K83" i="22"/>
  <c r="X83" i="1" s="1"/>
  <c r="K82" i="22"/>
  <c r="X82" i="1" s="1"/>
  <c r="K81" i="22"/>
  <c r="X81" i="1" s="1"/>
  <c r="K80" i="22"/>
  <c r="X80" i="1" s="1"/>
  <c r="K79" i="22"/>
  <c r="X79" i="1" s="1"/>
  <c r="K78" i="22"/>
  <c r="X78" i="1" s="1"/>
  <c r="K76" i="22"/>
  <c r="X76" i="1" s="1"/>
  <c r="K75" i="22"/>
  <c r="X75" i="1" s="1"/>
  <c r="K73" i="22"/>
  <c r="X73" i="1" s="1"/>
  <c r="K72" i="22"/>
  <c r="X72" i="1" s="1"/>
  <c r="K71" i="22"/>
  <c r="X71" i="1" s="1"/>
  <c r="K70" i="22"/>
  <c r="X70" i="1" s="1"/>
  <c r="K68" i="22"/>
  <c r="X68" i="1" s="1"/>
  <c r="K66" i="22"/>
  <c r="X66" i="1" s="1"/>
  <c r="K65" i="22"/>
  <c r="X65" i="1" s="1"/>
  <c r="K64" i="22"/>
  <c r="X64" i="1" s="1"/>
  <c r="K62" i="22"/>
  <c r="X62" i="1" s="1"/>
  <c r="K60" i="22"/>
  <c r="X60" i="1" s="1"/>
  <c r="K59" i="22"/>
  <c r="X59" i="1" s="1"/>
  <c r="K58" i="22"/>
  <c r="X58" i="1" s="1"/>
  <c r="K57" i="22"/>
  <c r="X57" i="1" s="1"/>
  <c r="K55" i="22"/>
  <c r="X55" i="1" s="1"/>
  <c r="K53" i="22"/>
  <c r="X53" i="1" s="1"/>
  <c r="K51" i="22"/>
  <c r="X51" i="1" s="1"/>
  <c r="K50" i="22"/>
  <c r="X50" i="1" s="1"/>
  <c r="K48" i="22"/>
  <c r="X48" i="1" s="1"/>
  <c r="K47" i="22"/>
  <c r="X47" i="1" s="1"/>
  <c r="K45" i="22"/>
  <c r="X45" i="1" s="1"/>
  <c r="K44" i="22"/>
  <c r="X44" i="1" s="1"/>
  <c r="K42" i="22"/>
  <c r="X42" i="1" s="1"/>
  <c r="K41" i="22"/>
  <c r="X41" i="1" s="1"/>
  <c r="K40" i="22"/>
  <c r="X40" i="1" s="1"/>
  <c r="K38" i="22"/>
  <c r="X38" i="1" s="1"/>
  <c r="K37" i="22"/>
  <c r="X37" i="1" s="1"/>
  <c r="K35" i="22"/>
  <c r="X35" i="1" s="1"/>
  <c r="K34" i="22"/>
  <c r="X34" i="1" s="1"/>
  <c r="K32" i="22"/>
  <c r="X32" i="1" s="1"/>
  <c r="K31" i="22"/>
  <c r="X31" i="1" s="1"/>
  <c r="K30" i="22"/>
  <c r="X30" i="1" s="1"/>
  <c r="K29" i="22"/>
  <c r="X29" i="1" s="1"/>
  <c r="K28" i="22"/>
  <c r="X28" i="1" s="1"/>
  <c r="K27" i="22"/>
  <c r="X27" i="1" s="1"/>
  <c r="K25" i="22"/>
  <c r="X25" i="1" s="1"/>
  <c r="K24" i="22"/>
  <c r="X24" i="1" s="1"/>
  <c r="K23" i="22"/>
  <c r="X23" i="1" s="1"/>
  <c r="K22" i="22"/>
  <c r="X22" i="1" s="1"/>
  <c r="K20" i="22"/>
  <c r="X20" i="1" s="1"/>
  <c r="K18" i="22"/>
  <c r="X18" i="1" s="1"/>
  <c r="K17" i="22"/>
  <c r="X17" i="1" s="1"/>
  <c r="K15" i="22"/>
  <c r="X15" i="1" s="1"/>
  <c r="K14" i="22"/>
  <c r="X14" i="1" s="1"/>
  <c r="K12" i="22"/>
  <c r="X12" i="1" s="1"/>
  <c r="K11" i="22"/>
  <c r="X11" i="1" s="1"/>
  <c r="K10" i="22"/>
  <c r="X10" i="1" s="1"/>
  <c r="K9" i="22"/>
  <c r="X9" i="1" s="1"/>
  <c r="K8" i="22"/>
  <c r="K88" i="21"/>
  <c r="W88" i="1" s="1"/>
  <c r="K86" i="21"/>
  <c r="W86" i="1" s="1"/>
  <c r="K85" i="21"/>
  <c r="W85" i="1" s="1"/>
  <c r="K84" i="21"/>
  <c r="W84" i="1" s="1"/>
  <c r="K83" i="21"/>
  <c r="W83" i="1" s="1"/>
  <c r="K82" i="21"/>
  <c r="W82" i="1" s="1"/>
  <c r="K81" i="21"/>
  <c r="W81" i="1" s="1"/>
  <c r="K80" i="21"/>
  <c r="W80" i="1" s="1"/>
  <c r="K79" i="21"/>
  <c r="W79" i="1" s="1"/>
  <c r="K78" i="21"/>
  <c r="W78" i="1" s="1"/>
  <c r="K76" i="21"/>
  <c r="W76" i="1" s="1"/>
  <c r="K75" i="21"/>
  <c r="W75" i="1" s="1"/>
  <c r="K73" i="21"/>
  <c r="W73" i="1" s="1"/>
  <c r="K72" i="21"/>
  <c r="W72" i="1" s="1"/>
  <c r="K71" i="21"/>
  <c r="W71" i="1" s="1"/>
  <c r="K70" i="21"/>
  <c r="W70" i="1" s="1"/>
  <c r="K68" i="21"/>
  <c r="W68" i="1" s="1"/>
  <c r="K66" i="21"/>
  <c r="W66" i="1" s="1"/>
  <c r="K65" i="21"/>
  <c r="W65" i="1" s="1"/>
  <c r="K64" i="21"/>
  <c r="W64" i="1" s="1"/>
  <c r="K62" i="21"/>
  <c r="W62" i="1" s="1"/>
  <c r="K60" i="21"/>
  <c r="W60" i="1" s="1"/>
  <c r="K59" i="21"/>
  <c r="W59" i="1" s="1"/>
  <c r="K58" i="21"/>
  <c r="W58" i="1" s="1"/>
  <c r="K57" i="21"/>
  <c r="W57" i="1" s="1"/>
  <c r="K55" i="21"/>
  <c r="W55" i="1" s="1"/>
  <c r="K53" i="21"/>
  <c r="W53" i="1" s="1"/>
  <c r="K51" i="21"/>
  <c r="W51" i="1" s="1"/>
  <c r="K50" i="21"/>
  <c r="W50" i="1" s="1"/>
  <c r="K48" i="21"/>
  <c r="W48" i="1" s="1"/>
  <c r="K47" i="21"/>
  <c r="W47" i="1" s="1"/>
  <c r="K45" i="21"/>
  <c r="W45" i="1" s="1"/>
  <c r="K44" i="21"/>
  <c r="W44" i="1" s="1"/>
  <c r="K42" i="21"/>
  <c r="W42" i="1" s="1"/>
  <c r="K41" i="21"/>
  <c r="W41" i="1" s="1"/>
  <c r="K40" i="21"/>
  <c r="W40" i="1" s="1"/>
  <c r="K38" i="21"/>
  <c r="W38" i="1" s="1"/>
  <c r="K37" i="21"/>
  <c r="W37" i="1" s="1"/>
  <c r="K35" i="21"/>
  <c r="W35" i="1" s="1"/>
  <c r="K34" i="21"/>
  <c r="W34" i="1" s="1"/>
  <c r="K32" i="21"/>
  <c r="W32" i="1" s="1"/>
  <c r="K31" i="21"/>
  <c r="W31" i="1" s="1"/>
  <c r="K30" i="21"/>
  <c r="W30" i="1" s="1"/>
  <c r="K29" i="21"/>
  <c r="W29" i="1" s="1"/>
  <c r="K28" i="21"/>
  <c r="W28" i="1" s="1"/>
  <c r="K27" i="21"/>
  <c r="W27" i="1" s="1"/>
  <c r="K25" i="21"/>
  <c r="W25" i="1" s="1"/>
  <c r="K24" i="21"/>
  <c r="W24" i="1" s="1"/>
  <c r="K23" i="21"/>
  <c r="W23" i="1" s="1"/>
  <c r="K22" i="21"/>
  <c r="W22" i="1" s="1"/>
  <c r="K20" i="21"/>
  <c r="W20" i="1" s="1"/>
  <c r="K18" i="21"/>
  <c r="W18" i="1" s="1"/>
  <c r="K17" i="21"/>
  <c r="W17" i="1" s="1"/>
  <c r="K15" i="21"/>
  <c r="W15" i="1" s="1"/>
  <c r="K14" i="21"/>
  <c r="W14" i="1" s="1"/>
  <c r="K12" i="21"/>
  <c r="W12" i="1" s="1"/>
  <c r="K11" i="21"/>
  <c r="W11" i="1" s="1"/>
  <c r="K10" i="21"/>
  <c r="W10" i="1" s="1"/>
  <c r="K9" i="21"/>
  <c r="W9" i="1" s="1"/>
  <c r="K8" i="21"/>
  <c r="K88" i="20"/>
  <c r="V88" i="1" s="1"/>
  <c r="K86" i="20"/>
  <c r="V86" i="1" s="1"/>
  <c r="K85" i="20"/>
  <c r="V85" i="1" s="1"/>
  <c r="K84" i="20"/>
  <c r="V84" i="1" s="1"/>
  <c r="K83" i="20"/>
  <c r="V83" i="1" s="1"/>
  <c r="K82" i="20"/>
  <c r="V82" i="1" s="1"/>
  <c r="K81" i="20"/>
  <c r="V81" i="1" s="1"/>
  <c r="K80" i="20"/>
  <c r="V80" i="1" s="1"/>
  <c r="K79" i="20"/>
  <c r="V79" i="1" s="1"/>
  <c r="K78" i="20"/>
  <c r="V78" i="1" s="1"/>
  <c r="K76" i="20"/>
  <c r="V76" i="1" s="1"/>
  <c r="K75" i="20"/>
  <c r="V75" i="1" s="1"/>
  <c r="K73" i="20"/>
  <c r="V73" i="1" s="1"/>
  <c r="K72" i="20"/>
  <c r="V72" i="1" s="1"/>
  <c r="K71" i="20"/>
  <c r="V71" i="1" s="1"/>
  <c r="K70" i="20"/>
  <c r="V70" i="1" s="1"/>
  <c r="K68" i="20"/>
  <c r="V68" i="1" s="1"/>
  <c r="K66" i="20"/>
  <c r="V66" i="1" s="1"/>
  <c r="K65" i="20"/>
  <c r="V65" i="1" s="1"/>
  <c r="K64" i="20"/>
  <c r="V64" i="1" s="1"/>
  <c r="K62" i="20"/>
  <c r="V62" i="1" s="1"/>
  <c r="K60" i="20"/>
  <c r="V60" i="1" s="1"/>
  <c r="K59" i="20"/>
  <c r="V59" i="1" s="1"/>
  <c r="K58" i="20"/>
  <c r="V58" i="1" s="1"/>
  <c r="K57" i="20"/>
  <c r="V57" i="1" s="1"/>
  <c r="K55" i="20"/>
  <c r="V55" i="1" s="1"/>
  <c r="K53" i="20"/>
  <c r="V53" i="1" s="1"/>
  <c r="K51" i="20"/>
  <c r="V51" i="1" s="1"/>
  <c r="K50" i="20"/>
  <c r="V50" i="1" s="1"/>
  <c r="K48" i="20"/>
  <c r="V48" i="1" s="1"/>
  <c r="K47" i="20"/>
  <c r="V47" i="1" s="1"/>
  <c r="K45" i="20"/>
  <c r="V45" i="1" s="1"/>
  <c r="K44" i="20"/>
  <c r="V44" i="1" s="1"/>
  <c r="K42" i="20"/>
  <c r="V42" i="1" s="1"/>
  <c r="K41" i="20"/>
  <c r="V41" i="1" s="1"/>
  <c r="K40" i="20"/>
  <c r="V40" i="1" s="1"/>
  <c r="K38" i="20"/>
  <c r="V38" i="1" s="1"/>
  <c r="K37" i="20"/>
  <c r="V37" i="1" s="1"/>
  <c r="K35" i="20"/>
  <c r="V35" i="1" s="1"/>
  <c r="K34" i="20"/>
  <c r="V34" i="1" s="1"/>
  <c r="K32" i="20"/>
  <c r="V32" i="1" s="1"/>
  <c r="K31" i="20"/>
  <c r="V31" i="1" s="1"/>
  <c r="K30" i="20"/>
  <c r="V30" i="1" s="1"/>
  <c r="K29" i="20"/>
  <c r="V29" i="1" s="1"/>
  <c r="K28" i="20"/>
  <c r="V28" i="1" s="1"/>
  <c r="K27" i="20"/>
  <c r="V27" i="1" s="1"/>
  <c r="K25" i="20"/>
  <c r="V25" i="1" s="1"/>
  <c r="K24" i="20"/>
  <c r="V24" i="1" s="1"/>
  <c r="K23" i="20"/>
  <c r="V23" i="1" s="1"/>
  <c r="K22" i="20"/>
  <c r="V22" i="1" s="1"/>
  <c r="K20" i="20"/>
  <c r="V20" i="1" s="1"/>
  <c r="K18" i="20"/>
  <c r="V18" i="1" s="1"/>
  <c r="K17" i="20"/>
  <c r="V17" i="1" s="1"/>
  <c r="K15" i="20"/>
  <c r="V15" i="1" s="1"/>
  <c r="K14" i="20"/>
  <c r="V14" i="1" s="1"/>
  <c r="K12" i="20"/>
  <c r="V12" i="1" s="1"/>
  <c r="K11" i="20"/>
  <c r="V11" i="1" s="1"/>
  <c r="K10" i="20"/>
  <c r="V10" i="1" s="1"/>
  <c r="K9" i="20"/>
  <c r="V9" i="1" s="1"/>
  <c r="K8" i="20"/>
  <c r="K88" i="19"/>
  <c r="U88" i="1" s="1"/>
  <c r="K86" i="19"/>
  <c r="U86" i="1" s="1"/>
  <c r="K85" i="19"/>
  <c r="U85" i="1" s="1"/>
  <c r="K84" i="19"/>
  <c r="U84" i="1" s="1"/>
  <c r="K83" i="19"/>
  <c r="U83" i="1" s="1"/>
  <c r="K82" i="19"/>
  <c r="U82" i="1" s="1"/>
  <c r="K81" i="19"/>
  <c r="U81" i="1" s="1"/>
  <c r="K80" i="19"/>
  <c r="U80" i="1" s="1"/>
  <c r="K79" i="19"/>
  <c r="U79" i="1" s="1"/>
  <c r="K78" i="19"/>
  <c r="U78" i="1" s="1"/>
  <c r="K76" i="19"/>
  <c r="U76" i="1" s="1"/>
  <c r="K75" i="19"/>
  <c r="U75" i="1" s="1"/>
  <c r="K73" i="19"/>
  <c r="U73" i="1" s="1"/>
  <c r="K72" i="19"/>
  <c r="U72" i="1" s="1"/>
  <c r="K71" i="19"/>
  <c r="U71" i="1" s="1"/>
  <c r="K70" i="19"/>
  <c r="U70" i="1" s="1"/>
  <c r="K68" i="19"/>
  <c r="U68" i="1" s="1"/>
  <c r="K66" i="19"/>
  <c r="U66" i="1" s="1"/>
  <c r="K65" i="19"/>
  <c r="U65" i="1" s="1"/>
  <c r="K64" i="19"/>
  <c r="U64" i="1" s="1"/>
  <c r="K62" i="19"/>
  <c r="U62" i="1" s="1"/>
  <c r="K60" i="19"/>
  <c r="U60" i="1" s="1"/>
  <c r="K59" i="19"/>
  <c r="U59" i="1" s="1"/>
  <c r="K58" i="19"/>
  <c r="U58" i="1" s="1"/>
  <c r="K57" i="19"/>
  <c r="U57" i="1" s="1"/>
  <c r="K55" i="19"/>
  <c r="U55" i="1" s="1"/>
  <c r="K53" i="19"/>
  <c r="U53" i="1" s="1"/>
  <c r="K51" i="19"/>
  <c r="U51" i="1" s="1"/>
  <c r="K50" i="19"/>
  <c r="U50" i="1" s="1"/>
  <c r="K48" i="19"/>
  <c r="U48" i="1" s="1"/>
  <c r="K47" i="19"/>
  <c r="U47" i="1" s="1"/>
  <c r="K45" i="19"/>
  <c r="U45" i="1" s="1"/>
  <c r="K44" i="19"/>
  <c r="U44" i="1" s="1"/>
  <c r="K42" i="19"/>
  <c r="U42" i="1" s="1"/>
  <c r="K41" i="19"/>
  <c r="U41" i="1" s="1"/>
  <c r="K40" i="19"/>
  <c r="U40" i="1" s="1"/>
  <c r="K38" i="19"/>
  <c r="U38" i="1" s="1"/>
  <c r="K37" i="19"/>
  <c r="U37" i="1" s="1"/>
  <c r="K35" i="19"/>
  <c r="U35" i="1" s="1"/>
  <c r="K34" i="19"/>
  <c r="U34" i="1" s="1"/>
  <c r="K32" i="19"/>
  <c r="U32" i="1" s="1"/>
  <c r="K31" i="19"/>
  <c r="U31" i="1" s="1"/>
  <c r="K30" i="19"/>
  <c r="U30" i="1" s="1"/>
  <c r="K29" i="19"/>
  <c r="U29" i="1" s="1"/>
  <c r="K28" i="19"/>
  <c r="U28" i="1" s="1"/>
  <c r="K27" i="19"/>
  <c r="U27" i="1" s="1"/>
  <c r="K25" i="19"/>
  <c r="U25" i="1" s="1"/>
  <c r="K24" i="19"/>
  <c r="U24" i="1" s="1"/>
  <c r="K23" i="19"/>
  <c r="U23" i="1" s="1"/>
  <c r="K22" i="19"/>
  <c r="U22" i="1" s="1"/>
  <c r="K20" i="19"/>
  <c r="U20" i="1" s="1"/>
  <c r="K18" i="19"/>
  <c r="U18" i="1" s="1"/>
  <c r="K17" i="19"/>
  <c r="U17" i="1" s="1"/>
  <c r="K15" i="19"/>
  <c r="U15" i="1" s="1"/>
  <c r="K14" i="19"/>
  <c r="U14" i="1" s="1"/>
  <c r="K12" i="19"/>
  <c r="U12" i="1" s="1"/>
  <c r="K11" i="19"/>
  <c r="U11" i="1" s="1"/>
  <c r="K10" i="19"/>
  <c r="U10" i="1" s="1"/>
  <c r="K9" i="19"/>
  <c r="U9" i="1" s="1"/>
  <c r="K8" i="19"/>
  <c r="K88" i="18" l="1"/>
  <c r="T88" i="1" s="1"/>
  <c r="K86" i="18"/>
  <c r="T86" i="1" s="1"/>
  <c r="K85" i="18"/>
  <c r="T85" i="1" s="1"/>
  <c r="K84" i="18"/>
  <c r="T84" i="1" s="1"/>
  <c r="K83" i="18"/>
  <c r="T83" i="1" s="1"/>
  <c r="K82" i="18"/>
  <c r="T82" i="1" s="1"/>
  <c r="K81" i="18"/>
  <c r="T81" i="1" s="1"/>
  <c r="K80" i="18"/>
  <c r="T80" i="1" s="1"/>
  <c r="K79" i="18"/>
  <c r="T79" i="1" s="1"/>
  <c r="K78" i="18"/>
  <c r="T78" i="1" s="1"/>
  <c r="K76" i="18"/>
  <c r="T76" i="1" s="1"/>
  <c r="K75" i="18"/>
  <c r="T75" i="1" s="1"/>
  <c r="K73" i="18"/>
  <c r="T73" i="1" s="1"/>
  <c r="K72" i="18"/>
  <c r="T72" i="1" s="1"/>
  <c r="K71" i="18"/>
  <c r="T71" i="1" s="1"/>
  <c r="K70" i="18"/>
  <c r="T70" i="1" s="1"/>
  <c r="K68" i="18"/>
  <c r="T68" i="1" s="1"/>
  <c r="K66" i="18"/>
  <c r="T66" i="1" s="1"/>
  <c r="K65" i="18"/>
  <c r="T65" i="1" s="1"/>
  <c r="K64" i="18"/>
  <c r="T64" i="1" s="1"/>
  <c r="K62" i="18"/>
  <c r="T62" i="1" s="1"/>
  <c r="K60" i="18"/>
  <c r="T60" i="1" s="1"/>
  <c r="K59" i="18"/>
  <c r="T59" i="1" s="1"/>
  <c r="K58" i="18"/>
  <c r="T58" i="1" s="1"/>
  <c r="K57" i="18"/>
  <c r="T57" i="1" s="1"/>
  <c r="K55" i="18"/>
  <c r="T55" i="1" s="1"/>
  <c r="K53" i="18"/>
  <c r="T53" i="1" s="1"/>
  <c r="K51" i="18"/>
  <c r="T51" i="1" s="1"/>
  <c r="K50" i="18"/>
  <c r="T50" i="1" s="1"/>
  <c r="K48" i="18"/>
  <c r="T48" i="1" s="1"/>
  <c r="K47" i="18"/>
  <c r="T47" i="1" s="1"/>
  <c r="K45" i="18"/>
  <c r="T45" i="1" s="1"/>
  <c r="K44" i="18"/>
  <c r="T44" i="1" s="1"/>
  <c r="K42" i="18"/>
  <c r="T42" i="1" s="1"/>
  <c r="K41" i="18"/>
  <c r="T41" i="1" s="1"/>
  <c r="K40" i="18"/>
  <c r="T40" i="1" s="1"/>
  <c r="K38" i="18"/>
  <c r="T38" i="1" s="1"/>
  <c r="K37" i="18"/>
  <c r="T37" i="1" s="1"/>
  <c r="K35" i="18"/>
  <c r="T35" i="1" s="1"/>
  <c r="K34" i="18"/>
  <c r="T34" i="1" s="1"/>
  <c r="K32" i="18"/>
  <c r="T32" i="1" s="1"/>
  <c r="K31" i="18"/>
  <c r="T31" i="1" s="1"/>
  <c r="K30" i="18"/>
  <c r="T30" i="1" s="1"/>
  <c r="K29" i="18"/>
  <c r="T29" i="1" s="1"/>
  <c r="K28" i="18"/>
  <c r="T28" i="1" s="1"/>
  <c r="K27" i="18"/>
  <c r="T27" i="1" s="1"/>
  <c r="K25" i="18"/>
  <c r="T25" i="1" s="1"/>
  <c r="K24" i="18"/>
  <c r="T24" i="1" s="1"/>
  <c r="K23" i="18"/>
  <c r="T23" i="1" s="1"/>
  <c r="K22" i="18"/>
  <c r="T22" i="1" s="1"/>
  <c r="K20" i="18"/>
  <c r="T20" i="1" s="1"/>
  <c r="K18" i="18"/>
  <c r="T18" i="1" s="1"/>
  <c r="K17" i="18"/>
  <c r="T17" i="1" s="1"/>
  <c r="K15" i="18"/>
  <c r="T15" i="1" s="1"/>
  <c r="K14" i="18"/>
  <c r="T14" i="1" s="1"/>
  <c r="K12" i="18"/>
  <c r="T12" i="1" s="1"/>
  <c r="K11" i="18"/>
  <c r="T11" i="1" s="1"/>
  <c r="K10" i="18"/>
  <c r="T10" i="1" s="1"/>
  <c r="K9" i="18"/>
  <c r="T9" i="1" s="1"/>
  <c r="K8" i="18"/>
  <c r="K88" i="15" l="1"/>
  <c r="Q88" i="1" s="1"/>
  <c r="K86" i="15"/>
  <c r="Q86" i="1" s="1"/>
  <c r="K85" i="15"/>
  <c r="Q85" i="1" s="1"/>
  <c r="K84" i="15"/>
  <c r="Q84" i="1" s="1"/>
  <c r="K83" i="15"/>
  <c r="Q83" i="1" s="1"/>
  <c r="K82" i="15"/>
  <c r="Q82" i="1" s="1"/>
  <c r="K81" i="15"/>
  <c r="Q81" i="1" s="1"/>
  <c r="K80" i="15"/>
  <c r="Q80" i="1" s="1"/>
  <c r="K79" i="15"/>
  <c r="Q79" i="1" s="1"/>
  <c r="K78" i="15"/>
  <c r="Q78" i="1" s="1"/>
  <c r="K76" i="15"/>
  <c r="Q76" i="1" s="1"/>
  <c r="K75" i="15"/>
  <c r="Q75" i="1" s="1"/>
  <c r="K73" i="15"/>
  <c r="Q73" i="1" s="1"/>
  <c r="K72" i="15"/>
  <c r="Q72" i="1" s="1"/>
  <c r="K71" i="15"/>
  <c r="Q71" i="1" s="1"/>
  <c r="K70" i="15"/>
  <c r="Q70" i="1" s="1"/>
  <c r="K68" i="15"/>
  <c r="Q68" i="1" s="1"/>
  <c r="K66" i="15"/>
  <c r="Q66" i="1" s="1"/>
  <c r="K65" i="15"/>
  <c r="Q65" i="1" s="1"/>
  <c r="K64" i="15"/>
  <c r="Q64" i="1" s="1"/>
  <c r="K62" i="15"/>
  <c r="Q62" i="1" s="1"/>
  <c r="K60" i="15"/>
  <c r="Q60" i="1" s="1"/>
  <c r="K59" i="15"/>
  <c r="Q59" i="1" s="1"/>
  <c r="K58" i="15"/>
  <c r="Q58" i="1" s="1"/>
  <c r="K57" i="15"/>
  <c r="Q57" i="1" s="1"/>
  <c r="K55" i="15"/>
  <c r="Q55" i="1" s="1"/>
  <c r="K53" i="15"/>
  <c r="Q53" i="1" s="1"/>
  <c r="K51" i="15"/>
  <c r="Q51" i="1" s="1"/>
  <c r="K50" i="15"/>
  <c r="Q50" i="1" s="1"/>
  <c r="K48" i="15"/>
  <c r="Q48" i="1" s="1"/>
  <c r="K47" i="15"/>
  <c r="Q47" i="1" s="1"/>
  <c r="K45" i="15"/>
  <c r="Q45" i="1" s="1"/>
  <c r="K44" i="15"/>
  <c r="Q44" i="1" s="1"/>
  <c r="K42" i="15"/>
  <c r="Q42" i="1" s="1"/>
  <c r="K41" i="15"/>
  <c r="Q41" i="1" s="1"/>
  <c r="K40" i="15"/>
  <c r="Q40" i="1" s="1"/>
  <c r="K38" i="15"/>
  <c r="Q38" i="1" s="1"/>
  <c r="K37" i="15"/>
  <c r="Q37" i="1" s="1"/>
  <c r="K35" i="15"/>
  <c r="Q35" i="1" s="1"/>
  <c r="K34" i="15"/>
  <c r="Q34" i="1" s="1"/>
  <c r="K32" i="15"/>
  <c r="Q32" i="1" s="1"/>
  <c r="K31" i="15"/>
  <c r="Q31" i="1" s="1"/>
  <c r="K30" i="15"/>
  <c r="Q30" i="1" s="1"/>
  <c r="K29" i="15"/>
  <c r="Q29" i="1" s="1"/>
  <c r="K28" i="15"/>
  <c r="Q28" i="1" s="1"/>
  <c r="K27" i="15"/>
  <c r="Q27" i="1" s="1"/>
  <c r="K25" i="15"/>
  <c r="Q25" i="1" s="1"/>
  <c r="K24" i="15"/>
  <c r="Q24" i="1" s="1"/>
  <c r="K23" i="15"/>
  <c r="Q23" i="1" s="1"/>
  <c r="K22" i="15"/>
  <c r="Q22" i="1" s="1"/>
  <c r="K20" i="15"/>
  <c r="Q20" i="1" s="1"/>
  <c r="K18" i="15"/>
  <c r="Q18" i="1" s="1"/>
  <c r="K17" i="15"/>
  <c r="Q17" i="1" s="1"/>
  <c r="K15" i="15"/>
  <c r="Q15" i="1" s="1"/>
  <c r="K14" i="15"/>
  <c r="Q14" i="1" s="1"/>
  <c r="K12" i="15"/>
  <c r="Q12" i="1" s="1"/>
  <c r="K11" i="15"/>
  <c r="Q11" i="1" s="1"/>
  <c r="K10" i="15"/>
  <c r="Q10" i="1" s="1"/>
  <c r="K9" i="15"/>
  <c r="Q9" i="1" s="1"/>
  <c r="K8" i="15"/>
  <c r="K88" i="14"/>
  <c r="P88" i="1" s="1"/>
  <c r="K86" i="14"/>
  <c r="P86" i="1" s="1"/>
  <c r="K85" i="14"/>
  <c r="P85" i="1" s="1"/>
  <c r="K84" i="14"/>
  <c r="P84" i="1" s="1"/>
  <c r="K83" i="14"/>
  <c r="P83" i="1" s="1"/>
  <c r="K82" i="14"/>
  <c r="P82" i="1" s="1"/>
  <c r="K81" i="14"/>
  <c r="P81" i="1" s="1"/>
  <c r="K80" i="14"/>
  <c r="P80" i="1" s="1"/>
  <c r="K79" i="14"/>
  <c r="P79" i="1" s="1"/>
  <c r="K78" i="14"/>
  <c r="P78" i="1" s="1"/>
  <c r="K76" i="14"/>
  <c r="P76" i="1" s="1"/>
  <c r="K75" i="14"/>
  <c r="P75" i="1" s="1"/>
  <c r="K73" i="14"/>
  <c r="P73" i="1" s="1"/>
  <c r="K72" i="14"/>
  <c r="P72" i="1" s="1"/>
  <c r="K71" i="14"/>
  <c r="P71" i="1" s="1"/>
  <c r="K70" i="14"/>
  <c r="P70" i="1" s="1"/>
  <c r="K68" i="14"/>
  <c r="P68" i="1" s="1"/>
  <c r="K66" i="14"/>
  <c r="P66" i="1" s="1"/>
  <c r="K65" i="14"/>
  <c r="P65" i="1" s="1"/>
  <c r="K64" i="14"/>
  <c r="P64" i="1" s="1"/>
  <c r="K62" i="14"/>
  <c r="P62" i="1" s="1"/>
  <c r="K60" i="14"/>
  <c r="P60" i="1" s="1"/>
  <c r="K59" i="14"/>
  <c r="P59" i="1" s="1"/>
  <c r="K58" i="14"/>
  <c r="P58" i="1" s="1"/>
  <c r="K57" i="14"/>
  <c r="P57" i="1" s="1"/>
  <c r="K55" i="14"/>
  <c r="P55" i="1" s="1"/>
  <c r="K53" i="14"/>
  <c r="P53" i="1" s="1"/>
  <c r="K51" i="14"/>
  <c r="P51" i="1" s="1"/>
  <c r="K50" i="14"/>
  <c r="P50" i="1" s="1"/>
  <c r="K48" i="14"/>
  <c r="P48" i="1" s="1"/>
  <c r="K47" i="14"/>
  <c r="P47" i="1" s="1"/>
  <c r="K45" i="14"/>
  <c r="P45" i="1" s="1"/>
  <c r="K44" i="14"/>
  <c r="P44" i="1" s="1"/>
  <c r="K42" i="14"/>
  <c r="P42" i="1" s="1"/>
  <c r="K41" i="14"/>
  <c r="P41" i="1" s="1"/>
  <c r="K40" i="14"/>
  <c r="P40" i="1" s="1"/>
  <c r="K38" i="14"/>
  <c r="P38" i="1" s="1"/>
  <c r="K37" i="14"/>
  <c r="P37" i="1" s="1"/>
  <c r="K35" i="14"/>
  <c r="P35" i="1" s="1"/>
  <c r="K34" i="14"/>
  <c r="P34" i="1" s="1"/>
  <c r="K32" i="14"/>
  <c r="P32" i="1" s="1"/>
  <c r="K31" i="14"/>
  <c r="P31" i="1" s="1"/>
  <c r="K30" i="14"/>
  <c r="P30" i="1" s="1"/>
  <c r="K29" i="14"/>
  <c r="P29" i="1" s="1"/>
  <c r="K28" i="14"/>
  <c r="P28" i="1" s="1"/>
  <c r="K27" i="14"/>
  <c r="P27" i="1" s="1"/>
  <c r="K25" i="14"/>
  <c r="P25" i="1" s="1"/>
  <c r="K24" i="14"/>
  <c r="P24" i="1" s="1"/>
  <c r="K23" i="14"/>
  <c r="P23" i="1" s="1"/>
  <c r="K22" i="14"/>
  <c r="P22" i="1" s="1"/>
  <c r="K20" i="14"/>
  <c r="P20" i="1" s="1"/>
  <c r="K18" i="14"/>
  <c r="P18" i="1" s="1"/>
  <c r="K17" i="14"/>
  <c r="P17" i="1" s="1"/>
  <c r="K15" i="14"/>
  <c r="P15" i="1" s="1"/>
  <c r="K14" i="14"/>
  <c r="P14" i="1" s="1"/>
  <c r="K12" i="14"/>
  <c r="P12" i="1" s="1"/>
  <c r="K11" i="14"/>
  <c r="P11" i="1" s="1"/>
  <c r="K10" i="14"/>
  <c r="P10" i="1" s="1"/>
  <c r="K9" i="14"/>
  <c r="P9" i="1" s="1"/>
  <c r="K8" i="14"/>
  <c r="K88" i="13"/>
  <c r="O88" i="1" s="1"/>
  <c r="K86" i="13"/>
  <c r="O86" i="1" s="1"/>
  <c r="K85" i="13"/>
  <c r="O85" i="1" s="1"/>
  <c r="K84" i="13"/>
  <c r="O84" i="1" s="1"/>
  <c r="K83" i="13"/>
  <c r="O83" i="1" s="1"/>
  <c r="K82" i="13"/>
  <c r="O82" i="1" s="1"/>
  <c r="K81" i="13"/>
  <c r="O81" i="1" s="1"/>
  <c r="K80" i="13"/>
  <c r="O80" i="1" s="1"/>
  <c r="K79" i="13"/>
  <c r="O79" i="1" s="1"/>
  <c r="K78" i="13"/>
  <c r="O78" i="1" s="1"/>
  <c r="K76" i="13"/>
  <c r="O76" i="1" s="1"/>
  <c r="K75" i="13"/>
  <c r="O75" i="1" s="1"/>
  <c r="K73" i="13"/>
  <c r="O73" i="1" s="1"/>
  <c r="K72" i="13"/>
  <c r="O72" i="1" s="1"/>
  <c r="K71" i="13"/>
  <c r="O71" i="1" s="1"/>
  <c r="K70" i="13"/>
  <c r="O70" i="1" s="1"/>
  <c r="K68" i="13"/>
  <c r="O68" i="1" s="1"/>
  <c r="K66" i="13"/>
  <c r="O66" i="1" s="1"/>
  <c r="K65" i="13"/>
  <c r="O65" i="1" s="1"/>
  <c r="K64" i="13"/>
  <c r="O64" i="1" s="1"/>
  <c r="K62" i="13"/>
  <c r="O62" i="1" s="1"/>
  <c r="K60" i="13"/>
  <c r="O60" i="1" s="1"/>
  <c r="K59" i="13"/>
  <c r="O59" i="1" s="1"/>
  <c r="K58" i="13"/>
  <c r="O58" i="1" s="1"/>
  <c r="K57" i="13"/>
  <c r="O57" i="1" s="1"/>
  <c r="K55" i="13"/>
  <c r="O55" i="1" s="1"/>
  <c r="K53" i="13"/>
  <c r="O53" i="1" s="1"/>
  <c r="K51" i="13"/>
  <c r="O51" i="1" s="1"/>
  <c r="K50" i="13"/>
  <c r="O50" i="1" s="1"/>
  <c r="K48" i="13"/>
  <c r="O48" i="1" s="1"/>
  <c r="K47" i="13"/>
  <c r="O47" i="1" s="1"/>
  <c r="K45" i="13"/>
  <c r="O45" i="1" s="1"/>
  <c r="K44" i="13"/>
  <c r="O44" i="1" s="1"/>
  <c r="K42" i="13"/>
  <c r="O42" i="1" s="1"/>
  <c r="K41" i="13"/>
  <c r="O41" i="1" s="1"/>
  <c r="K40" i="13"/>
  <c r="O40" i="1" s="1"/>
  <c r="K38" i="13"/>
  <c r="O38" i="1" s="1"/>
  <c r="K37" i="13"/>
  <c r="O37" i="1" s="1"/>
  <c r="K35" i="13"/>
  <c r="O35" i="1" s="1"/>
  <c r="K34" i="13"/>
  <c r="O34" i="1" s="1"/>
  <c r="K32" i="13"/>
  <c r="O32" i="1" s="1"/>
  <c r="K31" i="13"/>
  <c r="O31" i="1" s="1"/>
  <c r="K30" i="13"/>
  <c r="O30" i="1" s="1"/>
  <c r="K29" i="13"/>
  <c r="O29" i="1" s="1"/>
  <c r="K28" i="13"/>
  <c r="O28" i="1" s="1"/>
  <c r="K27" i="13"/>
  <c r="O27" i="1" s="1"/>
  <c r="K25" i="13"/>
  <c r="O25" i="1" s="1"/>
  <c r="K24" i="13"/>
  <c r="O24" i="1" s="1"/>
  <c r="K23" i="13"/>
  <c r="O23" i="1" s="1"/>
  <c r="K22" i="13"/>
  <c r="O22" i="1" s="1"/>
  <c r="K20" i="13"/>
  <c r="O20" i="1" s="1"/>
  <c r="K18" i="13"/>
  <c r="O18" i="1" s="1"/>
  <c r="K17" i="13"/>
  <c r="O17" i="1" s="1"/>
  <c r="K15" i="13"/>
  <c r="O15" i="1" s="1"/>
  <c r="K14" i="13"/>
  <c r="O14" i="1" s="1"/>
  <c r="K12" i="13"/>
  <c r="O12" i="1" s="1"/>
  <c r="K11" i="13"/>
  <c r="O11" i="1" s="1"/>
  <c r="K10" i="13"/>
  <c r="O10" i="1" s="1"/>
  <c r="K9" i="13"/>
  <c r="O9" i="1" s="1"/>
  <c r="K8" i="13"/>
  <c r="K88" i="12"/>
  <c r="N88" i="1" s="1"/>
  <c r="K86" i="12"/>
  <c r="N86" i="1" s="1"/>
  <c r="K85" i="12"/>
  <c r="N85" i="1" s="1"/>
  <c r="K84" i="12"/>
  <c r="N84" i="1" s="1"/>
  <c r="K83" i="12"/>
  <c r="N83" i="1" s="1"/>
  <c r="K82" i="12"/>
  <c r="N82" i="1" s="1"/>
  <c r="K81" i="12"/>
  <c r="N81" i="1" s="1"/>
  <c r="K80" i="12"/>
  <c r="N80" i="1" s="1"/>
  <c r="K79" i="12"/>
  <c r="N79" i="1" s="1"/>
  <c r="K78" i="12"/>
  <c r="N78" i="1" s="1"/>
  <c r="K76" i="12"/>
  <c r="N76" i="1" s="1"/>
  <c r="K75" i="12"/>
  <c r="N75" i="1" s="1"/>
  <c r="K73" i="12"/>
  <c r="N73" i="1" s="1"/>
  <c r="K72" i="12"/>
  <c r="N72" i="1" s="1"/>
  <c r="K71" i="12"/>
  <c r="N71" i="1" s="1"/>
  <c r="K70" i="12"/>
  <c r="N70" i="1" s="1"/>
  <c r="K68" i="12"/>
  <c r="N68" i="1" s="1"/>
  <c r="K66" i="12"/>
  <c r="N66" i="1" s="1"/>
  <c r="K65" i="12"/>
  <c r="N65" i="1" s="1"/>
  <c r="K64" i="12"/>
  <c r="N64" i="1" s="1"/>
  <c r="K62" i="12"/>
  <c r="N62" i="1" s="1"/>
  <c r="K60" i="12"/>
  <c r="N60" i="1" s="1"/>
  <c r="K59" i="12"/>
  <c r="N59" i="1" s="1"/>
  <c r="K58" i="12"/>
  <c r="N58" i="1" s="1"/>
  <c r="K57" i="12"/>
  <c r="N57" i="1" s="1"/>
  <c r="K55" i="12"/>
  <c r="N55" i="1" s="1"/>
  <c r="K53" i="12"/>
  <c r="N53" i="1" s="1"/>
  <c r="K51" i="12"/>
  <c r="N51" i="1" s="1"/>
  <c r="K50" i="12"/>
  <c r="N50" i="1" s="1"/>
  <c r="K48" i="12"/>
  <c r="N48" i="1" s="1"/>
  <c r="K47" i="12"/>
  <c r="N47" i="1" s="1"/>
  <c r="K45" i="12"/>
  <c r="N45" i="1" s="1"/>
  <c r="K44" i="12"/>
  <c r="N44" i="1" s="1"/>
  <c r="K42" i="12"/>
  <c r="N42" i="1" s="1"/>
  <c r="K41" i="12"/>
  <c r="N41" i="1" s="1"/>
  <c r="K40" i="12"/>
  <c r="N40" i="1" s="1"/>
  <c r="K38" i="12"/>
  <c r="N38" i="1" s="1"/>
  <c r="K37" i="12"/>
  <c r="N37" i="1" s="1"/>
  <c r="K35" i="12"/>
  <c r="N35" i="1" s="1"/>
  <c r="K34" i="12"/>
  <c r="N34" i="1" s="1"/>
  <c r="K32" i="12"/>
  <c r="N32" i="1" s="1"/>
  <c r="K31" i="12"/>
  <c r="N31" i="1" s="1"/>
  <c r="K30" i="12"/>
  <c r="N30" i="1" s="1"/>
  <c r="K29" i="12"/>
  <c r="N29" i="1" s="1"/>
  <c r="K28" i="12"/>
  <c r="N28" i="1" s="1"/>
  <c r="K27" i="12"/>
  <c r="N27" i="1" s="1"/>
  <c r="K25" i="12"/>
  <c r="N25" i="1" s="1"/>
  <c r="K24" i="12"/>
  <c r="N24" i="1" s="1"/>
  <c r="K23" i="12"/>
  <c r="N23" i="1" s="1"/>
  <c r="K22" i="12"/>
  <c r="N22" i="1" s="1"/>
  <c r="K20" i="12"/>
  <c r="N20" i="1" s="1"/>
  <c r="K18" i="12"/>
  <c r="N18" i="1" s="1"/>
  <c r="K17" i="12"/>
  <c r="N17" i="1" s="1"/>
  <c r="K15" i="12"/>
  <c r="N15" i="1" s="1"/>
  <c r="K14" i="12"/>
  <c r="N14" i="1" s="1"/>
  <c r="K12" i="12"/>
  <c r="N12" i="1" s="1"/>
  <c r="K11" i="12"/>
  <c r="N11" i="1" s="1"/>
  <c r="K10" i="12"/>
  <c r="N10" i="1" s="1"/>
  <c r="K9" i="12"/>
  <c r="N9" i="1" s="1"/>
  <c r="K8" i="12"/>
  <c r="K88" i="11"/>
  <c r="M88" i="1" s="1"/>
  <c r="K86" i="11"/>
  <c r="M86" i="1" s="1"/>
  <c r="K85" i="11"/>
  <c r="M85" i="1" s="1"/>
  <c r="K84" i="11"/>
  <c r="M84" i="1" s="1"/>
  <c r="K83" i="11"/>
  <c r="M83" i="1" s="1"/>
  <c r="K82" i="11"/>
  <c r="M82" i="1" s="1"/>
  <c r="K81" i="11"/>
  <c r="M81" i="1" s="1"/>
  <c r="K80" i="11"/>
  <c r="M80" i="1" s="1"/>
  <c r="K79" i="11"/>
  <c r="M79" i="1" s="1"/>
  <c r="K78" i="11"/>
  <c r="M78" i="1" s="1"/>
  <c r="K76" i="11"/>
  <c r="M76" i="1" s="1"/>
  <c r="K75" i="11"/>
  <c r="M75" i="1" s="1"/>
  <c r="K73" i="11"/>
  <c r="M73" i="1" s="1"/>
  <c r="K72" i="11"/>
  <c r="M72" i="1" s="1"/>
  <c r="K71" i="11"/>
  <c r="M71" i="1" s="1"/>
  <c r="K70" i="11"/>
  <c r="M70" i="1" s="1"/>
  <c r="K68" i="11"/>
  <c r="M68" i="1" s="1"/>
  <c r="K66" i="11"/>
  <c r="M66" i="1" s="1"/>
  <c r="K65" i="11"/>
  <c r="M65" i="1" s="1"/>
  <c r="K64" i="11"/>
  <c r="M64" i="1" s="1"/>
  <c r="K62" i="11"/>
  <c r="M62" i="1" s="1"/>
  <c r="K60" i="11"/>
  <c r="M60" i="1" s="1"/>
  <c r="K59" i="11"/>
  <c r="M59" i="1" s="1"/>
  <c r="K58" i="11"/>
  <c r="M58" i="1" s="1"/>
  <c r="K57" i="11"/>
  <c r="M57" i="1" s="1"/>
  <c r="K55" i="11"/>
  <c r="M55" i="1" s="1"/>
  <c r="K53" i="11"/>
  <c r="M53" i="1" s="1"/>
  <c r="K51" i="11"/>
  <c r="M51" i="1" s="1"/>
  <c r="K50" i="11"/>
  <c r="M50" i="1" s="1"/>
  <c r="K48" i="11"/>
  <c r="M48" i="1" s="1"/>
  <c r="K47" i="11"/>
  <c r="M47" i="1" s="1"/>
  <c r="K45" i="11"/>
  <c r="M45" i="1" s="1"/>
  <c r="K44" i="11"/>
  <c r="M44" i="1" s="1"/>
  <c r="K42" i="11"/>
  <c r="M42" i="1" s="1"/>
  <c r="K41" i="11"/>
  <c r="M41" i="1" s="1"/>
  <c r="K40" i="11"/>
  <c r="M40" i="1" s="1"/>
  <c r="K38" i="11"/>
  <c r="M38" i="1" s="1"/>
  <c r="K37" i="11"/>
  <c r="M37" i="1" s="1"/>
  <c r="K35" i="11"/>
  <c r="M35" i="1" s="1"/>
  <c r="K34" i="11"/>
  <c r="M34" i="1" s="1"/>
  <c r="K32" i="11"/>
  <c r="M32" i="1" s="1"/>
  <c r="K31" i="11"/>
  <c r="M31" i="1" s="1"/>
  <c r="K30" i="11"/>
  <c r="M30" i="1" s="1"/>
  <c r="K29" i="11"/>
  <c r="M29" i="1" s="1"/>
  <c r="K28" i="11"/>
  <c r="M28" i="1" s="1"/>
  <c r="K27" i="11"/>
  <c r="M27" i="1" s="1"/>
  <c r="K25" i="11"/>
  <c r="M25" i="1" s="1"/>
  <c r="K24" i="11"/>
  <c r="M24" i="1" s="1"/>
  <c r="K23" i="11"/>
  <c r="M23" i="1" s="1"/>
  <c r="K22" i="11"/>
  <c r="M22" i="1" s="1"/>
  <c r="K20" i="11"/>
  <c r="M20" i="1" s="1"/>
  <c r="K18" i="11"/>
  <c r="M18" i="1" s="1"/>
  <c r="K17" i="11"/>
  <c r="M17" i="1" s="1"/>
  <c r="K15" i="11"/>
  <c r="M15" i="1" s="1"/>
  <c r="K14" i="11"/>
  <c r="M14" i="1" s="1"/>
  <c r="K12" i="11"/>
  <c r="M12" i="1" s="1"/>
  <c r="K11" i="11"/>
  <c r="M11" i="1" s="1"/>
  <c r="K10" i="11"/>
  <c r="M10" i="1" s="1"/>
  <c r="K9" i="11"/>
  <c r="M9" i="1" s="1"/>
  <c r="K8" i="11"/>
  <c r="K88" i="10"/>
  <c r="L88" i="1" s="1"/>
  <c r="K86" i="10"/>
  <c r="L86" i="1" s="1"/>
  <c r="K85" i="10"/>
  <c r="L85" i="1" s="1"/>
  <c r="K84" i="10"/>
  <c r="L84" i="1" s="1"/>
  <c r="K83" i="10"/>
  <c r="L83" i="1" s="1"/>
  <c r="K82" i="10"/>
  <c r="L82" i="1" s="1"/>
  <c r="K81" i="10"/>
  <c r="L81" i="1" s="1"/>
  <c r="K80" i="10"/>
  <c r="L80" i="1" s="1"/>
  <c r="K79" i="10"/>
  <c r="L79" i="1" s="1"/>
  <c r="K78" i="10"/>
  <c r="L78" i="1" s="1"/>
  <c r="K76" i="10"/>
  <c r="L76" i="1" s="1"/>
  <c r="K75" i="10"/>
  <c r="L75" i="1" s="1"/>
  <c r="K73" i="10"/>
  <c r="L73" i="1" s="1"/>
  <c r="K72" i="10"/>
  <c r="L72" i="1" s="1"/>
  <c r="K71" i="10"/>
  <c r="L71" i="1" s="1"/>
  <c r="K70" i="10"/>
  <c r="L70" i="1" s="1"/>
  <c r="K68" i="10"/>
  <c r="L68" i="1" s="1"/>
  <c r="K66" i="10"/>
  <c r="L66" i="1" s="1"/>
  <c r="K65" i="10"/>
  <c r="L65" i="1" s="1"/>
  <c r="K64" i="10"/>
  <c r="L64" i="1" s="1"/>
  <c r="K62" i="10"/>
  <c r="L62" i="1" s="1"/>
  <c r="K60" i="10"/>
  <c r="L60" i="1" s="1"/>
  <c r="K59" i="10"/>
  <c r="L59" i="1" s="1"/>
  <c r="K58" i="10"/>
  <c r="L58" i="1" s="1"/>
  <c r="K57" i="10"/>
  <c r="L57" i="1" s="1"/>
  <c r="K55" i="10"/>
  <c r="L55" i="1" s="1"/>
  <c r="K53" i="10"/>
  <c r="L53" i="1" s="1"/>
  <c r="K51" i="10"/>
  <c r="L51" i="1" s="1"/>
  <c r="K50" i="10"/>
  <c r="L50" i="1" s="1"/>
  <c r="K48" i="10"/>
  <c r="L48" i="1" s="1"/>
  <c r="K47" i="10"/>
  <c r="L47" i="1" s="1"/>
  <c r="K45" i="10"/>
  <c r="L45" i="1" s="1"/>
  <c r="K44" i="10"/>
  <c r="L44" i="1" s="1"/>
  <c r="K42" i="10"/>
  <c r="L42" i="1" s="1"/>
  <c r="K41" i="10"/>
  <c r="L41" i="1" s="1"/>
  <c r="K40" i="10"/>
  <c r="L40" i="1" s="1"/>
  <c r="K38" i="10"/>
  <c r="L38" i="1" s="1"/>
  <c r="K37" i="10"/>
  <c r="L37" i="1" s="1"/>
  <c r="K35" i="10"/>
  <c r="L35" i="1" s="1"/>
  <c r="K34" i="10"/>
  <c r="L34" i="1" s="1"/>
  <c r="K32" i="10"/>
  <c r="L32" i="1" s="1"/>
  <c r="K31" i="10"/>
  <c r="L31" i="1" s="1"/>
  <c r="K30" i="10"/>
  <c r="L30" i="1" s="1"/>
  <c r="K29" i="10"/>
  <c r="L29" i="1" s="1"/>
  <c r="K28" i="10"/>
  <c r="L28" i="1" s="1"/>
  <c r="K27" i="10"/>
  <c r="L27" i="1" s="1"/>
  <c r="K25" i="10"/>
  <c r="L25" i="1" s="1"/>
  <c r="K24" i="10"/>
  <c r="L24" i="1" s="1"/>
  <c r="K23" i="10"/>
  <c r="L23" i="1" s="1"/>
  <c r="K22" i="10"/>
  <c r="L22" i="1" s="1"/>
  <c r="K20" i="10"/>
  <c r="L20" i="1" s="1"/>
  <c r="K18" i="10"/>
  <c r="L18" i="1" s="1"/>
  <c r="K17" i="10"/>
  <c r="L17" i="1" s="1"/>
  <c r="K15" i="10"/>
  <c r="L15" i="1" s="1"/>
  <c r="K14" i="10"/>
  <c r="L14" i="1" s="1"/>
  <c r="K12" i="10"/>
  <c r="L12" i="1" s="1"/>
  <c r="K11" i="10"/>
  <c r="L11" i="1" s="1"/>
  <c r="K10" i="10"/>
  <c r="L10" i="1" s="1"/>
  <c r="K9" i="10"/>
  <c r="L9" i="1" s="1"/>
  <c r="K8" i="10"/>
  <c r="K88" i="9" l="1"/>
  <c r="K88" i="1" s="1"/>
  <c r="K86" i="9"/>
  <c r="K86" i="1" s="1"/>
  <c r="K85" i="9"/>
  <c r="K85" i="1" s="1"/>
  <c r="K84" i="9"/>
  <c r="K84" i="1" s="1"/>
  <c r="K83" i="9"/>
  <c r="K83" i="1" s="1"/>
  <c r="K82" i="9"/>
  <c r="K82" i="1" s="1"/>
  <c r="K81" i="9"/>
  <c r="K81" i="1" s="1"/>
  <c r="K80" i="9"/>
  <c r="K80" i="1" s="1"/>
  <c r="K79" i="9"/>
  <c r="K79" i="1" s="1"/>
  <c r="K78" i="9"/>
  <c r="K78" i="1" s="1"/>
  <c r="K76" i="9"/>
  <c r="K76" i="1" s="1"/>
  <c r="K75" i="9"/>
  <c r="K75" i="1" s="1"/>
  <c r="K73" i="9"/>
  <c r="K73" i="1" s="1"/>
  <c r="K72" i="9"/>
  <c r="K72" i="1" s="1"/>
  <c r="K71" i="9"/>
  <c r="K71" i="1" s="1"/>
  <c r="K70" i="9"/>
  <c r="K70" i="1" s="1"/>
  <c r="K68" i="9"/>
  <c r="K68" i="1" s="1"/>
  <c r="K66" i="9"/>
  <c r="K66" i="1" s="1"/>
  <c r="K65" i="9"/>
  <c r="K65" i="1" s="1"/>
  <c r="K64" i="9"/>
  <c r="K64" i="1" s="1"/>
  <c r="K62" i="9"/>
  <c r="K62" i="1" s="1"/>
  <c r="K60" i="9"/>
  <c r="K60" i="1" s="1"/>
  <c r="K59" i="9"/>
  <c r="K59" i="1" s="1"/>
  <c r="K58" i="9"/>
  <c r="K58" i="1" s="1"/>
  <c r="K57" i="9"/>
  <c r="K57" i="1" s="1"/>
  <c r="K55" i="9"/>
  <c r="K55" i="1" s="1"/>
  <c r="K53" i="9"/>
  <c r="K53" i="1" s="1"/>
  <c r="K51" i="9"/>
  <c r="K51" i="1" s="1"/>
  <c r="K50" i="9"/>
  <c r="K50" i="1" s="1"/>
  <c r="K48" i="9"/>
  <c r="K48" i="1" s="1"/>
  <c r="K47" i="9"/>
  <c r="K47" i="1" s="1"/>
  <c r="K45" i="9"/>
  <c r="K45" i="1" s="1"/>
  <c r="K44" i="9"/>
  <c r="K44" i="1" s="1"/>
  <c r="K42" i="9"/>
  <c r="K42" i="1" s="1"/>
  <c r="K41" i="9"/>
  <c r="K41" i="1" s="1"/>
  <c r="K40" i="9"/>
  <c r="K40" i="1" s="1"/>
  <c r="K38" i="9"/>
  <c r="K38" i="1" s="1"/>
  <c r="K37" i="9"/>
  <c r="K37" i="1" s="1"/>
  <c r="K35" i="9"/>
  <c r="K35" i="1" s="1"/>
  <c r="K34" i="9"/>
  <c r="K34" i="1" s="1"/>
  <c r="K32" i="9"/>
  <c r="K32" i="1" s="1"/>
  <c r="K31" i="9"/>
  <c r="K31" i="1" s="1"/>
  <c r="K30" i="9"/>
  <c r="K30" i="1" s="1"/>
  <c r="K29" i="9"/>
  <c r="K29" i="1" s="1"/>
  <c r="K28" i="9"/>
  <c r="K28" i="1" s="1"/>
  <c r="K27" i="9"/>
  <c r="K27" i="1" s="1"/>
  <c r="K25" i="9"/>
  <c r="K25" i="1" s="1"/>
  <c r="K24" i="9"/>
  <c r="K24" i="1" s="1"/>
  <c r="K23" i="9"/>
  <c r="K23" i="1" s="1"/>
  <c r="K22" i="9"/>
  <c r="K22" i="1" s="1"/>
  <c r="K20" i="9"/>
  <c r="K20" i="1" s="1"/>
  <c r="K18" i="9"/>
  <c r="K18" i="1" s="1"/>
  <c r="K17" i="9"/>
  <c r="K17" i="1" s="1"/>
  <c r="K15" i="9"/>
  <c r="K15" i="1" s="1"/>
  <c r="K14" i="9"/>
  <c r="K14" i="1" s="1"/>
  <c r="K12" i="9"/>
  <c r="K12" i="1" s="1"/>
  <c r="K11" i="9"/>
  <c r="K11" i="1" s="1"/>
  <c r="K10" i="9"/>
  <c r="K10" i="1" s="1"/>
  <c r="K9" i="9"/>
  <c r="K9" i="1" s="1"/>
  <c r="K8" i="9"/>
  <c r="K88" i="8"/>
  <c r="J88" i="1" s="1"/>
  <c r="K86" i="8"/>
  <c r="J86" i="1" s="1"/>
  <c r="K85" i="8"/>
  <c r="J85" i="1" s="1"/>
  <c r="K84" i="8"/>
  <c r="J84" i="1" s="1"/>
  <c r="K83" i="8"/>
  <c r="J83" i="1" s="1"/>
  <c r="K82" i="8"/>
  <c r="J82" i="1" s="1"/>
  <c r="K81" i="8"/>
  <c r="J81" i="1" s="1"/>
  <c r="K80" i="8"/>
  <c r="J80" i="1" s="1"/>
  <c r="K79" i="8"/>
  <c r="J79" i="1" s="1"/>
  <c r="K78" i="8"/>
  <c r="J78" i="1" s="1"/>
  <c r="K76" i="8"/>
  <c r="J76" i="1" s="1"/>
  <c r="K75" i="8"/>
  <c r="J75" i="1" s="1"/>
  <c r="K73" i="8"/>
  <c r="J73" i="1" s="1"/>
  <c r="K72" i="8"/>
  <c r="J72" i="1" s="1"/>
  <c r="K71" i="8"/>
  <c r="J71" i="1" s="1"/>
  <c r="K70" i="8"/>
  <c r="J70" i="1" s="1"/>
  <c r="K68" i="8"/>
  <c r="J68" i="1" s="1"/>
  <c r="K66" i="8"/>
  <c r="J66" i="1" s="1"/>
  <c r="K65" i="8"/>
  <c r="J65" i="1" s="1"/>
  <c r="K64" i="8"/>
  <c r="J64" i="1" s="1"/>
  <c r="K62" i="8"/>
  <c r="J62" i="1" s="1"/>
  <c r="K60" i="8"/>
  <c r="J60" i="1" s="1"/>
  <c r="K59" i="8"/>
  <c r="J59" i="1" s="1"/>
  <c r="K58" i="8"/>
  <c r="J58" i="1" s="1"/>
  <c r="K57" i="8"/>
  <c r="J57" i="1" s="1"/>
  <c r="K55" i="8"/>
  <c r="J55" i="1" s="1"/>
  <c r="K53" i="8"/>
  <c r="J53" i="1" s="1"/>
  <c r="K51" i="8"/>
  <c r="J51" i="1" s="1"/>
  <c r="K50" i="8"/>
  <c r="J50" i="1" s="1"/>
  <c r="K48" i="8"/>
  <c r="J48" i="1" s="1"/>
  <c r="K47" i="8"/>
  <c r="J47" i="1" s="1"/>
  <c r="K45" i="8"/>
  <c r="J45" i="1" s="1"/>
  <c r="K44" i="8"/>
  <c r="J44" i="1" s="1"/>
  <c r="K42" i="8"/>
  <c r="J42" i="1" s="1"/>
  <c r="K41" i="8"/>
  <c r="J41" i="1" s="1"/>
  <c r="K40" i="8"/>
  <c r="J40" i="1" s="1"/>
  <c r="K38" i="8"/>
  <c r="J38" i="1" s="1"/>
  <c r="K37" i="8"/>
  <c r="J37" i="1" s="1"/>
  <c r="K35" i="8"/>
  <c r="J35" i="1" s="1"/>
  <c r="K34" i="8"/>
  <c r="J34" i="1" s="1"/>
  <c r="K32" i="8"/>
  <c r="J32" i="1" s="1"/>
  <c r="K31" i="8"/>
  <c r="J31" i="1" s="1"/>
  <c r="K30" i="8"/>
  <c r="J30" i="1" s="1"/>
  <c r="K29" i="8"/>
  <c r="J29" i="1" s="1"/>
  <c r="K28" i="8"/>
  <c r="J28" i="1" s="1"/>
  <c r="K27" i="8"/>
  <c r="J27" i="1" s="1"/>
  <c r="K25" i="8"/>
  <c r="J25" i="1" s="1"/>
  <c r="K24" i="8"/>
  <c r="J24" i="1" s="1"/>
  <c r="K23" i="8"/>
  <c r="J23" i="1" s="1"/>
  <c r="K22" i="8"/>
  <c r="J22" i="1" s="1"/>
  <c r="K20" i="8"/>
  <c r="J20" i="1" s="1"/>
  <c r="K18" i="8"/>
  <c r="J18" i="1" s="1"/>
  <c r="K17" i="8"/>
  <c r="J17" i="1" s="1"/>
  <c r="K15" i="8"/>
  <c r="J15" i="1" s="1"/>
  <c r="K14" i="8"/>
  <c r="J14" i="1" s="1"/>
  <c r="K12" i="8"/>
  <c r="J12" i="1" s="1"/>
  <c r="K11" i="8"/>
  <c r="J11" i="1" s="1"/>
  <c r="K10" i="8"/>
  <c r="J10" i="1" s="1"/>
  <c r="K9" i="8"/>
  <c r="J9" i="1" s="1"/>
  <c r="K8" i="8"/>
  <c r="K88" i="7"/>
  <c r="I88" i="1" s="1"/>
  <c r="K86" i="7"/>
  <c r="I86" i="1" s="1"/>
  <c r="K85" i="7"/>
  <c r="I85" i="1" s="1"/>
  <c r="K84" i="7"/>
  <c r="I84" i="1" s="1"/>
  <c r="K83" i="7"/>
  <c r="I83" i="1" s="1"/>
  <c r="K82" i="7"/>
  <c r="I82" i="1" s="1"/>
  <c r="K81" i="7"/>
  <c r="I81" i="1" s="1"/>
  <c r="K80" i="7"/>
  <c r="I80" i="1" s="1"/>
  <c r="K79" i="7"/>
  <c r="I79" i="1" s="1"/>
  <c r="K78" i="7"/>
  <c r="I78" i="1" s="1"/>
  <c r="K76" i="7"/>
  <c r="I76" i="1" s="1"/>
  <c r="K75" i="7"/>
  <c r="I75" i="1" s="1"/>
  <c r="K73" i="7"/>
  <c r="I73" i="1" s="1"/>
  <c r="K72" i="7"/>
  <c r="I72" i="1" s="1"/>
  <c r="K71" i="7"/>
  <c r="I71" i="1" s="1"/>
  <c r="K70" i="7"/>
  <c r="I70" i="1" s="1"/>
  <c r="K68" i="7"/>
  <c r="I68" i="1" s="1"/>
  <c r="K66" i="7"/>
  <c r="I66" i="1" s="1"/>
  <c r="K65" i="7"/>
  <c r="I65" i="1" s="1"/>
  <c r="K64" i="7"/>
  <c r="I64" i="1" s="1"/>
  <c r="K62" i="7"/>
  <c r="I62" i="1" s="1"/>
  <c r="K60" i="7"/>
  <c r="I60" i="1" s="1"/>
  <c r="K59" i="7"/>
  <c r="I59" i="1" s="1"/>
  <c r="K58" i="7"/>
  <c r="I58" i="1" s="1"/>
  <c r="K57" i="7"/>
  <c r="I57" i="1" s="1"/>
  <c r="K55" i="7"/>
  <c r="I55" i="1" s="1"/>
  <c r="K53" i="7"/>
  <c r="I53" i="1" s="1"/>
  <c r="K51" i="7"/>
  <c r="I51" i="1" s="1"/>
  <c r="K50" i="7"/>
  <c r="I50" i="1" s="1"/>
  <c r="K48" i="7"/>
  <c r="I48" i="1" s="1"/>
  <c r="K47" i="7"/>
  <c r="I47" i="1" s="1"/>
  <c r="K45" i="7"/>
  <c r="I45" i="1" s="1"/>
  <c r="K44" i="7"/>
  <c r="I44" i="1" s="1"/>
  <c r="K42" i="7"/>
  <c r="I42" i="1" s="1"/>
  <c r="K41" i="7"/>
  <c r="I41" i="1" s="1"/>
  <c r="K40" i="7"/>
  <c r="I40" i="1" s="1"/>
  <c r="K38" i="7"/>
  <c r="I38" i="1" s="1"/>
  <c r="K37" i="7"/>
  <c r="I37" i="1" s="1"/>
  <c r="K35" i="7"/>
  <c r="I35" i="1" s="1"/>
  <c r="K34" i="7"/>
  <c r="I34" i="1" s="1"/>
  <c r="K32" i="7"/>
  <c r="I32" i="1" s="1"/>
  <c r="K31" i="7"/>
  <c r="I31" i="1" s="1"/>
  <c r="K30" i="7"/>
  <c r="I30" i="1" s="1"/>
  <c r="K29" i="7"/>
  <c r="I29" i="1" s="1"/>
  <c r="K28" i="7"/>
  <c r="I28" i="1" s="1"/>
  <c r="K27" i="7"/>
  <c r="I27" i="1" s="1"/>
  <c r="K25" i="7"/>
  <c r="I25" i="1" s="1"/>
  <c r="K24" i="7"/>
  <c r="I24" i="1" s="1"/>
  <c r="K23" i="7"/>
  <c r="I23" i="1" s="1"/>
  <c r="K22" i="7"/>
  <c r="I22" i="1" s="1"/>
  <c r="K20" i="7"/>
  <c r="I20" i="1" s="1"/>
  <c r="K18" i="7"/>
  <c r="I18" i="1" s="1"/>
  <c r="K17" i="7"/>
  <c r="I17" i="1" s="1"/>
  <c r="K15" i="7"/>
  <c r="I15" i="1" s="1"/>
  <c r="K14" i="7"/>
  <c r="I14" i="1" s="1"/>
  <c r="K12" i="7"/>
  <c r="I12" i="1" s="1"/>
  <c r="K11" i="7"/>
  <c r="I11" i="1" s="1"/>
  <c r="K10" i="7"/>
  <c r="I10" i="1" s="1"/>
  <c r="K9" i="7"/>
  <c r="I9" i="1" s="1"/>
  <c r="K8" i="7"/>
  <c r="K88" i="6"/>
  <c r="H88" i="1" s="1"/>
  <c r="K86" i="6"/>
  <c r="H86" i="1" s="1"/>
  <c r="K85" i="6"/>
  <c r="H85" i="1" s="1"/>
  <c r="K84" i="6"/>
  <c r="H84" i="1" s="1"/>
  <c r="K83" i="6"/>
  <c r="H83" i="1" s="1"/>
  <c r="K82" i="6"/>
  <c r="H82" i="1" s="1"/>
  <c r="K81" i="6"/>
  <c r="H81" i="1" s="1"/>
  <c r="K80" i="6"/>
  <c r="H80" i="1" s="1"/>
  <c r="K79" i="6"/>
  <c r="H79" i="1" s="1"/>
  <c r="K78" i="6"/>
  <c r="H78" i="1" s="1"/>
  <c r="K76" i="6"/>
  <c r="H76" i="1" s="1"/>
  <c r="K75" i="6"/>
  <c r="H75" i="1" s="1"/>
  <c r="K73" i="6"/>
  <c r="H73" i="1" s="1"/>
  <c r="K72" i="6"/>
  <c r="H72" i="1" s="1"/>
  <c r="K71" i="6"/>
  <c r="H71" i="1" s="1"/>
  <c r="K70" i="6"/>
  <c r="H70" i="1" s="1"/>
  <c r="K68" i="6"/>
  <c r="H68" i="1" s="1"/>
  <c r="K66" i="6"/>
  <c r="H66" i="1" s="1"/>
  <c r="K65" i="6"/>
  <c r="H65" i="1" s="1"/>
  <c r="K64" i="6"/>
  <c r="H64" i="1" s="1"/>
  <c r="K62" i="6"/>
  <c r="H62" i="1" s="1"/>
  <c r="K60" i="6"/>
  <c r="H60" i="1" s="1"/>
  <c r="K59" i="6"/>
  <c r="H59" i="1" s="1"/>
  <c r="K58" i="6"/>
  <c r="H58" i="1" s="1"/>
  <c r="K57" i="6"/>
  <c r="H57" i="1" s="1"/>
  <c r="K55" i="6"/>
  <c r="H55" i="1" s="1"/>
  <c r="K53" i="6"/>
  <c r="H53" i="1" s="1"/>
  <c r="K51" i="6"/>
  <c r="H51" i="1" s="1"/>
  <c r="K50" i="6"/>
  <c r="H50" i="1" s="1"/>
  <c r="K48" i="6"/>
  <c r="H48" i="1" s="1"/>
  <c r="K47" i="6"/>
  <c r="H47" i="1" s="1"/>
  <c r="K45" i="6"/>
  <c r="H45" i="1" s="1"/>
  <c r="K44" i="6"/>
  <c r="H44" i="1" s="1"/>
  <c r="K42" i="6"/>
  <c r="H42" i="1" s="1"/>
  <c r="K41" i="6"/>
  <c r="H41" i="1" s="1"/>
  <c r="K40" i="6"/>
  <c r="H40" i="1" s="1"/>
  <c r="K38" i="6"/>
  <c r="H38" i="1" s="1"/>
  <c r="K37" i="6"/>
  <c r="H37" i="1" s="1"/>
  <c r="K35" i="6"/>
  <c r="H35" i="1" s="1"/>
  <c r="K34" i="6"/>
  <c r="H34" i="1" s="1"/>
  <c r="K32" i="6"/>
  <c r="H32" i="1" s="1"/>
  <c r="K31" i="6"/>
  <c r="H31" i="1" s="1"/>
  <c r="K30" i="6"/>
  <c r="H30" i="1" s="1"/>
  <c r="K29" i="6"/>
  <c r="H29" i="1" s="1"/>
  <c r="K28" i="6"/>
  <c r="H28" i="1" s="1"/>
  <c r="K27" i="6"/>
  <c r="H27" i="1" s="1"/>
  <c r="K25" i="6"/>
  <c r="H25" i="1" s="1"/>
  <c r="K24" i="6"/>
  <c r="H24" i="1" s="1"/>
  <c r="K23" i="6"/>
  <c r="H23" i="1" s="1"/>
  <c r="K22" i="6"/>
  <c r="H22" i="1" s="1"/>
  <c r="K20" i="6"/>
  <c r="H20" i="1" s="1"/>
  <c r="K18" i="6"/>
  <c r="H18" i="1" s="1"/>
  <c r="K17" i="6"/>
  <c r="H17" i="1" s="1"/>
  <c r="K15" i="6"/>
  <c r="H15" i="1" s="1"/>
  <c r="K14" i="6"/>
  <c r="H14" i="1" s="1"/>
  <c r="K12" i="6"/>
  <c r="H12" i="1" s="1"/>
  <c r="K11" i="6"/>
  <c r="H11" i="1" s="1"/>
  <c r="K10" i="6"/>
  <c r="H10" i="1" s="1"/>
  <c r="K9" i="6"/>
  <c r="H9" i="1" s="1"/>
  <c r="K8" i="6"/>
  <c r="K88" i="5"/>
  <c r="G88" i="1" s="1"/>
  <c r="K86" i="5"/>
  <c r="G86" i="1" s="1"/>
  <c r="K85" i="5"/>
  <c r="G85" i="1" s="1"/>
  <c r="K84" i="5"/>
  <c r="G84" i="1" s="1"/>
  <c r="K83" i="5"/>
  <c r="G83" i="1" s="1"/>
  <c r="K82" i="5"/>
  <c r="G82" i="1" s="1"/>
  <c r="K81" i="5"/>
  <c r="G81" i="1" s="1"/>
  <c r="K80" i="5"/>
  <c r="G80" i="1" s="1"/>
  <c r="K79" i="5"/>
  <c r="G79" i="1" s="1"/>
  <c r="K78" i="5"/>
  <c r="G78" i="1" s="1"/>
  <c r="K76" i="5"/>
  <c r="G76" i="1" s="1"/>
  <c r="K75" i="5"/>
  <c r="G75" i="1" s="1"/>
  <c r="K73" i="5"/>
  <c r="G73" i="1" s="1"/>
  <c r="K72" i="5"/>
  <c r="G72" i="1" s="1"/>
  <c r="K71" i="5"/>
  <c r="G71" i="1" s="1"/>
  <c r="K70" i="5"/>
  <c r="G70" i="1" s="1"/>
  <c r="K68" i="5"/>
  <c r="G68" i="1" s="1"/>
  <c r="K66" i="5"/>
  <c r="G66" i="1" s="1"/>
  <c r="K65" i="5"/>
  <c r="G65" i="1" s="1"/>
  <c r="K64" i="5"/>
  <c r="G64" i="1" s="1"/>
  <c r="K62" i="5"/>
  <c r="G62" i="1" s="1"/>
  <c r="K60" i="5"/>
  <c r="G60" i="1" s="1"/>
  <c r="K59" i="5"/>
  <c r="G59" i="1" s="1"/>
  <c r="K58" i="5"/>
  <c r="G58" i="1" s="1"/>
  <c r="K57" i="5"/>
  <c r="G57" i="1" s="1"/>
  <c r="K55" i="5"/>
  <c r="G55" i="1" s="1"/>
  <c r="K53" i="5"/>
  <c r="G53" i="1" s="1"/>
  <c r="K51" i="5"/>
  <c r="G51" i="1" s="1"/>
  <c r="K50" i="5"/>
  <c r="G50" i="1" s="1"/>
  <c r="K48" i="5"/>
  <c r="G48" i="1" s="1"/>
  <c r="K47" i="5"/>
  <c r="G47" i="1" s="1"/>
  <c r="K45" i="5"/>
  <c r="G45" i="1" s="1"/>
  <c r="K44" i="5"/>
  <c r="G44" i="1" s="1"/>
  <c r="K42" i="5"/>
  <c r="G42" i="1" s="1"/>
  <c r="K41" i="5"/>
  <c r="G41" i="1" s="1"/>
  <c r="K40" i="5"/>
  <c r="G40" i="1" s="1"/>
  <c r="K38" i="5"/>
  <c r="G38" i="1" s="1"/>
  <c r="K37" i="5"/>
  <c r="G37" i="1" s="1"/>
  <c r="K35" i="5"/>
  <c r="G35" i="1" s="1"/>
  <c r="K34" i="5"/>
  <c r="G34" i="1" s="1"/>
  <c r="K32" i="5"/>
  <c r="G32" i="1" s="1"/>
  <c r="K31" i="5"/>
  <c r="G31" i="1" s="1"/>
  <c r="K30" i="5"/>
  <c r="G30" i="1" s="1"/>
  <c r="K29" i="5"/>
  <c r="G29" i="1" s="1"/>
  <c r="K28" i="5"/>
  <c r="G28" i="1" s="1"/>
  <c r="K27" i="5"/>
  <c r="G27" i="1" s="1"/>
  <c r="K25" i="5"/>
  <c r="G25" i="1" s="1"/>
  <c r="K24" i="5"/>
  <c r="G24" i="1" s="1"/>
  <c r="K23" i="5"/>
  <c r="G23" i="1" s="1"/>
  <c r="K22" i="5"/>
  <c r="G22" i="1" s="1"/>
  <c r="K20" i="5"/>
  <c r="G20" i="1" s="1"/>
  <c r="K18" i="5"/>
  <c r="G18" i="1" s="1"/>
  <c r="K17" i="5"/>
  <c r="G17" i="1" s="1"/>
  <c r="K15" i="5"/>
  <c r="G15" i="1" s="1"/>
  <c r="K14" i="5"/>
  <c r="G14" i="1" s="1"/>
  <c r="K12" i="5"/>
  <c r="G12" i="1" s="1"/>
  <c r="K11" i="5"/>
  <c r="G11" i="1" s="1"/>
  <c r="K10" i="5"/>
  <c r="G10" i="1" s="1"/>
  <c r="K9" i="5"/>
  <c r="G9" i="1" s="1"/>
  <c r="K8" i="5"/>
  <c r="K88" i="4"/>
  <c r="F88" i="1" s="1"/>
  <c r="K86" i="4"/>
  <c r="F86" i="1" s="1"/>
  <c r="K85" i="4"/>
  <c r="F85" i="1" s="1"/>
  <c r="K84" i="4"/>
  <c r="F84" i="1" s="1"/>
  <c r="K83" i="4"/>
  <c r="F83" i="1" s="1"/>
  <c r="K82" i="4"/>
  <c r="F82" i="1" s="1"/>
  <c r="K81" i="4"/>
  <c r="F81" i="1" s="1"/>
  <c r="K80" i="4"/>
  <c r="F80" i="1" s="1"/>
  <c r="K79" i="4"/>
  <c r="F79" i="1" s="1"/>
  <c r="K78" i="4"/>
  <c r="F78" i="1" s="1"/>
  <c r="K76" i="4"/>
  <c r="F76" i="1" s="1"/>
  <c r="K75" i="4"/>
  <c r="F75" i="1" s="1"/>
  <c r="K73" i="4"/>
  <c r="F73" i="1" s="1"/>
  <c r="K72" i="4"/>
  <c r="F72" i="1" s="1"/>
  <c r="K71" i="4"/>
  <c r="F71" i="1" s="1"/>
  <c r="K70" i="4"/>
  <c r="F70" i="1" s="1"/>
  <c r="K68" i="4"/>
  <c r="F68" i="1" s="1"/>
  <c r="K66" i="4"/>
  <c r="F66" i="1" s="1"/>
  <c r="K65" i="4"/>
  <c r="F65" i="1" s="1"/>
  <c r="K64" i="4"/>
  <c r="F64" i="1" s="1"/>
  <c r="K62" i="4"/>
  <c r="F62" i="1" s="1"/>
  <c r="K60" i="4"/>
  <c r="F60" i="1" s="1"/>
  <c r="K59" i="4"/>
  <c r="F59" i="1" s="1"/>
  <c r="K58" i="4"/>
  <c r="F58" i="1" s="1"/>
  <c r="K57" i="4"/>
  <c r="F57" i="1" s="1"/>
  <c r="K55" i="4"/>
  <c r="F55" i="1" s="1"/>
  <c r="K53" i="4"/>
  <c r="F53" i="1" s="1"/>
  <c r="K51" i="4"/>
  <c r="F51" i="1" s="1"/>
  <c r="K50" i="4"/>
  <c r="F50" i="1" s="1"/>
  <c r="K48" i="4"/>
  <c r="F48" i="1" s="1"/>
  <c r="K47" i="4"/>
  <c r="F47" i="1" s="1"/>
  <c r="K45" i="4"/>
  <c r="F45" i="1" s="1"/>
  <c r="K44" i="4"/>
  <c r="F44" i="1" s="1"/>
  <c r="K42" i="4"/>
  <c r="F42" i="1" s="1"/>
  <c r="K41" i="4"/>
  <c r="F41" i="1" s="1"/>
  <c r="K40" i="4"/>
  <c r="F40" i="1" s="1"/>
  <c r="K38" i="4"/>
  <c r="F38" i="1" s="1"/>
  <c r="K37" i="4"/>
  <c r="F37" i="1" s="1"/>
  <c r="K35" i="4"/>
  <c r="F35" i="1" s="1"/>
  <c r="K34" i="4"/>
  <c r="F34" i="1" s="1"/>
  <c r="K32" i="4"/>
  <c r="F32" i="1" s="1"/>
  <c r="K31" i="4"/>
  <c r="F31" i="1" s="1"/>
  <c r="K30" i="4"/>
  <c r="F30" i="1" s="1"/>
  <c r="K29" i="4"/>
  <c r="F29" i="1" s="1"/>
  <c r="K28" i="4"/>
  <c r="F28" i="1" s="1"/>
  <c r="K27" i="4"/>
  <c r="F27" i="1" s="1"/>
  <c r="K25" i="4"/>
  <c r="F25" i="1" s="1"/>
  <c r="K24" i="4"/>
  <c r="F24" i="1" s="1"/>
  <c r="K23" i="4"/>
  <c r="F23" i="1" s="1"/>
  <c r="K22" i="4"/>
  <c r="F22" i="1" s="1"/>
  <c r="K20" i="4"/>
  <c r="F20" i="1" s="1"/>
  <c r="K18" i="4"/>
  <c r="F18" i="1" s="1"/>
  <c r="K17" i="4"/>
  <c r="F17" i="1" s="1"/>
  <c r="K15" i="4"/>
  <c r="F15" i="1" s="1"/>
  <c r="K14" i="4"/>
  <c r="F14" i="1" s="1"/>
  <c r="K12" i="4"/>
  <c r="F12" i="1" s="1"/>
  <c r="K11" i="4"/>
  <c r="F11" i="1" s="1"/>
  <c r="K10" i="4"/>
  <c r="F10" i="1" s="1"/>
  <c r="K9" i="4"/>
  <c r="F9" i="1" s="1"/>
  <c r="K8" i="4"/>
  <c r="K88" i="3"/>
  <c r="E88" i="1" s="1"/>
  <c r="K86" i="3"/>
  <c r="E86" i="1" s="1"/>
  <c r="K85" i="3"/>
  <c r="E85" i="1" s="1"/>
  <c r="K84" i="3"/>
  <c r="E84" i="1" s="1"/>
  <c r="K83" i="3"/>
  <c r="E83" i="1" s="1"/>
  <c r="K82" i="3"/>
  <c r="E82" i="1" s="1"/>
  <c r="K81" i="3"/>
  <c r="E81" i="1" s="1"/>
  <c r="K80" i="3"/>
  <c r="E80" i="1" s="1"/>
  <c r="K79" i="3"/>
  <c r="E79" i="1" s="1"/>
  <c r="K78" i="3"/>
  <c r="E78" i="1" s="1"/>
  <c r="K76" i="3"/>
  <c r="E76" i="1" s="1"/>
  <c r="K75" i="3"/>
  <c r="E75" i="1" s="1"/>
  <c r="K73" i="3"/>
  <c r="E73" i="1" s="1"/>
  <c r="K72" i="3"/>
  <c r="E72" i="1" s="1"/>
  <c r="K71" i="3"/>
  <c r="E71" i="1" s="1"/>
  <c r="K70" i="3"/>
  <c r="E70" i="1" s="1"/>
  <c r="K68" i="3"/>
  <c r="E68" i="1" s="1"/>
  <c r="K66" i="3"/>
  <c r="E66" i="1" s="1"/>
  <c r="K65" i="3"/>
  <c r="E65" i="1" s="1"/>
  <c r="K64" i="3"/>
  <c r="E64" i="1" s="1"/>
  <c r="K62" i="3"/>
  <c r="E62" i="1" s="1"/>
  <c r="K60" i="3"/>
  <c r="E60" i="1" s="1"/>
  <c r="K59" i="3"/>
  <c r="E59" i="1" s="1"/>
  <c r="K58" i="3"/>
  <c r="E58" i="1" s="1"/>
  <c r="K57" i="3"/>
  <c r="E57" i="1" s="1"/>
  <c r="K55" i="3"/>
  <c r="E55" i="1" s="1"/>
  <c r="K53" i="3"/>
  <c r="E53" i="1" s="1"/>
  <c r="K51" i="3"/>
  <c r="E51" i="1" s="1"/>
  <c r="K50" i="3"/>
  <c r="E50" i="1" s="1"/>
  <c r="K48" i="3"/>
  <c r="E48" i="1" s="1"/>
  <c r="K47" i="3"/>
  <c r="E47" i="1" s="1"/>
  <c r="K45" i="3"/>
  <c r="E45" i="1" s="1"/>
  <c r="K44" i="3"/>
  <c r="E44" i="1" s="1"/>
  <c r="K42" i="3"/>
  <c r="E42" i="1" s="1"/>
  <c r="K41" i="3"/>
  <c r="E41" i="1" s="1"/>
  <c r="K40" i="3"/>
  <c r="E40" i="1" s="1"/>
  <c r="K38" i="3"/>
  <c r="E38" i="1" s="1"/>
  <c r="K37" i="3"/>
  <c r="E37" i="1" s="1"/>
  <c r="K35" i="3"/>
  <c r="E35" i="1" s="1"/>
  <c r="K34" i="3"/>
  <c r="E34" i="1" s="1"/>
  <c r="K32" i="3"/>
  <c r="E32" i="1" s="1"/>
  <c r="K31" i="3"/>
  <c r="E31" i="1" s="1"/>
  <c r="K30" i="3"/>
  <c r="E30" i="1" s="1"/>
  <c r="K29" i="3"/>
  <c r="E29" i="1" s="1"/>
  <c r="K28" i="3"/>
  <c r="E28" i="1" s="1"/>
  <c r="K27" i="3"/>
  <c r="E27" i="1" s="1"/>
  <c r="K25" i="3"/>
  <c r="E25" i="1" s="1"/>
  <c r="K24" i="3"/>
  <c r="E24" i="1" s="1"/>
  <c r="K23" i="3"/>
  <c r="E23" i="1" s="1"/>
  <c r="K22" i="3"/>
  <c r="E22" i="1" s="1"/>
  <c r="K20" i="3"/>
  <c r="E20" i="1" s="1"/>
  <c r="K18" i="3"/>
  <c r="E18" i="1" s="1"/>
  <c r="K17" i="3"/>
  <c r="E17" i="1" s="1"/>
  <c r="K15" i="3"/>
  <c r="E15" i="1" s="1"/>
  <c r="K14" i="3"/>
  <c r="E14" i="1" s="1"/>
  <c r="K12" i="3"/>
  <c r="E12" i="1" s="1"/>
  <c r="K11" i="3"/>
  <c r="E11" i="1" s="1"/>
  <c r="K10" i="3"/>
  <c r="E10" i="1" s="1"/>
  <c r="K9" i="3"/>
  <c r="E9" i="1" s="1"/>
  <c r="K8" i="3"/>
  <c r="K88" i="2" l="1"/>
  <c r="D88" i="1" s="1"/>
  <c r="AG88" i="1" s="1"/>
  <c r="K86" i="2"/>
  <c r="D86" i="1" s="1"/>
  <c r="AG86" i="1" s="1"/>
  <c r="K85" i="2"/>
  <c r="D85" i="1" s="1"/>
  <c r="AG85" i="1" s="1"/>
  <c r="K84" i="2"/>
  <c r="D84" i="1" s="1"/>
  <c r="AG84" i="1" s="1"/>
  <c r="K83" i="2"/>
  <c r="D83" i="1" s="1"/>
  <c r="AG83" i="1" s="1"/>
  <c r="K82" i="2"/>
  <c r="D82" i="1" s="1"/>
  <c r="AG82" i="1" s="1"/>
  <c r="K81" i="2"/>
  <c r="D81" i="1" s="1"/>
  <c r="AG81" i="1" s="1"/>
  <c r="K80" i="2"/>
  <c r="D80" i="1" s="1"/>
  <c r="AG80" i="1" s="1"/>
  <c r="K79" i="2"/>
  <c r="D79" i="1" s="1"/>
  <c r="AG79" i="1" s="1"/>
  <c r="K78" i="2"/>
  <c r="D78" i="1" s="1"/>
  <c r="AG78" i="1" s="1"/>
  <c r="K76" i="2"/>
  <c r="D76" i="1" s="1"/>
  <c r="AG76" i="1" s="1"/>
  <c r="K75" i="2"/>
  <c r="D75" i="1" s="1"/>
  <c r="AG75" i="1" s="1"/>
  <c r="K73" i="2"/>
  <c r="D73" i="1" s="1"/>
  <c r="AG73" i="1" s="1"/>
  <c r="K72" i="2"/>
  <c r="D72" i="1" s="1"/>
  <c r="AG72" i="1" s="1"/>
  <c r="K71" i="2"/>
  <c r="D71" i="1" s="1"/>
  <c r="AG71" i="1" s="1"/>
  <c r="K70" i="2"/>
  <c r="D70" i="1" s="1"/>
  <c r="AG70" i="1" s="1"/>
  <c r="K68" i="2"/>
  <c r="D68" i="1" s="1"/>
  <c r="AG68" i="1" s="1"/>
  <c r="K66" i="2"/>
  <c r="D66" i="1" s="1"/>
  <c r="AG66" i="1" s="1"/>
  <c r="K65" i="2"/>
  <c r="D65" i="1" s="1"/>
  <c r="AG65" i="1" s="1"/>
  <c r="K64" i="2"/>
  <c r="D64" i="1" s="1"/>
  <c r="AG64" i="1" s="1"/>
  <c r="K62" i="2"/>
  <c r="D62" i="1" s="1"/>
  <c r="AG62" i="1" s="1"/>
  <c r="K60" i="2"/>
  <c r="D60" i="1" s="1"/>
  <c r="AG60" i="1" s="1"/>
  <c r="K59" i="2"/>
  <c r="D59" i="1" s="1"/>
  <c r="AG59" i="1" s="1"/>
  <c r="K58" i="2"/>
  <c r="D58" i="1" s="1"/>
  <c r="AG58" i="1" s="1"/>
  <c r="K57" i="2"/>
  <c r="D57" i="1" s="1"/>
  <c r="AG57" i="1" s="1"/>
  <c r="K55" i="2"/>
  <c r="D55" i="1" s="1"/>
  <c r="AG55" i="1" s="1"/>
  <c r="K53" i="2"/>
  <c r="D53" i="1" s="1"/>
  <c r="AG53" i="1" s="1"/>
  <c r="K51" i="2"/>
  <c r="D51" i="1" s="1"/>
  <c r="AG51" i="1" s="1"/>
  <c r="K50" i="2"/>
  <c r="D50" i="1" s="1"/>
  <c r="AG50" i="1" s="1"/>
  <c r="K48" i="2"/>
  <c r="D48" i="1" s="1"/>
  <c r="AG48" i="1" s="1"/>
  <c r="K47" i="2"/>
  <c r="D47" i="1" s="1"/>
  <c r="AG47" i="1" s="1"/>
  <c r="K45" i="2"/>
  <c r="D45" i="1" s="1"/>
  <c r="AG45" i="1" s="1"/>
  <c r="K44" i="2"/>
  <c r="D44" i="1" s="1"/>
  <c r="AG44" i="1" s="1"/>
  <c r="K42" i="2"/>
  <c r="D42" i="1" s="1"/>
  <c r="AG42" i="1" s="1"/>
  <c r="K41" i="2"/>
  <c r="D41" i="1" s="1"/>
  <c r="AG41" i="1" s="1"/>
  <c r="K40" i="2"/>
  <c r="D40" i="1" s="1"/>
  <c r="AG40" i="1" s="1"/>
  <c r="K38" i="2"/>
  <c r="D38" i="1" s="1"/>
  <c r="AG38" i="1" s="1"/>
  <c r="K37" i="2"/>
  <c r="D37" i="1" s="1"/>
  <c r="AG37" i="1" s="1"/>
  <c r="K35" i="2"/>
  <c r="D35" i="1" s="1"/>
  <c r="AG35" i="1" s="1"/>
  <c r="K34" i="2"/>
  <c r="D34" i="1" s="1"/>
  <c r="AG34" i="1" s="1"/>
  <c r="K32" i="2"/>
  <c r="D32" i="1" s="1"/>
  <c r="AG32" i="1" s="1"/>
  <c r="K31" i="2"/>
  <c r="D31" i="1" s="1"/>
  <c r="AG31" i="1" s="1"/>
  <c r="K30" i="2"/>
  <c r="D30" i="1" s="1"/>
  <c r="AG30" i="1" s="1"/>
  <c r="K29" i="2"/>
  <c r="D29" i="1" s="1"/>
  <c r="AG29" i="1" s="1"/>
  <c r="K28" i="2"/>
  <c r="D28" i="1" s="1"/>
  <c r="AG28" i="1" s="1"/>
  <c r="K27" i="2"/>
  <c r="D27" i="1" s="1"/>
  <c r="AG27" i="1" s="1"/>
  <c r="K25" i="2"/>
  <c r="D25" i="1" s="1"/>
  <c r="AG25" i="1" s="1"/>
  <c r="K24" i="2"/>
  <c r="D24" i="1" s="1"/>
  <c r="AG24" i="1" s="1"/>
  <c r="K23" i="2"/>
  <c r="D23" i="1" s="1"/>
  <c r="AG23" i="1" s="1"/>
  <c r="K22" i="2"/>
  <c r="D22" i="1" s="1"/>
  <c r="AG22" i="1" s="1"/>
  <c r="K20" i="2"/>
  <c r="D20" i="1" s="1"/>
  <c r="AG20" i="1" s="1"/>
  <c r="K18" i="2"/>
  <c r="D18" i="1" s="1"/>
  <c r="AG18" i="1" s="1"/>
  <c r="K17" i="2"/>
  <c r="D17" i="1" s="1"/>
  <c r="AG17" i="1" s="1"/>
  <c r="K15" i="2"/>
  <c r="D15" i="1" s="1"/>
  <c r="AG15" i="1" s="1"/>
  <c r="K14" i="2"/>
  <c r="D14" i="1" s="1"/>
  <c r="AG14" i="1" s="1"/>
  <c r="K12" i="2"/>
  <c r="D12" i="1" s="1"/>
  <c r="AG12" i="1" s="1"/>
  <c r="K11" i="2"/>
  <c r="D11" i="1" s="1"/>
  <c r="AG11" i="1" s="1"/>
  <c r="K10" i="2"/>
  <c r="D10" i="1" s="1"/>
  <c r="AG10" i="1" s="1"/>
  <c r="K9" i="2"/>
  <c r="D9" i="1" s="1"/>
  <c r="AG9" i="1" s="1"/>
  <c r="K8" i="2"/>
  <c r="AE8" i="1" l="1"/>
  <c r="G8" i="1" l="1"/>
  <c r="F8" i="1"/>
  <c r="E8" i="1"/>
  <c r="D8" i="1"/>
  <c r="AG8" i="1" s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77315835-BDCD-4F24-AC7A-F43443D491A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0E47674-F310-43E4-988E-B697232AAB2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F775AA8-406A-4E18-8048-C60996E199A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69D7499-894D-41A1-92DD-F934FE19A97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AC9AE42-3453-45EE-94AC-452C49A616B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694ADC6-9EB0-471F-A5AE-689ED369FC3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537010C-D4E2-4CF1-9379-4EAE86C87AC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3EC6DA2-B621-4714-B204-B39BCE5D7CD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C72F4A7-1F94-4E21-BC46-FFC0A2EE367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219A46C-A42A-4727-BF30-FB7AB3AE328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3695A95-6F13-4997-A8FE-BA672168589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6A09DA1-D9FD-4648-A6DB-3C7707241A4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E83B12B-A0BE-4556-AB41-A85872C314B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7B969B7-B9E8-4447-9489-9AA71C4BAAD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0E1BC9D-4B30-4E14-A3AD-F3D711B16F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9D36211-81D4-44C9-B115-401288A8E2E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CA02308-318D-4FAA-B48B-AF50FBD647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FEDA58C-7271-4284-AFDB-85B287D2D3B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210D227-1101-495B-8F7A-7E11F219C83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197DC5C-D4A3-46FC-83F0-C8F6F4087FA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C8FB823-0723-49F2-A2F4-1759851996A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56E9D12-B8B1-43BC-A3DC-15DC58F7BBD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3516E98-758F-4FC1-80BE-6DD11A57EB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7075587-A333-419E-9F56-0D3801320B7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8C26539-AD29-4FB1-A4CB-B8BF1D34A5A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85F2E88-1E01-490D-8CB7-F1D3D09B57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3FF0E39-96F6-4A7A-B668-C9E0C8B6F0E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A8BC71ED-D14D-47AF-9227-52012A18204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A511A7D-39CD-49B9-8DF6-E71BB96DA22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D8A3CD0-895E-4706-B49C-049A22ABFCE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EB28B66-F2AF-4F88-9FE7-A7623794F42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B3C030C-08F7-4106-9786-5274181732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D3E5D6A-5B3F-46C8-B7D3-2C164A2B9F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2EB68F3-E42C-4AC8-83B0-A546649F34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158BE94-B136-4949-B48F-60A27DF1BC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A9B389B-FDC0-49C7-A03B-F3025A8F907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A7C2703-FD30-4679-936D-C3B14C80CCF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DCAD120-573E-47D1-AC87-32AD4995CD5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57B1B53-FA61-4E01-B29C-AFC69ED6A82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DC8554A-5D80-4DC7-8460-51A87CE6428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929DE94-1BB6-44FD-9508-F94BEBE9D9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042BA7F-9DBE-4FC4-A7FF-A1227FB2B3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3D66812-38DA-47E8-8CD1-10136280065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A4F7606-7D56-4341-9923-7D14B36C85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59F1ECE-6770-4A54-8340-A0E13B468A6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AFF4D13-6205-4FC4-9111-6CC04487A86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87B5FC7-ED3E-4A09-9336-D2A08F81978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2CA1170-FBB1-4387-A539-4A117271437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2C3B093-E961-49AE-BAC5-75F6323088F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EAD8F67-2F9E-480E-B22C-A0F1A11123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A734751-7694-4AF5-B5D7-FF69B2B51CD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612F9F1-5C85-4AA2-93E5-20CA0023F40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718E5A3-0533-4F3C-A465-D5C66E0B937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9B58A51-6E4F-4968-8EED-2275FF8069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4C46201-B2EB-4D63-96C5-CDF892057E1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424533A-7492-421F-93C0-89AC937803D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4CDF127-4398-44AE-8003-D483BAB5228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6FBD0D8-4F34-4394-815C-B49AC431BBF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7D04363-BC92-4C20-ADBE-DD816F146F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3DA91AF-3929-4274-ADAE-E207964CF16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2695207-0D10-4748-98C3-A002DBFB5AB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ABF5E67-903C-4C1B-82B7-261B22DDD52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583308B-5841-479B-9B00-4251372AE9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AA3196B-D9A8-442C-9CB8-B7A76389A92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B6B1269-7140-4937-AAA3-92C7356E3B3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D1EF480-1267-4021-AE31-722B2F9F763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5D5196A-CC41-4D18-840E-304BBB66128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8ED0CEE-C26F-4CED-BCB4-B825A5CB09C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2FBD1B8-1139-48BD-87C0-8D453B17BF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EE50097-2DC7-4FCD-BD78-C3CB76F8D9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FBC87DC-4CAD-4376-A6F1-051B7E93B6E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2430B63-5370-4031-B95E-F0DC9CB2613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F34A66D-6351-4D57-9966-905D5466365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62A7524-F796-4305-AA45-7E8FB21B4E2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B6933F0-432B-492F-B9BE-03B94EBBC1E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47958CF-3A00-4A0B-96C2-8FD4D3F68FB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E18B5F0-8B76-43E1-9CC1-7B6B234AD5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4CE6A10-0C27-4768-8D3C-F52CFD356F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44A870B-7782-4881-9E58-875BBCAF1E3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B95AE0E-F57A-4B64-927C-6297C9B17F5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DCD7491-5954-4126-8E9F-C658BC0CD79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52B0475-2D19-4D95-AF01-DEAAD1E6D5A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1A6C4FC-98CF-4364-8F19-0B258CEA019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AC556CF-098D-4732-817B-96D279DBC37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29CDF8F-1B5F-4AA7-BDA7-24D1C84D600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BF7D985-1401-48CB-AADB-2387BB402D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9EE232E-73D8-4FDD-BC1D-8C35DBABA2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68554A3-5196-4841-9261-249D1F2255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93CEF37-A45B-43A8-9B84-EA31A7D6F8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C36C172-198F-4742-AF62-B953E31806F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6D7A3FA-5D29-4838-950F-232AF3D386B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433C8E2-2DFE-4A62-9729-DFC0D289510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EE302FF-CD62-4CD7-89EF-A224DECBE09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ABF2284-99E0-41F2-B8A9-5759755992D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FD48568-972F-4FA1-995B-717A4B71F0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5B6CEE5-DED9-429F-931D-1B6533240BD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0A76EB4-244C-429F-BADC-35BDFDD0705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A9F53DA-FC4B-4D83-93CF-92A86247957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2E1DFFB-6960-424B-B192-EF7EE2DFAA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0A78B1C-FB86-4EF9-A5AA-1E069AB8C6A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700D03A-76BF-4FC8-98D5-D5F99D8D314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8BA0D10-36D7-4FDB-9EA3-770E251AA51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ABF2843-07EE-4F8D-813C-B0CAB670195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8AF2FB2-7019-4A6F-B8EC-B77754E3442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BBF1976-19FC-4857-BE26-FBA6346FB6B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92D3E7E-F7DA-4233-A58C-59CC8F5F3F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BC7ED1D-33CC-418E-B00F-1DEF05FD07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799C414-874A-46B2-827D-6BFFE1C55D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6C932C3-66DF-490C-86A9-811F7228AA5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FD76C86-C226-4E16-ADBD-502F5C72300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13742C0-01E8-4E1C-8B63-500F35126C1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748E21D-AABA-47F1-9154-51DDAE380D5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75623CC-51D5-4BB0-A3D4-9D63EC26487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94549D2-E415-483B-96EF-045C01CA15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257CB7C-CE1C-48DE-B0A2-98B0742477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705A352-9D10-4DEE-89B1-F3AA82866A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CD59D1C-B1DF-4D3A-AF73-9B8140E4D08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CADFBDC-A8B1-4E03-844C-D0EF1051C8B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750E81E-4D7B-4B34-B0F2-EB46DEA4D58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EA009F4-CE03-4E7E-A758-85D117E7570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5DC5C59-50F2-456D-A98A-1BD21BABE13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17A3E93-3768-4A6B-8613-23430D2CAD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3E3A9B2-173A-4FE4-9E59-60A0D6A01F7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520F4B7-8D9D-4C8B-9403-38070C2EA94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3EF0A24-BD3C-43A9-B8F3-37FE76A87F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68E8096-8A94-434F-B398-BC206C5B40F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174AE5F-865E-424C-B3B3-5898E1B4B2D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56FEFDAC-2F1A-40E9-85CE-3D091EECC0D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2DDD670-C6D3-40A5-95A5-9790620C0B9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9FD84B6-F505-4903-B7D8-EB520F5DA6F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ECDF58B-95BE-4247-A782-BE8EF8A74B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0055B56-4783-4A44-9CF8-37AE6645C5D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93903AF-98E5-4BD8-B99C-6C5E0DDD967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C9CEBA3-F76B-4D50-9759-2B2BB0B181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FC80388-A6CE-4764-88AF-8CAE727D58A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B2F6FED-666D-49D5-9433-094F8095E4A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7F1DB97-B525-4446-96DF-33286F176B4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ED4C078-C900-4614-A91B-81EC4F38914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36BB180-A97F-4D81-A81E-68C9D6F63A1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F50E928-242A-4F63-91C3-E9134D2C583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C10E791-697E-4CCE-B67B-7F09765BF1E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A9990DA-1B1F-400F-B63B-B6BDC3D32B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381F66A-A7EA-4485-9A40-62BA285E25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B99851A-6A3F-4788-990C-ED281DC561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4628C06-8692-40DE-8955-2D8490CFCD5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965ACF8-A08A-4D5A-A838-D951D97D2B8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73215B0-8513-4DF5-9E50-FCA329A9D39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0013087-13EF-4B9A-A372-472166DDEE5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4F3252C-A523-40BF-B07E-CFAC4D2797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42A0ED1-B6B8-4D65-9AF4-E1B9AC70F7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2C19CF7-DB63-4250-8717-D24AEC9743E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39D4364-747F-40C4-8762-2D3B31234BD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E4E9DCF-6851-4C5A-916F-31B65D4347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A9AE78B-F36B-4BF6-9CDC-97E6A732484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3D1EE26-C420-4C08-AD7D-81CF2CE78C6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BA26B82-BDDB-416B-80B8-786035367A1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10CA8BC-2025-48D6-9E15-DCC3FCB5B25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A1B5D2A-F344-489E-BFEA-3B7E471BEC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0D1D3C8-A552-472D-83D3-B22D32C59DC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32658F4-E48F-4EC3-9752-4EE39682DB2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E8FF200-DD7D-46E7-A315-DD48582813F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6E321B1-C764-4D98-B2C9-3928B238CCF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7C65386-BA6A-4F9A-AABA-045B4CB2D88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8EB4773-F076-4539-8ED6-974582DCF3A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B99BD4B-73BC-4E64-9889-15FCAAE921F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2D0D567-E51D-4BEE-9170-287112AB29B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B317D93-231F-44E1-9E09-54BF1463B9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EAE0454-0F31-4B26-8EBB-08395996F3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18F0881-22B8-4BB7-9985-57B30E3611C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3B13FA2-B3EC-4B0E-87E8-7A86D8A0F02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5E49108-7235-414A-8808-F79B6D430F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AAF518D-5BDE-4142-A04E-5B7FE96E2CE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B3F60DB-8679-4E59-8911-9F684FCD6D4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0E4EEB9-044C-4294-9F1A-F3250965353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7E35A71-890D-4350-8384-65DED357361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B36D294-33A8-402F-A8F3-EC255CA6CA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4834543-BDD5-4A5E-8790-0073F39259C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8979D91-3888-418F-97AA-1AB1F5A1E4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5207145-F030-4A21-903B-808B5868D2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0022085-483F-42EF-AE89-ACBAE4AA28A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2031937-DBA5-4CD7-B7C7-CFD8EB7FE57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81F0F7C-F7B3-4B00-8667-D3B11F7FD67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5F25C28-08FA-4ABD-AE6E-D99040289E4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A6E94B9-E88F-4F5E-814B-D76F96A56BC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6888657-E482-44D0-8395-DC8CBB1C621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63BE4B1-225B-4B25-A22D-C99699C0A7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89C4728-35B7-4FDC-9483-5F123053982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A971F97-89B0-43E5-BF79-E3E392F6C9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EBEB6F8-696B-400C-A23A-7CB9567473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FEC9634-3E61-491C-9657-1D7E7B857BA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449FE58-0C45-4F2C-82EA-1C4906A2C68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5D21CCA-EE17-4DC1-B442-2149896540A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2B40B15-0E97-4721-A7D2-94A611DAFC7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F109172-852A-44C8-B38B-1A853096B4C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EA16CB5-31E5-4609-8F54-CDE3AD95A21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0CF3926-B3AE-422D-A710-319C093F992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F58FE93-EC02-4F43-A1D7-6D72E6A9D2B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2C9FEF3-DAD9-4CFA-A447-0EB180DC0A7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9232078-BFE2-4BFB-906D-98721DF5FFC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EA43800-90A9-4BCB-B06C-70B3C3B8351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27CDEB8-4FE3-4AC4-9936-042597CAD9B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384F515-8E1D-483A-9137-FF432C34B14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D5B004B-8A8F-4021-9980-D5E4AC5C4A8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AC9F15E-88D8-4F9D-BCC6-3D24C95693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02A07F2-7F8E-40B9-B019-11167C4E3C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5ADD78D-E1E9-49C7-B14B-8C43082269D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9EAE418-503C-4CB1-A963-FD9634D41F8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D2F58BF-8BFE-469C-B0D0-AD8099E0860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8806353-0521-4990-B7C7-06B8F4C9814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0824E28-5CBA-4E06-AB5F-ED5AEC740A2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8A0FE3E-4D2E-4400-9061-31B0E7702F1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51838AF-5250-43B6-B42C-AFEB2631C8D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0FDD22D-DED7-49B1-82DF-D57242D4CC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55B7126-C014-4A7F-9CC8-789869EAD27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440708B-FFD4-48CE-ADAB-5044383AEF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44C1CFB-FA20-4AC7-8B9E-06B6DA546F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359C9CA-7E88-4658-A675-EC0BAECE1E6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35417B9-4B24-464B-9030-D847B5643B7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C2E9D46-A5C1-473B-A47D-2D54D872AE6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80C2BD9-CECD-4BC2-8986-3CE52EBFCCF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A73F6A3-99E9-48FA-AD6D-95FC5A81319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C71AA66-5367-4903-97D8-0A0CC8ADCF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904B75C-12C0-43F4-9E36-79360F0C921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412539F-FEEC-4A75-AD07-092D1CD638E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C23E7F6-3422-4A52-84C4-83D70CD73A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7A121CA-7448-455B-B548-0753E822AE6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E043008-C002-46C4-BE96-CFA711C55AD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DBB6A98-9290-41EE-A623-A29D64DB129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50847B1-1171-47EF-8D13-05470B41494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8466C0E-D531-4C59-9530-89E206186B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9DDA0E0-37DA-416C-8D38-F9F6A7216A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4B973EA-69AA-4B5F-844E-364BE176BC5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AA1E639-C8B3-47E9-8681-3A54C03765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72002C0-2D59-4A05-AF37-9131646953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056FB43-02F7-45DC-B899-02FF45916BE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<sst xmlns="http://schemas.openxmlformats.org/spreadsheetml/2006/main" count="6595" uniqueCount="146">
  <si>
    <t>LAPORAN HARGA BAHAN POKOK DI KOTA SURABAYA</t>
  </si>
  <si>
    <t xml:space="preserve"> </t>
  </si>
  <si>
    <t>NAMA BAHAN POKOK DAN PENTING LAINNYA</t>
  </si>
  <si>
    <t>SAT</t>
  </si>
  <si>
    <t>BERAS</t>
  </si>
  <si>
    <t>Kg</t>
  </si>
  <si>
    <t>- Beras Jagung</t>
  </si>
  <si>
    <t>- Beras Ketan (Jenis Siyem)</t>
  </si>
  <si>
    <t>GULA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</si>
  <si>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</si>
  <si>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</si>
  <si>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</si>
  <si>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</si>
  <si>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</si>
  <si>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</si>
  <si>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</si>
  <si>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</si>
  <si>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</si>
  <si>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</si>
  <si>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</si>
  <si>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</si>
  <si>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</si>
  <si>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</si>
  <si>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</si>
  <si>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</si>
  <si>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</si>
  <si>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</si>
  <si>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</si>
  <si>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</si>
  <si>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</si>
  <si>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</si>
  <si>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</si>
  <si>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</si>
  <si>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</si>
  <si>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</si>
  <si>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</si>
  <si>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</si>
  <si>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</si>
  <si>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</si>
  <si>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</si>
  <si>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</si>
  <si>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</si>
  <si>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</si>
  <si>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</si>
  <si>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</si>
  <si>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</si>
  <si>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</si>
  <si>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</si>
  <si>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</si>
  <si>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</si>
  <si>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</si>
  <si>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</si>
  <si>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</si>
  <si>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</si>
  <si>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</si>
  <si>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</si>
  <si>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</si>
  <si>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</si>
  <si>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</si>
  <si>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</si>
  <si>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</si>
  <si>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</si>
  <si>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</si>
  <si>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</si>
  <si>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</si>
  <si>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</si>
  <si>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</si>
  <si>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</si>
  <si>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</si>
  <si>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</si>
  <si>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</si>
  <si>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</si>
  <si>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</si>
  <si>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</si>
  <si>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</si>
  <si>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</si>
  <si>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</si>
  <si>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</si>
  <si>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</si>
  <si>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</si>
  <si>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</si>
  <si>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</si>
  <si>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</si>
  <si>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</si>
  <si>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</si>
  <si>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</si>
  <si>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</si>
  <si>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</si>
  <si>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</si>
  <si>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</si>
  <si>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</si>
  <si>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</si>
  <si>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</si>
  <si>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</si>
  <si>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</si>
  <si>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</si>
  <si>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</si>
  <si>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</si>
  <si>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</si>
  <si>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FLUKTUASI</t>
  </si>
  <si>
    <t>BAGIAN PEREKONOMIAN DAN SUMBER DAYA ALAM</t>
  </si>
  <si>
    <t>HET/HAPK (Harga Eceran Tertinggi)</t>
  </si>
  <si>
    <t>HARI / TANGGAL :  Sabtu  /  01 April  2023</t>
  </si>
  <si>
    <t>- Beras Premium</t>
  </si>
  <si>
    <t>- Beras Medium Bulog</t>
  </si>
  <si>
    <t>- Beras Medium</t>
  </si>
  <si>
    <t>- Gula pasir lokal curah</t>
  </si>
  <si>
    <t>- Minyak Kita</t>
  </si>
  <si>
    <t>Liter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</si>
  <si>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</si>
  <si>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</si>
  <si>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</si>
  <si>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</si>
  <si>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</si>
  <si>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</si>
  <si>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</si>
  <si>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</si>
  <si>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HARI / TANGGAL :  Minggu  /  02 April  2023</t>
  </si>
  <si>
    <t>HARI / TANGGAL :  Senin  /  03  April  2023</t>
  </si>
  <si>
    <t>HARI / TANGGAL :  Selasa  /  04  April  2023</t>
  </si>
  <si>
    <t>HARI / TANGGAL :  Rabu  /  05 April  2023</t>
  </si>
  <si>
    <t>HARI / TANGGAL :  Kamis  /  06 April  2023</t>
  </si>
  <si>
    <t>HARI / TANGGAL :  Jumat  /  07 April  2023</t>
  </si>
  <si>
    <t>HARI / TANGGAL :  Sabtu   /  08  April  2023</t>
  </si>
  <si>
    <t>HARI / TANGGAL :  Minggu  /  09  April  2023</t>
  </si>
  <si>
    <t>HARI / TANGGAL :  Senin  /  10 April  2023</t>
  </si>
  <si>
    <t>HARI / TANGGAL :  Selasa  /  11 April  2023</t>
  </si>
  <si>
    <t>HARI / TANGGAL :  Rabu  /  12  April  2023</t>
  </si>
  <si>
    <t>HARI / TANGGAL :  Kamis  /  13  April  2023</t>
  </si>
  <si>
    <t>HARI / TANGGAL :  Jumat  /  14  April  2023</t>
  </si>
  <si>
    <t>HARI / TANGGAL :  Sabtu   /  15  April  2023</t>
  </si>
  <si>
    <t>HARI / TANGGAL :  Minggu   /  16  April  2023</t>
  </si>
  <si>
    <t>HARI / TANGGAL :  Senin   /  17  April  2023</t>
  </si>
  <si>
    <t>HARI / TANGGAL :  Selasa   /  18  April  2023</t>
  </si>
  <si>
    <t>HARI / TANGGAL :  Rabu   /  19  April  2023</t>
  </si>
  <si>
    <t>HARI / TANGGAL :  Kamis   /  20  April  2023</t>
  </si>
  <si>
    <t>HARI / TANGGAL :  Jumat   /  21  April  2023</t>
  </si>
  <si>
    <t>HARI / TANGGAL :  Senin   /  24  April  2023</t>
  </si>
  <si>
    <t>HARI / TANGGAL :  Selasa   /  25  April  2023</t>
  </si>
  <si>
    <t>HARI / TANGGAL :  Rabu  /  26  April  2023</t>
  </si>
  <si>
    <t>HARI / TANGGAL :  Kamis  /  27  April  2023</t>
  </si>
  <si>
    <t>HARI / TANGGAL :  Jumat  /  28  April  2023</t>
  </si>
  <si>
    <t>HARI / TANGGAL :  Minggu  /  30  April  2023</t>
  </si>
  <si>
    <t>390 Gr/Klg</t>
  </si>
  <si>
    <t>390 Gr/klg</t>
  </si>
  <si>
    <t>PERIODE APRIL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</si>
</sst>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4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0" fillId="0" borderId="0"/>
  </cellStyleXfs>
  <cellXfs count="190">
    <xf numFmtId="0" fontId="0" fillId="0" borderId="0" xfId="0"/>
    <xf numFmtId="164" fontId="0" fillId="0" borderId="0" xfId="0" applyNumberFormat="1"/>
    <xf numFmtId="0" fontId="0" fillId="2" borderId="0" xfId="0" applyFill="1"/>
    <xf numFmtId="0" fontId="8" fillId="0" borderId="0" xfId="0" applyFont="1"/>
    <xf numFmtId="0" fontId="0" fillId="6" borderId="0" xfId="0" applyFill="1"/>
    <xf numFmtId="0" fontId="10" fillId="0" borderId="0" xfId="0" applyFont="1"/>
    <xf numFmtId="0" fontId="3" fillId="3" borderId="4" xfId="1" applyFont="1" applyFill="1" applyBorder="1" applyAlignment="1">
      <alignment vertical="center"/>
    </xf>
    <xf numFmtId="0" fontId="11" fillId="3" borderId="4" xfId="1" applyFont="1" applyFill="1" applyBorder="1" applyAlignment="1">
      <alignment vertical="center"/>
    </xf>
    <xf numFmtId="0" fontId="12" fillId="0" borderId="21" xfId="1" applyFont="1" applyBorder="1" applyAlignment="1">
      <alignment vertical="center"/>
    </xf>
    <xf numFmtId="0" fontId="11" fillId="0" borderId="22" xfId="1" applyFont="1" applyBorder="1" applyAlignment="1">
      <alignment vertical="center"/>
    </xf>
    <xf numFmtId="0" fontId="13" fillId="0" borderId="22" xfId="1" applyFont="1" applyBorder="1"/>
    <xf numFmtId="0" fontId="13" fillId="0" borderId="23" xfId="1" applyFont="1" applyBorder="1"/>
    <xf numFmtId="0" fontId="11" fillId="0" borderId="2" xfId="1" applyFont="1" applyBorder="1" applyAlignment="1">
      <alignment horizontal="center" vertical="top"/>
    </xf>
    <xf numFmtId="0" fontId="11" fillId="0" borderId="6" xfId="1" quotePrefix="1" applyFont="1" applyBorder="1" applyAlignment="1">
      <alignment vertical="center"/>
    </xf>
    <xf numFmtId="0" fontId="11" fillId="0" borderId="6" xfId="1" applyFont="1" applyBorder="1" applyAlignment="1">
      <alignment horizontal="center" vertical="center"/>
    </xf>
    <xf numFmtId="164" fontId="14" fillId="0" borderId="25" xfId="2" applyFont="1" applyFill="1" applyBorder="1" applyAlignment="1">
      <alignment vertical="center"/>
    </xf>
    <xf numFmtId="164" fontId="14" fillId="0" borderId="26" xfId="2" applyFont="1" applyFill="1" applyBorder="1" applyAlignment="1">
      <alignment vertical="center"/>
    </xf>
    <xf numFmtId="164" fontId="15" fillId="0" borderId="27" xfId="2" applyFont="1" applyBorder="1" applyAlignment="1">
      <alignment vertical="center"/>
    </xf>
    <xf numFmtId="164" fontId="10" fillId="0" borderId="0" xfId="0" applyNumberFormat="1" applyFont="1"/>
    <xf numFmtId="164" fontId="9" fillId="0" borderId="25" xfId="2" applyFont="1" applyFill="1" applyBorder="1" applyAlignment="1">
      <alignment horizontal="center" vertical="center"/>
    </xf>
    <xf numFmtId="164" fontId="15" fillId="0" borderId="27" xfId="2" applyFont="1" applyBorder="1"/>
    <xf numFmtId="164" fontId="14" fillId="0" borderId="24" xfId="2" applyFont="1" applyFill="1" applyBorder="1" applyAlignment="1">
      <alignment vertical="center"/>
    </xf>
    <xf numFmtId="164" fontId="3" fillId="0" borderId="25" xfId="2" applyFont="1" applyFill="1" applyBorder="1" applyAlignment="1">
      <alignment vertical="center"/>
    </xf>
    <xf numFmtId="164" fontId="14" fillId="0" borderId="26" xfId="2" applyFont="1" applyFill="1" applyBorder="1" applyAlignment="1">
      <alignment horizontal="center" vertical="center"/>
    </xf>
    <xf numFmtId="164" fontId="3" fillId="0" borderId="26" xfId="2" applyFont="1" applyFill="1" applyBorder="1" applyAlignment="1">
      <alignment horizontal="center" vertical="center"/>
    </xf>
    <xf numFmtId="164" fontId="3" fillId="2" borderId="26" xfId="2" applyFont="1" applyFill="1" applyBorder="1" applyAlignment="1">
      <alignment horizontal="center" vertical="center"/>
    </xf>
    <xf numFmtId="164" fontId="14" fillId="0" borderId="25" xfId="2" applyFont="1" applyFill="1" applyBorder="1" applyAlignment="1">
      <alignment horizontal="center" vertical="center"/>
    </xf>
    <xf numFmtId="164" fontId="11" fillId="0" borderId="25" xfId="2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top"/>
    </xf>
    <xf numFmtId="0" fontId="3" fillId="3" borderId="6" xfId="1" applyFont="1" applyFill="1" applyBorder="1" applyAlignment="1">
      <alignment vertical="center"/>
    </xf>
    <xf numFmtId="0" fontId="11" fillId="4" borderId="6" xfId="1" applyFont="1" applyFill="1" applyBorder="1" applyAlignment="1">
      <alignment vertical="center"/>
    </xf>
    <xf numFmtId="0" fontId="12" fillId="0" borderId="24" xfId="1" applyFont="1" applyBorder="1" applyAlignment="1">
      <alignment vertical="center"/>
    </xf>
    <xf numFmtId="164" fontId="11" fillId="0" borderId="25" xfId="2" applyFont="1" applyFill="1" applyBorder="1" applyAlignment="1">
      <alignment vertical="center"/>
    </xf>
    <xf numFmtId="0" fontId="11" fillId="0" borderId="25" xfId="1" applyFont="1" applyBorder="1" applyAlignment="1">
      <alignment vertical="center"/>
    </xf>
    <xf numFmtId="164" fontId="13" fillId="0" borderId="25" xfId="2" applyFont="1" applyFill="1" applyBorder="1" applyAlignment="1"/>
    <xf numFmtId="164" fontId="13" fillId="0" borderId="26" xfId="2" applyFont="1" applyFill="1" applyBorder="1" applyAlignment="1"/>
    <xf numFmtId="164" fontId="15" fillId="4" borderId="27" xfId="2" applyFont="1" applyFill="1" applyBorder="1"/>
    <xf numFmtId="0" fontId="10" fillId="2" borderId="0" xfId="0" applyFont="1" applyFill="1"/>
    <xf numFmtId="164" fontId="14" fillId="2" borderId="26" xfId="2" applyFont="1" applyFill="1" applyBorder="1" applyAlignment="1">
      <alignment vertical="center"/>
    </xf>
    <xf numFmtId="164" fontId="14" fillId="0" borderId="24" xfId="2" applyFont="1" applyFill="1" applyBorder="1" applyAlignment="1">
      <alignment horizontal="center" vertical="center"/>
    </xf>
    <xf numFmtId="0" fontId="3" fillId="4" borderId="6" xfId="1" applyFont="1" applyFill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5" xfId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3" fillId="2" borderId="26" xfId="1" applyFont="1" applyFill="1" applyBorder="1" applyAlignment="1">
      <alignment vertical="center"/>
    </xf>
    <xf numFmtId="0" fontId="16" fillId="0" borderId="25" xfId="1" applyFont="1" applyBorder="1" applyAlignment="1">
      <alignment vertical="center"/>
    </xf>
    <xf numFmtId="164" fontId="11" fillId="0" borderId="26" xfId="2" applyFont="1" applyFill="1" applyBorder="1" applyAlignment="1">
      <alignment horizontal="center" vertical="center"/>
    </xf>
    <xf numFmtId="164" fontId="11" fillId="2" borderId="26" xfId="2" applyFont="1" applyFill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164" fontId="9" fillId="0" borderId="26" xfId="2" applyFont="1" applyFill="1" applyBorder="1" applyAlignment="1">
      <alignment horizontal="center" vertical="center"/>
    </xf>
    <xf numFmtId="164" fontId="14" fillId="2" borderId="26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164" fontId="3" fillId="0" borderId="25" xfId="2" applyFont="1" applyFill="1" applyBorder="1" applyAlignment="1">
      <alignment horizontal="center" vertical="center"/>
    </xf>
    <xf numFmtId="0" fontId="14" fillId="2" borderId="26" xfId="1" applyFont="1" applyFill="1" applyBorder="1" applyAlignment="1">
      <alignment vertical="center"/>
    </xf>
    <xf numFmtId="0" fontId="11" fillId="0" borderId="25" xfId="1" applyFont="1" applyBorder="1" applyAlignment="1">
      <alignment horizontal="center" vertical="center"/>
    </xf>
    <xf numFmtId="0" fontId="3" fillId="3" borderId="6" xfId="1" applyFont="1" applyFill="1" applyBorder="1" applyAlignment="1">
      <alignment horizontal="left" vertical="center"/>
    </xf>
    <xf numFmtId="0" fontId="11" fillId="4" borderId="6" xfId="1" applyFont="1" applyFill="1" applyBorder="1" applyAlignment="1">
      <alignment horizontal="center" vertical="center"/>
    </xf>
    <xf numFmtId="164" fontId="12" fillId="0" borderId="24" xfId="2" applyFont="1" applyFill="1" applyBorder="1" applyAlignment="1">
      <alignment vertical="center"/>
    </xf>
    <xf numFmtId="164" fontId="17" fillId="0" borderId="25" xfId="2" applyFont="1" applyFill="1" applyBorder="1" applyAlignment="1">
      <alignment vertical="center"/>
    </xf>
    <xf numFmtId="164" fontId="11" fillId="0" borderId="26" xfId="2" applyFont="1" applyFill="1" applyBorder="1" applyAlignment="1">
      <alignment vertical="center"/>
    </xf>
    <xf numFmtId="164" fontId="11" fillId="2" borderId="26" xfId="2" applyFont="1" applyFill="1" applyBorder="1" applyAlignment="1">
      <alignment vertical="center"/>
    </xf>
    <xf numFmtId="0" fontId="11" fillId="5" borderId="6" xfId="1" applyFont="1" applyFill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25" xfId="1" applyFont="1" applyBorder="1" applyAlignment="1">
      <alignment vertical="center"/>
    </xf>
    <xf numFmtId="0" fontId="11" fillId="0" borderId="26" xfId="1" applyFont="1" applyBorder="1" applyAlignment="1">
      <alignment vertical="center"/>
    </xf>
    <xf numFmtId="0" fontId="18" fillId="2" borderId="26" xfId="1" applyFont="1" applyFill="1" applyBorder="1" applyAlignment="1">
      <alignment vertical="center"/>
    </xf>
    <xf numFmtId="0" fontId="11" fillId="5" borderId="6" xfId="1" quotePrefix="1" applyFont="1" applyFill="1" applyBorder="1" applyAlignment="1">
      <alignment vertical="center"/>
    </xf>
    <xf numFmtId="164" fontId="17" fillId="0" borderId="25" xfId="2" applyFont="1" applyFill="1" applyBorder="1" applyAlignment="1">
      <alignment horizontal="center" vertical="center"/>
    </xf>
    <xf numFmtId="164" fontId="18" fillId="0" borderId="26" xfId="2" applyFont="1" applyFill="1" applyBorder="1" applyAlignment="1">
      <alignment horizontal="center" vertical="center"/>
    </xf>
    <xf numFmtId="0" fontId="19" fillId="0" borderId="0" xfId="0" applyFont="1"/>
    <xf numFmtId="0" fontId="11" fillId="0" borderId="8" xfId="1" applyFont="1" applyBorder="1" applyAlignment="1">
      <alignment horizontal="center" vertical="center"/>
    </xf>
    <xf numFmtId="164" fontId="16" fillId="0" borderId="24" xfId="2" applyFont="1" applyFill="1" applyBorder="1" applyAlignment="1">
      <alignment vertical="center"/>
    </xf>
    <xf numFmtId="164" fontId="18" fillId="2" borderId="26" xfId="2" applyFont="1" applyFill="1" applyBorder="1" applyAlignment="1">
      <alignment vertical="center"/>
    </xf>
    <xf numFmtId="0" fontId="11" fillId="0" borderId="7" xfId="1" applyFont="1" applyBorder="1" applyAlignment="1">
      <alignment horizontal="center" vertical="center"/>
    </xf>
    <xf numFmtId="164" fontId="18" fillId="0" borderId="24" xfId="2" applyFont="1" applyFill="1" applyBorder="1" applyAlignment="1">
      <alignment vertical="center"/>
    </xf>
    <xf numFmtId="0" fontId="11" fillId="3" borderId="6" xfId="1" applyFont="1" applyFill="1" applyBorder="1" applyAlignment="1">
      <alignment horizontal="center" vertical="center"/>
    </xf>
    <xf numFmtId="164" fontId="16" fillId="0" borderId="25" xfId="2" applyFont="1" applyFill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164" fontId="14" fillId="0" borderId="26" xfId="2" applyFont="1" applyFill="1" applyBorder="1" applyAlignment="1"/>
    <xf numFmtId="164" fontId="3" fillId="0" borderId="26" xfId="2" applyFont="1" applyFill="1" applyBorder="1" applyAlignment="1">
      <alignment horizontal="center"/>
    </xf>
    <xf numFmtId="164" fontId="14" fillId="2" borderId="26" xfId="2" applyFont="1" applyFill="1" applyBorder="1" applyAlignment="1">
      <alignment horizontal="center"/>
    </xf>
    <xf numFmtId="164" fontId="17" fillId="0" borderId="24" xfId="2" applyFont="1" applyFill="1" applyBorder="1" applyAlignment="1">
      <alignment vertical="center"/>
    </xf>
    <xf numFmtId="0" fontId="11" fillId="0" borderId="0" xfId="1" applyFont="1" applyAlignment="1">
      <alignment vertical="center"/>
    </xf>
    <xf numFmtId="0" fontId="13" fillId="4" borderId="33" xfId="1" applyFont="1" applyFill="1" applyBorder="1"/>
    <xf numFmtId="164" fontId="3" fillId="0" borderId="26" xfId="2" applyFont="1" applyFill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64" fontId="5" fillId="2" borderId="6" xfId="2" applyFont="1" applyFill="1" applyBorder="1" applyAlignment="1">
      <alignment vertical="center"/>
    </xf>
    <xf numFmtId="164" fontId="15" fillId="13" borderId="27" xfId="2" applyFont="1" applyFill="1" applyBorder="1"/>
    <xf numFmtId="0" fontId="3" fillId="13" borderId="6" xfId="1" applyFont="1" applyFill="1" applyBorder="1" applyAlignment="1">
      <alignment vertical="center"/>
    </xf>
    <xf numFmtId="0" fontId="11" fillId="13" borderId="6" xfId="1" applyFont="1" applyFill="1" applyBorder="1" applyAlignment="1">
      <alignment horizontal="center" vertical="center"/>
    </xf>
    <xf numFmtId="0" fontId="20" fillId="0" borderId="0" xfId="3"/>
    <xf numFmtId="0" fontId="10" fillId="0" borderId="0" xfId="3" applyFont="1"/>
    <xf numFmtId="164" fontId="20" fillId="0" borderId="0" xfId="3" applyNumberFormat="1"/>
    <xf numFmtId="164" fontId="10" fillId="0" borderId="0" xfId="3" applyNumberFormat="1" applyFont="1"/>
    <xf numFmtId="0" fontId="10" fillId="2" borderId="0" xfId="3" applyFont="1" applyFill="1"/>
    <xf numFmtId="0" fontId="19" fillId="0" borderId="0" xfId="3" applyFont="1"/>
    <xf numFmtId="0" fontId="20" fillId="6" borderId="0" xfId="3" applyFill="1"/>
    <xf numFmtId="0" fontId="20" fillId="2" borderId="0" xfId="3" applyFill="1"/>
    <xf numFmtId="16" fontId="4" fillId="2" borderId="1" xfId="1" applyNumberFormat="1" applyFont="1" applyFill="1" applyBorder="1" applyAlignment="1">
      <alignment horizontal="center" vertical="center" wrapText="1"/>
    </xf>
    <xf numFmtId="16" fontId="4" fillId="2" borderId="3" xfId="1" applyNumberFormat="1" applyFont="1" applyFill="1" applyBorder="1" applyAlignment="1">
      <alignment horizontal="center" vertical="center" wrapText="1"/>
    </xf>
    <xf numFmtId="0" fontId="2" fillId="2" borderId="5" xfId="1" applyFill="1" applyBorder="1"/>
    <xf numFmtId="0" fontId="5" fillId="2" borderId="5" xfId="1" applyFont="1" applyFill="1" applyBorder="1"/>
    <xf numFmtId="0" fontId="11" fillId="2" borderId="2" xfId="1" applyFont="1" applyFill="1" applyBorder="1" applyAlignment="1">
      <alignment horizontal="center" vertical="top"/>
    </xf>
    <xf numFmtId="0" fontId="11" fillId="2" borderId="6" xfId="1" quotePrefix="1" applyFont="1" applyFill="1" applyBorder="1" applyAlignment="1">
      <alignment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top"/>
    </xf>
    <xf numFmtId="0" fontId="11" fillId="2" borderId="8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3" fillId="18" borderId="4" xfId="1" applyFont="1" applyFill="1" applyBorder="1" applyAlignment="1">
      <alignment vertical="center"/>
    </xf>
    <xf numFmtId="0" fontId="11" fillId="18" borderId="4" xfId="1" applyFont="1" applyFill="1" applyBorder="1" applyAlignment="1">
      <alignment vertical="center"/>
    </xf>
    <xf numFmtId="0" fontId="2" fillId="18" borderId="5" xfId="1" applyFill="1" applyBorder="1"/>
    <xf numFmtId="0" fontId="3" fillId="18" borderId="6" xfId="1" applyFont="1" applyFill="1" applyBorder="1" applyAlignment="1">
      <alignment vertical="center"/>
    </xf>
    <xf numFmtId="0" fontId="11" fillId="18" borderId="6" xfId="1" applyFont="1" applyFill="1" applyBorder="1" applyAlignment="1">
      <alignment vertical="center"/>
    </xf>
    <xf numFmtId="164" fontId="5" fillId="18" borderId="6" xfId="2" applyFont="1" applyFill="1" applyBorder="1" applyAlignment="1">
      <alignment vertical="center"/>
    </xf>
    <xf numFmtId="0" fontId="11" fillId="18" borderId="6" xfId="1" applyFont="1" applyFill="1" applyBorder="1" applyAlignment="1">
      <alignment horizontal="center" vertical="center"/>
    </xf>
    <xf numFmtId="0" fontId="3" fillId="18" borderId="6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center" vertical="top"/>
    </xf>
    <xf numFmtId="0" fontId="11" fillId="2" borderId="2" xfId="1" applyFont="1" applyFill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top"/>
    </xf>
    <xf numFmtId="0" fontId="21" fillId="2" borderId="1" xfId="1" applyFont="1" applyFill="1" applyBorder="1" applyAlignment="1">
      <alignment horizontal="center" vertical="center" wrapText="1"/>
    </xf>
    <xf numFmtId="0" fontId="21" fillId="2" borderId="2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16" fontId="21" fillId="2" borderId="1" xfId="1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1" fillId="0" borderId="8" xfId="1" applyFont="1" applyBorder="1" applyAlignment="1">
      <alignment horizontal="center" vertical="top"/>
    </xf>
    <xf numFmtId="0" fontId="11" fillId="0" borderId="2" xfId="1" applyFont="1" applyBorder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9" fillId="14" borderId="1" xfId="1" applyFont="1" applyFill="1" applyBorder="1" applyAlignment="1">
      <alignment horizontal="center" vertical="center" wrapText="1"/>
    </xf>
    <xf numFmtId="0" fontId="9" fillId="14" borderId="2" xfId="1" applyFont="1" applyFill="1" applyBorder="1" applyAlignment="1">
      <alignment horizontal="center" vertical="center" wrapText="1"/>
    </xf>
    <xf numFmtId="0" fontId="9" fillId="14" borderId="3" xfId="1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horizontal="center" vertical="center" wrapText="1"/>
    </xf>
    <xf numFmtId="0" fontId="9" fillId="12" borderId="2" xfId="1" applyFont="1" applyFill="1" applyBorder="1" applyAlignment="1">
      <alignment horizontal="center" vertical="center" wrapText="1"/>
    </xf>
    <xf numFmtId="0" fontId="9" fillId="12" borderId="3" xfId="1" applyFont="1" applyFill="1" applyBorder="1" applyAlignment="1">
      <alignment horizontal="center" vertical="center" wrapText="1"/>
    </xf>
    <xf numFmtId="0" fontId="3" fillId="2" borderId="29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top"/>
    </xf>
    <xf numFmtId="0" fontId="9" fillId="9" borderId="11" xfId="1" applyFont="1" applyFill="1" applyBorder="1" applyAlignment="1">
      <alignment horizontal="center" vertical="center" wrapText="1"/>
    </xf>
    <xf numFmtId="0" fontId="9" fillId="9" borderId="15" xfId="1" applyFont="1" applyFill="1" applyBorder="1" applyAlignment="1">
      <alignment horizontal="center" vertical="center" wrapText="1"/>
    </xf>
    <xf numFmtId="0" fontId="9" fillId="9" borderId="19" xfId="1" applyFont="1" applyFill="1" applyBorder="1" applyAlignment="1">
      <alignment horizontal="center" vertical="center" wrapText="1"/>
    </xf>
    <xf numFmtId="0" fontId="9" fillId="10" borderId="12" xfId="1" applyFont="1" applyFill="1" applyBorder="1" applyAlignment="1">
      <alignment horizontal="center" vertical="center" wrapText="1"/>
    </xf>
    <xf numFmtId="0" fontId="9" fillId="10" borderId="16" xfId="1" applyFont="1" applyFill="1" applyBorder="1" applyAlignment="1">
      <alignment horizontal="center" vertical="center" wrapText="1"/>
    </xf>
    <xf numFmtId="0" fontId="9" fillId="10" borderId="2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13" borderId="2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0" fontId="9" fillId="7" borderId="13" xfId="1" applyFont="1" applyFill="1" applyBorder="1" applyAlignment="1">
      <alignment horizontal="center" vertical="center" wrapText="1"/>
    </xf>
    <xf numFmtId="0" fontId="9" fillId="7" borderId="17" xfId="1" applyFont="1" applyFill="1" applyBorder="1" applyAlignment="1">
      <alignment horizontal="center" vertical="center" wrapText="1"/>
    </xf>
    <xf numFmtId="0" fontId="9" fillId="8" borderId="11" xfId="1" applyFont="1" applyFill="1" applyBorder="1" applyAlignment="1">
      <alignment horizontal="center" vertical="center" wrapText="1"/>
    </xf>
    <xf numFmtId="0" fontId="9" fillId="8" borderId="14" xfId="1" applyFont="1" applyFill="1" applyBorder="1" applyAlignment="1">
      <alignment horizontal="center" vertical="center" wrapText="1"/>
    </xf>
    <xf numFmtId="0" fontId="9" fillId="8" borderId="18" xfId="1" applyFont="1" applyFill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9" fillId="16" borderId="2" xfId="1" applyFont="1" applyFill="1" applyBorder="1" applyAlignment="1">
      <alignment horizontal="center" vertical="center" wrapText="1"/>
    </xf>
    <xf numFmtId="0" fontId="9" fillId="16" borderId="3" xfId="1" applyFont="1" applyFill="1" applyBorder="1" applyAlignment="1">
      <alignment horizontal="center" vertical="center" wrapText="1"/>
    </xf>
    <xf numFmtId="0" fontId="9" fillId="17" borderId="1" xfId="1" applyFont="1" applyFill="1" applyBorder="1" applyAlignment="1">
      <alignment horizontal="center" vertical="center" wrapText="1"/>
    </xf>
    <xf numFmtId="0" fontId="9" fillId="17" borderId="2" xfId="1" applyFont="1" applyFill="1" applyBorder="1" applyAlignment="1">
      <alignment horizontal="center" vertical="center" wrapText="1"/>
    </xf>
    <xf numFmtId="0" fontId="9" fillId="17" borderId="3" xfId="1" applyFont="1" applyFill="1" applyBorder="1" applyAlignment="1">
      <alignment horizontal="center" vertical="center" wrapText="1"/>
    </xf>
    <xf numFmtId="0" fontId="9" fillId="7" borderId="11" xfId="1" applyFont="1" applyFill="1" applyBorder="1" applyAlignment="1">
      <alignment horizontal="center" vertical="center" wrapText="1"/>
    </xf>
    <xf numFmtId="0" fontId="9" fillId="7" borderId="15" xfId="1" applyFont="1" applyFill="1" applyBorder="1" applyAlignment="1">
      <alignment horizontal="center" vertical="center" wrapText="1"/>
    </xf>
    <xf numFmtId="0" fontId="9" fillId="7" borderId="19" xfId="1" applyFont="1" applyFill="1" applyBorder="1" applyAlignment="1">
      <alignment horizontal="center" vertical="center" wrapText="1"/>
    </xf>
    <xf numFmtId="0" fontId="9" fillId="15" borderId="12" xfId="1" applyFont="1" applyFill="1" applyBorder="1" applyAlignment="1">
      <alignment horizontal="center" vertical="center" wrapText="1"/>
    </xf>
    <xf numFmtId="0" fontId="9" fillId="15" borderId="16" xfId="1" applyFont="1" applyFill="1" applyBorder="1" applyAlignment="1">
      <alignment horizontal="center" vertical="center" wrapText="1"/>
    </xf>
    <xf numFmtId="0" fontId="9" fillId="15" borderId="20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3" xfId="1" applyFont="1" applyFill="1" applyBorder="1" applyAlignment="1">
      <alignment horizontal="center" vertical="center" wrapText="1"/>
    </xf>
    <xf numFmtId="0" fontId="9" fillId="11" borderId="17" xfId="1" applyFont="1" applyFill="1" applyBorder="1" applyAlignment="1">
      <alignment horizontal="center" vertical="center" wrapText="1"/>
    </xf>
    <xf numFmtId="0" fontId="9" fillId="10" borderId="11" xfId="1" applyFont="1" applyFill="1" applyBorder="1" applyAlignment="1">
      <alignment horizontal="center" vertical="center" wrapText="1"/>
    </xf>
    <xf numFmtId="0" fontId="9" fillId="10" borderId="14" xfId="1" applyFont="1" applyFill="1" applyBorder="1" applyAlignment="1">
      <alignment horizontal="center" vertical="center" wrapText="1"/>
    </xf>
    <xf numFmtId="0" fontId="9" fillId="10" borderId="18" xfId="1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164" fontId="0" fillId="2" borderId="0" xfId="0" applyNumberForma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3E34D0-396A-4A3D-8ACA-91D6E6A5496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6EE480-B570-45BC-864B-4D80029B50E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5DC56-8999-4A23-BA17-61DC4300CF1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3ED18E-A56E-42D8-9DBB-09D4024A775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794F56F-D135-4ED8-B9A5-CAABE75B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8DE13B-0A98-459A-BEA0-9CB890B300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8A2818B-8731-4A47-BA6C-88E221342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90D85E-9C51-487C-8452-22B534ACD31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2A13EAD-3690-409F-B8A1-75FC268E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4574D6-91A5-4D3F-9116-A5A75D8EE68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BEA0739C-FA02-4EB2-8EC9-E51CA41D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C9723-F68C-41BC-B8E6-36DD47D3DD16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9526B-2547-40F3-AFC7-74F93DCE105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97A9CE-08E9-4187-A003-48A702BAE03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411BF9-A655-4645-A34C-7903B6BA970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D9B50A5-8DD2-4F43-A178-7D1B243C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75FAE7-B4DF-4EA9-A8A6-63F32E2AF73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8FCD260-5805-4606-A10A-C9B32CB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83178A-46EC-41DF-BDF3-7142DAD618F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DA4855AD-4A5A-4B4C-BF97-ECC7A759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A8D4037-29DD-4CF4-8ECD-97DE5CC25D8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34DC8CE-A9C0-4A3C-8F34-5C87B31A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5B0A3-7DB4-4F9F-979F-5050A867B5A4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E39FC-2F6F-411A-BA9C-B9A83593E96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256242-8FB6-4F5A-AA01-8691E0F025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38F2D-3E76-4E4A-AED0-D05D661EDA6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2FECDA26-2BE9-4F4D-8E80-74337591D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41F9F0-F90D-4B12-A594-3170CDD7137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3AB70A7-9535-4BDA-B345-64C147FB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59E53F-3991-4D40-8126-D31E221D607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CEFEFEA-78D9-428C-B58B-CFE34434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19A70C9-2491-4D28-9FC6-34A91035A4C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21384B5-ABB6-4D03-A703-215CB153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74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7CA2B1-E157-49A1-80C7-D3ED30433030}"/>
            </a:ext>
          </a:extLst>
        </xdr:cNvPr>
        <xdr:cNvSpPr txBox="1"/>
      </xdr:nvSpPr>
      <xdr:spPr>
        <a:xfrm>
          <a:off x="3344008" y="932717"/>
          <a:ext cx="187971" cy="274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9CB4D9-48C6-4BA0-902C-410BB05657D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A824D5-E11C-4151-AD84-5E32E2C566D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3A8D5F-62FD-4D80-B9BE-624F11F4897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B2AA6248-5811-4424-BE19-8116364B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DD5C6B-0D01-46C2-BF32-772C0A5E738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49EE8698-00AA-4CCC-8141-AD2D68B7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BC7FF2-79DF-418E-858B-A9497B01439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CDCD64C-BA0C-4040-9D3F-E53C17FE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42AF04-21D0-41E9-806B-2890CC0EFEA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DE0BDE61-C1B8-4EAF-B6D4-0C7C519C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349FEE-4F7E-4B4E-BA41-9905EC08384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A9C16F-C8B2-465E-B1F5-F7B6E2D703F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46095-DE2A-4852-A06A-C6E56CB22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F10B98-76DC-4AA9-8E55-E93CA9AEA6F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F83B9BD-3417-4258-897D-336B5AAF8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DF2CF9-A296-4401-8792-A1DC448010B3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01B7691-14FD-4BC7-B8FA-F0086F37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277835-CB8E-4247-9207-B74F8415505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2FBF7AB-F7A8-48DC-A34D-467898A4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50A015-5541-49F3-A530-29DD19210405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2BAD1A17-7E68-4C27-ACA4-7C0B5860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0EB7BB-AC53-454C-8243-722C3BC6C3A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FE8990-0A4D-4291-9B14-1B12310A946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BCCBC9-13CF-4278-AC55-DE793C95F7E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B2F970-A012-4F3E-BB06-D548C5ED768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51DCA2E-8DC7-41F9-9296-D0FF96D2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BBB1E0-D79E-4A3D-8D00-9A0681B30F6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8B6CB1D8-9FDA-4AAE-A0FB-0FEE4DF9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7BABBE-2ECE-4438-8EC0-7415E9E78B0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4BF3514-1CED-420A-8A17-DA3D55F5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96C4BB3-7C8B-44D2-8E05-D3D7CEC9E88C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31F6E06-23EC-498B-99B4-64E08236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3352E4-3AE5-4991-BF15-EB49255E8F1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A9F745-FFA5-44FD-AC99-CB0C2F9D572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46F698-1DBD-4762-A1AF-142E2F5BF6A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CDD09-8DD6-4A12-B2F4-5654976B395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8AFCFAF-467F-44D0-BAB9-C5FA456F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F64257-3D7E-40C2-8EB7-03DA0E74E2A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0AB5CBFA-847B-4974-BF3F-32DC79D2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2A10FD-482B-4E53-835B-65C3F761F6A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1B0D6884-AF42-4BBD-AB75-CB944C0C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A5C0E70-4D9F-436E-AE79-E35177ADCC2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D79055D-CAB0-4F59-AFCC-A8A337A9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5BCD48-2B85-4A8C-9729-869FCBED116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33300-D2DC-42E9-8E1C-15DDDACAC5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DB95D8-2C99-4AF7-9D83-3522F621307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D74BE0-25BD-4E45-BB8D-72FD4DE974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3EF8245-DA2B-4184-845B-641BD4ED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D92DDD-D99F-42A2-B581-BAF6106AC1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AD0A692-0580-4817-BFF3-051C2806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40BFD-5C8F-48E8-A64D-B9195CF550E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D0CFF25-8F99-4E2C-9E7F-485E1BC8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E6605F-117F-40AA-8730-7DCF391B928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174B63C-EE5D-482C-A5FF-F9515DA2B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4263D-5A42-4ADD-96E2-60E196DEF165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32E497-2A9A-46BA-AF12-8AE5C43A8A7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CD8F89-DB36-4C9A-8CAC-426B0453864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D56FA-0F68-4FF9-865F-F24D34595F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86F14BF-3655-431A-A067-72B7BDBA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E617FC-B85D-4CF6-BA16-805EFA98012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DC92090-9906-467E-A20A-D233664D5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EAC947-1ACC-400B-9655-1364D0B45D8A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58EE312-5AEA-4E6A-A119-149D14AF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477DE9-3B62-4A74-84D0-3F49F9B5713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4CEB02E-7F3E-4AB7-8746-375A4A4A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234BF-3549-48F1-97B9-6D11E6DED2E8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C96E06-ACE7-4EB4-8CC8-62BFB84187E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B89809-E5E5-4054-977A-9CE69239041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D0B976-E53A-4874-AE72-822CFBD482A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89D31E4-3EE9-48C4-8F54-633901BB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BAEFA9-B979-4E0D-B231-FE9627F70DA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5CA4EFF-D3BF-4038-8E83-F746EFD2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797BF1-6B85-4827-A79D-3D69683EF34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3E41BC7-FDC0-4C79-AF7A-C6693230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9E03BF-C0CD-4100-8501-6972FFBA3C46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F846E230-2B7C-4C9F-B936-1C4C53FB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73F19F-3736-47E4-A26F-F5A127C6A56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D7F0A-AE84-4AD5-BD34-D374E27A916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905B8-AC08-4AC1-9659-0013F19E289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707939-0E46-4CBF-A43D-4DC3E7FF168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15EE4689-4586-46A0-AC27-DE52BD3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351E9-3E48-4D64-AD1E-31ABC81F018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9BDEAF9-1AFA-4719-A3D2-6C2D9CFE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CD1BEA-92C3-4272-9E34-8A29C738109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EAE8919-40F0-4F5F-82E6-323F6F49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D6CEA1-0A76-4939-8730-3DED22201A2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83A980E7-E16E-4D5C-9586-0DBB1DE5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DF54D0-1B60-4080-8027-63B4F9656F85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D7744A-DC8F-4A0F-97E2-61B77B48752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6738C3-5A93-43BE-9955-3514741E01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5729D-4175-429B-9670-C54120E4E3D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22CFA3D-7F83-48C9-8429-538EFF17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F26AB7-DDB4-4E05-B6B2-E78145C6B25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0E5F23F-5F85-4A19-A50C-F560A690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39CFC30-5CE1-41DC-B143-DC73A0DBC3A9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A06CC573-A1D8-4D4A-86D2-2D3A7162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5DE31-39BD-4277-94C4-052858509197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16166C-9533-42DC-B32B-EA5FF4B4EA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1A61B7-D59A-4A65-A50C-F2EFE5A706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C9B6CE-FF9D-42BA-81D0-3E460AC76E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1D21A91-9C6B-4033-A753-F1320D61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BB997C-F6C7-44D4-9FBB-B3407F808B4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63BC6C96-1794-4B4E-9F6C-49167DE0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9603DD-76A9-4045-83EF-328599950F9E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1C5D435B-C4D1-4B23-A205-419ABFD5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C85A4-91E4-4143-B9D9-610D36BE2E0B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A12A04-680A-406B-B3A4-BF9730CED19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27D809-9548-4F5D-8215-F7D053C9558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2E7849-7A0B-4196-ABD1-6E57BEBCA1D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5862D77-BF9C-49EE-8C0B-42602DC7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E3E484-C34B-4F0A-B183-1A4D5EFEA36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7967D78-F030-4B7E-9F38-E6B3A1BC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96048C-77BF-4548-A39F-5B4C5767B13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74D3BA8-95A8-408A-BF27-8F15AC09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69D049-8F90-490E-AE0A-F5F7DCF9817D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B8BAB027-AA35-4859-9A22-3BD6DC5B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4F0A4C-FEC2-40EF-927A-35A73570E18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BC916C-5373-4821-A042-4DE3E4BA64A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8FB9A5-1489-4A43-AE36-98FAF8121AA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200025</xdr:colOff>
      <xdr:row>3</xdr:row>
      <xdr:rowOff>0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190AECE4-8A76-4567-93F6-C8BE4A5B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EE593-CDBC-4E7D-9958-D8A7D418C90C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1A0ACA-E25C-4191-90DA-F6DE0E85218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1D6310-8991-42A8-B653-B2BDD9FC5A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83F17-FBDD-414C-9E5C-6705D8E7E94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781050</xdr:colOff>
      <xdr:row>3</xdr:row>
      <xdr:rowOff>0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EDF6F52D-4667-4BCC-8DC9-36A0AD11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56D293-1A21-4B67-99C5-C8C3FD5277E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781050</xdr:colOff>
      <xdr:row>3</xdr:row>
      <xdr:rowOff>0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CBF9DE9-DB56-451C-B9A5-A019F9A1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72B31F-B46E-43D1-97E8-1D40CAD12C4F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97CB40-951F-45E3-A78E-D9D6A64BEB71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6AD6D-B44F-4AE9-BF59-A72E50268A5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DF713-5896-4510-B9F8-661F76FEE09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4D78FAB6-11FE-4BC8-B986-9B5E4A11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B3E70-7B83-4F9C-8A59-58DC1B68374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2CDCC3C-532B-41A6-B023-89E0ED4D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D89804-A438-473C-9AE9-FDB614AAF24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E353B29C-E67F-4C7F-BCA7-666745A9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262E0F-3BAA-4715-B67D-BD8DABD4323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74A211-0F95-45E9-BB5C-4D7508075FC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77CA62-E7C9-4F68-B39B-6548BBC6FC0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C5193-A3A4-4216-B291-2E63DB81560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A6B79BE-0839-4079-9ECD-EC0515B3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941CB5-92BA-44F4-B19F-645E31B9996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53AD8A0D-9EB2-4F3A-9725-9C73612A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2D4F9B-43C9-4D3F-BDA0-DCFBE7F710D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96F8606-FD0E-4C27-A412-91EC0325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227364-A186-4614-83F9-40CB2835F573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B8026CC4-8E63-4433-9FCA-4FFB4175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2F0BDF-7394-40CA-9895-50BD5D83C24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62EE244C-840D-4E29-9917-FC829DCF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C1B9D-3999-4F0B-A9BB-E5A3AD8C147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AF98AB-2C42-4940-BD69-7E0BAB8A09E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A70C24-79FF-49E5-8575-849C3E7DB61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76DB18-652B-4020-9EA8-4ED5CC208E1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0D4F8C3-BF8F-4503-8EC7-09678867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741F3F-EC22-4BFB-8248-ADA171EE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E400E48-517E-4ABD-B616-8602270B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8A1D3B-C0CE-43BC-B45C-B03E5874A44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0E4CC46-1CEB-4D77-8345-8F9E5E0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753863D-03EF-477C-B447-074CCB853D8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3D1276EF-4119-42CD-A2C2-22F31737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93C6B0B-204D-4825-B90C-91FC07E5BA05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0038B89F-5695-4D5A-8E0D-0365703A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59891-D17E-446F-9F7A-8C6F378CB2F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C6BD16-2EC0-48A9-932A-EF47F1DF64C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DF0AD0-4ECD-443E-81FF-28838234D47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36EE5-3276-4426-A752-C0D72E5B0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F7A2F43-2870-486D-BEF3-15B32A9D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AAC44-B847-444A-A8A3-998A68A94F4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411D861-8DB8-48E6-9EA7-EDDEC6D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15FB91-B443-4151-8F23-B647558CA8B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06B33D9-C98F-4B6F-9881-3EE47E1F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AD966F-F540-4CDD-A76E-7B5D82FD8E39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7013E7B-BC21-4C08-8319-990D06E4A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2C77841-8762-4D11-A162-655578F6228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E4050074-2F30-4F65-A81E-B597DF8C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CA80E-1B44-47D6-A740-093DDA172C9B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1128D6-E842-4774-BA98-E50657A815F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1646DD-7D15-47AE-BCBE-573D6BA87E5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27772979-C29A-406D-B73D-75A3630C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A84A7-5BB7-43CC-97AD-82435A90CEE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215036E4-9015-49E2-B902-EF523A5F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87885F-D33D-4B0F-AB76-FB2A645F459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9" name="Picture 2" descr="Logo PD Pasar">
          <a:extLst>
            <a:ext uri="{FF2B5EF4-FFF2-40B4-BE49-F238E27FC236}">
              <a16:creationId xmlns:a16="http://schemas.microsoft.com/office/drawing/2014/main" id="{47388F03-EDF7-443A-A882-45455363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0CB159-D6F1-4715-ADCB-42815BF9A470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9</xdr:col>
      <xdr:colOff>419100</xdr:colOff>
      <xdr:row>2</xdr:row>
      <xdr:rowOff>109538</xdr:rowOff>
    </xdr:to>
    <xdr:pic>
      <xdr:nvPicPr>
        <xdr:cNvPr id="11" name="Picture 10" descr="Logo PD Pasar">
          <a:extLst>
            <a:ext uri="{FF2B5EF4-FFF2-40B4-BE49-F238E27FC236}">
              <a16:creationId xmlns:a16="http://schemas.microsoft.com/office/drawing/2014/main" id="{08B42DBE-04C8-4682-AD3B-A8A00B66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971550" cy="728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8EB5B-AEEC-4D46-9F0E-A3D0D93C95F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4CB7DE-CE8F-4537-8BE8-8F563692A8B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6382B9-B114-447A-A3A2-9E200B04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C678A6-4590-4CE4-8484-DFFF19F959E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442BF39-C37E-4A1C-BB47-86F50091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AF3B77-24A8-4CC0-AF8F-1C9C13D3B9F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9C14A81-9F7D-4D5E-AFF6-4E70DA93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7E90C6-DD90-461F-97B2-6978FDCC5FC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6FA36B41-1137-41D5-B6D2-6B9894C1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6031AD-DF9C-41D2-B7B0-52C03C7E106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238125</xdr:colOff>
      <xdr:row>4</xdr:row>
      <xdr:rowOff>161925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C532036-5B74-4A67-A73C-65B0D23CC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73355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3E2AF-46B0-41AC-AEA6-AFD18C057F3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5E217D-A013-4445-8C63-6D3FAFACA79F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8A6F7-A98F-4547-AA7C-A43BEB05606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AC9065-7F06-4B89-9D7C-8D448890273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7DC7720-5E2D-4E34-A4A1-3DA910B6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E3678-0E2F-41EB-B276-8C51394BF2A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7BFB827-9588-491A-BAF5-B7E97863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E4EA7D-0E68-42A0-BE4C-CEB0383F450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FB69A63F-50D8-497B-815E-725966C9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E08815-AB0C-4D97-ABAC-8681C0C3B1C2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DD1D503-5849-4322-90D8-DF20F475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054C126-9ED2-47A4-A828-E627236C86AC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F6A1ADF6-3BCD-4C72-9869-9275C9696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539C5-A5FB-462D-A470-1F251576B8C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073130-B6B3-445B-9B0B-5538505B206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F2540C-1171-4D3D-A589-DAF9714FD0E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730964-4C24-4C61-969A-956E76B6268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D70E83F-5366-4583-89E8-C1F011AE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7C6FAD-D721-43BC-9320-7A329E9C8E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17D4E10-A626-42A2-A43E-8237D5CA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FF64FA-CD44-45EA-9A7F-10D1C7C4FB9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176D152-5C74-42F7-94B2-ED5BF1D7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228CDE-B843-4425-A1E7-7391BABC6EC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DBF67F38-FC07-4957-BF22-AEF8353F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366F3-D1A8-4A5A-A0D1-91FBD8E18FAB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2F3C8D-987F-4559-A6CA-934F698F06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2ABF4A-9B80-4D2C-8996-18B85C9CB76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4119C0-CC48-4656-8B24-8BB3BF828B5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6A5241A-CB4A-406E-9E97-D5981A32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FB1E46-4D89-4B15-813A-A6F82C402CF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BEFB6C2-A484-454C-A44A-DF3C9F55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93CC74-B5FF-4F39-AAC3-494A75D3E98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E17AA6C-2F21-49EC-8B76-5DC8764A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25CB27-BDA9-4B06-9CFA-254C59BD48B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21895A10-1486-4984-AD12-70B3C4160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4F4B9-7F34-4884-9838-66952C6A607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50595D-ADE4-4C32-A45C-4AC5222E88C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182099-7240-4A2A-95E4-4857F79A2E7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C0BB82-4976-4C8B-BD36-014E014418F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54A52D1-A832-4363-8336-25A4EAD9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4B1EF4-5607-4401-AF76-E538073DF9D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C4CDF55-04C4-4683-95BB-73F46687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4178CB-EE4B-46A3-827C-C4D989121DD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BE8BE5D5-2BEE-46D7-929B-CCB45D008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50E94A-8A15-4AEF-B6A7-17269E8BDDE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4D770D17-3D88-4CB3-93E3-4FAF23E5E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5F0936-451A-4C08-B592-84399DD596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FF7AE-A8D1-460A-A1A1-916167C6CA8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272DB4-F12C-481D-B04B-A20F41387DA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4E1110-EFD5-404C-A8A6-C34C5C71EFD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B9ACE25-3869-417E-9BD2-0304A4BEE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72AFDF-3063-46E9-AB2D-08B4FC20601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BD629E3-BCF8-4558-A8B0-B27FD6C6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8B0A1C-0134-4255-AA99-5D043B82122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939B74D2-9F58-41F5-ADDE-195E7546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B9E90D-A4B0-417F-BD07-AAE02FC6D88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A7B4AD27-6B0E-4DC2-BC29-2E631B58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65053C-C057-46DC-AD84-222921EF09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0C1BD7-A69D-4EF6-93C8-CD317CB2942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D801F0-D210-4BD9-BA5F-8E61D4BECA1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275F1D-2C3C-43A7-83D8-5249357A069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85871E6-EB6E-4BF6-9E17-C9D707CB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76498D-270C-44AE-8065-BFDD2E7D3454}"/>
            </a:ext>
          </a:extLst>
        </xdr:cNvPr>
        <xdr:cNvSpPr txBox="1"/>
      </xdr:nvSpPr>
      <xdr:spPr>
        <a:xfrm>
          <a:off x="1970503" y="913667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E7BB4D83-D6D0-4983-948C-851D85A7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CAB0523-58A8-4833-8019-94F7177F543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335367E-11F4-418B-90AC-5DD2B4A3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026827-DEE9-470F-B7EF-64651B61C21D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2E7216D-DF6F-42E7-8FDC-82B3200C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H88"/>
  <sheetViews>
    <sheetView tabSelected="1" topLeftCell="A63" zoomScale="85" zoomScaleNormal="85" workbookViewId="0">
      <pane xSplit="2" topLeftCell="AF1" activePane="topRight" state="frozen"/>
      <selection activeCell="A63" sqref="A63"/>
      <selection pane="topRight" activeCell="B64" sqref="A64:XFD64"/>
    </sheetView>
  </sheetViews>
  <sheetFormatPr defaultRowHeight="15" x14ac:dyDescent="0.25"/>
  <cols>
    <col min="1" max="1" width="3.375" style="2" customWidth="1"/>
    <col min="2" max="2" width="32.25" style="2" customWidth="1"/>
    <col min="3" max="3" width="13" style="2" customWidth="1"/>
    <col min="4" max="16" width="9.125" style="2"/>
    <col min="17" max="31" width="8.875" style="2" customWidth="1"/>
    <col min="32" max="33" width="10.25" style="2" customWidth="1"/>
    <col min="34" max="35" width="8.125" style="2" customWidth="1"/>
    <col min="36" max="251" width="9.125" style="2"/>
    <col min="252" max="252" width="3.375" style="2" customWidth="1"/>
    <col min="253" max="253" width="32.25" style="2" customWidth="1"/>
    <col min="254" max="254" width="13" style="2" customWidth="1"/>
    <col min="255" max="261" width="9.625" style="2" customWidth="1"/>
    <col min="262" max="263" width="11.375" style="2" customWidth="1"/>
    <col min="264" max="265" width="9.125" style="2"/>
    <col min="266" max="266" width="18.375" style="2" customWidth="1"/>
    <col min="267" max="507" width="9.125" style="2"/>
    <col min="508" max="508" width="3.375" style="2" customWidth="1"/>
    <col min="509" max="509" width="32.25" style="2" customWidth="1"/>
    <col min="510" max="510" width="13" style="2" customWidth="1"/>
    <col min="511" max="517" width="9.625" style="2" customWidth="1"/>
    <col min="518" max="519" width="11.375" style="2" customWidth="1"/>
    <col min="520" max="521" width="9.125" style="2"/>
    <col min="522" max="522" width="18.375" style="2" customWidth="1"/>
    <col min="523" max="763" width="9.125" style="2"/>
    <col min="764" max="764" width="3.375" style="2" customWidth="1"/>
    <col min="765" max="765" width="32.25" style="2" customWidth="1"/>
    <col min="766" max="766" width="13" style="2" customWidth="1"/>
    <col min="767" max="773" width="9.625" style="2" customWidth="1"/>
    <col min="774" max="775" width="11.375" style="2" customWidth="1"/>
    <col min="776" max="777" width="9.125" style="2"/>
    <col min="778" max="778" width="18.375" style="2" customWidth="1"/>
    <col min="779" max="1019" width="9.125" style="2"/>
    <col min="1020" max="1020" width="3.375" style="2" customWidth="1"/>
    <col min="1021" max="1021" width="32.25" style="2" customWidth="1"/>
    <col min="1022" max="1022" width="13" style="2" customWidth="1"/>
    <col min="1023" max="1029" width="9.625" style="2" customWidth="1"/>
    <col min="1030" max="1031" width="11.375" style="2" customWidth="1"/>
    <col min="1032" max="1033" width="9.125" style="2"/>
    <col min="1034" max="1034" width="18.375" style="2" customWidth="1"/>
    <col min="1035" max="1275" width="9.125" style="2"/>
    <col min="1276" max="1276" width="3.375" style="2" customWidth="1"/>
    <col min="1277" max="1277" width="32.25" style="2" customWidth="1"/>
    <col min="1278" max="1278" width="13" style="2" customWidth="1"/>
    <col min="1279" max="1285" width="9.625" style="2" customWidth="1"/>
    <col min="1286" max="1287" width="11.375" style="2" customWidth="1"/>
    <col min="1288" max="1289" width="9.125" style="2"/>
    <col min="1290" max="1290" width="18.375" style="2" customWidth="1"/>
    <col min="1291" max="1531" width="9.125" style="2"/>
    <col min="1532" max="1532" width="3.375" style="2" customWidth="1"/>
    <col min="1533" max="1533" width="32.25" style="2" customWidth="1"/>
    <col min="1534" max="1534" width="13" style="2" customWidth="1"/>
    <col min="1535" max="1541" width="9.625" style="2" customWidth="1"/>
    <col min="1542" max="1543" width="11.375" style="2" customWidth="1"/>
    <col min="1544" max="1545" width="9.125" style="2"/>
    <col min="1546" max="1546" width="18.375" style="2" customWidth="1"/>
    <col min="1547" max="1787" width="9.125" style="2"/>
    <col min="1788" max="1788" width="3.375" style="2" customWidth="1"/>
    <col min="1789" max="1789" width="32.25" style="2" customWidth="1"/>
    <col min="1790" max="1790" width="13" style="2" customWidth="1"/>
    <col min="1791" max="1797" width="9.625" style="2" customWidth="1"/>
    <col min="1798" max="1799" width="11.375" style="2" customWidth="1"/>
    <col min="1800" max="1801" width="9.125" style="2"/>
    <col min="1802" max="1802" width="18.375" style="2" customWidth="1"/>
    <col min="1803" max="2043" width="9.125" style="2"/>
    <col min="2044" max="2044" width="3.375" style="2" customWidth="1"/>
    <col min="2045" max="2045" width="32.25" style="2" customWidth="1"/>
    <col min="2046" max="2046" width="13" style="2" customWidth="1"/>
    <col min="2047" max="2053" width="9.625" style="2" customWidth="1"/>
    <col min="2054" max="2055" width="11.375" style="2" customWidth="1"/>
    <col min="2056" max="2057" width="9.125" style="2"/>
    <col min="2058" max="2058" width="18.375" style="2" customWidth="1"/>
    <col min="2059" max="2299" width="9.125" style="2"/>
    <col min="2300" max="2300" width="3.375" style="2" customWidth="1"/>
    <col min="2301" max="2301" width="32.25" style="2" customWidth="1"/>
    <col min="2302" max="2302" width="13" style="2" customWidth="1"/>
    <col min="2303" max="2309" width="9.625" style="2" customWidth="1"/>
    <col min="2310" max="2311" width="11.375" style="2" customWidth="1"/>
    <col min="2312" max="2313" width="9.125" style="2"/>
    <col min="2314" max="2314" width="18.375" style="2" customWidth="1"/>
    <col min="2315" max="2555" width="9.125" style="2"/>
    <col min="2556" max="2556" width="3.375" style="2" customWidth="1"/>
    <col min="2557" max="2557" width="32.25" style="2" customWidth="1"/>
    <col min="2558" max="2558" width="13" style="2" customWidth="1"/>
    <col min="2559" max="2565" width="9.625" style="2" customWidth="1"/>
    <col min="2566" max="2567" width="11.375" style="2" customWidth="1"/>
    <col min="2568" max="2569" width="9.125" style="2"/>
    <col min="2570" max="2570" width="18.375" style="2" customWidth="1"/>
    <col min="2571" max="2811" width="9.125" style="2"/>
    <col min="2812" max="2812" width="3.375" style="2" customWidth="1"/>
    <col min="2813" max="2813" width="32.25" style="2" customWidth="1"/>
    <col min="2814" max="2814" width="13" style="2" customWidth="1"/>
    <col min="2815" max="2821" width="9.625" style="2" customWidth="1"/>
    <col min="2822" max="2823" width="11.375" style="2" customWidth="1"/>
    <col min="2824" max="2825" width="9.125" style="2"/>
    <col min="2826" max="2826" width="18.375" style="2" customWidth="1"/>
    <col min="2827" max="3067" width="9.125" style="2"/>
    <col min="3068" max="3068" width="3.375" style="2" customWidth="1"/>
    <col min="3069" max="3069" width="32.25" style="2" customWidth="1"/>
    <col min="3070" max="3070" width="13" style="2" customWidth="1"/>
    <col min="3071" max="3077" width="9.625" style="2" customWidth="1"/>
    <col min="3078" max="3079" width="11.375" style="2" customWidth="1"/>
    <col min="3080" max="3081" width="9.125" style="2"/>
    <col min="3082" max="3082" width="18.375" style="2" customWidth="1"/>
    <col min="3083" max="3323" width="9.125" style="2"/>
    <col min="3324" max="3324" width="3.375" style="2" customWidth="1"/>
    <col min="3325" max="3325" width="32.25" style="2" customWidth="1"/>
    <col min="3326" max="3326" width="13" style="2" customWidth="1"/>
    <col min="3327" max="3333" width="9.625" style="2" customWidth="1"/>
    <col min="3334" max="3335" width="11.375" style="2" customWidth="1"/>
    <col min="3336" max="3337" width="9.125" style="2"/>
    <col min="3338" max="3338" width="18.375" style="2" customWidth="1"/>
    <col min="3339" max="3579" width="9.125" style="2"/>
    <col min="3580" max="3580" width="3.375" style="2" customWidth="1"/>
    <col min="3581" max="3581" width="32.25" style="2" customWidth="1"/>
    <col min="3582" max="3582" width="13" style="2" customWidth="1"/>
    <col min="3583" max="3589" width="9.625" style="2" customWidth="1"/>
    <col min="3590" max="3591" width="11.375" style="2" customWidth="1"/>
    <col min="3592" max="3593" width="9.125" style="2"/>
    <col min="3594" max="3594" width="18.375" style="2" customWidth="1"/>
    <col min="3595" max="3835" width="9.125" style="2"/>
    <col min="3836" max="3836" width="3.375" style="2" customWidth="1"/>
    <col min="3837" max="3837" width="32.25" style="2" customWidth="1"/>
    <col min="3838" max="3838" width="13" style="2" customWidth="1"/>
    <col min="3839" max="3845" width="9.625" style="2" customWidth="1"/>
    <col min="3846" max="3847" width="11.375" style="2" customWidth="1"/>
    <col min="3848" max="3849" width="9.125" style="2"/>
    <col min="3850" max="3850" width="18.375" style="2" customWidth="1"/>
    <col min="3851" max="4091" width="9.125" style="2"/>
    <col min="4092" max="4092" width="3.375" style="2" customWidth="1"/>
    <col min="4093" max="4093" width="32.25" style="2" customWidth="1"/>
    <col min="4094" max="4094" width="13" style="2" customWidth="1"/>
    <col min="4095" max="4101" width="9.625" style="2" customWidth="1"/>
    <col min="4102" max="4103" width="11.375" style="2" customWidth="1"/>
    <col min="4104" max="4105" width="9.125" style="2"/>
    <col min="4106" max="4106" width="18.375" style="2" customWidth="1"/>
    <col min="4107" max="4347" width="9.125" style="2"/>
    <col min="4348" max="4348" width="3.375" style="2" customWidth="1"/>
    <col min="4349" max="4349" width="32.25" style="2" customWidth="1"/>
    <col min="4350" max="4350" width="13" style="2" customWidth="1"/>
    <col min="4351" max="4357" width="9.625" style="2" customWidth="1"/>
    <col min="4358" max="4359" width="11.375" style="2" customWidth="1"/>
    <col min="4360" max="4361" width="9.125" style="2"/>
    <col min="4362" max="4362" width="18.375" style="2" customWidth="1"/>
    <col min="4363" max="4603" width="9.125" style="2"/>
    <col min="4604" max="4604" width="3.375" style="2" customWidth="1"/>
    <col min="4605" max="4605" width="32.25" style="2" customWidth="1"/>
    <col min="4606" max="4606" width="13" style="2" customWidth="1"/>
    <col min="4607" max="4613" width="9.625" style="2" customWidth="1"/>
    <col min="4614" max="4615" width="11.375" style="2" customWidth="1"/>
    <col min="4616" max="4617" width="9.125" style="2"/>
    <col min="4618" max="4618" width="18.375" style="2" customWidth="1"/>
    <col min="4619" max="4859" width="9.125" style="2"/>
    <col min="4860" max="4860" width="3.375" style="2" customWidth="1"/>
    <col min="4861" max="4861" width="32.25" style="2" customWidth="1"/>
    <col min="4862" max="4862" width="13" style="2" customWidth="1"/>
    <col min="4863" max="4869" width="9.625" style="2" customWidth="1"/>
    <col min="4870" max="4871" width="11.375" style="2" customWidth="1"/>
    <col min="4872" max="4873" width="9.125" style="2"/>
    <col min="4874" max="4874" width="18.375" style="2" customWidth="1"/>
    <col min="4875" max="5115" width="9.125" style="2"/>
    <col min="5116" max="5116" width="3.375" style="2" customWidth="1"/>
    <col min="5117" max="5117" width="32.25" style="2" customWidth="1"/>
    <col min="5118" max="5118" width="13" style="2" customWidth="1"/>
    <col min="5119" max="5125" width="9.625" style="2" customWidth="1"/>
    <col min="5126" max="5127" width="11.375" style="2" customWidth="1"/>
    <col min="5128" max="5129" width="9.125" style="2"/>
    <col min="5130" max="5130" width="18.375" style="2" customWidth="1"/>
    <col min="5131" max="5371" width="9.125" style="2"/>
    <col min="5372" max="5372" width="3.375" style="2" customWidth="1"/>
    <col min="5373" max="5373" width="32.25" style="2" customWidth="1"/>
    <col min="5374" max="5374" width="13" style="2" customWidth="1"/>
    <col min="5375" max="5381" width="9.625" style="2" customWidth="1"/>
    <col min="5382" max="5383" width="11.375" style="2" customWidth="1"/>
    <col min="5384" max="5385" width="9.125" style="2"/>
    <col min="5386" max="5386" width="18.375" style="2" customWidth="1"/>
    <col min="5387" max="5627" width="9.125" style="2"/>
    <col min="5628" max="5628" width="3.375" style="2" customWidth="1"/>
    <col min="5629" max="5629" width="32.25" style="2" customWidth="1"/>
    <col min="5630" max="5630" width="13" style="2" customWidth="1"/>
    <col min="5631" max="5637" width="9.625" style="2" customWidth="1"/>
    <col min="5638" max="5639" width="11.375" style="2" customWidth="1"/>
    <col min="5640" max="5641" width="9.125" style="2"/>
    <col min="5642" max="5642" width="18.375" style="2" customWidth="1"/>
    <col min="5643" max="5883" width="9.125" style="2"/>
    <col min="5884" max="5884" width="3.375" style="2" customWidth="1"/>
    <col min="5885" max="5885" width="32.25" style="2" customWidth="1"/>
    <col min="5886" max="5886" width="13" style="2" customWidth="1"/>
    <col min="5887" max="5893" width="9.625" style="2" customWidth="1"/>
    <col min="5894" max="5895" width="11.375" style="2" customWidth="1"/>
    <col min="5896" max="5897" width="9.125" style="2"/>
    <col min="5898" max="5898" width="18.375" style="2" customWidth="1"/>
    <col min="5899" max="6139" width="9.125" style="2"/>
    <col min="6140" max="6140" width="3.375" style="2" customWidth="1"/>
    <col min="6141" max="6141" width="32.25" style="2" customWidth="1"/>
    <col min="6142" max="6142" width="13" style="2" customWidth="1"/>
    <col min="6143" max="6149" width="9.625" style="2" customWidth="1"/>
    <col min="6150" max="6151" width="11.375" style="2" customWidth="1"/>
    <col min="6152" max="6153" width="9.125" style="2"/>
    <col min="6154" max="6154" width="18.375" style="2" customWidth="1"/>
    <col min="6155" max="6395" width="9.125" style="2"/>
    <col min="6396" max="6396" width="3.375" style="2" customWidth="1"/>
    <col min="6397" max="6397" width="32.25" style="2" customWidth="1"/>
    <col min="6398" max="6398" width="13" style="2" customWidth="1"/>
    <col min="6399" max="6405" width="9.625" style="2" customWidth="1"/>
    <col min="6406" max="6407" width="11.375" style="2" customWidth="1"/>
    <col min="6408" max="6409" width="9.125" style="2"/>
    <col min="6410" max="6410" width="18.375" style="2" customWidth="1"/>
    <col min="6411" max="6651" width="9.125" style="2"/>
    <col min="6652" max="6652" width="3.375" style="2" customWidth="1"/>
    <col min="6653" max="6653" width="32.25" style="2" customWidth="1"/>
    <col min="6654" max="6654" width="13" style="2" customWidth="1"/>
    <col min="6655" max="6661" width="9.625" style="2" customWidth="1"/>
    <col min="6662" max="6663" width="11.375" style="2" customWidth="1"/>
    <col min="6664" max="6665" width="9.125" style="2"/>
    <col min="6666" max="6666" width="18.375" style="2" customWidth="1"/>
    <col min="6667" max="6907" width="9.125" style="2"/>
    <col min="6908" max="6908" width="3.375" style="2" customWidth="1"/>
    <col min="6909" max="6909" width="32.25" style="2" customWidth="1"/>
    <col min="6910" max="6910" width="13" style="2" customWidth="1"/>
    <col min="6911" max="6917" width="9.625" style="2" customWidth="1"/>
    <col min="6918" max="6919" width="11.375" style="2" customWidth="1"/>
    <col min="6920" max="6921" width="9.125" style="2"/>
    <col min="6922" max="6922" width="18.375" style="2" customWidth="1"/>
    <col min="6923" max="7163" width="9.125" style="2"/>
    <col min="7164" max="7164" width="3.375" style="2" customWidth="1"/>
    <col min="7165" max="7165" width="32.25" style="2" customWidth="1"/>
    <col min="7166" max="7166" width="13" style="2" customWidth="1"/>
    <col min="7167" max="7173" width="9.625" style="2" customWidth="1"/>
    <col min="7174" max="7175" width="11.375" style="2" customWidth="1"/>
    <col min="7176" max="7177" width="9.125" style="2"/>
    <col min="7178" max="7178" width="18.375" style="2" customWidth="1"/>
    <col min="7179" max="7419" width="9.125" style="2"/>
    <col min="7420" max="7420" width="3.375" style="2" customWidth="1"/>
    <col min="7421" max="7421" width="32.25" style="2" customWidth="1"/>
    <col min="7422" max="7422" width="13" style="2" customWidth="1"/>
    <col min="7423" max="7429" width="9.625" style="2" customWidth="1"/>
    <col min="7430" max="7431" width="11.375" style="2" customWidth="1"/>
    <col min="7432" max="7433" width="9.125" style="2"/>
    <col min="7434" max="7434" width="18.375" style="2" customWidth="1"/>
    <col min="7435" max="7675" width="9.125" style="2"/>
    <col min="7676" max="7676" width="3.375" style="2" customWidth="1"/>
    <col min="7677" max="7677" width="32.25" style="2" customWidth="1"/>
    <col min="7678" max="7678" width="13" style="2" customWidth="1"/>
    <col min="7679" max="7685" width="9.625" style="2" customWidth="1"/>
    <col min="7686" max="7687" width="11.375" style="2" customWidth="1"/>
    <col min="7688" max="7689" width="9.125" style="2"/>
    <col min="7690" max="7690" width="18.375" style="2" customWidth="1"/>
    <col min="7691" max="7931" width="9.125" style="2"/>
    <col min="7932" max="7932" width="3.375" style="2" customWidth="1"/>
    <col min="7933" max="7933" width="32.25" style="2" customWidth="1"/>
    <col min="7934" max="7934" width="13" style="2" customWidth="1"/>
    <col min="7935" max="7941" width="9.625" style="2" customWidth="1"/>
    <col min="7942" max="7943" width="11.375" style="2" customWidth="1"/>
    <col min="7944" max="7945" width="9.125" style="2"/>
    <col min="7946" max="7946" width="18.375" style="2" customWidth="1"/>
    <col min="7947" max="8187" width="9.125" style="2"/>
    <col min="8188" max="8188" width="3.375" style="2" customWidth="1"/>
    <col min="8189" max="8189" width="32.25" style="2" customWidth="1"/>
    <col min="8190" max="8190" width="13" style="2" customWidth="1"/>
    <col min="8191" max="8197" width="9.625" style="2" customWidth="1"/>
    <col min="8198" max="8199" width="11.375" style="2" customWidth="1"/>
    <col min="8200" max="8201" width="9.125" style="2"/>
    <col min="8202" max="8202" width="18.375" style="2" customWidth="1"/>
    <col min="8203" max="8443" width="9.125" style="2"/>
    <col min="8444" max="8444" width="3.375" style="2" customWidth="1"/>
    <col min="8445" max="8445" width="32.25" style="2" customWidth="1"/>
    <col min="8446" max="8446" width="13" style="2" customWidth="1"/>
    <col min="8447" max="8453" width="9.625" style="2" customWidth="1"/>
    <col min="8454" max="8455" width="11.375" style="2" customWidth="1"/>
    <col min="8456" max="8457" width="9.125" style="2"/>
    <col min="8458" max="8458" width="18.375" style="2" customWidth="1"/>
    <col min="8459" max="8699" width="9.125" style="2"/>
    <col min="8700" max="8700" width="3.375" style="2" customWidth="1"/>
    <col min="8701" max="8701" width="32.25" style="2" customWidth="1"/>
    <col min="8702" max="8702" width="13" style="2" customWidth="1"/>
    <col min="8703" max="8709" width="9.625" style="2" customWidth="1"/>
    <col min="8710" max="8711" width="11.375" style="2" customWidth="1"/>
    <col min="8712" max="8713" width="9.125" style="2"/>
    <col min="8714" max="8714" width="18.375" style="2" customWidth="1"/>
    <col min="8715" max="8955" width="9.125" style="2"/>
    <col min="8956" max="8956" width="3.375" style="2" customWidth="1"/>
    <col min="8957" max="8957" width="32.25" style="2" customWidth="1"/>
    <col min="8958" max="8958" width="13" style="2" customWidth="1"/>
    <col min="8959" max="8965" width="9.625" style="2" customWidth="1"/>
    <col min="8966" max="8967" width="11.375" style="2" customWidth="1"/>
    <col min="8968" max="8969" width="9.125" style="2"/>
    <col min="8970" max="8970" width="18.375" style="2" customWidth="1"/>
    <col min="8971" max="9211" width="9.125" style="2"/>
    <col min="9212" max="9212" width="3.375" style="2" customWidth="1"/>
    <col min="9213" max="9213" width="32.25" style="2" customWidth="1"/>
    <col min="9214" max="9214" width="13" style="2" customWidth="1"/>
    <col min="9215" max="9221" width="9.625" style="2" customWidth="1"/>
    <col min="9222" max="9223" width="11.375" style="2" customWidth="1"/>
    <col min="9224" max="9225" width="9.125" style="2"/>
    <col min="9226" max="9226" width="18.375" style="2" customWidth="1"/>
    <col min="9227" max="9467" width="9.125" style="2"/>
    <col min="9468" max="9468" width="3.375" style="2" customWidth="1"/>
    <col min="9469" max="9469" width="32.25" style="2" customWidth="1"/>
    <col min="9470" max="9470" width="13" style="2" customWidth="1"/>
    <col min="9471" max="9477" width="9.625" style="2" customWidth="1"/>
    <col min="9478" max="9479" width="11.375" style="2" customWidth="1"/>
    <col min="9480" max="9481" width="9.125" style="2"/>
    <col min="9482" max="9482" width="18.375" style="2" customWidth="1"/>
    <col min="9483" max="9723" width="9.125" style="2"/>
    <col min="9724" max="9724" width="3.375" style="2" customWidth="1"/>
    <col min="9725" max="9725" width="32.25" style="2" customWidth="1"/>
    <col min="9726" max="9726" width="13" style="2" customWidth="1"/>
    <col min="9727" max="9733" width="9.625" style="2" customWidth="1"/>
    <col min="9734" max="9735" width="11.375" style="2" customWidth="1"/>
    <col min="9736" max="9737" width="9.125" style="2"/>
    <col min="9738" max="9738" width="18.375" style="2" customWidth="1"/>
    <col min="9739" max="9979" width="9.125" style="2"/>
    <col min="9980" max="9980" width="3.375" style="2" customWidth="1"/>
    <col min="9981" max="9981" width="32.25" style="2" customWidth="1"/>
    <col min="9982" max="9982" width="13" style="2" customWidth="1"/>
    <col min="9983" max="9989" width="9.625" style="2" customWidth="1"/>
    <col min="9990" max="9991" width="11.375" style="2" customWidth="1"/>
    <col min="9992" max="9993" width="9.125" style="2"/>
    <col min="9994" max="9994" width="18.375" style="2" customWidth="1"/>
    <col min="9995" max="10235" width="9.125" style="2"/>
    <col min="10236" max="10236" width="3.375" style="2" customWidth="1"/>
    <col min="10237" max="10237" width="32.25" style="2" customWidth="1"/>
    <col min="10238" max="10238" width="13" style="2" customWidth="1"/>
    <col min="10239" max="10245" width="9.625" style="2" customWidth="1"/>
    <col min="10246" max="10247" width="11.375" style="2" customWidth="1"/>
    <col min="10248" max="10249" width="9.125" style="2"/>
    <col min="10250" max="10250" width="18.375" style="2" customWidth="1"/>
    <col min="10251" max="10491" width="9.125" style="2"/>
    <col min="10492" max="10492" width="3.375" style="2" customWidth="1"/>
    <col min="10493" max="10493" width="32.25" style="2" customWidth="1"/>
    <col min="10494" max="10494" width="13" style="2" customWidth="1"/>
    <col min="10495" max="10501" width="9.625" style="2" customWidth="1"/>
    <col min="10502" max="10503" width="11.375" style="2" customWidth="1"/>
    <col min="10504" max="10505" width="9.125" style="2"/>
    <col min="10506" max="10506" width="18.375" style="2" customWidth="1"/>
    <col min="10507" max="10747" width="9.125" style="2"/>
    <col min="10748" max="10748" width="3.375" style="2" customWidth="1"/>
    <col min="10749" max="10749" width="32.25" style="2" customWidth="1"/>
    <col min="10750" max="10750" width="13" style="2" customWidth="1"/>
    <col min="10751" max="10757" width="9.625" style="2" customWidth="1"/>
    <col min="10758" max="10759" width="11.375" style="2" customWidth="1"/>
    <col min="10760" max="10761" width="9.125" style="2"/>
    <col min="10762" max="10762" width="18.375" style="2" customWidth="1"/>
    <col min="10763" max="11003" width="9.125" style="2"/>
    <col min="11004" max="11004" width="3.375" style="2" customWidth="1"/>
    <col min="11005" max="11005" width="32.25" style="2" customWidth="1"/>
    <col min="11006" max="11006" width="13" style="2" customWidth="1"/>
    <col min="11007" max="11013" width="9.625" style="2" customWidth="1"/>
    <col min="11014" max="11015" width="11.375" style="2" customWidth="1"/>
    <col min="11016" max="11017" width="9.125" style="2"/>
    <col min="11018" max="11018" width="18.375" style="2" customWidth="1"/>
    <col min="11019" max="11259" width="9.125" style="2"/>
    <col min="11260" max="11260" width="3.375" style="2" customWidth="1"/>
    <col min="11261" max="11261" width="32.25" style="2" customWidth="1"/>
    <col min="11262" max="11262" width="13" style="2" customWidth="1"/>
    <col min="11263" max="11269" width="9.625" style="2" customWidth="1"/>
    <col min="11270" max="11271" width="11.375" style="2" customWidth="1"/>
    <col min="11272" max="11273" width="9.125" style="2"/>
    <col min="11274" max="11274" width="18.375" style="2" customWidth="1"/>
    <col min="11275" max="11515" width="9.125" style="2"/>
    <col min="11516" max="11516" width="3.375" style="2" customWidth="1"/>
    <col min="11517" max="11517" width="32.25" style="2" customWidth="1"/>
    <col min="11518" max="11518" width="13" style="2" customWidth="1"/>
    <col min="11519" max="11525" width="9.625" style="2" customWidth="1"/>
    <col min="11526" max="11527" width="11.375" style="2" customWidth="1"/>
    <col min="11528" max="11529" width="9.125" style="2"/>
    <col min="11530" max="11530" width="18.375" style="2" customWidth="1"/>
    <col min="11531" max="11771" width="9.125" style="2"/>
    <col min="11772" max="11772" width="3.375" style="2" customWidth="1"/>
    <col min="11773" max="11773" width="32.25" style="2" customWidth="1"/>
    <col min="11774" max="11774" width="13" style="2" customWidth="1"/>
    <col min="11775" max="11781" width="9.625" style="2" customWidth="1"/>
    <col min="11782" max="11783" width="11.375" style="2" customWidth="1"/>
    <col min="11784" max="11785" width="9.125" style="2"/>
    <col min="11786" max="11786" width="18.375" style="2" customWidth="1"/>
    <col min="11787" max="12027" width="9.125" style="2"/>
    <col min="12028" max="12028" width="3.375" style="2" customWidth="1"/>
    <col min="12029" max="12029" width="32.25" style="2" customWidth="1"/>
    <col min="12030" max="12030" width="13" style="2" customWidth="1"/>
    <col min="12031" max="12037" width="9.625" style="2" customWidth="1"/>
    <col min="12038" max="12039" width="11.375" style="2" customWidth="1"/>
    <col min="12040" max="12041" width="9.125" style="2"/>
    <col min="12042" max="12042" width="18.375" style="2" customWidth="1"/>
    <col min="12043" max="12283" width="9.125" style="2"/>
    <col min="12284" max="12284" width="3.375" style="2" customWidth="1"/>
    <col min="12285" max="12285" width="32.25" style="2" customWidth="1"/>
    <col min="12286" max="12286" width="13" style="2" customWidth="1"/>
    <col min="12287" max="12293" width="9.625" style="2" customWidth="1"/>
    <col min="12294" max="12295" width="11.375" style="2" customWidth="1"/>
    <col min="12296" max="12297" width="9.125" style="2"/>
    <col min="12298" max="12298" width="18.375" style="2" customWidth="1"/>
    <col min="12299" max="12539" width="9.125" style="2"/>
    <col min="12540" max="12540" width="3.375" style="2" customWidth="1"/>
    <col min="12541" max="12541" width="32.25" style="2" customWidth="1"/>
    <col min="12542" max="12542" width="13" style="2" customWidth="1"/>
    <col min="12543" max="12549" width="9.625" style="2" customWidth="1"/>
    <col min="12550" max="12551" width="11.375" style="2" customWidth="1"/>
    <col min="12552" max="12553" width="9.125" style="2"/>
    <col min="12554" max="12554" width="18.375" style="2" customWidth="1"/>
    <col min="12555" max="12795" width="9.125" style="2"/>
    <col min="12796" max="12796" width="3.375" style="2" customWidth="1"/>
    <col min="12797" max="12797" width="32.25" style="2" customWidth="1"/>
    <col min="12798" max="12798" width="13" style="2" customWidth="1"/>
    <col min="12799" max="12805" width="9.625" style="2" customWidth="1"/>
    <col min="12806" max="12807" width="11.375" style="2" customWidth="1"/>
    <col min="12808" max="12809" width="9.125" style="2"/>
    <col min="12810" max="12810" width="18.375" style="2" customWidth="1"/>
    <col min="12811" max="13051" width="9.125" style="2"/>
    <col min="13052" max="13052" width="3.375" style="2" customWidth="1"/>
    <col min="13053" max="13053" width="32.25" style="2" customWidth="1"/>
    <col min="13054" max="13054" width="13" style="2" customWidth="1"/>
    <col min="13055" max="13061" width="9.625" style="2" customWidth="1"/>
    <col min="13062" max="13063" width="11.375" style="2" customWidth="1"/>
    <col min="13064" max="13065" width="9.125" style="2"/>
    <col min="13066" max="13066" width="18.375" style="2" customWidth="1"/>
    <col min="13067" max="13307" width="9.125" style="2"/>
    <col min="13308" max="13308" width="3.375" style="2" customWidth="1"/>
    <col min="13309" max="13309" width="32.25" style="2" customWidth="1"/>
    <col min="13310" max="13310" width="13" style="2" customWidth="1"/>
    <col min="13311" max="13317" width="9.625" style="2" customWidth="1"/>
    <col min="13318" max="13319" width="11.375" style="2" customWidth="1"/>
    <col min="13320" max="13321" width="9.125" style="2"/>
    <col min="13322" max="13322" width="18.375" style="2" customWidth="1"/>
    <col min="13323" max="13563" width="9.125" style="2"/>
    <col min="13564" max="13564" width="3.375" style="2" customWidth="1"/>
    <col min="13565" max="13565" width="32.25" style="2" customWidth="1"/>
    <col min="13566" max="13566" width="13" style="2" customWidth="1"/>
    <col min="13567" max="13573" width="9.625" style="2" customWidth="1"/>
    <col min="13574" max="13575" width="11.375" style="2" customWidth="1"/>
    <col min="13576" max="13577" width="9.125" style="2"/>
    <col min="13578" max="13578" width="18.375" style="2" customWidth="1"/>
    <col min="13579" max="13819" width="9.125" style="2"/>
    <col min="13820" max="13820" width="3.375" style="2" customWidth="1"/>
    <col min="13821" max="13821" width="32.25" style="2" customWidth="1"/>
    <col min="13822" max="13822" width="13" style="2" customWidth="1"/>
    <col min="13823" max="13829" width="9.625" style="2" customWidth="1"/>
    <col min="13830" max="13831" width="11.375" style="2" customWidth="1"/>
    <col min="13832" max="13833" width="9.125" style="2"/>
    <col min="13834" max="13834" width="18.375" style="2" customWidth="1"/>
    <col min="13835" max="14075" width="9.125" style="2"/>
    <col min="14076" max="14076" width="3.375" style="2" customWidth="1"/>
    <col min="14077" max="14077" width="32.25" style="2" customWidth="1"/>
    <col min="14078" max="14078" width="13" style="2" customWidth="1"/>
    <col min="14079" max="14085" width="9.625" style="2" customWidth="1"/>
    <col min="14086" max="14087" width="11.375" style="2" customWidth="1"/>
    <col min="14088" max="14089" width="9.125" style="2"/>
    <col min="14090" max="14090" width="18.375" style="2" customWidth="1"/>
    <col min="14091" max="14331" width="9.125" style="2"/>
    <col min="14332" max="14332" width="3.375" style="2" customWidth="1"/>
    <col min="14333" max="14333" width="32.25" style="2" customWidth="1"/>
    <col min="14334" max="14334" width="13" style="2" customWidth="1"/>
    <col min="14335" max="14341" width="9.625" style="2" customWidth="1"/>
    <col min="14342" max="14343" width="11.375" style="2" customWidth="1"/>
    <col min="14344" max="14345" width="9.125" style="2"/>
    <col min="14346" max="14346" width="18.375" style="2" customWidth="1"/>
    <col min="14347" max="14587" width="9.125" style="2"/>
    <col min="14588" max="14588" width="3.375" style="2" customWidth="1"/>
    <col min="14589" max="14589" width="32.25" style="2" customWidth="1"/>
    <col min="14590" max="14590" width="13" style="2" customWidth="1"/>
    <col min="14591" max="14597" width="9.625" style="2" customWidth="1"/>
    <col min="14598" max="14599" width="11.375" style="2" customWidth="1"/>
    <col min="14600" max="14601" width="9.125" style="2"/>
    <col min="14602" max="14602" width="18.375" style="2" customWidth="1"/>
    <col min="14603" max="14843" width="9.125" style="2"/>
    <col min="14844" max="14844" width="3.375" style="2" customWidth="1"/>
    <col min="14845" max="14845" width="32.25" style="2" customWidth="1"/>
    <col min="14846" max="14846" width="13" style="2" customWidth="1"/>
    <col min="14847" max="14853" width="9.625" style="2" customWidth="1"/>
    <col min="14854" max="14855" width="11.375" style="2" customWidth="1"/>
    <col min="14856" max="14857" width="9.125" style="2"/>
    <col min="14858" max="14858" width="18.375" style="2" customWidth="1"/>
    <col min="14859" max="15099" width="9.125" style="2"/>
    <col min="15100" max="15100" width="3.375" style="2" customWidth="1"/>
    <col min="15101" max="15101" width="32.25" style="2" customWidth="1"/>
    <col min="15102" max="15102" width="13" style="2" customWidth="1"/>
    <col min="15103" max="15109" width="9.625" style="2" customWidth="1"/>
    <col min="15110" max="15111" width="11.375" style="2" customWidth="1"/>
    <col min="15112" max="15113" width="9.125" style="2"/>
    <col min="15114" max="15114" width="18.375" style="2" customWidth="1"/>
    <col min="15115" max="15355" width="9.125" style="2"/>
    <col min="15356" max="15356" width="3.375" style="2" customWidth="1"/>
    <col min="15357" max="15357" width="32.25" style="2" customWidth="1"/>
    <col min="15358" max="15358" width="13" style="2" customWidth="1"/>
    <col min="15359" max="15365" width="9.625" style="2" customWidth="1"/>
    <col min="15366" max="15367" width="11.375" style="2" customWidth="1"/>
    <col min="15368" max="15369" width="9.125" style="2"/>
    <col min="15370" max="15370" width="18.375" style="2" customWidth="1"/>
    <col min="15371" max="15611" width="9.125" style="2"/>
    <col min="15612" max="15612" width="3.375" style="2" customWidth="1"/>
    <col min="15613" max="15613" width="32.25" style="2" customWidth="1"/>
    <col min="15614" max="15614" width="13" style="2" customWidth="1"/>
    <col min="15615" max="15621" width="9.625" style="2" customWidth="1"/>
    <col min="15622" max="15623" width="11.375" style="2" customWidth="1"/>
    <col min="15624" max="15625" width="9.125" style="2"/>
    <col min="15626" max="15626" width="18.375" style="2" customWidth="1"/>
    <col min="15627" max="15867" width="9.125" style="2"/>
    <col min="15868" max="15868" width="3.375" style="2" customWidth="1"/>
    <col min="15869" max="15869" width="32.25" style="2" customWidth="1"/>
    <col min="15870" max="15870" width="13" style="2" customWidth="1"/>
    <col min="15871" max="15877" width="9.625" style="2" customWidth="1"/>
    <col min="15878" max="15879" width="11.375" style="2" customWidth="1"/>
    <col min="15880" max="15881" width="9.125" style="2"/>
    <col min="15882" max="15882" width="18.375" style="2" customWidth="1"/>
    <col min="15883" max="16123" width="9.125" style="2"/>
    <col min="16124" max="16124" width="3.375" style="2" customWidth="1"/>
    <col min="16125" max="16125" width="32.25" style="2" customWidth="1"/>
    <col min="16126" max="16126" width="13" style="2" customWidth="1"/>
    <col min="16127" max="16133" width="9.625" style="2" customWidth="1"/>
    <col min="16134" max="16135" width="11.375" style="2" customWidth="1"/>
    <col min="16136" max="16137" width="9.125" style="2"/>
    <col min="16138" max="16138" width="18.375" style="2" customWidth="1"/>
    <col min="16139" max="16384" width="9.125" style="2"/>
  </cols>
  <sheetData>
    <row r="1" spans="1:34" ht="18.75" x14ac:dyDescent="0.3">
      <c r="A1" s="135" t="s">
        <v>100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</row>
    <row r="2" spans="1:34" ht="18.75" x14ac:dyDescent="0.3">
      <c r="A2" s="136" t="s">
        <v>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</row>
    <row r="3" spans="1:34" ht="19.5" thickBot="1" x14ac:dyDescent="0.35">
      <c r="A3" s="137" t="s">
        <v>145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</row>
    <row r="4" spans="1:34" ht="15" customHeight="1" x14ac:dyDescent="0.25">
      <c r="A4" s="124" t="s">
        <v>1</v>
      </c>
      <c r="B4" s="127" t="s">
        <v>2</v>
      </c>
      <c r="C4" s="124" t="s">
        <v>3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31" t="s">
        <v>101</v>
      </c>
      <c r="AG4" s="134" t="s">
        <v>99</v>
      </c>
    </row>
    <row r="5" spans="1:34" x14ac:dyDescent="0.25">
      <c r="A5" s="125"/>
      <c r="B5" s="128"/>
      <c r="C5" s="125"/>
      <c r="D5" s="89">
        <v>1</v>
      </c>
      <c r="E5" s="89">
        <v>2</v>
      </c>
      <c r="F5" s="89">
        <v>3</v>
      </c>
      <c r="G5" s="89">
        <v>4</v>
      </c>
      <c r="H5" s="89">
        <v>5</v>
      </c>
      <c r="I5" s="89">
        <v>6</v>
      </c>
      <c r="J5" s="89">
        <v>7</v>
      </c>
      <c r="K5" s="89">
        <v>8</v>
      </c>
      <c r="L5" s="89">
        <v>9</v>
      </c>
      <c r="M5" s="89">
        <v>10</v>
      </c>
      <c r="N5" s="89">
        <v>11</v>
      </c>
      <c r="O5" s="89">
        <v>12</v>
      </c>
      <c r="P5" s="89">
        <v>13</v>
      </c>
      <c r="Q5" s="89">
        <v>14</v>
      </c>
      <c r="R5" s="89">
        <v>15</v>
      </c>
      <c r="S5" s="89">
        <v>16</v>
      </c>
      <c r="T5" s="89">
        <v>17</v>
      </c>
      <c r="U5" s="89">
        <v>18</v>
      </c>
      <c r="V5" s="89">
        <v>19</v>
      </c>
      <c r="W5" s="89">
        <v>20</v>
      </c>
      <c r="X5" s="89">
        <v>21</v>
      </c>
      <c r="Y5" s="89">
        <v>24</v>
      </c>
      <c r="Z5" s="89">
        <v>25</v>
      </c>
      <c r="AA5" s="89">
        <v>26</v>
      </c>
      <c r="AB5" s="89">
        <v>27</v>
      </c>
      <c r="AC5" s="89">
        <v>28</v>
      </c>
      <c r="AD5" s="89">
        <v>29</v>
      </c>
      <c r="AE5" s="89">
        <v>30</v>
      </c>
      <c r="AF5" s="132"/>
      <c r="AG5" s="132"/>
    </row>
    <row r="6" spans="1:34" ht="21" customHeight="1" thickBot="1" x14ac:dyDescent="0.3">
      <c r="A6" s="126"/>
      <c r="B6" s="129"/>
      <c r="C6" s="126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33"/>
      <c r="AG6" s="133"/>
    </row>
    <row r="7" spans="1:34" x14ac:dyDescent="0.25">
      <c r="A7" s="130">
        <v>1</v>
      </c>
      <c r="B7" s="113" t="s">
        <v>4</v>
      </c>
      <c r="C7" s="114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05"/>
      <c r="AG7" s="104"/>
    </row>
    <row r="8" spans="1:34" x14ac:dyDescent="0.25">
      <c r="A8" s="122"/>
      <c r="B8" s="107" t="s">
        <v>103</v>
      </c>
      <c r="C8" s="108" t="s">
        <v>5</v>
      </c>
      <c r="D8" s="90">
        <f>'1'!K8</f>
        <v>13428.571428571429</v>
      </c>
      <c r="E8" s="90">
        <f>'2'!K8</f>
        <v>13500</v>
      </c>
      <c r="F8" s="90">
        <f>'3'!K8</f>
        <v>13500</v>
      </c>
      <c r="G8" s="90">
        <f>'4'!K8</f>
        <v>13500</v>
      </c>
      <c r="H8" s="90">
        <f>'5'!K8</f>
        <v>13500</v>
      </c>
      <c r="I8" s="90">
        <f>'6'!K8</f>
        <v>13500</v>
      </c>
      <c r="J8" s="90">
        <f>'7'!K8</f>
        <v>13500</v>
      </c>
      <c r="K8" s="90">
        <f>'8'!K8</f>
        <v>13500</v>
      </c>
      <c r="L8" s="90">
        <f>'9'!K8</f>
        <v>13357.142857142857</v>
      </c>
      <c r="M8" s="90">
        <f>'10'!K8</f>
        <v>13357.142857142857</v>
      </c>
      <c r="N8" s="90">
        <f>'11'!K8</f>
        <v>13357.142857142857</v>
      </c>
      <c r="O8" s="90">
        <f>'12'!K8</f>
        <v>13357.142857142857</v>
      </c>
      <c r="P8" s="90">
        <f>'13'!K8</f>
        <v>13357.142857142857</v>
      </c>
      <c r="Q8" s="90">
        <f>'14'!K8</f>
        <v>13357.142857142857</v>
      </c>
      <c r="R8" s="90">
        <f>'15'!K8</f>
        <v>13357.142857142857</v>
      </c>
      <c r="S8" s="90">
        <f>'16'!K8</f>
        <v>13357.142857142857</v>
      </c>
      <c r="T8" s="90">
        <f>'17'!K8</f>
        <v>13357.142857142857</v>
      </c>
      <c r="U8" s="90">
        <f>'18'!K8</f>
        <v>13357.142857142857</v>
      </c>
      <c r="V8" s="90">
        <f>'19'!K8</f>
        <v>13357.142857142857</v>
      </c>
      <c r="W8" s="90">
        <f>'20'!K8</f>
        <v>13357.142857142857</v>
      </c>
      <c r="X8" s="90">
        <f>'21'!K8</f>
        <v>13357.142857142857</v>
      </c>
      <c r="Y8" s="90">
        <f>'24'!K8</f>
        <v>13357.142857142857</v>
      </c>
      <c r="Z8" s="90">
        <f>'25'!K8</f>
        <v>13642.857142857143</v>
      </c>
      <c r="AA8" s="90">
        <f>'26'!K8</f>
        <v>13642.857142857143</v>
      </c>
      <c r="AB8" s="90">
        <f>'27'!K8</f>
        <v>13642.857142857143</v>
      </c>
      <c r="AC8" s="90">
        <f>'28'!K8</f>
        <v>13357.142857142857</v>
      </c>
      <c r="AD8" s="90">
        <f>'29'!K8</f>
        <v>13500</v>
      </c>
      <c r="AE8" s="90">
        <f>'30'!K8</f>
        <v>13500</v>
      </c>
      <c r="AF8" s="90">
        <v>12800</v>
      </c>
      <c r="AG8" s="90">
        <f>AE8-D8</f>
        <v>71.428571428570649</v>
      </c>
      <c r="AH8" s="189">
        <f>AVERAGE(D8:AE8)</f>
        <v>13436.224489795921</v>
      </c>
    </row>
    <row r="9" spans="1:34" x14ac:dyDescent="0.25">
      <c r="A9" s="122"/>
      <c r="B9" s="107" t="s">
        <v>104</v>
      </c>
      <c r="C9" s="108" t="s">
        <v>5</v>
      </c>
      <c r="D9" s="90">
        <f>'1'!K9</f>
        <v>9566.6666666666661</v>
      </c>
      <c r="E9" s="90">
        <f>'2'!K9</f>
        <v>9566.6666666666661</v>
      </c>
      <c r="F9" s="90">
        <f>'3'!K9</f>
        <v>9566.6666666666661</v>
      </c>
      <c r="G9" s="90">
        <f>'4'!K9</f>
        <v>9750</v>
      </c>
      <c r="H9" s="90">
        <f>'5'!K9</f>
        <v>9750</v>
      </c>
      <c r="I9" s="90">
        <f>'6'!K9</f>
        <v>9750</v>
      </c>
      <c r="J9" s="90">
        <f>'7'!K9</f>
        <v>9750</v>
      </c>
      <c r="K9" s="90">
        <f>'8'!K9</f>
        <v>9750</v>
      </c>
      <c r="L9" s="90">
        <f>'9'!K9</f>
        <v>9750</v>
      </c>
      <c r="M9" s="90">
        <f>'10'!K9</f>
        <v>9750</v>
      </c>
      <c r="N9" s="90">
        <f>'11'!K9</f>
        <v>9750</v>
      </c>
      <c r="O9" s="90">
        <f>'12'!K9</f>
        <v>9750</v>
      </c>
      <c r="P9" s="90">
        <f>'13'!K9</f>
        <v>9750</v>
      </c>
      <c r="Q9" s="90">
        <f>'14'!K9</f>
        <v>9750</v>
      </c>
      <c r="R9" s="90">
        <f>'15'!K9</f>
        <v>9750</v>
      </c>
      <c r="S9" s="90">
        <f>'16'!K9</f>
        <v>9750</v>
      </c>
      <c r="T9" s="90">
        <f>'17'!K9</f>
        <v>9750</v>
      </c>
      <c r="U9" s="90">
        <f>'18'!K9</f>
        <v>9750</v>
      </c>
      <c r="V9" s="90">
        <f>'19'!K9</f>
        <v>10000</v>
      </c>
      <c r="W9" s="90">
        <f>'20'!K9</f>
        <v>10000</v>
      </c>
      <c r="X9" s="90">
        <f>'21'!K9</f>
        <v>10000</v>
      </c>
      <c r="Y9" s="90">
        <f>'24'!K9</f>
        <v>10000</v>
      </c>
      <c r="Z9" s="90">
        <f>'25'!K9</f>
        <v>10666.666666666666</v>
      </c>
      <c r="AA9" s="90">
        <f>'26'!K9</f>
        <v>10666.666666666666</v>
      </c>
      <c r="AB9" s="90">
        <f>'27'!K9</f>
        <v>10666.666666666666</v>
      </c>
      <c r="AC9" s="90">
        <f>'28'!K9</f>
        <v>10333.333333333334</v>
      </c>
      <c r="AD9" s="90">
        <f>'29'!K9</f>
        <v>10333.333333333334</v>
      </c>
      <c r="AE9" s="90">
        <f>'30'!K9</f>
        <v>10333.333333333334</v>
      </c>
      <c r="AF9" s="90"/>
      <c r="AG9" s="90">
        <f t="shared" ref="AG9:AG72" si="0">AE9-D9</f>
        <v>766.66666666666788</v>
      </c>
      <c r="AH9" s="189">
        <f t="shared" ref="AH9:AH72" si="1">AVERAGE(D9:AE9)</f>
        <v>9926.7857142857119</v>
      </c>
    </row>
    <row r="10" spans="1:34" x14ac:dyDescent="0.25">
      <c r="A10" s="122"/>
      <c r="B10" s="107" t="s">
        <v>105</v>
      </c>
      <c r="C10" s="108" t="s">
        <v>5</v>
      </c>
      <c r="D10" s="90">
        <f>'1'!K10</f>
        <v>11166.666666666666</v>
      </c>
      <c r="E10" s="90">
        <f>'2'!K10</f>
        <v>11166.666666666666</v>
      </c>
      <c r="F10" s="90">
        <f>'3'!K10</f>
        <v>11333.333333333334</v>
      </c>
      <c r="G10" s="90">
        <f>'4'!K10</f>
        <v>11333.333333333334</v>
      </c>
      <c r="H10" s="90">
        <f>'5'!K10</f>
        <v>11333.333333333334</v>
      </c>
      <c r="I10" s="90">
        <f>'6'!K10</f>
        <v>11333.333333333334</v>
      </c>
      <c r="J10" s="90">
        <f>'7'!K10</f>
        <v>11333.333333333334</v>
      </c>
      <c r="K10" s="90">
        <f>'8'!K10</f>
        <v>11333.333333333334</v>
      </c>
      <c r="L10" s="90">
        <f>'9'!K10</f>
        <v>11333.333333333334</v>
      </c>
      <c r="M10" s="90">
        <f>'10'!K10</f>
        <v>11333.333333333334</v>
      </c>
      <c r="N10" s="90">
        <f>'11'!K10</f>
        <v>11333.333333333334</v>
      </c>
      <c r="O10" s="90">
        <f>'12'!K10</f>
        <v>11333.333333333334</v>
      </c>
      <c r="P10" s="90">
        <f>'13'!K10</f>
        <v>11333.333333333334</v>
      </c>
      <c r="Q10" s="90">
        <f>'14'!K10</f>
        <v>11333.333333333334</v>
      </c>
      <c r="R10" s="90">
        <f>'15'!K10</f>
        <v>11333.333333333334</v>
      </c>
      <c r="S10" s="90">
        <f>'16'!K10</f>
        <v>11333.333333333334</v>
      </c>
      <c r="T10" s="90">
        <f>'17'!K10</f>
        <v>11333.333333333334</v>
      </c>
      <c r="U10" s="90">
        <f>'18'!K10</f>
        <v>11333.333333333334</v>
      </c>
      <c r="V10" s="90">
        <f>'19'!K10</f>
        <v>11250</v>
      </c>
      <c r="W10" s="90">
        <f>'20'!K10</f>
        <v>11375</v>
      </c>
      <c r="X10" s="90">
        <f>'21'!K10</f>
        <v>11375</v>
      </c>
      <c r="Y10" s="90">
        <f>'24'!K10</f>
        <v>11375</v>
      </c>
      <c r="Z10" s="90">
        <f>'25'!K10</f>
        <v>11375</v>
      </c>
      <c r="AA10" s="90">
        <f>'26'!K10</f>
        <v>11375</v>
      </c>
      <c r="AB10" s="90">
        <f>'27'!K10</f>
        <v>11375</v>
      </c>
      <c r="AC10" s="90">
        <f>'28'!K10</f>
        <v>11375</v>
      </c>
      <c r="AD10" s="90">
        <f>'29'!K10</f>
        <v>11375</v>
      </c>
      <c r="AE10" s="90">
        <f>'30'!K10</f>
        <v>11375</v>
      </c>
      <c r="AF10" s="90">
        <v>9450</v>
      </c>
      <c r="AG10" s="90">
        <f t="shared" si="0"/>
        <v>208.33333333333394</v>
      </c>
      <c r="AH10" s="189">
        <f t="shared" si="1"/>
        <v>11331.84523809524</v>
      </c>
    </row>
    <row r="11" spans="1:34" x14ac:dyDescent="0.25">
      <c r="A11" s="122"/>
      <c r="B11" s="107" t="s">
        <v>6</v>
      </c>
      <c r="C11" s="108" t="s">
        <v>5</v>
      </c>
      <c r="D11" s="90">
        <f>'1'!K11</f>
        <v>10600</v>
      </c>
      <c r="E11" s="90">
        <f>'2'!K11</f>
        <v>10600</v>
      </c>
      <c r="F11" s="90">
        <f>'3'!K11</f>
        <v>10600</v>
      </c>
      <c r="G11" s="90">
        <f>'4'!K11</f>
        <v>10600</v>
      </c>
      <c r="H11" s="90">
        <f>'5'!K11</f>
        <v>10600</v>
      </c>
      <c r="I11" s="90">
        <f>'6'!K11</f>
        <v>10600</v>
      </c>
      <c r="J11" s="90">
        <f>'7'!K11</f>
        <v>10600</v>
      </c>
      <c r="K11" s="90">
        <f>'8'!K11</f>
        <v>10600</v>
      </c>
      <c r="L11" s="90">
        <f>'9'!K11</f>
        <v>10600</v>
      </c>
      <c r="M11" s="90">
        <f>'10'!K11</f>
        <v>10600</v>
      </c>
      <c r="N11" s="90">
        <f>'11'!K11</f>
        <v>10600</v>
      </c>
      <c r="O11" s="90">
        <f>'12'!K11</f>
        <v>10600</v>
      </c>
      <c r="P11" s="90">
        <f>'13'!K11</f>
        <v>10600</v>
      </c>
      <c r="Q11" s="90">
        <f>'14'!K11</f>
        <v>10600</v>
      </c>
      <c r="R11" s="90">
        <f>'15'!K11</f>
        <v>10600</v>
      </c>
      <c r="S11" s="90">
        <f>'16'!K11</f>
        <v>10600</v>
      </c>
      <c r="T11" s="90">
        <f>'17'!K11</f>
        <v>10600</v>
      </c>
      <c r="U11" s="90">
        <f>'18'!K11</f>
        <v>10600</v>
      </c>
      <c r="V11" s="90">
        <f>'19'!K11</f>
        <v>10600</v>
      </c>
      <c r="W11" s="90">
        <f>'20'!K11</f>
        <v>10600</v>
      </c>
      <c r="X11" s="90">
        <f>'21'!K11</f>
        <v>10600</v>
      </c>
      <c r="Y11" s="90">
        <f>'24'!K11</f>
        <v>10600</v>
      </c>
      <c r="Z11" s="90">
        <f>'25'!K11</f>
        <v>10600</v>
      </c>
      <c r="AA11" s="90">
        <f>'26'!K11</f>
        <v>10600</v>
      </c>
      <c r="AB11" s="90">
        <f>'27'!K11</f>
        <v>10600</v>
      </c>
      <c r="AC11" s="90">
        <f>'28'!K11</f>
        <v>10600</v>
      </c>
      <c r="AD11" s="90">
        <f>'29'!K11</f>
        <v>10600</v>
      </c>
      <c r="AE11" s="90">
        <f>'30'!K11</f>
        <v>10600</v>
      </c>
      <c r="AF11" s="90"/>
      <c r="AG11" s="90">
        <f t="shared" si="0"/>
        <v>0</v>
      </c>
      <c r="AH11" s="189">
        <f t="shared" si="1"/>
        <v>10600</v>
      </c>
    </row>
    <row r="12" spans="1:34" x14ac:dyDescent="0.25">
      <c r="A12" s="123"/>
      <c r="B12" s="107" t="s">
        <v>7</v>
      </c>
      <c r="C12" s="108" t="s">
        <v>5</v>
      </c>
      <c r="D12" s="90">
        <f>'1'!K12</f>
        <v>21000</v>
      </c>
      <c r="E12" s="90">
        <f>'2'!K12</f>
        <v>21000</v>
      </c>
      <c r="F12" s="90">
        <f>'3'!K12</f>
        <v>21000</v>
      </c>
      <c r="G12" s="90">
        <f>'4'!K12</f>
        <v>21000</v>
      </c>
      <c r="H12" s="90">
        <f>'5'!K12</f>
        <v>21000</v>
      </c>
      <c r="I12" s="90">
        <f>'6'!K12</f>
        <v>21000</v>
      </c>
      <c r="J12" s="90">
        <f>'7'!K12</f>
        <v>21000</v>
      </c>
      <c r="K12" s="90">
        <f>'8'!K12</f>
        <v>21000</v>
      </c>
      <c r="L12" s="90">
        <f>'9'!K12</f>
        <v>21000</v>
      </c>
      <c r="M12" s="90">
        <f>'10'!K12</f>
        <v>21000</v>
      </c>
      <c r="N12" s="90">
        <f>'11'!K12</f>
        <v>21000</v>
      </c>
      <c r="O12" s="90">
        <f>'12'!K12</f>
        <v>21000</v>
      </c>
      <c r="P12" s="90">
        <f>'13'!K12</f>
        <v>21000</v>
      </c>
      <c r="Q12" s="90">
        <f>'14'!K12</f>
        <v>21000</v>
      </c>
      <c r="R12" s="90">
        <f>'15'!K12</f>
        <v>21000</v>
      </c>
      <c r="S12" s="90">
        <f>'16'!K12</f>
        <v>21000</v>
      </c>
      <c r="T12" s="90">
        <f>'17'!K12</f>
        <v>21000</v>
      </c>
      <c r="U12" s="90">
        <f>'18'!K12</f>
        <v>21000</v>
      </c>
      <c r="V12" s="90">
        <f>'19'!K12</f>
        <v>21000</v>
      </c>
      <c r="W12" s="90">
        <f>'20'!K12</f>
        <v>21000</v>
      </c>
      <c r="X12" s="90">
        <f>'21'!K12</f>
        <v>21000</v>
      </c>
      <c r="Y12" s="90">
        <f>'24'!K12</f>
        <v>21000</v>
      </c>
      <c r="Z12" s="90">
        <f>'25'!K12</f>
        <v>20200</v>
      </c>
      <c r="AA12" s="90">
        <f>'26'!K12</f>
        <v>20600</v>
      </c>
      <c r="AB12" s="90">
        <f>'27'!K12</f>
        <v>21000</v>
      </c>
      <c r="AC12" s="90">
        <f>'28'!K12</f>
        <v>21000</v>
      </c>
      <c r="AD12" s="90">
        <f>'29'!K12</f>
        <v>20200</v>
      </c>
      <c r="AE12" s="90">
        <f>'30'!K12</f>
        <v>20200</v>
      </c>
      <c r="AF12" s="90"/>
      <c r="AG12" s="90">
        <f t="shared" si="0"/>
        <v>-800</v>
      </c>
      <c r="AH12" s="189">
        <f t="shared" si="1"/>
        <v>20900</v>
      </c>
    </row>
    <row r="13" spans="1:34" x14ac:dyDescent="0.25">
      <c r="A13" s="121">
        <v>2</v>
      </c>
      <c r="B13" s="116" t="s">
        <v>8</v>
      </c>
      <c r="C13" s="117"/>
      <c r="D13" s="118">
        <f>'1'!K13</f>
        <v>0</v>
      </c>
      <c r="E13" s="118">
        <f>'2'!K13</f>
        <v>0</v>
      </c>
      <c r="F13" s="118">
        <f>'3'!K13</f>
        <v>0</v>
      </c>
      <c r="G13" s="118">
        <f>'4'!K13</f>
        <v>0</v>
      </c>
      <c r="H13" s="118">
        <f>'5'!K13</f>
        <v>0</v>
      </c>
      <c r="I13" s="118">
        <f>'6'!K13</f>
        <v>0</v>
      </c>
      <c r="J13" s="118">
        <f>'7'!K13</f>
        <v>0</v>
      </c>
      <c r="K13" s="118">
        <f>'8'!K13</f>
        <v>0</v>
      </c>
      <c r="L13" s="118">
        <f>'9'!K13</f>
        <v>0</v>
      </c>
      <c r="M13" s="118">
        <f>'10'!K13</f>
        <v>0</v>
      </c>
      <c r="N13" s="118">
        <f>'11'!K13</f>
        <v>0</v>
      </c>
      <c r="O13" s="118">
        <f>'12'!K13</f>
        <v>0</v>
      </c>
      <c r="P13" s="118">
        <f>'13'!K13</f>
        <v>0</v>
      </c>
      <c r="Q13" s="118">
        <f>'14'!K13</f>
        <v>0</v>
      </c>
      <c r="R13" s="118">
        <f>'15'!K13</f>
        <v>0</v>
      </c>
      <c r="S13" s="118">
        <f>'16'!K13</f>
        <v>0</v>
      </c>
      <c r="T13" s="118">
        <f>'17'!K13</f>
        <v>0</v>
      </c>
      <c r="U13" s="118">
        <f>'18'!K13</f>
        <v>0</v>
      </c>
      <c r="V13" s="118">
        <f>'19'!K13</f>
        <v>0</v>
      </c>
      <c r="W13" s="118">
        <f>'20'!K13</f>
        <v>0</v>
      </c>
      <c r="X13" s="118">
        <f>'21'!K13</f>
        <v>0</v>
      </c>
      <c r="Y13" s="118">
        <f>'24'!K13</f>
        <v>0</v>
      </c>
      <c r="Z13" s="118">
        <f>'25'!K13</f>
        <v>0</v>
      </c>
      <c r="AA13" s="118">
        <f>'26'!K13</f>
        <v>0</v>
      </c>
      <c r="AB13" s="118">
        <f>'27'!K13</f>
        <v>0</v>
      </c>
      <c r="AC13" s="118">
        <f>'28'!K13</f>
        <v>0</v>
      </c>
      <c r="AD13" s="118">
        <f>'29'!K13</f>
        <v>0</v>
      </c>
      <c r="AE13" s="118">
        <f>'30'!K13</f>
        <v>0</v>
      </c>
      <c r="AF13" s="90"/>
      <c r="AG13" s="90">
        <f t="shared" si="0"/>
        <v>0</v>
      </c>
      <c r="AH13" s="189">
        <f t="shared" si="1"/>
        <v>0</v>
      </c>
    </row>
    <row r="14" spans="1:34" x14ac:dyDescent="0.25">
      <c r="A14" s="122"/>
      <c r="B14" s="107" t="s">
        <v>106</v>
      </c>
      <c r="C14" s="108" t="s">
        <v>5</v>
      </c>
      <c r="D14" s="90">
        <f>'1'!K14</f>
        <v>13142.857142857143</v>
      </c>
      <c r="E14" s="90">
        <f>'2'!K14</f>
        <v>13142.857142857143</v>
      </c>
      <c r="F14" s="90">
        <f>'3'!K14</f>
        <v>13142.857142857143</v>
      </c>
      <c r="G14" s="90">
        <f>'4'!K14</f>
        <v>13142.857142857143</v>
      </c>
      <c r="H14" s="90">
        <f>'5'!K14</f>
        <v>13142.857142857143</v>
      </c>
      <c r="I14" s="90">
        <f>'6'!K14</f>
        <v>13142.857142857143</v>
      </c>
      <c r="J14" s="90">
        <f>'7'!K14</f>
        <v>13142.857142857143</v>
      </c>
      <c r="K14" s="90">
        <f>'8'!K14</f>
        <v>13142.857142857143</v>
      </c>
      <c r="L14" s="90">
        <f>'9'!K14</f>
        <v>13142.857142857143</v>
      </c>
      <c r="M14" s="90">
        <f>'10'!K14</f>
        <v>13142.857142857143</v>
      </c>
      <c r="N14" s="90">
        <f>'11'!K14</f>
        <v>13142.857142857143</v>
      </c>
      <c r="O14" s="90">
        <f>'12'!K14</f>
        <v>13142.857142857143</v>
      </c>
      <c r="P14" s="90">
        <f>'13'!K14</f>
        <v>13142.857142857143</v>
      </c>
      <c r="Q14" s="90">
        <f>'14'!K14</f>
        <v>13142.857142857143</v>
      </c>
      <c r="R14" s="90">
        <f>'15'!K14</f>
        <v>13142.857142857143</v>
      </c>
      <c r="S14" s="90">
        <f>'16'!K14</f>
        <v>13142.857142857143</v>
      </c>
      <c r="T14" s="90">
        <f>'17'!K14</f>
        <v>13142.857142857143</v>
      </c>
      <c r="U14" s="90">
        <f>'18'!K14</f>
        <v>13142.857142857143</v>
      </c>
      <c r="V14" s="90">
        <f>'19'!K14</f>
        <v>13142.857142857143</v>
      </c>
      <c r="W14" s="90">
        <f>'20'!K14</f>
        <v>13071.428571428571</v>
      </c>
      <c r="X14" s="90">
        <f>'21'!K14</f>
        <v>13071.428571428571</v>
      </c>
      <c r="Y14" s="90">
        <f>'24'!K14</f>
        <v>13071.428571428571</v>
      </c>
      <c r="Z14" s="90">
        <f>'25'!K14</f>
        <v>13142.857142857143</v>
      </c>
      <c r="AA14" s="90">
        <f>'26'!K14</f>
        <v>13071.428571428571</v>
      </c>
      <c r="AB14" s="90">
        <f>'27'!K14</f>
        <v>13142.857142857143</v>
      </c>
      <c r="AC14" s="90">
        <f>'28'!K14</f>
        <v>13142.857142857143</v>
      </c>
      <c r="AD14" s="90">
        <f>'29'!K14</f>
        <v>13071.428571428571</v>
      </c>
      <c r="AE14" s="90">
        <f>'30'!K14</f>
        <v>13071.428571428571</v>
      </c>
      <c r="AF14" s="90">
        <v>13500</v>
      </c>
      <c r="AG14" s="90">
        <f t="shared" si="0"/>
        <v>-71.428571428572468</v>
      </c>
      <c r="AH14" s="189">
        <f t="shared" si="1"/>
        <v>13127.551020408162</v>
      </c>
    </row>
    <row r="15" spans="1:34" x14ac:dyDescent="0.25">
      <c r="A15" s="123"/>
      <c r="B15" s="107" t="s">
        <v>9</v>
      </c>
      <c r="C15" s="108" t="s">
        <v>5</v>
      </c>
      <c r="D15" s="90">
        <f>'1'!K15</f>
        <v>15714.285714285714</v>
      </c>
      <c r="E15" s="90">
        <f>'2'!K15</f>
        <v>15714.285714285714</v>
      </c>
      <c r="F15" s="90">
        <f>'3'!K15</f>
        <v>15714.285714285714</v>
      </c>
      <c r="G15" s="90">
        <f>'4'!K15</f>
        <v>15714.285714285714</v>
      </c>
      <c r="H15" s="90">
        <f>'5'!K15</f>
        <v>15714.285714285714</v>
      </c>
      <c r="I15" s="90">
        <f>'6'!K15</f>
        <v>15714.285714285714</v>
      </c>
      <c r="J15" s="90">
        <f>'7'!K15</f>
        <v>15714.285714285714</v>
      </c>
      <c r="K15" s="90">
        <f>'8'!K15</f>
        <v>15714.285714285714</v>
      </c>
      <c r="L15" s="90">
        <f>'9'!K15</f>
        <v>15714.285714285714</v>
      </c>
      <c r="M15" s="90">
        <f>'10'!K15</f>
        <v>15714.285714285714</v>
      </c>
      <c r="N15" s="90">
        <f>'11'!K15</f>
        <v>15714.285714285714</v>
      </c>
      <c r="O15" s="90">
        <f>'12'!K15</f>
        <v>15714.285714285714</v>
      </c>
      <c r="P15" s="90">
        <f>'13'!K15</f>
        <v>15714.285714285714</v>
      </c>
      <c r="Q15" s="90">
        <f>'14'!K15</f>
        <v>15714.285714285714</v>
      </c>
      <c r="R15" s="90">
        <f>'15'!K15</f>
        <v>15714.285714285714</v>
      </c>
      <c r="S15" s="90">
        <f>'16'!K15</f>
        <v>15714.285714285714</v>
      </c>
      <c r="T15" s="90">
        <f>'17'!K15</f>
        <v>15714.285714285714</v>
      </c>
      <c r="U15" s="90">
        <f>'18'!K15</f>
        <v>15714.285714285714</v>
      </c>
      <c r="V15" s="90">
        <f>'19'!K15</f>
        <v>15714.285714285714</v>
      </c>
      <c r="W15" s="90">
        <f>'20'!K15</f>
        <v>15571.428571428571</v>
      </c>
      <c r="X15" s="90">
        <f>'21'!K15</f>
        <v>15714.285714285714</v>
      </c>
      <c r="Y15" s="90">
        <f>'24'!K15</f>
        <v>15714.285714285714</v>
      </c>
      <c r="Z15" s="90">
        <f>'25'!K15</f>
        <v>16285.714285714286</v>
      </c>
      <c r="AA15" s="90">
        <f>'26'!K15</f>
        <v>16285.714285714286</v>
      </c>
      <c r="AB15" s="90">
        <f>'27'!K15</f>
        <v>16142.857142857143</v>
      </c>
      <c r="AC15" s="90">
        <f>'28'!K15</f>
        <v>15571.428571428571</v>
      </c>
      <c r="AD15" s="90">
        <f>'29'!K15</f>
        <v>16285.714285714286</v>
      </c>
      <c r="AE15" s="90">
        <f>'30'!K15</f>
        <v>16285.714285714286</v>
      </c>
      <c r="AF15" s="90"/>
      <c r="AG15" s="90">
        <f t="shared" si="0"/>
        <v>571.42857142857247</v>
      </c>
      <c r="AH15" s="189">
        <f t="shared" si="1"/>
        <v>15801.020408163266</v>
      </c>
    </row>
    <row r="16" spans="1:34" x14ac:dyDescent="0.25">
      <c r="A16" s="121">
        <v>3</v>
      </c>
      <c r="B16" s="116" t="s">
        <v>10</v>
      </c>
      <c r="C16" s="116"/>
      <c r="D16" s="118">
        <f>'1'!K16</f>
        <v>0</v>
      </c>
      <c r="E16" s="118">
        <f>'2'!K16</f>
        <v>0</v>
      </c>
      <c r="F16" s="118">
        <f>'3'!K16</f>
        <v>0</v>
      </c>
      <c r="G16" s="118">
        <f>'4'!K16</f>
        <v>0</v>
      </c>
      <c r="H16" s="118">
        <f>'5'!K16</f>
        <v>0</v>
      </c>
      <c r="I16" s="118">
        <f>'6'!K16</f>
        <v>0</v>
      </c>
      <c r="J16" s="118">
        <f>'7'!K16</f>
        <v>0</v>
      </c>
      <c r="K16" s="118">
        <f>'8'!K16</f>
        <v>0</v>
      </c>
      <c r="L16" s="118">
        <f>'9'!K16</f>
        <v>0</v>
      </c>
      <c r="M16" s="118">
        <f>'10'!K16</f>
        <v>0</v>
      </c>
      <c r="N16" s="118">
        <f>'11'!K16</f>
        <v>0</v>
      </c>
      <c r="O16" s="118">
        <f>'12'!K16</f>
        <v>0</v>
      </c>
      <c r="P16" s="118">
        <f>'13'!K16</f>
        <v>0</v>
      </c>
      <c r="Q16" s="118">
        <f>'14'!K16</f>
        <v>0</v>
      </c>
      <c r="R16" s="118">
        <f>'15'!K16</f>
        <v>0</v>
      </c>
      <c r="S16" s="118">
        <f>'16'!K16</f>
        <v>0</v>
      </c>
      <c r="T16" s="118">
        <f>'17'!K16</f>
        <v>0</v>
      </c>
      <c r="U16" s="118">
        <f>'18'!K16</f>
        <v>0</v>
      </c>
      <c r="V16" s="118">
        <f>'19'!K16</f>
        <v>0</v>
      </c>
      <c r="W16" s="118">
        <f>'20'!K16</f>
        <v>0</v>
      </c>
      <c r="X16" s="118">
        <f>'21'!K16</f>
        <v>0</v>
      </c>
      <c r="Y16" s="118">
        <f>'24'!K16</f>
        <v>0</v>
      </c>
      <c r="Z16" s="118">
        <f>'25'!K16</f>
        <v>0</v>
      </c>
      <c r="AA16" s="118">
        <f>'26'!K16</f>
        <v>0</v>
      </c>
      <c r="AB16" s="118">
        <f>'27'!K16</f>
        <v>0</v>
      </c>
      <c r="AC16" s="118">
        <f>'28'!K16</f>
        <v>0</v>
      </c>
      <c r="AD16" s="118">
        <f>'29'!K16</f>
        <v>0</v>
      </c>
      <c r="AE16" s="118">
        <f>'30'!K16</f>
        <v>0</v>
      </c>
      <c r="AF16" s="90"/>
      <c r="AG16" s="90">
        <f t="shared" si="0"/>
        <v>0</v>
      </c>
      <c r="AH16" s="189">
        <f t="shared" si="1"/>
        <v>0</v>
      </c>
    </row>
    <row r="17" spans="1:34" x14ac:dyDescent="0.25">
      <c r="A17" s="122"/>
      <c r="B17" s="107" t="s">
        <v>11</v>
      </c>
      <c r="C17" s="108" t="s">
        <v>5</v>
      </c>
      <c r="D17" s="90">
        <f>'1'!K17</f>
        <v>15785.714285714286</v>
      </c>
      <c r="E17" s="90">
        <f>'2'!K17</f>
        <v>15785.714285714286</v>
      </c>
      <c r="F17" s="90">
        <f>'3'!K17</f>
        <v>15642.857142857143</v>
      </c>
      <c r="G17" s="90">
        <f>'4'!K17</f>
        <v>15500</v>
      </c>
      <c r="H17" s="90">
        <f>'5'!K17</f>
        <v>15642.857142857143</v>
      </c>
      <c r="I17" s="90">
        <f>'6'!K17</f>
        <v>15571.428571428571</v>
      </c>
      <c r="J17" s="90">
        <f>'7'!K17</f>
        <v>15571.428571428571</v>
      </c>
      <c r="K17" s="90">
        <f>'8'!K17</f>
        <v>15571.428571428571</v>
      </c>
      <c r="L17" s="90">
        <f>'9'!K17</f>
        <v>15571.428571428571</v>
      </c>
      <c r="M17" s="90">
        <f>'10'!K17</f>
        <v>15428.571428571429</v>
      </c>
      <c r="N17" s="90">
        <f>'11'!K17</f>
        <v>15571.428571428571</v>
      </c>
      <c r="O17" s="90">
        <f>'12'!K17</f>
        <v>15571.428571428571</v>
      </c>
      <c r="P17" s="90">
        <f>'13'!K17</f>
        <v>15571.428571428571</v>
      </c>
      <c r="Q17" s="90">
        <f>'14'!K17</f>
        <v>15500</v>
      </c>
      <c r="R17" s="90">
        <f>'15'!K17</f>
        <v>15500</v>
      </c>
      <c r="S17" s="90">
        <f>'16'!K17</f>
        <v>15500</v>
      </c>
      <c r="T17" s="90">
        <f>'17'!K17</f>
        <v>15500</v>
      </c>
      <c r="U17" s="90">
        <f>'18'!K17</f>
        <v>15500</v>
      </c>
      <c r="V17" s="90">
        <f>'19'!K17</f>
        <v>15500</v>
      </c>
      <c r="W17" s="90">
        <f>'20'!K17</f>
        <v>15500</v>
      </c>
      <c r="X17" s="90">
        <f>'21'!K17</f>
        <v>15357.142857142857</v>
      </c>
      <c r="Y17" s="90">
        <f>'24'!K17</f>
        <v>15357.142857142857</v>
      </c>
      <c r="Z17" s="90">
        <f>'25'!K17</f>
        <v>15500</v>
      </c>
      <c r="AA17" s="90">
        <f>'26'!K17</f>
        <v>15357.142857142857</v>
      </c>
      <c r="AB17" s="90">
        <f>'27'!K17</f>
        <v>15357.142857142857</v>
      </c>
      <c r="AC17" s="90">
        <f>'28'!K17</f>
        <v>15500</v>
      </c>
      <c r="AD17" s="90">
        <f>'29'!K17</f>
        <v>15357.142857142857</v>
      </c>
      <c r="AE17" s="90">
        <f>'30'!K17</f>
        <v>15357.142857142857</v>
      </c>
      <c r="AF17" s="90">
        <v>15500</v>
      </c>
      <c r="AG17" s="90">
        <f t="shared" si="0"/>
        <v>-428.57142857142935</v>
      </c>
      <c r="AH17" s="189">
        <f t="shared" si="1"/>
        <v>15515.306122448977</v>
      </c>
    </row>
    <row r="18" spans="1:34" x14ac:dyDescent="0.25">
      <c r="A18" s="106"/>
      <c r="B18" s="107" t="s">
        <v>107</v>
      </c>
      <c r="C18" s="108" t="s">
        <v>108</v>
      </c>
      <c r="D18" s="90">
        <f>'1'!K18</f>
        <v>14000</v>
      </c>
      <c r="E18" s="90">
        <f>'2'!K18</f>
        <v>14000</v>
      </c>
      <c r="F18" s="90">
        <f>'3'!K18</f>
        <v>14000</v>
      </c>
      <c r="G18" s="90">
        <f>'4'!K18</f>
        <v>14000</v>
      </c>
      <c r="H18" s="90">
        <f>'5'!K18</f>
        <v>14000</v>
      </c>
      <c r="I18" s="90">
        <f>'6'!K18</f>
        <v>14000</v>
      </c>
      <c r="J18" s="90">
        <f>'7'!K18</f>
        <v>14000</v>
      </c>
      <c r="K18" s="90">
        <f>'8'!K18</f>
        <v>14000</v>
      </c>
      <c r="L18" s="90">
        <f>'9'!K18</f>
        <v>14000</v>
      </c>
      <c r="M18" s="90">
        <f>'10'!K18</f>
        <v>14000</v>
      </c>
      <c r="N18" s="90">
        <f>'11'!K18</f>
        <v>14000</v>
      </c>
      <c r="O18" s="90">
        <f>'12'!K18</f>
        <v>14000</v>
      </c>
      <c r="P18" s="90">
        <f>'13'!K18</f>
        <v>14000</v>
      </c>
      <c r="Q18" s="90">
        <f>'14'!K18</f>
        <v>14000</v>
      </c>
      <c r="R18" s="90">
        <f>'15'!K18</f>
        <v>14000</v>
      </c>
      <c r="S18" s="90">
        <f>'16'!K18</f>
        <v>14000</v>
      </c>
      <c r="T18" s="90">
        <f>'17'!K18</f>
        <v>14000</v>
      </c>
      <c r="U18" s="90">
        <f>'18'!K18</f>
        <v>14000</v>
      </c>
      <c r="V18" s="90">
        <f>'19'!K18</f>
        <v>14000</v>
      </c>
      <c r="W18" s="90">
        <f>'20'!K18</f>
        <v>14000</v>
      </c>
      <c r="X18" s="90">
        <f>'21'!K18</f>
        <v>14000</v>
      </c>
      <c r="Y18" s="90">
        <f>'24'!K18</f>
        <v>14000</v>
      </c>
      <c r="Z18" s="90">
        <f>'25'!K18</f>
        <v>14000</v>
      </c>
      <c r="AA18" s="90">
        <f>'26'!K18</f>
        <v>14000</v>
      </c>
      <c r="AB18" s="90">
        <f>'27'!K18</f>
        <v>14000</v>
      </c>
      <c r="AC18" s="90">
        <f>'28'!K18</f>
        <v>14000</v>
      </c>
      <c r="AD18" s="90">
        <f>'29'!K18</f>
        <v>14000</v>
      </c>
      <c r="AE18" s="90">
        <f>'30'!K18</f>
        <v>14000</v>
      </c>
      <c r="AF18" s="90">
        <v>14000</v>
      </c>
      <c r="AG18" s="90">
        <f t="shared" si="0"/>
        <v>0</v>
      </c>
      <c r="AH18" s="189">
        <f t="shared" si="1"/>
        <v>14000</v>
      </c>
    </row>
    <row r="19" spans="1:34" x14ac:dyDescent="0.25">
      <c r="A19" s="121">
        <v>4</v>
      </c>
      <c r="B19" s="116" t="s">
        <v>12</v>
      </c>
      <c r="C19" s="116"/>
      <c r="D19" s="118">
        <f>'1'!K19</f>
        <v>0</v>
      </c>
      <c r="E19" s="118">
        <f>'2'!K19</f>
        <v>0</v>
      </c>
      <c r="F19" s="118">
        <f>'3'!K19</f>
        <v>0</v>
      </c>
      <c r="G19" s="118">
        <f>'4'!K19</f>
        <v>0</v>
      </c>
      <c r="H19" s="118">
        <f>'5'!K19</f>
        <v>0</v>
      </c>
      <c r="I19" s="118">
        <f>'6'!K19</f>
        <v>0</v>
      </c>
      <c r="J19" s="118">
        <f>'7'!K19</f>
        <v>0</v>
      </c>
      <c r="K19" s="118">
        <f>'8'!K19</f>
        <v>0</v>
      </c>
      <c r="L19" s="118">
        <f>'9'!K19</f>
        <v>0</v>
      </c>
      <c r="M19" s="118">
        <f>'10'!K19</f>
        <v>0</v>
      </c>
      <c r="N19" s="118">
        <f>'11'!K19</f>
        <v>0</v>
      </c>
      <c r="O19" s="118">
        <f>'12'!K19</f>
        <v>0</v>
      </c>
      <c r="P19" s="118">
        <f>'13'!K19</f>
        <v>0</v>
      </c>
      <c r="Q19" s="118">
        <f>'14'!K19</f>
        <v>0</v>
      </c>
      <c r="R19" s="118">
        <f>'15'!K19</f>
        <v>0</v>
      </c>
      <c r="S19" s="118">
        <f>'16'!K19</f>
        <v>0</v>
      </c>
      <c r="T19" s="118">
        <f>'17'!K19</f>
        <v>0</v>
      </c>
      <c r="U19" s="118">
        <f>'18'!K19</f>
        <v>0</v>
      </c>
      <c r="V19" s="118">
        <f>'19'!K19</f>
        <v>0</v>
      </c>
      <c r="W19" s="118">
        <f>'20'!K19</f>
        <v>0</v>
      </c>
      <c r="X19" s="118">
        <f>'21'!K19</f>
        <v>0</v>
      </c>
      <c r="Y19" s="118">
        <f>'24'!K19</f>
        <v>0</v>
      </c>
      <c r="Z19" s="118">
        <f>'25'!K19</f>
        <v>0</v>
      </c>
      <c r="AA19" s="118">
        <f>'26'!K19</f>
        <v>0</v>
      </c>
      <c r="AB19" s="118">
        <f>'27'!K19</f>
        <v>0</v>
      </c>
      <c r="AC19" s="118">
        <f>'28'!K19</f>
        <v>0</v>
      </c>
      <c r="AD19" s="118">
        <f>'29'!K19</f>
        <v>0</v>
      </c>
      <c r="AE19" s="118">
        <f>'30'!K19</f>
        <v>0</v>
      </c>
      <c r="AF19" s="90"/>
      <c r="AG19" s="90">
        <f t="shared" si="0"/>
        <v>0</v>
      </c>
      <c r="AH19" s="189">
        <f t="shared" si="1"/>
        <v>0</v>
      </c>
    </row>
    <row r="20" spans="1:34" x14ac:dyDescent="0.25">
      <c r="A20" s="123"/>
      <c r="B20" s="107" t="s">
        <v>13</v>
      </c>
      <c r="C20" s="108" t="s">
        <v>5</v>
      </c>
      <c r="D20" s="90">
        <f>'1'!K20</f>
        <v>21250</v>
      </c>
      <c r="E20" s="90">
        <f>'2'!K20</f>
        <v>21250</v>
      </c>
      <c r="F20" s="90">
        <f>'3'!K20</f>
        <v>21250</v>
      </c>
      <c r="G20" s="90">
        <f>'4'!K20</f>
        <v>21250</v>
      </c>
      <c r="H20" s="90">
        <f>'5'!K20</f>
        <v>21250</v>
      </c>
      <c r="I20" s="90">
        <f>'6'!K20</f>
        <v>21250</v>
      </c>
      <c r="J20" s="90">
        <f>'7'!K20</f>
        <v>21250</v>
      </c>
      <c r="K20" s="90">
        <f>'8'!K20</f>
        <v>21250</v>
      </c>
      <c r="L20" s="90">
        <f>'9'!K20</f>
        <v>21250</v>
      </c>
      <c r="M20" s="90">
        <f>'10'!K20</f>
        <v>21250</v>
      </c>
      <c r="N20" s="90">
        <f>'11'!K20</f>
        <v>21250</v>
      </c>
      <c r="O20" s="90">
        <f>'12'!K20</f>
        <v>21250</v>
      </c>
      <c r="P20" s="90">
        <f>'13'!K20</f>
        <v>21250</v>
      </c>
      <c r="Q20" s="90">
        <f>'14'!K20</f>
        <v>21250</v>
      </c>
      <c r="R20" s="90">
        <f>'15'!K20</f>
        <v>21250</v>
      </c>
      <c r="S20" s="90">
        <f>'16'!K20</f>
        <v>21250</v>
      </c>
      <c r="T20" s="90">
        <f>'17'!K20</f>
        <v>21250</v>
      </c>
      <c r="U20" s="90">
        <f>'18'!K20</f>
        <v>21250</v>
      </c>
      <c r="V20" s="90">
        <f>'19'!K20</f>
        <v>21250</v>
      </c>
      <c r="W20" s="90">
        <f>'20'!K20</f>
        <v>21250</v>
      </c>
      <c r="X20" s="90">
        <f>'21'!K20</f>
        <v>21250</v>
      </c>
      <c r="Y20" s="90">
        <f>'24'!K20</f>
        <v>21250</v>
      </c>
      <c r="Z20" s="90">
        <f>'25'!K20</f>
        <v>22500</v>
      </c>
      <c r="AA20" s="90">
        <f>'26'!K20</f>
        <v>22500</v>
      </c>
      <c r="AB20" s="90">
        <f>'27'!K20</f>
        <v>22500</v>
      </c>
      <c r="AC20" s="90">
        <f>'28'!K20</f>
        <v>21250</v>
      </c>
      <c r="AD20" s="90">
        <f>'29'!K20</f>
        <v>22500</v>
      </c>
      <c r="AE20" s="90">
        <f>'30'!K20</f>
        <v>22500</v>
      </c>
      <c r="AF20" s="90"/>
      <c r="AG20" s="90">
        <f t="shared" si="0"/>
        <v>1250</v>
      </c>
      <c r="AH20" s="189">
        <f t="shared" si="1"/>
        <v>21473.214285714286</v>
      </c>
    </row>
    <row r="21" spans="1:34" x14ac:dyDescent="0.25">
      <c r="A21" s="121">
        <v>5</v>
      </c>
      <c r="B21" s="116" t="s">
        <v>14</v>
      </c>
      <c r="C21" s="116"/>
      <c r="D21" s="118">
        <f>'1'!K21</f>
        <v>0</v>
      </c>
      <c r="E21" s="118">
        <f>'2'!K21</f>
        <v>0</v>
      </c>
      <c r="F21" s="118">
        <f>'3'!K21</f>
        <v>0</v>
      </c>
      <c r="G21" s="118">
        <f>'4'!K21</f>
        <v>0</v>
      </c>
      <c r="H21" s="118">
        <f>'5'!K21</f>
        <v>0</v>
      </c>
      <c r="I21" s="118">
        <f>'6'!K21</f>
        <v>0</v>
      </c>
      <c r="J21" s="118">
        <f>'7'!K21</f>
        <v>0</v>
      </c>
      <c r="K21" s="118">
        <f>'8'!K21</f>
        <v>0</v>
      </c>
      <c r="L21" s="118">
        <f>'9'!K21</f>
        <v>0</v>
      </c>
      <c r="M21" s="118">
        <f>'10'!K21</f>
        <v>0</v>
      </c>
      <c r="N21" s="118">
        <f>'11'!K21</f>
        <v>0</v>
      </c>
      <c r="O21" s="118">
        <f>'12'!K21</f>
        <v>0</v>
      </c>
      <c r="P21" s="118">
        <f>'13'!K21</f>
        <v>0</v>
      </c>
      <c r="Q21" s="118">
        <f>'14'!K21</f>
        <v>0</v>
      </c>
      <c r="R21" s="118">
        <f>'15'!K21</f>
        <v>0</v>
      </c>
      <c r="S21" s="118">
        <f>'16'!K21</f>
        <v>0</v>
      </c>
      <c r="T21" s="118">
        <f>'17'!K21</f>
        <v>0</v>
      </c>
      <c r="U21" s="118">
        <f>'18'!K21</f>
        <v>0</v>
      </c>
      <c r="V21" s="118">
        <f>'19'!K21</f>
        <v>0</v>
      </c>
      <c r="W21" s="118">
        <f>'20'!K21</f>
        <v>0</v>
      </c>
      <c r="X21" s="118">
        <f>'21'!K21</f>
        <v>0</v>
      </c>
      <c r="Y21" s="118">
        <f>'24'!K21</f>
        <v>0</v>
      </c>
      <c r="Z21" s="118">
        <f>'25'!K21</f>
        <v>0</v>
      </c>
      <c r="AA21" s="118">
        <f>'26'!K21</f>
        <v>0</v>
      </c>
      <c r="AB21" s="118">
        <f>'27'!K21</f>
        <v>0</v>
      </c>
      <c r="AC21" s="118">
        <f>'28'!K21</f>
        <v>0</v>
      </c>
      <c r="AD21" s="118">
        <f>'29'!K21</f>
        <v>0</v>
      </c>
      <c r="AE21" s="118">
        <f>'30'!K21</f>
        <v>0</v>
      </c>
      <c r="AF21" s="90"/>
      <c r="AG21" s="90">
        <f t="shared" si="0"/>
        <v>0</v>
      </c>
      <c r="AH21" s="189">
        <f t="shared" si="1"/>
        <v>0</v>
      </c>
    </row>
    <row r="22" spans="1:34" x14ac:dyDescent="0.25">
      <c r="A22" s="122"/>
      <c r="B22" s="107" t="s">
        <v>15</v>
      </c>
      <c r="C22" s="108" t="s">
        <v>5</v>
      </c>
      <c r="D22" s="90">
        <f>'1'!K22</f>
        <v>118571.42857142857</v>
      </c>
      <c r="E22" s="90">
        <f>'2'!K22</f>
        <v>118571.42857142857</v>
      </c>
      <c r="F22" s="90">
        <f>'3'!K22</f>
        <v>118571.42857142857</v>
      </c>
      <c r="G22" s="90">
        <f>'4'!K22</f>
        <v>118571.42857142857</v>
      </c>
      <c r="H22" s="90">
        <f>'5'!K22</f>
        <v>118571.42857142857</v>
      </c>
      <c r="I22" s="90">
        <f>'6'!K22</f>
        <v>118571.42857142857</v>
      </c>
      <c r="J22" s="90">
        <f>'7'!K22</f>
        <v>118571.42857142857</v>
      </c>
      <c r="K22" s="90">
        <f>'8'!K22</f>
        <v>118571.42857142857</v>
      </c>
      <c r="L22" s="90">
        <f>'9'!K22</f>
        <v>118571.42857142857</v>
      </c>
      <c r="M22" s="90">
        <f>'10'!K22</f>
        <v>118571.42857142857</v>
      </c>
      <c r="N22" s="90">
        <f>'11'!K22</f>
        <v>118571.42857142857</v>
      </c>
      <c r="O22" s="90">
        <f>'12'!K22</f>
        <v>118571.42857142857</v>
      </c>
      <c r="P22" s="90">
        <f>'13'!K22</f>
        <v>118571.42857142857</v>
      </c>
      <c r="Q22" s="90">
        <f>'14'!K22</f>
        <v>118571.42857142857</v>
      </c>
      <c r="R22" s="90">
        <f>'15'!K22</f>
        <v>118571.42857142857</v>
      </c>
      <c r="S22" s="90">
        <f>'16'!K22</f>
        <v>118571.42857142857</v>
      </c>
      <c r="T22" s="90">
        <f>'17'!K22</f>
        <v>118571.42857142857</v>
      </c>
      <c r="U22" s="90">
        <f>'18'!K22</f>
        <v>118571.42857142857</v>
      </c>
      <c r="V22" s="90">
        <f>'19'!K22</f>
        <v>120000</v>
      </c>
      <c r="W22" s="90">
        <f>'20'!K22</f>
        <v>123571.42857142857</v>
      </c>
      <c r="X22" s="90">
        <f>'21'!K22</f>
        <v>124285.71428571429</v>
      </c>
      <c r="Y22" s="90">
        <f>'24'!K22</f>
        <v>124285.71428571429</v>
      </c>
      <c r="Z22" s="90">
        <f>'25'!K22</f>
        <v>124285.71428571429</v>
      </c>
      <c r="AA22" s="90">
        <f>'26'!K22</f>
        <v>122857.14285714286</v>
      </c>
      <c r="AB22" s="90">
        <f>'27'!K22</f>
        <v>122857.14285714286</v>
      </c>
      <c r="AC22" s="90">
        <f>'28'!K22</f>
        <v>121428.57142857143</v>
      </c>
      <c r="AD22" s="90">
        <f>'29'!K22</f>
        <v>122857.14285714286</v>
      </c>
      <c r="AE22" s="90">
        <f>'30'!K22</f>
        <v>122857.14285714286</v>
      </c>
      <c r="AF22" s="90">
        <v>105000</v>
      </c>
      <c r="AG22" s="90">
        <f t="shared" si="0"/>
        <v>4285.7142857142899</v>
      </c>
      <c r="AH22" s="189">
        <f t="shared" si="1"/>
        <v>120127.55102040814</v>
      </c>
    </row>
    <row r="23" spans="1:34" x14ac:dyDescent="0.25">
      <c r="A23" s="122"/>
      <c r="B23" s="107" t="s">
        <v>16</v>
      </c>
      <c r="C23" s="108" t="s">
        <v>5</v>
      </c>
      <c r="D23" s="90">
        <f>'1'!K23</f>
        <v>109142.85714285714</v>
      </c>
      <c r="E23" s="90">
        <f>'2'!K23</f>
        <v>109142.85714285714</v>
      </c>
      <c r="F23" s="90">
        <f>'3'!K23</f>
        <v>109142.85714285714</v>
      </c>
      <c r="G23" s="90">
        <f>'4'!K23</f>
        <v>109142.85714285714</v>
      </c>
      <c r="H23" s="90">
        <f>'5'!K23</f>
        <v>109142.85714285714</v>
      </c>
      <c r="I23" s="90">
        <f>'6'!K23</f>
        <v>109142.85714285714</v>
      </c>
      <c r="J23" s="90">
        <f>'7'!K23</f>
        <v>109142.85714285714</v>
      </c>
      <c r="K23" s="90">
        <f>'8'!K23</f>
        <v>109142.85714285714</v>
      </c>
      <c r="L23" s="90">
        <f>'9'!K23</f>
        <v>109142.85714285714</v>
      </c>
      <c r="M23" s="90">
        <f>'10'!K23</f>
        <v>109142.85714285714</v>
      </c>
      <c r="N23" s="90">
        <f>'11'!K23</f>
        <v>109142.85714285714</v>
      </c>
      <c r="O23" s="90">
        <f>'12'!K23</f>
        <v>109142.85714285714</v>
      </c>
      <c r="P23" s="90">
        <f>'13'!K23</f>
        <v>109142.85714285714</v>
      </c>
      <c r="Q23" s="90">
        <f>'14'!K23</f>
        <v>109142.85714285714</v>
      </c>
      <c r="R23" s="90">
        <f>'15'!K23</f>
        <v>109142.85714285714</v>
      </c>
      <c r="S23" s="90">
        <f>'16'!K23</f>
        <v>109142.85714285714</v>
      </c>
      <c r="T23" s="90">
        <f>'17'!K23</f>
        <v>109142.85714285714</v>
      </c>
      <c r="U23" s="90">
        <f>'18'!K23</f>
        <v>109142.85714285714</v>
      </c>
      <c r="V23" s="90">
        <f>'19'!K23</f>
        <v>110571.42857142857</v>
      </c>
      <c r="W23" s="90">
        <f>'20'!K23</f>
        <v>113428.57142857143</v>
      </c>
      <c r="X23" s="90">
        <f>'21'!K23</f>
        <v>114142.85714285714</v>
      </c>
      <c r="Y23" s="90">
        <f>'24'!K23</f>
        <v>114142.85714285714</v>
      </c>
      <c r="Z23" s="90">
        <f>'25'!K23</f>
        <v>114142.85714285714</v>
      </c>
      <c r="AA23" s="90">
        <f>'26'!K23</f>
        <v>113428.57142857143</v>
      </c>
      <c r="AB23" s="90">
        <f>'27'!K23</f>
        <v>98714.28571428571</v>
      </c>
      <c r="AC23" s="90">
        <f>'28'!K23</f>
        <v>113857.14285714286</v>
      </c>
      <c r="AD23" s="90">
        <f>'29'!K23</f>
        <v>114142.85714285714</v>
      </c>
      <c r="AE23" s="90">
        <f>'30'!K23</f>
        <v>114142.85714285714</v>
      </c>
      <c r="AF23" s="90">
        <v>80000</v>
      </c>
      <c r="AG23" s="90">
        <f t="shared" si="0"/>
        <v>5000</v>
      </c>
      <c r="AH23" s="189">
        <f t="shared" si="1"/>
        <v>110188.77551020407</v>
      </c>
    </row>
    <row r="24" spans="1:34" x14ac:dyDescent="0.25">
      <c r="A24" s="122"/>
      <c r="B24" s="107" t="s">
        <v>17</v>
      </c>
      <c r="C24" s="108" t="s">
        <v>5</v>
      </c>
      <c r="D24" s="90">
        <f>'1'!K24</f>
        <v>99166.666666666672</v>
      </c>
      <c r="E24" s="90">
        <f>'2'!K24</f>
        <v>99166.666666666672</v>
      </c>
      <c r="F24" s="90">
        <f>'3'!K24</f>
        <v>99166.666666666672</v>
      </c>
      <c r="G24" s="90">
        <f>'4'!K24</f>
        <v>99166.666666666672</v>
      </c>
      <c r="H24" s="90">
        <f>'5'!K24</f>
        <v>99166.666666666672</v>
      </c>
      <c r="I24" s="90">
        <f>'6'!K24</f>
        <v>99166.666666666672</v>
      </c>
      <c r="J24" s="90">
        <f>'7'!K24</f>
        <v>99166.666666666672</v>
      </c>
      <c r="K24" s="90">
        <f>'8'!K24</f>
        <v>99166.666666666672</v>
      </c>
      <c r="L24" s="90">
        <f>'9'!K24</f>
        <v>99166.666666666672</v>
      </c>
      <c r="M24" s="90">
        <f>'10'!K24</f>
        <v>99166.666666666672</v>
      </c>
      <c r="N24" s="90">
        <f>'11'!K24</f>
        <v>99166.666666666672</v>
      </c>
      <c r="O24" s="90">
        <f>'12'!K24</f>
        <v>99166.666666666672</v>
      </c>
      <c r="P24" s="90">
        <f>'13'!K24</f>
        <v>99166.666666666672</v>
      </c>
      <c r="Q24" s="90">
        <f>'14'!K24</f>
        <v>99166.666666666672</v>
      </c>
      <c r="R24" s="90">
        <f>'15'!K24</f>
        <v>99166.666666666672</v>
      </c>
      <c r="S24" s="90">
        <f>'16'!K24</f>
        <v>99166.666666666672</v>
      </c>
      <c r="T24" s="90">
        <f>'17'!K24</f>
        <v>99166.666666666672</v>
      </c>
      <c r="U24" s="90">
        <f>'18'!K24</f>
        <v>99166.666666666672</v>
      </c>
      <c r="V24" s="90">
        <f>'19'!K24</f>
        <v>100833.33333333333</v>
      </c>
      <c r="W24" s="90">
        <f>'20'!K24</f>
        <v>103333.33333333333</v>
      </c>
      <c r="X24" s="90">
        <f>'21'!K24</f>
        <v>104166.66666666667</v>
      </c>
      <c r="Y24" s="90">
        <f>'24'!K24</f>
        <v>104166.66666666667</v>
      </c>
      <c r="Z24" s="90">
        <f>'25'!K24</f>
        <v>104166.66666666667</v>
      </c>
      <c r="AA24" s="90">
        <f>'26'!K24</f>
        <v>103333.33333333333</v>
      </c>
      <c r="AB24" s="90">
        <f>'27'!K24</f>
        <v>104166.66666666667</v>
      </c>
      <c r="AC24" s="90">
        <f>'28'!K24</f>
        <v>105000</v>
      </c>
      <c r="AD24" s="90">
        <f>'29'!K24</f>
        <v>105000</v>
      </c>
      <c r="AE24" s="90">
        <f>'30'!K24</f>
        <v>105000</v>
      </c>
      <c r="AF24" s="90">
        <v>80000</v>
      </c>
      <c r="AG24" s="90">
        <f t="shared" si="0"/>
        <v>5833.3333333333285</v>
      </c>
      <c r="AH24" s="189">
        <f t="shared" si="1"/>
        <v>100863.09523809525</v>
      </c>
    </row>
    <row r="25" spans="1:34" x14ac:dyDescent="0.25">
      <c r="A25" s="123"/>
      <c r="B25" s="107" t="s">
        <v>18</v>
      </c>
      <c r="C25" s="108" t="s">
        <v>5</v>
      </c>
      <c r="D25" s="90">
        <f>'1'!K25</f>
        <v>30571.428571428572</v>
      </c>
      <c r="E25" s="90">
        <f>'2'!K25</f>
        <v>30714.285714285714</v>
      </c>
      <c r="F25" s="90">
        <f>'3'!K25</f>
        <v>31142.857142857141</v>
      </c>
      <c r="G25" s="90">
        <f>'4'!K25</f>
        <v>31142.857142857141</v>
      </c>
      <c r="H25" s="90">
        <f>'5'!K25</f>
        <v>31142.857142857141</v>
      </c>
      <c r="I25" s="90">
        <f>'6'!K25</f>
        <v>30857.142857142859</v>
      </c>
      <c r="J25" s="90">
        <f>'7'!K25</f>
        <v>30857.142857142859</v>
      </c>
      <c r="K25" s="90">
        <f>'8'!K25</f>
        <v>30857.142857142859</v>
      </c>
      <c r="L25" s="90">
        <f>'9'!K25</f>
        <v>30571.428571428572</v>
      </c>
      <c r="M25" s="90">
        <f>'10'!K25</f>
        <v>31857.142857142859</v>
      </c>
      <c r="N25" s="90">
        <f>'11'!K25</f>
        <v>32428.571428571428</v>
      </c>
      <c r="O25" s="90">
        <f>'12'!K25</f>
        <v>32428.571428571428</v>
      </c>
      <c r="P25" s="90">
        <f>'13'!K25</f>
        <v>32142.857142857141</v>
      </c>
      <c r="Q25" s="90">
        <f>'14'!K25</f>
        <v>33000</v>
      </c>
      <c r="R25" s="90">
        <f>'15'!K25</f>
        <v>33000</v>
      </c>
      <c r="S25" s="90">
        <f>'16'!K25</f>
        <v>32857.142857142855</v>
      </c>
      <c r="T25" s="90">
        <f>'17'!K25</f>
        <v>33428.571428571428</v>
      </c>
      <c r="U25" s="90">
        <f>'18'!K25</f>
        <v>33857.142857142855</v>
      </c>
      <c r="V25" s="90">
        <f>'19'!K25</f>
        <v>34428.571428571428</v>
      </c>
      <c r="W25" s="90">
        <f>'20'!K25</f>
        <v>36571.428571428572</v>
      </c>
      <c r="X25" s="90">
        <f>'21'!K25</f>
        <v>38833.333333333336</v>
      </c>
      <c r="Y25" s="90">
        <f>'24'!K25</f>
        <v>38833.333333333336</v>
      </c>
      <c r="Z25" s="90">
        <f>'25'!K25</f>
        <v>39833.333333333336</v>
      </c>
      <c r="AA25" s="90">
        <f>'26'!K25</f>
        <v>40285.714285714283</v>
      </c>
      <c r="AB25" s="90">
        <f>'27'!K25</f>
        <v>39285.714285714283</v>
      </c>
      <c r="AC25" s="90">
        <f>'28'!K25</f>
        <v>36428.571428571428</v>
      </c>
      <c r="AD25" s="90">
        <f>'29'!K25</f>
        <v>36571.428571428572</v>
      </c>
      <c r="AE25" s="90">
        <f>'30'!K25</f>
        <v>36571.428571428572</v>
      </c>
      <c r="AF25" s="90">
        <v>36750</v>
      </c>
      <c r="AG25" s="90">
        <f t="shared" si="0"/>
        <v>6000</v>
      </c>
      <c r="AH25" s="189">
        <f t="shared" si="1"/>
        <v>33946.428571428572</v>
      </c>
    </row>
    <row r="26" spans="1:34" x14ac:dyDescent="0.25">
      <c r="A26" s="121">
        <v>6</v>
      </c>
      <c r="B26" s="116" t="s">
        <v>19</v>
      </c>
      <c r="C26" s="116"/>
      <c r="D26" s="118">
        <f>'1'!K26</f>
        <v>0</v>
      </c>
      <c r="E26" s="118">
        <f>'2'!K26</f>
        <v>0</v>
      </c>
      <c r="F26" s="118">
        <f>'3'!K26</f>
        <v>0</v>
      </c>
      <c r="G26" s="118">
        <f>'4'!K26</f>
        <v>0</v>
      </c>
      <c r="H26" s="118">
        <f>'5'!K26</f>
        <v>0</v>
      </c>
      <c r="I26" s="118">
        <f>'6'!K26</f>
        <v>0</v>
      </c>
      <c r="J26" s="118">
        <f>'7'!K26</f>
        <v>0</v>
      </c>
      <c r="K26" s="118">
        <f>'8'!K26</f>
        <v>0</v>
      </c>
      <c r="L26" s="118">
        <f>'9'!K26</f>
        <v>0</v>
      </c>
      <c r="M26" s="118">
        <f>'10'!K26</f>
        <v>0</v>
      </c>
      <c r="N26" s="118">
        <f>'11'!K26</f>
        <v>0</v>
      </c>
      <c r="O26" s="118">
        <f>'12'!K26</f>
        <v>0</v>
      </c>
      <c r="P26" s="118">
        <f>'13'!K26</f>
        <v>0</v>
      </c>
      <c r="Q26" s="118">
        <f>'14'!K26</f>
        <v>0</v>
      </c>
      <c r="R26" s="118">
        <f>'15'!K26</f>
        <v>0</v>
      </c>
      <c r="S26" s="118">
        <f>'16'!K26</f>
        <v>0</v>
      </c>
      <c r="T26" s="118">
        <f>'17'!K26</f>
        <v>0</v>
      </c>
      <c r="U26" s="118">
        <f>'18'!K26</f>
        <v>0</v>
      </c>
      <c r="V26" s="118">
        <f>'19'!K26</f>
        <v>0</v>
      </c>
      <c r="W26" s="118">
        <f>'20'!K26</f>
        <v>0</v>
      </c>
      <c r="X26" s="118">
        <f>'21'!K26</f>
        <v>0</v>
      </c>
      <c r="Y26" s="118">
        <f>'24'!K26</f>
        <v>0</v>
      </c>
      <c r="Z26" s="118">
        <f>'25'!K26</f>
        <v>0</v>
      </c>
      <c r="AA26" s="118">
        <f>'26'!K26</f>
        <v>0</v>
      </c>
      <c r="AB26" s="118">
        <f>'27'!K26</f>
        <v>0</v>
      </c>
      <c r="AC26" s="118">
        <f>'28'!K26</f>
        <v>0</v>
      </c>
      <c r="AD26" s="118">
        <f>'29'!K26</f>
        <v>0</v>
      </c>
      <c r="AE26" s="118">
        <f>'30'!K26</f>
        <v>0</v>
      </c>
      <c r="AF26" s="90"/>
      <c r="AG26" s="90">
        <f t="shared" si="0"/>
        <v>0</v>
      </c>
      <c r="AH26" s="189">
        <f t="shared" si="1"/>
        <v>0</v>
      </c>
    </row>
    <row r="27" spans="1:34" x14ac:dyDescent="0.25">
      <c r="A27" s="122"/>
      <c r="B27" s="107" t="s">
        <v>20</v>
      </c>
      <c r="C27" s="108" t="s">
        <v>5</v>
      </c>
      <c r="D27" s="90">
        <f>'1'!K27</f>
        <v>37333.333333333336</v>
      </c>
      <c r="E27" s="90">
        <f>'2'!K27</f>
        <v>37333.333333333336</v>
      </c>
      <c r="F27" s="90">
        <f>'3'!K27</f>
        <v>36833.333333333336</v>
      </c>
      <c r="G27" s="90">
        <f>'4'!K27</f>
        <v>36833.333333333336</v>
      </c>
      <c r="H27" s="90">
        <f>'5'!K27</f>
        <v>36833.333333333336</v>
      </c>
      <c r="I27" s="90">
        <f>'6'!K27</f>
        <v>36833.333333333336</v>
      </c>
      <c r="J27" s="90">
        <f>'7'!K27</f>
        <v>36833.333333333336</v>
      </c>
      <c r="K27" s="90">
        <f>'8'!K27</f>
        <v>37666.666666666664</v>
      </c>
      <c r="L27" s="90">
        <f>'9'!K27</f>
        <v>37666.666666666664</v>
      </c>
      <c r="M27" s="90">
        <f>'10'!K27</f>
        <v>37666.666666666664</v>
      </c>
      <c r="N27" s="90">
        <f>'11'!K27</f>
        <v>37666.666666666664</v>
      </c>
      <c r="O27" s="90">
        <f>'12'!K27</f>
        <v>37666.666666666664</v>
      </c>
      <c r="P27" s="90">
        <f>'13'!K27</f>
        <v>38000</v>
      </c>
      <c r="Q27" s="90">
        <f>'14'!K27</f>
        <v>38000</v>
      </c>
      <c r="R27" s="90">
        <f>'15'!K27</f>
        <v>38000</v>
      </c>
      <c r="S27" s="90">
        <f>'16'!K27</f>
        <v>38333.333333333336</v>
      </c>
      <c r="T27" s="90">
        <f>'17'!K27</f>
        <v>38333.333333333336</v>
      </c>
      <c r="U27" s="90">
        <f>'18'!K27</f>
        <v>37666.666666666664</v>
      </c>
      <c r="V27" s="90">
        <f>'19'!K27</f>
        <v>37666.666666666664</v>
      </c>
      <c r="W27" s="90">
        <f>'20'!K27</f>
        <v>37666.666666666664</v>
      </c>
      <c r="X27" s="90">
        <f>'21'!K27</f>
        <v>37600</v>
      </c>
      <c r="Y27" s="90">
        <f>'24'!K27</f>
        <v>37600</v>
      </c>
      <c r="Z27" s="90">
        <f>'25'!K27</f>
        <v>37600</v>
      </c>
      <c r="AA27" s="90">
        <f>'26'!K27</f>
        <v>39666.666666666664</v>
      </c>
      <c r="AB27" s="90">
        <f>'27'!K27</f>
        <v>39666.666666666664</v>
      </c>
      <c r="AC27" s="90">
        <f>'28'!K27</f>
        <v>39666.666666666664</v>
      </c>
      <c r="AD27" s="90">
        <f>'29'!K27</f>
        <v>35714.285714285717</v>
      </c>
      <c r="AE27" s="90">
        <f>'30'!K27</f>
        <v>35714.285714285717</v>
      </c>
      <c r="AF27" s="90"/>
      <c r="AG27" s="90">
        <f t="shared" si="0"/>
        <v>-1619.0476190476184</v>
      </c>
      <c r="AH27" s="189">
        <f t="shared" si="1"/>
        <v>37645.06802721088</v>
      </c>
    </row>
    <row r="28" spans="1:34" x14ac:dyDescent="0.25">
      <c r="A28" s="122"/>
      <c r="B28" s="107" t="s">
        <v>21</v>
      </c>
      <c r="C28" s="108" t="s">
        <v>5</v>
      </c>
      <c r="D28" s="90">
        <f>'1'!K28</f>
        <v>28857.142857142859</v>
      </c>
      <c r="E28" s="90">
        <f>'2'!K28</f>
        <v>29571.428571428572</v>
      </c>
      <c r="F28" s="90">
        <f>'3'!K28</f>
        <v>29142.857142857141</v>
      </c>
      <c r="G28" s="90">
        <f>'4'!K28</f>
        <v>29142.857142857141</v>
      </c>
      <c r="H28" s="90">
        <f>'5'!K28</f>
        <v>29142.857142857141</v>
      </c>
      <c r="I28" s="90">
        <f>'6'!K28</f>
        <v>29142.857142857141</v>
      </c>
      <c r="J28" s="90">
        <f>'7'!K28</f>
        <v>29142.857142857141</v>
      </c>
      <c r="K28" s="90">
        <f>'8'!K28</f>
        <v>29714.285714285714</v>
      </c>
      <c r="L28" s="90">
        <f>'9'!K28</f>
        <v>29714.285714285714</v>
      </c>
      <c r="M28" s="90">
        <f>'10'!K28</f>
        <v>29714.285714285714</v>
      </c>
      <c r="N28" s="90">
        <f>'11'!K28</f>
        <v>29714.285714285714</v>
      </c>
      <c r="O28" s="90">
        <f>'12'!K28</f>
        <v>29714.285714285714</v>
      </c>
      <c r="P28" s="90">
        <f>'13'!K28</f>
        <v>29714.285714285714</v>
      </c>
      <c r="Q28" s="90">
        <f>'14'!K28</f>
        <v>30000</v>
      </c>
      <c r="R28" s="90">
        <f>'15'!K28</f>
        <v>30000</v>
      </c>
      <c r="S28" s="90">
        <f>'16'!K28</f>
        <v>30000</v>
      </c>
      <c r="T28" s="90">
        <f>'17'!K28</f>
        <v>30000</v>
      </c>
      <c r="U28" s="90">
        <f>'18'!K28</f>
        <v>30285.714285714286</v>
      </c>
      <c r="V28" s="90">
        <f>'19'!K28</f>
        <v>30285.714285714286</v>
      </c>
      <c r="W28" s="90">
        <f>'20'!K28</f>
        <v>30285.714285714286</v>
      </c>
      <c r="X28" s="90">
        <f>'21'!K28</f>
        <v>30000</v>
      </c>
      <c r="Y28" s="90">
        <f>'24'!K28</f>
        <v>30000</v>
      </c>
      <c r="Z28" s="90">
        <f>'25'!K28</f>
        <v>30000</v>
      </c>
      <c r="AA28" s="90">
        <f>'26'!K28</f>
        <v>31428.571428571428</v>
      </c>
      <c r="AB28" s="90">
        <f>'27'!K28</f>
        <v>31000</v>
      </c>
      <c r="AC28" s="90">
        <f>'28'!K28</f>
        <v>31428.571428571428</v>
      </c>
      <c r="AD28" s="90">
        <f>'29'!K28</f>
        <v>31428.571428571428</v>
      </c>
      <c r="AE28" s="90">
        <f>'30'!K28</f>
        <v>31428.571428571428</v>
      </c>
      <c r="AF28" s="90"/>
      <c r="AG28" s="90">
        <f t="shared" si="0"/>
        <v>2571.4285714285688</v>
      </c>
      <c r="AH28" s="189">
        <f t="shared" si="1"/>
        <v>30000.000000000011</v>
      </c>
    </row>
    <row r="29" spans="1:34" x14ac:dyDescent="0.25">
      <c r="A29" s="122"/>
      <c r="B29" s="107" t="s">
        <v>22</v>
      </c>
      <c r="C29" s="108" t="s">
        <v>5</v>
      </c>
      <c r="D29" s="90">
        <f>'1'!K29</f>
        <v>64000</v>
      </c>
      <c r="E29" s="90">
        <f>'2'!K29</f>
        <v>64000</v>
      </c>
      <c r="F29" s="90">
        <f>'3'!K29</f>
        <v>65428.571428571428</v>
      </c>
      <c r="G29" s="90">
        <f>'4'!K29</f>
        <v>65428.571428571428</v>
      </c>
      <c r="H29" s="90">
        <f>'5'!K29</f>
        <v>65142.857142857145</v>
      </c>
      <c r="I29" s="90">
        <f>'6'!K29</f>
        <v>63714.285714285717</v>
      </c>
      <c r="J29" s="90">
        <f>'7'!K29</f>
        <v>62285.714285714283</v>
      </c>
      <c r="K29" s="90">
        <f>'8'!K29</f>
        <v>63714.285714285717</v>
      </c>
      <c r="L29" s="90">
        <f>'9'!K29</f>
        <v>64285.714285714283</v>
      </c>
      <c r="M29" s="90">
        <f>'10'!K29</f>
        <v>64285.714285714283</v>
      </c>
      <c r="N29" s="90">
        <f>'11'!K29</f>
        <v>64285.714285714283</v>
      </c>
      <c r="O29" s="90">
        <f>'12'!K29</f>
        <v>64285.714285714283</v>
      </c>
      <c r="P29" s="90">
        <f>'13'!K29</f>
        <v>63285.714285714283</v>
      </c>
      <c r="Q29" s="90">
        <f>'14'!K29</f>
        <v>63285.714285714283</v>
      </c>
      <c r="R29" s="90">
        <f>'15'!K29</f>
        <v>63285.714285714283</v>
      </c>
      <c r="S29" s="90">
        <f>'16'!K29</f>
        <v>63285.714285714283</v>
      </c>
      <c r="T29" s="90">
        <f>'17'!K29</f>
        <v>63285.714285714283</v>
      </c>
      <c r="U29" s="90">
        <f>'18'!K29</f>
        <v>63285.714285714283</v>
      </c>
      <c r="V29" s="90">
        <f>'19'!K29</f>
        <v>63285.714285714283</v>
      </c>
      <c r="W29" s="90">
        <f>'20'!K29</f>
        <v>64714.285714285717</v>
      </c>
      <c r="X29" s="90">
        <f>'21'!K29</f>
        <v>64666.666666666664</v>
      </c>
      <c r="Y29" s="90">
        <f>'24'!K29</f>
        <v>64666.666666666664</v>
      </c>
      <c r="Z29" s="90">
        <f>'25'!K29</f>
        <v>64666.666666666664</v>
      </c>
      <c r="AA29" s="90">
        <f>'26'!K29</f>
        <v>70000</v>
      </c>
      <c r="AB29" s="90">
        <f>'27'!K29</f>
        <v>67142.857142857145</v>
      </c>
      <c r="AC29" s="90">
        <f>'28'!K29</f>
        <v>65714.28571428571</v>
      </c>
      <c r="AD29" s="90">
        <f>'29'!K29</f>
        <v>67142.857142857145</v>
      </c>
      <c r="AE29" s="90">
        <f>'30'!K29</f>
        <v>67142.857142857145</v>
      </c>
      <c r="AF29" s="90"/>
      <c r="AG29" s="90">
        <f t="shared" si="0"/>
        <v>3142.8571428571449</v>
      </c>
      <c r="AH29" s="189">
        <f t="shared" si="1"/>
        <v>64632.653061224497</v>
      </c>
    </row>
    <row r="30" spans="1:34" x14ac:dyDescent="0.25">
      <c r="A30" s="122"/>
      <c r="B30" s="107" t="s">
        <v>23</v>
      </c>
      <c r="C30" s="108" t="s">
        <v>5</v>
      </c>
      <c r="D30" s="90">
        <f>'1'!K30</f>
        <v>24600</v>
      </c>
      <c r="E30" s="90">
        <f>'2'!K30</f>
        <v>24600</v>
      </c>
      <c r="F30" s="90">
        <f>'3'!K30</f>
        <v>24600</v>
      </c>
      <c r="G30" s="90">
        <f>'4'!K30</f>
        <v>24600</v>
      </c>
      <c r="H30" s="90">
        <f>'5'!K30</f>
        <v>24600</v>
      </c>
      <c r="I30" s="90">
        <f>'6'!K30</f>
        <v>24600</v>
      </c>
      <c r="J30" s="90">
        <f>'7'!K30</f>
        <v>24600</v>
      </c>
      <c r="K30" s="90">
        <f>'8'!K30</f>
        <v>24600</v>
      </c>
      <c r="L30" s="90">
        <f>'9'!K30</f>
        <v>24600</v>
      </c>
      <c r="M30" s="90">
        <f>'10'!K30</f>
        <v>24600</v>
      </c>
      <c r="N30" s="90">
        <f>'11'!K30</f>
        <v>24600</v>
      </c>
      <c r="O30" s="90">
        <f>'12'!K30</f>
        <v>24600</v>
      </c>
      <c r="P30" s="90">
        <f>'13'!K30</f>
        <v>24600</v>
      </c>
      <c r="Q30" s="90">
        <f>'14'!K30</f>
        <v>24600</v>
      </c>
      <c r="R30" s="90">
        <f>'15'!K30</f>
        <v>24600</v>
      </c>
      <c r="S30" s="90">
        <f>'16'!K30</f>
        <v>24600</v>
      </c>
      <c r="T30" s="90">
        <f>'17'!K30</f>
        <v>24600</v>
      </c>
      <c r="U30" s="90">
        <f>'18'!K30</f>
        <v>24600</v>
      </c>
      <c r="V30" s="90">
        <f>'19'!K30</f>
        <v>24600</v>
      </c>
      <c r="W30" s="90">
        <f>'20'!K30</f>
        <v>24600</v>
      </c>
      <c r="X30" s="90">
        <f>'21'!K30</f>
        <v>24600</v>
      </c>
      <c r="Y30" s="90">
        <f>'24'!K30</f>
        <v>24600</v>
      </c>
      <c r="Z30" s="90">
        <f>'25'!K30</f>
        <v>24600</v>
      </c>
      <c r="AA30" s="90">
        <f>'26'!K30</f>
        <v>24600</v>
      </c>
      <c r="AB30" s="90">
        <f>'27'!K30</f>
        <v>24600</v>
      </c>
      <c r="AC30" s="90">
        <f>'28'!K30</f>
        <v>24600</v>
      </c>
      <c r="AD30" s="90">
        <f>'29'!K30</f>
        <v>24600</v>
      </c>
      <c r="AE30" s="90">
        <f>'30'!K30</f>
        <v>24600</v>
      </c>
      <c r="AF30" s="90"/>
      <c r="AG30" s="90">
        <f t="shared" si="0"/>
        <v>0</v>
      </c>
      <c r="AH30" s="189">
        <f t="shared" si="1"/>
        <v>24600</v>
      </c>
    </row>
    <row r="31" spans="1:34" x14ac:dyDescent="0.25">
      <c r="A31" s="122"/>
      <c r="B31" s="107" t="s">
        <v>24</v>
      </c>
      <c r="C31" s="108" t="s">
        <v>5</v>
      </c>
      <c r="D31" s="90">
        <f>'1'!K31</f>
        <v>38857.142857142855</v>
      </c>
      <c r="E31" s="90">
        <f>'2'!K31</f>
        <v>38857.142857142855</v>
      </c>
      <c r="F31" s="90">
        <f>'3'!K31</f>
        <v>38857.142857142855</v>
      </c>
      <c r="G31" s="90">
        <f>'4'!K31</f>
        <v>38857.142857142855</v>
      </c>
      <c r="H31" s="90">
        <f>'5'!K31</f>
        <v>38571.428571428572</v>
      </c>
      <c r="I31" s="90">
        <f>'6'!K31</f>
        <v>38571.428571428572</v>
      </c>
      <c r="J31" s="90">
        <f>'7'!K31</f>
        <v>38571.428571428572</v>
      </c>
      <c r="K31" s="90">
        <f>'8'!K31</f>
        <v>37857.142857142855</v>
      </c>
      <c r="L31" s="90">
        <f>'9'!K31</f>
        <v>37857.142857142855</v>
      </c>
      <c r="M31" s="90">
        <f>'10'!K31</f>
        <v>38000</v>
      </c>
      <c r="N31" s="90">
        <f>'11'!K31</f>
        <v>38000</v>
      </c>
      <c r="O31" s="90">
        <f>'12'!K31</f>
        <v>38000</v>
      </c>
      <c r="P31" s="90">
        <f>'13'!K31</f>
        <v>38428.571428571428</v>
      </c>
      <c r="Q31" s="90">
        <f>'14'!K31</f>
        <v>38428.571428571428</v>
      </c>
      <c r="R31" s="90">
        <f>'15'!K31</f>
        <v>38428.571428571428</v>
      </c>
      <c r="S31" s="90">
        <f>'16'!K31</f>
        <v>38428.571428571428</v>
      </c>
      <c r="T31" s="90">
        <f>'17'!K31</f>
        <v>38428.571428571428</v>
      </c>
      <c r="U31" s="90">
        <f>'18'!K31</f>
        <v>38142.857142857145</v>
      </c>
      <c r="V31" s="90">
        <f>'19'!K31</f>
        <v>38142.857142857145</v>
      </c>
      <c r="W31" s="90">
        <f>'20'!K31</f>
        <v>38428.571428571428</v>
      </c>
      <c r="X31" s="90">
        <f>'21'!K31</f>
        <v>38500</v>
      </c>
      <c r="Y31" s="90">
        <f>'24'!K31</f>
        <v>38500</v>
      </c>
      <c r="Z31" s="90">
        <f>'25'!K31</f>
        <v>38500</v>
      </c>
      <c r="AA31" s="90">
        <f>'26'!K31</f>
        <v>38428.571428571428</v>
      </c>
      <c r="AB31" s="90">
        <f>'27'!K31</f>
        <v>38428.571428571428</v>
      </c>
      <c r="AC31" s="90">
        <f>'28'!K31</f>
        <v>38428.571428571428</v>
      </c>
      <c r="AD31" s="90">
        <f>'29'!K31</f>
        <v>38428.571428571428</v>
      </c>
      <c r="AE31" s="90">
        <f>'30'!K31</f>
        <v>38428.571428571428</v>
      </c>
      <c r="AF31" s="90"/>
      <c r="AG31" s="90">
        <f t="shared" si="0"/>
        <v>-428.57142857142753</v>
      </c>
      <c r="AH31" s="189">
        <f t="shared" si="1"/>
        <v>38405.612244897973</v>
      </c>
    </row>
    <row r="32" spans="1:34" x14ac:dyDescent="0.25">
      <c r="A32" s="123"/>
      <c r="B32" s="107" t="s">
        <v>25</v>
      </c>
      <c r="C32" s="108" t="s">
        <v>5</v>
      </c>
      <c r="D32" s="90">
        <f>'1'!K32</f>
        <v>96666.666666666672</v>
      </c>
      <c r="E32" s="90">
        <f>'2'!K32</f>
        <v>96666.666666666672</v>
      </c>
      <c r="F32" s="90">
        <f>'3'!K32</f>
        <v>96666.666666666672</v>
      </c>
      <c r="G32" s="90">
        <f>'4'!K32</f>
        <v>96666.666666666672</v>
      </c>
      <c r="H32" s="90">
        <f>'5'!K32</f>
        <v>96666.666666666672</v>
      </c>
      <c r="I32" s="90">
        <f>'6'!K32</f>
        <v>96666.666666666672</v>
      </c>
      <c r="J32" s="90">
        <f>'7'!K32</f>
        <v>96666.666666666672</v>
      </c>
      <c r="K32" s="90">
        <f>'8'!K32</f>
        <v>96666.666666666672</v>
      </c>
      <c r="L32" s="90">
        <f>'9'!K32</f>
        <v>96666.666666666672</v>
      </c>
      <c r="M32" s="90">
        <f>'10'!K32</f>
        <v>96666.666666666672</v>
      </c>
      <c r="N32" s="90">
        <f>'11'!K32</f>
        <v>96666.666666666672</v>
      </c>
      <c r="O32" s="90">
        <f>'12'!K32</f>
        <v>96666.666666666672</v>
      </c>
      <c r="P32" s="90">
        <f>'13'!K32</f>
        <v>96666.666666666672</v>
      </c>
      <c r="Q32" s="90">
        <f>'14'!K32</f>
        <v>96666.666666666672</v>
      </c>
      <c r="R32" s="90">
        <f>'15'!K32</f>
        <v>96666.666666666672</v>
      </c>
      <c r="S32" s="90">
        <f>'16'!K32</f>
        <v>96666.666666666672</v>
      </c>
      <c r="T32" s="90">
        <f>'17'!K32</f>
        <v>96666.666666666672</v>
      </c>
      <c r="U32" s="90">
        <f>'18'!K32</f>
        <v>96666.666666666672</v>
      </c>
      <c r="V32" s="90">
        <f>'19'!K32</f>
        <v>96666.666666666672</v>
      </c>
      <c r="W32" s="90">
        <f>'20'!K32</f>
        <v>96666.666666666672</v>
      </c>
      <c r="X32" s="90">
        <f>'21'!K32</f>
        <v>96666.666666666672</v>
      </c>
      <c r="Y32" s="90">
        <f>'24'!K32</f>
        <v>96666.666666666672</v>
      </c>
      <c r="Z32" s="90">
        <f>'25'!K32</f>
        <v>96666.666666666672</v>
      </c>
      <c r="AA32" s="90">
        <f>'26'!K32</f>
        <v>91666.666666666672</v>
      </c>
      <c r="AB32" s="90">
        <f>'27'!K32</f>
        <v>91666.666666666672</v>
      </c>
      <c r="AC32" s="90">
        <f>'28'!K32</f>
        <v>96666.666666666672</v>
      </c>
      <c r="AD32" s="90">
        <f>'29'!K32</f>
        <v>103333.33333333333</v>
      </c>
      <c r="AE32" s="90">
        <f>'30'!K32</f>
        <v>103333.33333333333</v>
      </c>
      <c r="AF32" s="90"/>
      <c r="AG32" s="90">
        <f t="shared" si="0"/>
        <v>6666.666666666657</v>
      </c>
      <c r="AH32" s="189">
        <f t="shared" si="1"/>
        <v>96785.714285714304</v>
      </c>
    </row>
    <row r="33" spans="1:34" x14ac:dyDescent="0.25">
      <c r="A33" s="121">
        <v>7</v>
      </c>
      <c r="B33" s="116" t="s">
        <v>26</v>
      </c>
      <c r="C33" s="116"/>
      <c r="D33" s="118">
        <f>'1'!K33</f>
        <v>0</v>
      </c>
      <c r="E33" s="118">
        <f>'2'!K33</f>
        <v>0</v>
      </c>
      <c r="F33" s="118">
        <f>'3'!K33</f>
        <v>0</v>
      </c>
      <c r="G33" s="118">
        <f>'4'!K33</f>
        <v>0</v>
      </c>
      <c r="H33" s="118">
        <f>'5'!K33</f>
        <v>0</v>
      </c>
      <c r="I33" s="118">
        <f>'6'!K33</f>
        <v>0</v>
      </c>
      <c r="J33" s="118">
        <f>'7'!K33</f>
        <v>0</v>
      </c>
      <c r="K33" s="118">
        <f>'8'!K33</f>
        <v>0</v>
      </c>
      <c r="L33" s="118">
        <f>'9'!K33</f>
        <v>0</v>
      </c>
      <c r="M33" s="118">
        <f>'10'!K33</f>
        <v>0</v>
      </c>
      <c r="N33" s="118">
        <f>'11'!K33</f>
        <v>0</v>
      </c>
      <c r="O33" s="118">
        <f>'12'!K33</f>
        <v>0</v>
      </c>
      <c r="P33" s="118">
        <f>'13'!K33</f>
        <v>0</v>
      </c>
      <c r="Q33" s="118">
        <f>'14'!K33</f>
        <v>0</v>
      </c>
      <c r="R33" s="118">
        <f>'15'!K33</f>
        <v>0</v>
      </c>
      <c r="S33" s="118">
        <f>'16'!K33</f>
        <v>0</v>
      </c>
      <c r="T33" s="118">
        <f>'17'!K33</f>
        <v>0</v>
      </c>
      <c r="U33" s="118">
        <f>'18'!K33</f>
        <v>0</v>
      </c>
      <c r="V33" s="118">
        <f>'19'!K33</f>
        <v>0</v>
      </c>
      <c r="W33" s="118">
        <f>'20'!K33</f>
        <v>0</v>
      </c>
      <c r="X33" s="118">
        <f>'21'!K33</f>
        <v>0</v>
      </c>
      <c r="Y33" s="118">
        <f>'24'!K33</f>
        <v>0</v>
      </c>
      <c r="Z33" s="118">
        <f>'25'!K33</f>
        <v>0</v>
      </c>
      <c r="AA33" s="118">
        <f>'26'!K33</f>
        <v>0</v>
      </c>
      <c r="AB33" s="118">
        <f>'27'!K33</f>
        <v>0</v>
      </c>
      <c r="AC33" s="118">
        <f>'28'!K33</f>
        <v>0</v>
      </c>
      <c r="AD33" s="118">
        <f>'29'!K33</f>
        <v>0</v>
      </c>
      <c r="AE33" s="118">
        <f>'30'!K33</f>
        <v>0</v>
      </c>
      <c r="AF33" s="90"/>
      <c r="AG33" s="90">
        <f t="shared" si="0"/>
        <v>0</v>
      </c>
      <c r="AH33" s="189">
        <f t="shared" si="1"/>
        <v>0</v>
      </c>
    </row>
    <row r="34" spans="1:34" x14ac:dyDescent="0.25">
      <c r="A34" s="122"/>
      <c r="B34" s="107" t="s">
        <v>27</v>
      </c>
      <c r="C34" s="108" t="s">
        <v>5</v>
      </c>
      <c r="D34" s="90">
        <f>'1'!K34</f>
        <v>28642.857142857141</v>
      </c>
      <c r="E34" s="90">
        <f>'2'!K34</f>
        <v>28500</v>
      </c>
      <c r="F34" s="90">
        <f>'3'!K34</f>
        <v>27428.571428571428</v>
      </c>
      <c r="G34" s="90">
        <f>'4'!K34</f>
        <v>27142.857142857141</v>
      </c>
      <c r="H34" s="90">
        <f>'5'!K34</f>
        <v>27142.857142857141</v>
      </c>
      <c r="I34" s="90">
        <f>'6'!K34</f>
        <v>27142.857142857141</v>
      </c>
      <c r="J34" s="90">
        <f>'7'!K34</f>
        <v>27142.857142857141</v>
      </c>
      <c r="K34" s="90">
        <f>'8'!K34</f>
        <v>26928.571428571428</v>
      </c>
      <c r="L34" s="90">
        <f>'9'!K34</f>
        <v>26785.714285714286</v>
      </c>
      <c r="M34" s="90">
        <f>'10'!K34</f>
        <v>26928.571428571428</v>
      </c>
      <c r="N34" s="90">
        <f>'11'!K34</f>
        <v>26642.857142857141</v>
      </c>
      <c r="O34" s="90">
        <f>'12'!K34</f>
        <v>26642.857142857141</v>
      </c>
      <c r="P34" s="90">
        <f>'13'!K34</f>
        <v>26642.857142857141</v>
      </c>
      <c r="Q34" s="90">
        <f>'14'!K34</f>
        <v>26357.142857142859</v>
      </c>
      <c r="R34" s="90">
        <f>'15'!K34</f>
        <v>26214.285714285714</v>
      </c>
      <c r="S34" s="90">
        <f>'16'!K34</f>
        <v>26357.142857142859</v>
      </c>
      <c r="T34" s="90">
        <f>'17'!K34</f>
        <v>26500</v>
      </c>
      <c r="U34" s="90">
        <f>'18'!K34</f>
        <v>26357.142857142859</v>
      </c>
      <c r="V34" s="90">
        <f>'19'!K34</f>
        <v>26571.428571428572</v>
      </c>
      <c r="W34" s="90">
        <f>'20'!K34</f>
        <v>26857.142857142859</v>
      </c>
      <c r="X34" s="90">
        <f>'21'!K34</f>
        <v>27428.571428571428</v>
      </c>
      <c r="Y34" s="90">
        <f>'24'!K34</f>
        <v>27428.571428571428</v>
      </c>
      <c r="Z34" s="90">
        <f>'25'!K34</f>
        <v>27428.571428571428</v>
      </c>
      <c r="AA34" s="90">
        <f>'26'!K34</f>
        <v>27285.714285714286</v>
      </c>
      <c r="AB34" s="90">
        <f>'27'!K34</f>
        <v>27142.857142857141</v>
      </c>
      <c r="AC34" s="90">
        <f>'28'!K34</f>
        <v>26857.142857142859</v>
      </c>
      <c r="AD34" s="90">
        <f>'29'!K34</f>
        <v>27142.857142857141</v>
      </c>
      <c r="AE34" s="90">
        <f>'30'!K34</f>
        <v>27142.857142857141</v>
      </c>
      <c r="AF34" s="90">
        <v>27000</v>
      </c>
      <c r="AG34" s="90">
        <f t="shared" si="0"/>
        <v>-1500</v>
      </c>
      <c r="AH34" s="189">
        <f t="shared" si="1"/>
        <v>27028.061224489804</v>
      </c>
    </row>
    <row r="35" spans="1:34" x14ac:dyDescent="0.25">
      <c r="A35" s="123"/>
      <c r="B35" s="107" t="s">
        <v>28</v>
      </c>
      <c r="C35" s="108" t="s">
        <v>29</v>
      </c>
      <c r="D35" s="90">
        <f>'1'!K35</f>
        <v>2500</v>
      </c>
      <c r="E35" s="90">
        <f>'2'!K35</f>
        <v>2500</v>
      </c>
      <c r="F35" s="90">
        <f>'3'!K35</f>
        <v>2500</v>
      </c>
      <c r="G35" s="90">
        <f>'4'!K35</f>
        <v>2528.5714285714284</v>
      </c>
      <c r="H35" s="90">
        <f>'5'!K35</f>
        <v>2485.7142857142858</v>
      </c>
      <c r="I35" s="90">
        <f>'6'!K35</f>
        <v>2485.7142857142858</v>
      </c>
      <c r="J35" s="90">
        <f>'7'!K35</f>
        <v>2414.2857142857142</v>
      </c>
      <c r="K35" s="90">
        <f>'8'!K35</f>
        <v>2414.2857142857142</v>
      </c>
      <c r="L35" s="90">
        <f>'9'!K35</f>
        <v>2414.2857142857142</v>
      </c>
      <c r="M35" s="90">
        <f>'10'!K35</f>
        <v>2414.2857142857142</v>
      </c>
      <c r="N35" s="90">
        <f>'11'!K35</f>
        <v>2414.2857142857142</v>
      </c>
      <c r="O35" s="90">
        <f>'12'!K35</f>
        <v>2385.7142857142858</v>
      </c>
      <c r="P35" s="90">
        <f>'13'!K35</f>
        <v>2385.7142857142858</v>
      </c>
      <c r="Q35" s="90">
        <f>'14'!K35</f>
        <v>2385.7142857142858</v>
      </c>
      <c r="R35" s="90">
        <f>'15'!K35</f>
        <v>2385.7142857142858</v>
      </c>
      <c r="S35" s="90">
        <f>'16'!K35</f>
        <v>2385.7142857142858</v>
      </c>
      <c r="T35" s="90">
        <f>'17'!K35</f>
        <v>2414.2857142857142</v>
      </c>
      <c r="U35" s="90">
        <f>'18'!K35</f>
        <v>2414.2857142857142</v>
      </c>
      <c r="V35" s="90">
        <f>'19'!K35</f>
        <v>2485.7142857142858</v>
      </c>
      <c r="W35" s="90">
        <f>'20'!K35</f>
        <v>2414.2857142857142</v>
      </c>
      <c r="X35" s="90">
        <f>'21'!K35</f>
        <v>2414.2857142857142</v>
      </c>
      <c r="Y35" s="90">
        <f>'24'!K35</f>
        <v>2414.2857142857142</v>
      </c>
      <c r="Z35" s="90">
        <f>'25'!K35</f>
        <v>2414.2857142857142</v>
      </c>
      <c r="AA35" s="90">
        <f>'26'!K35</f>
        <v>2414.2857142857142</v>
      </c>
      <c r="AB35" s="90">
        <f>'27'!K35</f>
        <v>2385.7142857142858</v>
      </c>
      <c r="AC35" s="90">
        <f>'28'!K35</f>
        <v>2385.7142857142858</v>
      </c>
      <c r="AD35" s="90">
        <f>'29'!K35</f>
        <v>2385.7142857142858</v>
      </c>
      <c r="AE35" s="90">
        <f>'30'!K35</f>
        <v>2385.7142857142858</v>
      </c>
      <c r="AF35" s="90"/>
      <c r="AG35" s="90">
        <f t="shared" si="0"/>
        <v>-114.28571428571422</v>
      </c>
      <c r="AH35" s="189">
        <f t="shared" si="1"/>
        <v>2426.0204081632655</v>
      </c>
    </row>
    <row r="36" spans="1:34" x14ac:dyDescent="0.25">
      <c r="A36" s="106">
        <v>8</v>
      </c>
      <c r="B36" s="116" t="s">
        <v>109</v>
      </c>
      <c r="C36" s="119"/>
      <c r="D36" s="118">
        <f>'1'!K36</f>
        <v>0</v>
      </c>
      <c r="E36" s="118">
        <f>'2'!K36</f>
        <v>0</v>
      </c>
      <c r="F36" s="118">
        <f>'3'!K36</f>
        <v>0</v>
      </c>
      <c r="G36" s="118">
        <f>'4'!K36</f>
        <v>0</v>
      </c>
      <c r="H36" s="118">
        <f>'5'!K36</f>
        <v>0</v>
      </c>
      <c r="I36" s="118">
        <f>'6'!K36</f>
        <v>0</v>
      </c>
      <c r="J36" s="118">
        <f>'7'!K36</f>
        <v>0</v>
      </c>
      <c r="K36" s="118">
        <f>'8'!K36</f>
        <v>0</v>
      </c>
      <c r="L36" s="118">
        <f>'9'!K36</f>
        <v>0</v>
      </c>
      <c r="M36" s="118">
        <f>'10'!K36</f>
        <v>0</v>
      </c>
      <c r="N36" s="118">
        <f>'11'!K36</f>
        <v>0</v>
      </c>
      <c r="O36" s="118">
        <f>'12'!K36</f>
        <v>0</v>
      </c>
      <c r="P36" s="118">
        <f>'13'!K36</f>
        <v>0</v>
      </c>
      <c r="Q36" s="118">
        <f>'14'!K36</f>
        <v>0</v>
      </c>
      <c r="R36" s="118">
        <f>'15'!K36</f>
        <v>0</v>
      </c>
      <c r="S36" s="118">
        <f>'16'!K36</f>
        <v>0</v>
      </c>
      <c r="T36" s="118">
        <f>'17'!K36</f>
        <v>0</v>
      </c>
      <c r="U36" s="118">
        <f>'18'!K36</f>
        <v>0</v>
      </c>
      <c r="V36" s="118">
        <f>'19'!K36</f>
        <v>0</v>
      </c>
      <c r="W36" s="118">
        <f>'20'!K36</f>
        <v>0</v>
      </c>
      <c r="X36" s="118">
        <f>'21'!K36</f>
        <v>0</v>
      </c>
      <c r="Y36" s="118">
        <f>'24'!K36</f>
        <v>0</v>
      </c>
      <c r="Z36" s="118">
        <f>'25'!K36</f>
        <v>0</v>
      </c>
      <c r="AA36" s="118">
        <f>'26'!K36</f>
        <v>0</v>
      </c>
      <c r="AB36" s="118">
        <f>'27'!K36</f>
        <v>0</v>
      </c>
      <c r="AC36" s="118">
        <f>'28'!K36</f>
        <v>0</v>
      </c>
      <c r="AD36" s="118">
        <f>'29'!K36</f>
        <v>0</v>
      </c>
      <c r="AE36" s="118">
        <f>'30'!K36</f>
        <v>0</v>
      </c>
      <c r="AF36" s="90"/>
      <c r="AG36" s="90">
        <f t="shared" si="0"/>
        <v>0</v>
      </c>
      <c r="AH36" s="189">
        <f t="shared" si="1"/>
        <v>0</v>
      </c>
    </row>
    <row r="37" spans="1:34" x14ac:dyDescent="0.25">
      <c r="A37" s="106"/>
      <c r="B37" s="107" t="s">
        <v>110</v>
      </c>
      <c r="C37" s="108" t="s">
        <v>5</v>
      </c>
      <c r="D37" s="90">
        <f>'1'!K37</f>
        <v>11142.857142857143</v>
      </c>
      <c r="E37" s="90">
        <f>'2'!K37</f>
        <v>11142.857142857143</v>
      </c>
      <c r="F37" s="90">
        <f>'3'!K37</f>
        <v>11142.857142857143</v>
      </c>
      <c r="G37" s="90">
        <f>'4'!K37</f>
        <v>11142.857142857143</v>
      </c>
      <c r="H37" s="90">
        <f>'5'!K37</f>
        <v>11142.857142857143</v>
      </c>
      <c r="I37" s="90">
        <f>'6'!K37</f>
        <v>11142.857142857143</v>
      </c>
      <c r="J37" s="90">
        <f>'7'!K37</f>
        <v>11142.857142857143</v>
      </c>
      <c r="K37" s="90">
        <f>'8'!K37</f>
        <v>11142.857142857143</v>
      </c>
      <c r="L37" s="90">
        <f>'9'!K37</f>
        <v>11142.857142857143</v>
      </c>
      <c r="M37" s="90">
        <f>'10'!K37</f>
        <v>11142.857142857143</v>
      </c>
      <c r="N37" s="90">
        <f>'11'!K37</f>
        <v>11142.857142857143</v>
      </c>
      <c r="O37" s="90">
        <f>'12'!K37</f>
        <v>11142.857142857143</v>
      </c>
      <c r="P37" s="90">
        <f>'13'!K37</f>
        <v>11142.857142857143</v>
      </c>
      <c r="Q37" s="90">
        <f>'14'!K37</f>
        <v>11142.857142857143</v>
      </c>
      <c r="R37" s="90">
        <f>'15'!K37</f>
        <v>11142.857142857143</v>
      </c>
      <c r="S37" s="90">
        <f>'16'!K37</f>
        <v>11142.857142857143</v>
      </c>
      <c r="T37" s="90">
        <f>'17'!K37</f>
        <v>11142.857142857143</v>
      </c>
      <c r="U37" s="90">
        <f>'18'!K37</f>
        <v>11142.857142857143</v>
      </c>
      <c r="V37" s="90">
        <f>'19'!K37</f>
        <v>11142.857142857143</v>
      </c>
      <c r="W37" s="90">
        <f>'20'!K37</f>
        <v>11142.857142857143</v>
      </c>
      <c r="X37" s="90">
        <f>'21'!K37</f>
        <v>11142.857142857143</v>
      </c>
      <c r="Y37" s="90">
        <f>'24'!K37</f>
        <v>11142.857142857143</v>
      </c>
      <c r="Z37" s="90">
        <f>'25'!K37</f>
        <v>11571.428571428571</v>
      </c>
      <c r="AA37" s="90">
        <f>'26'!K37</f>
        <v>11357.142857142857</v>
      </c>
      <c r="AB37" s="90">
        <f>'27'!K37</f>
        <v>11357.142857142857</v>
      </c>
      <c r="AC37" s="90">
        <f>'28'!K37</f>
        <v>10714.285714285714</v>
      </c>
      <c r="AD37" s="90">
        <f>'29'!K37</f>
        <v>11142.857142857143</v>
      </c>
      <c r="AE37" s="90">
        <f>'30'!K37</f>
        <v>11142.857142857143</v>
      </c>
      <c r="AF37" s="90"/>
      <c r="AG37" s="90">
        <f t="shared" si="0"/>
        <v>0</v>
      </c>
      <c r="AH37" s="189">
        <f t="shared" si="1"/>
        <v>11158.163265306121</v>
      </c>
    </row>
    <row r="38" spans="1:34" x14ac:dyDescent="0.25">
      <c r="A38" s="106"/>
      <c r="B38" s="107" t="s">
        <v>111</v>
      </c>
      <c r="C38" s="108" t="s">
        <v>5</v>
      </c>
      <c r="D38" s="90">
        <f>'1'!K38</f>
        <v>12200</v>
      </c>
      <c r="E38" s="90">
        <f>'2'!K38</f>
        <v>12200</v>
      </c>
      <c r="F38" s="90">
        <f>'3'!K38</f>
        <v>12200</v>
      </c>
      <c r="G38" s="90">
        <f>'4'!K38</f>
        <v>12200</v>
      </c>
      <c r="H38" s="90">
        <f>'5'!K38</f>
        <v>12200</v>
      </c>
      <c r="I38" s="90">
        <f>'6'!K38</f>
        <v>12200</v>
      </c>
      <c r="J38" s="90">
        <f>'7'!K38</f>
        <v>12200</v>
      </c>
      <c r="K38" s="90">
        <f>'8'!K38</f>
        <v>12200</v>
      </c>
      <c r="L38" s="90">
        <f>'9'!K38</f>
        <v>12200</v>
      </c>
      <c r="M38" s="90">
        <f>'10'!K38</f>
        <v>12200</v>
      </c>
      <c r="N38" s="90">
        <f>'11'!K38</f>
        <v>12200</v>
      </c>
      <c r="O38" s="90">
        <f>'12'!K38</f>
        <v>12200</v>
      </c>
      <c r="P38" s="90">
        <f>'13'!K38</f>
        <v>12200</v>
      </c>
      <c r="Q38" s="90">
        <f>'14'!K38</f>
        <v>12200</v>
      </c>
      <c r="R38" s="90">
        <f>'15'!K38</f>
        <v>12200</v>
      </c>
      <c r="S38" s="90">
        <f>'16'!K38</f>
        <v>12200</v>
      </c>
      <c r="T38" s="90">
        <f>'17'!K38</f>
        <v>12200</v>
      </c>
      <c r="U38" s="90">
        <f>'18'!K38</f>
        <v>12200</v>
      </c>
      <c r="V38" s="90">
        <f>'19'!K38</f>
        <v>12200</v>
      </c>
      <c r="W38" s="90">
        <f>'20'!K38</f>
        <v>12200</v>
      </c>
      <c r="X38" s="90">
        <f>'21'!K38</f>
        <v>12200</v>
      </c>
      <c r="Y38" s="90">
        <f>'24'!K38</f>
        <v>12200</v>
      </c>
      <c r="Z38" s="90">
        <f>'25'!K38</f>
        <v>12400</v>
      </c>
      <c r="AA38" s="90">
        <f>'26'!K38</f>
        <v>12200</v>
      </c>
      <c r="AB38" s="90">
        <f>'27'!K38</f>
        <v>12200</v>
      </c>
      <c r="AC38" s="90">
        <f>'28'!K38</f>
        <v>12200</v>
      </c>
      <c r="AD38" s="90">
        <f>'29'!K38</f>
        <v>12400</v>
      </c>
      <c r="AE38" s="90">
        <f>'30'!K38</f>
        <v>12400</v>
      </c>
      <c r="AF38" s="90"/>
      <c r="AG38" s="90">
        <f t="shared" si="0"/>
        <v>200</v>
      </c>
      <c r="AH38" s="189">
        <f t="shared" si="1"/>
        <v>12221.428571428571</v>
      </c>
    </row>
    <row r="39" spans="1:34" x14ac:dyDescent="0.25">
      <c r="A39" s="106">
        <v>9</v>
      </c>
      <c r="B39" s="116" t="s">
        <v>112</v>
      </c>
      <c r="C39" s="119"/>
      <c r="D39" s="118">
        <f>'1'!K39</f>
        <v>0</v>
      </c>
      <c r="E39" s="118">
        <f>'2'!K39</f>
        <v>0</v>
      </c>
      <c r="F39" s="118">
        <f>'3'!K39</f>
        <v>0</v>
      </c>
      <c r="G39" s="118">
        <f>'4'!K39</f>
        <v>0</v>
      </c>
      <c r="H39" s="118">
        <f>'5'!K39</f>
        <v>0</v>
      </c>
      <c r="I39" s="118">
        <f>'6'!K39</f>
        <v>0</v>
      </c>
      <c r="J39" s="118">
        <f>'7'!K39</f>
        <v>0</v>
      </c>
      <c r="K39" s="118">
        <f>'8'!K39</f>
        <v>0</v>
      </c>
      <c r="L39" s="118">
        <f>'9'!K39</f>
        <v>0</v>
      </c>
      <c r="M39" s="118">
        <f>'10'!K39</f>
        <v>0</v>
      </c>
      <c r="N39" s="118">
        <f>'11'!K39</f>
        <v>0</v>
      </c>
      <c r="O39" s="118">
        <f>'12'!K39</f>
        <v>0</v>
      </c>
      <c r="P39" s="118">
        <f>'13'!K39</f>
        <v>0</v>
      </c>
      <c r="Q39" s="118">
        <f>'14'!K39</f>
        <v>0</v>
      </c>
      <c r="R39" s="118">
        <f>'15'!K39</f>
        <v>0</v>
      </c>
      <c r="S39" s="118">
        <f>'16'!K39</f>
        <v>0</v>
      </c>
      <c r="T39" s="118">
        <f>'17'!K39</f>
        <v>0</v>
      </c>
      <c r="U39" s="118">
        <f>'18'!K39</f>
        <v>0</v>
      </c>
      <c r="V39" s="118">
        <f>'19'!K39</f>
        <v>0</v>
      </c>
      <c r="W39" s="118">
        <f>'20'!K39</f>
        <v>0</v>
      </c>
      <c r="X39" s="118">
        <f>'21'!K39</f>
        <v>0</v>
      </c>
      <c r="Y39" s="118">
        <f>'24'!K39</f>
        <v>0</v>
      </c>
      <c r="Z39" s="118">
        <f>'25'!K39</f>
        <v>0</v>
      </c>
      <c r="AA39" s="118">
        <f>'26'!K39</f>
        <v>0</v>
      </c>
      <c r="AB39" s="118">
        <f>'27'!K39</f>
        <v>0</v>
      </c>
      <c r="AC39" s="118">
        <f>'28'!K39</f>
        <v>0</v>
      </c>
      <c r="AD39" s="118">
        <f>'29'!K39</f>
        <v>0</v>
      </c>
      <c r="AE39" s="118">
        <f>'30'!K39</f>
        <v>0</v>
      </c>
      <c r="AF39" s="90"/>
      <c r="AG39" s="90">
        <f t="shared" si="0"/>
        <v>0</v>
      </c>
      <c r="AH39" s="189">
        <f t="shared" si="1"/>
        <v>0</v>
      </c>
    </row>
    <row r="40" spans="1:34" x14ac:dyDescent="0.25">
      <c r="A40" s="106"/>
      <c r="B40" s="107" t="s">
        <v>113</v>
      </c>
      <c r="C40" s="108" t="s">
        <v>5</v>
      </c>
      <c r="D40" s="90">
        <f>'1'!K40</f>
        <v>15600</v>
      </c>
      <c r="E40" s="90">
        <f>'2'!K40</f>
        <v>15600</v>
      </c>
      <c r="F40" s="90">
        <f>'3'!K40</f>
        <v>15600</v>
      </c>
      <c r="G40" s="90">
        <f>'4'!K40</f>
        <v>15600</v>
      </c>
      <c r="H40" s="90">
        <f>'5'!K40</f>
        <v>15600</v>
      </c>
      <c r="I40" s="90">
        <f>'6'!K40</f>
        <v>15600</v>
      </c>
      <c r="J40" s="90">
        <f>'7'!K40</f>
        <v>15600</v>
      </c>
      <c r="K40" s="90">
        <f>'8'!K40</f>
        <v>15600</v>
      </c>
      <c r="L40" s="90">
        <f>'9'!K40</f>
        <v>15600</v>
      </c>
      <c r="M40" s="90">
        <f>'10'!K40</f>
        <v>15600</v>
      </c>
      <c r="N40" s="90">
        <f>'11'!K40</f>
        <v>15600</v>
      </c>
      <c r="O40" s="90">
        <f>'12'!K40</f>
        <v>15600</v>
      </c>
      <c r="P40" s="90">
        <f>'13'!K40</f>
        <v>15600</v>
      </c>
      <c r="Q40" s="90">
        <f>'14'!K40</f>
        <v>15600</v>
      </c>
      <c r="R40" s="90">
        <f>'15'!K40</f>
        <v>15600</v>
      </c>
      <c r="S40" s="90">
        <f>'16'!K40</f>
        <v>15600</v>
      </c>
      <c r="T40" s="90">
        <f>'17'!K40</f>
        <v>15600</v>
      </c>
      <c r="U40" s="90">
        <f>'18'!K40</f>
        <v>15600</v>
      </c>
      <c r="V40" s="90">
        <f>'19'!K40</f>
        <v>15600</v>
      </c>
      <c r="W40" s="90">
        <f>'20'!K40</f>
        <v>15600</v>
      </c>
      <c r="X40" s="90">
        <f>'21'!K40</f>
        <v>15600</v>
      </c>
      <c r="Y40" s="90">
        <f>'24'!K40</f>
        <v>15600</v>
      </c>
      <c r="Z40" s="90">
        <f>'25'!K40</f>
        <v>15600</v>
      </c>
      <c r="AA40" s="90">
        <f>'26'!K40</f>
        <v>15600</v>
      </c>
      <c r="AB40" s="90">
        <f>'27'!K40</f>
        <v>15600</v>
      </c>
      <c r="AC40" s="90">
        <f>'28'!K40</f>
        <v>15600</v>
      </c>
      <c r="AD40" s="90">
        <f>'29'!K40</f>
        <v>15600</v>
      </c>
      <c r="AE40" s="90">
        <f>'30'!K40</f>
        <v>15600</v>
      </c>
      <c r="AF40" s="90"/>
      <c r="AG40" s="90">
        <f t="shared" si="0"/>
        <v>0</v>
      </c>
      <c r="AH40" s="189">
        <f t="shared" si="1"/>
        <v>15600</v>
      </c>
    </row>
    <row r="41" spans="1:34" x14ac:dyDescent="0.25">
      <c r="A41" s="106"/>
      <c r="B41" s="107" t="s">
        <v>114</v>
      </c>
      <c r="C41" s="108" t="s">
        <v>5</v>
      </c>
      <c r="D41" s="90">
        <f>'1'!K41</f>
        <v>6833.333333333333</v>
      </c>
      <c r="E41" s="90">
        <f>'2'!K41</f>
        <v>6833.333333333333</v>
      </c>
      <c r="F41" s="90">
        <f>'3'!K41</f>
        <v>6833.333333333333</v>
      </c>
      <c r="G41" s="90">
        <f>'4'!K41</f>
        <v>6833.333333333333</v>
      </c>
      <c r="H41" s="90">
        <f>'5'!K41</f>
        <v>6833.333333333333</v>
      </c>
      <c r="I41" s="90">
        <f>'6'!K41</f>
        <v>6833.333333333333</v>
      </c>
      <c r="J41" s="90">
        <f>'7'!K41</f>
        <v>6833.333333333333</v>
      </c>
      <c r="K41" s="90">
        <f>'8'!K41</f>
        <v>6833.333333333333</v>
      </c>
      <c r="L41" s="90">
        <f>'9'!K41</f>
        <v>6833.333333333333</v>
      </c>
      <c r="M41" s="90">
        <f>'10'!K41</f>
        <v>6833.333333333333</v>
      </c>
      <c r="N41" s="90">
        <f>'11'!K41</f>
        <v>6833.333333333333</v>
      </c>
      <c r="O41" s="90">
        <f>'12'!K41</f>
        <v>6833.333333333333</v>
      </c>
      <c r="P41" s="90">
        <f>'13'!K41</f>
        <v>6833.333333333333</v>
      </c>
      <c r="Q41" s="90">
        <f>'14'!K41</f>
        <v>6833.333333333333</v>
      </c>
      <c r="R41" s="90">
        <f>'15'!K41</f>
        <v>6833.333333333333</v>
      </c>
      <c r="S41" s="90">
        <f>'16'!K41</f>
        <v>6833.333333333333</v>
      </c>
      <c r="T41" s="90">
        <f>'17'!K41</f>
        <v>6833.333333333333</v>
      </c>
      <c r="U41" s="90">
        <f>'18'!K41</f>
        <v>6833.333333333333</v>
      </c>
      <c r="V41" s="90">
        <f>'19'!K41</f>
        <v>6833.333333333333</v>
      </c>
      <c r="W41" s="90">
        <f>'20'!K41</f>
        <v>6833.333333333333</v>
      </c>
      <c r="X41" s="90">
        <f>'21'!K41</f>
        <v>6833.333333333333</v>
      </c>
      <c r="Y41" s="90">
        <f>'24'!K41</f>
        <v>6833.333333333333</v>
      </c>
      <c r="Z41" s="90">
        <f>'25'!K41</f>
        <v>6833.333333333333</v>
      </c>
      <c r="AA41" s="90">
        <f>'26'!K41</f>
        <v>6833.333333333333</v>
      </c>
      <c r="AB41" s="90">
        <f>'27'!K41</f>
        <v>6833.333333333333</v>
      </c>
      <c r="AC41" s="90">
        <f>'28'!K41</f>
        <v>6833.333333333333</v>
      </c>
      <c r="AD41" s="90">
        <f>'29'!K41</f>
        <v>6833.333333333333</v>
      </c>
      <c r="AE41" s="90">
        <f>'30'!K41</f>
        <v>6833.333333333333</v>
      </c>
      <c r="AF41" s="90"/>
      <c r="AG41" s="90">
        <f t="shared" si="0"/>
        <v>0</v>
      </c>
      <c r="AH41" s="189">
        <f t="shared" si="1"/>
        <v>6833.3333333333348</v>
      </c>
    </row>
    <row r="42" spans="1:34" x14ac:dyDescent="0.25">
      <c r="A42" s="106"/>
      <c r="B42" s="107" t="s">
        <v>115</v>
      </c>
      <c r="C42" s="108" t="s">
        <v>5</v>
      </c>
      <c r="D42" s="90">
        <f>'1'!K42</f>
        <v>2000</v>
      </c>
      <c r="E42" s="90">
        <f>'2'!K42</f>
        <v>2000</v>
      </c>
      <c r="F42" s="90">
        <f>'3'!K42</f>
        <v>2000</v>
      </c>
      <c r="G42" s="90">
        <f>'4'!K42</f>
        <v>2000</v>
      </c>
      <c r="H42" s="90">
        <f>'5'!K42</f>
        <v>2000</v>
      </c>
      <c r="I42" s="90">
        <f>'6'!K42</f>
        <v>2000</v>
      </c>
      <c r="J42" s="90">
        <f>'7'!K42</f>
        <v>2000</v>
      </c>
      <c r="K42" s="90">
        <f>'8'!K42</f>
        <v>2000</v>
      </c>
      <c r="L42" s="90">
        <f>'9'!K42</f>
        <v>2000</v>
      </c>
      <c r="M42" s="90">
        <f>'10'!K42</f>
        <v>2000</v>
      </c>
      <c r="N42" s="90">
        <f>'11'!K42</f>
        <v>2000</v>
      </c>
      <c r="O42" s="90">
        <f>'12'!K42</f>
        <v>2000</v>
      </c>
      <c r="P42" s="90">
        <f>'13'!K42</f>
        <v>2000</v>
      </c>
      <c r="Q42" s="90">
        <f>'14'!K42</f>
        <v>2000</v>
      </c>
      <c r="R42" s="90">
        <f>'15'!K42</f>
        <v>2000</v>
      </c>
      <c r="S42" s="90">
        <f>'16'!K42</f>
        <v>2000</v>
      </c>
      <c r="T42" s="90">
        <f>'17'!K42</f>
        <v>2000</v>
      </c>
      <c r="U42" s="90">
        <f>'18'!K42</f>
        <v>2000</v>
      </c>
      <c r="V42" s="90">
        <f>'19'!K42</f>
        <v>2000</v>
      </c>
      <c r="W42" s="90">
        <f>'20'!K42</f>
        <v>2000</v>
      </c>
      <c r="X42" s="90">
        <f>'21'!K42</f>
        <v>2000</v>
      </c>
      <c r="Y42" s="90">
        <f>'24'!K42</f>
        <v>2000</v>
      </c>
      <c r="Z42" s="90">
        <f>'25'!K42</f>
        <v>2000</v>
      </c>
      <c r="AA42" s="90">
        <f>'26'!K42</f>
        <v>2000</v>
      </c>
      <c r="AB42" s="90">
        <f>'27'!K42</f>
        <v>2000</v>
      </c>
      <c r="AC42" s="90">
        <f>'28'!K42</f>
        <v>2000</v>
      </c>
      <c r="AD42" s="90">
        <f>'29'!K42</f>
        <v>2000</v>
      </c>
      <c r="AE42" s="90">
        <f>'30'!K42</f>
        <v>2000</v>
      </c>
      <c r="AF42" s="90"/>
      <c r="AG42" s="90">
        <f t="shared" si="0"/>
        <v>0</v>
      </c>
      <c r="AH42" s="189">
        <f t="shared" si="1"/>
        <v>2000</v>
      </c>
    </row>
    <row r="43" spans="1:34" x14ac:dyDescent="0.25">
      <c r="A43" s="121">
        <v>10</v>
      </c>
      <c r="B43" s="116" t="s">
        <v>30</v>
      </c>
      <c r="C43" s="116"/>
      <c r="D43" s="118">
        <f>'1'!K43</f>
        <v>0</v>
      </c>
      <c r="E43" s="118">
        <f>'2'!K43</f>
        <v>0</v>
      </c>
      <c r="F43" s="118">
        <f>'3'!K43</f>
        <v>0</v>
      </c>
      <c r="G43" s="118">
        <f>'4'!K43</f>
        <v>0</v>
      </c>
      <c r="H43" s="118">
        <f>'5'!K43</f>
        <v>0</v>
      </c>
      <c r="I43" s="118">
        <f>'6'!K43</f>
        <v>0</v>
      </c>
      <c r="J43" s="118">
        <f>'7'!K43</f>
        <v>0</v>
      </c>
      <c r="K43" s="118">
        <f>'8'!K43</f>
        <v>0</v>
      </c>
      <c r="L43" s="118">
        <f>'9'!K43</f>
        <v>0</v>
      </c>
      <c r="M43" s="118">
        <f>'10'!K43</f>
        <v>0</v>
      </c>
      <c r="N43" s="118">
        <f>'11'!K43</f>
        <v>0</v>
      </c>
      <c r="O43" s="118">
        <f>'12'!K43</f>
        <v>0</v>
      </c>
      <c r="P43" s="118">
        <f>'13'!K43</f>
        <v>0</v>
      </c>
      <c r="Q43" s="118">
        <f>'14'!K43</f>
        <v>0</v>
      </c>
      <c r="R43" s="118">
        <f>'15'!K43</f>
        <v>0</v>
      </c>
      <c r="S43" s="118">
        <f>'16'!K43</f>
        <v>0</v>
      </c>
      <c r="T43" s="118">
        <f>'17'!K43</f>
        <v>0</v>
      </c>
      <c r="U43" s="118">
        <f>'18'!K43</f>
        <v>0</v>
      </c>
      <c r="V43" s="118">
        <f>'19'!K43</f>
        <v>0</v>
      </c>
      <c r="W43" s="118">
        <f>'20'!K43</f>
        <v>0</v>
      </c>
      <c r="X43" s="118">
        <f>'21'!K43</f>
        <v>0</v>
      </c>
      <c r="Y43" s="118">
        <f>'24'!K43</f>
        <v>0</v>
      </c>
      <c r="Z43" s="118">
        <f>'25'!K43</f>
        <v>0</v>
      </c>
      <c r="AA43" s="118">
        <f>'26'!K43</f>
        <v>0</v>
      </c>
      <c r="AB43" s="118">
        <f>'27'!K43</f>
        <v>0</v>
      </c>
      <c r="AC43" s="118">
        <f>'28'!K43</f>
        <v>0</v>
      </c>
      <c r="AD43" s="118">
        <f>'29'!K43</f>
        <v>0</v>
      </c>
      <c r="AE43" s="118">
        <f>'30'!K43</f>
        <v>0</v>
      </c>
      <c r="AF43" s="90"/>
      <c r="AG43" s="90">
        <f t="shared" si="0"/>
        <v>0</v>
      </c>
      <c r="AH43" s="189">
        <f t="shared" si="1"/>
        <v>0</v>
      </c>
    </row>
    <row r="44" spans="1:34" x14ac:dyDescent="0.25">
      <c r="A44" s="122"/>
      <c r="B44" s="107" t="s">
        <v>31</v>
      </c>
      <c r="C44" s="108" t="s">
        <v>143</v>
      </c>
      <c r="D44" s="90">
        <f>'1'!K44</f>
        <v>12333.333333333334</v>
      </c>
      <c r="E44" s="90">
        <f>'2'!K44</f>
        <v>12333.333333333334</v>
      </c>
      <c r="F44" s="90">
        <f>'3'!K44</f>
        <v>12333.333333333334</v>
      </c>
      <c r="G44" s="90">
        <f>'4'!K44</f>
        <v>12333.333333333334</v>
      </c>
      <c r="H44" s="90">
        <f>'5'!K44</f>
        <v>12333.333333333334</v>
      </c>
      <c r="I44" s="90">
        <f>'6'!K44</f>
        <v>12333.333333333334</v>
      </c>
      <c r="J44" s="90">
        <f>'7'!K44</f>
        <v>12333.333333333334</v>
      </c>
      <c r="K44" s="90">
        <f>'8'!K44</f>
        <v>12333.333333333334</v>
      </c>
      <c r="L44" s="90">
        <f>'9'!K44</f>
        <v>12333.333333333334</v>
      </c>
      <c r="M44" s="90">
        <f>'10'!K44</f>
        <v>12333.333333333334</v>
      </c>
      <c r="N44" s="90">
        <f>'11'!K44</f>
        <v>12333.333333333334</v>
      </c>
      <c r="O44" s="90">
        <f>'12'!K44</f>
        <v>12333.333333333334</v>
      </c>
      <c r="P44" s="90">
        <f>'13'!K44</f>
        <v>12333.333333333334</v>
      </c>
      <c r="Q44" s="90">
        <f>'14'!K44</f>
        <v>12333.333333333334</v>
      </c>
      <c r="R44" s="90">
        <f>'15'!K44</f>
        <v>12333.333333333334</v>
      </c>
      <c r="S44" s="90">
        <f>'16'!K44</f>
        <v>12333.333333333334</v>
      </c>
      <c r="T44" s="90">
        <f>'17'!K44</f>
        <v>12333.333333333334</v>
      </c>
      <c r="U44" s="90">
        <f>'18'!K44</f>
        <v>12333.333333333334</v>
      </c>
      <c r="V44" s="90">
        <f>'19'!K44</f>
        <v>12333.333333333334</v>
      </c>
      <c r="W44" s="90">
        <f>'20'!K44</f>
        <v>12333.333333333334</v>
      </c>
      <c r="X44" s="90">
        <f>'21'!K44</f>
        <v>12333.333333333334</v>
      </c>
      <c r="Y44" s="90">
        <f>'24'!K44</f>
        <v>12333.333333333334</v>
      </c>
      <c r="Z44" s="90">
        <f>'25'!K44</f>
        <v>12333.333333333334</v>
      </c>
      <c r="AA44" s="90">
        <f>'26'!K44</f>
        <v>12416.666666666666</v>
      </c>
      <c r="AB44" s="90">
        <f>'27'!K44</f>
        <v>12416.666666666666</v>
      </c>
      <c r="AC44" s="90">
        <f>'28'!K44</f>
        <v>12333.333333333334</v>
      </c>
      <c r="AD44" s="90">
        <f>'29'!K44</f>
        <v>12333.333333333334</v>
      </c>
      <c r="AE44" s="90">
        <f>'30'!K44</f>
        <v>12333.333333333334</v>
      </c>
      <c r="AF44" s="90"/>
      <c r="AG44" s="90">
        <f t="shared" si="0"/>
        <v>0</v>
      </c>
      <c r="AH44" s="189">
        <f t="shared" si="1"/>
        <v>12339.285714285716</v>
      </c>
    </row>
    <row r="45" spans="1:34" x14ac:dyDescent="0.25">
      <c r="A45" s="123"/>
      <c r="B45" s="107" t="s">
        <v>116</v>
      </c>
      <c r="C45" s="108" t="s">
        <v>144</v>
      </c>
      <c r="D45" s="90">
        <f>'1'!K45</f>
        <v>12500</v>
      </c>
      <c r="E45" s="90">
        <f>'2'!K45</f>
        <v>12500</v>
      </c>
      <c r="F45" s="90">
        <f>'3'!K45</f>
        <v>12500</v>
      </c>
      <c r="G45" s="90">
        <f>'4'!K45</f>
        <v>12500</v>
      </c>
      <c r="H45" s="90">
        <f>'5'!K45</f>
        <v>12500</v>
      </c>
      <c r="I45" s="90">
        <f>'6'!K45</f>
        <v>12500</v>
      </c>
      <c r="J45" s="90">
        <f>'7'!K45</f>
        <v>12500</v>
      </c>
      <c r="K45" s="90">
        <f>'8'!K45</f>
        <v>12500</v>
      </c>
      <c r="L45" s="90">
        <f>'9'!K45</f>
        <v>12500</v>
      </c>
      <c r="M45" s="90">
        <f>'10'!K45</f>
        <v>12500</v>
      </c>
      <c r="N45" s="90">
        <f>'11'!K45</f>
        <v>12500</v>
      </c>
      <c r="O45" s="90">
        <f>'12'!K45</f>
        <v>12500</v>
      </c>
      <c r="P45" s="90">
        <f>'13'!K45</f>
        <v>12500</v>
      </c>
      <c r="Q45" s="90">
        <f>'14'!K45</f>
        <v>12500</v>
      </c>
      <c r="R45" s="90">
        <f>'15'!K45</f>
        <v>12500</v>
      </c>
      <c r="S45" s="90">
        <f>'16'!K45</f>
        <v>12500</v>
      </c>
      <c r="T45" s="90">
        <f>'17'!K45</f>
        <v>12500</v>
      </c>
      <c r="U45" s="90">
        <f>'18'!K45</f>
        <v>12500</v>
      </c>
      <c r="V45" s="90">
        <f>'19'!K45</f>
        <v>12500</v>
      </c>
      <c r="W45" s="90">
        <f>'20'!K45</f>
        <v>12500</v>
      </c>
      <c r="X45" s="90">
        <f>'21'!K45</f>
        <v>12500</v>
      </c>
      <c r="Y45" s="90">
        <f>'24'!K45</f>
        <v>12500</v>
      </c>
      <c r="Z45" s="90">
        <f>'25'!K45</f>
        <v>12500</v>
      </c>
      <c r="AA45" s="90">
        <f>'26'!K45</f>
        <v>12583.333333333334</v>
      </c>
      <c r="AB45" s="90">
        <f>'27'!K45</f>
        <v>12583.333333333334</v>
      </c>
      <c r="AC45" s="90">
        <f>'28'!K45</f>
        <v>12500</v>
      </c>
      <c r="AD45" s="90">
        <f>'29'!K45</f>
        <v>12500</v>
      </c>
      <c r="AE45" s="90">
        <f>'30'!K45</f>
        <v>12500</v>
      </c>
      <c r="AF45" s="90"/>
      <c r="AG45" s="90">
        <f t="shared" si="0"/>
        <v>0</v>
      </c>
      <c r="AH45" s="189">
        <f t="shared" si="1"/>
        <v>12505.95238095238</v>
      </c>
    </row>
    <row r="46" spans="1:34" x14ac:dyDescent="0.25">
      <c r="A46" s="121">
        <v>11</v>
      </c>
      <c r="B46" s="116" t="s">
        <v>33</v>
      </c>
      <c r="C46" s="116"/>
      <c r="D46" s="118">
        <f>'1'!K46</f>
        <v>0</v>
      </c>
      <c r="E46" s="118">
        <f>'2'!K46</f>
        <v>0</v>
      </c>
      <c r="F46" s="118">
        <f>'3'!K46</f>
        <v>0</v>
      </c>
      <c r="G46" s="118">
        <f>'4'!K46</f>
        <v>0</v>
      </c>
      <c r="H46" s="118">
        <f>'5'!K46</f>
        <v>0</v>
      </c>
      <c r="I46" s="118">
        <f>'6'!K46</f>
        <v>0</v>
      </c>
      <c r="J46" s="118">
        <f>'7'!K46</f>
        <v>0</v>
      </c>
      <c r="K46" s="118">
        <f>'8'!K46</f>
        <v>0</v>
      </c>
      <c r="L46" s="118">
        <f>'9'!K46</f>
        <v>0</v>
      </c>
      <c r="M46" s="118">
        <f>'10'!K46</f>
        <v>0</v>
      </c>
      <c r="N46" s="118">
        <f>'11'!K46</f>
        <v>0</v>
      </c>
      <c r="O46" s="118">
        <f>'12'!K46</f>
        <v>0</v>
      </c>
      <c r="P46" s="118">
        <f>'13'!K46</f>
        <v>0</v>
      </c>
      <c r="Q46" s="118">
        <f>'14'!K46</f>
        <v>0</v>
      </c>
      <c r="R46" s="118">
        <f>'15'!K46</f>
        <v>0</v>
      </c>
      <c r="S46" s="118">
        <f>'16'!K46</f>
        <v>0</v>
      </c>
      <c r="T46" s="118">
        <f>'17'!K46</f>
        <v>0</v>
      </c>
      <c r="U46" s="118">
        <f>'18'!K46</f>
        <v>0</v>
      </c>
      <c r="V46" s="118">
        <f>'19'!K46</f>
        <v>0</v>
      </c>
      <c r="W46" s="118">
        <f>'20'!K46</f>
        <v>0</v>
      </c>
      <c r="X46" s="118">
        <f>'21'!K46</f>
        <v>0</v>
      </c>
      <c r="Y46" s="118">
        <f>'24'!K46</f>
        <v>0</v>
      </c>
      <c r="Z46" s="118">
        <f>'25'!K46</f>
        <v>0</v>
      </c>
      <c r="AA46" s="118">
        <f>'26'!K46</f>
        <v>0</v>
      </c>
      <c r="AB46" s="118">
        <f>'27'!K46</f>
        <v>0</v>
      </c>
      <c r="AC46" s="118">
        <f>'28'!K46</f>
        <v>0</v>
      </c>
      <c r="AD46" s="118">
        <f>'29'!K46</f>
        <v>0</v>
      </c>
      <c r="AE46" s="118">
        <f>'30'!K46</f>
        <v>0</v>
      </c>
      <c r="AF46" s="90"/>
      <c r="AG46" s="90">
        <f t="shared" si="0"/>
        <v>0</v>
      </c>
      <c r="AH46" s="189">
        <f t="shared" si="1"/>
        <v>0</v>
      </c>
    </row>
    <row r="47" spans="1:34" x14ac:dyDescent="0.25">
      <c r="A47" s="122"/>
      <c r="B47" s="107" t="s">
        <v>34</v>
      </c>
      <c r="C47" s="108" t="s">
        <v>35</v>
      </c>
      <c r="D47" s="90">
        <f>'1'!K47</f>
        <v>17500</v>
      </c>
      <c r="E47" s="90">
        <f>'2'!K47</f>
        <v>17500</v>
      </c>
      <c r="F47" s="90">
        <f>'3'!K47</f>
        <v>17500</v>
      </c>
      <c r="G47" s="90">
        <f>'4'!K47</f>
        <v>17500</v>
      </c>
      <c r="H47" s="90">
        <f>'5'!K47</f>
        <v>17500</v>
      </c>
      <c r="I47" s="90">
        <f>'6'!K47</f>
        <v>17500</v>
      </c>
      <c r="J47" s="90">
        <f>'7'!K47</f>
        <v>17500</v>
      </c>
      <c r="K47" s="90">
        <f>'8'!K47</f>
        <v>17500</v>
      </c>
      <c r="L47" s="90">
        <f>'9'!K47</f>
        <v>17500</v>
      </c>
      <c r="M47" s="90">
        <f>'10'!K47</f>
        <v>17500</v>
      </c>
      <c r="N47" s="90">
        <f>'11'!K47</f>
        <v>17500</v>
      </c>
      <c r="O47" s="90">
        <f>'12'!K47</f>
        <v>17500</v>
      </c>
      <c r="P47" s="90">
        <f>'13'!K47</f>
        <v>17500</v>
      </c>
      <c r="Q47" s="90">
        <f>'14'!K47</f>
        <v>17500</v>
      </c>
      <c r="R47" s="90">
        <f>'15'!K47</f>
        <v>17500</v>
      </c>
      <c r="S47" s="90">
        <f>'16'!K47</f>
        <v>17500</v>
      </c>
      <c r="T47" s="90">
        <f>'17'!K47</f>
        <v>17500</v>
      </c>
      <c r="U47" s="90">
        <f>'18'!K47</f>
        <v>17500</v>
      </c>
      <c r="V47" s="90">
        <f>'19'!K47</f>
        <v>17500</v>
      </c>
      <c r="W47" s="90">
        <f>'20'!K47</f>
        <v>17500</v>
      </c>
      <c r="X47" s="90">
        <f>'21'!K47</f>
        <v>17500</v>
      </c>
      <c r="Y47" s="90">
        <f>'24'!K47</f>
        <v>17500</v>
      </c>
      <c r="Z47" s="90">
        <f>'25'!K47</f>
        <v>17500</v>
      </c>
      <c r="AA47" s="90">
        <f>'26'!K47</f>
        <v>17500</v>
      </c>
      <c r="AB47" s="90">
        <f>'27'!K47</f>
        <v>17500</v>
      </c>
      <c r="AC47" s="90">
        <f>'28'!K47</f>
        <v>17500</v>
      </c>
      <c r="AD47" s="90">
        <f>'29'!K47</f>
        <v>17500</v>
      </c>
      <c r="AE47" s="90">
        <f>'30'!K47</f>
        <v>17500</v>
      </c>
      <c r="AF47" s="90"/>
      <c r="AG47" s="90">
        <f t="shared" si="0"/>
        <v>0</v>
      </c>
      <c r="AH47" s="189">
        <f t="shared" si="1"/>
        <v>17500</v>
      </c>
    </row>
    <row r="48" spans="1:34" x14ac:dyDescent="0.25">
      <c r="A48" s="122"/>
      <c r="B48" s="107" t="s">
        <v>36</v>
      </c>
      <c r="C48" s="108" t="s">
        <v>37</v>
      </c>
      <c r="D48" s="90">
        <f>'1'!K48</f>
        <v>2000</v>
      </c>
      <c r="E48" s="90">
        <f>'2'!K48</f>
        <v>2000</v>
      </c>
      <c r="F48" s="90">
        <f>'3'!K48</f>
        <v>2000</v>
      </c>
      <c r="G48" s="90">
        <f>'4'!K48</f>
        <v>2000</v>
      </c>
      <c r="H48" s="90">
        <f>'5'!K48</f>
        <v>2000</v>
      </c>
      <c r="I48" s="90">
        <f>'6'!K48</f>
        <v>2000</v>
      </c>
      <c r="J48" s="90">
        <f>'7'!K48</f>
        <v>2000</v>
      </c>
      <c r="K48" s="90">
        <f>'8'!K48</f>
        <v>2000</v>
      </c>
      <c r="L48" s="90">
        <f>'9'!K48</f>
        <v>2000</v>
      </c>
      <c r="M48" s="90">
        <f>'10'!K48</f>
        <v>2000</v>
      </c>
      <c r="N48" s="90">
        <f>'11'!K48</f>
        <v>2000</v>
      </c>
      <c r="O48" s="90">
        <f>'12'!K48</f>
        <v>2000</v>
      </c>
      <c r="P48" s="90">
        <f>'13'!K48</f>
        <v>2000</v>
      </c>
      <c r="Q48" s="90">
        <f>'14'!K48</f>
        <v>2000</v>
      </c>
      <c r="R48" s="90">
        <f>'15'!K48</f>
        <v>2000</v>
      </c>
      <c r="S48" s="90">
        <f>'16'!K48</f>
        <v>2000</v>
      </c>
      <c r="T48" s="90">
        <f>'17'!K48</f>
        <v>2000</v>
      </c>
      <c r="U48" s="90">
        <f>'18'!K48</f>
        <v>2000</v>
      </c>
      <c r="V48" s="90">
        <f>'19'!K48</f>
        <v>2000</v>
      </c>
      <c r="W48" s="90">
        <f>'20'!K48</f>
        <v>2000</v>
      </c>
      <c r="X48" s="90">
        <f>'21'!K48</f>
        <v>2000</v>
      </c>
      <c r="Y48" s="90">
        <f>'24'!K48</f>
        <v>2000</v>
      </c>
      <c r="Z48" s="90">
        <f>'25'!K48</f>
        <v>2000</v>
      </c>
      <c r="AA48" s="90">
        <f>'26'!K48</f>
        <v>2000</v>
      </c>
      <c r="AB48" s="90">
        <f>'27'!K48</f>
        <v>2000</v>
      </c>
      <c r="AC48" s="90">
        <f>'28'!K48</f>
        <v>2000</v>
      </c>
      <c r="AD48" s="90">
        <f>'29'!K48</f>
        <v>2000</v>
      </c>
      <c r="AE48" s="90">
        <f>'30'!K48</f>
        <v>2000</v>
      </c>
      <c r="AF48" s="90"/>
      <c r="AG48" s="90">
        <f t="shared" si="0"/>
        <v>0</v>
      </c>
      <c r="AH48" s="189">
        <f t="shared" si="1"/>
        <v>2000</v>
      </c>
    </row>
    <row r="49" spans="1:34" x14ac:dyDescent="0.25">
      <c r="A49" s="106">
        <v>12</v>
      </c>
      <c r="B49" s="120" t="s">
        <v>38</v>
      </c>
      <c r="C49" s="119"/>
      <c r="D49" s="118">
        <f>'1'!K49</f>
        <v>0</v>
      </c>
      <c r="E49" s="118">
        <f>'2'!K49</f>
        <v>0</v>
      </c>
      <c r="F49" s="118">
        <f>'3'!K49</f>
        <v>0</v>
      </c>
      <c r="G49" s="118">
        <f>'4'!K49</f>
        <v>0</v>
      </c>
      <c r="H49" s="118">
        <f>'5'!K49</f>
        <v>0</v>
      </c>
      <c r="I49" s="118">
        <f>'6'!K49</f>
        <v>0</v>
      </c>
      <c r="J49" s="118">
        <f>'7'!K49</f>
        <v>0</v>
      </c>
      <c r="K49" s="118">
        <f>'8'!K49</f>
        <v>0</v>
      </c>
      <c r="L49" s="118">
        <f>'9'!K49</f>
        <v>0</v>
      </c>
      <c r="M49" s="118">
        <f>'10'!K49</f>
        <v>0</v>
      </c>
      <c r="N49" s="118">
        <f>'11'!K49</f>
        <v>0</v>
      </c>
      <c r="O49" s="118">
        <f>'12'!K49</f>
        <v>0</v>
      </c>
      <c r="P49" s="118">
        <f>'13'!K49</f>
        <v>0</v>
      </c>
      <c r="Q49" s="118">
        <f>'14'!K49</f>
        <v>0</v>
      </c>
      <c r="R49" s="118">
        <f>'15'!K49</f>
        <v>0</v>
      </c>
      <c r="S49" s="118">
        <f>'16'!K49</f>
        <v>0</v>
      </c>
      <c r="T49" s="118">
        <f>'17'!K49</f>
        <v>0</v>
      </c>
      <c r="U49" s="118">
        <f>'18'!K49</f>
        <v>0</v>
      </c>
      <c r="V49" s="118">
        <f>'19'!K49</f>
        <v>0</v>
      </c>
      <c r="W49" s="118">
        <f>'20'!K49</f>
        <v>0</v>
      </c>
      <c r="X49" s="118">
        <f>'21'!K49</f>
        <v>0</v>
      </c>
      <c r="Y49" s="118">
        <f>'24'!K49</f>
        <v>0</v>
      </c>
      <c r="Z49" s="118">
        <f>'25'!K49</f>
        <v>0</v>
      </c>
      <c r="AA49" s="118">
        <f>'26'!K49</f>
        <v>0</v>
      </c>
      <c r="AB49" s="118">
        <f>'27'!K49</f>
        <v>0</v>
      </c>
      <c r="AC49" s="118">
        <f>'28'!K49</f>
        <v>0</v>
      </c>
      <c r="AD49" s="118">
        <f>'29'!K49</f>
        <v>0</v>
      </c>
      <c r="AE49" s="118">
        <f>'30'!K49</f>
        <v>0</v>
      </c>
      <c r="AF49" s="90"/>
      <c r="AG49" s="90">
        <f t="shared" si="0"/>
        <v>0</v>
      </c>
      <c r="AH49" s="189">
        <f t="shared" si="1"/>
        <v>0</v>
      </c>
    </row>
    <row r="50" spans="1:34" x14ac:dyDescent="0.25">
      <c r="A50" s="106"/>
      <c r="B50" s="107" t="s">
        <v>39</v>
      </c>
      <c r="C50" s="108" t="s">
        <v>5</v>
      </c>
      <c r="D50" s="90">
        <f>'1'!K50</f>
        <v>9285.7142857142862</v>
      </c>
      <c r="E50" s="90">
        <f>'2'!K50</f>
        <v>9285.7142857142862</v>
      </c>
      <c r="F50" s="90">
        <f>'3'!K50</f>
        <v>9285.7142857142862</v>
      </c>
      <c r="G50" s="90">
        <f>'4'!K50</f>
        <v>9285.7142857142862</v>
      </c>
      <c r="H50" s="90">
        <f>'5'!K50</f>
        <v>9285.7142857142862</v>
      </c>
      <c r="I50" s="90">
        <f>'6'!K50</f>
        <v>9285.7142857142862</v>
      </c>
      <c r="J50" s="90">
        <f>'7'!K50</f>
        <v>9285.7142857142862</v>
      </c>
      <c r="K50" s="90">
        <f>'8'!K50</f>
        <v>9285.7142857142862</v>
      </c>
      <c r="L50" s="90">
        <f>'9'!K50</f>
        <v>9285.7142857142862</v>
      </c>
      <c r="M50" s="90">
        <f>'10'!K50</f>
        <v>9285.7142857142862</v>
      </c>
      <c r="N50" s="90">
        <f>'11'!K50</f>
        <v>9285.7142857142862</v>
      </c>
      <c r="O50" s="90">
        <f>'12'!K50</f>
        <v>9285.7142857142862</v>
      </c>
      <c r="P50" s="90">
        <f>'13'!K50</f>
        <v>9285.7142857142862</v>
      </c>
      <c r="Q50" s="90">
        <f>'14'!K50</f>
        <v>9285.7142857142862</v>
      </c>
      <c r="R50" s="90">
        <f>'15'!K50</f>
        <v>9285.7142857142862</v>
      </c>
      <c r="S50" s="90">
        <f>'16'!K50</f>
        <v>9285.7142857142862</v>
      </c>
      <c r="T50" s="90">
        <f>'17'!K50</f>
        <v>9285.7142857142862</v>
      </c>
      <c r="U50" s="90">
        <f>'18'!K50</f>
        <v>9285.7142857142862</v>
      </c>
      <c r="V50" s="90">
        <f>'19'!K50</f>
        <v>9285.7142857142862</v>
      </c>
      <c r="W50" s="90">
        <f>'20'!K50</f>
        <v>9285.7142857142862</v>
      </c>
      <c r="X50" s="90">
        <f>'21'!K50</f>
        <v>9285.7142857142862</v>
      </c>
      <c r="Y50" s="90">
        <f>'24'!K50</f>
        <v>9285.7142857142862</v>
      </c>
      <c r="Z50" s="90">
        <f>'25'!K50</f>
        <v>9285.7142857142862</v>
      </c>
      <c r="AA50" s="90">
        <f>'26'!K50</f>
        <v>9285.7142857142862</v>
      </c>
      <c r="AB50" s="90">
        <f>'27'!K50</f>
        <v>9285.7142857142862</v>
      </c>
      <c r="AC50" s="90">
        <f>'28'!K50</f>
        <v>9142.8571428571431</v>
      </c>
      <c r="AD50" s="90">
        <f>'29'!K50</f>
        <v>9142.8571428571431</v>
      </c>
      <c r="AE50" s="90">
        <f>'30'!K50</f>
        <v>9142.8571428571431</v>
      </c>
      <c r="AF50" s="90"/>
      <c r="AG50" s="90">
        <f t="shared" si="0"/>
        <v>-142.85714285714312</v>
      </c>
      <c r="AH50" s="189">
        <f t="shared" si="1"/>
        <v>9270.4081632653069</v>
      </c>
    </row>
    <row r="51" spans="1:34" x14ac:dyDescent="0.25">
      <c r="A51" s="109"/>
      <c r="B51" s="107" t="s">
        <v>40</v>
      </c>
      <c r="C51" s="108" t="s">
        <v>5</v>
      </c>
      <c r="D51" s="90">
        <f>'1'!K51</f>
        <v>8166.666666666667</v>
      </c>
      <c r="E51" s="90">
        <f>'2'!K51</f>
        <v>8166.666666666667</v>
      </c>
      <c r="F51" s="90">
        <f>'3'!K51</f>
        <v>8166.666666666667</v>
      </c>
      <c r="G51" s="90">
        <f>'4'!K51</f>
        <v>8166.666666666667</v>
      </c>
      <c r="H51" s="90">
        <f>'5'!K51</f>
        <v>8166.666666666667</v>
      </c>
      <c r="I51" s="90">
        <f>'6'!K51</f>
        <v>8166.666666666667</v>
      </c>
      <c r="J51" s="90">
        <f>'7'!K51</f>
        <v>8166.666666666667</v>
      </c>
      <c r="K51" s="90">
        <f>'8'!K51</f>
        <v>8166.666666666667</v>
      </c>
      <c r="L51" s="90">
        <f>'9'!K51</f>
        <v>8166.666666666667</v>
      </c>
      <c r="M51" s="90">
        <f>'10'!K51</f>
        <v>8166.666666666667</v>
      </c>
      <c r="N51" s="90">
        <f>'11'!K51</f>
        <v>8166.666666666667</v>
      </c>
      <c r="O51" s="90">
        <f>'12'!K51</f>
        <v>8166.666666666667</v>
      </c>
      <c r="P51" s="90">
        <f>'13'!K51</f>
        <v>8166.666666666667</v>
      </c>
      <c r="Q51" s="90">
        <f>'14'!K51</f>
        <v>8166.666666666667</v>
      </c>
      <c r="R51" s="90">
        <f>'15'!K51</f>
        <v>8166.666666666667</v>
      </c>
      <c r="S51" s="90">
        <f>'16'!K51</f>
        <v>8166.666666666667</v>
      </c>
      <c r="T51" s="90">
        <f>'17'!K51</f>
        <v>8166.666666666667</v>
      </c>
      <c r="U51" s="90">
        <f>'18'!K51</f>
        <v>8166.666666666667</v>
      </c>
      <c r="V51" s="90">
        <f>'19'!K51</f>
        <v>8166.666666666667</v>
      </c>
      <c r="W51" s="90">
        <f>'20'!K51</f>
        <v>8166.666666666667</v>
      </c>
      <c r="X51" s="90">
        <f>'21'!K51</f>
        <v>8166.666666666667</v>
      </c>
      <c r="Y51" s="90">
        <f>'24'!K51</f>
        <v>8166.666666666667</v>
      </c>
      <c r="Z51" s="90">
        <f>'25'!K51</f>
        <v>8166.666666666667</v>
      </c>
      <c r="AA51" s="90">
        <f>'26'!K51</f>
        <v>8333.3333333333339</v>
      </c>
      <c r="AB51" s="90">
        <f>'27'!K51</f>
        <v>8333.3333333333339</v>
      </c>
      <c r="AC51" s="90">
        <f>'28'!K51</f>
        <v>8333.3333333333339</v>
      </c>
      <c r="AD51" s="90">
        <f>'29'!K51</f>
        <v>8333.3333333333339</v>
      </c>
      <c r="AE51" s="90">
        <f>'30'!K51</f>
        <v>8333.3333333333339</v>
      </c>
      <c r="AF51" s="90"/>
      <c r="AG51" s="90">
        <f t="shared" si="0"/>
        <v>166.66666666666697</v>
      </c>
      <c r="AH51" s="189">
        <f t="shared" si="1"/>
        <v>8196.4285714285725</v>
      </c>
    </row>
    <row r="52" spans="1:34" x14ac:dyDescent="0.25">
      <c r="A52" s="121">
        <v>13</v>
      </c>
      <c r="B52" s="116" t="s">
        <v>41</v>
      </c>
      <c r="C52" s="116"/>
      <c r="D52" s="118">
        <f>'1'!K52</f>
        <v>0</v>
      </c>
      <c r="E52" s="118">
        <f>'2'!K52</f>
        <v>0</v>
      </c>
      <c r="F52" s="118">
        <f>'3'!K52</f>
        <v>0</v>
      </c>
      <c r="G52" s="118">
        <f>'4'!K52</f>
        <v>0</v>
      </c>
      <c r="H52" s="118">
        <f>'5'!K52</f>
        <v>0</v>
      </c>
      <c r="I52" s="118">
        <f>'6'!K52</f>
        <v>0</v>
      </c>
      <c r="J52" s="118">
        <f>'7'!K52</f>
        <v>0</v>
      </c>
      <c r="K52" s="118">
        <f>'8'!K52</f>
        <v>0</v>
      </c>
      <c r="L52" s="118">
        <f>'9'!K52</f>
        <v>0</v>
      </c>
      <c r="M52" s="118">
        <f>'10'!K52</f>
        <v>0</v>
      </c>
      <c r="N52" s="118">
        <f>'11'!K52</f>
        <v>0</v>
      </c>
      <c r="O52" s="118">
        <f>'12'!K52</f>
        <v>0</v>
      </c>
      <c r="P52" s="118">
        <f>'13'!K52</f>
        <v>0</v>
      </c>
      <c r="Q52" s="118">
        <f>'14'!K52</f>
        <v>0</v>
      </c>
      <c r="R52" s="118">
        <f>'15'!K52</f>
        <v>0</v>
      </c>
      <c r="S52" s="118">
        <f>'16'!K52</f>
        <v>0</v>
      </c>
      <c r="T52" s="118">
        <f>'17'!K52</f>
        <v>0</v>
      </c>
      <c r="U52" s="118">
        <f>'18'!K52</f>
        <v>0</v>
      </c>
      <c r="V52" s="118">
        <f>'19'!K52</f>
        <v>0</v>
      </c>
      <c r="W52" s="118">
        <f>'20'!K52</f>
        <v>0</v>
      </c>
      <c r="X52" s="118">
        <f>'21'!K52</f>
        <v>0</v>
      </c>
      <c r="Y52" s="118">
        <f>'24'!K52</f>
        <v>0</v>
      </c>
      <c r="Z52" s="118">
        <f>'25'!K52</f>
        <v>0</v>
      </c>
      <c r="AA52" s="118">
        <f>'26'!K52</f>
        <v>0</v>
      </c>
      <c r="AB52" s="118">
        <f>'27'!K52</f>
        <v>0</v>
      </c>
      <c r="AC52" s="118">
        <f>'28'!K52</f>
        <v>0</v>
      </c>
      <c r="AD52" s="118">
        <f>'29'!K52</f>
        <v>0</v>
      </c>
      <c r="AE52" s="118">
        <f>'30'!K52</f>
        <v>0</v>
      </c>
      <c r="AF52" s="90"/>
      <c r="AG52" s="90">
        <f t="shared" si="0"/>
        <v>0</v>
      </c>
      <c r="AH52" s="189">
        <f t="shared" si="1"/>
        <v>0</v>
      </c>
    </row>
    <row r="53" spans="1:34" x14ac:dyDescent="0.25">
      <c r="A53" s="123"/>
      <c r="B53" s="107" t="s">
        <v>42</v>
      </c>
      <c r="C53" s="108" t="s">
        <v>43</v>
      </c>
      <c r="D53" s="90">
        <f>'1'!K53</f>
        <v>4000</v>
      </c>
      <c r="E53" s="90">
        <f>'2'!K53</f>
        <v>4000</v>
      </c>
      <c r="F53" s="90">
        <f>'3'!K53</f>
        <v>4000</v>
      </c>
      <c r="G53" s="90">
        <f>'4'!K53</f>
        <v>4000</v>
      </c>
      <c r="H53" s="90">
        <f>'5'!K53</f>
        <v>4000</v>
      </c>
      <c r="I53" s="90">
        <f>'6'!K53</f>
        <v>4000</v>
      </c>
      <c r="J53" s="90">
        <f>'7'!K53</f>
        <v>4000</v>
      </c>
      <c r="K53" s="90">
        <f>'8'!K53</f>
        <v>4000</v>
      </c>
      <c r="L53" s="90">
        <f>'9'!K53</f>
        <v>4000</v>
      </c>
      <c r="M53" s="90">
        <f>'10'!K53</f>
        <v>4000</v>
      </c>
      <c r="N53" s="90">
        <f>'11'!K53</f>
        <v>4000</v>
      </c>
      <c r="O53" s="90">
        <f>'12'!K53</f>
        <v>4000</v>
      </c>
      <c r="P53" s="90">
        <f>'13'!K53</f>
        <v>4000</v>
      </c>
      <c r="Q53" s="90">
        <f>'14'!K53</f>
        <v>4000</v>
      </c>
      <c r="R53" s="90">
        <f>'15'!K53</f>
        <v>4000</v>
      </c>
      <c r="S53" s="90">
        <f>'16'!K53</f>
        <v>4000</v>
      </c>
      <c r="T53" s="90">
        <f>'17'!K53</f>
        <v>4000</v>
      </c>
      <c r="U53" s="90">
        <f>'18'!K53</f>
        <v>4000</v>
      </c>
      <c r="V53" s="90">
        <f>'19'!K53</f>
        <v>4000</v>
      </c>
      <c r="W53" s="90">
        <f>'20'!K53</f>
        <v>4000</v>
      </c>
      <c r="X53" s="90">
        <f>'21'!K53</f>
        <v>4000</v>
      </c>
      <c r="Y53" s="90">
        <f>'24'!K53</f>
        <v>4000</v>
      </c>
      <c r="Z53" s="90">
        <f>'25'!K53</f>
        <v>4000</v>
      </c>
      <c r="AA53" s="90">
        <f>'26'!K53</f>
        <v>4000</v>
      </c>
      <c r="AB53" s="90">
        <f>'27'!K53</f>
        <v>4000</v>
      </c>
      <c r="AC53" s="90">
        <f>'28'!K53</f>
        <v>4000</v>
      </c>
      <c r="AD53" s="90">
        <f>'29'!K53</f>
        <v>4000</v>
      </c>
      <c r="AE53" s="90">
        <f>'30'!K53</f>
        <v>4000</v>
      </c>
      <c r="AF53" s="90"/>
      <c r="AG53" s="90">
        <f t="shared" si="0"/>
        <v>0</v>
      </c>
      <c r="AH53" s="189">
        <f t="shared" si="1"/>
        <v>4000</v>
      </c>
    </row>
    <row r="54" spans="1:34" x14ac:dyDescent="0.25">
      <c r="A54" s="121">
        <v>14</v>
      </c>
      <c r="B54" s="116" t="s">
        <v>44</v>
      </c>
      <c r="C54" s="119"/>
      <c r="D54" s="118">
        <f>'1'!K54</f>
        <v>0</v>
      </c>
      <c r="E54" s="118">
        <f>'2'!K54</f>
        <v>0</v>
      </c>
      <c r="F54" s="118">
        <f>'3'!K54</f>
        <v>0</v>
      </c>
      <c r="G54" s="118">
        <f>'4'!K54</f>
        <v>0</v>
      </c>
      <c r="H54" s="118">
        <f>'5'!K54</f>
        <v>0</v>
      </c>
      <c r="I54" s="118">
        <f>'6'!K54</f>
        <v>0</v>
      </c>
      <c r="J54" s="118">
        <f>'7'!K54</f>
        <v>0</v>
      </c>
      <c r="K54" s="118">
        <f>'8'!K54</f>
        <v>0</v>
      </c>
      <c r="L54" s="118">
        <f>'9'!K54</f>
        <v>0</v>
      </c>
      <c r="M54" s="118">
        <f>'10'!K54</f>
        <v>0</v>
      </c>
      <c r="N54" s="118">
        <f>'11'!K54</f>
        <v>0</v>
      </c>
      <c r="O54" s="118">
        <f>'12'!K54</f>
        <v>0</v>
      </c>
      <c r="P54" s="118">
        <f>'13'!K54</f>
        <v>0</v>
      </c>
      <c r="Q54" s="118">
        <f>'14'!K54</f>
        <v>0</v>
      </c>
      <c r="R54" s="118">
        <f>'15'!K54</f>
        <v>0</v>
      </c>
      <c r="S54" s="118">
        <f>'16'!K54</f>
        <v>0</v>
      </c>
      <c r="T54" s="118">
        <f>'17'!K54</f>
        <v>0</v>
      </c>
      <c r="U54" s="118">
        <f>'18'!K54</f>
        <v>0</v>
      </c>
      <c r="V54" s="118">
        <f>'19'!K54</f>
        <v>0</v>
      </c>
      <c r="W54" s="118">
        <f>'20'!K54</f>
        <v>0</v>
      </c>
      <c r="X54" s="118">
        <f>'21'!K54</f>
        <v>0</v>
      </c>
      <c r="Y54" s="118">
        <f>'24'!K54</f>
        <v>0</v>
      </c>
      <c r="Z54" s="118">
        <f>'25'!K54</f>
        <v>0</v>
      </c>
      <c r="AA54" s="118">
        <f>'26'!K54</f>
        <v>0</v>
      </c>
      <c r="AB54" s="118">
        <f>'27'!K54</f>
        <v>0</v>
      </c>
      <c r="AC54" s="118">
        <f>'28'!K54</f>
        <v>0</v>
      </c>
      <c r="AD54" s="118">
        <f>'29'!K54</f>
        <v>0</v>
      </c>
      <c r="AE54" s="118">
        <f>'30'!K54</f>
        <v>0</v>
      </c>
      <c r="AF54" s="90"/>
      <c r="AG54" s="90">
        <f t="shared" si="0"/>
        <v>0</v>
      </c>
      <c r="AH54" s="189">
        <f t="shared" si="1"/>
        <v>0</v>
      </c>
    </row>
    <row r="55" spans="1:34" x14ac:dyDescent="0.25">
      <c r="A55" s="123"/>
      <c r="B55" s="107" t="s">
        <v>45</v>
      </c>
      <c r="C55" s="108" t="s">
        <v>5</v>
      </c>
      <c r="D55" s="90">
        <f>'1'!K55</f>
        <v>11357.142857142857</v>
      </c>
      <c r="E55" s="90">
        <f>'2'!K55</f>
        <v>11357.142857142857</v>
      </c>
      <c r="F55" s="90">
        <f>'3'!K55</f>
        <v>11357.142857142857</v>
      </c>
      <c r="G55" s="90">
        <f>'4'!K55</f>
        <v>11357.142857142857</v>
      </c>
      <c r="H55" s="90">
        <f>'5'!K55</f>
        <v>11357.142857142857</v>
      </c>
      <c r="I55" s="90">
        <f>'6'!K55</f>
        <v>11357.142857142857</v>
      </c>
      <c r="J55" s="90">
        <f>'7'!K55</f>
        <v>11357.142857142857</v>
      </c>
      <c r="K55" s="90">
        <f>'8'!K55</f>
        <v>11357.142857142857</v>
      </c>
      <c r="L55" s="90">
        <f>'9'!K55</f>
        <v>11357.142857142857</v>
      </c>
      <c r="M55" s="90">
        <f>'10'!K55</f>
        <v>11357.142857142857</v>
      </c>
      <c r="N55" s="90">
        <f>'11'!K55</f>
        <v>11357.142857142857</v>
      </c>
      <c r="O55" s="90">
        <f>'12'!K55</f>
        <v>11357.142857142857</v>
      </c>
      <c r="P55" s="90">
        <f>'13'!K55</f>
        <v>11357.142857142857</v>
      </c>
      <c r="Q55" s="90">
        <f>'14'!K55</f>
        <v>11357.142857142857</v>
      </c>
      <c r="R55" s="90">
        <f>'15'!K55</f>
        <v>11357.142857142857</v>
      </c>
      <c r="S55" s="90">
        <f>'16'!K55</f>
        <v>11357.142857142857</v>
      </c>
      <c r="T55" s="90">
        <f>'17'!K55</f>
        <v>11357.142857142857</v>
      </c>
      <c r="U55" s="90">
        <f>'18'!K55</f>
        <v>11357.142857142857</v>
      </c>
      <c r="V55" s="90">
        <f>'19'!K55</f>
        <v>11357.142857142857</v>
      </c>
      <c r="W55" s="90">
        <f>'20'!K55</f>
        <v>11357.142857142857</v>
      </c>
      <c r="X55" s="90">
        <f>'21'!K55</f>
        <v>11285.714285714286</v>
      </c>
      <c r="Y55" s="90">
        <f>'24'!K55</f>
        <v>11285.714285714286</v>
      </c>
      <c r="Z55" s="90">
        <f>'25'!K55</f>
        <v>11285.714285714286</v>
      </c>
      <c r="AA55" s="90">
        <f>'26'!K55</f>
        <v>11357.142857142857</v>
      </c>
      <c r="AB55" s="90">
        <f>'27'!K55</f>
        <v>11357.142857142857</v>
      </c>
      <c r="AC55" s="90">
        <f>'28'!K55</f>
        <v>11357.142857142857</v>
      </c>
      <c r="AD55" s="90">
        <f>'29'!K55</f>
        <v>11285.714285714286</v>
      </c>
      <c r="AE55" s="90">
        <f>'30'!K55</f>
        <v>11285.714285714286</v>
      </c>
      <c r="AF55" s="90"/>
      <c r="AG55" s="90">
        <f t="shared" si="0"/>
        <v>-71.428571428570649</v>
      </c>
      <c r="AH55" s="189">
        <f t="shared" si="1"/>
        <v>11344.387755102041</v>
      </c>
    </row>
    <row r="56" spans="1:34" x14ac:dyDescent="0.25">
      <c r="A56" s="121">
        <v>15</v>
      </c>
      <c r="B56" s="116" t="s">
        <v>46</v>
      </c>
      <c r="C56" s="116"/>
      <c r="D56" s="118">
        <f>'1'!K56</f>
        <v>0</v>
      </c>
      <c r="E56" s="118">
        <f>'2'!K56</f>
        <v>0</v>
      </c>
      <c r="F56" s="118">
        <f>'3'!K56</f>
        <v>0</v>
      </c>
      <c r="G56" s="118">
        <f>'4'!K56</f>
        <v>0</v>
      </c>
      <c r="H56" s="118">
        <f>'5'!K56</f>
        <v>0</v>
      </c>
      <c r="I56" s="118">
        <f>'6'!K56</f>
        <v>0</v>
      </c>
      <c r="J56" s="118">
        <f>'7'!K56</f>
        <v>0</v>
      </c>
      <c r="K56" s="118">
        <f>'8'!K56</f>
        <v>0</v>
      </c>
      <c r="L56" s="118">
        <f>'9'!K56</f>
        <v>0</v>
      </c>
      <c r="M56" s="118">
        <f>'10'!K56</f>
        <v>0</v>
      </c>
      <c r="N56" s="118">
        <f>'11'!K56</f>
        <v>0</v>
      </c>
      <c r="O56" s="118">
        <f>'12'!K56</f>
        <v>0</v>
      </c>
      <c r="P56" s="118">
        <f>'13'!K56</f>
        <v>0</v>
      </c>
      <c r="Q56" s="118">
        <f>'14'!K56</f>
        <v>0</v>
      </c>
      <c r="R56" s="118">
        <f>'15'!K56</f>
        <v>0</v>
      </c>
      <c r="S56" s="118">
        <f>'16'!K56</f>
        <v>0</v>
      </c>
      <c r="T56" s="118">
        <f>'17'!K56</f>
        <v>0</v>
      </c>
      <c r="U56" s="118">
        <f>'18'!K56</f>
        <v>0</v>
      </c>
      <c r="V56" s="118">
        <f>'19'!K56</f>
        <v>0</v>
      </c>
      <c r="W56" s="118">
        <f>'20'!K56</f>
        <v>0</v>
      </c>
      <c r="X56" s="118">
        <f>'21'!K56</f>
        <v>0</v>
      </c>
      <c r="Y56" s="118">
        <f>'24'!K56</f>
        <v>0</v>
      </c>
      <c r="Z56" s="118">
        <f>'25'!K56</f>
        <v>0</v>
      </c>
      <c r="AA56" s="118">
        <f>'26'!K56</f>
        <v>0</v>
      </c>
      <c r="AB56" s="118">
        <f>'27'!K56</f>
        <v>0</v>
      </c>
      <c r="AC56" s="118">
        <f>'28'!K56</f>
        <v>0</v>
      </c>
      <c r="AD56" s="118">
        <f>'29'!K56</f>
        <v>0</v>
      </c>
      <c r="AE56" s="118">
        <f>'30'!K56</f>
        <v>0</v>
      </c>
      <c r="AF56" s="90"/>
      <c r="AG56" s="90">
        <f t="shared" si="0"/>
        <v>0</v>
      </c>
      <c r="AH56" s="189">
        <f t="shared" si="1"/>
        <v>0</v>
      </c>
    </row>
    <row r="57" spans="1:34" x14ac:dyDescent="0.25">
      <c r="A57" s="122"/>
      <c r="B57" s="107" t="s">
        <v>47</v>
      </c>
      <c r="C57" s="108" t="s">
        <v>5</v>
      </c>
      <c r="D57" s="90">
        <f>'1'!K57</f>
        <v>16333.333333333334</v>
      </c>
      <c r="E57" s="90">
        <f>'2'!K57</f>
        <v>16333.333333333334</v>
      </c>
      <c r="F57" s="90">
        <f>'3'!K57</f>
        <v>16333.333333333334</v>
      </c>
      <c r="G57" s="90">
        <f>'4'!K57</f>
        <v>16333.333333333334</v>
      </c>
      <c r="H57" s="90">
        <f>'5'!K57</f>
        <v>16333.333333333334</v>
      </c>
      <c r="I57" s="90">
        <f>'6'!K57</f>
        <v>16333.333333333334</v>
      </c>
      <c r="J57" s="90">
        <f>'7'!K57</f>
        <v>16333.333333333334</v>
      </c>
      <c r="K57" s="90">
        <f>'8'!K57</f>
        <v>16333.333333333334</v>
      </c>
      <c r="L57" s="90">
        <f>'9'!K57</f>
        <v>16333.333333333334</v>
      </c>
      <c r="M57" s="90">
        <f>'10'!K57</f>
        <v>16333.333333333334</v>
      </c>
      <c r="N57" s="90">
        <f>'11'!K57</f>
        <v>16333.333333333334</v>
      </c>
      <c r="O57" s="90">
        <f>'12'!K57</f>
        <v>16333.333333333334</v>
      </c>
      <c r="P57" s="90">
        <f>'13'!K57</f>
        <v>16333.333333333334</v>
      </c>
      <c r="Q57" s="90">
        <f>'14'!K57</f>
        <v>16333.333333333334</v>
      </c>
      <c r="R57" s="90">
        <f>'15'!K57</f>
        <v>16333.333333333334</v>
      </c>
      <c r="S57" s="90">
        <f>'16'!K57</f>
        <v>16333.333333333334</v>
      </c>
      <c r="T57" s="90">
        <f>'17'!K57</f>
        <v>16333.333333333334</v>
      </c>
      <c r="U57" s="90">
        <f>'18'!K57</f>
        <v>16333.333333333334</v>
      </c>
      <c r="V57" s="90">
        <f>'19'!K57</f>
        <v>16333.333333333334</v>
      </c>
      <c r="W57" s="90">
        <f>'20'!K57</f>
        <v>16166.666666666666</v>
      </c>
      <c r="X57" s="90">
        <f>'21'!K57</f>
        <v>16166.666666666666</v>
      </c>
      <c r="Y57" s="90">
        <f>'24'!K57</f>
        <v>16166.666666666666</v>
      </c>
      <c r="Z57" s="90">
        <f>'25'!K57</f>
        <v>16166.666666666666</v>
      </c>
      <c r="AA57" s="90">
        <f>'26'!K57</f>
        <v>15666.666666666666</v>
      </c>
      <c r="AB57" s="90">
        <f>'27'!K57</f>
        <v>15666.666666666666</v>
      </c>
      <c r="AC57" s="90">
        <f>'28'!K57</f>
        <v>15666.666666666666</v>
      </c>
      <c r="AD57" s="90">
        <f>'29'!K57</f>
        <v>15666.666666666666</v>
      </c>
      <c r="AE57" s="90">
        <f>'30'!K57</f>
        <v>15666.666666666666</v>
      </c>
      <c r="AF57" s="90">
        <v>6800</v>
      </c>
      <c r="AG57" s="90">
        <f t="shared" si="0"/>
        <v>-666.66666666666788</v>
      </c>
      <c r="AH57" s="189">
        <f t="shared" si="1"/>
        <v>16190.476190476198</v>
      </c>
    </row>
    <row r="58" spans="1:34" x14ac:dyDescent="0.25">
      <c r="A58" s="122"/>
      <c r="B58" s="107" t="s">
        <v>48</v>
      </c>
      <c r="C58" s="108" t="s">
        <v>5</v>
      </c>
      <c r="D58" s="90">
        <f>'1'!K58</f>
        <v>14166.666666666666</v>
      </c>
      <c r="E58" s="90">
        <f>'2'!K58</f>
        <v>14166.666666666666</v>
      </c>
      <c r="F58" s="90">
        <f>'3'!K58</f>
        <v>14166.666666666666</v>
      </c>
      <c r="G58" s="90">
        <f>'4'!K58</f>
        <v>14166.666666666666</v>
      </c>
      <c r="H58" s="90">
        <f>'5'!K58</f>
        <v>14166.666666666666</v>
      </c>
      <c r="I58" s="90">
        <f>'6'!K58</f>
        <v>14166.666666666666</v>
      </c>
      <c r="J58" s="90">
        <f>'7'!K58</f>
        <v>14166.666666666666</v>
      </c>
      <c r="K58" s="90">
        <f>'8'!K58</f>
        <v>14166.666666666666</v>
      </c>
      <c r="L58" s="90">
        <f>'9'!K58</f>
        <v>14166.666666666666</v>
      </c>
      <c r="M58" s="90">
        <f>'10'!K58</f>
        <v>14166.666666666666</v>
      </c>
      <c r="N58" s="90">
        <f>'11'!K58</f>
        <v>14166.666666666666</v>
      </c>
      <c r="O58" s="90">
        <f>'12'!K58</f>
        <v>14166.666666666666</v>
      </c>
      <c r="P58" s="90">
        <f>'13'!K58</f>
        <v>14166.666666666666</v>
      </c>
      <c r="Q58" s="90">
        <f>'14'!K58</f>
        <v>14166.666666666666</v>
      </c>
      <c r="R58" s="90">
        <f>'15'!K58</f>
        <v>14166.666666666666</v>
      </c>
      <c r="S58" s="90">
        <f>'16'!K58</f>
        <v>14166.666666666666</v>
      </c>
      <c r="T58" s="90">
        <f>'17'!K58</f>
        <v>14166.666666666666</v>
      </c>
      <c r="U58" s="90">
        <f>'18'!K58</f>
        <v>14166.666666666666</v>
      </c>
      <c r="V58" s="90">
        <f>'19'!K58</f>
        <v>14166.666666666666</v>
      </c>
      <c r="W58" s="90">
        <f>'20'!K58</f>
        <v>14166.666666666666</v>
      </c>
      <c r="X58" s="90">
        <f>'21'!K58</f>
        <v>14166.666666666666</v>
      </c>
      <c r="Y58" s="90">
        <f>'24'!K58</f>
        <v>14166.666666666666</v>
      </c>
      <c r="Z58" s="90">
        <f>'25'!K58</f>
        <v>14166.666666666666</v>
      </c>
      <c r="AA58" s="90">
        <f>'26'!K58</f>
        <v>19166.666666666668</v>
      </c>
      <c r="AB58" s="90">
        <f>'27'!K58</f>
        <v>19166.666666666668</v>
      </c>
      <c r="AC58" s="90">
        <f>'28'!K58</f>
        <v>14166.666666666666</v>
      </c>
      <c r="AD58" s="90">
        <f>'29'!K58</f>
        <v>14166.666666666666</v>
      </c>
      <c r="AE58" s="90">
        <f>'30'!K58</f>
        <v>14166.666666666666</v>
      </c>
      <c r="AF58" s="90">
        <v>9200</v>
      </c>
      <c r="AG58" s="90">
        <f t="shared" si="0"/>
        <v>0</v>
      </c>
      <c r="AH58" s="189">
        <f t="shared" si="1"/>
        <v>14523.809523809528</v>
      </c>
    </row>
    <row r="59" spans="1:34" x14ac:dyDescent="0.25">
      <c r="A59" s="122"/>
      <c r="B59" s="107" t="s">
        <v>49</v>
      </c>
      <c r="C59" s="108" t="s">
        <v>5</v>
      </c>
      <c r="D59" s="90">
        <f>'1'!K59</f>
        <v>26142.857142857141</v>
      </c>
      <c r="E59" s="90">
        <f>'2'!K59</f>
        <v>26142.857142857141</v>
      </c>
      <c r="F59" s="90">
        <f>'3'!K59</f>
        <v>26000</v>
      </c>
      <c r="G59" s="90">
        <f>'4'!K59</f>
        <v>26000</v>
      </c>
      <c r="H59" s="90">
        <f>'5'!K59</f>
        <v>26000</v>
      </c>
      <c r="I59" s="90">
        <f>'6'!K59</f>
        <v>25714.285714285714</v>
      </c>
      <c r="J59" s="90">
        <f>'7'!K59</f>
        <v>26000</v>
      </c>
      <c r="K59" s="90">
        <f>'8'!K59</f>
        <v>26000</v>
      </c>
      <c r="L59" s="90">
        <f>'9'!K59</f>
        <v>26000</v>
      </c>
      <c r="M59" s="90">
        <f>'10'!K59</f>
        <v>26000</v>
      </c>
      <c r="N59" s="90">
        <f>'11'!K59</f>
        <v>26000</v>
      </c>
      <c r="O59" s="90">
        <f>'12'!K59</f>
        <v>26000</v>
      </c>
      <c r="P59" s="90">
        <f>'13'!K59</f>
        <v>26000</v>
      </c>
      <c r="Q59" s="90">
        <f>'14'!K59</f>
        <v>26000</v>
      </c>
      <c r="R59" s="90">
        <f>'15'!K59</f>
        <v>26000</v>
      </c>
      <c r="S59" s="90">
        <f>'16'!K59</f>
        <v>26000</v>
      </c>
      <c r="T59" s="90">
        <f>'17'!K59</f>
        <v>26000</v>
      </c>
      <c r="U59" s="90">
        <f>'18'!K59</f>
        <v>26000</v>
      </c>
      <c r="V59" s="90">
        <f>'19'!K59</f>
        <v>26000</v>
      </c>
      <c r="W59" s="90">
        <f>'20'!K59</f>
        <v>25714.285714285714</v>
      </c>
      <c r="X59" s="90">
        <f>'21'!K59</f>
        <v>25571.428571428572</v>
      </c>
      <c r="Y59" s="90">
        <f>'24'!K59</f>
        <v>25571.428571428572</v>
      </c>
      <c r="Z59" s="90">
        <f>'25'!K59</f>
        <v>25571.428571428572</v>
      </c>
      <c r="AA59" s="90">
        <f>'26'!K59</f>
        <v>25571.428571428572</v>
      </c>
      <c r="AB59" s="90">
        <f>'27'!K59</f>
        <v>25571.428571428572</v>
      </c>
      <c r="AC59" s="90">
        <f>'28'!K59</f>
        <v>25714.285714285714</v>
      </c>
      <c r="AD59" s="90">
        <f>'29'!K59</f>
        <v>25285.714285714286</v>
      </c>
      <c r="AE59" s="90">
        <f>'30'!K59</f>
        <v>25285.714285714286</v>
      </c>
      <c r="AF59" s="90"/>
      <c r="AG59" s="90">
        <f t="shared" si="0"/>
        <v>-857.14285714285506</v>
      </c>
      <c r="AH59" s="189">
        <f t="shared" si="1"/>
        <v>25852.040816326527</v>
      </c>
    </row>
    <row r="60" spans="1:34" x14ac:dyDescent="0.25">
      <c r="A60" s="123"/>
      <c r="B60" s="107" t="s">
        <v>50</v>
      </c>
      <c r="C60" s="108" t="s">
        <v>5</v>
      </c>
      <c r="D60" s="90">
        <f>'1'!K60</f>
        <v>29142.857142857141</v>
      </c>
      <c r="E60" s="90">
        <f>'2'!K60</f>
        <v>29142.857142857141</v>
      </c>
      <c r="F60" s="90">
        <f>'3'!K60</f>
        <v>29142.857142857141</v>
      </c>
      <c r="G60" s="90">
        <f>'4'!K60</f>
        <v>29142.857142857141</v>
      </c>
      <c r="H60" s="90">
        <f>'5'!K60</f>
        <v>29571.428571428572</v>
      </c>
      <c r="I60" s="90">
        <f>'6'!K60</f>
        <v>29571.428571428572</v>
      </c>
      <c r="J60" s="90">
        <f>'7'!K60</f>
        <v>29571.428571428572</v>
      </c>
      <c r="K60" s="90">
        <f>'8'!K60</f>
        <v>29571.428571428572</v>
      </c>
      <c r="L60" s="90">
        <f>'9'!K60</f>
        <v>29571.428571428572</v>
      </c>
      <c r="M60" s="90">
        <f>'10'!K60</f>
        <v>29571.428571428572</v>
      </c>
      <c r="N60" s="90">
        <f>'11'!K60</f>
        <v>29571.428571428572</v>
      </c>
      <c r="O60" s="90">
        <f>'12'!K60</f>
        <v>29571.428571428572</v>
      </c>
      <c r="P60" s="90">
        <f>'13'!K60</f>
        <v>29571.428571428572</v>
      </c>
      <c r="Q60" s="90">
        <f>'14'!K60</f>
        <v>29428.571428571428</v>
      </c>
      <c r="R60" s="90">
        <f>'15'!K60</f>
        <v>29428.571428571428</v>
      </c>
      <c r="S60" s="90">
        <f>'16'!K60</f>
        <v>29428.571428571428</v>
      </c>
      <c r="T60" s="90">
        <f>'17'!K60</f>
        <v>29428.571428571428</v>
      </c>
      <c r="U60" s="90">
        <f>'18'!K60</f>
        <v>29428.571428571428</v>
      </c>
      <c r="V60" s="90">
        <f>'19'!K60</f>
        <v>29428.571428571428</v>
      </c>
      <c r="W60" s="90">
        <f>'20'!K60</f>
        <v>29428.571428571428</v>
      </c>
      <c r="X60" s="90">
        <f>'21'!K60</f>
        <v>29428.571428571428</v>
      </c>
      <c r="Y60" s="90">
        <f>'24'!K60</f>
        <v>29428.571428571428</v>
      </c>
      <c r="Z60" s="90">
        <f>'25'!K60</f>
        <v>29428.571428571428</v>
      </c>
      <c r="AA60" s="90">
        <f>'26'!K60</f>
        <v>29428.571428571428</v>
      </c>
      <c r="AB60" s="90">
        <f>'27'!K60</f>
        <v>29428.571428571428</v>
      </c>
      <c r="AC60" s="90">
        <f>'28'!K60</f>
        <v>29142.857142857141</v>
      </c>
      <c r="AD60" s="90">
        <f>'29'!K60</f>
        <v>29428.571428571428</v>
      </c>
      <c r="AE60" s="90">
        <f>'30'!K60</f>
        <v>29428.571428571428</v>
      </c>
      <c r="AF60" s="90"/>
      <c r="AG60" s="90">
        <f t="shared" si="0"/>
        <v>285.71428571428623</v>
      </c>
      <c r="AH60" s="189">
        <f t="shared" si="1"/>
        <v>29423.469387755118</v>
      </c>
    </row>
    <row r="61" spans="1:34" x14ac:dyDescent="0.25">
      <c r="A61" s="110">
        <v>16</v>
      </c>
      <c r="B61" s="116" t="s">
        <v>51</v>
      </c>
      <c r="C61" s="119"/>
      <c r="D61" s="118">
        <f>'1'!K61</f>
        <v>0</v>
      </c>
      <c r="E61" s="118">
        <f>'2'!K61</f>
        <v>0</v>
      </c>
      <c r="F61" s="118">
        <f>'3'!K61</f>
        <v>0</v>
      </c>
      <c r="G61" s="118">
        <f>'4'!K61</f>
        <v>0</v>
      </c>
      <c r="H61" s="118">
        <f>'5'!K61</f>
        <v>0</v>
      </c>
      <c r="I61" s="118">
        <f>'6'!K61</f>
        <v>0</v>
      </c>
      <c r="J61" s="118">
        <f>'7'!K61</f>
        <v>0</v>
      </c>
      <c r="K61" s="118">
        <f>'8'!K61</f>
        <v>0</v>
      </c>
      <c r="L61" s="118">
        <f>'9'!K61</f>
        <v>0</v>
      </c>
      <c r="M61" s="118">
        <f>'10'!K61</f>
        <v>0</v>
      </c>
      <c r="N61" s="118">
        <f>'11'!K61</f>
        <v>0</v>
      </c>
      <c r="O61" s="118">
        <f>'12'!K61</f>
        <v>0</v>
      </c>
      <c r="P61" s="118">
        <f>'13'!K61</f>
        <v>0</v>
      </c>
      <c r="Q61" s="118">
        <f>'14'!K61</f>
        <v>0</v>
      </c>
      <c r="R61" s="118">
        <f>'15'!K61</f>
        <v>0</v>
      </c>
      <c r="S61" s="118">
        <f>'16'!K61</f>
        <v>0</v>
      </c>
      <c r="T61" s="118">
        <f>'17'!K61</f>
        <v>0</v>
      </c>
      <c r="U61" s="118">
        <f>'18'!K61</f>
        <v>0</v>
      </c>
      <c r="V61" s="118">
        <f>'19'!K61</f>
        <v>0</v>
      </c>
      <c r="W61" s="118">
        <f>'20'!K61</f>
        <v>0</v>
      </c>
      <c r="X61" s="118">
        <f>'21'!K61</f>
        <v>0</v>
      </c>
      <c r="Y61" s="118">
        <f>'24'!K61</f>
        <v>0</v>
      </c>
      <c r="Z61" s="118">
        <f>'25'!K61</f>
        <v>0</v>
      </c>
      <c r="AA61" s="118">
        <f>'26'!K61</f>
        <v>0</v>
      </c>
      <c r="AB61" s="118">
        <f>'27'!K61</f>
        <v>0</v>
      </c>
      <c r="AC61" s="118">
        <f>'28'!K61</f>
        <v>0</v>
      </c>
      <c r="AD61" s="118">
        <f>'29'!K61</f>
        <v>0</v>
      </c>
      <c r="AE61" s="118">
        <f>'30'!K61</f>
        <v>0</v>
      </c>
      <c r="AF61" s="90"/>
      <c r="AG61" s="90">
        <f t="shared" si="0"/>
        <v>0</v>
      </c>
      <c r="AH61" s="189">
        <f t="shared" si="1"/>
        <v>0</v>
      </c>
    </row>
    <row r="62" spans="1:34" x14ac:dyDescent="0.25">
      <c r="A62" s="111"/>
      <c r="B62" s="107" t="s">
        <v>52</v>
      </c>
      <c r="C62" s="108" t="s">
        <v>53</v>
      </c>
      <c r="D62" s="90">
        <f>'1'!K62</f>
        <v>3200</v>
      </c>
      <c r="E62" s="90">
        <f>'2'!K62</f>
        <v>3200</v>
      </c>
      <c r="F62" s="90">
        <f>'3'!K62</f>
        <v>3200</v>
      </c>
      <c r="G62" s="90">
        <f>'4'!K62</f>
        <v>3200</v>
      </c>
      <c r="H62" s="90">
        <f>'5'!K62</f>
        <v>3200</v>
      </c>
      <c r="I62" s="90">
        <f>'6'!K62</f>
        <v>3200</v>
      </c>
      <c r="J62" s="90">
        <f>'7'!K62</f>
        <v>3200</v>
      </c>
      <c r="K62" s="90">
        <f>'8'!K62</f>
        <v>3200</v>
      </c>
      <c r="L62" s="90">
        <f>'9'!K62</f>
        <v>3200</v>
      </c>
      <c r="M62" s="90">
        <f>'10'!K62</f>
        <v>3200</v>
      </c>
      <c r="N62" s="90">
        <f>'11'!K62</f>
        <v>3200</v>
      </c>
      <c r="O62" s="90">
        <f>'12'!K62</f>
        <v>3200</v>
      </c>
      <c r="P62" s="90">
        <f>'13'!K62</f>
        <v>3200</v>
      </c>
      <c r="Q62" s="90">
        <f>'14'!K62</f>
        <v>3200</v>
      </c>
      <c r="R62" s="90">
        <f>'15'!K62</f>
        <v>3200</v>
      </c>
      <c r="S62" s="90">
        <f>'16'!K62</f>
        <v>3200</v>
      </c>
      <c r="T62" s="90">
        <f>'17'!K62</f>
        <v>3200</v>
      </c>
      <c r="U62" s="90">
        <f>'18'!K62</f>
        <v>3200</v>
      </c>
      <c r="V62" s="90">
        <f>'19'!K62</f>
        <v>3200</v>
      </c>
      <c r="W62" s="90">
        <f>'20'!K62</f>
        <v>3200</v>
      </c>
      <c r="X62" s="90">
        <f>'21'!K62</f>
        <v>3200</v>
      </c>
      <c r="Y62" s="90">
        <f>'24'!K62</f>
        <v>3200</v>
      </c>
      <c r="Z62" s="90">
        <f>'25'!K62</f>
        <v>3200</v>
      </c>
      <c r="AA62" s="90">
        <f>'26'!K62</f>
        <v>3200</v>
      </c>
      <c r="AB62" s="90">
        <f>'27'!K62</f>
        <v>3200</v>
      </c>
      <c r="AC62" s="90">
        <f>'28'!K62</f>
        <v>3200</v>
      </c>
      <c r="AD62" s="90">
        <f>'29'!K62</f>
        <v>3200</v>
      </c>
      <c r="AE62" s="90">
        <f>'30'!K62</f>
        <v>3200</v>
      </c>
      <c r="AF62" s="90"/>
      <c r="AG62" s="90">
        <f t="shared" si="0"/>
        <v>0</v>
      </c>
      <c r="AH62" s="189">
        <f t="shared" si="1"/>
        <v>3200</v>
      </c>
    </row>
    <row r="63" spans="1:34" x14ac:dyDescent="0.25">
      <c r="A63" s="121">
        <v>17</v>
      </c>
      <c r="B63" s="116" t="s">
        <v>54</v>
      </c>
      <c r="C63" s="116"/>
      <c r="D63" s="118">
        <f>'1'!K63</f>
        <v>0</v>
      </c>
      <c r="E63" s="118">
        <f>'2'!K63</f>
        <v>0</v>
      </c>
      <c r="F63" s="118">
        <f>'3'!K63</f>
        <v>0</v>
      </c>
      <c r="G63" s="118">
        <f>'4'!K63</f>
        <v>0</v>
      </c>
      <c r="H63" s="118">
        <f>'5'!K63</f>
        <v>0</v>
      </c>
      <c r="I63" s="118">
        <f>'6'!K63</f>
        <v>0</v>
      </c>
      <c r="J63" s="118">
        <f>'7'!K63</f>
        <v>0</v>
      </c>
      <c r="K63" s="118">
        <f>'8'!K63</f>
        <v>0</v>
      </c>
      <c r="L63" s="118">
        <f>'9'!K63</f>
        <v>0</v>
      </c>
      <c r="M63" s="118">
        <f>'10'!K63</f>
        <v>0</v>
      </c>
      <c r="N63" s="118">
        <f>'11'!K63</f>
        <v>0</v>
      </c>
      <c r="O63" s="118">
        <f>'12'!K63</f>
        <v>0</v>
      </c>
      <c r="P63" s="118">
        <f>'13'!K63</f>
        <v>0</v>
      </c>
      <c r="Q63" s="118">
        <f>'14'!K63</f>
        <v>0</v>
      </c>
      <c r="R63" s="118">
        <f>'15'!K63</f>
        <v>0</v>
      </c>
      <c r="S63" s="118">
        <f>'16'!K63</f>
        <v>0</v>
      </c>
      <c r="T63" s="118">
        <f>'17'!K63</f>
        <v>0</v>
      </c>
      <c r="U63" s="118">
        <f>'18'!K63</f>
        <v>0</v>
      </c>
      <c r="V63" s="118">
        <f>'19'!K63</f>
        <v>0</v>
      </c>
      <c r="W63" s="118">
        <f>'20'!K63</f>
        <v>0</v>
      </c>
      <c r="X63" s="118">
        <f>'21'!K63</f>
        <v>0</v>
      </c>
      <c r="Y63" s="118">
        <f>'24'!K63</f>
        <v>0</v>
      </c>
      <c r="Z63" s="118">
        <f>'25'!K63</f>
        <v>0</v>
      </c>
      <c r="AA63" s="118">
        <f>'26'!K63</f>
        <v>0</v>
      </c>
      <c r="AB63" s="118">
        <f>'27'!K63</f>
        <v>0</v>
      </c>
      <c r="AC63" s="118">
        <f>'28'!K63</f>
        <v>0</v>
      </c>
      <c r="AD63" s="118">
        <f>'29'!K63</f>
        <v>0</v>
      </c>
      <c r="AE63" s="118">
        <f>'30'!K63</f>
        <v>0</v>
      </c>
      <c r="AF63" s="90"/>
      <c r="AG63" s="90">
        <f t="shared" si="0"/>
        <v>0</v>
      </c>
      <c r="AH63" s="189">
        <f t="shared" si="1"/>
        <v>0</v>
      </c>
    </row>
    <row r="64" spans="1:34" x14ac:dyDescent="0.25">
      <c r="A64" s="122"/>
      <c r="B64" s="107" t="s">
        <v>55</v>
      </c>
      <c r="C64" s="108" t="s">
        <v>5</v>
      </c>
      <c r="D64" s="90">
        <f>'1'!K64</f>
        <v>29000</v>
      </c>
      <c r="E64" s="90">
        <f>'2'!K64</f>
        <v>29000</v>
      </c>
      <c r="F64" s="90">
        <f>'3'!K64</f>
        <v>26714.285714285714</v>
      </c>
      <c r="G64" s="90">
        <f>'4'!K64</f>
        <v>26285.714285714286</v>
      </c>
      <c r="H64" s="90">
        <f>'5'!K64</f>
        <v>27285.714285714286</v>
      </c>
      <c r="I64" s="90">
        <f>'6'!K64</f>
        <v>27428.571428571428</v>
      </c>
      <c r="J64" s="90">
        <f>'7'!K64</f>
        <v>26857.142857142859</v>
      </c>
      <c r="K64" s="90">
        <f>'8'!K64</f>
        <v>26857.142857142859</v>
      </c>
      <c r="L64" s="90">
        <f>'9'!K64</f>
        <v>26857.142857142859</v>
      </c>
      <c r="M64" s="90">
        <f>'10'!K64</f>
        <v>27142.857142857141</v>
      </c>
      <c r="N64" s="90">
        <f>'11'!K64</f>
        <v>27142.857142857141</v>
      </c>
      <c r="O64" s="90">
        <f>'12'!K64</f>
        <v>27571.428571428572</v>
      </c>
      <c r="P64" s="90">
        <f>'13'!K64</f>
        <v>27285.714285714286</v>
      </c>
      <c r="Q64" s="90">
        <f>'14'!K64</f>
        <v>29000</v>
      </c>
      <c r="R64" s="90">
        <f>'15'!K64</f>
        <v>29714.285714285714</v>
      </c>
      <c r="S64" s="90">
        <f>'16'!K64</f>
        <v>31142.857142857141</v>
      </c>
      <c r="T64" s="90">
        <f>'17'!K64</f>
        <v>37571.428571428572</v>
      </c>
      <c r="U64" s="90">
        <f>'18'!K64</f>
        <v>46857.142857142855</v>
      </c>
      <c r="V64" s="90">
        <f>'19'!K64</f>
        <v>48142.857142857145</v>
      </c>
      <c r="W64" s="90">
        <f>'20'!K64</f>
        <v>48571.428571428572</v>
      </c>
      <c r="X64" s="90">
        <f>'21'!K64</f>
        <v>50000</v>
      </c>
      <c r="Y64" s="90">
        <f>'24'!K64</f>
        <v>50000</v>
      </c>
      <c r="Z64" s="90">
        <f>'25'!K64</f>
        <v>45714.285714285717</v>
      </c>
      <c r="AA64" s="90">
        <f>'26'!K64</f>
        <v>36571.428571428572</v>
      </c>
      <c r="AB64" s="90">
        <f>'27'!K64</f>
        <v>32285.714285714286</v>
      </c>
      <c r="AC64" s="90">
        <f>'28'!K64</f>
        <v>30142.857142857141</v>
      </c>
      <c r="AD64" s="90">
        <f>'29'!K64</f>
        <v>27857.142857142859</v>
      </c>
      <c r="AE64" s="90">
        <f>'30'!K64</f>
        <v>27857.142857142859</v>
      </c>
      <c r="AF64" s="90"/>
      <c r="AG64" s="90">
        <f t="shared" si="0"/>
        <v>-1142.8571428571413</v>
      </c>
      <c r="AH64" s="189">
        <f t="shared" si="1"/>
        <v>33102.040816326531</v>
      </c>
    </row>
    <row r="65" spans="1:34" x14ac:dyDescent="0.25">
      <c r="A65" s="122"/>
      <c r="B65" s="107" t="s">
        <v>56</v>
      </c>
      <c r="C65" s="108" t="s">
        <v>5</v>
      </c>
      <c r="D65" s="90">
        <f>'1'!K65</f>
        <v>35000</v>
      </c>
      <c r="E65" s="90">
        <f>'2'!K65</f>
        <v>36000</v>
      </c>
      <c r="F65" s="90">
        <f>'3'!K65</f>
        <v>33000</v>
      </c>
      <c r="G65" s="90">
        <f>'4'!K65</f>
        <v>32600</v>
      </c>
      <c r="H65" s="90">
        <f>'5'!K65</f>
        <v>31000</v>
      </c>
      <c r="I65" s="90">
        <f>'6'!K65</f>
        <v>31000</v>
      </c>
      <c r="J65" s="90">
        <f>'7'!K65</f>
        <v>30600</v>
      </c>
      <c r="K65" s="90">
        <f>'8'!K65</f>
        <v>29600</v>
      </c>
      <c r="L65" s="90">
        <f>'9'!K65</f>
        <v>30000</v>
      </c>
      <c r="M65" s="90">
        <f>'10'!K65</f>
        <v>29600</v>
      </c>
      <c r="N65" s="90">
        <f>'11'!K65</f>
        <v>29600</v>
      </c>
      <c r="O65" s="90">
        <f>'12'!K65</f>
        <v>29600</v>
      </c>
      <c r="P65" s="90">
        <f>'13'!K65</f>
        <v>29600</v>
      </c>
      <c r="Q65" s="90">
        <f>'14'!K65</f>
        <v>31000</v>
      </c>
      <c r="R65" s="90">
        <f>'15'!K65</f>
        <v>32000</v>
      </c>
      <c r="S65" s="90">
        <f>'16'!K65</f>
        <v>32000</v>
      </c>
      <c r="T65" s="90">
        <f>'17'!K65</f>
        <v>34000</v>
      </c>
      <c r="U65" s="90">
        <f>'18'!K65</f>
        <v>37000</v>
      </c>
      <c r="V65" s="90">
        <f>'19'!K65</f>
        <v>37500</v>
      </c>
      <c r="W65" s="90">
        <f>'20'!K65</f>
        <v>45000</v>
      </c>
      <c r="X65" s="90">
        <f>'21'!K65</f>
        <v>52500</v>
      </c>
      <c r="Y65" s="90">
        <f>'24'!K65</f>
        <v>52500</v>
      </c>
      <c r="Z65" s="90">
        <f>'25'!K65</f>
        <v>45000</v>
      </c>
      <c r="AA65" s="90">
        <f>'26'!K65</f>
        <v>45000</v>
      </c>
      <c r="AB65" s="90">
        <f>'27'!K65</f>
        <v>45000</v>
      </c>
      <c r="AC65" s="90">
        <f>'28'!K65</f>
        <v>38750</v>
      </c>
      <c r="AD65" s="90">
        <f>'29'!K65</f>
        <v>36250</v>
      </c>
      <c r="AE65" s="90">
        <f>'30'!K65</f>
        <v>36250</v>
      </c>
      <c r="AF65" s="90"/>
      <c r="AG65" s="90">
        <f t="shared" si="0"/>
        <v>1250</v>
      </c>
      <c r="AH65" s="189">
        <f t="shared" si="1"/>
        <v>35962.5</v>
      </c>
    </row>
    <row r="66" spans="1:34" x14ac:dyDescent="0.25">
      <c r="A66" s="123"/>
      <c r="B66" s="107" t="s">
        <v>57</v>
      </c>
      <c r="C66" s="108" t="s">
        <v>5</v>
      </c>
      <c r="D66" s="90">
        <f>'1'!K66</f>
        <v>47142.857142857145</v>
      </c>
      <c r="E66" s="90">
        <f>'2'!K66</f>
        <v>47142.857142857145</v>
      </c>
      <c r="F66" s="90">
        <f>'3'!K66</f>
        <v>42142.857142857145</v>
      </c>
      <c r="G66" s="90">
        <f>'4'!K66</f>
        <v>40285.714285714283</v>
      </c>
      <c r="H66" s="90">
        <f>'5'!K66</f>
        <v>38571.428571428572</v>
      </c>
      <c r="I66" s="90">
        <f>'6'!K66</f>
        <v>39714.285714285717</v>
      </c>
      <c r="J66" s="90">
        <f>'7'!K66</f>
        <v>37571.428571428572</v>
      </c>
      <c r="K66" s="90">
        <f>'8'!K66</f>
        <v>36142.857142857145</v>
      </c>
      <c r="L66" s="90">
        <f>'9'!K66</f>
        <v>32571.428571428572</v>
      </c>
      <c r="M66" s="90">
        <f>'10'!K66</f>
        <v>30714.285714285714</v>
      </c>
      <c r="N66" s="90">
        <f>'11'!K66</f>
        <v>29714.285714285714</v>
      </c>
      <c r="O66" s="90">
        <f>'12'!K66</f>
        <v>31857.142857142859</v>
      </c>
      <c r="P66" s="90">
        <f>'13'!K66</f>
        <v>29142.857142857141</v>
      </c>
      <c r="Q66" s="90">
        <f>'14'!K66</f>
        <v>29428.571428571428</v>
      </c>
      <c r="R66" s="90">
        <f>'15'!K66</f>
        <v>29428.571428571428</v>
      </c>
      <c r="S66" s="90">
        <f>'16'!K66</f>
        <v>30857.142857142859</v>
      </c>
      <c r="T66" s="90">
        <f>'17'!K66</f>
        <v>30857.142857142859</v>
      </c>
      <c r="U66" s="90">
        <f>'18'!K66</f>
        <v>32571.428571428572</v>
      </c>
      <c r="V66" s="90">
        <f>'19'!K66</f>
        <v>31142.857142857141</v>
      </c>
      <c r="W66" s="90">
        <f>'20'!K66</f>
        <v>29714.285714285714</v>
      </c>
      <c r="X66" s="90">
        <f>'21'!K66</f>
        <v>40000</v>
      </c>
      <c r="Y66" s="90">
        <f>'24'!K66</f>
        <v>40000</v>
      </c>
      <c r="Z66" s="90">
        <f>'25'!K66</f>
        <v>29285.714285714286</v>
      </c>
      <c r="AA66" s="90">
        <f>'26'!K66</f>
        <v>25714.285714285714</v>
      </c>
      <c r="AB66" s="90">
        <f>'27'!K66</f>
        <v>28428.571428571428</v>
      </c>
      <c r="AC66" s="90">
        <f>'28'!K66</f>
        <v>27000</v>
      </c>
      <c r="AD66" s="90">
        <f>'29'!K66</f>
        <v>26285.714285714286</v>
      </c>
      <c r="AE66" s="90">
        <f>'30'!K66</f>
        <v>26285.714285714286</v>
      </c>
      <c r="AF66" s="90"/>
      <c r="AG66" s="90">
        <f t="shared" si="0"/>
        <v>-20857.142857142859</v>
      </c>
      <c r="AH66" s="189">
        <f t="shared" si="1"/>
        <v>33561.224489795924</v>
      </c>
    </row>
    <row r="67" spans="1:34" x14ac:dyDescent="0.25">
      <c r="A67" s="110">
        <v>18</v>
      </c>
      <c r="B67" s="116" t="s">
        <v>58</v>
      </c>
      <c r="C67" s="119"/>
      <c r="D67" s="118">
        <f>'1'!K67</f>
        <v>0</v>
      </c>
      <c r="E67" s="118">
        <f>'2'!K67</f>
        <v>0</v>
      </c>
      <c r="F67" s="118">
        <f>'3'!K67</f>
        <v>0</v>
      </c>
      <c r="G67" s="118">
        <f>'4'!K67</f>
        <v>0</v>
      </c>
      <c r="H67" s="118">
        <f>'5'!K67</f>
        <v>0</v>
      </c>
      <c r="I67" s="118">
        <f>'6'!K67</f>
        <v>0</v>
      </c>
      <c r="J67" s="118">
        <f>'7'!K67</f>
        <v>0</v>
      </c>
      <c r="K67" s="118">
        <f>'8'!K67</f>
        <v>0</v>
      </c>
      <c r="L67" s="118">
        <f>'9'!K67</f>
        <v>0</v>
      </c>
      <c r="M67" s="118">
        <f>'10'!K67</f>
        <v>0</v>
      </c>
      <c r="N67" s="118">
        <f>'11'!K67</f>
        <v>0</v>
      </c>
      <c r="O67" s="118">
        <f>'12'!K67</f>
        <v>0</v>
      </c>
      <c r="P67" s="118">
        <f>'13'!K67</f>
        <v>0</v>
      </c>
      <c r="Q67" s="118">
        <f>'14'!K67</f>
        <v>0</v>
      </c>
      <c r="R67" s="118">
        <f>'15'!K67</f>
        <v>0</v>
      </c>
      <c r="S67" s="118">
        <f>'16'!K67</f>
        <v>0</v>
      </c>
      <c r="T67" s="118">
        <f>'17'!K67</f>
        <v>0</v>
      </c>
      <c r="U67" s="118">
        <f>'18'!K67</f>
        <v>0</v>
      </c>
      <c r="V67" s="118">
        <f>'19'!K67</f>
        <v>0</v>
      </c>
      <c r="W67" s="118">
        <f>'20'!K67</f>
        <v>0</v>
      </c>
      <c r="X67" s="118">
        <f>'21'!K67</f>
        <v>0</v>
      </c>
      <c r="Y67" s="118">
        <f>'24'!K67</f>
        <v>0</v>
      </c>
      <c r="Z67" s="118">
        <f>'25'!K67</f>
        <v>0</v>
      </c>
      <c r="AA67" s="118">
        <f>'26'!K67</f>
        <v>0</v>
      </c>
      <c r="AB67" s="118">
        <f>'27'!K67</f>
        <v>0</v>
      </c>
      <c r="AC67" s="118">
        <f>'28'!K67</f>
        <v>0</v>
      </c>
      <c r="AD67" s="118">
        <f>'29'!K67</f>
        <v>0</v>
      </c>
      <c r="AE67" s="118">
        <f>'30'!K67</f>
        <v>0</v>
      </c>
      <c r="AF67" s="90"/>
      <c r="AG67" s="90">
        <f t="shared" si="0"/>
        <v>0</v>
      </c>
      <c r="AH67" s="189">
        <f t="shared" si="1"/>
        <v>0</v>
      </c>
    </row>
    <row r="68" spans="1:34" x14ac:dyDescent="0.25">
      <c r="A68" s="111"/>
      <c r="B68" s="107" t="s">
        <v>59</v>
      </c>
      <c r="C68" s="108" t="s">
        <v>60</v>
      </c>
      <c r="D68" s="90">
        <f>'1'!K68</f>
        <v>18166.666666666668</v>
      </c>
      <c r="E68" s="90">
        <f>'2'!K68</f>
        <v>18166.666666666668</v>
      </c>
      <c r="F68" s="90">
        <f>'3'!K68</f>
        <v>18166.666666666668</v>
      </c>
      <c r="G68" s="90">
        <f>'4'!K68</f>
        <v>18166.666666666668</v>
      </c>
      <c r="H68" s="90">
        <f>'5'!K68</f>
        <v>18166.666666666668</v>
      </c>
      <c r="I68" s="90">
        <f>'6'!K68</f>
        <v>18166.666666666668</v>
      </c>
      <c r="J68" s="90">
        <f>'7'!K68</f>
        <v>18166.666666666668</v>
      </c>
      <c r="K68" s="90">
        <f>'8'!K68</f>
        <v>18166.666666666668</v>
      </c>
      <c r="L68" s="90">
        <f>'9'!K68</f>
        <v>18166.666666666668</v>
      </c>
      <c r="M68" s="90">
        <f>'10'!K68</f>
        <v>18166.666666666668</v>
      </c>
      <c r="N68" s="90">
        <f>'11'!K68</f>
        <v>18166.666666666668</v>
      </c>
      <c r="O68" s="90">
        <f>'12'!K68</f>
        <v>18166.666666666668</v>
      </c>
      <c r="P68" s="90">
        <f>'13'!K68</f>
        <v>18166.666666666668</v>
      </c>
      <c r="Q68" s="90">
        <f>'14'!K68</f>
        <v>18166.666666666668</v>
      </c>
      <c r="R68" s="90">
        <f>'15'!K68</f>
        <v>18166.666666666668</v>
      </c>
      <c r="S68" s="90">
        <f>'16'!K68</f>
        <v>18166.666666666668</v>
      </c>
      <c r="T68" s="90">
        <f>'17'!K68</f>
        <v>18166.666666666668</v>
      </c>
      <c r="U68" s="90">
        <f>'18'!K68</f>
        <v>18166.666666666668</v>
      </c>
      <c r="V68" s="90">
        <f>'19'!K68</f>
        <v>18166.666666666668</v>
      </c>
      <c r="W68" s="90">
        <f>'20'!K68</f>
        <v>18166.666666666668</v>
      </c>
      <c r="X68" s="90">
        <f>'21'!K68</f>
        <v>18166.666666666668</v>
      </c>
      <c r="Y68" s="90">
        <f>'24'!K68</f>
        <v>18166.666666666668</v>
      </c>
      <c r="Z68" s="90">
        <f>'25'!K68</f>
        <v>18166.666666666668</v>
      </c>
      <c r="AA68" s="90">
        <f>'26'!K68</f>
        <v>18166.666666666668</v>
      </c>
      <c r="AB68" s="90">
        <f>'27'!K68</f>
        <v>18166.666666666668</v>
      </c>
      <c r="AC68" s="90">
        <f>'28'!K68</f>
        <v>18166.666666666668</v>
      </c>
      <c r="AD68" s="90">
        <f>'29'!K68</f>
        <v>18166.666666666668</v>
      </c>
      <c r="AE68" s="90">
        <f>'30'!K68</f>
        <v>18166.666666666668</v>
      </c>
      <c r="AF68" s="90"/>
      <c r="AG68" s="90">
        <f t="shared" si="0"/>
        <v>0</v>
      </c>
      <c r="AH68" s="189">
        <f t="shared" si="1"/>
        <v>18166.666666666675</v>
      </c>
    </row>
    <row r="69" spans="1:34" x14ac:dyDescent="0.25">
      <c r="A69" s="121">
        <v>19</v>
      </c>
      <c r="B69" s="116" t="s">
        <v>61</v>
      </c>
      <c r="C69" s="116"/>
      <c r="D69" s="118">
        <f>'1'!K69</f>
        <v>0</v>
      </c>
      <c r="E69" s="118">
        <f>'2'!K69</f>
        <v>0</v>
      </c>
      <c r="F69" s="118">
        <f>'3'!K69</f>
        <v>0</v>
      </c>
      <c r="G69" s="118">
        <f>'4'!K69</f>
        <v>0</v>
      </c>
      <c r="H69" s="118">
        <f>'5'!K69</f>
        <v>0</v>
      </c>
      <c r="I69" s="118">
        <f>'6'!K69</f>
        <v>0</v>
      </c>
      <c r="J69" s="118">
        <f>'7'!K69</f>
        <v>0</v>
      </c>
      <c r="K69" s="118">
        <f>'8'!K69</f>
        <v>0</v>
      </c>
      <c r="L69" s="118">
        <f>'9'!K69</f>
        <v>0</v>
      </c>
      <c r="M69" s="118">
        <f>'10'!K69</f>
        <v>0</v>
      </c>
      <c r="N69" s="118">
        <f>'11'!K69</f>
        <v>0</v>
      </c>
      <c r="O69" s="118">
        <f>'12'!K69</f>
        <v>0</v>
      </c>
      <c r="P69" s="118">
        <f>'13'!K69</f>
        <v>0</v>
      </c>
      <c r="Q69" s="118">
        <f>'14'!K69</f>
        <v>0</v>
      </c>
      <c r="R69" s="118">
        <f>'15'!K69</f>
        <v>0</v>
      </c>
      <c r="S69" s="118">
        <f>'16'!K69</f>
        <v>0</v>
      </c>
      <c r="T69" s="118">
        <f>'17'!K69</f>
        <v>0</v>
      </c>
      <c r="U69" s="118">
        <f>'18'!K69</f>
        <v>0</v>
      </c>
      <c r="V69" s="118">
        <f>'19'!K69</f>
        <v>0</v>
      </c>
      <c r="W69" s="118">
        <f>'20'!K69</f>
        <v>0</v>
      </c>
      <c r="X69" s="118">
        <f>'21'!K69</f>
        <v>0</v>
      </c>
      <c r="Y69" s="118">
        <f>'24'!K69</f>
        <v>0</v>
      </c>
      <c r="Z69" s="118">
        <f>'25'!K69</f>
        <v>0</v>
      </c>
      <c r="AA69" s="118">
        <f>'26'!K69</f>
        <v>0</v>
      </c>
      <c r="AB69" s="118">
        <f>'27'!K69</f>
        <v>0</v>
      </c>
      <c r="AC69" s="118">
        <f>'28'!K69</f>
        <v>0</v>
      </c>
      <c r="AD69" s="118">
        <f>'29'!K69</f>
        <v>0</v>
      </c>
      <c r="AE69" s="118">
        <f>'30'!K69</f>
        <v>0</v>
      </c>
      <c r="AF69" s="90"/>
      <c r="AG69" s="90">
        <f t="shared" si="0"/>
        <v>0</v>
      </c>
      <c r="AH69" s="189">
        <f t="shared" si="1"/>
        <v>0</v>
      </c>
    </row>
    <row r="70" spans="1:34" x14ac:dyDescent="0.25">
      <c r="A70" s="122"/>
      <c r="B70" s="107" t="s">
        <v>62</v>
      </c>
      <c r="C70" s="108" t="s">
        <v>5</v>
      </c>
      <c r="D70" s="90">
        <f>'1'!K70</f>
        <v>33428.571428571428</v>
      </c>
      <c r="E70" s="90">
        <f>'2'!K70</f>
        <v>33428.571428571428</v>
      </c>
      <c r="F70" s="90">
        <f>'3'!K70</f>
        <v>32142.857142857141</v>
      </c>
      <c r="G70" s="90">
        <f>'4'!K70</f>
        <v>31857.142857142859</v>
      </c>
      <c r="H70" s="90">
        <f>'5'!K70</f>
        <v>32285.714285714286</v>
      </c>
      <c r="I70" s="90">
        <f>'6'!K70</f>
        <v>32000</v>
      </c>
      <c r="J70" s="90">
        <f>'7'!K70</f>
        <v>32285.714285714286</v>
      </c>
      <c r="K70" s="90">
        <f>'8'!K70</f>
        <v>32142.857142857141</v>
      </c>
      <c r="L70" s="90">
        <f>'9'!K70</f>
        <v>32000</v>
      </c>
      <c r="M70" s="90">
        <f>'10'!K70</f>
        <v>32000</v>
      </c>
      <c r="N70" s="90">
        <f>'11'!K70</f>
        <v>32000</v>
      </c>
      <c r="O70" s="90">
        <f>'12'!K70</f>
        <v>32571.428571428572</v>
      </c>
      <c r="P70" s="90">
        <f>'13'!K70</f>
        <v>32571.428571428572</v>
      </c>
      <c r="Q70" s="90">
        <f>'14'!K70</f>
        <v>32285.714285714286</v>
      </c>
      <c r="R70" s="90">
        <f>'15'!K70</f>
        <v>32571.428571428572</v>
      </c>
      <c r="S70" s="90">
        <f>'16'!K70</f>
        <v>32571.428571428572</v>
      </c>
      <c r="T70" s="90">
        <f>'17'!K70</f>
        <v>32714.285714285714</v>
      </c>
      <c r="U70" s="90">
        <f>'18'!K70</f>
        <v>32714.285714285714</v>
      </c>
      <c r="V70" s="90">
        <f>'19'!K70</f>
        <v>33714.285714285717</v>
      </c>
      <c r="W70" s="90">
        <f>'20'!K70</f>
        <v>34285.714285714283</v>
      </c>
      <c r="X70" s="90">
        <f>'21'!K70</f>
        <v>36571.428571428572</v>
      </c>
      <c r="Y70" s="90">
        <f>'24'!K70</f>
        <v>36571.428571428572</v>
      </c>
      <c r="Z70" s="90">
        <f>'25'!K70</f>
        <v>37571.428571428572</v>
      </c>
      <c r="AA70" s="90">
        <f>'26'!K70</f>
        <v>36142.857142857145</v>
      </c>
      <c r="AB70" s="90">
        <f>'27'!K70</f>
        <v>34285.714285714283</v>
      </c>
      <c r="AC70" s="90">
        <f>'28'!K70</f>
        <v>34285.714285714283</v>
      </c>
      <c r="AD70" s="90">
        <f>'29'!K70</f>
        <v>35000</v>
      </c>
      <c r="AE70" s="90">
        <f>'30'!K70</f>
        <v>35000</v>
      </c>
      <c r="AF70" s="90"/>
      <c r="AG70" s="90">
        <f t="shared" si="0"/>
        <v>1571.4285714285725</v>
      </c>
      <c r="AH70" s="189">
        <f t="shared" si="1"/>
        <v>33464.28571428571</v>
      </c>
    </row>
    <row r="71" spans="1:34" x14ac:dyDescent="0.25">
      <c r="A71" s="122"/>
      <c r="B71" s="107" t="s">
        <v>63</v>
      </c>
      <c r="C71" s="108" t="s">
        <v>5</v>
      </c>
      <c r="D71" s="90">
        <f>'1'!K71</f>
        <v>28571.428571428572</v>
      </c>
      <c r="E71" s="90">
        <f>'2'!K71</f>
        <v>28571.428571428572</v>
      </c>
      <c r="F71" s="90">
        <f>'3'!K71</f>
        <v>27857.142857142859</v>
      </c>
      <c r="G71" s="90">
        <f>'4'!K71</f>
        <v>28000</v>
      </c>
      <c r="H71" s="90">
        <f>'5'!K71</f>
        <v>28285.714285714286</v>
      </c>
      <c r="I71" s="90">
        <f>'6'!K71</f>
        <v>28142.857142857141</v>
      </c>
      <c r="J71" s="90">
        <f>'7'!K71</f>
        <v>28428.571428571428</v>
      </c>
      <c r="K71" s="90">
        <f>'8'!K71</f>
        <v>28428.571428571428</v>
      </c>
      <c r="L71" s="90">
        <f>'9'!K71</f>
        <v>28285.714285714286</v>
      </c>
      <c r="M71" s="90">
        <f>'10'!K71</f>
        <v>28142.857142857141</v>
      </c>
      <c r="N71" s="90">
        <f>'11'!K71</f>
        <v>28142.857142857141</v>
      </c>
      <c r="O71" s="90">
        <f>'12'!K71</f>
        <v>28714.285714285714</v>
      </c>
      <c r="P71" s="90">
        <f>'13'!K71</f>
        <v>28857.142857142859</v>
      </c>
      <c r="Q71" s="90">
        <f>'14'!K71</f>
        <v>28142.857142857141</v>
      </c>
      <c r="R71" s="90">
        <f>'15'!K71</f>
        <v>28428.571428571428</v>
      </c>
      <c r="S71" s="90">
        <f>'16'!K71</f>
        <v>28428.571428571428</v>
      </c>
      <c r="T71" s="90">
        <f>'17'!K71</f>
        <v>28428.571428571428</v>
      </c>
      <c r="U71" s="90">
        <f>'18'!K71</f>
        <v>28428.571428571428</v>
      </c>
      <c r="V71" s="90">
        <f>'19'!K71</f>
        <v>28714.285714285714</v>
      </c>
      <c r="W71" s="90">
        <f>'20'!K71</f>
        <v>29000</v>
      </c>
      <c r="X71" s="90">
        <f>'21'!K71</f>
        <v>31000</v>
      </c>
      <c r="Y71" s="90">
        <f>'24'!K71</f>
        <v>31000</v>
      </c>
      <c r="Z71" s="90">
        <f>'25'!K71</f>
        <v>31428.571428571428</v>
      </c>
      <c r="AA71" s="90">
        <f>'26'!K71</f>
        <v>30285.714285714286</v>
      </c>
      <c r="AB71" s="90">
        <f>'27'!K71</f>
        <v>30000</v>
      </c>
      <c r="AC71" s="90">
        <f>'28'!K71</f>
        <v>30000</v>
      </c>
      <c r="AD71" s="90">
        <f>'29'!K71</f>
        <v>30571.428571428572</v>
      </c>
      <c r="AE71" s="90">
        <f>'30'!K71</f>
        <v>30571.428571428572</v>
      </c>
      <c r="AF71" s="90"/>
      <c r="AG71" s="90">
        <f t="shared" si="0"/>
        <v>2000</v>
      </c>
      <c r="AH71" s="189">
        <f t="shared" si="1"/>
        <v>29030.612244897959</v>
      </c>
    </row>
    <row r="72" spans="1:34" x14ac:dyDescent="0.25">
      <c r="A72" s="122"/>
      <c r="B72" s="107" t="s">
        <v>64</v>
      </c>
      <c r="C72" s="108" t="s">
        <v>5</v>
      </c>
      <c r="D72" s="90">
        <f>'1'!K72</f>
        <v>31714.285714285714</v>
      </c>
      <c r="E72" s="90">
        <f>'2'!K72</f>
        <v>31714.285714285714</v>
      </c>
      <c r="F72" s="90">
        <f>'3'!K72</f>
        <v>30285.714285714286</v>
      </c>
      <c r="G72" s="90">
        <f>'4'!K72</f>
        <v>30714.285714285714</v>
      </c>
      <c r="H72" s="90">
        <f>'5'!K72</f>
        <v>31000</v>
      </c>
      <c r="I72" s="90">
        <f>'6'!K72</f>
        <v>30714.285714285714</v>
      </c>
      <c r="J72" s="90">
        <f>'7'!K72</f>
        <v>30714.285714285714</v>
      </c>
      <c r="K72" s="90">
        <f>'8'!K72</f>
        <v>30714.285714285714</v>
      </c>
      <c r="L72" s="90">
        <f>'9'!K72</f>
        <v>30571.428571428572</v>
      </c>
      <c r="M72" s="90">
        <f>'10'!K72</f>
        <v>31142.857142857141</v>
      </c>
      <c r="N72" s="90">
        <f>'11'!K72</f>
        <v>31285.714285714286</v>
      </c>
      <c r="O72" s="90">
        <f>'12'!K72</f>
        <v>31142.857142857141</v>
      </c>
      <c r="P72" s="90">
        <f>'13'!K72</f>
        <v>31142.857142857141</v>
      </c>
      <c r="Q72" s="90">
        <f>'14'!K72</f>
        <v>31857.142857142859</v>
      </c>
      <c r="R72" s="90">
        <f>'15'!K72</f>
        <v>31857.142857142859</v>
      </c>
      <c r="S72" s="90">
        <f>'16'!K72</f>
        <v>32142.857142857141</v>
      </c>
      <c r="T72" s="90">
        <f>'17'!K72</f>
        <v>32714.285714285714</v>
      </c>
      <c r="U72" s="90">
        <f>'18'!K72</f>
        <v>33428.571428571428</v>
      </c>
      <c r="V72" s="90">
        <f>'19'!K72</f>
        <v>33857.142857142855</v>
      </c>
      <c r="W72" s="90">
        <f>'20'!K72</f>
        <v>37285.714285714283</v>
      </c>
      <c r="X72" s="90">
        <f>'21'!K72</f>
        <v>41000</v>
      </c>
      <c r="Y72" s="90">
        <f>'24'!K72</f>
        <v>41000</v>
      </c>
      <c r="Z72" s="90">
        <f>'25'!K72</f>
        <v>42857.142857142855</v>
      </c>
      <c r="AA72" s="90">
        <f>'26'!K72</f>
        <v>42571.428571428572</v>
      </c>
      <c r="AB72" s="90">
        <f>'27'!K72</f>
        <v>41428.571428571428</v>
      </c>
      <c r="AC72" s="90">
        <f>'28'!K72</f>
        <v>43000</v>
      </c>
      <c r="AD72" s="90">
        <f>'29'!K72</f>
        <v>42714.285714285717</v>
      </c>
      <c r="AE72" s="90">
        <f>'30'!K72</f>
        <v>42714.285714285717</v>
      </c>
      <c r="AF72" s="90">
        <v>12000</v>
      </c>
      <c r="AG72" s="90">
        <f t="shared" si="0"/>
        <v>11000.000000000004</v>
      </c>
      <c r="AH72" s="189">
        <f t="shared" si="1"/>
        <v>34760.204081632648</v>
      </c>
    </row>
    <row r="73" spans="1:34" x14ac:dyDescent="0.25">
      <c r="A73" s="123"/>
      <c r="B73" s="107" t="s">
        <v>65</v>
      </c>
      <c r="C73" s="108" t="s">
        <v>5</v>
      </c>
      <c r="D73" s="90">
        <f>'1'!K73</f>
        <v>27142.857142857141</v>
      </c>
      <c r="E73" s="90">
        <f>'2'!K73</f>
        <v>27142.857142857141</v>
      </c>
      <c r="F73" s="90">
        <f>'3'!K73</f>
        <v>28714.285714285714</v>
      </c>
      <c r="G73" s="90">
        <f>'4'!K73</f>
        <v>28714.285714285714</v>
      </c>
      <c r="H73" s="90">
        <f>'5'!K73</f>
        <v>29000</v>
      </c>
      <c r="I73" s="90">
        <f>'6'!K73</f>
        <v>30714.285714285714</v>
      </c>
      <c r="J73" s="90">
        <f>'7'!K73</f>
        <v>30714.285714285714</v>
      </c>
      <c r="K73" s="90">
        <f>'8'!K73</f>
        <v>31142.857142857141</v>
      </c>
      <c r="L73" s="90">
        <f>'9'!K73</f>
        <v>31142.857142857141</v>
      </c>
      <c r="M73" s="90">
        <f>'10'!K73</f>
        <v>32428.571428571428</v>
      </c>
      <c r="N73" s="90">
        <f>'11'!K73</f>
        <v>31714.285714285714</v>
      </c>
      <c r="O73" s="90">
        <f>'12'!K73</f>
        <v>31714.285714285714</v>
      </c>
      <c r="P73" s="90">
        <f>'13'!K73</f>
        <v>29571.428571428572</v>
      </c>
      <c r="Q73" s="90">
        <f>'14'!K73</f>
        <v>33142.857142857145</v>
      </c>
      <c r="R73" s="90">
        <f>'15'!K73</f>
        <v>35285.714285714283</v>
      </c>
      <c r="S73" s="90">
        <f>'16'!K73</f>
        <v>35285.714285714283</v>
      </c>
      <c r="T73" s="90">
        <f>'17'!K73</f>
        <v>35285.714285714283</v>
      </c>
      <c r="U73" s="90">
        <f>'18'!K73</f>
        <v>37428.571428571428</v>
      </c>
      <c r="V73" s="90">
        <f>'19'!K73</f>
        <v>37428.571428571428</v>
      </c>
      <c r="W73" s="90">
        <f>'20'!K73</f>
        <v>38285.714285714283</v>
      </c>
      <c r="X73" s="90">
        <f>'21'!K73</f>
        <v>37428.571428571428</v>
      </c>
      <c r="Y73" s="90">
        <f>'24'!K73</f>
        <v>37428.571428571428</v>
      </c>
      <c r="Z73" s="90">
        <f>'25'!K73</f>
        <v>38428.571428571428</v>
      </c>
      <c r="AA73" s="90">
        <f>'26'!K73</f>
        <v>39571.428571428572</v>
      </c>
      <c r="AB73" s="90">
        <f>'27'!K73</f>
        <v>41000</v>
      </c>
      <c r="AC73" s="90">
        <f>'28'!K73</f>
        <v>41714.285714285717</v>
      </c>
      <c r="AD73" s="90">
        <f>'29'!K73</f>
        <v>39571.428571428572</v>
      </c>
      <c r="AE73" s="90">
        <f>'30'!K73</f>
        <v>39571.428571428572</v>
      </c>
      <c r="AF73" s="90"/>
      <c r="AG73" s="90">
        <f t="shared" ref="AG73:AG88" si="2">AE73-D73</f>
        <v>12428.571428571431</v>
      </c>
      <c r="AH73" s="189">
        <f t="shared" ref="AH73:AH88" si="3">AVERAGE(D73:AE73)</f>
        <v>34168.36734693878</v>
      </c>
    </row>
    <row r="74" spans="1:34" x14ac:dyDescent="0.25">
      <c r="A74" s="110">
        <v>20</v>
      </c>
      <c r="B74" s="116" t="s">
        <v>66</v>
      </c>
      <c r="C74" s="119"/>
      <c r="D74" s="118">
        <f>'1'!K74</f>
        <v>0</v>
      </c>
      <c r="E74" s="118">
        <f>'2'!K74</f>
        <v>0</v>
      </c>
      <c r="F74" s="118">
        <f>'3'!K74</f>
        <v>0</v>
      </c>
      <c r="G74" s="118">
        <f>'4'!K74</f>
        <v>0</v>
      </c>
      <c r="H74" s="118">
        <f>'5'!K74</f>
        <v>0</v>
      </c>
      <c r="I74" s="118">
        <f>'6'!K74</f>
        <v>0</v>
      </c>
      <c r="J74" s="118">
        <f>'7'!K74</f>
        <v>0</v>
      </c>
      <c r="K74" s="118">
        <f>'8'!K74</f>
        <v>0</v>
      </c>
      <c r="L74" s="118">
        <f>'9'!K74</f>
        <v>0</v>
      </c>
      <c r="M74" s="118">
        <f>'10'!K74</f>
        <v>0</v>
      </c>
      <c r="N74" s="118">
        <f>'11'!K74</f>
        <v>0</v>
      </c>
      <c r="O74" s="118">
        <f>'12'!K74</f>
        <v>0</v>
      </c>
      <c r="P74" s="118">
        <f>'13'!K74</f>
        <v>0</v>
      </c>
      <c r="Q74" s="118">
        <f>'14'!K74</f>
        <v>0</v>
      </c>
      <c r="R74" s="118">
        <f>'15'!K74</f>
        <v>0</v>
      </c>
      <c r="S74" s="118">
        <f>'16'!K74</f>
        <v>0</v>
      </c>
      <c r="T74" s="118">
        <f>'17'!K74</f>
        <v>0</v>
      </c>
      <c r="U74" s="118">
        <f>'18'!K74</f>
        <v>0</v>
      </c>
      <c r="V74" s="118">
        <f>'19'!K74</f>
        <v>0</v>
      </c>
      <c r="W74" s="118">
        <f>'20'!K74</f>
        <v>0</v>
      </c>
      <c r="X74" s="118">
        <f>'21'!K74</f>
        <v>0</v>
      </c>
      <c r="Y74" s="118">
        <f>'24'!K74</f>
        <v>0</v>
      </c>
      <c r="Z74" s="118">
        <f>'25'!K74</f>
        <v>0</v>
      </c>
      <c r="AA74" s="118">
        <f>'26'!K74</f>
        <v>0</v>
      </c>
      <c r="AB74" s="118">
        <f>'27'!K74</f>
        <v>0</v>
      </c>
      <c r="AC74" s="118">
        <f>'28'!K74</f>
        <v>0</v>
      </c>
      <c r="AD74" s="118">
        <f>'29'!K74</f>
        <v>0</v>
      </c>
      <c r="AE74" s="118">
        <f>'30'!K74</f>
        <v>0</v>
      </c>
      <c r="AF74" s="90"/>
      <c r="AG74" s="90">
        <f t="shared" si="2"/>
        <v>0</v>
      </c>
      <c r="AH74" s="189">
        <f t="shared" si="3"/>
        <v>0</v>
      </c>
    </row>
    <row r="75" spans="1:34" x14ac:dyDescent="0.25">
      <c r="A75" s="112"/>
      <c r="B75" s="107" t="s">
        <v>67</v>
      </c>
      <c r="C75" s="108" t="s">
        <v>5</v>
      </c>
      <c r="D75" s="90">
        <f>'1'!K75</f>
        <v>5571.4285714285716</v>
      </c>
      <c r="E75" s="90">
        <f>'2'!K75</f>
        <v>5571.4285714285716</v>
      </c>
      <c r="F75" s="90">
        <f>'3'!K75</f>
        <v>5714.2857142857147</v>
      </c>
      <c r="G75" s="90">
        <f>'4'!K75</f>
        <v>5714.2857142857147</v>
      </c>
      <c r="H75" s="90">
        <f>'5'!K75</f>
        <v>5714.2857142857147</v>
      </c>
      <c r="I75" s="90">
        <f>'6'!K75</f>
        <v>5714.2857142857147</v>
      </c>
      <c r="J75" s="90">
        <f>'7'!K75</f>
        <v>5714.2857142857147</v>
      </c>
      <c r="K75" s="90">
        <f>'8'!K75</f>
        <v>5714.2857142857147</v>
      </c>
      <c r="L75" s="90">
        <f>'9'!K75</f>
        <v>5714.2857142857147</v>
      </c>
      <c r="M75" s="90">
        <f>'10'!K75</f>
        <v>5714.2857142857147</v>
      </c>
      <c r="N75" s="90">
        <f>'11'!K75</f>
        <v>5714.2857142857147</v>
      </c>
      <c r="O75" s="90">
        <f>'12'!K75</f>
        <v>5714.2857142857147</v>
      </c>
      <c r="P75" s="90">
        <f>'13'!K75</f>
        <v>5714.2857142857147</v>
      </c>
      <c r="Q75" s="90">
        <f>'14'!K75</f>
        <v>5714.2857142857147</v>
      </c>
      <c r="R75" s="90">
        <f>'15'!K75</f>
        <v>5714.2857142857147</v>
      </c>
      <c r="S75" s="90">
        <f>'16'!K75</f>
        <v>5714.2857142857147</v>
      </c>
      <c r="T75" s="90">
        <f>'17'!K75</f>
        <v>5714.2857142857147</v>
      </c>
      <c r="U75" s="90">
        <f>'18'!K75</f>
        <v>5714.2857142857147</v>
      </c>
      <c r="V75" s="90">
        <f>'19'!K75</f>
        <v>5714.2857142857147</v>
      </c>
      <c r="W75" s="90">
        <f>'20'!K75</f>
        <v>5714.2857142857147</v>
      </c>
      <c r="X75" s="90">
        <f>'21'!K75</f>
        <v>5714.2857142857147</v>
      </c>
      <c r="Y75" s="90">
        <f>'24'!K75</f>
        <v>5714.2857142857147</v>
      </c>
      <c r="Z75" s="90">
        <f>'25'!K75</f>
        <v>5714.2857142857147</v>
      </c>
      <c r="AA75" s="90">
        <f>'26'!K75</f>
        <v>5714.2857142857147</v>
      </c>
      <c r="AB75" s="90">
        <f>'27'!K75</f>
        <v>5714.2857142857147</v>
      </c>
      <c r="AC75" s="90">
        <f>'28'!K75</f>
        <v>5714.2857142857147</v>
      </c>
      <c r="AD75" s="90">
        <f>'29'!K75</f>
        <v>5714.2857142857147</v>
      </c>
      <c r="AE75" s="90">
        <f>'30'!K75</f>
        <v>5714.2857142857147</v>
      </c>
      <c r="AF75" s="90"/>
      <c r="AG75" s="90">
        <f t="shared" si="2"/>
        <v>142.85714285714312</v>
      </c>
      <c r="AH75" s="189">
        <f t="shared" si="3"/>
        <v>5704.0816326530603</v>
      </c>
    </row>
    <row r="76" spans="1:34" x14ac:dyDescent="0.25">
      <c r="A76" s="111"/>
      <c r="B76" s="107" t="s">
        <v>68</v>
      </c>
      <c r="C76" s="108" t="s">
        <v>5</v>
      </c>
      <c r="D76" s="90">
        <f>'1'!K76</f>
        <v>6000</v>
      </c>
      <c r="E76" s="90">
        <f>'2'!K76</f>
        <v>6000</v>
      </c>
      <c r="F76" s="90">
        <f>'3'!K76</f>
        <v>6166.666666666667</v>
      </c>
      <c r="G76" s="90">
        <f>'4'!K76</f>
        <v>6166.666666666667</v>
      </c>
      <c r="H76" s="90">
        <f>'5'!K76</f>
        <v>6166.666666666667</v>
      </c>
      <c r="I76" s="90">
        <f>'6'!K76</f>
        <v>6166.666666666667</v>
      </c>
      <c r="J76" s="90">
        <f>'7'!K76</f>
        <v>6166.666666666667</v>
      </c>
      <c r="K76" s="90">
        <f>'8'!K76</f>
        <v>6166.666666666667</v>
      </c>
      <c r="L76" s="90">
        <f>'9'!K76</f>
        <v>6166.666666666667</v>
      </c>
      <c r="M76" s="90">
        <f>'10'!K76</f>
        <v>6166.666666666667</v>
      </c>
      <c r="N76" s="90">
        <f>'11'!K76</f>
        <v>6166.666666666667</v>
      </c>
      <c r="O76" s="90">
        <f>'12'!K76</f>
        <v>6166.666666666667</v>
      </c>
      <c r="P76" s="90">
        <f>'13'!K76</f>
        <v>6166.666666666667</v>
      </c>
      <c r="Q76" s="90">
        <f>'14'!K76</f>
        <v>6166.666666666667</v>
      </c>
      <c r="R76" s="90">
        <f>'15'!K76</f>
        <v>6166.666666666667</v>
      </c>
      <c r="S76" s="90">
        <f>'16'!K76</f>
        <v>6166.666666666667</v>
      </c>
      <c r="T76" s="90">
        <f>'17'!K76</f>
        <v>6166.666666666667</v>
      </c>
      <c r="U76" s="90">
        <f>'18'!K76</f>
        <v>6166.666666666667</v>
      </c>
      <c r="V76" s="90">
        <f>'19'!K76</f>
        <v>6166.666666666667</v>
      </c>
      <c r="W76" s="90">
        <f>'20'!K76</f>
        <v>6166.666666666667</v>
      </c>
      <c r="X76" s="90">
        <f>'21'!K76</f>
        <v>6166.666666666667</v>
      </c>
      <c r="Y76" s="90">
        <f>'24'!K76</f>
        <v>6166.666666666667</v>
      </c>
      <c r="Z76" s="90">
        <f>'25'!K76</f>
        <v>6166.666666666667</v>
      </c>
      <c r="AA76" s="90">
        <f>'26'!K76</f>
        <v>6000</v>
      </c>
      <c r="AB76" s="90">
        <f>'27'!K76</f>
        <v>6000</v>
      </c>
      <c r="AC76" s="90">
        <f>'28'!K76</f>
        <v>6000</v>
      </c>
      <c r="AD76" s="90">
        <f>'29'!K76</f>
        <v>6000</v>
      </c>
      <c r="AE76" s="90">
        <f>'30'!K76</f>
        <v>6000</v>
      </c>
      <c r="AF76" s="90"/>
      <c r="AG76" s="90">
        <f t="shared" si="2"/>
        <v>0</v>
      </c>
      <c r="AH76" s="189">
        <f t="shared" si="3"/>
        <v>6125.0000000000009</v>
      </c>
    </row>
    <row r="77" spans="1:34" x14ac:dyDescent="0.25">
      <c r="A77" s="110">
        <v>21</v>
      </c>
      <c r="B77" s="116" t="s">
        <v>69</v>
      </c>
      <c r="C77" s="119"/>
      <c r="D77" s="118">
        <f>'1'!K77</f>
        <v>0</v>
      </c>
      <c r="E77" s="118">
        <f>'2'!K77</f>
        <v>0</v>
      </c>
      <c r="F77" s="118">
        <f>'3'!K77</f>
        <v>0</v>
      </c>
      <c r="G77" s="118">
        <f>'4'!K77</f>
        <v>0</v>
      </c>
      <c r="H77" s="118">
        <f>'5'!K77</f>
        <v>0</v>
      </c>
      <c r="I77" s="118">
        <f>'6'!K77</f>
        <v>0</v>
      </c>
      <c r="J77" s="118">
        <f>'7'!K77</f>
        <v>0</v>
      </c>
      <c r="K77" s="118">
        <f>'8'!K77</f>
        <v>0</v>
      </c>
      <c r="L77" s="118">
        <f>'9'!K77</f>
        <v>0</v>
      </c>
      <c r="M77" s="118">
        <f>'10'!K77</f>
        <v>0</v>
      </c>
      <c r="N77" s="118">
        <f>'11'!K77</f>
        <v>0</v>
      </c>
      <c r="O77" s="118">
        <f>'12'!K77</f>
        <v>0</v>
      </c>
      <c r="P77" s="118">
        <f>'13'!K77</f>
        <v>0</v>
      </c>
      <c r="Q77" s="118">
        <f>'14'!K77</f>
        <v>0</v>
      </c>
      <c r="R77" s="118">
        <f>'15'!K77</f>
        <v>0</v>
      </c>
      <c r="S77" s="118">
        <f>'16'!K77</f>
        <v>0</v>
      </c>
      <c r="T77" s="118">
        <f>'17'!K77</f>
        <v>0</v>
      </c>
      <c r="U77" s="118">
        <f>'18'!K77</f>
        <v>0</v>
      </c>
      <c r="V77" s="118">
        <f>'19'!K77</f>
        <v>0</v>
      </c>
      <c r="W77" s="118">
        <f>'20'!K77</f>
        <v>0</v>
      </c>
      <c r="X77" s="118">
        <f>'21'!K77</f>
        <v>0</v>
      </c>
      <c r="Y77" s="118">
        <f>'24'!K77</f>
        <v>0</v>
      </c>
      <c r="Z77" s="118">
        <f>'25'!K77</f>
        <v>0</v>
      </c>
      <c r="AA77" s="118">
        <f>'26'!K77</f>
        <v>0</v>
      </c>
      <c r="AB77" s="118">
        <f>'27'!K77</f>
        <v>0</v>
      </c>
      <c r="AC77" s="118">
        <f>'28'!K77</f>
        <v>0</v>
      </c>
      <c r="AD77" s="118">
        <f>'29'!K77</f>
        <v>0</v>
      </c>
      <c r="AE77" s="118">
        <f>'30'!K77</f>
        <v>0</v>
      </c>
      <c r="AF77" s="90"/>
      <c r="AG77" s="90">
        <f t="shared" si="2"/>
        <v>0</v>
      </c>
      <c r="AH77" s="189">
        <f t="shared" si="3"/>
        <v>0</v>
      </c>
    </row>
    <row r="78" spans="1:34" x14ac:dyDescent="0.25">
      <c r="A78" s="112"/>
      <c r="B78" s="107" t="s">
        <v>70</v>
      </c>
      <c r="C78" s="108" t="s">
        <v>5</v>
      </c>
      <c r="D78" s="90">
        <f>'1'!K78</f>
        <v>8142.8571428571431</v>
      </c>
      <c r="E78" s="90">
        <f>'2'!K78</f>
        <v>8142.8571428571431</v>
      </c>
      <c r="F78" s="90">
        <f>'3'!K78</f>
        <v>8142.8571428571431</v>
      </c>
      <c r="G78" s="90">
        <f>'4'!K78</f>
        <v>8142.8571428571431</v>
      </c>
      <c r="H78" s="90">
        <f>'5'!K78</f>
        <v>8000</v>
      </c>
      <c r="I78" s="90">
        <f>'6'!K78</f>
        <v>8142.8571428571431</v>
      </c>
      <c r="J78" s="90">
        <f>'7'!K78</f>
        <v>8142.8571428571431</v>
      </c>
      <c r="K78" s="90">
        <f>'8'!K78</f>
        <v>8142.8571428571431</v>
      </c>
      <c r="L78" s="90">
        <f>'9'!K78</f>
        <v>8142.8571428571431</v>
      </c>
      <c r="M78" s="90">
        <f>'10'!K78</f>
        <v>8142.8571428571431</v>
      </c>
      <c r="N78" s="90">
        <f>'11'!K78</f>
        <v>8142.8571428571431</v>
      </c>
      <c r="O78" s="90">
        <f>'12'!K78</f>
        <v>8285.7142857142862</v>
      </c>
      <c r="P78" s="90">
        <f>'13'!K78</f>
        <v>8285.7142857142862</v>
      </c>
      <c r="Q78" s="90">
        <f>'14'!K78</f>
        <v>8285.7142857142862</v>
      </c>
      <c r="R78" s="90">
        <f>'15'!K78</f>
        <v>8285.7142857142862</v>
      </c>
      <c r="S78" s="90">
        <f>'16'!K78</f>
        <v>8285.7142857142862</v>
      </c>
      <c r="T78" s="90">
        <f>'17'!K78</f>
        <v>8142.8571428571431</v>
      </c>
      <c r="U78" s="90">
        <f>'18'!K78</f>
        <v>8142.8571428571431</v>
      </c>
      <c r="V78" s="90">
        <f>'19'!K78</f>
        <v>8142.8571428571431</v>
      </c>
      <c r="W78" s="90">
        <f>'20'!K78</f>
        <v>8428.5714285714294</v>
      </c>
      <c r="X78" s="90">
        <f>'21'!K78</f>
        <v>9000</v>
      </c>
      <c r="Y78" s="90">
        <f>'24'!K78</f>
        <v>9000</v>
      </c>
      <c r="Z78" s="90">
        <f>'25'!K78</f>
        <v>9000</v>
      </c>
      <c r="AA78" s="90">
        <f>'26'!K78</f>
        <v>9000</v>
      </c>
      <c r="AB78" s="90">
        <f>'27'!K78</f>
        <v>9000</v>
      </c>
      <c r="AC78" s="90">
        <f>'28'!K78</f>
        <v>8857.1428571428569</v>
      </c>
      <c r="AD78" s="90">
        <f>'29'!K78</f>
        <v>9142.8571428571431</v>
      </c>
      <c r="AE78" s="90">
        <f>'30'!K78</f>
        <v>9142.8571428571431</v>
      </c>
      <c r="AF78" s="90"/>
      <c r="AG78" s="90">
        <f t="shared" si="2"/>
        <v>1000</v>
      </c>
      <c r="AH78" s="189">
        <f t="shared" si="3"/>
        <v>8423.4693877551017</v>
      </c>
    </row>
    <row r="79" spans="1:34" x14ac:dyDescent="0.25">
      <c r="A79" s="112"/>
      <c r="B79" s="107" t="s">
        <v>71</v>
      </c>
      <c r="C79" s="108" t="s">
        <v>5</v>
      </c>
      <c r="D79" s="90">
        <f>'1'!K79</f>
        <v>13285.714285714286</v>
      </c>
      <c r="E79" s="90">
        <f>'2'!K79</f>
        <v>13285.714285714286</v>
      </c>
      <c r="F79" s="90">
        <f>'3'!K79</f>
        <v>13000</v>
      </c>
      <c r="G79" s="90">
        <f>'4'!K79</f>
        <v>13000</v>
      </c>
      <c r="H79" s="90">
        <f>'5'!K79</f>
        <v>12857.142857142857</v>
      </c>
      <c r="I79" s="90">
        <f>'6'!K79</f>
        <v>12571.428571428571</v>
      </c>
      <c r="J79" s="90">
        <f>'7'!K79</f>
        <v>12857.142857142857</v>
      </c>
      <c r="K79" s="90">
        <f>'8'!K79</f>
        <v>12857.142857142857</v>
      </c>
      <c r="L79" s="90">
        <f>'9'!K79</f>
        <v>12857.142857142857</v>
      </c>
      <c r="M79" s="90">
        <f>'10'!K79</f>
        <v>12857.142857142857</v>
      </c>
      <c r="N79" s="90">
        <f>'11'!K79</f>
        <v>14428.571428571429</v>
      </c>
      <c r="O79" s="90">
        <f>'12'!K79</f>
        <v>14142.857142857143</v>
      </c>
      <c r="P79" s="90">
        <f>'13'!K79</f>
        <v>14428.571428571429</v>
      </c>
      <c r="Q79" s="90">
        <f>'14'!K79</f>
        <v>14571.428571428571</v>
      </c>
      <c r="R79" s="90">
        <f>'15'!K79</f>
        <v>14571.428571428571</v>
      </c>
      <c r="S79" s="90">
        <f>'16'!K79</f>
        <v>15142.857142857143</v>
      </c>
      <c r="T79" s="90">
        <f>'17'!K79</f>
        <v>14428.571428571429</v>
      </c>
      <c r="U79" s="90">
        <f>'18'!K79</f>
        <v>13857.142857142857</v>
      </c>
      <c r="V79" s="90">
        <f>'19'!K79</f>
        <v>13857.142857142857</v>
      </c>
      <c r="W79" s="90">
        <f>'20'!K79</f>
        <v>14571.428571428571</v>
      </c>
      <c r="X79" s="90">
        <f>'21'!K79</f>
        <v>14571.428571428571</v>
      </c>
      <c r="Y79" s="90">
        <f>'24'!K79</f>
        <v>14571.428571428571</v>
      </c>
      <c r="Z79" s="90">
        <f>'25'!K79</f>
        <v>14000</v>
      </c>
      <c r="AA79" s="90">
        <f>'26'!K79</f>
        <v>14428.571428571429</v>
      </c>
      <c r="AB79" s="90">
        <f>'27'!K79</f>
        <v>14428.571428571429</v>
      </c>
      <c r="AC79" s="90">
        <f>'28'!K79</f>
        <v>14857.142857142857</v>
      </c>
      <c r="AD79" s="90">
        <f>'29'!K79</f>
        <v>14142.857142857143</v>
      </c>
      <c r="AE79" s="90">
        <f>'30'!K79</f>
        <v>14142.857142857143</v>
      </c>
      <c r="AF79" s="90"/>
      <c r="AG79" s="90">
        <f t="shared" si="2"/>
        <v>857.14285714285688</v>
      </c>
      <c r="AH79" s="189">
        <f t="shared" si="3"/>
        <v>13877.551020408164</v>
      </c>
    </row>
    <row r="80" spans="1:34" x14ac:dyDescent="0.25">
      <c r="A80" s="112"/>
      <c r="B80" s="107" t="s">
        <v>72</v>
      </c>
      <c r="C80" s="108" t="s">
        <v>5</v>
      </c>
      <c r="D80" s="90">
        <f>'1'!K80</f>
        <v>15571.428571428571</v>
      </c>
      <c r="E80" s="90">
        <f>'2'!K80</f>
        <v>15571.428571428571</v>
      </c>
      <c r="F80" s="90">
        <f>'3'!K80</f>
        <v>15428.571428571429</v>
      </c>
      <c r="G80" s="90">
        <f>'4'!K80</f>
        <v>15428.571428571429</v>
      </c>
      <c r="H80" s="90">
        <f>'5'!K80</f>
        <v>15285.714285714286</v>
      </c>
      <c r="I80" s="90">
        <f>'6'!K80</f>
        <v>15285.714285714286</v>
      </c>
      <c r="J80" s="90">
        <f>'7'!K80</f>
        <v>15428.571428571429</v>
      </c>
      <c r="K80" s="90">
        <f>'8'!K80</f>
        <v>15428.571428571429</v>
      </c>
      <c r="L80" s="90">
        <f>'9'!K80</f>
        <v>15428.571428571429</v>
      </c>
      <c r="M80" s="90">
        <f>'10'!K80</f>
        <v>15428.571428571429</v>
      </c>
      <c r="N80" s="90">
        <f>'11'!K80</f>
        <v>15428.571428571429</v>
      </c>
      <c r="O80" s="90">
        <f>'12'!K80</f>
        <v>15428.571428571429</v>
      </c>
      <c r="P80" s="90">
        <f>'13'!K80</f>
        <v>15285.714285714286</v>
      </c>
      <c r="Q80" s="90">
        <f>'14'!K80</f>
        <v>15428.571428571429</v>
      </c>
      <c r="R80" s="90">
        <f>'15'!K80</f>
        <v>15428.571428571429</v>
      </c>
      <c r="S80" s="90">
        <f>'16'!K80</f>
        <v>15571.428571428571</v>
      </c>
      <c r="T80" s="90">
        <f>'17'!K80</f>
        <v>15285.714285714286</v>
      </c>
      <c r="U80" s="90">
        <f>'18'!K80</f>
        <v>15142.857142857143</v>
      </c>
      <c r="V80" s="90">
        <f>'19'!K80</f>
        <v>15142.857142857143</v>
      </c>
      <c r="W80" s="90">
        <f>'20'!K80</f>
        <v>15142.857142857143</v>
      </c>
      <c r="X80" s="90">
        <f>'21'!K80</f>
        <v>15857.142857142857</v>
      </c>
      <c r="Y80" s="90">
        <f>'24'!K80</f>
        <v>15857.142857142857</v>
      </c>
      <c r="Z80" s="90">
        <f>'25'!K80</f>
        <v>15857.142857142857</v>
      </c>
      <c r="AA80" s="90">
        <f>'26'!K80</f>
        <v>15571.428571428571</v>
      </c>
      <c r="AB80" s="90">
        <f>'27'!K80</f>
        <v>15285.714285714286</v>
      </c>
      <c r="AC80" s="90">
        <f>'28'!K80</f>
        <v>15285.714285714286</v>
      </c>
      <c r="AD80" s="90">
        <f>'29'!K80</f>
        <v>15285.714285714286</v>
      </c>
      <c r="AE80" s="90">
        <f>'30'!K80</f>
        <v>15285.714285714286</v>
      </c>
      <c r="AF80" s="90"/>
      <c r="AG80" s="90">
        <f t="shared" si="2"/>
        <v>-285.71428571428442</v>
      </c>
      <c r="AH80" s="189">
        <f t="shared" si="3"/>
        <v>15423.469387755098</v>
      </c>
    </row>
    <row r="81" spans="1:34" x14ac:dyDescent="0.25">
      <c r="A81" s="112"/>
      <c r="B81" s="107" t="s">
        <v>73</v>
      </c>
      <c r="C81" s="108" t="s">
        <v>5</v>
      </c>
      <c r="D81" s="90">
        <f>'1'!K81</f>
        <v>14714.285714285714</v>
      </c>
      <c r="E81" s="90">
        <f>'2'!K81</f>
        <v>14714.285714285714</v>
      </c>
      <c r="F81" s="90">
        <f>'3'!K81</f>
        <v>14000</v>
      </c>
      <c r="G81" s="90">
        <f>'4'!K81</f>
        <v>14428.571428571429</v>
      </c>
      <c r="H81" s="90">
        <f>'5'!K81</f>
        <v>14428.571428571429</v>
      </c>
      <c r="I81" s="90">
        <f>'6'!K81</f>
        <v>13428.571428571429</v>
      </c>
      <c r="J81" s="90">
        <f>'7'!K81</f>
        <v>13857.142857142857</v>
      </c>
      <c r="K81" s="90">
        <f>'8'!K81</f>
        <v>13857.142857142857</v>
      </c>
      <c r="L81" s="90">
        <f>'9'!K81</f>
        <v>14571.428571428571</v>
      </c>
      <c r="M81" s="90">
        <f>'10'!K81</f>
        <v>15000</v>
      </c>
      <c r="N81" s="90">
        <f>'11'!K81</f>
        <v>16000</v>
      </c>
      <c r="O81" s="90">
        <f>'12'!K81</f>
        <v>15714.285714285714</v>
      </c>
      <c r="P81" s="90">
        <f>'13'!K81</f>
        <v>15000</v>
      </c>
      <c r="Q81" s="90">
        <f>'14'!K81</f>
        <v>15285.714285714286</v>
      </c>
      <c r="R81" s="90">
        <f>'15'!K81</f>
        <v>15285.714285714286</v>
      </c>
      <c r="S81" s="90">
        <f>'16'!K81</f>
        <v>15571.428571428571</v>
      </c>
      <c r="T81" s="90">
        <f>'17'!K81</f>
        <v>15571.428571428571</v>
      </c>
      <c r="U81" s="90">
        <f>'18'!K81</f>
        <v>16000</v>
      </c>
      <c r="V81" s="90">
        <f>'19'!K81</f>
        <v>16000</v>
      </c>
      <c r="W81" s="90">
        <f>'20'!K81</f>
        <v>16000</v>
      </c>
      <c r="X81" s="90">
        <f>'21'!K81</f>
        <v>16714.285714285714</v>
      </c>
      <c r="Y81" s="90">
        <f>'24'!K81</f>
        <v>16714.285714285714</v>
      </c>
      <c r="Z81" s="90">
        <f>'25'!K81</f>
        <v>17428.571428571428</v>
      </c>
      <c r="AA81" s="90">
        <f>'26'!K81</f>
        <v>17571.428571428572</v>
      </c>
      <c r="AB81" s="90">
        <f>'27'!K81</f>
        <v>16571.428571428572</v>
      </c>
      <c r="AC81" s="90">
        <f>'28'!K81</f>
        <v>15857.142857142857</v>
      </c>
      <c r="AD81" s="90">
        <f>'29'!K81</f>
        <v>15142.857142857143</v>
      </c>
      <c r="AE81" s="90">
        <f>'30'!K81</f>
        <v>15142.857142857143</v>
      </c>
      <c r="AF81" s="90"/>
      <c r="AG81" s="90">
        <f t="shared" si="2"/>
        <v>428.57142857142935</v>
      </c>
      <c r="AH81" s="189">
        <f t="shared" si="3"/>
        <v>15377.551020408167</v>
      </c>
    </row>
    <row r="82" spans="1:34" x14ac:dyDescent="0.25">
      <c r="A82" s="112"/>
      <c r="B82" s="107" t="s">
        <v>74</v>
      </c>
      <c r="C82" s="108" t="s">
        <v>5</v>
      </c>
      <c r="D82" s="90">
        <f>'1'!K82</f>
        <v>10857.142857142857</v>
      </c>
      <c r="E82" s="90">
        <f>'2'!K82</f>
        <v>10857.142857142857</v>
      </c>
      <c r="F82" s="90">
        <f>'3'!K82</f>
        <v>10571.428571428571</v>
      </c>
      <c r="G82" s="90">
        <f>'4'!K82</f>
        <v>10571.428571428571</v>
      </c>
      <c r="H82" s="90">
        <f>'5'!K82</f>
        <v>10285.714285714286</v>
      </c>
      <c r="I82" s="90">
        <f>'6'!K82</f>
        <v>10428.571428571429</v>
      </c>
      <c r="J82" s="90">
        <f>'7'!K82</f>
        <v>10428.571428571429</v>
      </c>
      <c r="K82" s="90">
        <f>'8'!K82</f>
        <v>10428.571428571429</v>
      </c>
      <c r="L82" s="90">
        <f>'9'!K82</f>
        <v>10428.571428571429</v>
      </c>
      <c r="M82" s="90">
        <f>'10'!K82</f>
        <v>10428.571428571429</v>
      </c>
      <c r="N82" s="90">
        <f>'11'!K82</f>
        <v>10571.428571428571</v>
      </c>
      <c r="O82" s="90">
        <f>'12'!K82</f>
        <v>10857.142857142857</v>
      </c>
      <c r="P82" s="90">
        <f>'13'!K82</f>
        <v>10571.428571428571</v>
      </c>
      <c r="Q82" s="90">
        <f>'14'!K82</f>
        <v>11142.857142857143</v>
      </c>
      <c r="R82" s="90">
        <f>'15'!K82</f>
        <v>11142.857142857143</v>
      </c>
      <c r="S82" s="90">
        <f>'16'!K82</f>
        <v>11428.571428571429</v>
      </c>
      <c r="T82" s="90">
        <f>'17'!K82</f>
        <v>11428.571428571429</v>
      </c>
      <c r="U82" s="90">
        <f>'18'!K82</f>
        <v>11142.857142857143</v>
      </c>
      <c r="V82" s="90">
        <f>'19'!K82</f>
        <v>12000</v>
      </c>
      <c r="W82" s="90">
        <f>'20'!K82</f>
        <v>12000</v>
      </c>
      <c r="X82" s="90">
        <f>'21'!K82</f>
        <v>11571.428571428571</v>
      </c>
      <c r="Y82" s="90">
        <f>'24'!K82</f>
        <v>11571.428571428571</v>
      </c>
      <c r="Z82" s="90">
        <f>'25'!K82</f>
        <v>11285.714285714286</v>
      </c>
      <c r="AA82" s="90">
        <f>'26'!K82</f>
        <v>11000</v>
      </c>
      <c r="AB82" s="90">
        <f>'27'!K82</f>
        <v>11285.714285714286</v>
      </c>
      <c r="AC82" s="90">
        <f>'28'!K82</f>
        <v>12000</v>
      </c>
      <c r="AD82" s="90">
        <f>'29'!K82</f>
        <v>11571.428571428571</v>
      </c>
      <c r="AE82" s="90">
        <f>'30'!K82</f>
        <v>11571.428571428571</v>
      </c>
      <c r="AF82" s="90"/>
      <c r="AG82" s="90">
        <f t="shared" si="2"/>
        <v>714.28571428571377</v>
      </c>
      <c r="AH82" s="189">
        <f t="shared" si="3"/>
        <v>11051.020408163266</v>
      </c>
    </row>
    <row r="83" spans="1:34" x14ac:dyDescent="0.25">
      <c r="A83" s="112"/>
      <c r="B83" s="107" t="s">
        <v>75</v>
      </c>
      <c r="C83" s="108" t="s">
        <v>5</v>
      </c>
      <c r="D83" s="90">
        <f>'1'!K83</f>
        <v>8666.6666666666661</v>
      </c>
      <c r="E83" s="90">
        <f>'2'!K83</f>
        <v>8666.6666666666661</v>
      </c>
      <c r="F83" s="90">
        <f>'3'!K83</f>
        <v>8666.6666666666661</v>
      </c>
      <c r="G83" s="90">
        <f>'4'!K83</f>
        <v>8666.6666666666661</v>
      </c>
      <c r="H83" s="90">
        <f>'5'!K83</f>
        <v>9000</v>
      </c>
      <c r="I83" s="90">
        <f>'6'!K83</f>
        <v>9166.6666666666661</v>
      </c>
      <c r="J83" s="90">
        <f>'7'!K83</f>
        <v>9166.6666666666661</v>
      </c>
      <c r="K83" s="90">
        <f>'8'!K83</f>
        <v>9166.6666666666661</v>
      </c>
      <c r="L83" s="90">
        <f>'9'!K83</f>
        <v>9166.6666666666661</v>
      </c>
      <c r="M83" s="90">
        <f>'10'!K83</f>
        <v>9166.6666666666661</v>
      </c>
      <c r="N83" s="90">
        <f>'11'!K83</f>
        <v>9000</v>
      </c>
      <c r="O83" s="90">
        <f>'12'!K83</f>
        <v>9000</v>
      </c>
      <c r="P83" s="90">
        <f>'13'!K83</f>
        <v>9000</v>
      </c>
      <c r="Q83" s="90">
        <f>'14'!K83</f>
        <v>9000</v>
      </c>
      <c r="R83" s="90">
        <f>'15'!K83</f>
        <v>9000</v>
      </c>
      <c r="S83" s="90">
        <f>'16'!K83</f>
        <v>9000</v>
      </c>
      <c r="T83" s="90">
        <f>'17'!K83</f>
        <v>9000</v>
      </c>
      <c r="U83" s="90">
        <f>'18'!K83</f>
        <v>9000</v>
      </c>
      <c r="V83" s="90">
        <f>'19'!K83</f>
        <v>9000</v>
      </c>
      <c r="W83" s="90">
        <f>'20'!K83</f>
        <v>9000</v>
      </c>
      <c r="X83" s="90">
        <f>'21'!K83</f>
        <v>9000</v>
      </c>
      <c r="Y83" s="90">
        <f>'24'!K83</f>
        <v>9000</v>
      </c>
      <c r="Z83" s="90">
        <f>'25'!K83</f>
        <v>9166.6666666666661</v>
      </c>
      <c r="AA83" s="90">
        <f>'26'!K83</f>
        <v>9333.3333333333339</v>
      </c>
      <c r="AB83" s="90">
        <f>'27'!K83</f>
        <v>9333.3333333333339</v>
      </c>
      <c r="AC83" s="90">
        <f>'28'!K83</f>
        <v>9166.6666666666661</v>
      </c>
      <c r="AD83" s="90">
        <f>'29'!K83</f>
        <v>9333.3333333333339</v>
      </c>
      <c r="AE83" s="90">
        <f>'30'!K83</f>
        <v>9333.3333333333339</v>
      </c>
      <c r="AF83" s="90"/>
      <c r="AG83" s="90">
        <f t="shared" si="2"/>
        <v>666.66666666666788</v>
      </c>
      <c r="AH83" s="189">
        <f t="shared" si="3"/>
        <v>9041.6666666666679</v>
      </c>
    </row>
    <row r="84" spans="1:34" x14ac:dyDescent="0.25">
      <c r="A84" s="112"/>
      <c r="B84" s="107" t="s">
        <v>76</v>
      </c>
      <c r="C84" s="108" t="s">
        <v>77</v>
      </c>
      <c r="D84" s="90">
        <f>'1'!K84</f>
        <v>1916.6666666666667</v>
      </c>
      <c r="E84" s="90">
        <f>'2'!K84</f>
        <v>1916.6666666666667</v>
      </c>
      <c r="F84" s="90">
        <f>'3'!K84</f>
        <v>1750</v>
      </c>
      <c r="G84" s="90">
        <f>'4'!K84</f>
        <v>1750</v>
      </c>
      <c r="H84" s="90">
        <f>'5'!K84</f>
        <v>1750</v>
      </c>
      <c r="I84" s="90">
        <f>'6'!K84</f>
        <v>1916.6666666666667</v>
      </c>
      <c r="J84" s="90">
        <f>'7'!K84</f>
        <v>1916.6666666666667</v>
      </c>
      <c r="K84" s="90">
        <f>'8'!K84</f>
        <v>1916.6666666666667</v>
      </c>
      <c r="L84" s="90">
        <f>'9'!K84</f>
        <v>1916.6666666666667</v>
      </c>
      <c r="M84" s="90">
        <f>'10'!K84</f>
        <v>1916.6666666666667</v>
      </c>
      <c r="N84" s="90">
        <f>'11'!K84</f>
        <v>1916.6666666666667</v>
      </c>
      <c r="O84" s="90">
        <f>'12'!K84</f>
        <v>1916.6666666666667</v>
      </c>
      <c r="P84" s="90">
        <f>'13'!K84</f>
        <v>1916.6666666666667</v>
      </c>
      <c r="Q84" s="90">
        <f>'14'!K84</f>
        <v>1916.6666666666667</v>
      </c>
      <c r="R84" s="90">
        <f>'15'!K84</f>
        <v>1916.6666666666667</v>
      </c>
      <c r="S84" s="90">
        <f>'16'!K84</f>
        <v>1916.6666666666667</v>
      </c>
      <c r="T84" s="90">
        <f>'17'!K84</f>
        <v>1916.6666666666667</v>
      </c>
      <c r="U84" s="90">
        <f>'18'!K84</f>
        <v>1916.6666666666667</v>
      </c>
      <c r="V84" s="90">
        <f>'19'!K84</f>
        <v>1916.6666666666667</v>
      </c>
      <c r="W84" s="90">
        <f>'20'!K84</f>
        <v>1916.6666666666667</v>
      </c>
      <c r="X84" s="90">
        <f>'21'!K84</f>
        <v>1916.6666666666667</v>
      </c>
      <c r="Y84" s="90">
        <f>'24'!K84</f>
        <v>1916.6666666666667</v>
      </c>
      <c r="Z84" s="90">
        <f>'25'!K84</f>
        <v>1916.6666666666667</v>
      </c>
      <c r="AA84" s="90">
        <f>'26'!K84</f>
        <v>1916.6666666666667</v>
      </c>
      <c r="AB84" s="90">
        <f>'27'!K84</f>
        <v>1916.6666666666667</v>
      </c>
      <c r="AC84" s="90">
        <f>'28'!K84</f>
        <v>1916.6666666666667</v>
      </c>
      <c r="AD84" s="90">
        <f>'29'!K84</f>
        <v>1916.6666666666667</v>
      </c>
      <c r="AE84" s="90">
        <f>'30'!K84</f>
        <v>1916.6666666666667</v>
      </c>
      <c r="AF84" s="90"/>
      <c r="AG84" s="90">
        <f t="shared" si="2"/>
        <v>0</v>
      </c>
      <c r="AH84" s="189">
        <f t="shared" si="3"/>
        <v>1898.8095238095232</v>
      </c>
    </row>
    <row r="85" spans="1:34" x14ac:dyDescent="0.25">
      <c r="A85" s="112"/>
      <c r="B85" s="107" t="s">
        <v>78</v>
      </c>
      <c r="C85" s="108" t="s">
        <v>77</v>
      </c>
      <c r="D85" s="90">
        <f>'1'!K85</f>
        <v>1666.6666666666667</v>
      </c>
      <c r="E85" s="90">
        <f>'2'!K85</f>
        <v>1666.6666666666667</v>
      </c>
      <c r="F85" s="90">
        <f>'3'!K85</f>
        <v>1500</v>
      </c>
      <c r="G85" s="90">
        <f>'4'!K85</f>
        <v>1500</v>
      </c>
      <c r="H85" s="90">
        <f>'5'!K85</f>
        <v>1500</v>
      </c>
      <c r="I85" s="90">
        <f>'6'!K85</f>
        <v>1666.6666666666667</v>
      </c>
      <c r="J85" s="90">
        <f>'7'!K85</f>
        <v>1666.6666666666667</v>
      </c>
      <c r="K85" s="90">
        <f>'8'!K85</f>
        <v>1666.6666666666667</v>
      </c>
      <c r="L85" s="90">
        <f>'9'!K85</f>
        <v>1666.6666666666667</v>
      </c>
      <c r="M85" s="90">
        <f>'10'!K85</f>
        <v>1666.6666666666667</v>
      </c>
      <c r="N85" s="90">
        <f>'11'!K85</f>
        <v>1666.6666666666667</v>
      </c>
      <c r="O85" s="90">
        <f>'12'!K85</f>
        <v>1666.6666666666667</v>
      </c>
      <c r="P85" s="90">
        <f>'13'!K85</f>
        <v>1666.6666666666667</v>
      </c>
      <c r="Q85" s="90">
        <f>'14'!K85</f>
        <v>1666.6666666666667</v>
      </c>
      <c r="R85" s="90">
        <f>'15'!K85</f>
        <v>1666.6666666666667</v>
      </c>
      <c r="S85" s="90">
        <f>'16'!K85</f>
        <v>1666.6666666666667</v>
      </c>
      <c r="T85" s="90">
        <f>'17'!K85</f>
        <v>1666.6666666666667</v>
      </c>
      <c r="U85" s="90">
        <f>'18'!K85</f>
        <v>1666.6666666666667</v>
      </c>
      <c r="V85" s="90">
        <f>'19'!K85</f>
        <v>1666.6666666666667</v>
      </c>
      <c r="W85" s="90">
        <f>'20'!K85</f>
        <v>1666.6666666666667</v>
      </c>
      <c r="X85" s="90">
        <f>'21'!K85</f>
        <v>1666.6666666666667</v>
      </c>
      <c r="Y85" s="90">
        <f>'24'!K85</f>
        <v>1666.6666666666667</v>
      </c>
      <c r="Z85" s="90">
        <f>'25'!K85</f>
        <v>1666.6666666666667</v>
      </c>
      <c r="AA85" s="90">
        <f>'26'!K85</f>
        <v>1666.6666666666667</v>
      </c>
      <c r="AB85" s="90">
        <f>'27'!K85</f>
        <v>1666.6666666666667</v>
      </c>
      <c r="AC85" s="90">
        <f>'28'!K85</f>
        <v>1666.6666666666667</v>
      </c>
      <c r="AD85" s="90">
        <f>'29'!K85</f>
        <v>1666.6666666666667</v>
      </c>
      <c r="AE85" s="90">
        <f>'30'!K85</f>
        <v>1666.6666666666667</v>
      </c>
      <c r="AF85" s="90"/>
      <c r="AG85" s="90">
        <f t="shared" si="2"/>
        <v>0</v>
      </c>
      <c r="AH85" s="189">
        <f t="shared" si="3"/>
        <v>1648.8095238095234</v>
      </c>
    </row>
    <row r="86" spans="1:34" x14ac:dyDescent="0.25">
      <c r="A86" s="111"/>
      <c r="B86" s="107" t="s">
        <v>79</v>
      </c>
      <c r="C86" s="108" t="s">
        <v>77</v>
      </c>
      <c r="D86" s="90">
        <f>'1'!K86</f>
        <v>2000</v>
      </c>
      <c r="E86" s="90">
        <f>'2'!K86</f>
        <v>2000</v>
      </c>
      <c r="F86" s="90">
        <f>'3'!K86</f>
        <v>2000</v>
      </c>
      <c r="G86" s="90">
        <f>'4'!K86</f>
        <v>2000</v>
      </c>
      <c r="H86" s="90">
        <f>'5'!K86</f>
        <v>2000</v>
      </c>
      <c r="I86" s="90">
        <f>'6'!K86</f>
        <v>2000</v>
      </c>
      <c r="J86" s="90">
        <f>'7'!K86</f>
        <v>2000</v>
      </c>
      <c r="K86" s="90">
        <f>'8'!K86</f>
        <v>2000</v>
      </c>
      <c r="L86" s="90">
        <f>'9'!K86</f>
        <v>2000</v>
      </c>
      <c r="M86" s="90">
        <f>'10'!K86</f>
        <v>2000</v>
      </c>
      <c r="N86" s="90">
        <f>'11'!K86</f>
        <v>2000</v>
      </c>
      <c r="O86" s="90">
        <f>'12'!K86</f>
        <v>2000</v>
      </c>
      <c r="P86" s="90">
        <f>'13'!K86</f>
        <v>2000</v>
      </c>
      <c r="Q86" s="90">
        <f>'14'!K86</f>
        <v>2000</v>
      </c>
      <c r="R86" s="90">
        <f>'15'!K86</f>
        <v>2000</v>
      </c>
      <c r="S86" s="90">
        <f>'16'!K86</f>
        <v>2000</v>
      </c>
      <c r="T86" s="90">
        <f>'17'!K86</f>
        <v>2000</v>
      </c>
      <c r="U86" s="90">
        <f>'18'!K86</f>
        <v>2000</v>
      </c>
      <c r="V86" s="90">
        <f>'19'!K86</f>
        <v>2000</v>
      </c>
      <c r="W86" s="90">
        <f>'20'!K86</f>
        <v>2000</v>
      </c>
      <c r="X86" s="90">
        <f>'21'!K86</f>
        <v>2000</v>
      </c>
      <c r="Y86" s="90">
        <f>'24'!K86</f>
        <v>2000</v>
      </c>
      <c r="Z86" s="90">
        <f>'25'!K86</f>
        <v>2000</v>
      </c>
      <c r="AA86" s="90">
        <f>'26'!K86</f>
        <v>2000</v>
      </c>
      <c r="AB86" s="90">
        <f>'27'!K86</f>
        <v>2000</v>
      </c>
      <c r="AC86" s="90">
        <f>'28'!K86</f>
        <v>2000</v>
      </c>
      <c r="AD86" s="90">
        <f>'29'!K86</f>
        <v>2000</v>
      </c>
      <c r="AE86" s="90">
        <f>'30'!K86</f>
        <v>2000</v>
      </c>
      <c r="AF86" s="90"/>
      <c r="AG86" s="90">
        <f t="shared" si="2"/>
        <v>0</v>
      </c>
      <c r="AH86" s="189">
        <f t="shared" si="3"/>
        <v>2000</v>
      </c>
    </row>
    <row r="87" spans="1:34" x14ac:dyDescent="0.25">
      <c r="A87" s="110">
        <v>22</v>
      </c>
      <c r="B87" s="116" t="s">
        <v>80</v>
      </c>
      <c r="C87" s="119"/>
      <c r="D87" s="118">
        <f>'1'!K87</f>
        <v>0</v>
      </c>
      <c r="E87" s="118">
        <f>'2'!K87</f>
        <v>0</v>
      </c>
      <c r="F87" s="118">
        <f>'3'!K87</f>
        <v>0</v>
      </c>
      <c r="G87" s="118">
        <f>'4'!K87</f>
        <v>0</v>
      </c>
      <c r="H87" s="118">
        <f>'5'!K87</f>
        <v>0</v>
      </c>
      <c r="I87" s="118">
        <f>'6'!K87</f>
        <v>0</v>
      </c>
      <c r="J87" s="118">
        <f>'7'!K87</f>
        <v>0</v>
      </c>
      <c r="K87" s="118">
        <f>'8'!K87</f>
        <v>0</v>
      </c>
      <c r="L87" s="118">
        <f>'9'!K87</f>
        <v>0</v>
      </c>
      <c r="M87" s="118">
        <f>'10'!K87</f>
        <v>0</v>
      </c>
      <c r="N87" s="118">
        <f>'11'!K87</f>
        <v>0</v>
      </c>
      <c r="O87" s="118">
        <f>'12'!K87</f>
        <v>0</v>
      </c>
      <c r="P87" s="118">
        <f>'13'!K87</f>
        <v>0</v>
      </c>
      <c r="Q87" s="118">
        <f>'14'!K87</f>
        <v>0</v>
      </c>
      <c r="R87" s="118">
        <f>'15'!K87</f>
        <v>0</v>
      </c>
      <c r="S87" s="118">
        <f>'16'!K87</f>
        <v>0</v>
      </c>
      <c r="T87" s="118">
        <f>'17'!K87</f>
        <v>0</v>
      </c>
      <c r="U87" s="118">
        <f>'18'!K87</f>
        <v>0</v>
      </c>
      <c r="V87" s="118">
        <f>'19'!K87</f>
        <v>0</v>
      </c>
      <c r="W87" s="118">
        <f>'20'!K87</f>
        <v>0</v>
      </c>
      <c r="X87" s="118">
        <f>'21'!K87</f>
        <v>0</v>
      </c>
      <c r="Y87" s="118">
        <f>'24'!K87</f>
        <v>0</v>
      </c>
      <c r="Z87" s="118">
        <f>'25'!K87</f>
        <v>0</v>
      </c>
      <c r="AA87" s="118">
        <f>'26'!K87</f>
        <v>0</v>
      </c>
      <c r="AB87" s="118">
        <f>'27'!K87</f>
        <v>0</v>
      </c>
      <c r="AC87" s="118">
        <f>'28'!K87</f>
        <v>0</v>
      </c>
      <c r="AD87" s="118">
        <f>'29'!K87</f>
        <v>0</v>
      </c>
      <c r="AE87" s="118">
        <f>'30'!K87</f>
        <v>0</v>
      </c>
      <c r="AF87" s="90"/>
      <c r="AG87" s="90">
        <f t="shared" si="2"/>
        <v>0</v>
      </c>
      <c r="AH87" s="189">
        <f t="shared" si="3"/>
        <v>0</v>
      </c>
    </row>
    <row r="88" spans="1:34" x14ac:dyDescent="0.25">
      <c r="A88" s="111"/>
      <c r="B88" s="107" t="s">
        <v>81</v>
      </c>
      <c r="C88" s="108" t="s">
        <v>82</v>
      </c>
      <c r="D88" s="90">
        <f>'1'!K88</f>
        <v>18000</v>
      </c>
      <c r="E88" s="90">
        <f>'2'!K88</f>
        <v>18000</v>
      </c>
      <c r="F88" s="90">
        <f>'3'!K88</f>
        <v>18000</v>
      </c>
      <c r="G88" s="90">
        <f>'4'!K88</f>
        <v>18000</v>
      </c>
      <c r="H88" s="90">
        <f>'5'!K88</f>
        <v>18000</v>
      </c>
      <c r="I88" s="90">
        <f>'6'!K88</f>
        <v>18000</v>
      </c>
      <c r="J88" s="90">
        <f>'7'!K88</f>
        <v>18000</v>
      </c>
      <c r="K88" s="90">
        <f>'8'!K88</f>
        <v>18000</v>
      </c>
      <c r="L88" s="90">
        <f>'9'!K88</f>
        <v>18000</v>
      </c>
      <c r="M88" s="90">
        <f>'10'!K88</f>
        <v>18000</v>
      </c>
      <c r="N88" s="90">
        <f>'11'!K88</f>
        <v>18000</v>
      </c>
      <c r="O88" s="90">
        <f>'12'!K88</f>
        <v>18000</v>
      </c>
      <c r="P88" s="90">
        <f>'13'!K88</f>
        <v>18000</v>
      </c>
      <c r="Q88" s="90">
        <f>'14'!K88</f>
        <v>18000</v>
      </c>
      <c r="R88" s="90">
        <f>'15'!K88</f>
        <v>18000</v>
      </c>
      <c r="S88" s="90">
        <f>'16'!K88</f>
        <v>18000</v>
      </c>
      <c r="T88" s="90">
        <f>'17'!K88</f>
        <v>18000</v>
      </c>
      <c r="U88" s="90">
        <f>'18'!K88</f>
        <v>18000</v>
      </c>
      <c r="V88" s="90">
        <f>'19'!K88</f>
        <v>18000</v>
      </c>
      <c r="W88" s="90">
        <f>'20'!K88</f>
        <v>18000</v>
      </c>
      <c r="X88" s="90">
        <f>'21'!K88</f>
        <v>18000</v>
      </c>
      <c r="Y88" s="90">
        <f>'24'!K88</f>
        <v>18000</v>
      </c>
      <c r="Z88" s="90">
        <f>'25'!K88</f>
        <v>18000</v>
      </c>
      <c r="AA88" s="90">
        <f>'26'!K88</f>
        <v>18000</v>
      </c>
      <c r="AB88" s="90">
        <f>'27'!K88</f>
        <v>18000</v>
      </c>
      <c r="AC88" s="90">
        <f>'28'!K88</f>
        <v>18000</v>
      </c>
      <c r="AD88" s="90">
        <f>'29'!K88</f>
        <v>18000</v>
      </c>
      <c r="AE88" s="90">
        <f>'30'!K88</f>
        <v>18000</v>
      </c>
      <c r="AF88" s="90"/>
      <c r="AG88" s="90">
        <f t="shared" si="2"/>
        <v>0</v>
      </c>
      <c r="AH88" s="189">
        <f t="shared" si="3"/>
        <v>18000</v>
      </c>
    </row>
  </sheetData>
  <mergeCells count="22">
    <mergeCell ref="AG4:AG6"/>
    <mergeCell ref="A1:AG1"/>
    <mergeCell ref="A2:AG2"/>
    <mergeCell ref="A3:AG3"/>
    <mergeCell ref="A16:A17"/>
    <mergeCell ref="A19:A20"/>
    <mergeCell ref="A21:A25"/>
    <mergeCell ref="A26:A32"/>
    <mergeCell ref="AF4:AF6"/>
    <mergeCell ref="A4:A6"/>
    <mergeCell ref="B4:B6"/>
    <mergeCell ref="C4:C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25" bottom="0.25" header="0.3" footer="0.3"/>
  <pageSetup paperSize="5" scale="4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ABF-B352-4B52-A28D-FCEFBF222C1A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102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64" t="s">
        <v>86</v>
      </c>
      <c r="E4" s="167" t="s">
        <v>87</v>
      </c>
      <c r="F4" s="151" t="s">
        <v>88</v>
      </c>
      <c r="G4" s="154" t="s">
        <v>89</v>
      </c>
      <c r="H4" s="141" t="s">
        <v>90</v>
      </c>
      <c r="I4" s="144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65"/>
      <c r="E5" s="168"/>
      <c r="F5" s="152"/>
      <c r="G5" s="155"/>
      <c r="H5" s="142"/>
      <c r="I5" s="145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66"/>
      <c r="E6" s="169"/>
      <c r="F6" s="153"/>
      <c r="G6" s="156"/>
      <c r="H6" s="143"/>
      <c r="I6" s="146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13000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13428.571428571429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15">
        <v>9400</v>
      </c>
      <c r="F9" s="15">
        <v>12000</v>
      </c>
      <c r="G9" s="19">
        <v>9000</v>
      </c>
      <c r="H9" s="16">
        <v>9000</v>
      </c>
      <c r="I9" s="16">
        <v>9000</v>
      </c>
      <c r="J9" s="87">
        <v>9000</v>
      </c>
      <c r="K9" s="20">
        <f t="shared" ref="K9:K80" si="0">AVERAGE(D9:J9)</f>
        <v>9566.6666666666661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11000</v>
      </c>
      <c r="F10" s="26" t="s">
        <v>94</v>
      </c>
      <c r="G10" s="19">
        <v>11500</v>
      </c>
      <c r="H10" s="16" t="s">
        <v>94</v>
      </c>
      <c r="I10" s="23" t="s">
        <v>94</v>
      </c>
      <c r="J10" s="24" t="s">
        <v>94</v>
      </c>
      <c r="K10" s="20">
        <f t="shared" si="0"/>
        <v>11166.666666666666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16000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15785.714285714286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30000</v>
      </c>
      <c r="E25" s="15">
        <v>30000</v>
      </c>
      <c r="F25" s="15">
        <v>30000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30571.428571428572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38000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37333.333333333336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28000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28857.142857142859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60000</v>
      </c>
      <c r="E29" s="26">
        <v>70000</v>
      </c>
      <c r="F29" s="54">
        <v>70000</v>
      </c>
      <c r="G29" s="19">
        <v>75000</v>
      </c>
      <c r="H29" s="16">
        <v>58000</v>
      </c>
      <c r="I29" s="23">
        <v>65000</v>
      </c>
      <c r="J29" s="25">
        <v>50000</v>
      </c>
      <c r="K29" s="20">
        <f t="shared" si="0"/>
        <v>64000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40000</v>
      </c>
      <c r="K31" s="20">
        <f t="shared" si="0"/>
        <v>38857.142857142855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29000</v>
      </c>
      <c r="E34" s="15">
        <v>28000</v>
      </c>
      <c r="F34" s="15">
        <v>29000</v>
      </c>
      <c r="G34" s="15">
        <v>29000</v>
      </c>
      <c r="H34" s="16">
        <v>28000</v>
      </c>
      <c r="I34" s="16">
        <v>29000</v>
      </c>
      <c r="J34" s="38">
        <v>28500</v>
      </c>
      <c r="K34" s="20">
        <f t="shared" si="0"/>
        <v>28642.857142857141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2500</v>
      </c>
      <c r="G35" s="15">
        <v>2500</v>
      </c>
      <c r="H35" s="16">
        <v>2000</v>
      </c>
      <c r="I35" s="16">
        <v>2500</v>
      </c>
      <c r="J35" s="38">
        <v>3000</v>
      </c>
      <c r="K35" s="20">
        <f t="shared" si="0"/>
        <v>2500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26000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26142.857142857141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30000</v>
      </c>
      <c r="F64" s="15">
        <v>25000</v>
      </c>
      <c r="G64" s="15">
        <v>35000</v>
      </c>
      <c r="H64" s="16">
        <v>25000</v>
      </c>
      <c r="I64" s="16">
        <v>30000</v>
      </c>
      <c r="J64" s="38">
        <v>30000</v>
      </c>
      <c r="K64" s="20">
        <f t="shared" si="0"/>
        <v>29000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35000</v>
      </c>
      <c r="E65" s="15">
        <v>35000</v>
      </c>
      <c r="F65" s="15">
        <v>30000</v>
      </c>
      <c r="G65" s="15">
        <v>45000</v>
      </c>
      <c r="H65" s="71" t="s">
        <v>94</v>
      </c>
      <c r="I65" s="51">
        <v>30000</v>
      </c>
      <c r="J65" s="52" t="s">
        <v>94</v>
      </c>
      <c r="K65" s="20">
        <f t="shared" si="0"/>
        <v>35000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45000</v>
      </c>
      <c r="E66" s="15">
        <v>45000</v>
      </c>
      <c r="F66" s="15">
        <v>40000</v>
      </c>
      <c r="G66" s="15">
        <v>50000</v>
      </c>
      <c r="H66" s="16">
        <v>50000</v>
      </c>
      <c r="I66" s="16">
        <v>50000</v>
      </c>
      <c r="J66" s="38">
        <v>50000</v>
      </c>
      <c r="K66" s="20">
        <f t="shared" si="0"/>
        <v>47142.857142857145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32000</v>
      </c>
      <c r="F70" s="15">
        <v>34000</v>
      </c>
      <c r="G70" s="15">
        <v>33000</v>
      </c>
      <c r="H70" s="16">
        <v>30000</v>
      </c>
      <c r="I70" s="16">
        <v>38000</v>
      </c>
      <c r="J70" s="38">
        <v>35000</v>
      </c>
      <c r="K70" s="20">
        <f t="shared" si="0"/>
        <v>33428.571428571428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28000</v>
      </c>
      <c r="H71" s="16">
        <v>26000</v>
      </c>
      <c r="I71" s="16">
        <v>30000</v>
      </c>
      <c r="J71" s="38">
        <v>28000</v>
      </c>
      <c r="K71" s="20">
        <f t="shared" si="0"/>
        <v>28571.428571428572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32000</v>
      </c>
      <c r="E72" s="15">
        <v>30000</v>
      </c>
      <c r="F72" s="15">
        <v>35000</v>
      </c>
      <c r="G72" s="15">
        <v>35000</v>
      </c>
      <c r="H72" s="16">
        <v>25000</v>
      </c>
      <c r="I72" s="16">
        <v>35000</v>
      </c>
      <c r="J72" s="38">
        <v>30000</v>
      </c>
      <c r="K72" s="20">
        <f t="shared" si="0"/>
        <v>31714.285714285714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24000</v>
      </c>
      <c r="E73" s="26">
        <v>28000</v>
      </c>
      <c r="F73" s="54">
        <v>30000</v>
      </c>
      <c r="G73" s="19">
        <v>25000</v>
      </c>
      <c r="H73" s="16">
        <v>26000</v>
      </c>
      <c r="I73" s="23">
        <v>35000</v>
      </c>
      <c r="J73" s="52">
        <v>22000</v>
      </c>
      <c r="K73" s="20">
        <f t="shared" si="0"/>
        <v>27142.857142857141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5571.4285714285716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16000</v>
      </c>
      <c r="G79" s="15">
        <v>14000</v>
      </c>
      <c r="H79" s="16">
        <v>10000</v>
      </c>
      <c r="I79" s="24">
        <v>12000</v>
      </c>
      <c r="J79" s="38">
        <v>14000</v>
      </c>
      <c r="K79" s="20">
        <f t="shared" si="0"/>
        <v>13285.714285714286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15000</v>
      </c>
      <c r="G81" s="15">
        <v>15000</v>
      </c>
      <c r="H81" s="16">
        <v>12000</v>
      </c>
      <c r="I81" s="51">
        <v>15000</v>
      </c>
      <c r="J81" s="38">
        <v>15000</v>
      </c>
      <c r="K81" s="20">
        <f t="shared" ref="K81:K88" si="1">AVERAGE(D81:J81)</f>
        <v>14714.285714285714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8000</v>
      </c>
      <c r="E82" s="15">
        <v>12000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10000</v>
      </c>
      <c r="K82" s="20">
        <f t="shared" si="1"/>
        <v>10857.142857142857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8000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1500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2000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BA5-F302-4DE5-9E29-E735C332E14F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117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64" t="s">
        <v>86</v>
      </c>
      <c r="E4" s="167" t="s">
        <v>87</v>
      </c>
      <c r="F4" s="151" t="s">
        <v>88</v>
      </c>
      <c r="G4" s="154" t="s">
        <v>89</v>
      </c>
      <c r="H4" s="141" t="s">
        <v>90</v>
      </c>
      <c r="I4" s="144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65"/>
      <c r="E5" s="168"/>
      <c r="F5" s="152"/>
      <c r="G5" s="155"/>
      <c r="H5" s="142"/>
      <c r="I5" s="145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66"/>
      <c r="E6" s="169"/>
      <c r="F6" s="153"/>
      <c r="G6" s="156"/>
      <c r="H6" s="143"/>
      <c r="I6" s="146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13000</v>
      </c>
      <c r="F8" s="15">
        <v>14000</v>
      </c>
      <c r="G8" s="15">
        <v>13500</v>
      </c>
      <c r="H8" s="15">
        <v>13500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15">
        <v>9400</v>
      </c>
      <c r="F9" s="15">
        <v>12000</v>
      </c>
      <c r="G9" s="19">
        <v>9000</v>
      </c>
      <c r="H9" s="16">
        <v>9000</v>
      </c>
      <c r="I9" s="16">
        <v>9000</v>
      </c>
      <c r="J9" s="87">
        <v>9000</v>
      </c>
      <c r="K9" s="20">
        <f t="shared" ref="K9:K80" si="0">AVERAGE(D9:J9)</f>
        <v>9566.6666666666661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11000</v>
      </c>
      <c r="F10" s="26" t="s">
        <v>94</v>
      </c>
      <c r="G10" s="19">
        <v>11500</v>
      </c>
      <c r="H10" s="16" t="s">
        <v>94</v>
      </c>
      <c r="I10" s="23" t="s">
        <v>94</v>
      </c>
      <c r="J10" s="24" t="s">
        <v>94</v>
      </c>
      <c r="K10" s="20">
        <f t="shared" si="0"/>
        <v>11166.666666666666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16000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15785.714285714286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30000</v>
      </c>
      <c r="E25" s="15">
        <v>30000</v>
      </c>
      <c r="F25" s="15">
        <v>31000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30714.285714285714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38000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37333.333333333336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28000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29571.428571428572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60000</v>
      </c>
      <c r="E29" s="26">
        <v>70000</v>
      </c>
      <c r="F29" s="54">
        <v>70000</v>
      </c>
      <c r="G29" s="19">
        <v>75000</v>
      </c>
      <c r="H29" s="16">
        <v>58000</v>
      </c>
      <c r="I29" s="23">
        <v>65000</v>
      </c>
      <c r="J29" s="25">
        <v>50000</v>
      </c>
      <c r="K29" s="20">
        <f t="shared" si="0"/>
        <v>64000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40000</v>
      </c>
      <c r="K31" s="20">
        <f t="shared" si="0"/>
        <v>38857.142857142855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29000</v>
      </c>
      <c r="E34" s="15">
        <v>28000</v>
      </c>
      <c r="F34" s="15">
        <v>28000</v>
      </c>
      <c r="G34" s="15">
        <v>29000</v>
      </c>
      <c r="H34" s="16">
        <v>28000</v>
      </c>
      <c r="I34" s="16">
        <v>29000</v>
      </c>
      <c r="J34" s="38">
        <v>28500</v>
      </c>
      <c r="K34" s="20">
        <f t="shared" si="0"/>
        <v>28500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2500</v>
      </c>
      <c r="G35" s="15">
        <v>2500</v>
      </c>
      <c r="H35" s="16">
        <v>2000</v>
      </c>
      <c r="I35" s="16">
        <v>2500</v>
      </c>
      <c r="J35" s="38">
        <v>3000</v>
      </c>
      <c r="K35" s="20">
        <f t="shared" si="0"/>
        <v>2500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26000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26142.857142857141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30000</v>
      </c>
      <c r="F64" s="15">
        <v>25000</v>
      </c>
      <c r="G64" s="15">
        <v>35000</v>
      </c>
      <c r="H64" s="16">
        <v>25000</v>
      </c>
      <c r="I64" s="16">
        <v>30000</v>
      </c>
      <c r="J64" s="38">
        <v>30000</v>
      </c>
      <c r="K64" s="20">
        <f t="shared" si="0"/>
        <v>29000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35000</v>
      </c>
      <c r="E65" s="15">
        <v>35000</v>
      </c>
      <c r="F65" s="15">
        <v>35000</v>
      </c>
      <c r="G65" s="15">
        <v>45000</v>
      </c>
      <c r="H65" s="71" t="s">
        <v>94</v>
      </c>
      <c r="I65" s="51">
        <v>30000</v>
      </c>
      <c r="J65" s="52" t="s">
        <v>94</v>
      </c>
      <c r="K65" s="20">
        <f t="shared" si="0"/>
        <v>36000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45000</v>
      </c>
      <c r="E66" s="15">
        <v>45000</v>
      </c>
      <c r="F66" s="15">
        <v>40000</v>
      </c>
      <c r="G66" s="15">
        <v>50000</v>
      </c>
      <c r="H66" s="16">
        <v>50000</v>
      </c>
      <c r="I66" s="16">
        <v>50000</v>
      </c>
      <c r="J66" s="38">
        <v>50000</v>
      </c>
      <c r="K66" s="20">
        <f t="shared" si="0"/>
        <v>47142.857142857145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32000</v>
      </c>
      <c r="F70" s="15">
        <v>34000</v>
      </c>
      <c r="G70" s="15">
        <v>33000</v>
      </c>
      <c r="H70" s="16">
        <v>30000</v>
      </c>
      <c r="I70" s="16">
        <v>38000</v>
      </c>
      <c r="J70" s="38">
        <v>35000</v>
      </c>
      <c r="K70" s="20">
        <f t="shared" si="0"/>
        <v>33428.571428571428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28000</v>
      </c>
      <c r="H71" s="16">
        <v>26000</v>
      </c>
      <c r="I71" s="16">
        <v>30000</v>
      </c>
      <c r="J71" s="38">
        <v>28000</v>
      </c>
      <c r="K71" s="20">
        <f t="shared" si="0"/>
        <v>28571.428571428572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32000</v>
      </c>
      <c r="E72" s="15">
        <v>30000</v>
      </c>
      <c r="F72" s="15">
        <v>35000</v>
      </c>
      <c r="G72" s="15">
        <v>35000</v>
      </c>
      <c r="H72" s="16">
        <v>25000</v>
      </c>
      <c r="I72" s="16">
        <v>35000</v>
      </c>
      <c r="J72" s="38">
        <v>30000</v>
      </c>
      <c r="K72" s="20">
        <f t="shared" si="0"/>
        <v>31714.285714285714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24000</v>
      </c>
      <c r="E73" s="26">
        <v>28000</v>
      </c>
      <c r="F73" s="54">
        <v>30000</v>
      </c>
      <c r="G73" s="19">
        <v>25000</v>
      </c>
      <c r="H73" s="16">
        <v>26000</v>
      </c>
      <c r="I73" s="23">
        <v>35000</v>
      </c>
      <c r="J73" s="52">
        <v>22000</v>
      </c>
      <c r="K73" s="20">
        <f t="shared" si="0"/>
        <v>27142.857142857141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5571.4285714285716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16000</v>
      </c>
      <c r="G79" s="15">
        <v>14000</v>
      </c>
      <c r="H79" s="16">
        <v>10000</v>
      </c>
      <c r="I79" s="24">
        <v>12000</v>
      </c>
      <c r="J79" s="38">
        <v>14000</v>
      </c>
      <c r="K79" s="20">
        <f t="shared" si="0"/>
        <v>13285.714285714286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15000</v>
      </c>
      <c r="G81" s="15">
        <v>15000</v>
      </c>
      <c r="H81" s="16">
        <v>12000</v>
      </c>
      <c r="I81" s="51">
        <v>15000</v>
      </c>
      <c r="J81" s="38">
        <v>15000</v>
      </c>
      <c r="K81" s="20">
        <f t="shared" ref="K81:K88" si="1">AVERAGE(D81:J81)</f>
        <v>14714.285714285714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8000</v>
      </c>
      <c r="E82" s="15">
        <v>12000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10000</v>
      </c>
      <c r="K82" s="20">
        <f t="shared" si="1"/>
        <v>10857.142857142857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8000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1500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2000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CF76-52D2-423F-AB4F-CE8C8034222E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118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15">
        <v>9400</v>
      </c>
      <c r="F9" s="15">
        <v>12000</v>
      </c>
      <c r="G9" s="19">
        <v>9000</v>
      </c>
      <c r="H9" s="16">
        <v>9000</v>
      </c>
      <c r="I9" s="16">
        <v>9000</v>
      </c>
      <c r="J9" s="87">
        <v>9000</v>
      </c>
      <c r="K9" s="20">
        <f t="shared" ref="K9:K80" si="0">AVERAGE(D9:J9)</f>
        <v>9566.6666666666661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16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32000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31142.857142857141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36833.333333333336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70000</v>
      </c>
      <c r="F29" s="54">
        <v>70000</v>
      </c>
      <c r="G29" s="19">
        <v>75000</v>
      </c>
      <c r="H29" s="16">
        <v>58000</v>
      </c>
      <c r="I29" s="23">
        <v>70000</v>
      </c>
      <c r="J29" s="25">
        <v>50000</v>
      </c>
      <c r="K29" s="20">
        <f t="shared" si="0"/>
        <v>65428.571428571428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40000</v>
      </c>
      <c r="K31" s="20">
        <f t="shared" si="0"/>
        <v>38857.142857142855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28000</v>
      </c>
      <c r="F34" s="15">
        <v>29000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27428.571428571428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2500</v>
      </c>
      <c r="G35" s="15">
        <v>2500</v>
      </c>
      <c r="H35" s="16">
        <v>2000</v>
      </c>
      <c r="I35" s="16">
        <v>2500</v>
      </c>
      <c r="J35" s="38">
        <v>3000</v>
      </c>
      <c r="K35" s="20">
        <f t="shared" si="0"/>
        <v>2500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24000</v>
      </c>
      <c r="E64" s="15">
        <v>30000</v>
      </c>
      <c r="F64" s="15">
        <v>28000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26714.285714285714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33000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40000</v>
      </c>
      <c r="E66" s="15">
        <v>45000</v>
      </c>
      <c r="F66" s="15">
        <v>50000</v>
      </c>
      <c r="G66" s="15">
        <v>50000</v>
      </c>
      <c r="H66" s="16">
        <v>30000</v>
      </c>
      <c r="I66" s="16">
        <v>40000</v>
      </c>
      <c r="J66" s="38">
        <v>40000</v>
      </c>
      <c r="K66" s="20">
        <f t="shared" si="0"/>
        <v>42142.857142857145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32000</v>
      </c>
      <c r="F70" s="15">
        <v>34000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32142.857142857141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28000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27857.142857142859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30000</v>
      </c>
      <c r="F72" s="15">
        <v>34000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30285.714285714286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28000</v>
      </c>
      <c r="E73" s="26">
        <v>28000</v>
      </c>
      <c r="F73" s="54">
        <v>30000</v>
      </c>
      <c r="G73" s="19">
        <v>25000</v>
      </c>
      <c r="H73" s="16">
        <v>30000</v>
      </c>
      <c r="I73" s="23">
        <v>38000</v>
      </c>
      <c r="J73" s="52">
        <v>22000</v>
      </c>
      <c r="K73" s="20">
        <f t="shared" si="0"/>
        <v>28714.285714285714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13000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15000</v>
      </c>
      <c r="G81" s="15">
        <v>15000</v>
      </c>
      <c r="H81" s="16">
        <v>10000</v>
      </c>
      <c r="I81" s="51">
        <v>15000</v>
      </c>
      <c r="J81" s="38">
        <v>12000</v>
      </c>
      <c r="K81" s="20">
        <f t="shared" ref="K81:K88" si="1">AVERAGE(D81:J81)</f>
        <v>14000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8000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1000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1750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1000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1500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BF32-7777-4C27-B15A-F3E554CE08DA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119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15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16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32000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31142.857142857141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36833.333333333336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70000</v>
      </c>
      <c r="F29" s="54">
        <v>70000</v>
      </c>
      <c r="G29" s="19">
        <v>75000</v>
      </c>
      <c r="H29" s="16">
        <v>58000</v>
      </c>
      <c r="I29" s="23">
        <v>70000</v>
      </c>
      <c r="J29" s="25">
        <v>50000</v>
      </c>
      <c r="K29" s="20">
        <f t="shared" si="0"/>
        <v>65428.571428571428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40000</v>
      </c>
      <c r="K31" s="20">
        <f t="shared" si="0"/>
        <v>38857.142857142855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28000</v>
      </c>
      <c r="F34" s="15">
        <v>28000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2500</v>
      </c>
      <c r="H35" s="16">
        <v>2000</v>
      </c>
      <c r="I35" s="16">
        <v>2500</v>
      </c>
      <c r="J35" s="38">
        <v>3000</v>
      </c>
      <c r="K35" s="20">
        <f t="shared" si="0"/>
        <v>2528.5714285714284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24000</v>
      </c>
      <c r="E64" s="15">
        <v>30000</v>
      </c>
      <c r="F64" s="15">
        <v>25000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26285.714285714286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28000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32600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40000</v>
      </c>
      <c r="E66" s="15">
        <v>45000</v>
      </c>
      <c r="F66" s="15">
        <v>32000</v>
      </c>
      <c r="G66" s="15">
        <v>50000</v>
      </c>
      <c r="H66" s="16">
        <v>35000</v>
      </c>
      <c r="I66" s="16">
        <v>40000</v>
      </c>
      <c r="J66" s="38">
        <v>40000</v>
      </c>
      <c r="K66" s="20">
        <f t="shared" si="0"/>
        <v>40285.714285714283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32000</v>
      </c>
      <c r="F70" s="15">
        <v>32000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31857.142857142859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28000</v>
      </c>
      <c r="G71" s="15">
        <v>28000</v>
      </c>
      <c r="H71" s="16">
        <v>26000</v>
      </c>
      <c r="I71" s="16">
        <v>28000</v>
      </c>
      <c r="J71" s="38">
        <v>28000</v>
      </c>
      <c r="K71" s="20">
        <f t="shared" si="0"/>
        <v>28000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32000</v>
      </c>
      <c r="F72" s="15">
        <v>35000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30714.285714285714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28000</v>
      </c>
      <c r="E73" s="26">
        <v>28000</v>
      </c>
      <c r="F73" s="54">
        <v>30000</v>
      </c>
      <c r="G73" s="19">
        <v>25000</v>
      </c>
      <c r="H73" s="16">
        <v>30000</v>
      </c>
      <c r="I73" s="23">
        <v>38000</v>
      </c>
      <c r="J73" s="52">
        <v>22000</v>
      </c>
      <c r="K73" s="20">
        <f t="shared" si="0"/>
        <v>28714.285714285714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13000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15000</v>
      </c>
      <c r="G81" s="15">
        <v>15000</v>
      </c>
      <c r="H81" s="16">
        <v>13000</v>
      </c>
      <c r="I81" s="51">
        <v>15000</v>
      </c>
      <c r="J81" s="38">
        <v>12000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8000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1000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1750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1000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1500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AE36-EC26-4BD8-ABC0-1179920C4ED7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120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32000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31142.857142857141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36833.333333333336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70000</v>
      </c>
      <c r="F29" s="54">
        <v>70000</v>
      </c>
      <c r="G29" s="19">
        <v>75000</v>
      </c>
      <c r="H29" s="16">
        <v>58000</v>
      </c>
      <c r="I29" s="23">
        <v>68000</v>
      </c>
      <c r="J29" s="25">
        <v>50000</v>
      </c>
      <c r="K29" s="20">
        <f t="shared" si="0"/>
        <v>65142.857142857145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36000</v>
      </c>
      <c r="J31" s="38">
        <v>40000</v>
      </c>
      <c r="K31" s="20">
        <f t="shared" si="0"/>
        <v>38571.428571428572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28000</v>
      </c>
      <c r="F34" s="15">
        <v>28000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24000</v>
      </c>
      <c r="E64" s="15">
        <v>30000</v>
      </c>
      <c r="F64" s="15">
        <v>32000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27285.714285714286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40000</v>
      </c>
      <c r="E66" s="15">
        <v>40000</v>
      </c>
      <c r="F66" s="15">
        <v>35000</v>
      </c>
      <c r="G66" s="15">
        <v>40000</v>
      </c>
      <c r="H66" s="16">
        <v>35000</v>
      </c>
      <c r="I66" s="16">
        <v>40000</v>
      </c>
      <c r="J66" s="38">
        <v>40000</v>
      </c>
      <c r="K66" s="20">
        <f t="shared" si="0"/>
        <v>38571.428571428572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32000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32285.714285714286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28000</v>
      </c>
      <c r="G71" s="15">
        <v>28000</v>
      </c>
      <c r="H71" s="16">
        <v>26000</v>
      </c>
      <c r="I71" s="16">
        <v>28000</v>
      </c>
      <c r="J71" s="38">
        <v>28000</v>
      </c>
      <c r="K71" s="20">
        <f t="shared" si="0"/>
        <v>28285.714285714286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34000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31000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28000</v>
      </c>
      <c r="E73" s="26">
        <v>30000</v>
      </c>
      <c r="F73" s="54">
        <v>30000</v>
      </c>
      <c r="G73" s="19">
        <v>25000</v>
      </c>
      <c r="H73" s="16">
        <v>30000</v>
      </c>
      <c r="I73" s="23">
        <v>38000</v>
      </c>
      <c r="J73" s="52">
        <v>22000</v>
      </c>
      <c r="K73" s="20">
        <f t="shared" si="0"/>
        <v>29000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15000</v>
      </c>
      <c r="G81" s="15">
        <v>15000</v>
      </c>
      <c r="H81" s="16">
        <v>13000</v>
      </c>
      <c r="I81" s="51">
        <v>15000</v>
      </c>
      <c r="J81" s="38">
        <v>12000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10285.714285714286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1000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1750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1000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1500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F9B-1029-4E1A-983E-FD2B8CD3191D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121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30000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30857.142857142859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36833.333333333336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68000</v>
      </c>
      <c r="J29" s="25">
        <v>50000</v>
      </c>
      <c r="K29" s="20">
        <f t="shared" si="0"/>
        <v>63714.285714285717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36000</v>
      </c>
      <c r="J31" s="38">
        <v>40000</v>
      </c>
      <c r="K31" s="20">
        <f t="shared" si="0"/>
        <v>38571.428571428572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28000</v>
      </c>
      <c r="F34" s="15">
        <v>27000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25714.285714285714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32000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27428.571428571428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48000</v>
      </c>
      <c r="E66" s="15">
        <v>40000</v>
      </c>
      <c r="F66" s="15">
        <v>40000</v>
      </c>
      <c r="G66" s="15">
        <v>40000</v>
      </c>
      <c r="H66" s="16">
        <v>30000</v>
      </c>
      <c r="I66" s="16">
        <v>40000</v>
      </c>
      <c r="J66" s="38">
        <v>40000</v>
      </c>
      <c r="K66" s="20">
        <f t="shared" si="0"/>
        <v>39714.285714285717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30000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32000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28000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28142.857142857141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32000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30714.285714285714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30000</v>
      </c>
      <c r="F73" s="54">
        <v>30000</v>
      </c>
      <c r="G73" s="19">
        <v>25000</v>
      </c>
      <c r="H73" s="16">
        <v>30000</v>
      </c>
      <c r="I73" s="23">
        <v>38000</v>
      </c>
      <c r="J73" s="52">
        <v>22000</v>
      </c>
      <c r="K73" s="20">
        <f t="shared" si="0"/>
        <v>30714.285714285714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13000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12000</v>
      </c>
      <c r="G81" s="15">
        <v>15000</v>
      </c>
      <c r="H81" s="16">
        <v>10000</v>
      </c>
      <c r="I81" s="51">
        <v>15000</v>
      </c>
      <c r="J81" s="38">
        <v>12000</v>
      </c>
      <c r="K81" s="20">
        <f t="shared" ref="K81:K88" si="1">AVERAGE(D81:J81)</f>
        <v>13428.571428571429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FB16-EC66-4B10-94FF-755E6DB6B903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122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30000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30857.142857142859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35000</v>
      </c>
      <c r="K27" s="20">
        <f t="shared" si="0"/>
        <v>36833.333333333336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50000</v>
      </c>
      <c r="K29" s="20">
        <f t="shared" si="0"/>
        <v>62285.714285714283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36000</v>
      </c>
      <c r="J31" s="38">
        <v>40000</v>
      </c>
      <c r="K31" s="20">
        <f t="shared" si="0"/>
        <v>38571.428571428572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28000</v>
      </c>
      <c r="F34" s="15">
        <v>27000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28000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26857.142857142859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30600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48000</v>
      </c>
      <c r="E66" s="15">
        <v>40000</v>
      </c>
      <c r="F66" s="15">
        <v>25000</v>
      </c>
      <c r="G66" s="15">
        <v>40000</v>
      </c>
      <c r="H66" s="16">
        <v>30000</v>
      </c>
      <c r="I66" s="16">
        <v>40000</v>
      </c>
      <c r="J66" s="38">
        <v>40000</v>
      </c>
      <c r="K66" s="20">
        <f t="shared" si="0"/>
        <v>37571.428571428572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32000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32285.714285714286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30000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28428.571428571428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32000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30714.285714285714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30000</v>
      </c>
      <c r="F73" s="54">
        <v>30000</v>
      </c>
      <c r="G73" s="19">
        <v>25000</v>
      </c>
      <c r="H73" s="16">
        <v>30000</v>
      </c>
      <c r="I73" s="23">
        <v>38000</v>
      </c>
      <c r="J73" s="52">
        <v>22000</v>
      </c>
      <c r="K73" s="20">
        <f t="shared" si="0"/>
        <v>30714.285714285714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15000</v>
      </c>
      <c r="G81" s="15">
        <v>15000</v>
      </c>
      <c r="H81" s="16">
        <v>10000</v>
      </c>
      <c r="I81" s="51">
        <v>15000</v>
      </c>
      <c r="J81" s="38">
        <v>12000</v>
      </c>
      <c r="K81" s="20">
        <f t="shared" ref="K81:K88" si="1">AVERAGE(D81:J81)</f>
        <v>13857.142857142857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700-DCB1-446F-B100-FFCBEC3F0736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123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13000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32000</v>
      </c>
      <c r="E25" s="15">
        <v>30000</v>
      </c>
      <c r="F25" s="15">
        <v>30000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30857.142857142859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63714.285714285717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36000</v>
      </c>
      <c r="J31" s="38">
        <v>35000</v>
      </c>
      <c r="K31" s="20">
        <f t="shared" si="0"/>
        <v>37857.142857142855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27000</v>
      </c>
      <c r="I34" s="16">
        <v>27000</v>
      </c>
      <c r="J34" s="38">
        <v>26500</v>
      </c>
      <c r="K34" s="20">
        <f t="shared" si="0"/>
        <v>26928.571428571428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28000</v>
      </c>
      <c r="G64" s="15">
        <v>30000</v>
      </c>
      <c r="H64" s="16">
        <v>20000</v>
      </c>
      <c r="I64" s="16">
        <v>30000</v>
      </c>
      <c r="J64" s="38">
        <v>25000</v>
      </c>
      <c r="K64" s="20">
        <f t="shared" si="0"/>
        <v>26857.142857142859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29600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48000</v>
      </c>
      <c r="E66" s="15">
        <v>30000</v>
      </c>
      <c r="F66" s="15">
        <v>25000</v>
      </c>
      <c r="G66" s="15">
        <v>40000</v>
      </c>
      <c r="H66" s="16">
        <v>30000</v>
      </c>
      <c r="I66" s="16">
        <v>40000</v>
      </c>
      <c r="J66" s="38">
        <v>40000</v>
      </c>
      <c r="K66" s="20">
        <f t="shared" si="0"/>
        <v>36142.857142857145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34000</v>
      </c>
      <c r="F70" s="15">
        <v>32000</v>
      </c>
      <c r="G70" s="15">
        <v>33000</v>
      </c>
      <c r="H70" s="16">
        <v>29000</v>
      </c>
      <c r="I70" s="16">
        <v>35000</v>
      </c>
      <c r="J70" s="38">
        <v>30000</v>
      </c>
      <c r="K70" s="20">
        <f t="shared" si="0"/>
        <v>32142.857142857141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30000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28428.571428571428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32000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30714.285714285714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36000</v>
      </c>
      <c r="F73" s="54">
        <v>30000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31142.857142857141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15000</v>
      </c>
      <c r="G81" s="15">
        <v>15000</v>
      </c>
      <c r="H81" s="16">
        <v>10000</v>
      </c>
      <c r="I81" s="51">
        <v>15000</v>
      </c>
      <c r="J81" s="38">
        <v>12000</v>
      </c>
      <c r="K81" s="20">
        <f t="shared" ref="K81:K88" si="1">AVERAGE(D81:J81)</f>
        <v>13857.142857142857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A9BC-81BF-4A4E-B8BB-61EB36C863E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124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30000</v>
      </c>
      <c r="E25" s="15">
        <v>30000</v>
      </c>
      <c r="F25" s="15">
        <v>30000</v>
      </c>
      <c r="G25" s="15">
        <v>30000</v>
      </c>
      <c r="H25" s="38">
        <v>32000</v>
      </c>
      <c r="I25" s="16">
        <v>30000</v>
      </c>
      <c r="J25" s="38">
        <v>32000</v>
      </c>
      <c r="K25" s="20">
        <f t="shared" si="0"/>
        <v>30571.428571428572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72000</v>
      </c>
      <c r="J29" s="25">
        <v>60000</v>
      </c>
      <c r="K29" s="20">
        <f t="shared" si="0"/>
        <v>64285.714285714283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36000</v>
      </c>
      <c r="J31" s="38">
        <v>35000</v>
      </c>
      <c r="K31" s="20">
        <f t="shared" si="0"/>
        <v>37857.142857142855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26000</v>
      </c>
      <c r="I34" s="16">
        <v>27000</v>
      </c>
      <c r="J34" s="38">
        <v>26500</v>
      </c>
      <c r="K34" s="20">
        <f t="shared" si="0"/>
        <v>26785.714285714286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25000</v>
      </c>
      <c r="G64" s="15">
        <v>30000</v>
      </c>
      <c r="H64" s="16">
        <v>23000</v>
      </c>
      <c r="I64" s="16">
        <v>30000</v>
      </c>
      <c r="J64" s="38">
        <v>25000</v>
      </c>
      <c r="K64" s="20">
        <f t="shared" si="0"/>
        <v>26857.142857142859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30000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30000</v>
      </c>
      <c r="E66" s="15">
        <v>30000</v>
      </c>
      <c r="F66" s="15">
        <v>25000</v>
      </c>
      <c r="G66" s="15">
        <v>40000</v>
      </c>
      <c r="H66" s="16">
        <v>23000</v>
      </c>
      <c r="I66" s="16">
        <v>40000</v>
      </c>
      <c r="J66" s="38">
        <v>40000</v>
      </c>
      <c r="K66" s="20">
        <f t="shared" si="0"/>
        <v>32571.428571428572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34000</v>
      </c>
      <c r="F70" s="15">
        <v>32000</v>
      </c>
      <c r="G70" s="15">
        <v>33000</v>
      </c>
      <c r="H70" s="16">
        <v>28000</v>
      </c>
      <c r="I70" s="16">
        <v>35000</v>
      </c>
      <c r="J70" s="38">
        <v>30000</v>
      </c>
      <c r="K70" s="20">
        <f t="shared" si="0"/>
        <v>32000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30000</v>
      </c>
      <c r="G71" s="15">
        <v>28000</v>
      </c>
      <c r="H71" s="16">
        <v>24000</v>
      </c>
      <c r="I71" s="16">
        <v>28000</v>
      </c>
      <c r="J71" s="38">
        <v>28000</v>
      </c>
      <c r="K71" s="20">
        <f t="shared" si="0"/>
        <v>28285.714285714286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32000</v>
      </c>
      <c r="G72" s="15">
        <v>35000</v>
      </c>
      <c r="H72" s="16">
        <v>25000</v>
      </c>
      <c r="I72" s="16">
        <v>32000</v>
      </c>
      <c r="J72" s="38">
        <v>25000</v>
      </c>
      <c r="K72" s="20">
        <f t="shared" si="0"/>
        <v>30571.428571428572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36000</v>
      </c>
      <c r="F73" s="54">
        <v>30000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31142.857142857141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15000</v>
      </c>
      <c r="G81" s="15">
        <v>15000</v>
      </c>
      <c r="H81" s="16">
        <v>15000</v>
      </c>
      <c r="I81" s="51">
        <v>15000</v>
      </c>
      <c r="J81" s="38">
        <v>12000</v>
      </c>
      <c r="K81" s="20">
        <f t="shared" ref="K81:K88" si="1">AVERAGE(D81:J81)</f>
        <v>14571.428571428571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DB74-AE00-4B7B-B18E-5BF94EFB264B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125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15428.571428571429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31000</v>
      </c>
      <c r="E25" s="15">
        <v>31000</v>
      </c>
      <c r="F25" s="15">
        <v>33000</v>
      </c>
      <c r="G25" s="15">
        <v>31000</v>
      </c>
      <c r="H25" s="38">
        <v>33000</v>
      </c>
      <c r="I25" s="16">
        <v>32000</v>
      </c>
      <c r="J25" s="38">
        <v>32000</v>
      </c>
      <c r="K25" s="20">
        <f t="shared" si="0"/>
        <v>31857.142857142859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72000</v>
      </c>
      <c r="J29" s="25">
        <v>60000</v>
      </c>
      <c r="K29" s="20">
        <f t="shared" si="0"/>
        <v>64285.714285714283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37000</v>
      </c>
      <c r="J31" s="38">
        <v>35000</v>
      </c>
      <c r="K31" s="20">
        <f t="shared" si="0"/>
        <v>38000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27000</v>
      </c>
      <c r="I34" s="16">
        <v>27000</v>
      </c>
      <c r="J34" s="38">
        <v>26500</v>
      </c>
      <c r="K34" s="20">
        <f t="shared" si="0"/>
        <v>26928.571428571428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25000</v>
      </c>
      <c r="G64" s="15">
        <v>30000</v>
      </c>
      <c r="H64" s="16">
        <v>25000</v>
      </c>
      <c r="I64" s="16">
        <v>30000</v>
      </c>
      <c r="J64" s="38">
        <v>25000</v>
      </c>
      <c r="K64" s="20">
        <f t="shared" si="0"/>
        <v>27142.857142857141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29600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30000</v>
      </c>
      <c r="E66" s="15">
        <v>30000</v>
      </c>
      <c r="F66" s="15">
        <v>30000</v>
      </c>
      <c r="G66" s="15">
        <v>40000</v>
      </c>
      <c r="H66" s="16">
        <v>25000</v>
      </c>
      <c r="I66" s="16">
        <v>35000</v>
      </c>
      <c r="J66" s="38">
        <v>25000</v>
      </c>
      <c r="K66" s="20">
        <f t="shared" si="0"/>
        <v>30714.285714285714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34000</v>
      </c>
      <c r="F70" s="15">
        <v>30000</v>
      </c>
      <c r="G70" s="15">
        <v>33000</v>
      </c>
      <c r="H70" s="16">
        <v>30000</v>
      </c>
      <c r="I70" s="16">
        <v>35000</v>
      </c>
      <c r="J70" s="38">
        <v>30000</v>
      </c>
      <c r="K70" s="20">
        <f t="shared" si="0"/>
        <v>32000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28000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28142.857142857141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35000</v>
      </c>
      <c r="E72" s="15">
        <v>35000</v>
      </c>
      <c r="F72" s="15">
        <v>30000</v>
      </c>
      <c r="G72" s="15">
        <v>35000</v>
      </c>
      <c r="H72" s="16">
        <v>26000</v>
      </c>
      <c r="I72" s="16">
        <v>32000</v>
      </c>
      <c r="J72" s="38">
        <v>25000</v>
      </c>
      <c r="K72" s="20">
        <f t="shared" si="0"/>
        <v>31142.857142857141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35000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32428.571428571428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14000</v>
      </c>
      <c r="H79" s="16">
        <v>10000</v>
      </c>
      <c r="I79" s="24">
        <v>13000</v>
      </c>
      <c r="J79" s="38">
        <v>12000</v>
      </c>
      <c r="K79" s="20">
        <f t="shared" si="0"/>
        <v>12857.142857142857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18000</v>
      </c>
      <c r="G81" s="15">
        <v>15000</v>
      </c>
      <c r="H81" s="16">
        <v>15000</v>
      </c>
      <c r="I81" s="51">
        <v>15000</v>
      </c>
      <c r="J81" s="38">
        <v>12000</v>
      </c>
      <c r="K81" s="20">
        <f t="shared" ref="K81:K88" si="1">AVERAGE(D81:J81)</f>
        <v>15000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7000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6:A17"/>
    <mergeCell ref="A19:A20"/>
    <mergeCell ref="A21:A25"/>
    <mergeCell ref="A26:A32"/>
    <mergeCell ref="A33:A35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59A6-EB7D-41C0-8B15-214F592F651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126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31000</v>
      </c>
      <c r="E25" s="15">
        <v>31000</v>
      </c>
      <c r="F25" s="15">
        <v>32000</v>
      </c>
      <c r="G25" s="15">
        <v>32000</v>
      </c>
      <c r="H25" s="38">
        <v>35000</v>
      </c>
      <c r="I25" s="16">
        <v>32000</v>
      </c>
      <c r="J25" s="38">
        <v>34000</v>
      </c>
      <c r="K25" s="20">
        <f t="shared" si="0"/>
        <v>32428.571428571428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72000</v>
      </c>
      <c r="J29" s="25">
        <v>60000</v>
      </c>
      <c r="K29" s="20">
        <f t="shared" si="0"/>
        <v>64285.714285714283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37000</v>
      </c>
      <c r="J31" s="38">
        <v>35000</v>
      </c>
      <c r="K31" s="20">
        <f t="shared" si="0"/>
        <v>38000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26000</v>
      </c>
      <c r="I34" s="16">
        <v>26000</v>
      </c>
      <c r="J34" s="38">
        <v>26500</v>
      </c>
      <c r="K34" s="20">
        <f t="shared" si="0"/>
        <v>26642.857142857141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25000</v>
      </c>
      <c r="E64" s="15">
        <v>30000</v>
      </c>
      <c r="F64" s="15">
        <v>25000</v>
      </c>
      <c r="G64" s="15">
        <v>30000</v>
      </c>
      <c r="H64" s="16">
        <v>25000</v>
      </c>
      <c r="I64" s="16">
        <v>30000</v>
      </c>
      <c r="J64" s="38">
        <v>25000</v>
      </c>
      <c r="K64" s="20">
        <f t="shared" si="0"/>
        <v>27142.857142857141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29600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30000</v>
      </c>
      <c r="E66" s="15">
        <v>30000</v>
      </c>
      <c r="F66" s="15">
        <v>28000</v>
      </c>
      <c r="G66" s="15">
        <v>40000</v>
      </c>
      <c r="H66" s="16">
        <v>20000</v>
      </c>
      <c r="I66" s="16">
        <v>35000</v>
      </c>
      <c r="J66" s="38">
        <v>25000</v>
      </c>
      <c r="K66" s="20">
        <f t="shared" si="0"/>
        <v>29714.285714285714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34000</v>
      </c>
      <c r="F70" s="15">
        <v>30000</v>
      </c>
      <c r="G70" s="15">
        <v>33000</v>
      </c>
      <c r="H70" s="16">
        <v>30000</v>
      </c>
      <c r="I70" s="16">
        <v>35000</v>
      </c>
      <c r="J70" s="38">
        <v>30000</v>
      </c>
      <c r="K70" s="20">
        <f t="shared" si="0"/>
        <v>32000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32000</v>
      </c>
      <c r="F71" s="15">
        <v>28000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28142.857142857141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35000</v>
      </c>
      <c r="E72" s="15">
        <v>35000</v>
      </c>
      <c r="F72" s="15">
        <v>29000</v>
      </c>
      <c r="G72" s="15">
        <v>35000</v>
      </c>
      <c r="H72" s="16">
        <v>28000</v>
      </c>
      <c r="I72" s="16">
        <v>32000</v>
      </c>
      <c r="J72" s="38">
        <v>25000</v>
      </c>
      <c r="K72" s="20">
        <f t="shared" si="0"/>
        <v>31285.714285714286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30000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31714.285714285714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7000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15000</v>
      </c>
      <c r="G81" s="15">
        <v>20000</v>
      </c>
      <c r="H81" s="16">
        <v>15000</v>
      </c>
      <c r="I81" s="51">
        <v>18000</v>
      </c>
      <c r="J81" s="38">
        <v>14000</v>
      </c>
      <c r="K81" s="20">
        <f t="shared" ref="K81:K88" si="1">AVERAGE(D81:J81)</f>
        <v>16000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54AB-5B0B-404E-8176-C5DE6D58AAF4}">
  <dimension ref="A1:N92"/>
  <sheetViews>
    <sheetView workbookViewId="0">
      <selection activeCell="A7" sqref="A7:C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127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/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31000</v>
      </c>
      <c r="E25" s="15">
        <v>32000</v>
      </c>
      <c r="F25" s="15">
        <v>32000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f t="shared" si="0"/>
        <v>32428.571428571428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72000</v>
      </c>
      <c r="J29" s="25">
        <v>60000</v>
      </c>
      <c r="K29" s="20">
        <f t="shared" si="0"/>
        <v>64285.714285714283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37000</v>
      </c>
      <c r="J31" s="38">
        <v>35000</v>
      </c>
      <c r="K31" s="20">
        <f t="shared" si="0"/>
        <v>38000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26000</v>
      </c>
      <c r="I34" s="16">
        <v>26000</v>
      </c>
      <c r="J34" s="38">
        <v>26500</v>
      </c>
      <c r="K34" s="20">
        <f t="shared" si="0"/>
        <v>26642.857142857141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26000</v>
      </c>
      <c r="E64" s="15">
        <v>30000</v>
      </c>
      <c r="F64" s="15">
        <v>25000</v>
      </c>
      <c r="G64" s="15">
        <v>30000</v>
      </c>
      <c r="H64" s="16">
        <v>27000</v>
      </c>
      <c r="I64" s="16">
        <v>30000</v>
      </c>
      <c r="J64" s="38">
        <v>25000</v>
      </c>
      <c r="K64" s="20">
        <f t="shared" si="0"/>
        <v>27571.428571428572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29600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40000</v>
      </c>
      <c r="F66" s="15">
        <v>30000</v>
      </c>
      <c r="G66" s="15">
        <v>40000</v>
      </c>
      <c r="H66" s="16">
        <v>25000</v>
      </c>
      <c r="I66" s="16">
        <v>35000</v>
      </c>
      <c r="J66" s="38">
        <v>25000</v>
      </c>
      <c r="K66" s="20">
        <f t="shared" si="0"/>
        <v>31857.142857142859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38000</v>
      </c>
      <c r="F70" s="15">
        <v>32000</v>
      </c>
      <c r="G70" s="15">
        <v>33000</v>
      </c>
      <c r="H70" s="16">
        <v>30000</v>
      </c>
      <c r="I70" s="16">
        <v>35000</v>
      </c>
      <c r="J70" s="38">
        <v>30000</v>
      </c>
      <c r="K70" s="20">
        <f t="shared" si="0"/>
        <v>32571.428571428572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35000</v>
      </c>
      <c r="F71" s="15">
        <v>29000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28714.285714285714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31000</v>
      </c>
      <c r="G72" s="15">
        <v>35000</v>
      </c>
      <c r="H72" s="16">
        <v>30000</v>
      </c>
      <c r="I72" s="16">
        <v>32000</v>
      </c>
      <c r="J72" s="38">
        <v>25000</v>
      </c>
      <c r="K72" s="20">
        <f t="shared" si="0"/>
        <v>31142.857142857141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30000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31714.285714285714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8285.7142857142862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13000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f t="shared" si="0"/>
        <v>14142.857142857143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15000</v>
      </c>
      <c r="G81" s="15">
        <v>20000</v>
      </c>
      <c r="H81" s="16">
        <v>13000</v>
      </c>
      <c r="I81" s="51">
        <v>18000</v>
      </c>
      <c r="J81" s="38">
        <v>14000</v>
      </c>
      <c r="K81" s="20">
        <f t="shared" ref="K81:K88" si="1">AVERAGE(D81:J81)</f>
        <v>15714.285714285714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10857.142857142857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6:A17"/>
    <mergeCell ref="A7:A12"/>
    <mergeCell ref="A13:A15"/>
    <mergeCell ref="A19:A20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1846-4AF0-41DC-8B3B-75D2E4824DD9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128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15000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31000</v>
      </c>
      <c r="E25" s="15">
        <v>32000</v>
      </c>
      <c r="F25" s="15">
        <v>30000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f t="shared" si="0"/>
        <v>32142.857142857141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38000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63285.714285714283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27000</v>
      </c>
      <c r="H34" s="16">
        <v>26000</v>
      </c>
      <c r="I34" s="16">
        <v>26000</v>
      </c>
      <c r="J34" s="38">
        <v>26500</v>
      </c>
      <c r="K34" s="20">
        <f t="shared" si="0"/>
        <v>26642.857142857141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29571.428571428572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26000</v>
      </c>
      <c r="E64" s="15">
        <v>30000</v>
      </c>
      <c r="F64" s="15">
        <v>25000</v>
      </c>
      <c r="G64" s="15">
        <v>30000</v>
      </c>
      <c r="H64" s="16">
        <v>25000</v>
      </c>
      <c r="I64" s="16">
        <v>30000</v>
      </c>
      <c r="J64" s="38">
        <v>25000</v>
      </c>
      <c r="K64" s="20">
        <f t="shared" si="0"/>
        <v>27285.714285714286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30000</v>
      </c>
      <c r="F65" s="15">
        <v>28000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29600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35000</v>
      </c>
      <c r="F66" s="15">
        <v>28000</v>
      </c>
      <c r="G66" s="15">
        <v>40000</v>
      </c>
      <c r="H66" s="16">
        <v>20000</v>
      </c>
      <c r="I66" s="16">
        <v>35000</v>
      </c>
      <c r="J66" s="38">
        <v>18000</v>
      </c>
      <c r="K66" s="20">
        <f t="shared" si="0"/>
        <v>29142.857142857141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38000</v>
      </c>
      <c r="F70" s="15">
        <v>30000</v>
      </c>
      <c r="G70" s="15">
        <v>33000</v>
      </c>
      <c r="H70" s="16">
        <v>30000</v>
      </c>
      <c r="I70" s="16">
        <v>35000</v>
      </c>
      <c r="J70" s="38">
        <v>32000</v>
      </c>
      <c r="K70" s="20">
        <f t="shared" si="0"/>
        <v>32571.428571428572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35000</v>
      </c>
      <c r="F71" s="15">
        <v>30000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28857.142857142859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28000</v>
      </c>
      <c r="G72" s="15">
        <v>35000</v>
      </c>
      <c r="H72" s="16">
        <v>30000</v>
      </c>
      <c r="I72" s="16">
        <v>32000</v>
      </c>
      <c r="J72" s="38">
        <v>28000</v>
      </c>
      <c r="K72" s="20">
        <f t="shared" si="0"/>
        <v>31142.857142857141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35000</v>
      </c>
      <c r="F73" s="54">
        <v>30000</v>
      </c>
      <c r="G73" s="19">
        <v>25000</v>
      </c>
      <c r="H73" s="16">
        <v>20000</v>
      </c>
      <c r="I73" s="23">
        <v>35000</v>
      </c>
      <c r="J73" s="52">
        <v>22000</v>
      </c>
      <c r="K73" s="20">
        <f t="shared" si="0"/>
        <v>29571.428571428572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8285.7142857142862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14000</v>
      </c>
      <c r="F79" s="15">
        <v>15000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15000</v>
      </c>
      <c r="F81" s="15">
        <v>14000</v>
      </c>
      <c r="G81" s="15">
        <v>20000</v>
      </c>
      <c r="H81" s="16">
        <v>9000</v>
      </c>
      <c r="I81" s="51">
        <v>18000</v>
      </c>
      <c r="J81" s="38">
        <v>14000</v>
      </c>
      <c r="K81" s="20">
        <f t="shared" ref="K81:K88" si="1">AVERAGE(D81:J81)</f>
        <v>15000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10000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63:A66"/>
    <mergeCell ref="A69:A73"/>
    <mergeCell ref="J4:J6"/>
    <mergeCell ref="H4:H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062-2693-41C3-B097-F47CA014F996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129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33000</v>
      </c>
      <c r="E25" s="15">
        <v>32000</v>
      </c>
      <c r="F25" s="15">
        <v>34000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f t="shared" si="0"/>
        <v>33000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38000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30000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63285.714285714283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26000</v>
      </c>
      <c r="E34" s="15">
        <v>27000</v>
      </c>
      <c r="F34" s="15">
        <v>26000</v>
      </c>
      <c r="G34" s="15">
        <v>27000</v>
      </c>
      <c r="H34" s="16">
        <v>26000</v>
      </c>
      <c r="I34" s="16">
        <v>26000</v>
      </c>
      <c r="J34" s="38">
        <v>26500</v>
      </c>
      <c r="K34" s="20">
        <f t="shared" si="0"/>
        <v>26357.142857142859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35000</v>
      </c>
      <c r="F64" s="15">
        <v>30000</v>
      </c>
      <c r="G64" s="15">
        <v>30000</v>
      </c>
      <c r="H64" s="16">
        <v>25000</v>
      </c>
      <c r="I64" s="16">
        <v>30000</v>
      </c>
      <c r="J64" s="38">
        <v>25000</v>
      </c>
      <c r="K64" s="20">
        <f t="shared" si="0"/>
        <v>29000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30000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25000</v>
      </c>
      <c r="G66" s="15">
        <v>40000</v>
      </c>
      <c r="H66" s="16">
        <v>20000</v>
      </c>
      <c r="I66" s="16">
        <v>35000</v>
      </c>
      <c r="J66" s="38">
        <v>28000</v>
      </c>
      <c r="K66" s="20">
        <f t="shared" si="0"/>
        <v>29428.571428571428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34000</v>
      </c>
      <c r="F70" s="15">
        <v>32000</v>
      </c>
      <c r="G70" s="15">
        <v>33000</v>
      </c>
      <c r="H70" s="16">
        <v>30000</v>
      </c>
      <c r="I70" s="16">
        <v>35000</v>
      </c>
      <c r="J70" s="38">
        <v>32000</v>
      </c>
      <c r="K70" s="20">
        <f t="shared" si="0"/>
        <v>32285.714285714286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28000</v>
      </c>
      <c r="H71" s="16">
        <v>25000</v>
      </c>
      <c r="I71" s="16">
        <v>28000</v>
      </c>
      <c r="J71" s="38">
        <v>28000</v>
      </c>
      <c r="K71" s="20">
        <f t="shared" si="0"/>
        <v>28142.857142857141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35000</v>
      </c>
      <c r="G72" s="15">
        <v>35000</v>
      </c>
      <c r="H72" s="16">
        <v>28000</v>
      </c>
      <c r="I72" s="16">
        <v>32000</v>
      </c>
      <c r="J72" s="38">
        <v>28000</v>
      </c>
      <c r="K72" s="20">
        <f t="shared" si="0"/>
        <v>31857.142857142859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25000</v>
      </c>
      <c r="H73" s="16">
        <v>30000</v>
      </c>
      <c r="I73" s="23">
        <v>35000</v>
      </c>
      <c r="J73" s="52">
        <v>22000</v>
      </c>
      <c r="K73" s="20">
        <f t="shared" si="0"/>
        <v>33142.857142857145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f t="shared" si="0"/>
        <v>8285.7142857142862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15000</v>
      </c>
      <c r="G81" s="15">
        <v>20000</v>
      </c>
      <c r="H81" s="16">
        <v>8000</v>
      </c>
      <c r="I81" s="51">
        <v>18000</v>
      </c>
      <c r="J81" s="38">
        <v>14000</v>
      </c>
      <c r="K81" s="20">
        <f t="shared" ref="K81:K88" si="1">AVERAGE(D81:J81)</f>
        <v>15285.714285714286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C0B-7CF0-4138-8313-09721F8166DB}">
  <dimension ref="A1:W92"/>
  <sheetViews>
    <sheetView workbookViewId="0">
      <selection sqref="A1:XFD1048576"/>
    </sheetView>
  </sheetViews>
  <sheetFormatPr defaultRowHeight="15" x14ac:dyDescent="0.25"/>
  <cols>
    <col min="1" max="1" width="4.625" customWidth="1"/>
    <col min="2" max="2" width="18.375" customWidth="1"/>
    <col min="4" max="11" width="10.875" customWidth="1"/>
  </cols>
  <sheetData>
    <row r="1" spans="1:23" ht="15.75" x14ac:dyDescent="0.25">
      <c r="A1" s="188" t="s">
        <v>83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94"/>
      <c r="M1" s="95"/>
      <c r="N1" s="95"/>
      <c r="O1" s="94"/>
      <c r="P1" s="94"/>
      <c r="Q1" s="94"/>
      <c r="R1" s="94"/>
      <c r="S1" s="94"/>
      <c r="T1" s="94"/>
      <c r="U1" s="94"/>
      <c r="V1" s="94"/>
      <c r="W1" s="94"/>
    </row>
    <row r="2" spans="1:23" ht="15.75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94"/>
      <c r="M2" s="95"/>
      <c r="N2" s="95"/>
      <c r="O2" s="94"/>
      <c r="P2" s="94"/>
      <c r="Q2" s="94"/>
      <c r="R2" s="94"/>
      <c r="S2" s="94"/>
      <c r="T2" s="94"/>
      <c r="U2" s="94"/>
      <c r="V2" s="94"/>
      <c r="W2" s="94"/>
    </row>
    <row r="3" spans="1:23" ht="16.5" thickBot="1" x14ac:dyDescent="0.3">
      <c r="A3" s="159" t="s">
        <v>130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L3" s="94"/>
      <c r="M3" s="95"/>
      <c r="N3" s="95"/>
      <c r="O3" s="94"/>
      <c r="P3" s="94"/>
      <c r="Q3" s="94"/>
      <c r="R3" s="94"/>
      <c r="S3" s="94"/>
      <c r="T3" s="94"/>
      <c r="U3" s="94"/>
      <c r="V3" s="94"/>
      <c r="W3" s="94"/>
    </row>
    <row r="4" spans="1:23" ht="15.75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L4" s="94"/>
      <c r="M4" s="95"/>
      <c r="N4" s="95"/>
      <c r="O4" s="94"/>
      <c r="P4" s="94"/>
      <c r="Q4" s="94"/>
      <c r="R4" s="94"/>
      <c r="S4" s="94"/>
      <c r="T4" s="94"/>
      <c r="U4" s="94"/>
      <c r="V4" s="94"/>
      <c r="W4" s="94"/>
    </row>
    <row r="5" spans="1:23" ht="15.75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L5" s="94"/>
      <c r="M5" s="95"/>
      <c r="N5" s="95"/>
      <c r="O5" s="94"/>
      <c r="P5" s="94"/>
      <c r="Q5" s="94"/>
      <c r="R5" s="94"/>
      <c r="S5" s="94"/>
      <c r="T5" s="94"/>
      <c r="U5" s="94"/>
      <c r="V5" s="94"/>
      <c r="W5" s="94"/>
    </row>
    <row r="6" spans="1:23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L6" s="94"/>
      <c r="M6" s="95"/>
      <c r="N6" s="95"/>
      <c r="O6" s="94"/>
      <c r="P6" s="94"/>
      <c r="Q6" s="94"/>
      <c r="R6" s="94"/>
      <c r="S6" s="94"/>
      <c r="T6" s="94"/>
      <c r="U6" s="94"/>
      <c r="V6" s="94"/>
      <c r="W6" s="94"/>
    </row>
    <row r="7" spans="1:23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L7" s="94"/>
      <c r="M7" s="95"/>
      <c r="N7" s="95"/>
      <c r="O7" s="94"/>
      <c r="P7" s="94"/>
      <c r="Q7" s="94"/>
      <c r="R7" s="94"/>
      <c r="S7" s="94"/>
      <c r="T7" s="94"/>
      <c r="U7" s="94"/>
      <c r="V7" s="94"/>
      <c r="W7" s="94"/>
    </row>
    <row r="8" spans="1:23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v>13357.142857142857</v>
      </c>
      <c r="L8" s="96"/>
      <c r="M8" s="97"/>
      <c r="N8" s="95"/>
      <c r="O8" s="94"/>
      <c r="P8" s="94"/>
      <c r="Q8" s="94"/>
      <c r="R8" s="94"/>
      <c r="S8" s="94"/>
      <c r="T8" s="94"/>
      <c r="U8" s="94"/>
      <c r="V8" s="94"/>
      <c r="W8" s="94"/>
    </row>
    <row r="9" spans="1:23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v>9750</v>
      </c>
      <c r="L9" s="94"/>
      <c r="M9" s="95"/>
      <c r="N9" s="95"/>
      <c r="O9" s="94"/>
      <c r="P9" s="94"/>
      <c r="Q9" s="94"/>
      <c r="R9" s="94"/>
      <c r="S9" s="94"/>
      <c r="T9" s="94"/>
      <c r="U9" s="94"/>
      <c r="V9" s="94"/>
      <c r="W9" s="94"/>
    </row>
    <row r="10" spans="1:23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v>11333.333333333334</v>
      </c>
      <c r="L10" s="94"/>
      <c r="M10" s="95"/>
      <c r="N10" s="95"/>
      <c r="O10" s="94"/>
      <c r="P10" s="94"/>
      <c r="Q10" s="94"/>
      <c r="R10" s="94"/>
      <c r="S10" s="94"/>
      <c r="T10" s="94"/>
      <c r="U10" s="94"/>
      <c r="V10" s="94"/>
      <c r="W10" s="94"/>
    </row>
    <row r="11" spans="1:23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v>10600</v>
      </c>
      <c r="L11" s="94"/>
      <c r="M11" s="95"/>
      <c r="N11" s="95"/>
      <c r="O11" s="94"/>
      <c r="P11" s="94"/>
      <c r="Q11" s="94"/>
      <c r="R11" s="94"/>
      <c r="S11" s="94"/>
      <c r="T11" s="94"/>
      <c r="U11" s="94"/>
      <c r="V11" s="94"/>
      <c r="W11" s="94"/>
    </row>
    <row r="12" spans="1:23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v>21000</v>
      </c>
      <c r="L12" s="94"/>
      <c r="M12" s="95"/>
      <c r="N12" s="95"/>
      <c r="O12" s="94"/>
      <c r="P12" s="94"/>
      <c r="Q12" s="94"/>
      <c r="R12" s="94"/>
      <c r="S12" s="94"/>
      <c r="T12" s="94"/>
      <c r="U12" s="94"/>
      <c r="V12" s="94"/>
      <c r="W12" s="94"/>
    </row>
    <row r="13" spans="1:23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L13" s="94"/>
      <c r="M13" s="95"/>
      <c r="N13" s="98"/>
      <c r="O13" s="94"/>
      <c r="P13" s="94"/>
      <c r="Q13" s="94"/>
      <c r="R13" s="94"/>
      <c r="S13" s="94"/>
      <c r="T13" s="94"/>
      <c r="U13" s="94"/>
      <c r="V13" s="94"/>
      <c r="W13" s="94"/>
    </row>
    <row r="14" spans="1:23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v>13142.857142857143</v>
      </c>
      <c r="L14" s="94"/>
      <c r="M14" s="95"/>
      <c r="N14" s="95"/>
      <c r="O14" s="94"/>
      <c r="P14" s="94"/>
      <c r="Q14" s="94"/>
      <c r="R14" s="94"/>
      <c r="S14" s="94"/>
      <c r="T14" s="94"/>
      <c r="U14" s="94"/>
      <c r="V14" s="94"/>
      <c r="W14" s="94"/>
    </row>
    <row r="15" spans="1:23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v>15714.285714285714</v>
      </c>
      <c r="L15" s="94"/>
      <c r="M15" s="95"/>
      <c r="N15" s="95"/>
      <c r="O15" s="94"/>
      <c r="P15" s="94"/>
      <c r="Q15" s="94"/>
      <c r="R15" s="94"/>
      <c r="S15" s="94"/>
      <c r="T15" s="94"/>
      <c r="U15" s="94"/>
      <c r="V15" s="94"/>
      <c r="W15" s="94"/>
    </row>
    <row r="16" spans="1:23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L16" s="94"/>
      <c r="M16" s="95"/>
      <c r="N16" s="95"/>
      <c r="O16" s="94"/>
      <c r="P16" s="94"/>
      <c r="Q16" s="94"/>
      <c r="R16" s="94"/>
      <c r="S16" s="94"/>
      <c r="T16" s="94"/>
      <c r="U16" s="94"/>
      <c r="V16" s="94"/>
      <c r="W16" s="94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v>15500</v>
      </c>
      <c r="L17" s="94"/>
      <c r="M17" s="95"/>
      <c r="N17" s="9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v>14000</v>
      </c>
      <c r="L18" s="94"/>
      <c r="M18" s="95"/>
      <c r="N18" s="9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L19" s="94"/>
      <c r="M19" s="95"/>
      <c r="N19" s="95"/>
    </row>
    <row r="20" spans="1:14" ht="15.75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v>21250</v>
      </c>
      <c r="L20" s="94"/>
      <c r="M20" s="95"/>
      <c r="N20" s="9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L21" s="94"/>
      <c r="M21" s="95"/>
      <c r="N21" s="9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v>118571.42857142857</v>
      </c>
      <c r="L22" s="94"/>
      <c r="M22" s="95"/>
      <c r="N22" s="9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v>109142.85714285714</v>
      </c>
      <c r="L23" s="94"/>
      <c r="M23" s="95"/>
      <c r="N23" s="9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v>99166.666666666672</v>
      </c>
      <c r="L24" s="94"/>
      <c r="M24" s="95"/>
      <c r="N24" s="95"/>
    </row>
    <row r="25" spans="1:14" ht="15.75" x14ac:dyDescent="0.25">
      <c r="A25" s="140"/>
      <c r="B25" s="13" t="s">
        <v>18</v>
      </c>
      <c r="C25" s="14" t="s">
        <v>5</v>
      </c>
      <c r="D25" s="21">
        <v>33000</v>
      </c>
      <c r="E25" s="15">
        <v>32000</v>
      </c>
      <c r="F25" s="15">
        <v>34000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v>33000</v>
      </c>
      <c r="L25" s="94"/>
      <c r="M25" s="95"/>
      <c r="N25" s="9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L26" s="94"/>
      <c r="M26" s="95"/>
      <c r="N26" s="9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v>38000</v>
      </c>
      <c r="L27" s="94"/>
      <c r="M27" s="95"/>
      <c r="N27" s="9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v>30000</v>
      </c>
      <c r="L28" s="94" t="s">
        <v>95</v>
      </c>
      <c r="M28" s="95"/>
      <c r="N28" s="9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v>63285.714285714283</v>
      </c>
      <c r="L29" s="94"/>
      <c r="M29" s="95"/>
      <c r="N29" s="9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v>24600</v>
      </c>
      <c r="L30" s="94"/>
      <c r="M30" s="95"/>
      <c r="N30" s="9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v>38428.571428571428</v>
      </c>
      <c r="L31" s="94"/>
      <c r="M31" s="95"/>
      <c r="N31" s="9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v>96666.666666666672</v>
      </c>
      <c r="L32" s="94"/>
      <c r="M32" s="95"/>
      <c r="N32" s="9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L33" s="94"/>
      <c r="M33" s="95"/>
      <c r="N33" s="95"/>
    </row>
    <row r="34" spans="1:14" ht="15.75" x14ac:dyDescent="0.25">
      <c r="A34" s="139"/>
      <c r="B34" s="13" t="s">
        <v>27</v>
      </c>
      <c r="C34" s="14" t="s">
        <v>5</v>
      </c>
      <c r="D34" s="21">
        <v>26000</v>
      </c>
      <c r="E34" s="15">
        <v>27000</v>
      </c>
      <c r="F34" s="15">
        <v>26000</v>
      </c>
      <c r="G34" s="15">
        <v>26000</v>
      </c>
      <c r="H34" s="16">
        <v>26000</v>
      </c>
      <c r="I34" s="16">
        <v>26000</v>
      </c>
      <c r="J34" s="38">
        <v>26500</v>
      </c>
      <c r="K34" s="20">
        <v>26214.285714285714</v>
      </c>
      <c r="L34" s="94"/>
      <c r="M34" s="95"/>
      <c r="N34" s="9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v>2385.7142857142858</v>
      </c>
      <c r="L35" s="94"/>
      <c r="M35" s="95"/>
      <c r="N35" s="9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L36" s="94"/>
      <c r="M36" s="95"/>
      <c r="N36" s="9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v>11142.857142857143</v>
      </c>
      <c r="L37" s="94"/>
      <c r="M37" s="95"/>
      <c r="N37" s="9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v>12200</v>
      </c>
      <c r="L38" s="94"/>
      <c r="M38" s="95"/>
      <c r="N38" s="9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L39" s="94"/>
      <c r="M39" s="95"/>
      <c r="N39" s="9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v>15600</v>
      </c>
      <c r="L40" s="94"/>
      <c r="M40" s="95"/>
      <c r="N40" s="9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v>6833.333333333333</v>
      </c>
      <c r="L41" s="94"/>
      <c r="M41" s="95"/>
      <c r="N41" s="9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v>2000</v>
      </c>
      <c r="L42" s="94"/>
      <c r="M42" s="95"/>
      <c r="N42" s="9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L43" s="94"/>
      <c r="M43" s="95"/>
      <c r="N43" s="9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v>12333.333333333334</v>
      </c>
      <c r="L44" s="94"/>
      <c r="M44" s="95"/>
      <c r="N44" s="9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v>12500</v>
      </c>
      <c r="L45" s="94"/>
      <c r="M45" s="95"/>
      <c r="N45" s="9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L46" s="94"/>
      <c r="M46" s="95"/>
      <c r="N46" s="9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v>17500</v>
      </c>
      <c r="L47" s="94"/>
      <c r="M47" s="95"/>
      <c r="N47" s="9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v>2000</v>
      </c>
      <c r="L48" s="94"/>
      <c r="M48" s="95"/>
      <c r="N48" s="9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L49" s="94"/>
      <c r="M49" s="95"/>
      <c r="N49" s="9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v>9285.7142857142862</v>
      </c>
      <c r="L50" s="94"/>
      <c r="M50" s="95"/>
      <c r="N50" s="9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v>8166.666666666667</v>
      </c>
      <c r="L51" s="94"/>
      <c r="M51" s="95"/>
      <c r="N51" s="9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L52" s="94"/>
      <c r="M52" s="95"/>
      <c r="N52" s="9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v>4000</v>
      </c>
      <c r="L53" s="94"/>
      <c r="M53" s="95"/>
      <c r="N53" s="9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L54" s="94"/>
      <c r="M54" s="95"/>
      <c r="N54" s="9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v>11357.142857142857</v>
      </c>
      <c r="L55" s="94"/>
      <c r="M55" s="95"/>
      <c r="N55" s="9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L56" s="94"/>
      <c r="M56" s="95"/>
      <c r="N56" s="9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v>16333.333333333334</v>
      </c>
      <c r="L57" s="94"/>
      <c r="M57" s="95"/>
      <c r="N57" s="9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v>14166.666666666666</v>
      </c>
      <c r="L58" s="94"/>
      <c r="M58" s="95" t="s">
        <v>97</v>
      </c>
      <c r="N58" s="9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v>26000</v>
      </c>
      <c r="L59" s="94"/>
      <c r="M59" s="95"/>
      <c r="N59" s="99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v>29428.571428571428</v>
      </c>
      <c r="L60" s="94"/>
      <c r="M60" s="95"/>
      <c r="N60" s="9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L61" s="94"/>
      <c r="M61" s="95"/>
      <c r="N61" s="9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v>3200</v>
      </c>
      <c r="L62" s="94"/>
      <c r="M62" s="95"/>
      <c r="N62" s="9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L63" s="94"/>
      <c r="M63" s="95"/>
      <c r="N63" s="9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35000</v>
      </c>
      <c r="F64" s="15">
        <v>30000</v>
      </c>
      <c r="G64" s="15">
        <v>35000</v>
      </c>
      <c r="H64" s="16">
        <v>25000</v>
      </c>
      <c r="I64" s="16">
        <v>30000</v>
      </c>
      <c r="J64" s="38">
        <v>25000</v>
      </c>
      <c r="K64" s="20">
        <v>29714.285714285714</v>
      </c>
      <c r="L64" s="94"/>
      <c r="M64" s="95"/>
      <c r="N64" s="9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35000</v>
      </c>
      <c r="H65" s="71" t="s">
        <v>94</v>
      </c>
      <c r="I65" s="51">
        <v>30000</v>
      </c>
      <c r="J65" s="52" t="s">
        <v>94</v>
      </c>
      <c r="K65" s="20">
        <v>32000</v>
      </c>
      <c r="L65" s="94"/>
      <c r="M65" s="95"/>
      <c r="N65" s="9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25000</v>
      </c>
      <c r="G66" s="15">
        <v>40000</v>
      </c>
      <c r="H66" s="16">
        <v>20000</v>
      </c>
      <c r="I66" s="16">
        <v>35000</v>
      </c>
      <c r="J66" s="38">
        <v>28000</v>
      </c>
      <c r="K66" s="20">
        <v>29428.571428571428</v>
      </c>
      <c r="L66" s="94"/>
      <c r="M66" s="95"/>
      <c r="N66" s="9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L67" s="94"/>
      <c r="M67" s="95"/>
      <c r="N67" s="9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v>18166.666666666668</v>
      </c>
      <c r="L68" s="94"/>
      <c r="M68" s="95"/>
      <c r="N68" s="9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L69" s="94"/>
      <c r="M69" s="95"/>
      <c r="N69" s="9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34000</v>
      </c>
      <c r="F70" s="15">
        <v>32000</v>
      </c>
      <c r="G70" s="15">
        <v>35000</v>
      </c>
      <c r="H70" s="16">
        <v>30000</v>
      </c>
      <c r="I70" s="16">
        <v>35000</v>
      </c>
      <c r="J70" s="38">
        <v>32000</v>
      </c>
      <c r="K70" s="20">
        <v>32571.428571428572</v>
      </c>
      <c r="L70" s="94"/>
      <c r="M70" s="95"/>
      <c r="N70" s="9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30000</v>
      </c>
      <c r="H71" s="16">
        <v>25000</v>
      </c>
      <c r="I71" s="16">
        <v>28000</v>
      </c>
      <c r="J71" s="38">
        <v>28000</v>
      </c>
      <c r="K71" s="20">
        <v>28428.571428571428</v>
      </c>
      <c r="L71" s="94"/>
      <c r="M71" s="95"/>
      <c r="N71" s="9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35000</v>
      </c>
      <c r="G72" s="15">
        <v>35000</v>
      </c>
      <c r="H72" s="16">
        <v>28000</v>
      </c>
      <c r="I72" s="16">
        <v>32000</v>
      </c>
      <c r="J72" s="38">
        <v>28000</v>
      </c>
      <c r="K72" s="20">
        <v>31857.142857142859</v>
      </c>
      <c r="L72" s="94"/>
      <c r="M72" s="95"/>
      <c r="N72" s="9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40000</v>
      </c>
      <c r="H73" s="16">
        <v>30000</v>
      </c>
      <c r="I73" s="23">
        <v>35000</v>
      </c>
      <c r="J73" s="52">
        <v>22000</v>
      </c>
      <c r="K73" s="20">
        <v>35285.714285714283</v>
      </c>
      <c r="L73" s="94"/>
      <c r="M73" s="95"/>
      <c r="N73" s="9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L74" s="94"/>
      <c r="M74" s="95"/>
      <c r="N74" s="9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v>5714.2857142857147</v>
      </c>
      <c r="L75" s="94"/>
      <c r="M75" s="95"/>
      <c r="N75" s="9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v>6166.666666666667</v>
      </c>
      <c r="L76" s="94"/>
      <c r="M76" s="95"/>
      <c r="N76" s="9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L77" s="94"/>
      <c r="M77" s="95"/>
      <c r="N77" s="9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v>8285.7142857142862</v>
      </c>
      <c r="L78" s="94"/>
      <c r="M78" s="95"/>
      <c r="N78" s="9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v>14571.428571428571</v>
      </c>
      <c r="L79" s="94"/>
      <c r="M79" s="95"/>
      <c r="N79" s="9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v>15428.571428571429</v>
      </c>
      <c r="L80" s="94"/>
      <c r="M80" s="95"/>
      <c r="N80" s="9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15000</v>
      </c>
      <c r="G81" s="15">
        <v>20000</v>
      </c>
      <c r="H81" s="16">
        <v>8000</v>
      </c>
      <c r="I81" s="51">
        <v>18000</v>
      </c>
      <c r="J81" s="38">
        <v>14000</v>
      </c>
      <c r="K81" s="20">
        <v>15285.714285714286</v>
      </c>
      <c r="L81" s="94"/>
      <c r="M81" s="95"/>
      <c r="N81" s="9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v>11142.857142857143</v>
      </c>
      <c r="L82" s="94"/>
      <c r="M82" s="95"/>
      <c r="N82" s="9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v>9000</v>
      </c>
      <c r="L83" s="94"/>
      <c r="M83" s="95"/>
      <c r="N83" s="9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v>1916.6666666666667</v>
      </c>
      <c r="L84" s="94"/>
      <c r="M84" s="95"/>
      <c r="N84" s="9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v>1666.6666666666667</v>
      </c>
      <c r="L85" s="94"/>
      <c r="M85" s="95"/>
      <c r="N85" s="9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v>2000</v>
      </c>
      <c r="L86" s="94"/>
      <c r="M86" s="95"/>
      <c r="N86" s="9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L87" s="94"/>
      <c r="M87" s="95"/>
      <c r="N87" s="9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v>18000</v>
      </c>
      <c r="L88" s="94"/>
      <c r="M88" s="95"/>
      <c r="N88" s="95"/>
    </row>
    <row r="89" spans="1:14" ht="15.75" x14ac:dyDescent="0.25">
      <c r="A89" s="94"/>
      <c r="B89" s="94"/>
      <c r="C89" s="94"/>
      <c r="D89" s="94"/>
      <c r="E89" s="100"/>
      <c r="F89" s="94"/>
      <c r="G89" s="94"/>
      <c r="H89" s="94"/>
      <c r="I89" s="94"/>
      <c r="J89" s="101"/>
      <c r="K89" s="94"/>
      <c r="L89" s="94"/>
      <c r="M89" s="95"/>
      <c r="N89" s="95"/>
    </row>
    <row r="90" spans="1:14" ht="15.75" x14ac:dyDescent="0.25">
      <c r="A90" s="94"/>
      <c r="B90" s="85"/>
      <c r="C90" s="94"/>
      <c r="D90" s="94"/>
      <c r="E90" s="94"/>
      <c r="F90" s="94"/>
      <c r="G90" s="94"/>
      <c r="H90" s="94"/>
      <c r="I90" s="94"/>
      <c r="J90" s="101"/>
      <c r="K90" s="94"/>
      <c r="L90" s="94"/>
      <c r="M90" s="95"/>
      <c r="N90" s="95"/>
    </row>
    <row r="91" spans="1:14" ht="15.75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101"/>
      <c r="K91" s="94"/>
      <c r="L91" s="94"/>
      <c r="M91" s="95"/>
      <c r="N91" s="95"/>
    </row>
    <row r="92" spans="1:14" ht="15.75" x14ac:dyDescent="0.25">
      <c r="A92" s="95"/>
      <c r="B92" s="95"/>
      <c r="C92" s="95"/>
      <c r="D92" s="99"/>
      <c r="E92" s="95"/>
      <c r="F92" s="95"/>
      <c r="G92" s="95"/>
      <c r="H92" s="95"/>
      <c r="I92" s="95"/>
      <c r="J92" s="98"/>
      <c r="K92" s="95"/>
      <c r="L92" s="95"/>
      <c r="M92" s="95"/>
      <c r="N92" s="95"/>
    </row>
  </sheetData>
  <mergeCells count="28">
    <mergeCell ref="A54:A55"/>
    <mergeCell ref="A56:A60"/>
    <mergeCell ref="A26:A32"/>
    <mergeCell ref="A33:A35"/>
    <mergeCell ref="A43:A45"/>
    <mergeCell ref="A46:A48"/>
    <mergeCell ref="A52:A53"/>
    <mergeCell ref="A13:A15"/>
    <mergeCell ref="A16:A17"/>
    <mergeCell ref="E4:E6"/>
    <mergeCell ref="A19:A20"/>
    <mergeCell ref="A21:A25"/>
    <mergeCell ref="A63:A66"/>
    <mergeCell ref="A69:A73"/>
    <mergeCell ref="A1:K1"/>
    <mergeCell ref="A2:K2"/>
    <mergeCell ref="A3:K3"/>
    <mergeCell ref="A4:A6"/>
    <mergeCell ref="B4:B6"/>
    <mergeCell ref="C4:C6"/>
    <mergeCell ref="F4:F6"/>
    <mergeCell ref="K4:K6"/>
    <mergeCell ref="J4:J6"/>
    <mergeCell ref="H4:H6"/>
    <mergeCell ref="I4:I6"/>
    <mergeCell ref="G4:G6"/>
    <mergeCell ref="D4:D6"/>
    <mergeCell ref="A7:A1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B33-9CEA-4277-A1BC-EA793E714A2C}">
  <dimension ref="A1:W92"/>
  <sheetViews>
    <sheetView workbookViewId="0">
      <selection activeCell="A54" sqref="A1:XFD1048576"/>
    </sheetView>
  </sheetViews>
  <sheetFormatPr defaultRowHeight="15" x14ac:dyDescent="0.25"/>
  <cols>
    <col min="1" max="1" width="6.125" customWidth="1"/>
    <col min="2" max="2" width="19.25" customWidth="1"/>
    <col min="4" max="11" width="12.375" customWidth="1"/>
  </cols>
  <sheetData>
    <row r="1" spans="1:23" ht="15.75" x14ac:dyDescent="0.25">
      <c r="A1" s="188" t="s">
        <v>83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94"/>
      <c r="M1" s="95"/>
      <c r="N1" s="95"/>
      <c r="O1" s="94"/>
      <c r="P1" s="94"/>
      <c r="Q1" s="94"/>
      <c r="R1" s="94"/>
      <c r="S1" s="94"/>
      <c r="T1" s="94"/>
      <c r="U1" s="94"/>
      <c r="V1" s="94"/>
      <c r="W1" s="94"/>
    </row>
    <row r="2" spans="1:23" ht="15.75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94"/>
      <c r="M2" s="95"/>
      <c r="N2" s="95"/>
      <c r="O2" s="94"/>
      <c r="P2" s="94"/>
      <c r="Q2" s="94"/>
      <c r="R2" s="94"/>
      <c r="S2" s="94"/>
      <c r="T2" s="94"/>
      <c r="U2" s="94"/>
      <c r="V2" s="94"/>
      <c r="W2" s="94"/>
    </row>
    <row r="3" spans="1:23" ht="16.5" thickBot="1" x14ac:dyDescent="0.3">
      <c r="A3" s="159" t="s">
        <v>131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L3" s="94"/>
      <c r="M3" s="95"/>
      <c r="N3" s="95"/>
      <c r="O3" s="94"/>
      <c r="P3" s="94"/>
      <c r="Q3" s="94"/>
      <c r="R3" s="94"/>
      <c r="S3" s="94"/>
      <c r="T3" s="94"/>
      <c r="U3" s="94"/>
      <c r="V3" s="94"/>
      <c r="W3" s="94"/>
    </row>
    <row r="4" spans="1:23" ht="15.75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L4" s="94"/>
      <c r="M4" s="95"/>
      <c r="N4" s="95"/>
      <c r="O4" s="94"/>
      <c r="P4" s="94"/>
      <c r="Q4" s="94"/>
      <c r="R4" s="94"/>
      <c r="S4" s="94"/>
      <c r="T4" s="94"/>
      <c r="U4" s="94"/>
      <c r="V4" s="94"/>
      <c r="W4" s="94"/>
    </row>
    <row r="5" spans="1:23" ht="15.75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L5" s="94"/>
      <c r="M5" s="95"/>
      <c r="N5" s="95"/>
      <c r="O5" s="94"/>
      <c r="P5" s="94"/>
      <c r="Q5" s="94"/>
      <c r="R5" s="94"/>
      <c r="S5" s="94"/>
      <c r="T5" s="94"/>
      <c r="U5" s="94"/>
      <c r="V5" s="94"/>
      <c r="W5" s="94"/>
    </row>
    <row r="6" spans="1:23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L6" s="94"/>
      <c r="M6" s="95"/>
      <c r="N6" s="95"/>
      <c r="O6" s="94"/>
      <c r="P6" s="94"/>
      <c r="Q6" s="94"/>
      <c r="R6" s="94"/>
      <c r="S6" s="94"/>
      <c r="T6" s="94"/>
      <c r="U6" s="94"/>
      <c r="V6" s="94"/>
      <c r="W6" s="94"/>
    </row>
    <row r="7" spans="1:23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L7" s="94"/>
      <c r="M7" s="95"/>
      <c r="N7" s="95"/>
      <c r="O7" s="94"/>
      <c r="P7" s="94"/>
      <c r="Q7" s="94"/>
      <c r="R7" s="94"/>
      <c r="S7" s="94"/>
      <c r="T7" s="94"/>
      <c r="U7" s="94"/>
      <c r="V7" s="94"/>
      <c r="W7" s="94"/>
    </row>
    <row r="8" spans="1:23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v>13357.142857142857</v>
      </c>
      <c r="L8" s="96"/>
      <c r="M8" s="97"/>
      <c r="N8" s="95"/>
      <c r="O8" s="94"/>
      <c r="P8" s="94"/>
      <c r="Q8" s="94"/>
      <c r="R8" s="94"/>
      <c r="S8" s="94"/>
      <c r="T8" s="94"/>
      <c r="U8" s="94"/>
      <c r="V8" s="94"/>
      <c r="W8" s="94"/>
    </row>
    <row r="9" spans="1:23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v>9750</v>
      </c>
      <c r="L9" s="94"/>
      <c r="M9" s="95"/>
      <c r="N9" s="95"/>
      <c r="O9" s="94"/>
      <c r="P9" s="94"/>
      <c r="Q9" s="94"/>
      <c r="R9" s="94"/>
      <c r="S9" s="94"/>
      <c r="T9" s="94"/>
      <c r="U9" s="94"/>
      <c r="V9" s="94"/>
      <c r="W9" s="94"/>
    </row>
    <row r="10" spans="1:23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v>11333.333333333334</v>
      </c>
      <c r="L10" s="94"/>
      <c r="M10" s="95"/>
      <c r="N10" s="95"/>
      <c r="O10" s="94"/>
      <c r="P10" s="94"/>
      <c r="Q10" s="94"/>
      <c r="R10" s="94"/>
      <c r="S10" s="94"/>
      <c r="T10" s="94"/>
      <c r="U10" s="94"/>
      <c r="V10" s="94"/>
      <c r="W10" s="94"/>
    </row>
    <row r="11" spans="1:23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v>10600</v>
      </c>
      <c r="L11" s="94"/>
      <c r="M11" s="95"/>
      <c r="N11" s="95"/>
      <c r="O11" s="94"/>
      <c r="P11" s="94"/>
      <c r="Q11" s="94"/>
      <c r="R11" s="94"/>
      <c r="S11" s="94"/>
      <c r="T11" s="94"/>
      <c r="U11" s="94"/>
      <c r="V11" s="94"/>
      <c r="W11" s="94"/>
    </row>
    <row r="12" spans="1:23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v>21000</v>
      </c>
      <c r="L12" s="94"/>
      <c r="M12" s="95"/>
      <c r="N12" s="95"/>
      <c r="O12" s="94"/>
      <c r="P12" s="94"/>
      <c r="Q12" s="94"/>
      <c r="R12" s="94"/>
      <c r="S12" s="94"/>
      <c r="T12" s="94"/>
      <c r="U12" s="94"/>
      <c r="V12" s="94"/>
      <c r="W12" s="94"/>
    </row>
    <row r="13" spans="1:23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L13" s="94"/>
      <c r="M13" s="95"/>
      <c r="N13" s="98"/>
      <c r="O13" s="94"/>
      <c r="P13" s="94"/>
      <c r="Q13" s="94"/>
      <c r="R13" s="94"/>
      <c r="S13" s="94"/>
      <c r="T13" s="94"/>
      <c r="U13" s="94"/>
      <c r="V13" s="94"/>
      <c r="W13" s="94"/>
    </row>
    <row r="14" spans="1:23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v>13142.857142857143</v>
      </c>
      <c r="L14" s="94"/>
      <c r="M14" s="95"/>
      <c r="N14" s="95"/>
      <c r="O14" s="94"/>
      <c r="P14" s="94"/>
      <c r="Q14" s="94"/>
      <c r="R14" s="94"/>
      <c r="S14" s="94"/>
      <c r="T14" s="94"/>
      <c r="U14" s="94"/>
      <c r="V14" s="94"/>
      <c r="W14" s="94"/>
    </row>
    <row r="15" spans="1:23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v>15714.285714285714</v>
      </c>
      <c r="L15" s="94"/>
      <c r="M15" s="95"/>
      <c r="N15" s="95"/>
      <c r="O15" s="94"/>
      <c r="P15" s="94"/>
      <c r="Q15" s="94"/>
      <c r="R15" s="94"/>
      <c r="S15" s="94"/>
      <c r="T15" s="94"/>
      <c r="U15" s="94"/>
      <c r="V15" s="94"/>
      <c r="W15" s="94"/>
    </row>
    <row r="16" spans="1:23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L16" s="94"/>
      <c r="M16" s="95"/>
      <c r="N16" s="95"/>
      <c r="O16" s="94"/>
      <c r="P16" s="94"/>
      <c r="Q16" s="94"/>
      <c r="R16" s="94"/>
      <c r="S16" s="94"/>
      <c r="T16" s="94"/>
      <c r="U16" s="94"/>
      <c r="V16" s="94"/>
      <c r="W16" s="94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v>15500</v>
      </c>
      <c r="L17" s="94"/>
      <c r="M17" s="95"/>
      <c r="N17" s="9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v>14000</v>
      </c>
      <c r="L18" s="94"/>
      <c r="M18" s="95"/>
      <c r="N18" s="9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L19" s="94"/>
      <c r="M19" s="95"/>
      <c r="N19" s="95"/>
    </row>
    <row r="20" spans="1:14" ht="15.75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v>21250</v>
      </c>
      <c r="L20" s="94"/>
      <c r="M20" s="95"/>
      <c r="N20" s="9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L21" s="94"/>
      <c r="M21" s="95"/>
      <c r="N21" s="9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v>118571.42857142857</v>
      </c>
      <c r="L22" s="94"/>
      <c r="M22" s="95"/>
      <c r="N22" s="9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v>109142.85714285714</v>
      </c>
      <c r="L23" s="94"/>
      <c r="M23" s="95"/>
      <c r="N23" s="9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v>99166.666666666672</v>
      </c>
      <c r="L24" s="94"/>
      <c r="M24" s="95"/>
      <c r="N24" s="95"/>
    </row>
    <row r="25" spans="1:14" ht="15.75" x14ac:dyDescent="0.25">
      <c r="A25" s="140"/>
      <c r="B25" s="13" t="s">
        <v>18</v>
      </c>
      <c r="C25" s="14" t="s">
        <v>5</v>
      </c>
      <c r="D25" s="21">
        <v>33000</v>
      </c>
      <c r="E25" s="15">
        <v>32000</v>
      </c>
      <c r="F25" s="15">
        <v>33000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v>32857.142857142855</v>
      </c>
      <c r="L25" s="94"/>
      <c r="M25" s="95"/>
      <c r="N25" s="9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L26" s="94"/>
      <c r="M26" s="95"/>
      <c r="N26" s="9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42000</v>
      </c>
      <c r="J27" s="38">
        <v>40000</v>
      </c>
      <c r="K27" s="20">
        <v>38333.333333333336</v>
      </c>
      <c r="L27" s="94"/>
      <c r="M27" s="95"/>
      <c r="N27" s="9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v>30000</v>
      </c>
      <c r="L28" s="94" t="s">
        <v>95</v>
      </c>
      <c r="M28" s="95"/>
      <c r="N28" s="9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v>63285.714285714283</v>
      </c>
      <c r="L29" s="94"/>
      <c r="M29" s="95"/>
      <c r="N29" s="9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v>24600</v>
      </c>
      <c r="L30" s="94"/>
      <c r="M30" s="95"/>
      <c r="N30" s="9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v>38428.571428571428</v>
      </c>
      <c r="L31" s="94"/>
      <c r="M31" s="95"/>
      <c r="N31" s="9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v>96666.666666666672</v>
      </c>
      <c r="L32" s="94"/>
      <c r="M32" s="95"/>
      <c r="N32" s="9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L33" s="94"/>
      <c r="M33" s="95"/>
      <c r="N33" s="95"/>
    </row>
    <row r="34" spans="1:14" ht="15.75" x14ac:dyDescent="0.25">
      <c r="A34" s="139"/>
      <c r="B34" s="13" t="s">
        <v>27</v>
      </c>
      <c r="C34" s="14" t="s">
        <v>5</v>
      </c>
      <c r="D34" s="21">
        <v>26000</v>
      </c>
      <c r="E34" s="15">
        <v>27000</v>
      </c>
      <c r="F34" s="15">
        <v>27000</v>
      </c>
      <c r="G34" s="15">
        <v>26000</v>
      </c>
      <c r="H34" s="16">
        <v>26000</v>
      </c>
      <c r="I34" s="16">
        <v>26000</v>
      </c>
      <c r="J34" s="38">
        <v>26500</v>
      </c>
      <c r="K34" s="20">
        <v>26357.142857142859</v>
      </c>
      <c r="L34" s="94"/>
      <c r="M34" s="95"/>
      <c r="N34" s="9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2000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v>2385.7142857142858</v>
      </c>
      <c r="L35" s="94"/>
      <c r="M35" s="95"/>
      <c r="N35" s="9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L36" s="94"/>
      <c r="M36" s="95"/>
      <c r="N36" s="9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v>11142.857142857143</v>
      </c>
      <c r="L37" s="94"/>
      <c r="M37" s="95"/>
      <c r="N37" s="9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v>12200</v>
      </c>
      <c r="L38" s="94"/>
      <c r="M38" s="95"/>
      <c r="N38" s="9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L39" s="94"/>
      <c r="M39" s="95"/>
      <c r="N39" s="9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v>15600</v>
      </c>
      <c r="L40" s="94"/>
      <c r="M40" s="95"/>
      <c r="N40" s="9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v>6833.333333333333</v>
      </c>
      <c r="L41" s="94"/>
      <c r="M41" s="95"/>
      <c r="N41" s="9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v>2000</v>
      </c>
      <c r="L42" s="94"/>
      <c r="M42" s="95"/>
      <c r="N42" s="9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L43" s="94"/>
      <c r="M43" s="95"/>
      <c r="N43" s="9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v>12333.333333333334</v>
      </c>
      <c r="L44" s="94"/>
      <c r="M44" s="95"/>
      <c r="N44" s="9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v>12500</v>
      </c>
      <c r="L45" s="94"/>
      <c r="M45" s="95"/>
      <c r="N45" s="9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L46" s="94"/>
      <c r="M46" s="95"/>
      <c r="N46" s="9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v>17500</v>
      </c>
      <c r="L47" s="94"/>
      <c r="M47" s="95"/>
      <c r="N47" s="9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v>2000</v>
      </c>
      <c r="L48" s="94"/>
      <c r="M48" s="95"/>
      <c r="N48" s="9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L49" s="94"/>
      <c r="M49" s="95"/>
      <c r="N49" s="9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v>9285.7142857142862</v>
      </c>
      <c r="L50" s="94"/>
      <c r="M50" s="95"/>
      <c r="N50" s="9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v>8166.666666666667</v>
      </c>
      <c r="L51" s="94"/>
      <c r="M51" s="95"/>
      <c r="N51" s="9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L52" s="94"/>
      <c r="M52" s="95"/>
      <c r="N52" s="9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v>4000</v>
      </c>
      <c r="L53" s="94"/>
      <c r="M53" s="95"/>
      <c r="N53" s="9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L54" s="94"/>
      <c r="M54" s="95"/>
      <c r="N54" s="9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v>11357.142857142857</v>
      </c>
      <c r="L55" s="94"/>
      <c r="M55" s="95"/>
      <c r="N55" s="9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L56" s="94"/>
      <c r="M56" s="95"/>
      <c r="N56" s="9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v>16333.333333333334</v>
      </c>
      <c r="L57" s="94"/>
      <c r="M57" s="95"/>
      <c r="N57" s="9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v>14166.666666666666</v>
      </c>
      <c r="L58" s="94"/>
      <c r="M58" s="95" t="s">
        <v>97</v>
      </c>
      <c r="N58" s="9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v>26000</v>
      </c>
      <c r="L59" s="94"/>
      <c r="M59" s="95"/>
      <c r="N59" s="99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v>29428.571428571428</v>
      </c>
      <c r="L60" s="94"/>
      <c r="M60" s="95"/>
      <c r="N60" s="9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L61" s="94"/>
      <c r="M61" s="95"/>
      <c r="N61" s="9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v>3200</v>
      </c>
      <c r="L62" s="94"/>
      <c r="M62" s="95"/>
      <c r="N62" s="9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L63" s="94"/>
      <c r="M63" s="95"/>
      <c r="N63" s="9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35000</v>
      </c>
      <c r="F64" s="15">
        <v>30000</v>
      </c>
      <c r="G64" s="15">
        <v>35000</v>
      </c>
      <c r="H64" s="16">
        <v>35000</v>
      </c>
      <c r="I64" s="16">
        <v>30000</v>
      </c>
      <c r="J64" s="38">
        <v>25000</v>
      </c>
      <c r="K64" s="20">
        <v>31142.857142857141</v>
      </c>
      <c r="L64" s="94"/>
      <c r="M64" s="95"/>
      <c r="N64" s="9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30000</v>
      </c>
      <c r="G65" s="15">
        <v>35000</v>
      </c>
      <c r="H65" s="71" t="s">
        <v>94</v>
      </c>
      <c r="I65" s="51">
        <v>30000</v>
      </c>
      <c r="J65" s="52" t="s">
        <v>94</v>
      </c>
      <c r="K65" s="20">
        <v>32000</v>
      </c>
      <c r="L65" s="94"/>
      <c r="M65" s="95"/>
      <c r="N65" s="9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35000</v>
      </c>
      <c r="G66" s="15">
        <v>40000</v>
      </c>
      <c r="H66" s="16">
        <v>20000</v>
      </c>
      <c r="I66" s="16">
        <v>35000</v>
      </c>
      <c r="J66" s="38">
        <v>28000</v>
      </c>
      <c r="K66" s="20">
        <v>30857.142857142859</v>
      </c>
      <c r="L66" s="94"/>
      <c r="M66" s="95"/>
      <c r="N66" s="9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L67" s="94"/>
      <c r="M67" s="95"/>
      <c r="N67" s="9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v>18166.666666666668</v>
      </c>
      <c r="L68" s="94"/>
      <c r="M68" s="95"/>
      <c r="N68" s="9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L69" s="94"/>
      <c r="M69" s="95"/>
      <c r="N69" s="9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34000</v>
      </c>
      <c r="F70" s="15">
        <v>32000</v>
      </c>
      <c r="G70" s="15">
        <v>35000</v>
      </c>
      <c r="H70" s="16">
        <v>30000</v>
      </c>
      <c r="I70" s="16">
        <v>35000</v>
      </c>
      <c r="J70" s="38">
        <v>32000</v>
      </c>
      <c r="K70" s="20">
        <v>32571.428571428572</v>
      </c>
      <c r="L70" s="94"/>
      <c r="M70" s="95"/>
      <c r="N70" s="9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30000</v>
      </c>
      <c r="H71" s="16">
        <v>25000</v>
      </c>
      <c r="I71" s="16">
        <v>28000</v>
      </c>
      <c r="J71" s="38">
        <v>28000</v>
      </c>
      <c r="K71" s="20">
        <v>28428.571428571428</v>
      </c>
      <c r="L71" s="94"/>
      <c r="M71" s="95"/>
      <c r="N71" s="9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35000</v>
      </c>
      <c r="G72" s="15">
        <v>35000</v>
      </c>
      <c r="H72" s="16">
        <v>30000</v>
      </c>
      <c r="I72" s="16">
        <v>32000</v>
      </c>
      <c r="J72" s="38">
        <v>28000</v>
      </c>
      <c r="K72" s="20">
        <v>32142.857142857141</v>
      </c>
      <c r="L72" s="94"/>
      <c r="M72" s="95"/>
      <c r="N72" s="9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40000</v>
      </c>
      <c r="H73" s="16">
        <v>30000</v>
      </c>
      <c r="I73" s="23">
        <v>35000</v>
      </c>
      <c r="J73" s="52">
        <v>22000</v>
      </c>
      <c r="K73" s="20">
        <v>35285.714285714283</v>
      </c>
      <c r="L73" s="94"/>
      <c r="M73" s="95"/>
      <c r="N73" s="9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L74" s="94"/>
      <c r="M74" s="95"/>
      <c r="N74" s="9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v>5714.2857142857147</v>
      </c>
      <c r="L75" s="94"/>
      <c r="M75" s="95"/>
      <c r="N75" s="9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v>6166.666666666667</v>
      </c>
      <c r="L76" s="94"/>
      <c r="M76" s="95"/>
      <c r="N76" s="9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L77" s="94"/>
      <c r="M77" s="95"/>
      <c r="N77" s="9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9000</v>
      </c>
      <c r="H78" s="16">
        <v>9000</v>
      </c>
      <c r="I78" s="24">
        <v>9000</v>
      </c>
      <c r="J78" s="38">
        <v>7000</v>
      </c>
      <c r="K78" s="20">
        <v>8285.7142857142862</v>
      </c>
      <c r="L78" s="94"/>
      <c r="M78" s="95"/>
      <c r="N78" s="9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19000</v>
      </c>
      <c r="G79" s="15">
        <v>20000</v>
      </c>
      <c r="H79" s="16">
        <v>10000</v>
      </c>
      <c r="I79" s="24">
        <v>15000</v>
      </c>
      <c r="J79" s="38">
        <v>15000</v>
      </c>
      <c r="K79" s="20">
        <v>15142.857142857143</v>
      </c>
      <c r="L79" s="94"/>
      <c r="M79" s="95"/>
      <c r="N79" s="9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17000</v>
      </c>
      <c r="G80" s="15">
        <v>17000</v>
      </c>
      <c r="H80" s="16">
        <v>15000</v>
      </c>
      <c r="I80" s="16">
        <v>16000</v>
      </c>
      <c r="J80" s="38">
        <v>14000</v>
      </c>
      <c r="K80" s="20">
        <v>15571.428571428571</v>
      </c>
      <c r="L80" s="94"/>
      <c r="M80" s="95"/>
      <c r="N80" s="9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15000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v>15571.428571428571</v>
      </c>
      <c r="L81" s="94"/>
      <c r="M81" s="95"/>
      <c r="N81" s="9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12000</v>
      </c>
      <c r="F82" s="15">
        <v>14000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v>11428.571428571429</v>
      </c>
      <c r="L82" s="94"/>
      <c r="M82" s="95"/>
      <c r="N82" s="9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v>9000</v>
      </c>
      <c r="L83" s="94"/>
      <c r="M83" s="95"/>
      <c r="N83" s="9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v>1916.6666666666667</v>
      </c>
      <c r="L84" s="94"/>
      <c r="M84" s="95"/>
      <c r="N84" s="9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v>1666.6666666666667</v>
      </c>
      <c r="L85" s="94"/>
      <c r="M85" s="95"/>
      <c r="N85" s="9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v>2000</v>
      </c>
      <c r="L86" s="94"/>
      <c r="M86" s="95"/>
      <c r="N86" s="9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L87" s="94"/>
      <c r="M87" s="95"/>
      <c r="N87" s="9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v>18000</v>
      </c>
      <c r="L88" s="94"/>
      <c r="M88" s="95"/>
      <c r="N88" s="95"/>
    </row>
    <row r="89" spans="1:14" ht="15.75" x14ac:dyDescent="0.25">
      <c r="A89" s="94"/>
      <c r="B89" s="94"/>
      <c r="C89" s="94"/>
      <c r="D89" s="94"/>
      <c r="E89" s="100"/>
      <c r="F89" s="94"/>
      <c r="G89" s="94"/>
      <c r="H89" s="94"/>
      <c r="I89" s="94"/>
      <c r="J89" s="101"/>
      <c r="K89" s="94"/>
      <c r="L89" s="94"/>
      <c r="M89" s="95"/>
      <c r="N89" s="95"/>
    </row>
    <row r="90" spans="1:14" ht="15.75" x14ac:dyDescent="0.25">
      <c r="A90" s="94"/>
      <c r="B90" s="85"/>
      <c r="C90" s="94"/>
      <c r="D90" s="94"/>
      <c r="E90" s="94"/>
      <c r="F90" s="94"/>
      <c r="G90" s="94"/>
      <c r="H90" s="94"/>
      <c r="I90" s="94"/>
      <c r="J90" s="101"/>
      <c r="K90" s="94"/>
      <c r="L90" s="94"/>
      <c r="M90" s="95"/>
      <c r="N90" s="95"/>
    </row>
    <row r="91" spans="1:14" ht="15.75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101"/>
      <c r="K91" s="94"/>
      <c r="L91" s="94"/>
      <c r="M91" s="95"/>
      <c r="N91" s="95"/>
    </row>
    <row r="92" spans="1:14" ht="15.75" x14ac:dyDescent="0.25">
      <c r="A92" s="95"/>
      <c r="B92" s="95"/>
      <c r="C92" s="95"/>
      <c r="D92" s="99"/>
      <c r="E92" s="95"/>
      <c r="F92" s="95"/>
      <c r="G92" s="95"/>
      <c r="H92" s="95"/>
      <c r="I92" s="95"/>
      <c r="J92" s="98"/>
      <c r="K92" s="95"/>
      <c r="L92" s="95"/>
      <c r="M92" s="95"/>
      <c r="N92" s="95"/>
    </row>
  </sheetData>
  <mergeCells count="28">
    <mergeCell ref="H4:H6"/>
    <mergeCell ref="A19:A20"/>
    <mergeCell ref="A21:A25"/>
    <mergeCell ref="A26:A32"/>
    <mergeCell ref="A33:A35"/>
    <mergeCell ref="A1:K1"/>
    <mergeCell ref="A2:K2"/>
    <mergeCell ref="A3:K3"/>
    <mergeCell ref="A16:A17"/>
    <mergeCell ref="A4:A6"/>
    <mergeCell ref="B4:B6"/>
    <mergeCell ref="I4:I6"/>
    <mergeCell ref="G4:G6"/>
    <mergeCell ref="K4:K6"/>
    <mergeCell ref="A7:A12"/>
    <mergeCell ref="A13:A15"/>
    <mergeCell ref="D4:D6"/>
    <mergeCell ref="E4:E6"/>
    <mergeCell ref="F4:F6"/>
    <mergeCell ref="C4:C6"/>
    <mergeCell ref="J4:J6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4A5-EA85-4C39-94A3-A580F5533CEF}">
  <dimension ref="A1:N92"/>
  <sheetViews>
    <sheetView workbookViewId="0">
      <selection activeCell="A46"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132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34000</v>
      </c>
      <c r="E25" s="15">
        <v>33000</v>
      </c>
      <c r="F25" s="15">
        <v>35000</v>
      </c>
      <c r="G25" s="15">
        <v>32000</v>
      </c>
      <c r="H25" s="38">
        <v>34000</v>
      </c>
      <c r="I25" s="16">
        <v>32000</v>
      </c>
      <c r="J25" s="38">
        <v>34000</v>
      </c>
      <c r="K25" s="20">
        <f t="shared" si="0"/>
        <v>33428.571428571428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42000</v>
      </c>
      <c r="J27" s="38">
        <v>40000</v>
      </c>
      <c r="K27" s="20">
        <f t="shared" si="0"/>
        <v>38333.333333333336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30000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63285.714285714283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27000</v>
      </c>
      <c r="G34" s="15">
        <v>26000</v>
      </c>
      <c r="H34" s="16">
        <v>26000</v>
      </c>
      <c r="I34" s="16">
        <v>26000</v>
      </c>
      <c r="J34" s="38">
        <v>26500</v>
      </c>
      <c r="K34" s="20">
        <f t="shared" si="0"/>
        <v>26500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50000</v>
      </c>
      <c r="F64" s="15">
        <v>30000</v>
      </c>
      <c r="G64" s="15">
        <v>40000</v>
      </c>
      <c r="H64" s="16">
        <v>35000</v>
      </c>
      <c r="I64" s="16">
        <v>30000</v>
      </c>
      <c r="J64" s="38">
        <v>50000</v>
      </c>
      <c r="K64" s="20">
        <f t="shared" si="0"/>
        <v>37571.428571428572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35000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34000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40000</v>
      </c>
      <c r="G66" s="15">
        <v>35000</v>
      </c>
      <c r="H66" s="16">
        <v>20000</v>
      </c>
      <c r="I66" s="16">
        <v>35000</v>
      </c>
      <c r="J66" s="38">
        <v>28000</v>
      </c>
      <c r="K66" s="20">
        <f t="shared" si="0"/>
        <v>30857.142857142859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35000</v>
      </c>
      <c r="F70" s="15">
        <v>32000</v>
      </c>
      <c r="G70" s="15">
        <v>35000</v>
      </c>
      <c r="H70" s="16">
        <v>30000</v>
      </c>
      <c r="I70" s="16">
        <v>35000</v>
      </c>
      <c r="J70" s="38">
        <v>32000</v>
      </c>
      <c r="K70" s="20">
        <f t="shared" si="0"/>
        <v>32714.285714285714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30000</v>
      </c>
      <c r="G71" s="15">
        <v>30000</v>
      </c>
      <c r="H71" s="16">
        <v>25000</v>
      </c>
      <c r="I71" s="16">
        <v>28000</v>
      </c>
      <c r="J71" s="38">
        <v>28000</v>
      </c>
      <c r="K71" s="20">
        <f t="shared" si="0"/>
        <v>28428.571428571428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35000</v>
      </c>
      <c r="G72" s="15">
        <v>35000</v>
      </c>
      <c r="H72" s="16">
        <v>30000</v>
      </c>
      <c r="I72" s="16">
        <v>32000</v>
      </c>
      <c r="J72" s="38">
        <v>32000</v>
      </c>
      <c r="K72" s="20">
        <f t="shared" si="0"/>
        <v>32714.285714285714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40000</v>
      </c>
      <c r="H73" s="16">
        <v>30000</v>
      </c>
      <c r="I73" s="23">
        <v>35000</v>
      </c>
      <c r="J73" s="52">
        <v>22000</v>
      </c>
      <c r="K73" s="20">
        <f t="shared" si="0"/>
        <v>35285.714285714283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8000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19000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17000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15000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15571.428571428571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12000</v>
      </c>
      <c r="F82" s="15">
        <v>14000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9:A20"/>
    <mergeCell ref="A7:A12"/>
    <mergeCell ref="A13:A15"/>
    <mergeCell ref="A16:A17"/>
    <mergeCell ref="D4:D6"/>
    <mergeCell ref="E4:E6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I4:I6"/>
    <mergeCell ref="G4:G6"/>
    <mergeCell ref="A56:A60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F646-9A39-403B-9859-586BE9A2A94A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133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>
        <v>9000</v>
      </c>
      <c r="J9" s="87">
        <v>9000</v>
      </c>
      <c r="K9" s="20">
        <f t="shared" ref="K9:K80" si="0">AVERAGE(D9:J9)</f>
        <v>9750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 t="s">
        <v>94</v>
      </c>
      <c r="J10" s="24" t="s">
        <v>94</v>
      </c>
      <c r="K10" s="20">
        <f t="shared" si="0"/>
        <v>11333.333333333334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118571.42857142857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109142.85714285714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99166.666666666672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34000</v>
      </c>
      <c r="E25" s="15">
        <v>33000</v>
      </c>
      <c r="F25" s="15">
        <v>34000</v>
      </c>
      <c r="G25" s="15">
        <v>32000</v>
      </c>
      <c r="H25" s="38">
        <v>36000</v>
      </c>
      <c r="I25" s="16">
        <v>34000</v>
      </c>
      <c r="J25" s="38">
        <v>34000</v>
      </c>
      <c r="K25" s="20">
        <f t="shared" si="0"/>
        <v>33857.142857142855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30285.714285714286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63285.714285714283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35000</v>
      </c>
      <c r="K31" s="20">
        <f t="shared" si="0"/>
        <v>38142.857142857145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26000</v>
      </c>
      <c r="G34" s="15">
        <v>26000</v>
      </c>
      <c r="H34" s="16">
        <v>26000</v>
      </c>
      <c r="I34" s="16">
        <v>26000</v>
      </c>
      <c r="J34" s="38">
        <v>26500</v>
      </c>
      <c r="K34" s="20">
        <f t="shared" si="0"/>
        <v>26357.142857142859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50000</v>
      </c>
      <c r="F64" s="15">
        <v>50000</v>
      </c>
      <c r="G64" s="15">
        <v>40000</v>
      </c>
      <c r="H64" s="16">
        <v>45000</v>
      </c>
      <c r="I64" s="16">
        <v>55000</v>
      </c>
      <c r="J64" s="38">
        <v>60000</v>
      </c>
      <c r="K64" s="20">
        <f t="shared" si="0"/>
        <v>46857.142857142855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35000</v>
      </c>
      <c r="F65" s="15">
        <v>40000</v>
      </c>
      <c r="G65" s="15">
        <v>40000</v>
      </c>
      <c r="H65" s="71" t="s">
        <v>94</v>
      </c>
      <c r="I65" s="51">
        <v>40000</v>
      </c>
      <c r="J65" s="52" t="s">
        <v>94</v>
      </c>
      <c r="K65" s="20">
        <f t="shared" si="0"/>
        <v>37000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35000</v>
      </c>
      <c r="G66" s="15">
        <v>35000</v>
      </c>
      <c r="H66" s="16">
        <v>30000</v>
      </c>
      <c r="I66" s="16">
        <v>35000</v>
      </c>
      <c r="J66" s="38">
        <v>35000</v>
      </c>
      <c r="K66" s="20">
        <f t="shared" si="0"/>
        <v>32571.428571428572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35000</v>
      </c>
      <c r="F70" s="15">
        <v>32000</v>
      </c>
      <c r="G70" s="15">
        <v>35000</v>
      </c>
      <c r="H70" s="16">
        <v>30000</v>
      </c>
      <c r="I70" s="16">
        <v>35000</v>
      </c>
      <c r="J70" s="38">
        <v>32000</v>
      </c>
      <c r="K70" s="20">
        <f t="shared" si="0"/>
        <v>32714.285714285714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28000</v>
      </c>
      <c r="G71" s="15">
        <v>30000</v>
      </c>
      <c r="H71" s="16">
        <v>27000</v>
      </c>
      <c r="I71" s="16">
        <v>28000</v>
      </c>
      <c r="J71" s="38">
        <v>28000</v>
      </c>
      <c r="K71" s="20">
        <f t="shared" si="0"/>
        <v>28428.571428571428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30000</v>
      </c>
      <c r="E72" s="15">
        <v>35000</v>
      </c>
      <c r="F72" s="15">
        <v>37000</v>
      </c>
      <c r="G72" s="15">
        <v>35000</v>
      </c>
      <c r="H72" s="16">
        <v>30000</v>
      </c>
      <c r="I72" s="16">
        <v>35000</v>
      </c>
      <c r="J72" s="38">
        <v>32000</v>
      </c>
      <c r="K72" s="20">
        <f t="shared" si="0"/>
        <v>33428.571428571428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40000</v>
      </c>
      <c r="H73" s="16">
        <v>40000</v>
      </c>
      <c r="I73" s="23">
        <v>40000</v>
      </c>
      <c r="J73" s="52">
        <v>22000</v>
      </c>
      <c r="K73" s="20">
        <f t="shared" si="0"/>
        <v>37428.571428571428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8000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13857.142857142857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15142.857142857143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18000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16000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7D9-B8EE-4341-A4F4-C021296EA96C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134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11000</v>
      </c>
      <c r="J10" s="24" t="s">
        <v>94</v>
      </c>
      <c r="K10" s="20">
        <f t="shared" si="0"/>
        <v>11250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120000</v>
      </c>
      <c r="H22" s="16">
        <v>120000</v>
      </c>
      <c r="I22" s="51">
        <v>120000</v>
      </c>
      <c r="J22" s="52">
        <v>110000</v>
      </c>
      <c r="K22" s="20">
        <f t="shared" si="0"/>
        <v>120000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110000</v>
      </c>
      <c r="H23" s="16">
        <v>114000</v>
      </c>
      <c r="I23" s="23">
        <v>110000</v>
      </c>
      <c r="J23" s="38">
        <v>100000</v>
      </c>
      <c r="K23" s="20">
        <f t="shared" si="0"/>
        <v>110571.42857142857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100000</v>
      </c>
      <c r="H24" s="16">
        <v>100000</v>
      </c>
      <c r="I24" s="51">
        <v>100000</v>
      </c>
      <c r="J24" s="52" t="s">
        <v>94</v>
      </c>
      <c r="K24" s="20">
        <f t="shared" si="0"/>
        <v>100833.33333333333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34000</v>
      </c>
      <c r="E25" s="15">
        <v>33000</v>
      </c>
      <c r="F25" s="15">
        <v>37000</v>
      </c>
      <c r="G25" s="15">
        <v>33000</v>
      </c>
      <c r="H25" s="38">
        <v>36000</v>
      </c>
      <c r="I25" s="16">
        <v>34000</v>
      </c>
      <c r="J25" s="38">
        <v>34000</v>
      </c>
      <c r="K25" s="20">
        <f t="shared" si="0"/>
        <v>34428.571428571428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30285.714285714286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63285.714285714283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38000</v>
      </c>
      <c r="J31" s="38">
        <v>35000</v>
      </c>
      <c r="K31" s="20">
        <f t="shared" si="0"/>
        <v>38142.857142857145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26500</v>
      </c>
      <c r="F34" s="15">
        <v>26000</v>
      </c>
      <c r="G34" s="15">
        <v>27000</v>
      </c>
      <c r="H34" s="16">
        <v>26000</v>
      </c>
      <c r="I34" s="16">
        <v>27000</v>
      </c>
      <c r="J34" s="38">
        <v>26500</v>
      </c>
      <c r="K34" s="20">
        <f t="shared" si="0"/>
        <v>26571.428571428572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17000</v>
      </c>
      <c r="J57" s="52" t="s">
        <v>94</v>
      </c>
      <c r="K57" s="20">
        <f t="shared" si="0"/>
        <v>16333.333333333334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28000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26000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29000</v>
      </c>
      <c r="G60" s="15">
        <v>30000</v>
      </c>
      <c r="H60" s="16">
        <v>26000</v>
      </c>
      <c r="I60" s="16">
        <v>33000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40000</v>
      </c>
      <c r="E64" s="15">
        <v>50000</v>
      </c>
      <c r="F64" s="15">
        <v>52000</v>
      </c>
      <c r="G64" s="15">
        <v>35000</v>
      </c>
      <c r="H64" s="16">
        <v>45000</v>
      </c>
      <c r="I64" s="16">
        <v>60000</v>
      </c>
      <c r="J64" s="38">
        <v>55000</v>
      </c>
      <c r="K64" s="20">
        <f t="shared" si="0"/>
        <v>48142.857142857145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35000</v>
      </c>
      <c r="E65" s="15">
        <v>40000</v>
      </c>
      <c r="F65" s="15">
        <v>40000</v>
      </c>
      <c r="G65" s="15">
        <v>35000</v>
      </c>
      <c r="H65" s="71" t="s">
        <v>94</v>
      </c>
      <c r="I65" s="51" t="s">
        <v>94</v>
      </c>
      <c r="J65" s="52" t="s">
        <v>94</v>
      </c>
      <c r="K65" s="20">
        <f t="shared" si="0"/>
        <v>37500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35000</v>
      </c>
      <c r="F66" s="15">
        <v>30000</v>
      </c>
      <c r="G66" s="15">
        <v>30000</v>
      </c>
      <c r="H66" s="16">
        <v>30000</v>
      </c>
      <c r="I66" s="16">
        <v>30000</v>
      </c>
      <c r="J66" s="38">
        <v>35000</v>
      </c>
      <c r="K66" s="20">
        <f t="shared" si="0"/>
        <v>31142.857142857141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35000</v>
      </c>
      <c r="F70" s="15">
        <v>34000</v>
      </c>
      <c r="G70" s="15">
        <v>35000</v>
      </c>
      <c r="H70" s="16">
        <v>30000</v>
      </c>
      <c r="I70" s="16">
        <v>40000</v>
      </c>
      <c r="J70" s="38">
        <v>32000</v>
      </c>
      <c r="K70" s="20">
        <f t="shared" si="0"/>
        <v>33714.285714285717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28000</v>
      </c>
      <c r="G71" s="15">
        <v>30000</v>
      </c>
      <c r="H71" s="16">
        <v>27000</v>
      </c>
      <c r="I71" s="16">
        <v>30000</v>
      </c>
      <c r="J71" s="38">
        <v>28000</v>
      </c>
      <c r="K71" s="20">
        <f t="shared" si="0"/>
        <v>28714.285714285714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32000</v>
      </c>
      <c r="E72" s="15">
        <v>35000</v>
      </c>
      <c r="F72" s="15">
        <v>38000</v>
      </c>
      <c r="G72" s="15">
        <v>35000</v>
      </c>
      <c r="H72" s="16">
        <v>30000</v>
      </c>
      <c r="I72" s="16">
        <v>35000</v>
      </c>
      <c r="J72" s="38">
        <v>32000</v>
      </c>
      <c r="K72" s="20">
        <f t="shared" si="0"/>
        <v>33857.142857142855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40000</v>
      </c>
      <c r="H73" s="16">
        <v>40000</v>
      </c>
      <c r="I73" s="23">
        <v>40000</v>
      </c>
      <c r="J73" s="52">
        <v>22000</v>
      </c>
      <c r="K73" s="20">
        <f t="shared" si="0"/>
        <v>37428.571428571428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8000</v>
      </c>
      <c r="H78" s="16">
        <v>9000</v>
      </c>
      <c r="I78" s="24">
        <v>9000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15000</v>
      </c>
      <c r="F79" s="15">
        <v>15000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13857.142857142857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15142.857142857143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18000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16000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18000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12000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7:A12"/>
    <mergeCell ref="A16:A17"/>
    <mergeCell ref="A19:A20"/>
    <mergeCell ref="A21:A25"/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F689-BDF5-4AAD-9E07-20CB567D5C71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135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125000</v>
      </c>
      <c r="H22" s="16">
        <v>120000</v>
      </c>
      <c r="I22" s="51">
        <v>125000</v>
      </c>
      <c r="J22" s="52">
        <v>125000</v>
      </c>
      <c r="K22" s="20">
        <f t="shared" si="0"/>
        <v>123571.42857142857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115000</v>
      </c>
      <c r="H23" s="16">
        <v>114000</v>
      </c>
      <c r="I23" s="23">
        <v>115000</v>
      </c>
      <c r="J23" s="38">
        <v>110000</v>
      </c>
      <c r="K23" s="20">
        <f t="shared" si="0"/>
        <v>113428.57142857143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105000</v>
      </c>
      <c r="H24" s="16">
        <v>100000</v>
      </c>
      <c r="I24" s="51">
        <v>110000</v>
      </c>
      <c r="J24" s="52" t="s">
        <v>94</v>
      </c>
      <c r="K24" s="20">
        <f t="shared" si="0"/>
        <v>103333.33333333333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34000</v>
      </c>
      <c r="E25" s="15">
        <v>35000</v>
      </c>
      <c r="F25" s="15">
        <v>37000</v>
      </c>
      <c r="G25" s="15">
        <v>36000</v>
      </c>
      <c r="H25" s="38">
        <v>38000</v>
      </c>
      <c r="I25" s="16">
        <v>38000</v>
      </c>
      <c r="J25" s="38">
        <v>38000</v>
      </c>
      <c r="K25" s="20">
        <f t="shared" si="0"/>
        <v>36571.428571428572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38000</v>
      </c>
      <c r="J27" s="38">
        <v>40000</v>
      </c>
      <c r="K27" s="20">
        <f t="shared" si="0"/>
        <v>37666.666666666664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30285.714285714286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65000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42000</v>
      </c>
      <c r="G31" s="15">
        <v>45000</v>
      </c>
      <c r="H31" s="16">
        <v>28000</v>
      </c>
      <c r="I31" s="23">
        <v>38000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26000</v>
      </c>
      <c r="E34" s="15">
        <v>28000</v>
      </c>
      <c r="F34" s="15">
        <v>26000</v>
      </c>
      <c r="G34" s="15">
        <v>27000</v>
      </c>
      <c r="H34" s="16">
        <v>26000</v>
      </c>
      <c r="I34" s="16">
        <v>28000</v>
      </c>
      <c r="J34" s="38">
        <v>27000</v>
      </c>
      <c r="K34" s="20">
        <f t="shared" si="0"/>
        <v>26857.142857142859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16166.666666666666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25714.285714285714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32000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50000</v>
      </c>
      <c r="E64" s="15">
        <v>45000</v>
      </c>
      <c r="F64" s="15">
        <v>45000</v>
      </c>
      <c r="G64" s="15">
        <v>50000</v>
      </c>
      <c r="H64" s="16">
        <v>35000</v>
      </c>
      <c r="I64" s="16">
        <v>60000</v>
      </c>
      <c r="J64" s="38">
        <v>55000</v>
      </c>
      <c r="K64" s="20">
        <f t="shared" si="0"/>
        <v>48571.428571428572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45000</v>
      </c>
      <c r="E65" s="15">
        <v>35000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45000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28000</v>
      </c>
      <c r="E66" s="15">
        <v>30000</v>
      </c>
      <c r="F66" s="15">
        <v>30000</v>
      </c>
      <c r="G66" s="15">
        <v>30000</v>
      </c>
      <c r="H66" s="16">
        <v>25000</v>
      </c>
      <c r="I66" s="16">
        <v>30000</v>
      </c>
      <c r="J66" s="38">
        <v>35000</v>
      </c>
      <c r="K66" s="20">
        <f t="shared" si="0"/>
        <v>29714.285714285714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30000</v>
      </c>
      <c r="E70" s="15">
        <v>35000</v>
      </c>
      <c r="F70" s="15">
        <v>36000</v>
      </c>
      <c r="G70" s="15">
        <v>35000</v>
      </c>
      <c r="H70" s="16">
        <v>32000</v>
      </c>
      <c r="I70" s="16">
        <v>40000</v>
      </c>
      <c r="J70" s="38">
        <v>32000</v>
      </c>
      <c r="K70" s="20">
        <f t="shared" si="0"/>
        <v>34285.714285714283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28000</v>
      </c>
      <c r="E71" s="15">
        <v>30000</v>
      </c>
      <c r="F71" s="15">
        <v>32000</v>
      </c>
      <c r="G71" s="15">
        <v>30000</v>
      </c>
      <c r="H71" s="16">
        <v>25000</v>
      </c>
      <c r="I71" s="16">
        <v>30000</v>
      </c>
      <c r="J71" s="38">
        <v>28000</v>
      </c>
      <c r="K71" s="20">
        <f t="shared" si="0"/>
        <v>29000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34000</v>
      </c>
      <c r="E72" s="15">
        <v>35000</v>
      </c>
      <c r="F72" s="15">
        <v>45000</v>
      </c>
      <c r="G72" s="15">
        <v>50000</v>
      </c>
      <c r="H72" s="16">
        <v>30000</v>
      </c>
      <c r="I72" s="16">
        <v>35000</v>
      </c>
      <c r="J72" s="38">
        <v>32000</v>
      </c>
      <c r="K72" s="20">
        <f t="shared" si="0"/>
        <v>37285.714285714283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36000</v>
      </c>
      <c r="E73" s="26">
        <v>40000</v>
      </c>
      <c r="F73" s="54">
        <v>50000</v>
      </c>
      <c r="G73" s="19">
        <v>50000</v>
      </c>
      <c r="H73" s="16">
        <v>30000</v>
      </c>
      <c r="I73" s="23">
        <v>40000</v>
      </c>
      <c r="J73" s="52">
        <v>22000</v>
      </c>
      <c r="K73" s="20">
        <f t="shared" si="0"/>
        <v>38285.714285714283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8000</v>
      </c>
      <c r="F78" s="15">
        <v>8000</v>
      </c>
      <c r="G78" s="15">
        <v>10000</v>
      </c>
      <c r="H78" s="16">
        <v>9000</v>
      </c>
      <c r="I78" s="24">
        <v>9000</v>
      </c>
      <c r="J78" s="38">
        <v>7000</v>
      </c>
      <c r="K78" s="20">
        <f t="shared" si="0"/>
        <v>8428.5714285714294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15000</v>
      </c>
      <c r="F79" s="15">
        <v>18000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15142.857142857143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17000</v>
      </c>
      <c r="F81" s="15">
        <v>18000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16000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18000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12000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56E6-5B4B-49BB-B7A1-4771A913888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136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130000</v>
      </c>
      <c r="H22" s="16">
        <v>120000</v>
      </c>
      <c r="I22" s="51">
        <v>125000</v>
      </c>
      <c r="J22" s="52">
        <v>125000</v>
      </c>
      <c r="K22" s="20">
        <f t="shared" si="0"/>
        <v>124285.71428571429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114142.85714285714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110000</v>
      </c>
      <c r="H24" s="16">
        <v>100000</v>
      </c>
      <c r="I24" s="51">
        <v>110000</v>
      </c>
      <c r="J24" s="52" t="s">
        <v>94</v>
      </c>
      <c r="K24" s="20">
        <f t="shared" si="0"/>
        <v>104166.66666666667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37000</v>
      </c>
      <c r="E25" s="15">
        <v>45000</v>
      </c>
      <c r="F25" s="15">
        <v>37000</v>
      </c>
      <c r="G25" s="15">
        <v>38000</v>
      </c>
      <c r="H25" s="38">
        <v>38000</v>
      </c>
      <c r="I25" s="23" t="s">
        <v>94</v>
      </c>
      <c r="J25" s="38">
        <v>38000</v>
      </c>
      <c r="K25" s="20">
        <f t="shared" si="0"/>
        <v>38833.333333333336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 t="s">
        <v>94</v>
      </c>
      <c r="J27" s="38">
        <v>40000</v>
      </c>
      <c r="K27" s="20">
        <f t="shared" si="0"/>
        <v>37600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 t="s">
        <v>94</v>
      </c>
      <c r="J28" s="53">
        <v>30000</v>
      </c>
      <c r="K28" s="20">
        <f t="shared" si="0"/>
        <v>30000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70000</v>
      </c>
      <c r="G29" s="19">
        <v>75000</v>
      </c>
      <c r="H29" s="16">
        <v>58000</v>
      </c>
      <c r="I29" s="23" t="s">
        <v>94</v>
      </c>
      <c r="J29" s="25">
        <v>60000</v>
      </c>
      <c r="K29" s="20">
        <f t="shared" si="0"/>
        <v>64666.666666666664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42000</v>
      </c>
      <c r="G31" s="15">
        <v>45000</v>
      </c>
      <c r="H31" s="16">
        <v>28000</v>
      </c>
      <c r="I31" s="23" t="s">
        <v>94</v>
      </c>
      <c r="J31" s="38">
        <v>35000</v>
      </c>
      <c r="K31" s="20">
        <f t="shared" si="0"/>
        <v>38500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28000</v>
      </c>
      <c r="E34" s="15">
        <v>28000</v>
      </c>
      <c r="F34" s="15">
        <v>28000</v>
      </c>
      <c r="G34" s="15">
        <v>27000</v>
      </c>
      <c r="H34" s="16">
        <v>26000</v>
      </c>
      <c r="I34" s="16">
        <v>28000</v>
      </c>
      <c r="J34" s="38">
        <v>27000</v>
      </c>
      <c r="K34" s="20">
        <f t="shared" si="0"/>
        <v>27428.571428571428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16166.666666666666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25571.428571428572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32000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50000</v>
      </c>
      <c r="E64" s="15">
        <v>60000</v>
      </c>
      <c r="F64" s="15">
        <v>50000</v>
      </c>
      <c r="G64" s="15">
        <v>40000</v>
      </c>
      <c r="H64" s="16">
        <v>35000</v>
      </c>
      <c r="I64" s="16">
        <v>60000</v>
      </c>
      <c r="J64" s="38">
        <v>55000</v>
      </c>
      <c r="K64" s="20">
        <f t="shared" si="0"/>
        <v>50000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50000</v>
      </c>
      <c r="E65" s="15">
        <v>60000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52500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50000</v>
      </c>
      <c r="E66" s="15">
        <v>50000</v>
      </c>
      <c r="F66" s="15">
        <v>50000</v>
      </c>
      <c r="G66" s="15">
        <v>40000</v>
      </c>
      <c r="H66" s="16">
        <v>25000</v>
      </c>
      <c r="I66" s="16">
        <v>30000</v>
      </c>
      <c r="J66" s="38">
        <v>35000</v>
      </c>
      <c r="K66" s="20">
        <f t="shared" si="0"/>
        <v>40000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36000</v>
      </c>
      <c r="E70" s="15">
        <v>40000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32000</v>
      </c>
      <c r="K70" s="20">
        <f t="shared" si="0"/>
        <v>36571.428571428572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32000</v>
      </c>
      <c r="E71" s="15">
        <v>35000</v>
      </c>
      <c r="F71" s="15">
        <v>32000</v>
      </c>
      <c r="G71" s="15">
        <v>35000</v>
      </c>
      <c r="H71" s="16">
        <v>25000</v>
      </c>
      <c r="I71" s="16">
        <v>30000</v>
      </c>
      <c r="J71" s="38">
        <v>28000</v>
      </c>
      <c r="K71" s="20">
        <f t="shared" si="0"/>
        <v>31000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45000</v>
      </c>
      <c r="E72" s="15">
        <v>45000</v>
      </c>
      <c r="F72" s="15">
        <v>50000</v>
      </c>
      <c r="G72" s="15">
        <v>50000</v>
      </c>
      <c r="H72" s="16">
        <v>30000</v>
      </c>
      <c r="I72" s="16">
        <v>35000</v>
      </c>
      <c r="J72" s="38">
        <v>32000</v>
      </c>
      <c r="K72" s="20">
        <f t="shared" si="0"/>
        <v>41000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50000</v>
      </c>
      <c r="H73" s="16">
        <v>30000</v>
      </c>
      <c r="I73" s="23">
        <v>40000</v>
      </c>
      <c r="J73" s="52">
        <v>22000</v>
      </c>
      <c r="K73" s="20">
        <f t="shared" si="0"/>
        <v>37428.571428571428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9000</v>
      </c>
      <c r="J78" s="38">
        <v>7000</v>
      </c>
      <c r="K78" s="20">
        <f t="shared" si="0"/>
        <v>9000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15000</v>
      </c>
      <c r="F79" s="15">
        <v>18000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20000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20000</v>
      </c>
      <c r="F81" s="15">
        <v>20000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16714.285714285714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15000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7:A12"/>
    <mergeCell ref="A13:A15"/>
    <mergeCell ref="A16:A17"/>
    <mergeCell ref="A19:A20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J4:J6"/>
    <mergeCell ref="H4:H6"/>
    <mergeCell ref="A56:A60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EDF-FD20-4BB7-85C2-F480B806241C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137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130000</v>
      </c>
      <c r="H22" s="16">
        <v>120000</v>
      </c>
      <c r="I22" s="51">
        <v>125000</v>
      </c>
      <c r="J22" s="52">
        <v>125000</v>
      </c>
      <c r="K22" s="20">
        <f t="shared" si="0"/>
        <v>124285.71428571429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114142.85714285714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110000</v>
      </c>
      <c r="H24" s="16">
        <v>100000</v>
      </c>
      <c r="I24" s="51">
        <v>110000</v>
      </c>
      <c r="J24" s="52" t="s">
        <v>94</v>
      </c>
      <c r="K24" s="20">
        <f t="shared" si="0"/>
        <v>104166.66666666667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37000</v>
      </c>
      <c r="E25" s="15">
        <v>45000</v>
      </c>
      <c r="F25" s="15">
        <v>37000</v>
      </c>
      <c r="G25" s="15">
        <v>38000</v>
      </c>
      <c r="H25" s="38">
        <v>38000</v>
      </c>
      <c r="I25" s="23" t="s">
        <v>94</v>
      </c>
      <c r="J25" s="38">
        <v>38000</v>
      </c>
      <c r="K25" s="20">
        <f t="shared" si="0"/>
        <v>38833.333333333336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 t="s">
        <v>94</v>
      </c>
      <c r="J27" s="38">
        <v>40000</v>
      </c>
      <c r="K27" s="20">
        <f t="shared" si="0"/>
        <v>37600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 t="s">
        <v>94</v>
      </c>
      <c r="J28" s="53">
        <v>30000</v>
      </c>
      <c r="K28" s="20">
        <f t="shared" si="0"/>
        <v>30000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70000</v>
      </c>
      <c r="G29" s="19">
        <v>75000</v>
      </c>
      <c r="H29" s="16">
        <v>58000</v>
      </c>
      <c r="I29" s="23" t="s">
        <v>94</v>
      </c>
      <c r="J29" s="25">
        <v>60000</v>
      </c>
      <c r="K29" s="20">
        <f t="shared" si="0"/>
        <v>64666.666666666664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42000</v>
      </c>
      <c r="G31" s="15">
        <v>45000</v>
      </c>
      <c r="H31" s="16">
        <v>28000</v>
      </c>
      <c r="I31" s="23" t="s">
        <v>94</v>
      </c>
      <c r="J31" s="38">
        <v>35000</v>
      </c>
      <c r="K31" s="20">
        <f t="shared" si="0"/>
        <v>38500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28000</v>
      </c>
      <c r="E34" s="15">
        <v>28000</v>
      </c>
      <c r="F34" s="15">
        <v>28000</v>
      </c>
      <c r="G34" s="15">
        <v>27000</v>
      </c>
      <c r="H34" s="16">
        <v>26000</v>
      </c>
      <c r="I34" s="16">
        <v>28000</v>
      </c>
      <c r="J34" s="38">
        <v>27000</v>
      </c>
      <c r="K34" s="20">
        <f t="shared" si="0"/>
        <v>27428.571428571428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16166.666666666666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25571.428571428572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32000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50000</v>
      </c>
      <c r="E64" s="15">
        <v>60000</v>
      </c>
      <c r="F64" s="15">
        <v>50000</v>
      </c>
      <c r="G64" s="15">
        <v>40000</v>
      </c>
      <c r="H64" s="16">
        <v>35000</v>
      </c>
      <c r="I64" s="16">
        <v>60000</v>
      </c>
      <c r="J64" s="38">
        <v>55000</v>
      </c>
      <c r="K64" s="20">
        <f t="shared" si="0"/>
        <v>50000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50000</v>
      </c>
      <c r="E65" s="15">
        <v>60000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52500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50000</v>
      </c>
      <c r="E66" s="15">
        <v>50000</v>
      </c>
      <c r="F66" s="15">
        <v>50000</v>
      </c>
      <c r="G66" s="15">
        <v>40000</v>
      </c>
      <c r="H66" s="16">
        <v>25000</v>
      </c>
      <c r="I66" s="16">
        <v>30000</v>
      </c>
      <c r="J66" s="38">
        <v>35000</v>
      </c>
      <c r="K66" s="20">
        <f t="shared" si="0"/>
        <v>40000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36000</v>
      </c>
      <c r="E70" s="15">
        <v>40000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32000</v>
      </c>
      <c r="K70" s="20">
        <f t="shared" si="0"/>
        <v>36571.428571428572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32000</v>
      </c>
      <c r="E71" s="15">
        <v>35000</v>
      </c>
      <c r="F71" s="15">
        <v>32000</v>
      </c>
      <c r="G71" s="15">
        <v>35000</v>
      </c>
      <c r="H71" s="16">
        <v>25000</v>
      </c>
      <c r="I71" s="16">
        <v>30000</v>
      </c>
      <c r="J71" s="38">
        <v>28000</v>
      </c>
      <c r="K71" s="20">
        <f t="shared" si="0"/>
        <v>31000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45000</v>
      </c>
      <c r="E72" s="15">
        <v>45000</v>
      </c>
      <c r="F72" s="15">
        <v>50000</v>
      </c>
      <c r="G72" s="15">
        <v>50000</v>
      </c>
      <c r="H72" s="16">
        <v>30000</v>
      </c>
      <c r="I72" s="16">
        <v>35000</v>
      </c>
      <c r="J72" s="38">
        <v>32000</v>
      </c>
      <c r="K72" s="20">
        <f t="shared" si="0"/>
        <v>41000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40000</v>
      </c>
      <c r="F73" s="54">
        <v>40000</v>
      </c>
      <c r="G73" s="19">
        <v>50000</v>
      </c>
      <c r="H73" s="16">
        <v>30000</v>
      </c>
      <c r="I73" s="23">
        <v>40000</v>
      </c>
      <c r="J73" s="52">
        <v>22000</v>
      </c>
      <c r="K73" s="20">
        <f t="shared" si="0"/>
        <v>37428.571428571428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9000</v>
      </c>
      <c r="J78" s="38">
        <v>7000</v>
      </c>
      <c r="K78" s="20">
        <f t="shared" si="0"/>
        <v>9000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15000</v>
      </c>
      <c r="F79" s="15">
        <v>18000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20000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20000</v>
      </c>
      <c r="F81" s="15">
        <v>20000</v>
      </c>
      <c r="G81" s="15">
        <v>20000</v>
      </c>
      <c r="H81" s="16">
        <v>10000</v>
      </c>
      <c r="I81" s="51">
        <v>18000</v>
      </c>
      <c r="J81" s="38">
        <v>14000</v>
      </c>
      <c r="K81" s="20">
        <f t="shared" ref="K81:K88" si="1">AVERAGE(D81:J81)</f>
        <v>16714.285714285714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15000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E29-D71B-4EA1-B164-A45408D8F16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138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13642.857142857143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14000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10666.666666666666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16285.714285714286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130000</v>
      </c>
      <c r="H22" s="16">
        <v>120000</v>
      </c>
      <c r="I22" s="51">
        <v>125000</v>
      </c>
      <c r="J22" s="52">
        <v>125000</v>
      </c>
      <c r="K22" s="20">
        <f t="shared" si="0"/>
        <v>124285.71428571429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114142.85714285714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110000</v>
      </c>
      <c r="H24" s="16">
        <v>100000</v>
      </c>
      <c r="I24" s="51">
        <v>110000</v>
      </c>
      <c r="J24" s="52" t="s">
        <v>94</v>
      </c>
      <c r="K24" s="20">
        <f t="shared" si="0"/>
        <v>104166.66666666667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40000</v>
      </c>
      <c r="E25" s="15">
        <v>45000</v>
      </c>
      <c r="F25" s="15">
        <v>40000</v>
      </c>
      <c r="G25" s="15">
        <v>38000</v>
      </c>
      <c r="H25" s="38">
        <v>38000</v>
      </c>
      <c r="I25" s="23" t="s">
        <v>94</v>
      </c>
      <c r="J25" s="38">
        <v>38000</v>
      </c>
      <c r="K25" s="20">
        <f t="shared" si="0"/>
        <v>39833.333333333336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35000</v>
      </c>
      <c r="E27" s="15">
        <v>38000</v>
      </c>
      <c r="F27" s="26" t="s">
        <v>94</v>
      </c>
      <c r="G27" s="15">
        <v>45000</v>
      </c>
      <c r="H27" s="16">
        <v>30000</v>
      </c>
      <c r="I27" s="23" t="s">
        <v>94</v>
      </c>
      <c r="J27" s="38">
        <v>40000</v>
      </c>
      <c r="K27" s="20">
        <f t="shared" si="0"/>
        <v>37600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30000</v>
      </c>
      <c r="E28" s="26">
        <v>30000</v>
      </c>
      <c r="F28" s="15">
        <v>32000</v>
      </c>
      <c r="G28" s="19">
        <v>35000</v>
      </c>
      <c r="H28" s="23">
        <v>23000</v>
      </c>
      <c r="I28" s="23" t="s">
        <v>94</v>
      </c>
      <c r="J28" s="53">
        <v>30000</v>
      </c>
      <c r="K28" s="20">
        <f t="shared" si="0"/>
        <v>30000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65000</v>
      </c>
      <c r="E29" s="26">
        <v>60000</v>
      </c>
      <c r="F29" s="54">
        <v>70000</v>
      </c>
      <c r="G29" s="19">
        <v>75000</v>
      </c>
      <c r="H29" s="16">
        <v>58000</v>
      </c>
      <c r="I29" s="23" t="s">
        <v>94</v>
      </c>
      <c r="J29" s="25">
        <v>60000</v>
      </c>
      <c r="K29" s="20">
        <f t="shared" si="0"/>
        <v>64666.666666666664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42000</v>
      </c>
      <c r="G31" s="15">
        <v>45000</v>
      </c>
      <c r="H31" s="16">
        <v>28000</v>
      </c>
      <c r="I31" s="23" t="s">
        <v>94</v>
      </c>
      <c r="J31" s="38">
        <v>35000</v>
      </c>
      <c r="K31" s="20">
        <f t="shared" si="0"/>
        <v>38500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28000</v>
      </c>
      <c r="E34" s="15">
        <v>28000</v>
      </c>
      <c r="F34" s="15">
        <v>28000</v>
      </c>
      <c r="G34" s="15">
        <v>27000</v>
      </c>
      <c r="H34" s="16">
        <v>26000</v>
      </c>
      <c r="I34" s="16">
        <v>28000</v>
      </c>
      <c r="J34" s="38">
        <v>27000</v>
      </c>
      <c r="K34" s="20">
        <f t="shared" si="0"/>
        <v>27428.571428571428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11571.428571428571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13000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12400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16000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16166.666666666666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25571.428571428572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32000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50000</v>
      </c>
      <c r="E64" s="15">
        <v>50000</v>
      </c>
      <c r="F64" s="15">
        <v>50000</v>
      </c>
      <c r="G64" s="15">
        <v>40000</v>
      </c>
      <c r="H64" s="16">
        <v>35000</v>
      </c>
      <c r="I64" s="16">
        <v>60000</v>
      </c>
      <c r="J64" s="38">
        <v>35000</v>
      </c>
      <c r="K64" s="20">
        <f t="shared" si="0"/>
        <v>45714.285714285717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40000</v>
      </c>
      <c r="E65" s="15">
        <v>40000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45000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25000</v>
      </c>
      <c r="E66" s="15">
        <v>40000</v>
      </c>
      <c r="F66" s="15">
        <v>20000</v>
      </c>
      <c r="G66" s="15">
        <v>40000</v>
      </c>
      <c r="H66" s="16">
        <v>25000</v>
      </c>
      <c r="I66" s="16">
        <v>30000</v>
      </c>
      <c r="J66" s="38">
        <v>25000</v>
      </c>
      <c r="K66" s="20">
        <f t="shared" si="0"/>
        <v>29285.714285714286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40000</v>
      </c>
      <c r="E70" s="15">
        <v>40000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37571.428571428572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35000</v>
      </c>
      <c r="E71" s="15">
        <v>35000</v>
      </c>
      <c r="F71" s="15">
        <v>32000</v>
      </c>
      <c r="G71" s="15">
        <v>35000</v>
      </c>
      <c r="H71" s="16">
        <v>25000</v>
      </c>
      <c r="I71" s="16">
        <v>30000</v>
      </c>
      <c r="J71" s="38">
        <v>28000</v>
      </c>
      <c r="K71" s="20">
        <f t="shared" si="0"/>
        <v>31428.571428571428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50000</v>
      </c>
      <c r="E72" s="15">
        <v>45000</v>
      </c>
      <c r="F72" s="15">
        <v>50000</v>
      </c>
      <c r="G72" s="15">
        <v>50000</v>
      </c>
      <c r="H72" s="16">
        <v>35000</v>
      </c>
      <c r="I72" s="16">
        <v>35000</v>
      </c>
      <c r="J72" s="38">
        <v>35000</v>
      </c>
      <c r="K72" s="20">
        <f t="shared" si="0"/>
        <v>42857.142857142855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40000</v>
      </c>
      <c r="E73" s="26">
        <v>45000</v>
      </c>
      <c r="F73" s="54">
        <v>42000</v>
      </c>
      <c r="G73" s="19">
        <v>50000</v>
      </c>
      <c r="H73" s="16">
        <v>30000</v>
      </c>
      <c r="I73" s="23">
        <v>40000</v>
      </c>
      <c r="J73" s="52">
        <v>22000</v>
      </c>
      <c r="K73" s="20">
        <f t="shared" si="0"/>
        <v>38428.571428571428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7000</v>
      </c>
      <c r="E75" s="26">
        <v>7000</v>
      </c>
      <c r="F75" s="15">
        <v>5000</v>
      </c>
      <c r="G75" s="15">
        <v>6000</v>
      </c>
      <c r="H75" s="16">
        <v>4000</v>
      </c>
      <c r="I75" s="16">
        <v>6000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7000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6166.666666666667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8000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9000</v>
      </c>
      <c r="J78" s="38">
        <v>7000</v>
      </c>
      <c r="K78" s="20">
        <f t="shared" si="0"/>
        <v>9000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15000</v>
      </c>
      <c r="F79" s="15">
        <v>14000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20000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15000</v>
      </c>
      <c r="E81" s="15">
        <v>20000</v>
      </c>
      <c r="F81" s="15">
        <v>20000</v>
      </c>
      <c r="G81" s="15">
        <v>20000</v>
      </c>
      <c r="H81" s="16">
        <v>15000</v>
      </c>
      <c r="I81" s="51">
        <v>18000</v>
      </c>
      <c r="J81" s="38">
        <v>14000</v>
      </c>
      <c r="K81" s="20">
        <f t="shared" ref="K81:K88" si="1">AVERAGE(D81:J81)</f>
        <v>17428.571428571428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15000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7000</v>
      </c>
      <c r="K82" s="20">
        <f t="shared" si="1"/>
        <v>11285.714285714286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8000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7B4E-187C-4E72-A971-CBE71679BF7F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139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13642.857142857143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14000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10666.666666666666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16285.714285714286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125000</v>
      </c>
      <c r="G22" s="15">
        <v>130000</v>
      </c>
      <c r="H22" s="16">
        <v>120000</v>
      </c>
      <c r="I22" s="51">
        <v>120000</v>
      </c>
      <c r="J22" s="52">
        <v>125000</v>
      </c>
      <c r="K22" s="20">
        <f t="shared" si="0"/>
        <v>122857.14285714286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115000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113428.57142857143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110000</v>
      </c>
      <c r="H24" s="16">
        <v>100000</v>
      </c>
      <c r="I24" s="51">
        <v>110000</v>
      </c>
      <c r="J24" s="52" t="s">
        <v>94</v>
      </c>
      <c r="K24" s="20">
        <f t="shared" si="0"/>
        <v>103333.33333333333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40000</v>
      </c>
      <c r="E25" s="15">
        <v>45000</v>
      </c>
      <c r="F25" s="15">
        <v>44000</v>
      </c>
      <c r="G25" s="15">
        <v>40000</v>
      </c>
      <c r="H25" s="38">
        <v>40000</v>
      </c>
      <c r="I25" s="23">
        <v>35000</v>
      </c>
      <c r="J25" s="38">
        <v>38000</v>
      </c>
      <c r="K25" s="20">
        <f t="shared" si="0"/>
        <v>40285.714285714283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39666.666666666664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31428.571428571428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80000</v>
      </c>
      <c r="E29" s="26">
        <v>60000</v>
      </c>
      <c r="F29" s="54">
        <v>90000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70000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95000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28000</v>
      </c>
      <c r="E34" s="15">
        <v>27000</v>
      </c>
      <c r="F34" s="15">
        <v>28000</v>
      </c>
      <c r="G34" s="15">
        <v>27000</v>
      </c>
      <c r="H34" s="16">
        <v>26000</v>
      </c>
      <c r="I34" s="16">
        <v>28000</v>
      </c>
      <c r="J34" s="38">
        <v>27000</v>
      </c>
      <c r="K34" s="20">
        <f t="shared" si="0"/>
        <v>27285.714285714286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10500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11357.142857142857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30000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19166.666666666668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25571.428571428572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32000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26000</v>
      </c>
      <c r="E64" s="15">
        <v>60000</v>
      </c>
      <c r="F64" s="15">
        <v>30000</v>
      </c>
      <c r="G64" s="15">
        <v>40000</v>
      </c>
      <c r="H64" s="16">
        <v>25000</v>
      </c>
      <c r="I64" s="16">
        <v>40000</v>
      </c>
      <c r="J64" s="38">
        <v>35000</v>
      </c>
      <c r="K64" s="20">
        <f t="shared" si="0"/>
        <v>36571.428571428572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50000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45000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20000</v>
      </c>
      <c r="E66" s="15">
        <v>30000</v>
      </c>
      <c r="F66" s="15">
        <v>20000</v>
      </c>
      <c r="G66" s="15">
        <v>40000</v>
      </c>
      <c r="H66" s="16">
        <v>15000</v>
      </c>
      <c r="I66" s="16">
        <v>30000</v>
      </c>
      <c r="J66" s="38">
        <v>25000</v>
      </c>
      <c r="K66" s="20">
        <f t="shared" si="0"/>
        <v>25714.285714285714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40000</v>
      </c>
      <c r="F70" s="15">
        <v>36000</v>
      </c>
      <c r="G70" s="15">
        <v>40000</v>
      </c>
      <c r="H70" s="16">
        <v>40000</v>
      </c>
      <c r="I70" s="16">
        <v>30000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30000</v>
      </c>
      <c r="E71" s="15">
        <v>35000</v>
      </c>
      <c r="F71" s="15">
        <v>30000</v>
      </c>
      <c r="G71" s="15">
        <v>35000</v>
      </c>
      <c r="H71" s="16">
        <v>28000</v>
      </c>
      <c r="I71" s="16">
        <v>26000</v>
      </c>
      <c r="J71" s="38">
        <v>28000</v>
      </c>
      <c r="K71" s="20">
        <f t="shared" si="0"/>
        <v>30285.714285714286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38000</v>
      </c>
      <c r="E72" s="15">
        <v>45000</v>
      </c>
      <c r="F72" s="15">
        <v>50000</v>
      </c>
      <c r="G72" s="15">
        <v>50000</v>
      </c>
      <c r="H72" s="16">
        <v>40000</v>
      </c>
      <c r="I72" s="16">
        <v>40000</v>
      </c>
      <c r="J72" s="38">
        <v>35000</v>
      </c>
      <c r="K72" s="20">
        <f t="shared" si="0"/>
        <v>42571.428571428572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35000</v>
      </c>
      <c r="E73" s="26">
        <v>45000</v>
      </c>
      <c r="F73" s="54">
        <v>40000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 t="shared" si="0"/>
        <v>39571.428571428572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10000</v>
      </c>
      <c r="J78" s="38">
        <v>7000</v>
      </c>
      <c r="K78" s="20">
        <f t="shared" si="0"/>
        <v>9000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20000</v>
      </c>
      <c r="F79" s="15">
        <v>12000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18000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14000</v>
      </c>
      <c r="K80" s="20">
        <f t="shared" si="0"/>
        <v>15571.428571428571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14000</v>
      </c>
      <c r="E81" s="15">
        <v>25000</v>
      </c>
      <c r="F81" s="15">
        <v>20000</v>
      </c>
      <c r="G81" s="15">
        <v>20000</v>
      </c>
      <c r="H81" s="16">
        <v>10000</v>
      </c>
      <c r="I81" s="51">
        <v>20000</v>
      </c>
      <c r="J81" s="38">
        <v>14000</v>
      </c>
      <c r="K81" s="20">
        <f t="shared" ref="K81:K88" si="1">AVERAGE(D81:J81)</f>
        <v>17571.428571428572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14000</v>
      </c>
      <c r="F82" s="15">
        <v>8000</v>
      </c>
      <c r="G82" s="15">
        <v>15000</v>
      </c>
      <c r="H82" s="16">
        <v>10000</v>
      </c>
      <c r="I82" s="16">
        <v>13000</v>
      </c>
      <c r="J82" s="38">
        <v>7000</v>
      </c>
      <c r="K82" s="20">
        <f t="shared" si="1"/>
        <v>11000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9333.3333333333339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9412-2F4F-4937-9669-76E1EF7BEF54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140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13642.857142857143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14000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10666.666666666666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19000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16142.857142857143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125000</v>
      </c>
      <c r="G22" s="15">
        <v>130000</v>
      </c>
      <c r="H22" s="16">
        <v>120000</v>
      </c>
      <c r="I22" s="51">
        <v>120000</v>
      </c>
      <c r="J22" s="52">
        <v>125000</v>
      </c>
      <c r="K22" s="20">
        <f t="shared" si="0"/>
        <v>122857.14285714286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98714.28571428571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110000</v>
      </c>
      <c r="H24" s="16">
        <v>100000</v>
      </c>
      <c r="I24" s="51">
        <v>110000</v>
      </c>
      <c r="J24" s="52" t="s">
        <v>94</v>
      </c>
      <c r="K24" s="20">
        <f t="shared" si="0"/>
        <v>104166.66666666667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40000</v>
      </c>
      <c r="E25" s="15">
        <v>35000</v>
      </c>
      <c r="F25" s="15">
        <v>44000</v>
      </c>
      <c r="G25" s="15">
        <v>40000</v>
      </c>
      <c r="H25" s="38">
        <v>38000</v>
      </c>
      <c r="I25" s="23">
        <v>38000</v>
      </c>
      <c r="J25" s="38">
        <v>40000</v>
      </c>
      <c r="K25" s="20">
        <f t="shared" si="0"/>
        <v>39285.714285714283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39666.666666666664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35000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31000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67142.857142857145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95000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28000</v>
      </c>
      <c r="E34" s="15">
        <v>27000</v>
      </c>
      <c r="F34" s="15">
        <v>28000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10500</v>
      </c>
      <c r="G37" s="15">
        <v>9000</v>
      </c>
      <c r="H37" s="16">
        <v>16000</v>
      </c>
      <c r="I37" s="16">
        <v>15000</v>
      </c>
      <c r="J37" s="38">
        <v>9000</v>
      </c>
      <c r="K37" s="20">
        <f t="shared" si="0"/>
        <v>11357.142857142857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30000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19166.666666666668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25571.428571428572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32000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26000</v>
      </c>
      <c r="E64" s="15">
        <v>35000</v>
      </c>
      <c r="F64" s="15">
        <v>30000</v>
      </c>
      <c r="G64" s="15">
        <v>40000</v>
      </c>
      <c r="H64" s="16">
        <v>20000</v>
      </c>
      <c r="I64" s="16">
        <v>40000</v>
      </c>
      <c r="J64" s="38">
        <v>35000</v>
      </c>
      <c r="K64" s="20">
        <f t="shared" si="0"/>
        <v>32285.714285714286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50000</v>
      </c>
      <c r="F65" s="15">
        <v>50000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45000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20000</v>
      </c>
      <c r="E66" s="15">
        <v>30000</v>
      </c>
      <c r="F66" s="15">
        <v>24000</v>
      </c>
      <c r="G66" s="15">
        <v>40000</v>
      </c>
      <c r="H66" s="16">
        <v>20000</v>
      </c>
      <c r="I66" s="16">
        <v>30000</v>
      </c>
      <c r="J66" s="38">
        <v>35000</v>
      </c>
      <c r="K66" s="20">
        <f t="shared" si="0"/>
        <v>28428.571428571428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30000</v>
      </c>
      <c r="J70" s="38">
        <v>35000</v>
      </c>
      <c r="K70" s="20">
        <f t="shared" si="0"/>
        <v>34285.714285714283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30000</v>
      </c>
      <c r="E71" s="15">
        <v>30000</v>
      </c>
      <c r="F71" s="15">
        <v>32000</v>
      </c>
      <c r="G71" s="15">
        <v>35000</v>
      </c>
      <c r="H71" s="16">
        <v>29000</v>
      </c>
      <c r="I71" s="16">
        <v>26000</v>
      </c>
      <c r="J71" s="38">
        <v>28000</v>
      </c>
      <c r="K71" s="20">
        <f t="shared" si="0"/>
        <v>30000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38000</v>
      </c>
      <c r="E72" s="15">
        <v>40000</v>
      </c>
      <c r="F72" s="15">
        <v>50000</v>
      </c>
      <c r="G72" s="15">
        <v>50000</v>
      </c>
      <c r="H72" s="16">
        <v>32000</v>
      </c>
      <c r="I72" s="16">
        <v>40000</v>
      </c>
      <c r="J72" s="38">
        <v>40000</v>
      </c>
      <c r="K72" s="20">
        <f t="shared" si="0"/>
        <v>41428.571428571428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35000</v>
      </c>
      <c r="E73" s="26">
        <v>50000</v>
      </c>
      <c r="F73" s="54">
        <v>45000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10000</v>
      </c>
      <c r="J78" s="38">
        <v>7000</v>
      </c>
      <c r="K78" s="20">
        <f t="shared" si="0"/>
        <v>9000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20000</v>
      </c>
      <c r="F79" s="15">
        <v>12000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15000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14000</v>
      </c>
      <c r="E81" s="15">
        <v>20000</v>
      </c>
      <c r="F81" s="15">
        <v>18000</v>
      </c>
      <c r="G81" s="15">
        <v>20000</v>
      </c>
      <c r="H81" s="16">
        <v>10000</v>
      </c>
      <c r="I81" s="51">
        <v>20000</v>
      </c>
      <c r="J81" s="38">
        <v>14000</v>
      </c>
      <c r="K81" s="20">
        <f t="shared" ref="K81:K88" si="1">AVERAGE(D81:J81)</f>
        <v>16571.428571428572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13000</v>
      </c>
      <c r="J82" s="38">
        <v>7000</v>
      </c>
      <c r="K82" s="20">
        <f t="shared" si="1"/>
        <v>11285.714285714286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9333.3333333333339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3F8-84A6-46C1-819B-AACC55A465EB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141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13000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10333.333333333334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>
        <v>125000</v>
      </c>
      <c r="K22" s="20">
        <f t="shared" si="0"/>
        <v>121428.57142857143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118000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113857.14285714286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115000</v>
      </c>
      <c r="H24" s="16">
        <v>100000</v>
      </c>
      <c r="I24" s="51">
        <v>110000</v>
      </c>
      <c r="J24" s="52" t="s">
        <v>94</v>
      </c>
      <c r="K24" s="20">
        <f t="shared" si="0"/>
        <v>105000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38000</v>
      </c>
      <c r="E25" s="15">
        <v>35000</v>
      </c>
      <c r="F25" s="15">
        <v>35000</v>
      </c>
      <c r="G25" s="15">
        <v>35000</v>
      </c>
      <c r="H25" s="38">
        <v>36000</v>
      </c>
      <c r="I25" s="23">
        <v>36000</v>
      </c>
      <c r="J25" s="38">
        <v>40000</v>
      </c>
      <c r="K25" s="20">
        <f t="shared" si="0"/>
        <v>36428.571428571428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39666.666666666664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31428.571428571428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65714.28571428571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26000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26857.142857142859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12200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28000</v>
      </c>
      <c r="J59" s="52">
        <v>26000</v>
      </c>
      <c r="K59" s="20">
        <f t="shared" si="0"/>
        <v>25714.285714285714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28000</v>
      </c>
      <c r="E64" s="15">
        <v>35000</v>
      </c>
      <c r="F64" s="15">
        <v>25000</v>
      </c>
      <c r="G64" s="15">
        <v>40000</v>
      </c>
      <c r="H64" s="16">
        <v>18000</v>
      </c>
      <c r="I64" s="16">
        <v>35000</v>
      </c>
      <c r="J64" s="38">
        <v>30000</v>
      </c>
      <c r="K64" s="20">
        <f t="shared" si="0"/>
        <v>30142.857142857141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50000</v>
      </c>
      <c r="F65" s="15">
        <v>25000</v>
      </c>
      <c r="G65" s="15">
        <v>50000</v>
      </c>
      <c r="H65" s="71" t="s">
        <v>94</v>
      </c>
      <c r="I65" s="51" t="s">
        <v>94</v>
      </c>
      <c r="J65" s="52" t="s">
        <v>94</v>
      </c>
      <c r="K65" s="20">
        <f t="shared" si="0"/>
        <v>38750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24000</v>
      </c>
      <c r="E66" s="15">
        <v>30000</v>
      </c>
      <c r="F66" s="15">
        <v>25000</v>
      </c>
      <c r="G66" s="15">
        <v>30000</v>
      </c>
      <c r="H66" s="16">
        <v>20000</v>
      </c>
      <c r="I66" s="16">
        <v>30000</v>
      </c>
      <c r="J66" s="38">
        <v>30000</v>
      </c>
      <c r="K66" s="20">
        <f t="shared" si="0"/>
        <v>27000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30000</v>
      </c>
      <c r="J70" s="38">
        <v>35000</v>
      </c>
      <c r="K70" s="20">
        <f t="shared" si="0"/>
        <v>34285.714285714283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30000</v>
      </c>
      <c r="E71" s="15">
        <v>30000</v>
      </c>
      <c r="F71" s="15">
        <v>32000</v>
      </c>
      <c r="G71" s="15">
        <v>35000</v>
      </c>
      <c r="H71" s="16">
        <v>29000</v>
      </c>
      <c r="I71" s="16">
        <v>26000</v>
      </c>
      <c r="J71" s="38">
        <v>28000</v>
      </c>
      <c r="K71" s="20">
        <f t="shared" si="0"/>
        <v>30000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38000</v>
      </c>
      <c r="E72" s="15">
        <v>40000</v>
      </c>
      <c r="F72" s="15">
        <v>45000</v>
      </c>
      <c r="G72" s="15">
        <v>50000</v>
      </c>
      <c r="H72" s="16">
        <v>38000</v>
      </c>
      <c r="I72" s="16">
        <v>40000</v>
      </c>
      <c r="J72" s="38">
        <v>50000</v>
      </c>
      <c r="K72" s="20">
        <f t="shared" si="0"/>
        <v>43000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35000</v>
      </c>
      <c r="E73" s="26">
        <v>50000</v>
      </c>
      <c r="F73" s="54">
        <v>50000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 t="shared" si="0"/>
        <v>41714.285714285717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15000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14000</v>
      </c>
      <c r="E81" s="15">
        <v>20000</v>
      </c>
      <c r="F81" s="15">
        <v>16000</v>
      </c>
      <c r="G81" s="15">
        <v>20000</v>
      </c>
      <c r="H81" s="16">
        <v>8000</v>
      </c>
      <c r="I81" s="51">
        <v>18000</v>
      </c>
      <c r="J81" s="38">
        <v>15000</v>
      </c>
      <c r="K81" s="20">
        <f t="shared" ref="K81:K88" si="1">AVERAGE(D81:J81)</f>
        <v>15857.142857142857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10000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13000</v>
      </c>
      <c r="J82" s="38">
        <v>10000</v>
      </c>
      <c r="K82" s="20">
        <f t="shared" si="1"/>
        <v>12000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9166.6666666666661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A8BD-9278-4D4C-BA24-7A3EAB75CD70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142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15000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13000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10333.333333333334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16285.714285714286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125000</v>
      </c>
      <c r="H22" s="16">
        <v>120000</v>
      </c>
      <c r="I22" s="51">
        <v>120000</v>
      </c>
      <c r="J22" s="52">
        <v>125000</v>
      </c>
      <c r="K22" s="20">
        <f t="shared" si="0"/>
        <v>122857.14285714286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114142.85714285714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115000</v>
      </c>
      <c r="H24" s="16">
        <v>100000</v>
      </c>
      <c r="I24" s="51">
        <v>110000</v>
      </c>
      <c r="J24" s="52" t="s">
        <v>94</v>
      </c>
      <c r="K24" s="20">
        <f t="shared" si="0"/>
        <v>105000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36000</v>
      </c>
      <c r="E25" s="15">
        <v>34000</v>
      </c>
      <c r="F25" s="15">
        <v>38000</v>
      </c>
      <c r="G25" s="15">
        <v>37000</v>
      </c>
      <c r="H25" s="38">
        <v>36000</v>
      </c>
      <c r="I25" s="23">
        <v>35000</v>
      </c>
      <c r="J25" s="38">
        <v>40000</v>
      </c>
      <c r="K25" s="20">
        <f t="shared" si="0"/>
        <v>36571.428571428572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31428.571428571428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67142.857142857145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130000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103333.33333333333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28000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13000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12400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32000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24000</v>
      </c>
      <c r="E64" s="15">
        <v>25000</v>
      </c>
      <c r="F64" s="15">
        <v>28000</v>
      </c>
      <c r="G64" s="15">
        <v>40000</v>
      </c>
      <c r="H64" s="16">
        <v>18000</v>
      </c>
      <c r="I64" s="16">
        <v>35000</v>
      </c>
      <c r="J64" s="38">
        <v>25000</v>
      </c>
      <c r="K64" s="20">
        <f t="shared" si="0"/>
        <v>27857.142857142859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25000</v>
      </c>
      <c r="F65" s="15">
        <v>50000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36250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25000</v>
      </c>
      <c r="E66" s="15">
        <v>30000</v>
      </c>
      <c r="F66" s="15">
        <v>24000</v>
      </c>
      <c r="G66" s="15">
        <v>30000</v>
      </c>
      <c r="H66" s="16">
        <v>20000</v>
      </c>
      <c r="I66" s="16">
        <v>30000</v>
      </c>
      <c r="J66" s="38">
        <v>25000</v>
      </c>
      <c r="K66" s="20">
        <f t="shared" si="0"/>
        <v>26285.714285714286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35000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30000</v>
      </c>
      <c r="E71" s="15">
        <v>30000</v>
      </c>
      <c r="F71" s="15">
        <v>32000</v>
      </c>
      <c r="G71" s="15">
        <v>35000</v>
      </c>
      <c r="H71" s="16">
        <v>29000</v>
      </c>
      <c r="I71" s="16">
        <v>30000</v>
      </c>
      <c r="J71" s="38">
        <v>28000</v>
      </c>
      <c r="K71" s="20">
        <f t="shared" si="0"/>
        <v>30571.428571428572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38000</v>
      </c>
      <c r="E72" s="15">
        <v>45000</v>
      </c>
      <c r="F72" s="15">
        <v>48000</v>
      </c>
      <c r="G72" s="15">
        <v>50000</v>
      </c>
      <c r="H72" s="16">
        <v>38000</v>
      </c>
      <c r="I72" s="16">
        <v>40000</v>
      </c>
      <c r="J72" s="38">
        <v>40000</v>
      </c>
      <c r="K72" s="20">
        <f t="shared" si="0"/>
        <v>42714.285714285717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35000</v>
      </c>
      <c r="E73" s="26">
        <v>40000</v>
      </c>
      <c r="F73" s="54">
        <v>45000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 t="shared" si="0"/>
        <v>39571.428571428572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9142.8571428571431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10000</v>
      </c>
      <c r="E79" s="15">
        <v>20000</v>
      </c>
      <c r="F79" s="15">
        <v>14000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15000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8000</v>
      </c>
      <c r="I81" s="51">
        <v>18000</v>
      </c>
      <c r="J81" s="38">
        <v>15000</v>
      </c>
      <c r="K81" s="20">
        <f t="shared" ref="K81:K88" si="1">AVERAGE(D81:J81)</f>
        <v>15142.857142857143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13000</v>
      </c>
      <c r="J82" s="38">
        <v>10000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9333.3333333333339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9DC3-3960-4CA5-9146-AB0F3C2CCE6E}">
  <dimension ref="A1:N92"/>
  <sheetViews>
    <sheetView workbookViewId="0">
      <selection activeCell="F13" sqref="F13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57" t="s">
        <v>83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M1" s="5"/>
      <c r="N1" s="5"/>
    </row>
    <row r="2" spans="1:14" ht="27.75" customHeight="1" x14ac:dyDescent="0.25">
      <c r="A2" s="158" t="s">
        <v>84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5"/>
      <c r="N2" s="5"/>
    </row>
    <row r="3" spans="1:14" ht="27.75" customHeight="1" thickBot="1" x14ac:dyDescent="0.3">
      <c r="A3" s="159" t="s">
        <v>142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M3" s="5"/>
      <c r="N3" s="5"/>
    </row>
    <row r="4" spans="1:14" ht="25.5" customHeight="1" x14ac:dyDescent="0.25">
      <c r="A4" s="124" t="s">
        <v>1</v>
      </c>
      <c r="B4" s="127" t="s">
        <v>2</v>
      </c>
      <c r="C4" s="124" t="s">
        <v>85</v>
      </c>
      <c r="D4" s="182" t="s">
        <v>86</v>
      </c>
      <c r="E4" s="185" t="s">
        <v>87</v>
      </c>
      <c r="F4" s="176" t="s">
        <v>88</v>
      </c>
      <c r="G4" s="179" t="s">
        <v>89</v>
      </c>
      <c r="H4" s="170" t="s">
        <v>90</v>
      </c>
      <c r="I4" s="173" t="s">
        <v>91</v>
      </c>
      <c r="J4" s="161" t="s">
        <v>92</v>
      </c>
      <c r="K4" s="147" t="s">
        <v>93</v>
      </c>
      <c r="M4" s="5"/>
      <c r="N4" s="5"/>
    </row>
    <row r="5" spans="1:14" ht="15" customHeight="1" x14ac:dyDescent="0.25">
      <c r="A5" s="125"/>
      <c r="B5" s="128"/>
      <c r="C5" s="125"/>
      <c r="D5" s="183"/>
      <c r="E5" s="186"/>
      <c r="F5" s="177"/>
      <c r="G5" s="180"/>
      <c r="H5" s="171"/>
      <c r="I5" s="174"/>
      <c r="J5" s="162"/>
      <c r="K5" s="148"/>
      <c r="M5" s="5"/>
      <c r="N5" s="5"/>
    </row>
    <row r="6" spans="1:14" ht="16.5" thickBot="1" x14ac:dyDescent="0.3">
      <c r="A6" s="126"/>
      <c r="B6" s="129"/>
      <c r="C6" s="126"/>
      <c r="D6" s="184"/>
      <c r="E6" s="187"/>
      <c r="F6" s="178"/>
      <c r="G6" s="181"/>
      <c r="H6" s="172"/>
      <c r="I6" s="175"/>
      <c r="J6" s="163"/>
      <c r="K6" s="149"/>
      <c r="M6" s="5"/>
      <c r="N6" s="5"/>
    </row>
    <row r="7" spans="1:14" ht="15.75" x14ac:dyDescent="0.25">
      <c r="A7" s="150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39"/>
      <c r="B8" s="13" t="s">
        <v>103</v>
      </c>
      <c r="C8" s="14" t="s">
        <v>5</v>
      </c>
      <c r="D8" s="21">
        <v>13000</v>
      </c>
      <c r="E8" s="15">
        <v>13500</v>
      </c>
      <c r="F8" s="15">
        <v>15000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39"/>
      <c r="B9" s="13" t="s">
        <v>104</v>
      </c>
      <c r="C9" s="14" t="s">
        <v>5</v>
      </c>
      <c r="D9" s="39" t="s">
        <v>94</v>
      </c>
      <c r="E9" s="26" t="s">
        <v>94</v>
      </c>
      <c r="F9" s="15">
        <v>13000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10333.333333333334</v>
      </c>
      <c r="M9" s="5"/>
      <c r="N9" s="5"/>
    </row>
    <row r="10" spans="1:14" ht="15.75" x14ac:dyDescent="0.25">
      <c r="A10" s="139"/>
      <c r="B10" s="13" t="s">
        <v>105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3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4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3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39"/>
      <c r="B14" s="13" t="s">
        <v>106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13071.428571428571</v>
      </c>
      <c r="M14" s="5"/>
      <c r="N14" s="5"/>
    </row>
    <row r="15" spans="1:14" ht="15.75" x14ac:dyDescent="0.25">
      <c r="A15" s="14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16285.714285714286</v>
      </c>
      <c r="M15" s="5"/>
      <c r="N15" s="5"/>
    </row>
    <row r="16" spans="1:14" ht="15.75" x14ac:dyDescent="0.25">
      <c r="A16" s="13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3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107</v>
      </c>
      <c r="C18" s="14" t="s">
        <v>108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3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4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3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3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125000</v>
      </c>
      <c r="H22" s="16">
        <v>120000</v>
      </c>
      <c r="I22" s="51">
        <v>120000</v>
      </c>
      <c r="J22" s="52">
        <v>125000</v>
      </c>
      <c r="K22" s="20">
        <f t="shared" si="0"/>
        <v>122857.14285714286</v>
      </c>
      <c r="M22" s="5"/>
      <c r="N22" s="5"/>
    </row>
    <row r="23" spans="1:14" ht="15.75" x14ac:dyDescent="0.25">
      <c r="A23" s="13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110000</v>
      </c>
      <c r="K23" s="20">
        <f t="shared" si="0"/>
        <v>114142.85714285714</v>
      </c>
      <c r="M23" s="5"/>
      <c r="N23" s="5"/>
    </row>
    <row r="24" spans="1:14" ht="15.75" x14ac:dyDescent="0.25">
      <c r="A24" s="13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115000</v>
      </c>
      <c r="H24" s="16">
        <v>100000</v>
      </c>
      <c r="I24" s="51">
        <v>110000</v>
      </c>
      <c r="J24" s="52" t="s">
        <v>94</v>
      </c>
      <c r="K24" s="20">
        <f t="shared" si="0"/>
        <v>105000</v>
      </c>
      <c r="M24" s="5"/>
      <c r="N24" s="5"/>
    </row>
    <row r="25" spans="1:14" ht="15.75" x14ac:dyDescent="0.25">
      <c r="A25" s="140"/>
      <c r="B25" s="13" t="s">
        <v>18</v>
      </c>
      <c r="C25" s="14" t="s">
        <v>5</v>
      </c>
      <c r="D25" s="21">
        <v>36000</v>
      </c>
      <c r="E25" s="15">
        <v>34000</v>
      </c>
      <c r="F25" s="15">
        <v>38000</v>
      </c>
      <c r="G25" s="15">
        <v>37000</v>
      </c>
      <c r="H25" s="38">
        <v>36000</v>
      </c>
      <c r="I25" s="23">
        <v>35000</v>
      </c>
      <c r="J25" s="38">
        <v>40000</v>
      </c>
      <c r="K25" s="20">
        <f t="shared" si="0"/>
        <v>36571.428571428572</v>
      </c>
      <c r="M25" s="5"/>
      <c r="N25" s="5"/>
    </row>
    <row r="26" spans="1:14" ht="15.75" x14ac:dyDescent="0.25">
      <c r="A26" s="13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3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3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31428.571428571428</v>
      </c>
      <c r="L28" t="s">
        <v>95</v>
      </c>
      <c r="M28" s="5"/>
      <c r="N28" s="5"/>
    </row>
    <row r="29" spans="1:14" ht="15.75" x14ac:dyDescent="0.25">
      <c r="A29" s="13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67142.857142857145</v>
      </c>
      <c r="M29" s="5"/>
      <c r="N29" s="5"/>
    </row>
    <row r="30" spans="1:14" ht="15.75" x14ac:dyDescent="0.25">
      <c r="A30" s="13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3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40"/>
      <c r="B32" s="13" t="s">
        <v>25</v>
      </c>
      <c r="C32" s="14" t="s">
        <v>5</v>
      </c>
      <c r="D32" s="39" t="s">
        <v>94</v>
      </c>
      <c r="E32" s="15">
        <v>100000</v>
      </c>
      <c r="F32" s="15">
        <v>130000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103333.33333333333</v>
      </c>
      <c r="M32" s="5"/>
      <c r="N32" s="5"/>
    </row>
    <row r="33" spans="1:14" ht="15.75" x14ac:dyDescent="0.25">
      <c r="A33" s="13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39"/>
      <c r="B34" s="13" t="s">
        <v>27</v>
      </c>
      <c r="C34" s="14" t="s">
        <v>5</v>
      </c>
      <c r="D34" s="21">
        <v>27000</v>
      </c>
      <c r="E34" s="15">
        <v>27000</v>
      </c>
      <c r="F34" s="15">
        <v>28000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 t="shared" si="0"/>
        <v>27142.857142857141</v>
      </c>
      <c r="M34" s="5"/>
      <c r="N34" s="5"/>
    </row>
    <row r="35" spans="1:14" ht="15.75" x14ac:dyDescent="0.25">
      <c r="A35" s="14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109</v>
      </c>
      <c r="C36" s="58"/>
      <c r="D36" s="21"/>
      <c r="E36" s="15"/>
      <c r="F36" s="15"/>
      <c r="G36" s="15"/>
      <c r="H36" s="16"/>
      <c r="I36" s="16"/>
      <c r="J36" s="38"/>
      <c r="K36" s="91"/>
      <c r="M36" s="5"/>
      <c r="N36" s="5"/>
    </row>
    <row r="37" spans="1:14" ht="15.75" x14ac:dyDescent="0.25">
      <c r="A37" s="12"/>
      <c r="B37" s="13" t="s">
        <v>110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111</v>
      </c>
      <c r="C38" s="14" t="s">
        <v>5</v>
      </c>
      <c r="D38" s="39" t="s">
        <v>94</v>
      </c>
      <c r="E38" s="15">
        <v>7000</v>
      </c>
      <c r="F38" s="15">
        <v>13000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12400</v>
      </c>
      <c r="M38" s="5"/>
      <c r="N38" s="5"/>
    </row>
    <row r="39" spans="1:14" ht="15.75" x14ac:dyDescent="0.25">
      <c r="A39" s="12">
        <v>9</v>
      </c>
      <c r="B39" s="92" t="s">
        <v>112</v>
      </c>
      <c r="C39" s="93"/>
      <c r="D39" s="39"/>
      <c r="E39" s="15"/>
      <c r="F39" s="15"/>
      <c r="G39" s="15"/>
      <c r="H39" s="16"/>
      <c r="I39" s="16"/>
      <c r="J39" s="38"/>
      <c r="K39" s="91"/>
      <c r="M39" s="5"/>
      <c r="N39" s="5"/>
    </row>
    <row r="40" spans="1:14" ht="15.75" x14ac:dyDescent="0.25">
      <c r="A40" s="12"/>
      <c r="B40" s="13" t="s">
        <v>113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114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115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3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3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40"/>
      <c r="B45" s="13" t="s">
        <v>116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3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3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3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3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4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3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4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3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3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3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3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40"/>
      <c r="B60" s="13" t="s">
        <v>50</v>
      </c>
      <c r="C60" s="14" t="s">
        <v>5</v>
      </c>
      <c r="D60" s="21">
        <v>30000</v>
      </c>
      <c r="E60" s="15">
        <v>30000</v>
      </c>
      <c r="F60" s="15">
        <v>32000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 t="shared" si="0"/>
        <v>29428.571428571428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3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39"/>
      <c r="B64" s="13" t="s">
        <v>55</v>
      </c>
      <c r="C64" s="14" t="s">
        <v>5</v>
      </c>
      <c r="D64" s="21">
        <v>24000</v>
      </c>
      <c r="E64" s="15">
        <v>25000</v>
      </c>
      <c r="F64" s="15">
        <v>28000</v>
      </c>
      <c r="G64" s="15">
        <v>40000</v>
      </c>
      <c r="H64" s="16">
        <v>18000</v>
      </c>
      <c r="I64" s="16">
        <v>35000</v>
      </c>
      <c r="J64" s="38">
        <v>25000</v>
      </c>
      <c r="K64" s="20">
        <f t="shared" si="0"/>
        <v>27857.142857142859</v>
      </c>
      <c r="M64" s="5"/>
      <c r="N64" s="5"/>
    </row>
    <row r="65" spans="1:14" ht="15.75" x14ac:dyDescent="0.25">
      <c r="A65" s="139"/>
      <c r="B65" s="13" t="s">
        <v>56</v>
      </c>
      <c r="C65" s="14" t="s">
        <v>5</v>
      </c>
      <c r="D65" s="39">
        <v>30000</v>
      </c>
      <c r="E65" s="15">
        <v>25000</v>
      </c>
      <c r="F65" s="15">
        <v>50000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36250</v>
      </c>
      <c r="M65" s="5"/>
      <c r="N65" s="5"/>
    </row>
    <row r="66" spans="1:14" ht="15.75" x14ac:dyDescent="0.25">
      <c r="A66" s="140"/>
      <c r="B66" s="13" t="s">
        <v>57</v>
      </c>
      <c r="C66" s="14" t="s">
        <v>5</v>
      </c>
      <c r="D66" s="21">
        <v>25000</v>
      </c>
      <c r="E66" s="15">
        <v>30000</v>
      </c>
      <c r="F66" s="15">
        <v>24000</v>
      </c>
      <c r="G66" s="15">
        <v>30000</v>
      </c>
      <c r="H66" s="16">
        <v>20000</v>
      </c>
      <c r="I66" s="16">
        <v>30000</v>
      </c>
      <c r="J66" s="38">
        <v>25000</v>
      </c>
      <c r="K66" s="20">
        <f t="shared" si="0"/>
        <v>26285.714285714286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3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3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35000</v>
      </c>
      <c r="M70" s="5"/>
      <c r="N70" s="5"/>
    </row>
    <row r="71" spans="1:14" ht="15.75" x14ac:dyDescent="0.25">
      <c r="A71" s="139"/>
      <c r="B71" s="13" t="s">
        <v>63</v>
      </c>
      <c r="C71" s="14" t="s">
        <v>5</v>
      </c>
      <c r="D71" s="39">
        <v>30000</v>
      </c>
      <c r="E71" s="15">
        <v>30000</v>
      </c>
      <c r="F71" s="15">
        <v>32000</v>
      </c>
      <c r="G71" s="15">
        <v>35000</v>
      </c>
      <c r="H71" s="16">
        <v>29000</v>
      </c>
      <c r="I71" s="16">
        <v>30000</v>
      </c>
      <c r="J71" s="38">
        <v>28000</v>
      </c>
      <c r="K71" s="20">
        <f t="shared" si="0"/>
        <v>30571.428571428572</v>
      </c>
      <c r="M71" s="5"/>
      <c r="N71" s="5"/>
    </row>
    <row r="72" spans="1:14" ht="15.75" x14ac:dyDescent="0.25">
      <c r="A72" s="139"/>
      <c r="B72" s="13" t="s">
        <v>64</v>
      </c>
      <c r="C72" s="14" t="s">
        <v>5</v>
      </c>
      <c r="D72" s="21">
        <v>38000</v>
      </c>
      <c r="E72" s="15">
        <v>45000</v>
      </c>
      <c r="F72" s="15">
        <v>48000</v>
      </c>
      <c r="G72" s="15">
        <v>50000</v>
      </c>
      <c r="H72" s="16">
        <v>38000</v>
      </c>
      <c r="I72" s="16">
        <v>40000</v>
      </c>
      <c r="J72" s="38">
        <v>40000</v>
      </c>
      <c r="K72" s="20">
        <f t="shared" si="0"/>
        <v>42714.285714285717</v>
      </c>
      <c r="M72" s="5"/>
      <c r="N72" s="5"/>
    </row>
    <row r="73" spans="1:14" ht="15.75" x14ac:dyDescent="0.25">
      <c r="A73" s="140"/>
      <c r="B73" s="13" t="s">
        <v>65</v>
      </c>
      <c r="C73" s="14" t="s">
        <v>5</v>
      </c>
      <c r="D73" s="21">
        <v>35000</v>
      </c>
      <c r="E73" s="26">
        <v>40000</v>
      </c>
      <c r="F73" s="54">
        <v>45000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 t="shared" si="0"/>
        <v>39571.428571428572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9142.8571428571431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10000</v>
      </c>
      <c r="E79" s="15">
        <v>20000</v>
      </c>
      <c r="F79" s="15">
        <v>14000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 t="shared" si="0"/>
        <v>14142.857142857143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15000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8000</v>
      </c>
      <c r="I81" s="51">
        <v>18000</v>
      </c>
      <c r="J81" s="38">
        <v>15000</v>
      </c>
      <c r="K81" s="20">
        <f t="shared" ref="K81:K88" si="1">AVERAGE(D81:J81)</f>
        <v>15142.857142857143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13000</v>
      </c>
      <c r="J82" s="38">
        <v>10000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9333.3333333333339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6:A17"/>
    <mergeCell ref="A19:A20"/>
    <mergeCell ref="A21:A25"/>
    <mergeCell ref="A26:A32"/>
    <mergeCell ref="A33:A35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REKAPITULASI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2023-01-31T09:02:16Z</cp:lastPrinted>
  <dcterms:created xsi:type="dcterms:W3CDTF">2022-08-09T08:09:18Z</dcterms:created>
  <dcterms:modified xsi:type="dcterms:W3CDTF">2024-01-17T08:17:08Z</dcterms:modified>
</cp:coreProperties>
</file>