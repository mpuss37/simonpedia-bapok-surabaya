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drawings/drawing25.xml" ContentType="application/vnd.openxmlformats-officedocument.drawing+xml"/>
  <Override PartName="/xl/comments26.xml" ContentType="application/vnd.openxmlformats-officedocument.spreadsheetml.comments+xml"/>
  <Override PartName="/xl/drawings/drawing26.xml" ContentType="application/vnd.openxmlformats-officedocument.drawing+xml"/>
  <Override PartName="/xl/comments27.xml" ContentType="application/vnd.openxmlformats-officedocument.spreadsheetml.comments+xml"/>
  <Override PartName="/xl/drawings/drawing27.xml" ContentType="application/vnd.openxmlformats-officedocument.drawing+xml"/>
  <Override PartName="/xl/comments28.xml" ContentType="application/vnd.openxmlformats-officedocument.spreadsheetml.comments+xml"/>
  <Override PartName="/xl/drawings/drawing28.xml" ContentType="application/vnd.openxmlformats-officedocument.drawing+xml"/>
  <Override PartName="/xl/comments29.xml" ContentType="application/vnd.openxmlformats-officedocument.spreadsheetml.comments+xml"/>
  <Override PartName="/xl/drawings/drawing29.xml" ContentType="application/vnd.openxmlformats-officedocument.drawing+xml"/>
  <Override PartName="/xl/comments30.xml" ContentType="application/vnd.openxmlformats-officedocument.spreadsheetml.comments+xml"/>
  <Override PartName="/xl/drawings/drawing30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3\"/>
    </mc:Choice>
  </mc:AlternateContent>
  <xr:revisionPtr revIDLastSave="0" documentId="13_ncr:1_{DC0B83A6-5419-40F6-818D-619B31AC30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KAPITULASI" sheetId="1" r:id="rId1"/>
    <sheet name="1" sheetId="146" r:id="rId2"/>
    <sheet name="2" sheetId="147" r:id="rId3"/>
    <sheet name="3" sheetId="148" r:id="rId4"/>
    <sheet name="4" sheetId="149" r:id="rId5"/>
    <sheet name="5" sheetId="150" r:id="rId6"/>
    <sheet name="6" sheetId="151" r:id="rId7"/>
    <sheet name="7" sheetId="139" r:id="rId8"/>
    <sheet name="8" sheetId="140" r:id="rId9"/>
    <sheet name="9" sheetId="141" r:id="rId10"/>
    <sheet name="10" sheetId="142" r:id="rId11"/>
    <sheet name="11" sheetId="143" r:id="rId12"/>
    <sheet name="12" sheetId="144" r:id="rId13"/>
    <sheet name="13" sheetId="145" r:id="rId14"/>
    <sheet name="14" sheetId="152" r:id="rId15"/>
    <sheet name="15" sheetId="153" r:id="rId16"/>
    <sheet name="16" sheetId="154" r:id="rId17"/>
    <sheet name="17" sheetId="155" r:id="rId18"/>
    <sheet name="18" sheetId="156" r:id="rId19"/>
    <sheet name="19" sheetId="157" r:id="rId20"/>
    <sheet name="20" sheetId="159" r:id="rId21"/>
    <sheet name="21" sheetId="160" r:id="rId22"/>
    <sheet name="22" sheetId="161" r:id="rId23"/>
    <sheet name="23" sheetId="162" r:id="rId24"/>
    <sheet name="24" sheetId="163" r:id="rId25"/>
    <sheet name="25" sheetId="164" r:id="rId26"/>
    <sheet name="26" sheetId="165" r:id="rId27"/>
    <sheet name="27" sheetId="166" r:id="rId28"/>
    <sheet name="28" sheetId="167" r:id="rId29"/>
    <sheet name="29" sheetId="169" r:id="rId30"/>
    <sheet name="30" sheetId="168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" i="1" l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" i="1"/>
  <c r="K88" i="168"/>
  <c r="K86" i="168"/>
  <c r="K85" i="168"/>
  <c r="K84" i="168"/>
  <c r="K83" i="168"/>
  <c r="K82" i="168"/>
  <c r="K81" i="168"/>
  <c r="K80" i="168"/>
  <c r="K79" i="168"/>
  <c r="K78" i="168"/>
  <c r="K76" i="168"/>
  <c r="K75" i="168"/>
  <c r="K73" i="168"/>
  <c r="K72" i="168"/>
  <c r="K71" i="168"/>
  <c r="K70" i="168"/>
  <c r="K68" i="168"/>
  <c r="K66" i="168"/>
  <c r="K65" i="168"/>
  <c r="K64" i="168"/>
  <c r="K62" i="168"/>
  <c r="K60" i="168"/>
  <c r="K59" i="168"/>
  <c r="K58" i="168"/>
  <c r="K57" i="168"/>
  <c r="K55" i="168"/>
  <c r="K53" i="168"/>
  <c r="K51" i="168"/>
  <c r="K50" i="168"/>
  <c r="K48" i="168"/>
  <c r="K47" i="168"/>
  <c r="K45" i="168"/>
  <c r="K44" i="168"/>
  <c r="K42" i="168"/>
  <c r="K41" i="168"/>
  <c r="K40" i="168"/>
  <c r="K38" i="168"/>
  <c r="K37" i="168"/>
  <c r="K35" i="168"/>
  <c r="K34" i="168"/>
  <c r="K32" i="168"/>
  <c r="K31" i="168"/>
  <c r="K30" i="168"/>
  <c r="K29" i="168"/>
  <c r="K28" i="168"/>
  <c r="K27" i="168"/>
  <c r="K25" i="168"/>
  <c r="K24" i="168"/>
  <c r="K23" i="168"/>
  <c r="K22" i="168"/>
  <c r="K20" i="168"/>
  <c r="K18" i="168"/>
  <c r="K17" i="168"/>
  <c r="K15" i="168"/>
  <c r="K14" i="168"/>
  <c r="K12" i="168"/>
  <c r="K11" i="168"/>
  <c r="K9" i="168"/>
  <c r="K8" i="168"/>
  <c r="K88" i="169"/>
  <c r="K86" i="169"/>
  <c r="K85" i="169"/>
  <c r="K84" i="169"/>
  <c r="K83" i="169"/>
  <c r="K82" i="169"/>
  <c r="K81" i="169"/>
  <c r="K80" i="169"/>
  <c r="K79" i="169"/>
  <c r="K78" i="169"/>
  <c r="K76" i="169"/>
  <c r="K75" i="169"/>
  <c r="K73" i="169"/>
  <c r="K72" i="169"/>
  <c r="K71" i="169"/>
  <c r="K70" i="169"/>
  <c r="K68" i="169"/>
  <c r="K66" i="169"/>
  <c r="K65" i="169"/>
  <c r="K64" i="169"/>
  <c r="K62" i="169"/>
  <c r="K60" i="169"/>
  <c r="K59" i="169"/>
  <c r="K58" i="169"/>
  <c r="K57" i="169"/>
  <c r="K55" i="169"/>
  <c r="K53" i="169"/>
  <c r="K51" i="169"/>
  <c r="K50" i="169"/>
  <c r="K48" i="169"/>
  <c r="K47" i="169"/>
  <c r="K45" i="169"/>
  <c r="K44" i="169"/>
  <c r="K42" i="169"/>
  <c r="K41" i="169"/>
  <c r="K40" i="169"/>
  <c r="K38" i="169"/>
  <c r="K37" i="169"/>
  <c r="K35" i="169"/>
  <c r="K34" i="169"/>
  <c r="K32" i="169"/>
  <c r="K31" i="169"/>
  <c r="K30" i="169"/>
  <c r="K29" i="169"/>
  <c r="K28" i="169"/>
  <c r="K27" i="169"/>
  <c r="K25" i="169"/>
  <c r="K24" i="169"/>
  <c r="K23" i="169"/>
  <c r="K22" i="169"/>
  <c r="K20" i="169"/>
  <c r="K18" i="169"/>
  <c r="K17" i="169"/>
  <c r="K15" i="169"/>
  <c r="K14" i="169"/>
  <c r="K12" i="169"/>
  <c r="K11" i="169"/>
  <c r="K9" i="169"/>
  <c r="K8" i="169"/>
  <c r="K88" i="167"/>
  <c r="K86" i="167"/>
  <c r="K85" i="167"/>
  <c r="K84" i="167"/>
  <c r="K83" i="167"/>
  <c r="K82" i="167"/>
  <c r="K81" i="167"/>
  <c r="K80" i="167"/>
  <c r="K79" i="167"/>
  <c r="K78" i="167"/>
  <c r="K76" i="167"/>
  <c r="K75" i="167"/>
  <c r="K73" i="167"/>
  <c r="K72" i="167"/>
  <c r="K71" i="167"/>
  <c r="K70" i="167"/>
  <c r="K68" i="167"/>
  <c r="K66" i="167"/>
  <c r="K65" i="167"/>
  <c r="K64" i="167"/>
  <c r="K62" i="167"/>
  <c r="K60" i="167"/>
  <c r="K59" i="167"/>
  <c r="K58" i="167"/>
  <c r="K57" i="167"/>
  <c r="K55" i="167"/>
  <c r="K53" i="167"/>
  <c r="K51" i="167"/>
  <c r="K50" i="167"/>
  <c r="K48" i="167"/>
  <c r="K47" i="167"/>
  <c r="K45" i="167"/>
  <c r="K44" i="167"/>
  <c r="K42" i="167"/>
  <c r="K41" i="167"/>
  <c r="K40" i="167"/>
  <c r="K38" i="167"/>
  <c r="K37" i="167"/>
  <c r="K35" i="167"/>
  <c r="K34" i="167"/>
  <c r="K32" i="167"/>
  <c r="K31" i="167"/>
  <c r="K30" i="167"/>
  <c r="K29" i="167"/>
  <c r="K28" i="167"/>
  <c r="K27" i="167"/>
  <c r="K25" i="167"/>
  <c r="K24" i="167"/>
  <c r="K23" i="167"/>
  <c r="K22" i="167"/>
  <c r="K20" i="167"/>
  <c r="K18" i="167"/>
  <c r="K17" i="167"/>
  <c r="K15" i="167"/>
  <c r="K14" i="167"/>
  <c r="K12" i="167"/>
  <c r="K11" i="167"/>
  <c r="K9" i="167"/>
  <c r="K8" i="167"/>
  <c r="K88" i="166"/>
  <c r="K86" i="166"/>
  <c r="K85" i="166"/>
  <c r="K84" i="166"/>
  <c r="K83" i="166"/>
  <c r="K82" i="166"/>
  <c r="K81" i="166"/>
  <c r="K80" i="166"/>
  <c r="K79" i="166"/>
  <c r="K78" i="166"/>
  <c r="K76" i="166"/>
  <c r="K75" i="166"/>
  <c r="K73" i="166"/>
  <c r="K72" i="166"/>
  <c r="K71" i="166"/>
  <c r="K70" i="166"/>
  <c r="K68" i="166"/>
  <c r="K66" i="166"/>
  <c r="K65" i="166"/>
  <c r="K64" i="166"/>
  <c r="K62" i="166"/>
  <c r="K60" i="166"/>
  <c r="K59" i="166"/>
  <c r="K58" i="166"/>
  <c r="K57" i="166"/>
  <c r="K55" i="166"/>
  <c r="K53" i="166"/>
  <c r="K51" i="166"/>
  <c r="K50" i="166"/>
  <c r="K48" i="166"/>
  <c r="K47" i="166"/>
  <c r="K45" i="166"/>
  <c r="K44" i="166"/>
  <c r="K42" i="166"/>
  <c r="K41" i="166"/>
  <c r="K40" i="166"/>
  <c r="K38" i="166"/>
  <c r="K37" i="166"/>
  <c r="K35" i="166"/>
  <c r="K34" i="166"/>
  <c r="K32" i="166"/>
  <c r="K31" i="166"/>
  <c r="K30" i="166"/>
  <c r="K29" i="166"/>
  <c r="K28" i="166"/>
  <c r="K27" i="166"/>
  <c r="K25" i="166"/>
  <c r="K24" i="166"/>
  <c r="K23" i="166"/>
  <c r="K22" i="166"/>
  <c r="K20" i="166"/>
  <c r="K18" i="166"/>
  <c r="K17" i="166"/>
  <c r="K15" i="166"/>
  <c r="K14" i="166"/>
  <c r="K12" i="166"/>
  <c r="K11" i="166"/>
  <c r="K9" i="166"/>
  <c r="K8" i="166"/>
  <c r="K88" i="165"/>
  <c r="K86" i="165"/>
  <c r="K85" i="165"/>
  <c r="K84" i="165"/>
  <c r="K83" i="165"/>
  <c r="K82" i="165"/>
  <c r="K81" i="165"/>
  <c r="K80" i="165"/>
  <c r="K79" i="165"/>
  <c r="K78" i="165"/>
  <c r="K76" i="165"/>
  <c r="K75" i="165"/>
  <c r="K73" i="165"/>
  <c r="K72" i="165"/>
  <c r="K71" i="165"/>
  <c r="K70" i="165"/>
  <c r="K68" i="165"/>
  <c r="K66" i="165"/>
  <c r="K65" i="165"/>
  <c r="K64" i="165"/>
  <c r="K62" i="165"/>
  <c r="K60" i="165"/>
  <c r="K59" i="165"/>
  <c r="K58" i="165"/>
  <c r="K57" i="165"/>
  <c r="K55" i="165"/>
  <c r="K53" i="165"/>
  <c r="K51" i="165"/>
  <c r="K50" i="165"/>
  <c r="K48" i="165"/>
  <c r="K47" i="165"/>
  <c r="K45" i="165"/>
  <c r="K44" i="165"/>
  <c r="K42" i="165"/>
  <c r="K41" i="165"/>
  <c r="K40" i="165"/>
  <c r="K38" i="165"/>
  <c r="K37" i="165"/>
  <c r="K35" i="165"/>
  <c r="K34" i="165"/>
  <c r="K32" i="165"/>
  <c r="K31" i="165"/>
  <c r="K30" i="165"/>
  <c r="K29" i="165"/>
  <c r="K28" i="165"/>
  <c r="K27" i="165"/>
  <c r="K25" i="165"/>
  <c r="K24" i="165"/>
  <c r="K23" i="165"/>
  <c r="K22" i="165"/>
  <c r="K20" i="165"/>
  <c r="K18" i="165"/>
  <c r="K17" i="165"/>
  <c r="K15" i="165"/>
  <c r="K14" i="165"/>
  <c r="K12" i="165"/>
  <c r="K11" i="165"/>
  <c r="K9" i="165"/>
  <c r="K8" i="165"/>
  <c r="K88" i="164"/>
  <c r="K86" i="164"/>
  <c r="K85" i="164"/>
  <c r="K84" i="164"/>
  <c r="K83" i="164"/>
  <c r="K82" i="164"/>
  <c r="K81" i="164"/>
  <c r="K80" i="164"/>
  <c r="K79" i="164"/>
  <c r="K78" i="164"/>
  <c r="K76" i="164"/>
  <c r="K75" i="164"/>
  <c r="K73" i="164"/>
  <c r="K72" i="164"/>
  <c r="K71" i="164"/>
  <c r="K70" i="164"/>
  <c r="K68" i="164"/>
  <c r="K66" i="164"/>
  <c r="K65" i="164"/>
  <c r="K64" i="164"/>
  <c r="K62" i="164"/>
  <c r="K60" i="164"/>
  <c r="K59" i="164"/>
  <c r="K58" i="164"/>
  <c r="K57" i="164"/>
  <c r="K55" i="164"/>
  <c r="K53" i="164"/>
  <c r="K51" i="164"/>
  <c r="K50" i="164"/>
  <c r="K48" i="164"/>
  <c r="K47" i="164"/>
  <c r="K45" i="164"/>
  <c r="K44" i="164"/>
  <c r="K42" i="164"/>
  <c r="K41" i="164"/>
  <c r="K40" i="164"/>
  <c r="K38" i="164"/>
  <c r="K37" i="164"/>
  <c r="K35" i="164"/>
  <c r="K34" i="164"/>
  <c r="K32" i="164"/>
  <c r="K31" i="164"/>
  <c r="K30" i="164"/>
  <c r="K29" i="164"/>
  <c r="K28" i="164"/>
  <c r="K27" i="164"/>
  <c r="K25" i="164"/>
  <c r="K24" i="164"/>
  <c r="K23" i="164"/>
  <c r="K22" i="164"/>
  <c r="K20" i="164"/>
  <c r="K18" i="164"/>
  <c r="K17" i="164"/>
  <c r="K15" i="164"/>
  <c r="K14" i="164"/>
  <c r="K12" i="164"/>
  <c r="K11" i="164"/>
  <c r="K9" i="164"/>
  <c r="K8" i="164"/>
  <c r="K88" i="163"/>
  <c r="K86" i="163"/>
  <c r="K85" i="163"/>
  <c r="K84" i="163"/>
  <c r="K83" i="163"/>
  <c r="K82" i="163"/>
  <c r="K81" i="163"/>
  <c r="K80" i="163"/>
  <c r="K79" i="163"/>
  <c r="K78" i="163"/>
  <c r="K76" i="163"/>
  <c r="K75" i="163"/>
  <c r="K73" i="163"/>
  <c r="K72" i="163"/>
  <c r="K71" i="163"/>
  <c r="K70" i="163"/>
  <c r="K68" i="163"/>
  <c r="K66" i="163"/>
  <c r="K65" i="163"/>
  <c r="K64" i="163"/>
  <c r="K62" i="163"/>
  <c r="K60" i="163"/>
  <c r="K59" i="163"/>
  <c r="K58" i="163"/>
  <c r="K57" i="163"/>
  <c r="K55" i="163"/>
  <c r="K53" i="163"/>
  <c r="K51" i="163"/>
  <c r="K50" i="163"/>
  <c r="K48" i="163"/>
  <c r="K47" i="163"/>
  <c r="K45" i="163"/>
  <c r="K44" i="163"/>
  <c r="K42" i="163"/>
  <c r="K41" i="163"/>
  <c r="K40" i="163"/>
  <c r="K38" i="163"/>
  <c r="K37" i="163"/>
  <c r="K35" i="163"/>
  <c r="K34" i="163"/>
  <c r="K32" i="163"/>
  <c r="K31" i="163"/>
  <c r="K30" i="163"/>
  <c r="K29" i="163"/>
  <c r="K28" i="163"/>
  <c r="K27" i="163"/>
  <c r="K25" i="163"/>
  <c r="K24" i="163"/>
  <c r="K23" i="163"/>
  <c r="K22" i="163"/>
  <c r="K20" i="163"/>
  <c r="K18" i="163"/>
  <c r="K17" i="163"/>
  <c r="K15" i="163"/>
  <c r="K14" i="163"/>
  <c r="K12" i="163"/>
  <c r="K11" i="163"/>
  <c r="K9" i="163"/>
  <c r="K8" i="163"/>
  <c r="K88" i="162" l="1"/>
  <c r="K86" i="162"/>
  <c r="K85" i="162"/>
  <c r="K84" i="162"/>
  <c r="K83" i="162"/>
  <c r="K82" i="162"/>
  <c r="K81" i="162"/>
  <c r="K80" i="162"/>
  <c r="K79" i="162"/>
  <c r="K78" i="162"/>
  <c r="K76" i="162"/>
  <c r="K75" i="162"/>
  <c r="K73" i="162"/>
  <c r="K72" i="162"/>
  <c r="K71" i="162"/>
  <c r="K70" i="162"/>
  <c r="K68" i="162"/>
  <c r="K66" i="162"/>
  <c r="K65" i="162"/>
  <c r="K64" i="162"/>
  <c r="K62" i="162"/>
  <c r="K60" i="162"/>
  <c r="K59" i="162"/>
  <c r="K58" i="162"/>
  <c r="K57" i="162"/>
  <c r="K55" i="162"/>
  <c r="K53" i="162"/>
  <c r="K51" i="162"/>
  <c r="K50" i="162"/>
  <c r="K48" i="162"/>
  <c r="K47" i="162"/>
  <c r="K45" i="162"/>
  <c r="K44" i="162"/>
  <c r="K42" i="162"/>
  <c r="K41" i="162"/>
  <c r="K40" i="162"/>
  <c r="K38" i="162"/>
  <c r="K37" i="162"/>
  <c r="K35" i="162"/>
  <c r="K34" i="162"/>
  <c r="K32" i="162"/>
  <c r="K31" i="162"/>
  <c r="K30" i="162"/>
  <c r="K29" i="162"/>
  <c r="K28" i="162"/>
  <c r="K27" i="162"/>
  <c r="K25" i="162"/>
  <c r="K24" i="162"/>
  <c r="K23" i="162"/>
  <c r="K22" i="162"/>
  <c r="K20" i="162"/>
  <c r="K18" i="162"/>
  <c r="K17" i="162"/>
  <c r="K15" i="162"/>
  <c r="K14" i="162"/>
  <c r="K12" i="162"/>
  <c r="K11" i="162"/>
  <c r="K9" i="162"/>
  <c r="K8" i="162"/>
  <c r="K88" i="161"/>
  <c r="K86" i="161"/>
  <c r="K85" i="161"/>
  <c r="K84" i="161"/>
  <c r="K83" i="161"/>
  <c r="K82" i="161"/>
  <c r="K81" i="161"/>
  <c r="K80" i="161"/>
  <c r="K79" i="161"/>
  <c r="K78" i="161"/>
  <c r="K76" i="161"/>
  <c r="K75" i="161"/>
  <c r="K73" i="161"/>
  <c r="K72" i="161"/>
  <c r="K71" i="161"/>
  <c r="K70" i="161"/>
  <c r="K68" i="161"/>
  <c r="K66" i="161"/>
  <c r="K65" i="161"/>
  <c r="K64" i="161"/>
  <c r="K62" i="161"/>
  <c r="K60" i="161"/>
  <c r="K59" i="161"/>
  <c r="K58" i="161"/>
  <c r="K57" i="161"/>
  <c r="K55" i="161"/>
  <c r="K53" i="161"/>
  <c r="K51" i="161"/>
  <c r="K50" i="161"/>
  <c r="K48" i="161"/>
  <c r="K47" i="161"/>
  <c r="K45" i="161"/>
  <c r="K44" i="161"/>
  <c r="K42" i="161"/>
  <c r="K41" i="161"/>
  <c r="K40" i="161"/>
  <c r="K38" i="161"/>
  <c r="K37" i="161"/>
  <c r="K35" i="161"/>
  <c r="K34" i="161"/>
  <c r="K32" i="161"/>
  <c r="K31" i="161"/>
  <c r="K30" i="161"/>
  <c r="K29" i="161"/>
  <c r="K28" i="161"/>
  <c r="K27" i="161"/>
  <c r="K25" i="161"/>
  <c r="K24" i="161"/>
  <c r="K23" i="161"/>
  <c r="K22" i="161"/>
  <c r="K20" i="161"/>
  <c r="K18" i="161"/>
  <c r="K17" i="161"/>
  <c r="K15" i="161"/>
  <c r="K14" i="161"/>
  <c r="K12" i="161"/>
  <c r="K11" i="161"/>
  <c r="K9" i="161"/>
  <c r="K8" i="161"/>
  <c r="K88" i="160"/>
  <c r="K86" i="160"/>
  <c r="K85" i="160"/>
  <c r="K84" i="160"/>
  <c r="K83" i="160"/>
  <c r="K82" i="160"/>
  <c r="K81" i="160"/>
  <c r="K80" i="160"/>
  <c r="K79" i="160"/>
  <c r="K78" i="160"/>
  <c r="K76" i="160"/>
  <c r="K75" i="160"/>
  <c r="K73" i="160"/>
  <c r="K72" i="160"/>
  <c r="K71" i="160"/>
  <c r="K70" i="160"/>
  <c r="K68" i="160"/>
  <c r="K66" i="160"/>
  <c r="K65" i="160"/>
  <c r="K64" i="160"/>
  <c r="K62" i="160"/>
  <c r="K60" i="160"/>
  <c r="K59" i="160"/>
  <c r="K58" i="160"/>
  <c r="K57" i="160"/>
  <c r="K55" i="160"/>
  <c r="K53" i="160"/>
  <c r="K51" i="160"/>
  <c r="K50" i="160"/>
  <c r="K48" i="160"/>
  <c r="K47" i="160"/>
  <c r="K45" i="160"/>
  <c r="K44" i="160"/>
  <c r="K42" i="160"/>
  <c r="K41" i="160"/>
  <c r="K40" i="160"/>
  <c r="K38" i="160"/>
  <c r="K37" i="160"/>
  <c r="K35" i="160"/>
  <c r="K34" i="160"/>
  <c r="K32" i="160"/>
  <c r="K31" i="160"/>
  <c r="K30" i="160"/>
  <c r="K29" i="160"/>
  <c r="K28" i="160"/>
  <c r="K27" i="160"/>
  <c r="K25" i="160"/>
  <c r="K24" i="160"/>
  <c r="K23" i="160"/>
  <c r="K22" i="160"/>
  <c r="K20" i="160"/>
  <c r="K18" i="160"/>
  <c r="K17" i="160"/>
  <c r="K15" i="160"/>
  <c r="K14" i="160"/>
  <c r="K12" i="160"/>
  <c r="K11" i="160"/>
  <c r="K9" i="160"/>
  <c r="K8" i="160"/>
  <c r="K88" i="159"/>
  <c r="K86" i="159"/>
  <c r="K85" i="159"/>
  <c r="K84" i="159"/>
  <c r="K83" i="159"/>
  <c r="K82" i="159"/>
  <c r="K81" i="159"/>
  <c r="K80" i="159"/>
  <c r="K79" i="159"/>
  <c r="K78" i="159"/>
  <c r="K76" i="159"/>
  <c r="K75" i="159"/>
  <c r="K73" i="159"/>
  <c r="K72" i="159"/>
  <c r="K71" i="159"/>
  <c r="K70" i="159"/>
  <c r="K68" i="159"/>
  <c r="K66" i="159"/>
  <c r="K65" i="159"/>
  <c r="K64" i="159"/>
  <c r="K62" i="159"/>
  <c r="K60" i="159"/>
  <c r="K59" i="159"/>
  <c r="K58" i="159"/>
  <c r="K57" i="159"/>
  <c r="K55" i="159"/>
  <c r="K53" i="159"/>
  <c r="K51" i="159"/>
  <c r="K50" i="159"/>
  <c r="K48" i="159"/>
  <c r="K47" i="159"/>
  <c r="K45" i="159"/>
  <c r="K44" i="159"/>
  <c r="K42" i="159"/>
  <c r="K41" i="159"/>
  <c r="K40" i="159"/>
  <c r="K38" i="159"/>
  <c r="K37" i="159"/>
  <c r="K35" i="159"/>
  <c r="K34" i="159"/>
  <c r="K32" i="159"/>
  <c r="K31" i="159"/>
  <c r="K30" i="159"/>
  <c r="K29" i="159"/>
  <c r="K28" i="159"/>
  <c r="K27" i="159"/>
  <c r="K25" i="159"/>
  <c r="K24" i="159"/>
  <c r="K23" i="159"/>
  <c r="K22" i="159"/>
  <c r="K20" i="159"/>
  <c r="K18" i="159"/>
  <c r="K17" i="159"/>
  <c r="K15" i="159"/>
  <c r="K14" i="159"/>
  <c r="K12" i="159"/>
  <c r="K11" i="159"/>
  <c r="K9" i="159"/>
  <c r="K8" i="159"/>
  <c r="K88" i="157"/>
  <c r="K86" i="157"/>
  <c r="K85" i="157"/>
  <c r="K84" i="157"/>
  <c r="K83" i="157"/>
  <c r="K82" i="157"/>
  <c r="K81" i="157"/>
  <c r="K80" i="157"/>
  <c r="K79" i="157"/>
  <c r="K78" i="157"/>
  <c r="K76" i="157"/>
  <c r="K75" i="157"/>
  <c r="K73" i="157"/>
  <c r="K72" i="157"/>
  <c r="K71" i="157"/>
  <c r="K70" i="157"/>
  <c r="K68" i="157"/>
  <c r="K66" i="157"/>
  <c r="K65" i="157"/>
  <c r="K64" i="157"/>
  <c r="K62" i="157"/>
  <c r="K60" i="157"/>
  <c r="K59" i="157"/>
  <c r="K58" i="157"/>
  <c r="K57" i="157"/>
  <c r="K55" i="157"/>
  <c r="K53" i="157"/>
  <c r="K51" i="157"/>
  <c r="K50" i="157"/>
  <c r="K48" i="157"/>
  <c r="K47" i="157"/>
  <c r="K45" i="157"/>
  <c r="K44" i="157"/>
  <c r="K42" i="157"/>
  <c r="K41" i="157"/>
  <c r="K40" i="157"/>
  <c r="K38" i="157"/>
  <c r="K37" i="157"/>
  <c r="K35" i="157"/>
  <c r="K34" i="157"/>
  <c r="K32" i="157"/>
  <c r="K31" i="157"/>
  <c r="K30" i="157"/>
  <c r="K29" i="157"/>
  <c r="K28" i="157"/>
  <c r="K27" i="157"/>
  <c r="K25" i="157"/>
  <c r="K24" i="157"/>
  <c r="K23" i="157"/>
  <c r="K22" i="157"/>
  <c r="K20" i="157"/>
  <c r="K18" i="157"/>
  <c r="K17" i="157"/>
  <c r="K15" i="157"/>
  <c r="K14" i="157"/>
  <c r="K12" i="157"/>
  <c r="K11" i="157"/>
  <c r="K9" i="157"/>
  <c r="K8" i="157"/>
  <c r="K88" i="156"/>
  <c r="K86" i="156"/>
  <c r="K85" i="156"/>
  <c r="K84" i="156"/>
  <c r="K83" i="156"/>
  <c r="K82" i="156"/>
  <c r="K81" i="156"/>
  <c r="K80" i="156"/>
  <c r="K79" i="156"/>
  <c r="K78" i="156"/>
  <c r="K76" i="156"/>
  <c r="K75" i="156"/>
  <c r="K73" i="156"/>
  <c r="K72" i="156"/>
  <c r="K71" i="156"/>
  <c r="K70" i="156"/>
  <c r="K68" i="156"/>
  <c r="K66" i="156"/>
  <c r="K65" i="156"/>
  <c r="K64" i="156"/>
  <c r="K62" i="156"/>
  <c r="K60" i="156"/>
  <c r="K59" i="156"/>
  <c r="K58" i="156"/>
  <c r="K57" i="156"/>
  <c r="K55" i="156"/>
  <c r="K53" i="156"/>
  <c r="K51" i="156"/>
  <c r="K50" i="156"/>
  <c r="K48" i="156"/>
  <c r="K47" i="156"/>
  <c r="K45" i="156"/>
  <c r="K44" i="156"/>
  <c r="K42" i="156"/>
  <c r="K41" i="156"/>
  <c r="K40" i="156"/>
  <c r="K38" i="156"/>
  <c r="K37" i="156"/>
  <c r="K35" i="156"/>
  <c r="K34" i="156"/>
  <c r="K32" i="156"/>
  <c r="K31" i="156"/>
  <c r="K30" i="156"/>
  <c r="K29" i="156"/>
  <c r="K28" i="156"/>
  <c r="K27" i="156"/>
  <c r="K25" i="156"/>
  <c r="K24" i="156"/>
  <c r="K23" i="156"/>
  <c r="K22" i="156"/>
  <c r="K20" i="156"/>
  <c r="K18" i="156"/>
  <c r="K17" i="156"/>
  <c r="K15" i="156"/>
  <c r="K14" i="156"/>
  <c r="K12" i="156"/>
  <c r="K11" i="156"/>
  <c r="K9" i="156"/>
  <c r="K8" i="156"/>
  <c r="K88" i="155"/>
  <c r="K86" i="155"/>
  <c r="K85" i="155"/>
  <c r="K84" i="155"/>
  <c r="K83" i="155"/>
  <c r="K82" i="155"/>
  <c r="K81" i="155"/>
  <c r="K80" i="155"/>
  <c r="K79" i="155"/>
  <c r="K78" i="155"/>
  <c r="K76" i="155"/>
  <c r="K75" i="155"/>
  <c r="K73" i="155"/>
  <c r="K72" i="155"/>
  <c r="K71" i="155"/>
  <c r="K70" i="155"/>
  <c r="K68" i="155"/>
  <c r="K66" i="155"/>
  <c r="K65" i="155"/>
  <c r="K64" i="155"/>
  <c r="K62" i="155"/>
  <c r="K60" i="155"/>
  <c r="K59" i="155"/>
  <c r="K58" i="155"/>
  <c r="K57" i="155"/>
  <c r="K55" i="155"/>
  <c r="K53" i="155"/>
  <c r="K51" i="155"/>
  <c r="K50" i="155"/>
  <c r="K48" i="155"/>
  <c r="K47" i="155"/>
  <c r="K45" i="155"/>
  <c r="K44" i="155"/>
  <c r="K42" i="155"/>
  <c r="K41" i="155"/>
  <c r="K40" i="155"/>
  <c r="K38" i="155"/>
  <c r="K37" i="155"/>
  <c r="K35" i="155"/>
  <c r="K34" i="155"/>
  <c r="K32" i="155"/>
  <c r="K31" i="155"/>
  <c r="K30" i="155"/>
  <c r="K29" i="155"/>
  <c r="K28" i="155"/>
  <c r="K27" i="155"/>
  <c r="K25" i="155"/>
  <c r="K24" i="155"/>
  <c r="K23" i="155"/>
  <c r="K22" i="155"/>
  <c r="K20" i="155"/>
  <c r="K18" i="155"/>
  <c r="K17" i="155"/>
  <c r="K15" i="155"/>
  <c r="K14" i="155"/>
  <c r="K12" i="155"/>
  <c r="K11" i="155"/>
  <c r="K9" i="155"/>
  <c r="K8" i="155"/>
  <c r="K88" i="154"/>
  <c r="K86" i="154"/>
  <c r="K85" i="154"/>
  <c r="K84" i="154"/>
  <c r="K83" i="154"/>
  <c r="K82" i="154"/>
  <c r="K81" i="154"/>
  <c r="K80" i="154"/>
  <c r="K79" i="154"/>
  <c r="K78" i="154"/>
  <c r="K76" i="154"/>
  <c r="K75" i="154"/>
  <c r="K73" i="154"/>
  <c r="K72" i="154"/>
  <c r="K71" i="154"/>
  <c r="K70" i="154"/>
  <c r="K68" i="154"/>
  <c r="K66" i="154"/>
  <c r="K65" i="154"/>
  <c r="K64" i="154"/>
  <c r="K62" i="154"/>
  <c r="K60" i="154"/>
  <c r="K59" i="154"/>
  <c r="K58" i="154"/>
  <c r="K57" i="154"/>
  <c r="K55" i="154"/>
  <c r="K53" i="154"/>
  <c r="K51" i="154"/>
  <c r="K50" i="154"/>
  <c r="K48" i="154"/>
  <c r="K47" i="154"/>
  <c r="K45" i="154"/>
  <c r="K44" i="154"/>
  <c r="K42" i="154"/>
  <c r="K41" i="154"/>
  <c r="K40" i="154"/>
  <c r="K38" i="154"/>
  <c r="K37" i="154"/>
  <c r="K35" i="154"/>
  <c r="K34" i="154"/>
  <c r="K32" i="154"/>
  <c r="K31" i="154"/>
  <c r="K30" i="154"/>
  <c r="K29" i="154"/>
  <c r="K28" i="154"/>
  <c r="K27" i="154"/>
  <c r="K25" i="154"/>
  <c r="K24" i="154"/>
  <c r="K23" i="154"/>
  <c r="K22" i="154"/>
  <c r="K20" i="154"/>
  <c r="K18" i="154"/>
  <c r="K17" i="154"/>
  <c r="K15" i="154"/>
  <c r="K14" i="154"/>
  <c r="K12" i="154"/>
  <c r="K11" i="154"/>
  <c r="K9" i="154"/>
  <c r="K8" i="154"/>
  <c r="K88" i="153"/>
  <c r="K86" i="153"/>
  <c r="K85" i="153"/>
  <c r="K84" i="153"/>
  <c r="K83" i="153"/>
  <c r="K82" i="153"/>
  <c r="K81" i="153"/>
  <c r="K80" i="153"/>
  <c r="K79" i="153"/>
  <c r="K78" i="153"/>
  <c r="K76" i="153"/>
  <c r="K75" i="153"/>
  <c r="K73" i="153"/>
  <c r="K72" i="153"/>
  <c r="K71" i="153"/>
  <c r="K70" i="153"/>
  <c r="K68" i="153"/>
  <c r="K66" i="153"/>
  <c r="K65" i="153"/>
  <c r="K64" i="153"/>
  <c r="K62" i="153"/>
  <c r="K60" i="153"/>
  <c r="K59" i="153"/>
  <c r="K58" i="153"/>
  <c r="K57" i="153"/>
  <c r="K55" i="153"/>
  <c r="K53" i="153"/>
  <c r="K51" i="153"/>
  <c r="K50" i="153"/>
  <c r="K48" i="153"/>
  <c r="K47" i="153"/>
  <c r="K45" i="153"/>
  <c r="K44" i="153"/>
  <c r="K42" i="153"/>
  <c r="K41" i="153"/>
  <c r="K40" i="153"/>
  <c r="K38" i="153"/>
  <c r="K37" i="153"/>
  <c r="K35" i="153"/>
  <c r="K34" i="153"/>
  <c r="K32" i="153"/>
  <c r="K31" i="153"/>
  <c r="K30" i="153"/>
  <c r="K29" i="153"/>
  <c r="K28" i="153"/>
  <c r="K27" i="153"/>
  <c r="K25" i="153"/>
  <c r="K24" i="153"/>
  <c r="K23" i="153"/>
  <c r="K22" i="153"/>
  <c r="K20" i="153"/>
  <c r="K18" i="153"/>
  <c r="K17" i="153"/>
  <c r="K15" i="153"/>
  <c r="K14" i="153"/>
  <c r="K12" i="153"/>
  <c r="K11" i="153"/>
  <c r="K9" i="153"/>
  <c r="K8" i="153"/>
  <c r="K88" i="152" l="1"/>
  <c r="K86" i="152"/>
  <c r="K85" i="152"/>
  <c r="K84" i="152"/>
  <c r="K83" i="152"/>
  <c r="K82" i="152"/>
  <c r="K81" i="152"/>
  <c r="K80" i="152"/>
  <c r="K79" i="152"/>
  <c r="K78" i="152"/>
  <c r="K76" i="152"/>
  <c r="K75" i="152"/>
  <c r="K73" i="152"/>
  <c r="K72" i="152"/>
  <c r="K71" i="152"/>
  <c r="K70" i="152"/>
  <c r="K68" i="152"/>
  <c r="K66" i="152"/>
  <c r="K65" i="152"/>
  <c r="K64" i="152"/>
  <c r="K62" i="152"/>
  <c r="K60" i="152"/>
  <c r="K59" i="152"/>
  <c r="K58" i="152"/>
  <c r="K57" i="152"/>
  <c r="K55" i="152"/>
  <c r="K53" i="152"/>
  <c r="K51" i="152"/>
  <c r="K50" i="152"/>
  <c r="K48" i="152"/>
  <c r="K47" i="152"/>
  <c r="K45" i="152"/>
  <c r="K44" i="152"/>
  <c r="K42" i="152"/>
  <c r="K41" i="152"/>
  <c r="K40" i="152"/>
  <c r="K38" i="152"/>
  <c r="K37" i="152"/>
  <c r="K35" i="152"/>
  <c r="K34" i="152"/>
  <c r="K32" i="152"/>
  <c r="K31" i="152"/>
  <c r="K30" i="152"/>
  <c r="K29" i="152"/>
  <c r="K28" i="152"/>
  <c r="K27" i="152"/>
  <c r="K25" i="152"/>
  <c r="K24" i="152"/>
  <c r="K23" i="152"/>
  <c r="K22" i="152"/>
  <c r="K20" i="152"/>
  <c r="K18" i="152"/>
  <c r="K17" i="152"/>
  <c r="K15" i="152"/>
  <c r="K14" i="152"/>
  <c r="K12" i="152"/>
  <c r="K11" i="152"/>
  <c r="K9" i="152"/>
  <c r="K8" i="152"/>
  <c r="K88" i="145"/>
  <c r="K86" i="145"/>
  <c r="K85" i="145"/>
  <c r="K84" i="145"/>
  <c r="K83" i="145"/>
  <c r="K82" i="145"/>
  <c r="K81" i="145"/>
  <c r="K80" i="145"/>
  <c r="K79" i="145"/>
  <c r="K78" i="145"/>
  <c r="K76" i="145"/>
  <c r="K75" i="145"/>
  <c r="K73" i="145"/>
  <c r="K72" i="145"/>
  <c r="K71" i="145"/>
  <c r="K70" i="145"/>
  <c r="K68" i="145"/>
  <c r="K66" i="145"/>
  <c r="K65" i="145"/>
  <c r="K64" i="145"/>
  <c r="K62" i="145"/>
  <c r="K60" i="145"/>
  <c r="K59" i="145"/>
  <c r="K58" i="145"/>
  <c r="K57" i="145"/>
  <c r="K55" i="145"/>
  <c r="K53" i="145"/>
  <c r="K51" i="145"/>
  <c r="K50" i="145"/>
  <c r="K48" i="145"/>
  <c r="K47" i="145"/>
  <c r="K45" i="145"/>
  <c r="K44" i="145"/>
  <c r="K42" i="145"/>
  <c r="K41" i="145"/>
  <c r="K40" i="145"/>
  <c r="K38" i="145"/>
  <c r="K37" i="145"/>
  <c r="K35" i="145"/>
  <c r="K34" i="145"/>
  <c r="K32" i="145"/>
  <c r="K31" i="145"/>
  <c r="K30" i="145"/>
  <c r="K29" i="145"/>
  <c r="K28" i="145"/>
  <c r="K27" i="145"/>
  <c r="K25" i="145"/>
  <c r="K24" i="145"/>
  <c r="K23" i="145"/>
  <c r="K22" i="145"/>
  <c r="K20" i="145"/>
  <c r="K18" i="145"/>
  <c r="K17" i="145"/>
  <c r="K15" i="145"/>
  <c r="K14" i="145"/>
  <c r="K12" i="145"/>
  <c r="K11" i="145"/>
  <c r="K9" i="145"/>
  <c r="K8" i="145"/>
  <c r="K88" i="144"/>
  <c r="K86" i="144"/>
  <c r="K85" i="144"/>
  <c r="K84" i="144"/>
  <c r="K83" i="144"/>
  <c r="K82" i="144"/>
  <c r="K81" i="144"/>
  <c r="K80" i="144"/>
  <c r="K79" i="144"/>
  <c r="K78" i="144"/>
  <c r="K76" i="144"/>
  <c r="K75" i="144"/>
  <c r="K73" i="144"/>
  <c r="K72" i="144"/>
  <c r="K71" i="144"/>
  <c r="K70" i="144"/>
  <c r="K68" i="144"/>
  <c r="K66" i="144"/>
  <c r="K65" i="144"/>
  <c r="K64" i="144"/>
  <c r="K62" i="144"/>
  <c r="K60" i="144"/>
  <c r="K59" i="144"/>
  <c r="K58" i="144"/>
  <c r="K57" i="144"/>
  <c r="K55" i="144"/>
  <c r="K53" i="144"/>
  <c r="K51" i="144"/>
  <c r="K50" i="144"/>
  <c r="K48" i="144"/>
  <c r="K47" i="144"/>
  <c r="K45" i="144"/>
  <c r="K44" i="144"/>
  <c r="K42" i="144"/>
  <c r="K41" i="144"/>
  <c r="K40" i="144"/>
  <c r="K38" i="144"/>
  <c r="K37" i="144"/>
  <c r="K35" i="144"/>
  <c r="K34" i="144"/>
  <c r="K32" i="144"/>
  <c r="K31" i="144"/>
  <c r="K30" i="144"/>
  <c r="K29" i="144"/>
  <c r="K28" i="144"/>
  <c r="K27" i="144"/>
  <c r="K25" i="144"/>
  <c r="K24" i="144"/>
  <c r="K23" i="144"/>
  <c r="K22" i="144"/>
  <c r="K20" i="144"/>
  <c r="K18" i="144"/>
  <c r="K17" i="144"/>
  <c r="K15" i="144"/>
  <c r="K14" i="144"/>
  <c r="K12" i="144"/>
  <c r="K11" i="144"/>
  <c r="K9" i="144"/>
  <c r="K8" i="144"/>
  <c r="K88" i="143"/>
  <c r="K86" i="143"/>
  <c r="K85" i="143"/>
  <c r="K84" i="143"/>
  <c r="K83" i="143"/>
  <c r="K82" i="143"/>
  <c r="K81" i="143"/>
  <c r="K80" i="143"/>
  <c r="K79" i="143"/>
  <c r="K78" i="143"/>
  <c r="K76" i="143"/>
  <c r="K75" i="143"/>
  <c r="K73" i="143"/>
  <c r="K72" i="143"/>
  <c r="K71" i="143"/>
  <c r="K70" i="143"/>
  <c r="K68" i="143"/>
  <c r="K66" i="143"/>
  <c r="K65" i="143"/>
  <c r="K64" i="143"/>
  <c r="K62" i="143"/>
  <c r="K60" i="143"/>
  <c r="K59" i="143"/>
  <c r="K58" i="143"/>
  <c r="K57" i="143"/>
  <c r="K55" i="143"/>
  <c r="K53" i="143"/>
  <c r="K51" i="143"/>
  <c r="K50" i="143"/>
  <c r="K48" i="143"/>
  <c r="K47" i="143"/>
  <c r="K45" i="143"/>
  <c r="K44" i="143"/>
  <c r="K42" i="143"/>
  <c r="K41" i="143"/>
  <c r="K40" i="143"/>
  <c r="K38" i="143"/>
  <c r="K37" i="143"/>
  <c r="K35" i="143"/>
  <c r="K34" i="143"/>
  <c r="K32" i="143"/>
  <c r="K31" i="143"/>
  <c r="K30" i="143"/>
  <c r="K29" i="143"/>
  <c r="K28" i="143"/>
  <c r="K27" i="143"/>
  <c r="K25" i="143"/>
  <c r="K24" i="143"/>
  <c r="K23" i="143"/>
  <c r="K22" i="143"/>
  <c r="K20" i="143"/>
  <c r="K18" i="143"/>
  <c r="K17" i="143"/>
  <c r="K15" i="143"/>
  <c r="K14" i="143"/>
  <c r="K12" i="143"/>
  <c r="K11" i="143"/>
  <c r="K9" i="143"/>
  <c r="K8" i="143"/>
  <c r="K88" i="142"/>
  <c r="K86" i="142"/>
  <c r="K85" i="142"/>
  <c r="K84" i="142"/>
  <c r="K83" i="142"/>
  <c r="K82" i="142"/>
  <c r="K81" i="142"/>
  <c r="K80" i="142"/>
  <c r="K79" i="142"/>
  <c r="K78" i="142"/>
  <c r="K76" i="142"/>
  <c r="K75" i="142"/>
  <c r="K73" i="142"/>
  <c r="K72" i="142"/>
  <c r="K71" i="142"/>
  <c r="K70" i="142"/>
  <c r="K68" i="142"/>
  <c r="K66" i="142"/>
  <c r="K65" i="142"/>
  <c r="K64" i="142"/>
  <c r="K62" i="142"/>
  <c r="K60" i="142"/>
  <c r="K59" i="142"/>
  <c r="K58" i="142"/>
  <c r="K57" i="142"/>
  <c r="K55" i="142"/>
  <c r="K53" i="142"/>
  <c r="K51" i="142"/>
  <c r="K50" i="142"/>
  <c r="K48" i="142"/>
  <c r="K47" i="142"/>
  <c r="K45" i="142"/>
  <c r="K44" i="142"/>
  <c r="K42" i="142"/>
  <c r="K41" i="142"/>
  <c r="K40" i="142"/>
  <c r="K38" i="142"/>
  <c r="K37" i="142"/>
  <c r="K35" i="142"/>
  <c r="K34" i="142"/>
  <c r="K32" i="142"/>
  <c r="K31" i="142"/>
  <c r="K30" i="142"/>
  <c r="K29" i="142"/>
  <c r="K28" i="142"/>
  <c r="K27" i="142"/>
  <c r="K25" i="142"/>
  <c r="K24" i="142"/>
  <c r="K23" i="142"/>
  <c r="K22" i="142"/>
  <c r="K20" i="142"/>
  <c r="K18" i="142"/>
  <c r="K17" i="142"/>
  <c r="K15" i="142"/>
  <c r="K14" i="142"/>
  <c r="K12" i="142"/>
  <c r="K11" i="142"/>
  <c r="K9" i="142"/>
  <c r="K8" i="142"/>
  <c r="K88" i="141"/>
  <c r="K86" i="141"/>
  <c r="K85" i="141"/>
  <c r="K84" i="141"/>
  <c r="K83" i="141"/>
  <c r="K82" i="141"/>
  <c r="K81" i="141"/>
  <c r="K80" i="141"/>
  <c r="K79" i="141"/>
  <c r="K78" i="141"/>
  <c r="K76" i="141"/>
  <c r="K75" i="141"/>
  <c r="K73" i="141"/>
  <c r="K72" i="141"/>
  <c r="K71" i="141"/>
  <c r="K70" i="141"/>
  <c r="K68" i="141"/>
  <c r="K66" i="141"/>
  <c r="K65" i="141"/>
  <c r="K64" i="141"/>
  <c r="K62" i="141"/>
  <c r="K60" i="141"/>
  <c r="K59" i="141"/>
  <c r="K58" i="141"/>
  <c r="K57" i="141"/>
  <c r="K55" i="141"/>
  <c r="K53" i="141"/>
  <c r="K51" i="141"/>
  <c r="K50" i="141"/>
  <c r="K48" i="141"/>
  <c r="K47" i="141"/>
  <c r="K45" i="141"/>
  <c r="K44" i="141"/>
  <c r="K42" i="141"/>
  <c r="K41" i="141"/>
  <c r="K40" i="141"/>
  <c r="K38" i="141"/>
  <c r="K37" i="141"/>
  <c r="K35" i="141"/>
  <c r="K34" i="141"/>
  <c r="K32" i="141"/>
  <c r="K31" i="141"/>
  <c r="K30" i="141"/>
  <c r="K29" i="141"/>
  <c r="K28" i="141"/>
  <c r="K27" i="141"/>
  <c r="K25" i="141"/>
  <c r="K24" i="141"/>
  <c r="K23" i="141"/>
  <c r="K22" i="141"/>
  <c r="K20" i="141"/>
  <c r="K18" i="141"/>
  <c r="K17" i="141"/>
  <c r="K15" i="141"/>
  <c r="K14" i="141"/>
  <c r="K12" i="141"/>
  <c r="K11" i="141"/>
  <c r="K9" i="141"/>
  <c r="K8" i="141"/>
  <c r="K88" i="140"/>
  <c r="K86" i="140"/>
  <c r="K85" i="140"/>
  <c r="K84" i="140"/>
  <c r="K83" i="140"/>
  <c r="K82" i="140"/>
  <c r="K81" i="140"/>
  <c r="K80" i="140"/>
  <c r="K79" i="140"/>
  <c r="K78" i="140"/>
  <c r="K76" i="140"/>
  <c r="K75" i="140"/>
  <c r="K73" i="140"/>
  <c r="K72" i="140"/>
  <c r="K71" i="140"/>
  <c r="K70" i="140"/>
  <c r="K68" i="140"/>
  <c r="K66" i="140"/>
  <c r="K65" i="140"/>
  <c r="K64" i="140"/>
  <c r="K62" i="140"/>
  <c r="K60" i="140"/>
  <c r="K59" i="140"/>
  <c r="K58" i="140"/>
  <c r="K57" i="140"/>
  <c r="K55" i="140"/>
  <c r="K53" i="140"/>
  <c r="K51" i="140"/>
  <c r="K50" i="140"/>
  <c r="K48" i="140"/>
  <c r="K47" i="140"/>
  <c r="K45" i="140"/>
  <c r="K44" i="140"/>
  <c r="K42" i="140"/>
  <c r="K41" i="140"/>
  <c r="K40" i="140"/>
  <c r="K38" i="140"/>
  <c r="K37" i="140"/>
  <c r="K35" i="140"/>
  <c r="K34" i="140"/>
  <c r="K32" i="140"/>
  <c r="K31" i="140"/>
  <c r="K30" i="140"/>
  <c r="K29" i="140"/>
  <c r="K28" i="140"/>
  <c r="K27" i="140"/>
  <c r="K25" i="140"/>
  <c r="K24" i="140"/>
  <c r="K23" i="140"/>
  <c r="K22" i="140"/>
  <c r="K20" i="140"/>
  <c r="K18" i="140"/>
  <c r="K17" i="140"/>
  <c r="K15" i="140"/>
  <c r="K14" i="140"/>
  <c r="K12" i="140"/>
  <c r="K11" i="140"/>
  <c r="K9" i="140"/>
  <c r="K8" i="140"/>
  <c r="K88" i="139" l="1"/>
  <c r="K86" i="139"/>
  <c r="K85" i="139"/>
  <c r="K84" i="139"/>
  <c r="K83" i="139"/>
  <c r="K82" i="139"/>
  <c r="K81" i="139"/>
  <c r="K80" i="139"/>
  <c r="K79" i="139"/>
  <c r="K78" i="139"/>
  <c r="K76" i="139"/>
  <c r="K75" i="139"/>
  <c r="K73" i="139"/>
  <c r="K72" i="139"/>
  <c r="K71" i="139"/>
  <c r="K70" i="139"/>
  <c r="K68" i="139"/>
  <c r="K66" i="139"/>
  <c r="K65" i="139"/>
  <c r="K64" i="139"/>
  <c r="K62" i="139"/>
  <c r="K60" i="139"/>
  <c r="K59" i="139"/>
  <c r="K58" i="139"/>
  <c r="K57" i="139"/>
  <c r="K55" i="139"/>
  <c r="K53" i="139"/>
  <c r="K51" i="139"/>
  <c r="K50" i="139"/>
  <c r="K48" i="139"/>
  <c r="K47" i="139"/>
  <c r="K45" i="139"/>
  <c r="K44" i="139"/>
  <c r="K42" i="139"/>
  <c r="K41" i="139"/>
  <c r="K40" i="139"/>
  <c r="K38" i="139"/>
  <c r="K37" i="139"/>
  <c r="K35" i="139"/>
  <c r="K34" i="139"/>
  <c r="K32" i="139"/>
  <c r="K31" i="139"/>
  <c r="K30" i="139"/>
  <c r="K29" i="139"/>
  <c r="K28" i="139"/>
  <c r="K27" i="139"/>
  <c r="K25" i="139"/>
  <c r="K24" i="139"/>
  <c r="K23" i="139"/>
  <c r="K22" i="139"/>
  <c r="K20" i="139"/>
  <c r="K18" i="139"/>
  <c r="K17" i="139"/>
  <c r="K15" i="139"/>
  <c r="K14" i="139"/>
  <c r="K12" i="139"/>
  <c r="K11" i="139"/>
  <c r="K9" i="139"/>
  <c r="K8" i="139"/>
  <c r="K88" i="151"/>
  <c r="K86" i="151"/>
  <c r="K85" i="151"/>
  <c r="K84" i="151"/>
  <c r="K83" i="151"/>
  <c r="K82" i="151"/>
  <c r="K81" i="151"/>
  <c r="K80" i="151"/>
  <c r="K79" i="151"/>
  <c r="K78" i="151"/>
  <c r="K76" i="151"/>
  <c r="K75" i="151"/>
  <c r="K73" i="151"/>
  <c r="K72" i="151"/>
  <c r="K71" i="151"/>
  <c r="K70" i="151"/>
  <c r="K68" i="151"/>
  <c r="K66" i="151"/>
  <c r="K65" i="151"/>
  <c r="K64" i="151"/>
  <c r="K62" i="151"/>
  <c r="K60" i="151"/>
  <c r="K59" i="151"/>
  <c r="K58" i="151"/>
  <c r="K57" i="151"/>
  <c r="K55" i="151"/>
  <c r="K53" i="151"/>
  <c r="K51" i="151"/>
  <c r="K50" i="151"/>
  <c r="K48" i="151"/>
  <c r="K47" i="151"/>
  <c r="K45" i="151"/>
  <c r="K44" i="151"/>
  <c r="K42" i="151"/>
  <c r="K41" i="151"/>
  <c r="K40" i="151"/>
  <c r="K38" i="151"/>
  <c r="K37" i="151"/>
  <c r="K35" i="151"/>
  <c r="K34" i="151"/>
  <c r="K32" i="151"/>
  <c r="K31" i="151"/>
  <c r="K30" i="151"/>
  <c r="K29" i="151"/>
  <c r="K28" i="151"/>
  <c r="K27" i="151"/>
  <c r="K25" i="151"/>
  <c r="K24" i="151"/>
  <c r="K23" i="151"/>
  <c r="K22" i="151"/>
  <c r="K20" i="151"/>
  <c r="K18" i="151"/>
  <c r="K17" i="151"/>
  <c r="K15" i="151"/>
  <c r="K14" i="151"/>
  <c r="K12" i="151"/>
  <c r="K11" i="151"/>
  <c r="K9" i="151"/>
  <c r="K8" i="151"/>
  <c r="K88" i="150"/>
  <c r="K86" i="150"/>
  <c r="K85" i="150"/>
  <c r="K84" i="150"/>
  <c r="K83" i="150"/>
  <c r="K82" i="150"/>
  <c r="K81" i="150"/>
  <c r="K80" i="150"/>
  <c r="K79" i="150"/>
  <c r="K78" i="150"/>
  <c r="K76" i="150"/>
  <c r="K75" i="150"/>
  <c r="K73" i="150"/>
  <c r="K72" i="150"/>
  <c r="K71" i="150"/>
  <c r="K70" i="150"/>
  <c r="K68" i="150"/>
  <c r="K66" i="150"/>
  <c r="K65" i="150"/>
  <c r="K64" i="150"/>
  <c r="K62" i="150"/>
  <c r="K60" i="150"/>
  <c r="K59" i="150"/>
  <c r="K58" i="150"/>
  <c r="K57" i="150"/>
  <c r="K55" i="150"/>
  <c r="K53" i="150"/>
  <c r="K51" i="150"/>
  <c r="K50" i="150"/>
  <c r="K48" i="150"/>
  <c r="K47" i="150"/>
  <c r="K45" i="150"/>
  <c r="K44" i="150"/>
  <c r="K42" i="150"/>
  <c r="K41" i="150"/>
  <c r="K40" i="150"/>
  <c r="K38" i="150"/>
  <c r="K37" i="150"/>
  <c r="K35" i="150"/>
  <c r="K34" i="150"/>
  <c r="K32" i="150"/>
  <c r="K31" i="150"/>
  <c r="K30" i="150"/>
  <c r="K29" i="150"/>
  <c r="K28" i="150"/>
  <c r="K27" i="150"/>
  <c r="K25" i="150"/>
  <c r="K24" i="150"/>
  <c r="K23" i="150"/>
  <c r="K22" i="150"/>
  <c r="K20" i="150"/>
  <c r="K18" i="150"/>
  <c r="K17" i="150"/>
  <c r="K15" i="150"/>
  <c r="K14" i="150"/>
  <c r="K12" i="150"/>
  <c r="K11" i="150"/>
  <c r="K9" i="150"/>
  <c r="K8" i="150"/>
  <c r="K88" i="149"/>
  <c r="K86" i="149"/>
  <c r="K85" i="149"/>
  <c r="K84" i="149"/>
  <c r="K83" i="149"/>
  <c r="K82" i="149"/>
  <c r="K81" i="149"/>
  <c r="K80" i="149"/>
  <c r="K79" i="149"/>
  <c r="K78" i="149"/>
  <c r="K76" i="149"/>
  <c r="K75" i="149"/>
  <c r="K73" i="149"/>
  <c r="K72" i="149"/>
  <c r="K71" i="149"/>
  <c r="K70" i="149"/>
  <c r="K68" i="149"/>
  <c r="K66" i="149"/>
  <c r="K65" i="149"/>
  <c r="K64" i="149"/>
  <c r="K62" i="149"/>
  <c r="K60" i="149"/>
  <c r="K59" i="149"/>
  <c r="K58" i="149"/>
  <c r="K57" i="149"/>
  <c r="K55" i="149"/>
  <c r="K53" i="149"/>
  <c r="K51" i="149"/>
  <c r="K50" i="149"/>
  <c r="K48" i="149"/>
  <c r="K47" i="149"/>
  <c r="K45" i="149"/>
  <c r="K44" i="149"/>
  <c r="K42" i="149"/>
  <c r="K41" i="149"/>
  <c r="K40" i="149"/>
  <c r="K38" i="149"/>
  <c r="K37" i="149"/>
  <c r="K35" i="149"/>
  <c r="K34" i="149"/>
  <c r="K32" i="149"/>
  <c r="K31" i="149"/>
  <c r="K30" i="149"/>
  <c r="K29" i="149"/>
  <c r="K28" i="149"/>
  <c r="K27" i="149"/>
  <c r="K25" i="149"/>
  <c r="K24" i="149"/>
  <c r="K23" i="149"/>
  <c r="K22" i="149"/>
  <c r="K20" i="149"/>
  <c r="K18" i="149"/>
  <c r="K17" i="149"/>
  <c r="K15" i="149"/>
  <c r="K14" i="149"/>
  <c r="K12" i="149"/>
  <c r="K11" i="149"/>
  <c r="K9" i="149"/>
  <c r="K8" i="149"/>
  <c r="K88" i="148"/>
  <c r="K86" i="148"/>
  <c r="K85" i="148"/>
  <c r="K84" i="148"/>
  <c r="K83" i="148"/>
  <c r="K82" i="148"/>
  <c r="K81" i="148"/>
  <c r="K80" i="148"/>
  <c r="K79" i="148"/>
  <c r="K78" i="148"/>
  <c r="K76" i="148"/>
  <c r="K75" i="148"/>
  <c r="K73" i="148"/>
  <c r="K72" i="148"/>
  <c r="K71" i="148"/>
  <c r="K70" i="148"/>
  <c r="K68" i="148"/>
  <c r="K66" i="148"/>
  <c r="K65" i="148"/>
  <c r="K64" i="148"/>
  <c r="K62" i="148"/>
  <c r="K60" i="148"/>
  <c r="K59" i="148"/>
  <c r="K58" i="148"/>
  <c r="K57" i="148"/>
  <c r="K55" i="148"/>
  <c r="K53" i="148"/>
  <c r="K51" i="148"/>
  <c r="K50" i="148"/>
  <c r="K48" i="148"/>
  <c r="K47" i="148"/>
  <c r="K45" i="148"/>
  <c r="K44" i="148"/>
  <c r="K42" i="148"/>
  <c r="K41" i="148"/>
  <c r="K40" i="148"/>
  <c r="K38" i="148"/>
  <c r="K37" i="148"/>
  <c r="K35" i="148"/>
  <c r="K34" i="148"/>
  <c r="K32" i="148"/>
  <c r="K31" i="148"/>
  <c r="K30" i="148"/>
  <c r="K29" i="148"/>
  <c r="K28" i="148"/>
  <c r="K27" i="148"/>
  <c r="K25" i="148"/>
  <c r="K24" i="148"/>
  <c r="K23" i="148"/>
  <c r="K22" i="148"/>
  <c r="K20" i="148"/>
  <c r="K18" i="148"/>
  <c r="K17" i="148"/>
  <c r="K15" i="148"/>
  <c r="K14" i="148"/>
  <c r="K12" i="148"/>
  <c r="K11" i="148"/>
  <c r="K9" i="148"/>
  <c r="K8" i="148"/>
  <c r="K88" i="147"/>
  <c r="K86" i="147"/>
  <c r="K85" i="147"/>
  <c r="K84" i="147"/>
  <c r="K83" i="147"/>
  <c r="K82" i="147"/>
  <c r="K81" i="147"/>
  <c r="K80" i="147"/>
  <c r="K79" i="147"/>
  <c r="K78" i="147"/>
  <c r="K76" i="147"/>
  <c r="K75" i="147"/>
  <c r="K73" i="147"/>
  <c r="K72" i="147"/>
  <c r="K71" i="147"/>
  <c r="K70" i="147"/>
  <c r="K68" i="147"/>
  <c r="K66" i="147"/>
  <c r="K65" i="147"/>
  <c r="K64" i="147"/>
  <c r="K62" i="147"/>
  <c r="K60" i="147"/>
  <c r="K59" i="147"/>
  <c r="K58" i="147"/>
  <c r="K57" i="147"/>
  <c r="K55" i="147"/>
  <c r="K53" i="147"/>
  <c r="K51" i="147"/>
  <c r="K50" i="147"/>
  <c r="K48" i="147"/>
  <c r="K47" i="147"/>
  <c r="K45" i="147"/>
  <c r="K44" i="147"/>
  <c r="K42" i="147"/>
  <c r="K41" i="147"/>
  <c r="K40" i="147"/>
  <c r="K38" i="147"/>
  <c r="K37" i="147"/>
  <c r="K35" i="147"/>
  <c r="K34" i="147"/>
  <c r="K32" i="147"/>
  <c r="K31" i="147"/>
  <c r="K30" i="147"/>
  <c r="K29" i="147"/>
  <c r="K28" i="147"/>
  <c r="K27" i="147"/>
  <c r="K25" i="147"/>
  <c r="K24" i="147"/>
  <c r="K23" i="147"/>
  <c r="K22" i="147"/>
  <c r="K20" i="147"/>
  <c r="K18" i="147"/>
  <c r="K17" i="147"/>
  <c r="K15" i="147"/>
  <c r="K14" i="147"/>
  <c r="K12" i="147"/>
  <c r="K11" i="147"/>
  <c r="K9" i="147"/>
  <c r="K8" i="147"/>
  <c r="K88" i="146"/>
  <c r="K86" i="146"/>
  <c r="K85" i="146"/>
  <c r="K84" i="146"/>
  <c r="K83" i="146"/>
  <c r="K82" i="146"/>
  <c r="K81" i="146"/>
  <c r="K80" i="146"/>
  <c r="K79" i="146"/>
  <c r="K78" i="146"/>
  <c r="K76" i="146"/>
  <c r="K75" i="146"/>
  <c r="K73" i="146"/>
  <c r="K72" i="146"/>
  <c r="K71" i="146"/>
  <c r="K70" i="146"/>
  <c r="K68" i="146"/>
  <c r="K66" i="146"/>
  <c r="K65" i="146"/>
  <c r="K64" i="146"/>
  <c r="K62" i="146"/>
  <c r="K60" i="146"/>
  <c r="K59" i="146"/>
  <c r="K58" i="146"/>
  <c r="K57" i="146"/>
  <c r="K55" i="146"/>
  <c r="K53" i="146"/>
  <c r="K51" i="146"/>
  <c r="K50" i="146"/>
  <c r="K48" i="146"/>
  <c r="K47" i="146"/>
  <c r="K45" i="146"/>
  <c r="K44" i="146"/>
  <c r="K42" i="146"/>
  <c r="K41" i="146"/>
  <c r="K40" i="146"/>
  <c r="K38" i="146"/>
  <c r="K37" i="146"/>
  <c r="K35" i="146"/>
  <c r="K34" i="146"/>
  <c r="K32" i="146"/>
  <c r="K31" i="146"/>
  <c r="K30" i="146"/>
  <c r="K29" i="146"/>
  <c r="K28" i="146"/>
  <c r="K27" i="146"/>
  <c r="K25" i="146"/>
  <c r="K24" i="146"/>
  <c r="K23" i="146"/>
  <c r="K22" i="146"/>
  <c r="K20" i="146"/>
  <c r="K18" i="146"/>
  <c r="K17" i="146"/>
  <c r="K15" i="146"/>
  <c r="K14" i="146"/>
  <c r="K12" i="146"/>
  <c r="K11" i="146"/>
  <c r="K9" i="146"/>
  <c r="K8" i="146"/>
  <c r="AF12" i="1" l="1"/>
  <c r="AF13" i="1"/>
  <c r="AF16" i="1"/>
  <c r="AF19" i="1"/>
  <c r="AF21" i="1"/>
  <c r="AF24" i="1"/>
  <c r="AF26" i="1"/>
  <c r="AF28" i="1"/>
  <c r="AF32" i="1"/>
  <c r="AF33" i="1"/>
  <c r="AF36" i="1"/>
  <c r="AF39" i="1"/>
  <c r="AF40" i="1"/>
  <c r="AF43" i="1"/>
  <c r="AF44" i="1"/>
  <c r="AF46" i="1"/>
  <c r="AF48" i="1"/>
  <c r="AF49" i="1"/>
  <c r="AF52" i="1"/>
  <c r="AF54" i="1"/>
  <c r="AF56" i="1"/>
  <c r="AF60" i="1"/>
  <c r="AF61" i="1"/>
  <c r="AF63" i="1"/>
  <c r="AF64" i="1"/>
  <c r="AF67" i="1"/>
  <c r="AF68" i="1"/>
  <c r="AF69" i="1"/>
  <c r="AF72" i="1"/>
  <c r="AF74" i="1"/>
  <c r="AF77" i="1"/>
  <c r="AF80" i="1"/>
  <c r="AF84" i="1"/>
  <c r="AF87" i="1"/>
  <c r="AF88" i="1"/>
  <c r="AF86" i="1"/>
  <c r="AF85" i="1"/>
  <c r="AF83" i="1"/>
  <c r="AF82" i="1"/>
  <c r="AF81" i="1"/>
  <c r="AF79" i="1"/>
  <c r="AF78" i="1"/>
  <c r="AF76" i="1"/>
  <c r="AF75" i="1"/>
  <c r="AF73" i="1"/>
  <c r="AF71" i="1"/>
  <c r="AF70" i="1"/>
  <c r="AF66" i="1"/>
  <c r="AF65" i="1"/>
  <c r="AF62" i="1"/>
  <c r="AF59" i="1"/>
  <c r="AF58" i="1"/>
  <c r="AF57" i="1"/>
  <c r="AF55" i="1"/>
  <c r="AF53" i="1"/>
  <c r="AF51" i="1"/>
  <c r="AF50" i="1"/>
  <c r="AF47" i="1"/>
  <c r="AF45" i="1"/>
  <c r="AF42" i="1"/>
  <c r="AF41" i="1"/>
  <c r="AF38" i="1"/>
  <c r="AF37" i="1"/>
  <c r="AF35" i="1"/>
  <c r="AF34" i="1"/>
  <c r="AF31" i="1"/>
  <c r="AF30" i="1"/>
  <c r="AF29" i="1"/>
  <c r="AF27" i="1"/>
  <c r="AF25" i="1"/>
  <c r="AF23" i="1"/>
  <c r="AF22" i="1"/>
  <c r="AF20" i="1"/>
  <c r="AF18" i="1"/>
  <c r="AF17" i="1"/>
  <c r="AF15" i="1"/>
  <c r="AF14" i="1"/>
  <c r="AF11" i="1"/>
  <c r="AF10" i="1"/>
  <c r="AF9" i="1"/>
  <c r="AF8" i="1"/>
  <c r="AE8" i="1"/>
  <c r="AE9" i="1" l="1"/>
  <c r="AG9" i="1"/>
  <c r="AE10" i="1"/>
  <c r="AG10" i="1"/>
  <c r="AE11" i="1"/>
  <c r="AG11" i="1"/>
  <c r="AE12" i="1"/>
  <c r="AG12" i="1"/>
  <c r="AE13" i="1"/>
  <c r="AG13" i="1"/>
  <c r="AE14" i="1"/>
  <c r="AG14" i="1"/>
  <c r="AE15" i="1"/>
  <c r="AG15" i="1"/>
  <c r="AE16" i="1"/>
  <c r="AG16" i="1"/>
  <c r="AE17" i="1"/>
  <c r="AG17" i="1"/>
  <c r="AE18" i="1"/>
  <c r="AG18" i="1"/>
  <c r="AE19" i="1"/>
  <c r="AG19" i="1"/>
  <c r="AE20" i="1"/>
  <c r="AG20" i="1"/>
  <c r="AE21" i="1"/>
  <c r="AG21" i="1"/>
  <c r="AE22" i="1"/>
  <c r="AG22" i="1"/>
  <c r="AE23" i="1"/>
  <c r="AG23" i="1"/>
  <c r="AE24" i="1"/>
  <c r="AG24" i="1"/>
  <c r="AE25" i="1"/>
  <c r="AG25" i="1"/>
  <c r="AE26" i="1"/>
  <c r="AG26" i="1"/>
  <c r="AE27" i="1"/>
  <c r="AG27" i="1"/>
  <c r="AE28" i="1"/>
  <c r="AG28" i="1"/>
  <c r="AI28" i="1" s="1"/>
  <c r="AE29" i="1"/>
  <c r="AG29" i="1"/>
  <c r="AE30" i="1"/>
  <c r="AG30" i="1"/>
  <c r="AE31" i="1"/>
  <c r="AG31" i="1"/>
  <c r="AE32" i="1"/>
  <c r="AG32" i="1"/>
  <c r="AI32" i="1" s="1"/>
  <c r="AE33" i="1"/>
  <c r="AG33" i="1"/>
  <c r="AE34" i="1"/>
  <c r="AG34" i="1"/>
  <c r="AE35" i="1"/>
  <c r="AG35" i="1"/>
  <c r="AE36" i="1"/>
  <c r="AG36" i="1"/>
  <c r="AI36" i="1" s="1"/>
  <c r="AE37" i="1"/>
  <c r="AG37" i="1"/>
  <c r="AE38" i="1"/>
  <c r="AG38" i="1"/>
  <c r="AE39" i="1"/>
  <c r="AG39" i="1"/>
  <c r="AE40" i="1"/>
  <c r="AG40" i="1"/>
  <c r="AE41" i="1"/>
  <c r="AG41" i="1"/>
  <c r="AE42" i="1"/>
  <c r="AG42" i="1"/>
  <c r="AE43" i="1"/>
  <c r="AG43" i="1"/>
  <c r="AE44" i="1"/>
  <c r="AG44" i="1"/>
  <c r="AI44" i="1" s="1"/>
  <c r="AE45" i="1"/>
  <c r="AG45" i="1"/>
  <c r="AE46" i="1"/>
  <c r="AG46" i="1"/>
  <c r="AE47" i="1"/>
  <c r="AG47" i="1"/>
  <c r="AE48" i="1"/>
  <c r="AG48" i="1"/>
  <c r="AI48" i="1" s="1"/>
  <c r="AE49" i="1"/>
  <c r="AG49" i="1"/>
  <c r="AE50" i="1"/>
  <c r="AG50" i="1"/>
  <c r="AE51" i="1"/>
  <c r="AG51" i="1"/>
  <c r="AE52" i="1"/>
  <c r="AG52" i="1"/>
  <c r="AI52" i="1" s="1"/>
  <c r="AE53" i="1"/>
  <c r="AG53" i="1"/>
  <c r="AE54" i="1"/>
  <c r="AG54" i="1"/>
  <c r="AE55" i="1"/>
  <c r="AG55" i="1"/>
  <c r="AE56" i="1"/>
  <c r="AG56" i="1"/>
  <c r="AE57" i="1"/>
  <c r="AG57" i="1"/>
  <c r="AE58" i="1"/>
  <c r="AG58" i="1"/>
  <c r="AE59" i="1"/>
  <c r="AG59" i="1"/>
  <c r="AE60" i="1"/>
  <c r="AG60" i="1"/>
  <c r="AI60" i="1" s="1"/>
  <c r="AE61" i="1"/>
  <c r="AG61" i="1"/>
  <c r="AE62" i="1"/>
  <c r="AG62" i="1"/>
  <c r="AE63" i="1"/>
  <c r="AG63" i="1"/>
  <c r="AE64" i="1"/>
  <c r="AG64" i="1"/>
  <c r="AI64" i="1" s="1"/>
  <c r="AE65" i="1"/>
  <c r="AG65" i="1"/>
  <c r="AE66" i="1"/>
  <c r="AG66" i="1"/>
  <c r="AE67" i="1"/>
  <c r="AG67" i="1"/>
  <c r="AE68" i="1"/>
  <c r="AG68" i="1"/>
  <c r="AI68" i="1" s="1"/>
  <c r="AE69" i="1"/>
  <c r="AG69" i="1"/>
  <c r="AE70" i="1"/>
  <c r="AG70" i="1"/>
  <c r="AE71" i="1"/>
  <c r="AG71" i="1"/>
  <c r="AE72" i="1"/>
  <c r="AG72" i="1"/>
  <c r="AE73" i="1"/>
  <c r="AG73" i="1"/>
  <c r="AE74" i="1"/>
  <c r="AG74" i="1"/>
  <c r="AE75" i="1"/>
  <c r="AG75" i="1"/>
  <c r="AE76" i="1"/>
  <c r="AG76" i="1"/>
  <c r="AI76" i="1" s="1"/>
  <c r="AE77" i="1"/>
  <c r="AG77" i="1"/>
  <c r="AE78" i="1"/>
  <c r="AG78" i="1"/>
  <c r="AE79" i="1"/>
  <c r="AG79" i="1"/>
  <c r="AE80" i="1"/>
  <c r="AG80" i="1"/>
  <c r="AI80" i="1" s="1"/>
  <c r="AE81" i="1"/>
  <c r="AG81" i="1"/>
  <c r="AE82" i="1"/>
  <c r="AG82" i="1"/>
  <c r="AE83" i="1"/>
  <c r="AG83" i="1"/>
  <c r="AE84" i="1"/>
  <c r="AG84" i="1"/>
  <c r="AI84" i="1" s="1"/>
  <c r="AE85" i="1"/>
  <c r="AG85" i="1"/>
  <c r="AE86" i="1"/>
  <c r="AG86" i="1"/>
  <c r="AE87" i="1"/>
  <c r="AG87" i="1"/>
  <c r="AE88" i="1"/>
  <c r="AG88" i="1"/>
  <c r="AG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" i="1"/>
  <c r="Z9" i="1"/>
  <c r="AA9" i="1"/>
  <c r="AB9" i="1"/>
  <c r="AC9" i="1"/>
  <c r="Z10" i="1"/>
  <c r="AA10" i="1"/>
  <c r="AB10" i="1"/>
  <c r="AC10" i="1"/>
  <c r="Z11" i="1"/>
  <c r="AA11" i="1"/>
  <c r="AB11" i="1"/>
  <c r="AC11" i="1"/>
  <c r="Z12" i="1"/>
  <c r="AA12" i="1"/>
  <c r="AB12" i="1"/>
  <c r="AC12" i="1"/>
  <c r="Z13" i="1"/>
  <c r="AA13" i="1"/>
  <c r="AB13" i="1"/>
  <c r="AC13" i="1"/>
  <c r="Z14" i="1"/>
  <c r="AA14" i="1"/>
  <c r="AB14" i="1"/>
  <c r="AC14" i="1"/>
  <c r="Z15" i="1"/>
  <c r="AA15" i="1"/>
  <c r="AB15" i="1"/>
  <c r="AC15" i="1"/>
  <c r="Z16" i="1"/>
  <c r="AA16" i="1"/>
  <c r="AB16" i="1"/>
  <c r="AC16" i="1"/>
  <c r="Z17" i="1"/>
  <c r="AA17" i="1"/>
  <c r="AB17" i="1"/>
  <c r="AC17" i="1"/>
  <c r="Z18" i="1"/>
  <c r="AA18" i="1"/>
  <c r="AB18" i="1"/>
  <c r="AC18" i="1"/>
  <c r="Z19" i="1"/>
  <c r="AA19" i="1"/>
  <c r="AB19" i="1"/>
  <c r="AC19" i="1"/>
  <c r="Z20" i="1"/>
  <c r="AA20" i="1"/>
  <c r="AB20" i="1"/>
  <c r="AC20" i="1"/>
  <c r="Z21" i="1"/>
  <c r="AA21" i="1"/>
  <c r="AB21" i="1"/>
  <c r="AC21" i="1"/>
  <c r="Z22" i="1"/>
  <c r="AA22" i="1"/>
  <c r="AB22" i="1"/>
  <c r="AC22" i="1"/>
  <c r="Z23" i="1"/>
  <c r="AA23" i="1"/>
  <c r="AB23" i="1"/>
  <c r="AC23" i="1"/>
  <c r="Z24" i="1"/>
  <c r="AA24" i="1"/>
  <c r="AB24" i="1"/>
  <c r="AC24" i="1"/>
  <c r="Z25" i="1"/>
  <c r="AA25" i="1"/>
  <c r="AB25" i="1"/>
  <c r="AC25" i="1"/>
  <c r="Z26" i="1"/>
  <c r="AA26" i="1"/>
  <c r="AB26" i="1"/>
  <c r="AC26" i="1"/>
  <c r="Z27" i="1"/>
  <c r="AA27" i="1"/>
  <c r="AB27" i="1"/>
  <c r="AC27" i="1"/>
  <c r="Z28" i="1"/>
  <c r="AA28" i="1"/>
  <c r="AB28" i="1"/>
  <c r="AC28" i="1"/>
  <c r="Z29" i="1"/>
  <c r="AA29" i="1"/>
  <c r="AB29" i="1"/>
  <c r="AC29" i="1"/>
  <c r="Z30" i="1"/>
  <c r="AA30" i="1"/>
  <c r="AB30" i="1"/>
  <c r="AC30" i="1"/>
  <c r="Z31" i="1"/>
  <c r="AA31" i="1"/>
  <c r="AB31" i="1"/>
  <c r="AC31" i="1"/>
  <c r="Z32" i="1"/>
  <c r="AA32" i="1"/>
  <c r="AB32" i="1"/>
  <c r="AC32" i="1"/>
  <c r="Z33" i="1"/>
  <c r="AA33" i="1"/>
  <c r="AB33" i="1"/>
  <c r="AC33" i="1"/>
  <c r="Z34" i="1"/>
  <c r="AA34" i="1"/>
  <c r="AB34" i="1"/>
  <c r="AC34" i="1"/>
  <c r="Z35" i="1"/>
  <c r="AA35" i="1"/>
  <c r="AB35" i="1"/>
  <c r="AC35" i="1"/>
  <c r="Z36" i="1"/>
  <c r="AA36" i="1"/>
  <c r="AB36" i="1"/>
  <c r="AC36" i="1"/>
  <c r="Z37" i="1"/>
  <c r="AA37" i="1"/>
  <c r="AB37" i="1"/>
  <c r="AC37" i="1"/>
  <c r="Z38" i="1"/>
  <c r="AA38" i="1"/>
  <c r="AB38" i="1"/>
  <c r="AC38" i="1"/>
  <c r="Z39" i="1"/>
  <c r="AA39" i="1"/>
  <c r="AB39" i="1"/>
  <c r="AC39" i="1"/>
  <c r="Z40" i="1"/>
  <c r="AA40" i="1"/>
  <c r="AB40" i="1"/>
  <c r="AC40" i="1"/>
  <c r="Z41" i="1"/>
  <c r="AA41" i="1"/>
  <c r="AB41" i="1"/>
  <c r="AC41" i="1"/>
  <c r="Z42" i="1"/>
  <c r="AA42" i="1"/>
  <c r="AB42" i="1"/>
  <c r="AC42" i="1"/>
  <c r="Z43" i="1"/>
  <c r="AA43" i="1"/>
  <c r="AB43" i="1"/>
  <c r="AC43" i="1"/>
  <c r="Z44" i="1"/>
  <c r="AA44" i="1"/>
  <c r="AB44" i="1"/>
  <c r="AC44" i="1"/>
  <c r="Z45" i="1"/>
  <c r="AA45" i="1"/>
  <c r="AB45" i="1"/>
  <c r="AC45" i="1"/>
  <c r="Z46" i="1"/>
  <c r="AA46" i="1"/>
  <c r="AB46" i="1"/>
  <c r="AC46" i="1"/>
  <c r="Z47" i="1"/>
  <c r="AA47" i="1"/>
  <c r="AB47" i="1"/>
  <c r="AC47" i="1"/>
  <c r="Z48" i="1"/>
  <c r="AA48" i="1"/>
  <c r="AB48" i="1"/>
  <c r="AC48" i="1"/>
  <c r="Z49" i="1"/>
  <c r="AA49" i="1"/>
  <c r="AB49" i="1"/>
  <c r="AC49" i="1"/>
  <c r="Z50" i="1"/>
  <c r="AA50" i="1"/>
  <c r="AB50" i="1"/>
  <c r="AC50" i="1"/>
  <c r="Z51" i="1"/>
  <c r="AA51" i="1"/>
  <c r="AB51" i="1"/>
  <c r="AC51" i="1"/>
  <c r="Z52" i="1"/>
  <c r="AA52" i="1"/>
  <c r="AB52" i="1"/>
  <c r="AC52" i="1"/>
  <c r="Z53" i="1"/>
  <c r="AA53" i="1"/>
  <c r="AB53" i="1"/>
  <c r="AC53" i="1"/>
  <c r="Z54" i="1"/>
  <c r="AA54" i="1"/>
  <c r="AB54" i="1"/>
  <c r="AC54" i="1"/>
  <c r="Z55" i="1"/>
  <c r="AA55" i="1"/>
  <c r="AB55" i="1"/>
  <c r="AC55" i="1"/>
  <c r="Z56" i="1"/>
  <c r="AA56" i="1"/>
  <c r="AB56" i="1"/>
  <c r="AC56" i="1"/>
  <c r="Z57" i="1"/>
  <c r="AA57" i="1"/>
  <c r="AB57" i="1"/>
  <c r="AC57" i="1"/>
  <c r="Z58" i="1"/>
  <c r="AA58" i="1"/>
  <c r="AB58" i="1"/>
  <c r="AC58" i="1"/>
  <c r="Z59" i="1"/>
  <c r="AA59" i="1"/>
  <c r="AB59" i="1"/>
  <c r="AC59" i="1"/>
  <c r="Z60" i="1"/>
  <c r="AA60" i="1"/>
  <c r="AB60" i="1"/>
  <c r="AC60" i="1"/>
  <c r="Z61" i="1"/>
  <c r="AA61" i="1"/>
  <c r="AB61" i="1"/>
  <c r="AC61" i="1"/>
  <c r="Z62" i="1"/>
  <c r="AA62" i="1"/>
  <c r="AB62" i="1"/>
  <c r="AC62" i="1"/>
  <c r="Z63" i="1"/>
  <c r="AA63" i="1"/>
  <c r="AB63" i="1"/>
  <c r="AC63" i="1"/>
  <c r="Z64" i="1"/>
  <c r="AA64" i="1"/>
  <c r="AB64" i="1"/>
  <c r="AC64" i="1"/>
  <c r="Z65" i="1"/>
  <c r="AA65" i="1"/>
  <c r="AB65" i="1"/>
  <c r="AC65" i="1"/>
  <c r="Z66" i="1"/>
  <c r="AA66" i="1"/>
  <c r="AB66" i="1"/>
  <c r="AC66" i="1"/>
  <c r="Z67" i="1"/>
  <c r="AA67" i="1"/>
  <c r="AB67" i="1"/>
  <c r="AC67" i="1"/>
  <c r="Z68" i="1"/>
  <c r="AA68" i="1"/>
  <c r="AB68" i="1"/>
  <c r="AC68" i="1"/>
  <c r="Z69" i="1"/>
  <c r="AA69" i="1"/>
  <c r="AB69" i="1"/>
  <c r="AC69" i="1"/>
  <c r="Z70" i="1"/>
  <c r="AA70" i="1"/>
  <c r="AB70" i="1"/>
  <c r="AC70" i="1"/>
  <c r="Z71" i="1"/>
  <c r="AA71" i="1"/>
  <c r="AB71" i="1"/>
  <c r="AC71" i="1"/>
  <c r="Z72" i="1"/>
  <c r="AA72" i="1"/>
  <c r="AB72" i="1"/>
  <c r="AC72" i="1"/>
  <c r="Z73" i="1"/>
  <c r="AA73" i="1"/>
  <c r="AB73" i="1"/>
  <c r="AC73" i="1"/>
  <c r="Z74" i="1"/>
  <c r="AA74" i="1"/>
  <c r="AB74" i="1"/>
  <c r="AC74" i="1"/>
  <c r="Z75" i="1"/>
  <c r="AA75" i="1"/>
  <c r="AB75" i="1"/>
  <c r="AC75" i="1"/>
  <c r="Z76" i="1"/>
  <c r="AA76" i="1"/>
  <c r="AB76" i="1"/>
  <c r="AC76" i="1"/>
  <c r="Z77" i="1"/>
  <c r="AA77" i="1"/>
  <c r="AB77" i="1"/>
  <c r="AC77" i="1"/>
  <c r="Z78" i="1"/>
  <c r="AA78" i="1"/>
  <c r="AB78" i="1"/>
  <c r="AC78" i="1"/>
  <c r="Z79" i="1"/>
  <c r="AA79" i="1"/>
  <c r="AB79" i="1"/>
  <c r="AC79" i="1"/>
  <c r="Z80" i="1"/>
  <c r="AA80" i="1"/>
  <c r="AB80" i="1"/>
  <c r="AC80" i="1"/>
  <c r="Z81" i="1"/>
  <c r="AA81" i="1"/>
  <c r="AB81" i="1"/>
  <c r="AC81" i="1"/>
  <c r="Z82" i="1"/>
  <c r="AA82" i="1"/>
  <c r="AB82" i="1"/>
  <c r="AC82" i="1"/>
  <c r="Z83" i="1"/>
  <c r="AA83" i="1"/>
  <c r="AB83" i="1"/>
  <c r="AC83" i="1"/>
  <c r="Z84" i="1"/>
  <c r="AA84" i="1"/>
  <c r="AB84" i="1"/>
  <c r="AC84" i="1"/>
  <c r="Z85" i="1"/>
  <c r="AA85" i="1"/>
  <c r="AB85" i="1"/>
  <c r="AC85" i="1"/>
  <c r="Z86" i="1"/>
  <c r="AA86" i="1"/>
  <c r="AB86" i="1"/>
  <c r="AC86" i="1"/>
  <c r="Z87" i="1"/>
  <c r="AA87" i="1"/>
  <c r="AB87" i="1"/>
  <c r="AC87" i="1"/>
  <c r="Z88" i="1"/>
  <c r="AA88" i="1"/>
  <c r="AB88" i="1"/>
  <c r="AC88" i="1"/>
  <c r="AC8" i="1"/>
  <c r="AB8" i="1"/>
  <c r="AA8" i="1"/>
  <c r="Z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S24" i="1"/>
  <c r="T24" i="1"/>
  <c r="U24" i="1"/>
  <c r="V24" i="1"/>
  <c r="S25" i="1"/>
  <c r="T25" i="1"/>
  <c r="U25" i="1"/>
  <c r="V25" i="1"/>
  <c r="S26" i="1"/>
  <c r="T26" i="1"/>
  <c r="U26" i="1"/>
  <c r="V26" i="1"/>
  <c r="S27" i="1"/>
  <c r="T27" i="1"/>
  <c r="U27" i="1"/>
  <c r="V27" i="1"/>
  <c r="S28" i="1"/>
  <c r="T28" i="1"/>
  <c r="U28" i="1"/>
  <c r="V28" i="1"/>
  <c r="S29" i="1"/>
  <c r="T29" i="1"/>
  <c r="U29" i="1"/>
  <c r="V29" i="1"/>
  <c r="S30" i="1"/>
  <c r="T30" i="1"/>
  <c r="U30" i="1"/>
  <c r="V30" i="1"/>
  <c r="S31" i="1"/>
  <c r="T31" i="1"/>
  <c r="U31" i="1"/>
  <c r="V31" i="1"/>
  <c r="S32" i="1"/>
  <c r="T32" i="1"/>
  <c r="U32" i="1"/>
  <c r="V32" i="1"/>
  <c r="S33" i="1"/>
  <c r="T33" i="1"/>
  <c r="U33" i="1"/>
  <c r="V33" i="1"/>
  <c r="S34" i="1"/>
  <c r="T34" i="1"/>
  <c r="U34" i="1"/>
  <c r="V34" i="1"/>
  <c r="S35" i="1"/>
  <c r="T35" i="1"/>
  <c r="U35" i="1"/>
  <c r="V35" i="1"/>
  <c r="S36" i="1"/>
  <c r="T36" i="1"/>
  <c r="U36" i="1"/>
  <c r="V36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50" i="1"/>
  <c r="T50" i="1"/>
  <c r="U50" i="1"/>
  <c r="V50" i="1"/>
  <c r="S51" i="1"/>
  <c r="T51" i="1"/>
  <c r="U51" i="1"/>
  <c r="V51" i="1"/>
  <c r="S52" i="1"/>
  <c r="T52" i="1"/>
  <c r="U52" i="1"/>
  <c r="V52" i="1"/>
  <c r="S53" i="1"/>
  <c r="T53" i="1"/>
  <c r="U53" i="1"/>
  <c r="V53" i="1"/>
  <c r="S54" i="1"/>
  <c r="T54" i="1"/>
  <c r="U54" i="1"/>
  <c r="V54" i="1"/>
  <c r="S55" i="1"/>
  <c r="T55" i="1"/>
  <c r="U55" i="1"/>
  <c r="V55" i="1"/>
  <c r="S56" i="1"/>
  <c r="T56" i="1"/>
  <c r="U56" i="1"/>
  <c r="V56" i="1"/>
  <c r="S57" i="1"/>
  <c r="T57" i="1"/>
  <c r="U57" i="1"/>
  <c r="V57" i="1"/>
  <c r="S58" i="1"/>
  <c r="T58" i="1"/>
  <c r="U58" i="1"/>
  <c r="V58" i="1"/>
  <c r="S59" i="1"/>
  <c r="T59" i="1"/>
  <c r="U59" i="1"/>
  <c r="V59" i="1"/>
  <c r="S60" i="1"/>
  <c r="T60" i="1"/>
  <c r="U60" i="1"/>
  <c r="V60" i="1"/>
  <c r="S61" i="1"/>
  <c r="T61" i="1"/>
  <c r="U61" i="1"/>
  <c r="V61" i="1"/>
  <c r="S62" i="1"/>
  <c r="T62" i="1"/>
  <c r="U62" i="1"/>
  <c r="V62" i="1"/>
  <c r="S63" i="1"/>
  <c r="T63" i="1"/>
  <c r="U63" i="1"/>
  <c r="V63" i="1"/>
  <c r="S64" i="1"/>
  <c r="T64" i="1"/>
  <c r="U64" i="1"/>
  <c r="V64" i="1"/>
  <c r="S65" i="1"/>
  <c r="T65" i="1"/>
  <c r="U65" i="1"/>
  <c r="V65" i="1"/>
  <c r="S66" i="1"/>
  <c r="T66" i="1"/>
  <c r="U66" i="1"/>
  <c r="V66" i="1"/>
  <c r="S67" i="1"/>
  <c r="T67" i="1"/>
  <c r="U67" i="1"/>
  <c r="V67" i="1"/>
  <c r="S68" i="1"/>
  <c r="T68" i="1"/>
  <c r="U68" i="1"/>
  <c r="V68" i="1"/>
  <c r="S69" i="1"/>
  <c r="T69" i="1"/>
  <c r="U69" i="1"/>
  <c r="V69" i="1"/>
  <c r="S70" i="1"/>
  <c r="T70" i="1"/>
  <c r="U70" i="1"/>
  <c r="V70" i="1"/>
  <c r="S71" i="1"/>
  <c r="T71" i="1"/>
  <c r="U71" i="1"/>
  <c r="V71" i="1"/>
  <c r="S72" i="1"/>
  <c r="T72" i="1"/>
  <c r="U72" i="1"/>
  <c r="V72" i="1"/>
  <c r="S73" i="1"/>
  <c r="T73" i="1"/>
  <c r="U73" i="1"/>
  <c r="V73" i="1"/>
  <c r="S74" i="1"/>
  <c r="T74" i="1"/>
  <c r="U74" i="1"/>
  <c r="V74" i="1"/>
  <c r="S75" i="1"/>
  <c r="T75" i="1"/>
  <c r="U75" i="1"/>
  <c r="V75" i="1"/>
  <c r="S76" i="1"/>
  <c r="T76" i="1"/>
  <c r="U76" i="1"/>
  <c r="V76" i="1"/>
  <c r="S77" i="1"/>
  <c r="T77" i="1"/>
  <c r="U77" i="1"/>
  <c r="V77" i="1"/>
  <c r="S78" i="1"/>
  <c r="T78" i="1"/>
  <c r="U78" i="1"/>
  <c r="V78" i="1"/>
  <c r="S79" i="1"/>
  <c r="T79" i="1"/>
  <c r="U79" i="1"/>
  <c r="V79" i="1"/>
  <c r="S80" i="1"/>
  <c r="T80" i="1"/>
  <c r="U80" i="1"/>
  <c r="V80" i="1"/>
  <c r="S81" i="1"/>
  <c r="T81" i="1"/>
  <c r="U81" i="1"/>
  <c r="V81" i="1"/>
  <c r="S82" i="1"/>
  <c r="T82" i="1"/>
  <c r="U82" i="1"/>
  <c r="V82" i="1"/>
  <c r="S83" i="1"/>
  <c r="T83" i="1"/>
  <c r="U83" i="1"/>
  <c r="V83" i="1"/>
  <c r="S84" i="1"/>
  <c r="T84" i="1"/>
  <c r="U84" i="1"/>
  <c r="V84" i="1"/>
  <c r="S85" i="1"/>
  <c r="T85" i="1"/>
  <c r="U85" i="1"/>
  <c r="V85" i="1"/>
  <c r="S86" i="1"/>
  <c r="T86" i="1"/>
  <c r="U86" i="1"/>
  <c r="V86" i="1"/>
  <c r="S87" i="1"/>
  <c r="T87" i="1"/>
  <c r="U87" i="1"/>
  <c r="V87" i="1"/>
  <c r="S88" i="1"/>
  <c r="T88" i="1"/>
  <c r="U88" i="1"/>
  <c r="V88" i="1"/>
  <c r="V8" i="1"/>
  <c r="U8" i="1"/>
  <c r="T8" i="1"/>
  <c r="S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D9" i="1"/>
  <c r="AI9" i="1" s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AI13" i="1" s="1"/>
  <c r="E13" i="1"/>
  <c r="F13" i="1"/>
  <c r="G13" i="1"/>
  <c r="H13" i="1"/>
  <c r="I13" i="1"/>
  <c r="D14" i="1"/>
  <c r="E14" i="1"/>
  <c r="F14" i="1"/>
  <c r="G14" i="1"/>
  <c r="H14" i="1"/>
  <c r="I14" i="1"/>
  <c r="D15" i="1"/>
  <c r="AI15" i="1" s="1"/>
  <c r="E15" i="1"/>
  <c r="F15" i="1"/>
  <c r="G15" i="1"/>
  <c r="H15" i="1"/>
  <c r="I15" i="1"/>
  <c r="D16" i="1"/>
  <c r="E16" i="1"/>
  <c r="F16" i="1"/>
  <c r="G16" i="1"/>
  <c r="H16" i="1"/>
  <c r="I16" i="1"/>
  <c r="D17" i="1"/>
  <c r="AI17" i="1" s="1"/>
  <c r="E17" i="1"/>
  <c r="F17" i="1"/>
  <c r="G17" i="1"/>
  <c r="H17" i="1"/>
  <c r="I17" i="1"/>
  <c r="D18" i="1"/>
  <c r="E18" i="1"/>
  <c r="F18" i="1"/>
  <c r="G18" i="1"/>
  <c r="H18" i="1"/>
  <c r="I18" i="1"/>
  <c r="D19" i="1"/>
  <c r="AI19" i="1" s="1"/>
  <c r="E19" i="1"/>
  <c r="F19" i="1"/>
  <c r="G19" i="1"/>
  <c r="H19" i="1"/>
  <c r="I19" i="1"/>
  <c r="D20" i="1"/>
  <c r="E20" i="1"/>
  <c r="F20" i="1"/>
  <c r="G20" i="1"/>
  <c r="H20" i="1"/>
  <c r="I20" i="1"/>
  <c r="D21" i="1"/>
  <c r="AI21" i="1" s="1"/>
  <c r="E21" i="1"/>
  <c r="F21" i="1"/>
  <c r="G21" i="1"/>
  <c r="H21" i="1"/>
  <c r="I21" i="1"/>
  <c r="D22" i="1"/>
  <c r="E22" i="1"/>
  <c r="F22" i="1"/>
  <c r="G22" i="1"/>
  <c r="H22" i="1"/>
  <c r="I22" i="1"/>
  <c r="D23" i="1"/>
  <c r="AI23" i="1" s="1"/>
  <c r="E23" i="1"/>
  <c r="F23" i="1"/>
  <c r="G23" i="1"/>
  <c r="H23" i="1"/>
  <c r="I23" i="1"/>
  <c r="D24" i="1"/>
  <c r="E24" i="1"/>
  <c r="F24" i="1"/>
  <c r="G24" i="1"/>
  <c r="H24" i="1"/>
  <c r="I24" i="1"/>
  <c r="D25" i="1"/>
  <c r="AI25" i="1" s="1"/>
  <c r="E25" i="1"/>
  <c r="F25" i="1"/>
  <c r="G25" i="1"/>
  <c r="H25" i="1"/>
  <c r="I25" i="1"/>
  <c r="D26" i="1"/>
  <c r="E26" i="1"/>
  <c r="F26" i="1"/>
  <c r="G26" i="1"/>
  <c r="H26" i="1"/>
  <c r="I26" i="1"/>
  <c r="D27" i="1"/>
  <c r="AI27" i="1" s="1"/>
  <c r="E27" i="1"/>
  <c r="F27" i="1"/>
  <c r="G27" i="1"/>
  <c r="H27" i="1"/>
  <c r="I27" i="1"/>
  <c r="D28" i="1"/>
  <c r="E28" i="1"/>
  <c r="F28" i="1"/>
  <c r="G28" i="1"/>
  <c r="H28" i="1"/>
  <c r="I28" i="1"/>
  <c r="D29" i="1"/>
  <c r="AI29" i="1" s="1"/>
  <c r="E29" i="1"/>
  <c r="F29" i="1"/>
  <c r="G29" i="1"/>
  <c r="H29" i="1"/>
  <c r="I29" i="1"/>
  <c r="D30" i="1"/>
  <c r="E30" i="1"/>
  <c r="F30" i="1"/>
  <c r="G30" i="1"/>
  <c r="H30" i="1"/>
  <c r="I30" i="1"/>
  <c r="D31" i="1"/>
  <c r="AI31" i="1" s="1"/>
  <c r="E31" i="1"/>
  <c r="F31" i="1"/>
  <c r="G31" i="1"/>
  <c r="H31" i="1"/>
  <c r="I31" i="1"/>
  <c r="D32" i="1"/>
  <c r="E32" i="1"/>
  <c r="F32" i="1"/>
  <c r="G32" i="1"/>
  <c r="H32" i="1"/>
  <c r="I32" i="1"/>
  <c r="D33" i="1"/>
  <c r="AI33" i="1" s="1"/>
  <c r="E33" i="1"/>
  <c r="F33" i="1"/>
  <c r="G33" i="1"/>
  <c r="H33" i="1"/>
  <c r="I33" i="1"/>
  <c r="D34" i="1"/>
  <c r="E34" i="1"/>
  <c r="F34" i="1"/>
  <c r="G34" i="1"/>
  <c r="H34" i="1"/>
  <c r="I34" i="1"/>
  <c r="D35" i="1"/>
  <c r="AI35" i="1" s="1"/>
  <c r="E35" i="1"/>
  <c r="F35" i="1"/>
  <c r="G35" i="1"/>
  <c r="H35" i="1"/>
  <c r="I35" i="1"/>
  <c r="D36" i="1"/>
  <c r="E36" i="1"/>
  <c r="F36" i="1"/>
  <c r="G36" i="1"/>
  <c r="H36" i="1"/>
  <c r="I36" i="1"/>
  <c r="D37" i="1"/>
  <c r="AI37" i="1" s="1"/>
  <c r="E37" i="1"/>
  <c r="F37" i="1"/>
  <c r="G37" i="1"/>
  <c r="H37" i="1"/>
  <c r="I37" i="1"/>
  <c r="D38" i="1"/>
  <c r="E38" i="1"/>
  <c r="F38" i="1"/>
  <c r="G38" i="1"/>
  <c r="H38" i="1"/>
  <c r="I38" i="1"/>
  <c r="D39" i="1"/>
  <c r="AI39" i="1" s="1"/>
  <c r="E39" i="1"/>
  <c r="F39" i="1"/>
  <c r="G39" i="1"/>
  <c r="H39" i="1"/>
  <c r="I39" i="1"/>
  <c r="D40" i="1"/>
  <c r="E40" i="1"/>
  <c r="F40" i="1"/>
  <c r="G40" i="1"/>
  <c r="H40" i="1"/>
  <c r="I40" i="1"/>
  <c r="D41" i="1"/>
  <c r="AI41" i="1" s="1"/>
  <c r="E41" i="1"/>
  <c r="F41" i="1"/>
  <c r="G41" i="1"/>
  <c r="H41" i="1"/>
  <c r="I41" i="1"/>
  <c r="D42" i="1"/>
  <c r="E42" i="1"/>
  <c r="F42" i="1"/>
  <c r="G42" i="1"/>
  <c r="H42" i="1"/>
  <c r="I42" i="1"/>
  <c r="D43" i="1"/>
  <c r="AI43" i="1" s="1"/>
  <c r="E43" i="1"/>
  <c r="F43" i="1"/>
  <c r="G43" i="1"/>
  <c r="H43" i="1"/>
  <c r="I43" i="1"/>
  <c r="D44" i="1"/>
  <c r="E44" i="1"/>
  <c r="F44" i="1"/>
  <c r="G44" i="1"/>
  <c r="H44" i="1"/>
  <c r="I44" i="1"/>
  <c r="D45" i="1"/>
  <c r="AI45" i="1" s="1"/>
  <c r="E45" i="1"/>
  <c r="F45" i="1"/>
  <c r="G45" i="1"/>
  <c r="H45" i="1"/>
  <c r="I45" i="1"/>
  <c r="D46" i="1"/>
  <c r="E46" i="1"/>
  <c r="F46" i="1"/>
  <c r="G46" i="1"/>
  <c r="H46" i="1"/>
  <c r="I46" i="1"/>
  <c r="D47" i="1"/>
  <c r="AI47" i="1" s="1"/>
  <c r="E47" i="1"/>
  <c r="F47" i="1"/>
  <c r="G47" i="1"/>
  <c r="H47" i="1"/>
  <c r="I47" i="1"/>
  <c r="D48" i="1"/>
  <c r="E48" i="1"/>
  <c r="F48" i="1"/>
  <c r="G48" i="1"/>
  <c r="H48" i="1"/>
  <c r="I48" i="1"/>
  <c r="D49" i="1"/>
  <c r="AI49" i="1" s="1"/>
  <c r="E49" i="1"/>
  <c r="F49" i="1"/>
  <c r="G49" i="1"/>
  <c r="H49" i="1"/>
  <c r="I49" i="1"/>
  <c r="D50" i="1"/>
  <c r="E50" i="1"/>
  <c r="F50" i="1"/>
  <c r="G50" i="1"/>
  <c r="H50" i="1"/>
  <c r="I50" i="1"/>
  <c r="D51" i="1"/>
  <c r="AI51" i="1" s="1"/>
  <c r="E51" i="1"/>
  <c r="F51" i="1"/>
  <c r="G51" i="1"/>
  <c r="H51" i="1"/>
  <c r="I51" i="1"/>
  <c r="D52" i="1"/>
  <c r="E52" i="1"/>
  <c r="F52" i="1"/>
  <c r="G52" i="1"/>
  <c r="H52" i="1"/>
  <c r="I52" i="1"/>
  <c r="D53" i="1"/>
  <c r="AI53" i="1" s="1"/>
  <c r="E53" i="1"/>
  <c r="F53" i="1"/>
  <c r="G53" i="1"/>
  <c r="H53" i="1"/>
  <c r="I53" i="1"/>
  <c r="D54" i="1"/>
  <c r="E54" i="1"/>
  <c r="F54" i="1"/>
  <c r="G54" i="1"/>
  <c r="H54" i="1"/>
  <c r="I54" i="1"/>
  <c r="D55" i="1"/>
  <c r="AI55" i="1" s="1"/>
  <c r="E55" i="1"/>
  <c r="F55" i="1"/>
  <c r="G55" i="1"/>
  <c r="H55" i="1"/>
  <c r="I55" i="1"/>
  <c r="D56" i="1"/>
  <c r="E56" i="1"/>
  <c r="F56" i="1"/>
  <c r="G56" i="1"/>
  <c r="H56" i="1"/>
  <c r="I56" i="1"/>
  <c r="D57" i="1"/>
  <c r="AI57" i="1" s="1"/>
  <c r="E57" i="1"/>
  <c r="F57" i="1"/>
  <c r="G57" i="1"/>
  <c r="H57" i="1"/>
  <c r="I57" i="1"/>
  <c r="D58" i="1"/>
  <c r="E58" i="1"/>
  <c r="F58" i="1"/>
  <c r="G58" i="1"/>
  <c r="H58" i="1"/>
  <c r="I58" i="1"/>
  <c r="D59" i="1"/>
  <c r="AI59" i="1" s="1"/>
  <c r="E59" i="1"/>
  <c r="F59" i="1"/>
  <c r="G59" i="1"/>
  <c r="H59" i="1"/>
  <c r="I59" i="1"/>
  <c r="D60" i="1"/>
  <c r="E60" i="1"/>
  <c r="F60" i="1"/>
  <c r="G60" i="1"/>
  <c r="H60" i="1"/>
  <c r="I60" i="1"/>
  <c r="D61" i="1"/>
  <c r="AI61" i="1" s="1"/>
  <c r="E61" i="1"/>
  <c r="F61" i="1"/>
  <c r="G61" i="1"/>
  <c r="H61" i="1"/>
  <c r="I61" i="1"/>
  <c r="D62" i="1"/>
  <c r="E62" i="1"/>
  <c r="F62" i="1"/>
  <c r="G62" i="1"/>
  <c r="H62" i="1"/>
  <c r="I62" i="1"/>
  <c r="D63" i="1"/>
  <c r="AI63" i="1" s="1"/>
  <c r="E63" i="1"/>
  <c r="F63" i="1"/>
  <c r="G63" i="1"/>
  <c r="H63" i="1"/>
  <c r="I63" i="1"/>
  <c r="D64" i="1"/>
  <c r="E64" i="1"/>
  <c r="F64" i="1"/>
  <c r="G64" i="1"/>
  <c r="H64" i="1"/>
  <c r="I64" i="1"/>
  <c r="D65" i="1"/>
  <c r="AI65" i="1" s="1"/>
  <c r="E65" i="1"/>
  <c r="F65" i="1"/>
  <c r="G65" i="1"/>
  <c r="H65" i="1"/>
  <c r="I65" i="1"/>
  <c r="D66" i="1"/>
  <c r="E66" i="1"/>
  <c r="F66" i="1"/>
  <c r="G66" i="1"/>
  <c r="H66" i="1"/>
  <c r="I66" i="1"/>
  <c r="D67" i="1"/>
  <c r="AI67" i="1" s="1"/>
  <c r="E67" i="1"/>
  <c r="F67" i="1"/>
  <c r="G67" i="1"/>
  <c r="H67" i="1"/>
  <c r="I67" i="1"/>
  <c r="D68" i="1"/>
  <c r="E68" i="1"/>
  <c r="F68" i="1"/>
  <c r="G68" i="1"/>
  <c r="H68" i="1"/>
  <c r="I68" i="1"/>
  <c r="D69" i="1"/>
  <c r="AI69" i="1" s="1"/>
  <c r="E69" i="1"/>
  <c r="F69" i="1"/>
  <c r="G69" i="1"/>
  <c r="H69" i="1"/>
  <c r="I69" i="1"/>
  <c r="D70" i="1"/>
  <c r="E70" i="1"/>
  <c r="F70" i="1"/>
  <c r="G70" i="1"/>
  <c r="H70" i="1"/>
  <c r="I70" i="1"/>
  <c r="D71" i="1"/>
  <c r="AI71" i="1" s="1"/>
  <c r="E71" i="1"/>
  <c r="F71" i="1"/>
  <c r="G71" i="1"/>
  <c r="H71" i="1"/>
  <c r="I71" i="1"/>
  <c r="D72" i="1"/>
  <c r="E72" i="1"/>
  <c r="F72" i="1"/>
  <c r="G72" i="1"/>
  <c r="H72" i="1"/>
  <c r="I72" i="1"/>
  <c r="D73" i="1"/>
  <c r="AI73" i="1" s="1"/>
  <c r="E73" i="1"/>
  <c r="F73" i="1"/>
  <c r="G73" i="1"/>
  <c r="H73" i="1"/>
  <c r="I73" i="1"/>
  <c r="D74" i="1"/>
  <c r="E74" i="1"/>
  <c r="F74" i="1"/>
  <c r="G74" i="1"/>
  <c r="H74" i="1"/>
  <c r="I74" i="1"/>
  <c r="D75" i="1"/>
  <c r="AI75" i="1" s="1"/>
  <c r="E75" i="1"/>
  <c r="F75" i="1"/>
  <c r="G75" i="1"/>
  <c r="H75" i="1"/>
  <c r="I75" i="1"/>
  <c r="D76" i="1"/>
  <c r="E76" i="1"/>
  <c r="F76" i="1"/>
  <c r="G76" i="1"/>
  <c r="H76" i="1"/>
  <c r="I76" i="1"/>
  <c r="D77" i="1"/>
  <c r="AI77" i="1" s="1"/>
  <c r="E77" i="1"/>
  <c r="F77" i="1"/>
  <c r="G77" i="1"/>
  <c r="H77" i="1"/>
  <c r="I77" i="1"/>
  <c r="D78" i="1"/>
  <c r="E78" i="1"/>
  <c r="F78" i="1"/>
  <c r="G78" i="1"/>
  <c r="H78" i="1"/>
  <c r="I78" i="1"/>
  <c r="D79" i="1"/>
  <c r="AI79" i="1" s="1"/>
  <c r="E79" i="1"/>
  <c r="F79" i="1"/>
  <c r="G79" i="1"/>
  <c r="H79" i="1"/>
  <c r="I79" i="1"/>
  <c r="D80" i="1"/>
  <c r="E80" i="1"/>
  <c r="F80" i="1"/>
  <c r="G80" i="1"/>
  <c r="H80" i="1"/>
  <c r="I80" i="1"/>
  <c r="D81" i="1"/>
  <c r="AI81" i="1" s="1"/>
  <c r="E81" i="1"/>
  <c r="F81" i="1"/>
  <c r="G81" i="1"/>
  <c r="H81" i="1"/>
  <c r="I81" i="1"/>
  <c r="D82" i="1"/>
  <c r="E82" i="1"/>
  <c r="F82" i="1"/>
  <c r="G82" i="1"/>
  <c r="H82" i="1"/>
  <c r="I82" i="1"/>
  <c r="D83" i="1"/>
  <c r="AI83" i="1" s="1"/>
  <c r="E83" i="1"/>
  <c r="F83" i="1"/>
  <c r="G83" i="1"/>
  <c r="H83" i="1"/>
  <c r="I83" i="1"/>
  <c r="D84" i="1"/>
  <c r="E84" i="1"/>
  <c r="F84" i="1"/>
  <c r="G84" i="1"/>
  <c r="H84" i="1"/>
  <c r="I84" i="1"/>
  <c r="D85" i="1"/>
  <c r="AI85" i="1" s="1"/>
  <c r="E85" i="1"/>
  <c r="F85" i="1"/>
  <c r="G85" i="1"/>
  <c r="H85" i="1"/>
  <c r="I85" i="1"/>
  <c r="D86" i="1"/>
  <c r="E86" i="1"/>
  <c r="F86" i="1"/>
  <c r="G86" i="1"/>
  <c r="H86" i="1"/>
  <c r="I86" i="1"/>
  <c r="D87" i="1"/>
  <c r="AI87" i="1" s="1"/>
  <c r="E87" i="1"/>
  <c r="F87" i="1"/>
  <c r="G87" i="1"/>
  <c r="H87" i="1"/>
  <c r="I87" i="1"/>
  <c r="D88" i="1"/>
  <c r="E88" i="1"/>
  <c r="F88" i="1"/>
  <c r="G88" i="1"/>
  <c r="H88" i="1"/>
  <c r="I88" i="1"/>
  <c r="I8" i="1"/>
  <c r="H8" i="1"/>
  <c r="G8" i="1"/>
  <c r="F8" i="1"/>
  <c r="E8" i="1"/>
  <c r="D8" i="1"/>
  <c r="AI8" i="1" s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P8" i="1"/>
  <c r="O8" i="1"/>
  <c r="N8" i="1"/>
  <c r="M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" i="1"/>
  <c r="AI11" i="1" l="1"/>
  <c r="AI86" i="1"/>
  <c r="AI82" i="1"/>
  <c r="AI78" i="1"/>
  <c r="AI74" i="1"/>
  <c r="AI70" i="1"/>
  <c r="AI66" i="1"/>
  <c r="AI62" i="1"/>
  <c r="AI58" i="1"/>
  <c r="AI54" i="1"/>
  <c r="AI50" i="1"/>
  <c r="AI46" i="1"/>
  <c r="AI42" i="1"/>
  <c r="AI38" i="1"/>
  <c r="AI34" i="1"/>
  <c r="AI30" i="1"/>
  <c r="AI26" i="1"/>
  <c r="AI22" i="1"/>
  <c r="AI18" i="1"/>
  <c r="AI14" i="1"/>
  <c r="AI10" i="1"/>
  <c r="AI88" i="1"/>
  <c r="AI40" i="1"/>
  <c r="AI24" i="1"/>
  <c r="AI20" i="1"/>
  <c r="AI16" i="1"/>
  <c r="AI12" i="1"/>
  <c r="AI72" i="1"/>
  <c r="AI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567E32A9-A44F-40AF-B25D-F37CE7282B9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A487BE5-FB5E-4DF6-BF36-A55F4B12475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BC1AAB9-F01F-48C5-8AB0-92F2D3A1D50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BF904B9-5BB4-4998-AF0D-DC1EDA84EAC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01879B1-A2DF-4B08-A031-81CD78BC970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2D0CD01A-6676-43D6-A5CA-028ACEBBA20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50FFDDA-3C5C-48B0-92D2-8865BDF8217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B0ADEF8-0C74-48E1-8757-FC154FB6AD9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3FFBA7F-A604-4269-9B86-D32E1808685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D680176-7B16-470F-9E28-CD0BBCFC93B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910248B-C8C6-48F6-BA45-17D0894245E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C5B435E-B1F1-48A3-ABAE-FC1767F5841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F80A357-01D4-431F-A65B-0E1E35FFAFF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DD73FDE-A551-4771-BFD7-4A3D024979F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3DA5105-1B76-483D-8FD8-C8D4FC014D2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4EF2EE2-C73C-4B5C-B4DE-54011B856FF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8BC3E37-461D-4A89-A3D9-153DEBC2B26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8EE4C2A-7B74-49A8-9A2E-0544CEF428E6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F6AA12A-1506-4BC4-928D-B03BFA82CBA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CD564DE-A681-4CB4-B3A5-E81C6DB66AF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DCE200B-503C-4D24-9B88-A33DF18BB6F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EABA017-E30C-49B8-9893-71004D44996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210641C-C3AF-4701-B1CA-F3E52B28EA3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3EE7B58-E7A2-40F3-B162-BACFD6146A0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1623C6B-3E7E-44CE-AFBA-66AA762CA4E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A375648-C715-4924-9460-9CA09DB86CE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D4CA97A-B8EF-425C-BA81-889D2445A83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9548CB9-BBEF-4E58-B9C3-890F0E8F8BA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E1076F8-E0CB-4034-AA89-43CAA86C3A9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62714BE-8DF5-4BEF-8909-AC17C1BD54C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37FB5EE-F67A-4491-824B-DB6DAAF95A1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BB78E24-7C21-4AA1-87AA-4B9E7634EF7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810EFC9-29C1-4411-8210-EF20CFBDFFA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A561D92-9141-4CEE-815B-F46F6932931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BF0A70E-25EC-4553-818F-B254850CA59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84CE72E-6FDE-4CB7-A841-C06FA96FB2E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700C879-29FE-4CAE-A05C-AB1147C1562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4674EC3-27BB-4D80-9457-E933331FC73A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100BC85-AB53-4E1F-AA7E-65413583602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E47688D-79FD-4488-8161-0F94D7F92CE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A314E23-CD48-4A99-9391-5AB394F8D78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9980407-9ABF-4408-83D5-05A799CC16D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959D058-3758-4D6A-8292-F12FC9BFC1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B08B2FB-B686-4E38-AA7F-DB6C7E29885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676A232-DDEB-4836-9132-4F6060A8970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68C64FE-5603-4D03-8894-0853806AD41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1C92163-0B72-4CFC-84E3-ACB66735F54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CAD4781-F94C-43D4-9E4F-7830B789A3A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5861FCF-55EA-4ED5-B418-E7B38494BE0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3285CED-7284-48C1-8583-25991CD539F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DB13BEF-5B70-4A0E-90BE-41932FAAFE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480331E-857B-476F-B0A2-EE151B96411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A343E66-2F7E-4698-8388-B748011AA37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4B2C1F9-3DB8-48FD-8302-131313BAE71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1A1ADE6-F028-47E6-B92D-79163053568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899D4FC-8AD3-4A89-9D9B-3C1042C48B5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9C6926A-7D4A-4E19-B0E5-5EF39385DE0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F9EFB6F-7285-4DA2-A98F-F71CC8BCE2F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28A4866-69FF-4150-AC1C-F5854D677EE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9FC63D7-C1C6-4D42-A5AA-7C5B8776ED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9CC9844-C804-4575-8CFE-5A6A8675DF2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A2B3756-24F4-4870-B6C7-09126E485DF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A43C141-3202-46B9-8688-1E8FDA4FE03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BD008D8-E438-453F-A4DB-69E755823C8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61317FD-869B-4204-B8D4-C96ECF3E568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43A55D1-3126-40E4-BA2B-DBCC7DC6C02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91190E6-B398-4304-AFA3-CFFF7DD2B45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0612A64-7ED3-467F-8E77-C700AF75F8E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F7AD129-A7DB-4143-BEAE-6EA146A15A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BAC617C-EFBF-4D5B-BD2F-FEEFB3A83D1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C0C9453F-51D8-45C8-A589-41A700DBECE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864D78A-C607-43F8-A2D7-6AFAFFBDA4F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DD6322B-5C9A-4F14-B594-754092A96AD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DE89C90-7085-41CD-827D-B785847B6DC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80F30E2-F091-41D0-B8B9-8148D638C8C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530DE89-2CFE-4A3B-8F0D-A6DCFF1AEA9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6A782F8-2CAE-4E1B-BE34-DA0FA1D2F6E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5DFB2D2-39B1-4C81-98E8-C17C922F5E5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4D90B10-DC0A-4290-A9A9-F3300E367CF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D0C8C68-2E75-4920-B137-00266F4F077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0B7FB15-978C-4897-AA48-4C787983F0D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AD9C87B-C02E-4DDD-A29B-9EF76D50D3B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CF3A3CD-FE35-4FE3-9891-991852BD7AC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8CB539C-D6F5-4AFE-AD14-2997E5E6C70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920130E-713D-4633-83DD-7F836C5A9D5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9AFBB46-991F-433A-A786-3BC020C6245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534D395-0E3C-4339-9AE1-2ED023C5B7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49D177B-B47D-491C-A8CF-DF4C4FB5750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D5B5C4E-9A67-4938-9599-A7A9448686D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3E726E1-B53B-4BF0-ADB6-78DC2EEB5C3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4CD797A-BD74-417C-8C02-012E39D269A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6F29503-ED75-49F8-9562-7C46D8A78C7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3D42C3B2-B938-42E7-9D46-7EB29C5ED7A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1ACF7A7-347F-4CA2-80E7-3CE4BAA9478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1B8AC02-0DDD-4BA1-92D4-1E7665201BF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CA9F430-B682-42C7-B0EE-CE3CBD95563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FCEE3B5-33BE-4EF9-84D7-206681DDC71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A93C202-2CE1-46C0-9792-B36313F4D93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70E4700-EF60-46BE-BEFC-3E22E7036F8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A0E19D7-89F5-4773-893F-9F6F6F75DFB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3098C48-9B39-4687-A190-DEB4B1FEA1F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DC864BC-00A7-4707-8C31-9F191F8DAE5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96275BD-FA33-4437-87EC-B13217B069C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155CBE6-E58C-4662-9B37-A832B29810B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5FFF9BF-DEDD-4A47-92F3-F1B52950BEA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6AD81B9-9AF2-4A6F-9FD4-9FDFAE20133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8D49F3F-C1AD-4D62-8B12-0329EC23BCE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E9DBE9A-DA5D-42FE-AFDB-1EDD863B7A2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A3EC842-6B75-4E9F-91E5-9361C14CB48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1CB6541-05CC-4C05-917D-4A6FD522FCA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DD53843-C1F8-4E02-A7D7-BBFE9B0E7DA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93BE7EA-B789-4288-AC8E-9A80BDF8AD5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E602FAC-0FD8-458B-B954-C9E15F473F3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5B30FFB-08CA-4CB2-8C76-80B98C8E6CD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0F5E25B-9E3F-449C-B43E-682D6CD156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1ADE2FAB-AF97-4747-847E-77B61ED6662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FF9AB55-C925-4625-90BA-86D50B3A068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22136AC-F642-42DB-A09C-5E76D6B2E03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66C8EDA-FE71-4661-89E0-5BF351C117F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48DE653-5060-4E42-9AF5-4E45765B8E0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6FF1D09-4B24-4080-AF5E-D8827C0CC7D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6EC7CF8-6644-45CE-BD81-08DE24D9D82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1809F3F-8FCB-4E4C-A006-4CF142B7051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872F7CD-A0CF-41D7-A6D2-333BDD2BF1C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3D613A0-FA44-4067-9489-001D1692578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35C1D1D-508F-4D00-968C-7D42FB9F0A7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9914DC1-B52D-4B84-B135-5D02D6221FA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24D4674-F6F9-4042-8013-5ECB713EC4EA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C07C2BC-143D-40CE-A2B1-6ACA89B0CDC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0CF057B-8611-4136-AE8A-0E91AD1C165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BF6C033-A0E8-4841-B807-D2623A7B248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3EA5320-A70E-4361-9601-7E5D9067A74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F0BD7E2-8902-4DEF-A959-AFEDAF6D940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7794D06-5779-4940-96CC-51C894048CF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AA249AA-DF3D-49B3-913E-F929ED332A3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6A7FF37-2202-4F26-8B77-E761E29F1D6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CDE377E-AD10-4680-92F8-53424BE16A8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87A8ED4-AE41-4AE3-A758-7B0CE8EAF74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73D136D-220C-4843-AE67-75A113FB419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B4DE005-394C-42D6-86AF-2DE0EFA8C30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24B6FD5-F30A-4BD9-999C-68ABAF953A6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8C782EF-2DC3-4DBB-9BEE-FBC945F97AA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38BEE28-20C6-44F4-9852-79A5C1C9BAC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5252D7D-4297-4EA9-AF9D-607696DC0B5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ACADA3F-4AA1-4D06-9540-C0203DA1FFD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56FA469-1E18-4327-BBD7-87254DA2F97B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93FFBD4-FFA8-4FEE-BB4E-E2C634D5A51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F7A74A1-A6FC-4ABF-B86D-92726D43FFA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FB1FACF-F4C5-46F6-8EC1-1061602BB70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2D602EF7-1D49-4F4F-B3B3-B0A2DDA758F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F52ED2C-1961-4771-B2CE-6A82089E82A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F6C87A9-C88F-4559-A13A-4B42622EE42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CA4A6A1-930F-484B-9101-88A6A61D829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DDE4E43-08C7-4AB9-93E1-E4B2EF31F4E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9ABF01D9-B84A-4A63-8C35-F0014F52C69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6BFB5A7-7459-4B7A-9C3C-6BC1DAC7F52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34376C9-11ED-4995-B993-F87EE27E1F5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939EBEB-C01B-473B-B5A0-EFA723A2E3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88D7458-BE6A-4D1C-A927-3F7BA92529D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6BFB067-6425-497F-9372-B586485317A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1D0367AA-636A-4CE6-AAA8-B50E4EDD883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B0DD043-3D5C-43B7-AA88-4005EE48C76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283DE47-E1CD-43EC-AC51-8D9B3F7F6F7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B9C205D-8BC9-429A-B94F-D263112F354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FA679E9-0AE6-4EB5-851E-5D4FBA69FDA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EE2AB09-C5C2-4DD6-A040-583E36E94AE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33A2337-5577-4AA3-81EC-EC5C2740985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8D321BCD-F8EB-4E5C-8086-79D9EED1969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1E4E27B-CD84-48C3-88DD-9AFDFCE1DE0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222FABA-D08C-425B-A4F0-2941D998201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A6000154-BEE5-42CC-AF67-C954CEEC456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24369F8-F01B-4CD9-A6F2-D7883A8D9DD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DDC073C-D93E-4751-B2C3-A1E9CCD73FB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C1420EE-91CB-4A95-90A0-B19F21EE2DC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070B91C-FC62-47D6-A6EF-CA8B01FD1E2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5B29B26-ADE9-4543-941A-35EB987C349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10CC8FE-BD28-445A-BE69-959D69901D0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0FD5847-475B-4E67-95AE-E07E2335D29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C3CF1051-3FD6-4F0F-9AAB-0C2F79870CD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5D2A40B-EC26-4331-820E-2C18608CC88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32A3A41-8D6B-4701-851B-2D398C0635C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7659234-CE09-417E-B4C7-47268C9B1CC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41B34F8-D0C3-4F56-B21D-654EB9A0DB5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CD64D2F-25A2-4278-87C4-6E593A5822B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DF91CD3-65C1-40B0-8647-2E979B4B153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FE7298B-B8D0-4911-9529-51CFA4AB7F7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92417AA-FAA5-4731-B283-0F13C6B3A1D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A6A73B3-6707-4151-9E20-CEC796EBDE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B300AC4-E6C3-4A01-BA6C-0F08BCD065B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E41DF66-B163-4F3D-8561-5E0F2D26B15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A90559C-50A9-4D00-8D59-2EE99589579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B22049A-9148-4118-9B67-367036498CB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564729E-1583-45C3-A1CD-007AE18E82B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1F2F15C-AEA5-4F9F-8B4F-6FA83D126BB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31884D1-5C66-464C-96B9-43DFC510DF4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9EDFD47-A76A-4E02-9061-2BAAF892120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AF41204-8B69-458A-8426-968EAFD51E6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2286C72-CDE6-4ADD-9C37-504BCD6768B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3F5DCD5-168C-4DE1-9CC2-4D6551E2674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398B0B2-6524-4044-8802-471033D2726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39D9AE91-38E8-4691-969D-0878B6DEBA1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DB42114-5486-4E47-96D9-C32CED34BFE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CD385AD-822A-4EC6-A8A5-D16337FCCCF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6F2D6F8-7BAC-48FE-A154-AE2C22E09FD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CFB477B-F6AD-4330-B39A-231804970C0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F3D949B-AACA-4F4B-A46E-E49CAFA6D31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CD2B513-F35A-4588-94C5-99FA20F9B2E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CC33026-C55D-4823-937E-7956EEC860A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7001E76-F1A3-4EB5-921A-161FA0E3DC2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DC111AB-ADF2-4A19-8EC4-6B15F2CD7D4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847CF4E-2A82-413B-8010-8DCC2AA82F7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8B82793-20F4-49CE-81C9-3EA996D5B68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E9305A3-91F9-49C3-AC63-A7FC3C7B1F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16A1D595-CA9F-4A0F-B2CD-86166873C95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8C7FBE7-4A4C-410C-B0E6-9D620F0E33D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EB64511-1548-4C29-93DB-0918DD038C6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0B4538A-6A4A-4720-90E2-795A15DEFC2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DFC247B-E5A1-4B9A-AA5E-6EE438BC743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2F72B0D-7FEF-43DD-8C3F-626F7E54094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8A775073-D44D-436F-BBD9-3BB05AEC54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B4652B8-8CB0-4FFC-AEB5-C3A2BE6F5A1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4A512EE-AC40-494F-84C8-E0484EE6C28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23B2EF1-2CB5-46EE-B6E4-2AF8AFAE4C2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6CAA3FB-28CF-470C-A680-E5E218CF69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0AFA82C-B0C6-4B3C-82AB-D22ACB7C336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1174E0A-527C-4A17-9CEB-96C69A7AADC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D8B0BAE-EE83-41D2-A67F-BABC9FC91B1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6A8CF44-CE26-4BF7-BCC1-ABE62A3387A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72ACB2E-5E31-4C18-9850-CC148377F8F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410DFB5-4595-4D35-94FF-754F5398ABE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5828E67-76A3-4E0D-9A11-D6271373CE5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590F1D3-7004-4DF6-9F86-0095C9DF965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9F65B49-7BE5-4EE8-AEA8-B3653A89057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06DADC8-1E72-4B87-81E0-4F2DE607108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0D5F2CA-7B3E-48A2-A28E-9C9307DF56E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2A36B1B-420B-4F1B-BB8C-7E258322E6BB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80B48A7-B2BA-42C5-BC04-FB0AA5E063C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518B547-95E2-4536-932F-6B01A740DE2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7F00A20-6D50-4997-B74F-EA22C79EFBE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EC4F50D-974E-4A06-B0BB-81AD394EA3F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010CBB2-F03B-477A-9E54-D95D1A1CBF5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461BDF3-232D-44D1-B593-D6D8237CA97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FF3728F-80EE-4C29-A116-CCEDA46E0AA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DBAE575-7263-4681-B433-FCF31A3CC3A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5560473-3471-4120-96C6-CA7E63063ED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B293403-9DDF-47ED-BA5A-63F6BA0D3CA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8613A4C9-9563-4988-8C1B-C04D04ED80F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47F2943-8F88-4871-8865-1EAD930A733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E62403D-F396-44A9-A0BD-17F07646927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FE059EC-5F31-493D-812C-D1F6AF3263A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4033B2E-D187-4F83-A3AF-6D2FFEA7D21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3ED40D1-A60A-47C7-88A3-EFE788A33FC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2F1B673-BA0A-4C79-8AE7-3A74D7D2258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C875B4F-5BE3-4C4E-9BA2-CF9EB4D5990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9E6F1B5-9C21-4831-9EB3-2BB333F69EE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A5EC9E4-CD96-4B8B-AEC4-2C20B44A7E0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7453CDC-6335-4FD8-9A4A-8CC42F2DBB2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228A05E7-3FA8-43AF-8AED-A7738B2AE52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5B7796C-495A-491A-9A70-950D188FC29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7B2C266-BF7B-4313-B8A5-FE8214BEE72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4DA67CE5-1EB9-438F-A718-DF62CB2FA95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48DF6E4-104F-4D16-9FE9-57FBCBAE9AF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9701DC6-3C4A-4C58-BA44-DF12BBE026B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3A3287E8-DAD2-4785-A280-727E4008846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E55D910-DDEC-48FD-AAAD-D30F44DE8F3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230985E-8559-4C3A-B561-54C50E5907C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C01A9F1-7778-4069-9070-0F7FB5CA2C7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F49653E-27E8-4267-8C78-CF685374D79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149B8AA-5E4D-4679-BF20-42AC69C409E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70905B7-11A7-48F1-B5E2-5231121ECE9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<sst xmlns="http://schemas.openxmlformats.org/spreadsheetml/2006/main" count="7209" uniqueCount="160">
  <si>
    <t>LAPORAN HARGA BAHAN POKOK DI KOTA SURABAYA</t>
  </si>
  <si>
    <t xml:space="preserve"> </t>
  </si>
  <si>
    <t>NAMA BAHAN POKOK DAN PENTING LAINNYA</t>
  </si>
  <si>
    <t>SAT</t>
  </si>
  <si>
    <t>BERAS</t>
  </si>
  <si>
    <t>Kg</t>
  </si>
  <si>
    <t>- Beras Jagung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</si>
  <si>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</si>
  <si>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</si>
  <si>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</si>
  <si>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</si>
  <si>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</si>
  <si>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</si>
  <si>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</si>
  <si>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</si>
  <si>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</si>
  <si>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</si>
  <si>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</si>
  <si>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</si>
  <si>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</si>
  <si>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</si>
  <si>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</si>
  <si>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</si>
  <si>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</si>
  <si>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</si>
  <si>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</si>
  <si>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</si>
  <si>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</si>
  <si>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</si>
  <si>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</si>
  <si>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</si>
  <si>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</si>
  <si>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</si>
  <si>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</si>
  <si>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- Susu Bubuk "DANCOW" Full Cream</t>
  </si>
  <si>
    <t>400 Gr/Dos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</si>
  <si>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</si>
  <si>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</si>
  <si>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</si>
  <si>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</si>
  <si>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</si>
  <si>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</si>
  <si>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</si>
  <si>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</si>
  <si>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</si>
  <si>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</si>
  <si>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</si>
  <si>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</si>
  <si>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</si>
  <si>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</si>
  <si>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</si>
  <si>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</si>
  <si>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</si>
  <si>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</si>
  <si>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</si>
  <si>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</si>
  <si>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</si>
  <si>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</si>
  <si>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</si>
  <si>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</si>
  <si>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</si>
  <si>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</si>
  <si>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</si>
  <si>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</si>
  <si>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</si>
  <si>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</si>
  <si>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</si>
  <si>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</si>
  <si>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</si>
  <si>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</si>
  <si>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</si>
  <si>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</si>
  <si>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</si>
  <si>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</si>
  <si>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</si>
  <si>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</si>
  <si>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</si>
  <si>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</si>
  <si>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</si>
  <si>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</si>
  <si>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</si>
  <si>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</si>
  <si>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</si>
  <si>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</si>
  <si>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</si>
  <si>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</si>
  <si>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</si>
  <si>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</si>
  <si>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</si>
  <si>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</si>
  <si>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</si>
  <si>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</si>
  <si>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</si>
  <si>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</si>
  <si>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</si>
  <si>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</si>
  <si>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</si>
  <si>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</si>
  <si>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</si>
  <si>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</si>
  <si>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</si>
  <si>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- Telur Ayam Horn</t>
  </si>
  <si>
    <t>FLUKTUASI</t>
  </si>
  <si>
    <t>BAGIAN PEREKONOMIAN DAN SUMBER DAYA ALAM</t>
  </si>
  <si>
    <t>HET/HAPK (Harga Eceran Tertinggi)</t>
  </si>
  <si>
    <t>- Beras Premium</t>
  </si>
  <si>
    <t>- Beras Medium</t>
  </si>
  <si>
    <t>- Minyak Kita</t>
  </si>
  <si>
    <t>Liter</t>
  </si>
  <si>
    <t>- Beras IR.64 Medium</t>
  </si>
  <si>
    <t>- Minyak KITA</t>
  </si>
  <si>
    <t>keterangan :</t>
  </si>
  <si>
    <t>Sumber dari PD Pasar Surya Surabaya</t>
  </si>
  <si>
    <t>- Beras   Premium</t>
  </si>
  <si>
    <t>- Gula pasir lokal curah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</si>
  <si>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</si>
  <si>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</si>
  <si>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</si>
  <si>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</si>
  <si>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</si>
  <si>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</si>
  <si>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</si>
  <si>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- Susu Kental Manis "BENDERA" Putih</t>
  </si>
  <si>
    <t>- Beras Medium Bulog</t>
  </si>
  <si>
    <t>- Beras IR.64 Medium Bulog</t>
  </si>
  <si>
    <t>KG</t>
  </si>
  <si>
    <t>Fluktuasi dalam 1 Bulan</t>
  </si>
  <si>
    <t xml:space="preserve">                                                                                      </t>
  </si>
  <si>
    <t>PERIODE NOVEMBER 2023</t>
  </si>
  <si>
    <t>Hari / Tanggal :  Rabu , 01 November 2023</t>
  </si>
  <si>
    <t xml:space="preserve">                                                                                                                                                          </t>
  </si>
  <si>
    <t>Hari / Tanggal :  Kamis , 02 November 2023</t>
  </si>
  <si>
    <t>Hari / Tanggal :  Jumat , 03 November 2023</t>
  </si>
  <si>
    <t>Hari / Tanggal :  Sabtu , 04 November 2023</t>
  </si>
  <si>
    <t>Hari / Tanggal :  Minggu , 05 November 2023</t>
  </si>
  <si>
    <t>Hari / Tanggal :  Senin , 06 November 2023</t>
  </si>
  <si>
    <t>Hari / Tanggal :  Selasa , 07 November 2023</t>
  </si>
  <si>
    <t>Hari / Tanggal :  Rabu , 08 November 2023</t>
  </si>
  <si>
    <t>Hari / Tanggal :  Kamis , 09 November 2023</t>
  </si>
  <si>
    <t>Hari / Tanggal :  Jumat , 10 November 2023</t>
  </si>
  <si>
    <t>Hari / Tanggal :  Sabtu , 11 November 2023</t>
  </si>
  <si>
    <t>Hari / Tanggal :  Minggu , 12 November 2023</t>
  </si>
  <si>
    <t>Hari / Tanggal :  Senin , 13 November 2023</t>
  </si>
  <si>
    <t>Hari / Tanggal :  Selasa , 14 November 2023</t>
  </si>
  <si>
    <t>Hari / Tanggal :  Rabu, 15 November 2023</t>
  </si>
  <si>
    <t>Hari / Tanggal :  Kamis, 16 November 2023</t>
  </si>
  <si>
    <t>Hari / Tanggal :  Jumat , 17 November 2023</t>
  </si>
  <si>
    <t>Hari / Tanggal :  Sabtu , 18 November 2023</t>
  </si>
  <si>
    <t>Hari / Tanggal :  Minggu , 19 November 2023</t>
  </si>
  <si>
    <t>Hari / Tanggal : Senin , 20 November 2023</t>
  </si>
  <si>
    <t>Hari / Tanggal : Selasa , 21 November 2023</t>
  </si>
  <si>
    <t>Hari / Tanggal : Rabu , 22 November 2023</t>
  </si>
  <si>
    <t>Hari / Tanggal : Kamis , 23 November 2023</t>
  </si>
  <si>
    <t>Hari / Tanggal : Jumat , 24 November 2023</t>
  </si>
  <si>
    <t>Hari / Tanggal : Sabtu , 25 November 2023</t>
  </si>
  <si>
    <t>Hari / Tanggal : Minggu , 26 November 2023</t>
  </si>
  <si>
    <t>Hari / Tanggal : Senin , 27 November 2023</t>
  </si>
  <si>
    <t>Hari / Tanggal :  Kamis , 28 November 2023</t>
  </si>
  <si>
    <t>Hari / Tanggal :  Jumat , 29 November 2023</t>
  </si>
  <si>
    <t>Hari / Tanggal :  Sabtu , 30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</si>
</sst>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u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Tahoma"/>
      <family val="2"/>
    </font>
    <font>
      <b/>
      <u/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1" fillId="0" borderId="0"/>
  </cellStyleXfs>
  <cellXfs count="194">
    <xf numFmtId="0" fontId="0" fillId="0" borderId="0" xfId="0"/>
    <xf numFmtId="164" fontId="0" fillId="0" borderId="0" xfId="0" applyNumberFormat="1"/>
    <xf numFmtId="0" fontId="0" fillId="2" borderId="0" xfId="0" applyFill="1"/>
    <xf numFmtId="0" fontId="9" fillId="0" borderId="0" xfId="0" applyFont="1"/>
    <xf numFmtId="0" fontId="0" fillId="6" borderId="0" xfId="0" applyFill="1"/>
    <xf numFmtId="0" fontId="11" fillId="0" borderId="0" xfId="0" applyFont="1"/>
    <xf numFmtId="164" fontId="11" fillId="0" borderId="0" xfId="0" applyNumberFormat="1" applyFont="1"/>
    <xf numFmtId="164" fontId="10" fillId="0" borderId="11" xfId="2" applyFont="1" applyFill="1" applyBorder="1" applyAlignment="1">
      <alignment horizontal="center" vertical="center"/>
    </xf>
    <xf numFmtId="164" fontId="15" fillId="0" borderId="11" xfId="2" applyFont="1" applyFill="1" applyBorder="1" applyAlignment="1">
      <alignment horizontal="center" vertical="center"/>
    </xf>
    <xf numFmtId="164" fontId="12" fillId="0" borderId="11" xfId="2" applyFont="1" applyFill="1" applyBorder="1" applyAlignment="1">
      <alignment horizontal="center" vertical="center"/>
    </xf>
    <xf numFmtId="0" fontId="11" fillId="2" borderId="0" xfId="0" applyFont="1" applyFill="1"/>
    <xf numFmtId="164" fontId="2" fillId="0" borderId="11" xfId="2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164" fontId="18" fillId="0" borderId="11" xfId="2" applyFont="1" applyFill="1" applyBorder="1" applyAlignment="1">
      <alignment horizontal="center" vertical="center"/>
    </xf>
    <xf numFmtId="0" fontId="20" fillId="0" borderId="0" xfId="0" applyFont="1"/>
    <xf numFmtId="0" fontId="12" fillId="0" borderId="0" xfId="1" applyFont="1" applyAlignment="1">
      <alignment vertical="center"/>
    </xf>
    <xf numFmtId="0" fontId="5" fillId="2" borderId="6" xfId="1" quotePrefix="1" applyFont="1" applyFill="1" applyBorder="1" applyAlignment="1">
      <alignment vertical="center"/>
    </xf>
    <xf numFmtId="0" fontId="4" fillId="2" borderId="6" xfId="1" applyFont="1" applyFill="1" applyBorder="1" applyAlignment="1">
      <alignment horizontal="center" vertical="center"/>
    </xf>
    <xf numFmtId="164" fontId="6" fillId="2" borderId="6" xfId="2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6" fillId="2" borderId="5" xfId="1" applyFont="1" applyFill="1" applyBorder="1"/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12" fillId="2" borderId="2" xfId="1" applyFont="1" applyFill="1" applyBorder="1" applyAlignment="1">
      <alignment horizontal="center" vertical="top"/>
    </xf>
    <xf numFmtId="0" fontId="12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5" fillId="2" borderId="0" xfId="0" applyFont="1" applyFill="1"/>
    <xf numFmtId="0" fontId="25" fillId="2" borderId="15" xfId="0" applyFont="1" applyFill="1" applyBorder="1"/>
    <xf numFmtId="0" fontId="25" fillId="2" borderId="10" xfId="0" applyFont="1" applyFill="1" applyBorder="1" applyAlignment="1">
      <alignment horizontal="center"/>
    </xf>
    <xf numFmtId="0" fontId="25" fillId="2" borderId="17" xfId="0" applyFont="1" applyFill="1" applyBorder="1"/>
    <xf numFmtId="0" fontId="27" fillId="2" borderId="10" xfId="0" applyFont="1" applyFill="1" applyBorder="1" applyAlignment="1">
      <alignment horizontal="center"/>
    </xf>
    <xf numFmtId="0" fontId="25" fillId="2" borderId="18" xfId="0" applyFont="1" applyFill="1" applyBorder="1"/>
    <xf numFmtId="0" fontId="25" fillId="2" borderId="14" xfId="0" applyFont="1" applyFill="1" applyBorder="1"/>
    <xf numFmtId="0" fontId="25" fillId="2" borderId="12" xfId="0" applyFont="1" applyFill="1" applyBorder="1"/>
    <xf numFmtId="0" fontId="12" fillId="2" borderId="0" xfId="0" applyFont="1" applyFill="1"/>
    <xf numFmtId="0" fontId="28" fillId="2" borderId="0" xfId="0" applyFont="1" applyFill="1"/>
    <xf numFmtId="0" fontId="12" fillId="2" borderId="14" xfId="0" applyFont="1" applyFill="1" applyBorder="1"/>
    <xf numFmtId="0" fontId="2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2" fillId="0" borderId="11" xfId="1" quotePrefix="1" applyFont="1" applyBorder="1" applyAlignment="1">
      <alignment vertical="center"/>
    </xf>
    <xf numFmtId="0" fontId="12" fillId="4" borderId="11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164" fontId="15" fillId="2" borderId="11" xfId="2" applyFont="1" applyFill="1" applyBorder="1" applyAlignment="1">
      <alignment horizontal="center" vertical="center"/>
    </xf>
    <xf numFmtId="164" fontId="12" fillId="2" borderId="11" xfId="2" applyFont="1" applyFill="1" applyBorder="1" applyAlignment="1">
      <alignment horizontal="center" vertical="center"/>
    </xf>
    <xf numFmtId="164" fontId="10" fillId="2" borderId="11" xfId="2" applyFont="1" applyFill="1" applyBorder="1" applyAlignment="1">
      <alignment horizontal="center" vertical="center"/>
    </xf>
    <xf numFmtId="164" fontId="2" fillId="2" borderId="11" xfId="2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2" fillId="8" borderId="11" xfId="1" applyFont="1" applyFill="1" applyBorder="1" applyAlignment="1">
      <alignment vertical="center"/>
    </xf>
    <xf numFmtId="0" fontId="12" fillId="8" borderId="11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left" vertical="center"/>
    </xf>
    <xf numFmtId="0" fontId="12" fillId="5" borderId="11" xfId="1" applyFont="1" applyFill="1" applyBorder="1" applyAlignment="1">
      <alignment horizontal="center" vertical="center"/>
    </xf>
    <xf numFmtId="0" fontId="12" fillId="5" borderId="11" xfId="1" quotePrefix="1" applyFont="1" applyFill="1" applyBorder="1" applyAlignment="1">
      <alignment vertical="center"/>
    </xf>
    <xf numFmtId="164" fontId="19" fillId="0" borderId="11" xfId="2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29" fillId="2" borderId="13" xfId="0" applyFont="1" applyFill="1" applyBorder="1"/>
    <xf numFmtId="0" fontId="25" fillId="2" borderId="13" xfId="0" applyFont="1" applyFill="1" applyBorder="1"/>
    <xf numFmtId="164" fontId="6" fillId="2" borderId="16" xfId="2" applyFont="1" applyFill="1" applyBorder="1" applyAlignment="1">
      <alignment vertical="center"/>
    </xf>
    <xf numFmtId="0" fontId="3" fillId="2" borderId="0" xfId="0" quotePrefix="1" applyFont="1" applyFill="1"/>
    <xf numFmtId="0" fontId="4" fillId="2" borderId="5" xfId="1" applyFont="1" applyFill="1" applyBorder="1" applyAlignment="1">
      <alignment vertical="center"/>
    </xf>
    <xf numFmtId="164" fontId="14" fillId="0" borderId="11" xfId="2" applyFont="1" applyFill="1" applyBorder="1" applyAlignment="1">
      <alignment horizontal="center" vertical="center"/>
    </xf>
    <xf numFmtId="164" fontId="17" fillId="0" borderId="11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164" fontId="16" fillId="0" borderId="11" xfId="2" applyFont="1" applyBorder="1" applyAlignment="1">
      <alignment horizontal="center" vertical="center"/>
    </xf>
    <xf numFmtId="164" fontId="16" fillId="4" borderId="11" xfId="2" applyFont="1" applyFill="1" applyBorder="1" applyAlignment="1">
      <alignment horizontal="center" vertical="center"/>
    </xf>
    <xf numFmtId="164" fontId="16" fillId="8" borderId="11" xfId="2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164" fontId="13" fillId="0" borderId="11" xfId="2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164" fontId="19" fillId="2" borderId="11" xfId="2" applyFont="1" applyFill="1" applyBorder="1" applyAlignment="1">
      <alignment horizontal="center" vertical="center"/>
    </xf>
    <xf numFmtId="0" fontId="21" fillId="0" borderId="0" xfId="3"/>
    <xf numFmtId="0" fontId="11" fillId="0" borderId="0" xfId="3" applyFont="1"/>
    <xf numFmtId="164" fontId="11" fillId="0" borderId="0" xfId="3" applyNumberFormat="1" applyFont="1"/>
    <xf numFmtId="0" fontId="11" fillId="2" borderId="0" xfId="3" applyFont="1" applyFill="1"/>
    <xf numFmtId="0" fontId="20" fillId="0" borderId="0" xfId="3" applyFont="1"/>
    <xf numFmtId="164" fontId="21" fillId="0" borderId="0" xfId="3" applyNumberFormat="1"/>
    <xf numFmtId="0" fontId="21" fillId="6" borderId="0" xfId="3" applyFill="1" applyAlignment="1">
      <alignment horizontal="center" vertical="center"/>
    </xf>
    <xf numFmtId="0" fontId="21" fillId="0" borderId="0" xfId="3" applyAlignment="1">
      <alignment horizontal="center" vertical="center"/>
    </xf>
    <xf numFmtId="0" fontId="21" fillId="2" borderId="0" xfId="3" applyFill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164" fontId="30" fillId="2" borderId="6" xfId="1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16" fontId="4" fillId="2" borderId="1" xfId="1" applyNumberFormat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/>
    </xf>
    <xf numFmtId="16" fontId="4" fillId="2" borderId="3" xfId="1" applyNumberFormat="1" applyFont="1" applyFill="1" applyBorder="1" applyAlignment="1">
      <alignment horizontal="center" vertical="center" wrapText="1"/>
    </xf>
    <xf numFmtId="0" fontId="1" fillId="2" borderId="5" xfId="1" applyFill="1" applyBorder="1"/>
    <xf numFmtId="164" fontId="30" fillId="2" borderId="6" xfId="2" applyFont="1" applyFill="1" applyBorder="1" applyAlignment="1">
      <alignment vertical="center"/>
    </xf>
    <xf numFmtId="0" fontId="30" fillId="2" borderId="5" xfId="1" applyFont="1" applyFill="1" applyBorder="1"/>
    <xf numFmtId="0" fontId="31" fillId="2" borderId="13" xfId="0" applyFont="1" applyFill="1" applyBorder="1"/>
    <xf numFmtId="0" fontId="31" fillId="2" borderId="0" xfId="0" applyFont="1" applyFill="1"/>
    <xf numFmtId="0" fontId="31" fillId="2" borderId="14" xfId="0" applyFont="1" applyFill="1" applyBorder="1"/>
    <xf numFmtId="16" fontId="30" fillId="2" borderId="1" xfId="1" applyNumberFormat="1" applyFont="1" applyFill="1" applyBorder="1" applyAlignment="1">
      <alignment horizontal="center" vertical="center" wrapText="1"/>
    </xf>
    <xf numFmtId="0" fontId="30" fillId="2" borderId="2" xfId="1" applyFont="1" applyFill="1" applyBorder="1" applyAlignment="1">
      <alignment horizontal="center" vertical="center" wrapText="1"/>
    </xf>
    <xf numFmtId="16" fontId="30" fillId="2" borderId="3" xfId="1" applyNumberFormat="1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center"/>
    </xf>
    <xf numFmtId="164" fontId="6" fillId="0" borderId="6" xfId="2" applyFont="1" applyFill="1" applyBorder="1" applyAlignment="1">
      <alignment vertical="center"/>
    </xf>
    <xf numFmtId="0" fontId="13" fillId="0" borderId="11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" fillId="0" borderId="5" xfId="1" applyBorder="1"/>
    <xf numFmtId="0" fontId="3" fillId="2" borderId="0" xfId="0" quotePrefix="1" applyFont="1" applyFill="1" applyAlignment="1">
      <alignment horizontal="left" vertical="top" wrapText="1"/>
    </xf>
    <xf numFmtId="0" fontId="3" fillId="2" borderId="17" xfId="0" quotePrefix="1" applyFont="1" applyFill="1" applyBorder="1" applyAlignment="1">
      <alignment horizontal="left" vertical="top" wrapText="1"/>
    </xf>
    <xf numFmtId="0" fontId="22" fillId="2" borderId="1" xfId="1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16" fontId="22" fillId="2" borderId="1" xfId="1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top"/>
    </xf>
    <xf numFmtId="0" fontId="12" fillId="0" borderId="11" xfId="1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16" borderId="11" xfId="1" applyFont="1" applyFill="1" applyBorder="1" applyAlignment="1">
      <alignment horizontal="center" vertical="center" wrapText="1"/>
    </xf>
    <xf numFmtId="0" fontId="2" fillId="17" borderId="11" xfId="1" applyFont="1" applyFill="1" applyBorder="1" applyAlignment="1">
      <alignment horizontal="center" vertical="center"/>
    </xf>
    <xf numFmtId="0" fontId="10" fillId="13" borderId="11" xfId="1" applyFont="1" applyFill="1" applyBorder="1" applyAlignment="1">
      <alignment horizontal="center" vertical="center" wrapText="1"/>
    </xf>
    <xf numFmtId="0" fontId="10" fillId="14" borderId="11" xfId="1" applyFont="1" applyFill="1" applyBorder="1" applyAlignment="1">
      <alignment horizontal="center" vertical="center" wrapText="1"/>
    </xf>
    <xf numFmtId="0" fontId="10" fillId="10" borderId="11" xfId="1" applyFont="1" applyFill="1" applyBorder="1" applyAlignment="1">
      <alignment horizontal="center" vertical="center" wrapText="1"/>
    </xf>
    <xf numFmtId="0" fontId="10" fillId="15" borderId="11" xfId="1" applyFont="1" applyFill="1" applyBorder="1" applyAlignment="1">
      <alignment horizontal="center" vertical="center" wrapText="1"/>
    </xf>
    <xf numFmtId="0" fontId="10" fillId="12" borderId="11" xfId="1" applyFont="1" applyFill="1" applyBorder="1" applyAlignment="1">
      <alignment horizontal="center" vertical="center" wrapText="1"/>
    </xf>
    <xf numFmtId="0" fontId="10" fillId="11" borderId="11" xfId="1" applyFont="1" applyFill="1" applyBorder="1" applyAlignment="1">
      <alignment horizontal="center" vertical="center" wrapText="1"/>
    </xf>
    <xf numFmtId="0" fontId="10" fillId="9" borderId="11" xfId="1" applyFont="1" applyFill="1" applyBorder="1" applyAlignment="1">
      <alignment horizontal="center" vertical="center" wrapText="1"/>
    </xf>
    <xf numFmtId="0" fontId="2" fillId="7" borderId="11" xfId="1" applyFont="1" applyFill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16" borderId="19" xfId="1" applyFont="1" applyFill="1" applyBorder="1" applyAlignment="1">
      <alignment horizontal="center" vertical="center" wrapText="1"/>
    </xf>
    <xf numFmtId="0" fontId="2" fillId="16" borderId="20" xfId="1" applyFont="1" applyFill="1" applyBorder="1" applyAlignment="1">
      <alignment horizontal="center" vertical="center" wrapText="1"/>
    </xf>
    <xf numFmtId="0" fontId="2" fillId="16" borderId="21" xfId="1" applyFont="1" applyFill="1" applyBorder="1" applyAlignment="1">
      <alignment horizontal="center" vertical="center" wrapText="1"/>
    </xf>
    <xf numFmtId="0" fontId="2" fillId="17" borderId="19" xfId="1" applyFont="1" applyFill="1" applyBorder="1" applyAlignment="1">
      <alignment horizontal="center" vertical="center"/>
    </xf>
    <xf numFmtId="0" fontId="2" fillId="17" borderId="20" xfId="1" applyFont="1" applyFill="1" applyBorder="1" applyAlignment="1">
      <alignment horizontal="center" vertical="center"/>
    </xf>
    <xf numFmtId="0" fontId="2" fillId="17" borderId="21" xfId="1" applyFont="1" applyFill="1" applyBorder="1" applyAlignment="1">
      <alignment horizontal="center" vertical="center"/>
    </xf>
    <xf numFmtId="0" fontId="10" fillId="13" borderId="19" xfId="1" applyFont="1" applyFill="1" applyBorder="1" applyAlignment="1">
      <alignment horizontal="center" vertical="center" wrapText="1"/>
    </xf>
    <xf numFmtId="0" fontId="10" fillId="13" borderId="20" xfId="1" applyFont="1" applyFill="1" applyBorder="1" applyAlignment="1">
      <alignment horizontal="center" vertical="center" wrapText="1"/>
    </xf>
    <xf numFmtId="0" fontId="10" fillId="13" borderId="21" xfId="1" applyFont="1" applyFill="1" applyBorder="1" applyAlignment="1">
      <alignment horizontal="center" vertical="center" wrapText="1"/>
    </xf>
    <xf numFmtId="0" fontId="10" fillId="14" borderId="19" xfId="1" applyFont="1" applyFill="1" applyBorder="1" applyAlignment="1">
      <alignment horizontal="center" vertical="center" wrapText="1"/>
    </xf>
    <xf numFmtId="0" fontId="10" fillId="14" borderId="20" xfId="1" applyFont="1" applyFill="1" applyBorder="1" applyAlignment="1">
      <alignment horizontal="center" vertical="center" wrapText="1"/>
    </xf>
    <xf numFmtId="0" fontId="10" fillId="14" borderId="21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10" fillId="15" borderId="19" xfId="1" applyFont="1" applyFill="1" applyBorder="1" applyAlignment="1">
      <alignment horizontal="center" vertical="center" wrapText="1"/>
    </xf>
    <xf numFmtId="0" fontId="10" fillId="15" borderId="20" xfId="1" applyFont="1" applyFill="1" applyBorder="1" applyAlignment="1">
      <alignment horizontal="center" vertical="center" wrapText="1"/>
    </xf>
    <xf numFmtId="0" fontId="10" fillId="15" borderId="21" xfId="1" applyFont="1" applyFill="1" applyBorder="1" applyAlignment="1">
      <alignment horizontal="center" vertical="center" wrapText="1"/>
    </xf>
    <xf numFmtId="0" fontId="10" fillId="12" borderId="19" xfId="1" applyFont="1" applyFill="1" applyBorder="1" applyAlignment="1">
      <alignment horizontal="center" vertical="center" wrapText="1"/>
    </xf>
    <xf numFmtId="0" fontId="10" fillId="12" borderId="20" xfId="1" applyFont="1" applyFill="1" applyBorder="1" applyAlignment="1">
      <alignment horizontal="center" vertical="center" wrapText="1"/>
    </xf>
    <xf numFmtId="0" fontId="10" fillId="12" borderId="21" xfId="1" applyFont="1" applyFill="1" applyBorder="1" applyAlignment="1">
      <alignment horizontal="center" vertical="center" wrapText="1"/>
    </xf>
    <xf numFmtId="0" fontId="10" fillId="11" borderId="19" xfId="1" applyFont="1" applyFill="1" applyBorder="1" applyAlignment="1">
      <alignment horizontal="center" vertical="center" wrapText="1"/>
    </xf>
    <xf numFmtId="0" fontId="10" fillId="11" borderId="20" xfId="1" applyFont="1" applyFill="1" applyBorder="1" applyAlignment="1">
      <alignment horizontal="center" vertical="center" wrapText="1"/>
    </xf>
    <xf numFmtId="0" fontId="10" fillId="11" borderId="21" xfId="1" applyFont="1" applyFill="1" applyBorder="1" applyAlignment="1">
      <alignment horizontal="center" vertical="center" wrapText="1"/>
    </xf>
    <xf numFmtId="0" fontId="10" fillId="9" borderId="19" xfId="1" applyFont="1" applyFill="1" applyBorder="1" applyAlignment="1">
      <alignment horizontal="center" vertical="center" wrapText="1"/>
    </xf>
    <xf numFmtId="0" fontId="10" fillId="9" borderId="20" xfId="1" applyFont="1" applyFill="1" applyBorder="1" applyAlignment="1">
      <alignment horizontal="center" vertical="center" wrapText="1"/>
    </xf>
    <xf numFmtId="0" fontId="10" fillId="9" borderId="21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164" fontId="25" fillId="2" borderId="0" xfId="0" applyNumberFormat="1" applyFont="1" applyFill="1"/>
  </cellXfs>
  <cellStyles count="4">
    <cellStyle name="Comma [0]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4906F6-02A7-4BAA-9223-D5ACFDFA6C5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17C76C-660B-4937-8B98-5EE74B8F7000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7B6E3E-C4FF-45EC-9001-06671A3DA63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69BDC8-8383-42D3-827D-EF3ECA86DBE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68F453-6A04-4DB9-9A94-31CE3BC9682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1D9B27-5EEF-4605-9D7E-AF8C7423079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D8FDED-78DD-47FF-B8BC-A73E73BAB0D2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28774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AC26B3-781E-4725-A181-8F538E86B849}"/>
            </a:ext>
          </a:extLst>
        </xdr:cNvPr>
        <xdr:cNvSpPr txBox="1"/>
      </xdr:nvSpPr>
      <xdr:spPr>
        <a:xfrm>
          <a:off x="4258408" y="1589942"/>
          <a:ext cx="223622" cy="287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49716D-0502-422F-AA56-56DF6EE5C12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28B8DE-1301-472C-BDF3-539D23B7569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40C8E8C-2916-4F4D-AA61-53041AA765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576876-84DA-48F7-BFC6-64B5DBFDA91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7F9AC5-BD79-4E83-BAA0-12ED0B21604D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6EAEF4-BCCC-4A96-B785-39C4E2F47A72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A567E5-7D2E-446C-BB7E-64389DA24B2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59CD9-E39B-4B4B-8E90-82866919364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CC339E-5E51-4F46-BCCA-367A94091F8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D3CF29-40F1-4E6D-922E-2AD9C553521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83A700-F680-42E8-8510-E200B62A42FA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A54F86-4A83-4769-8E2C-D6256F766C4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7AA4DD-F006-451A-BAC7-2DE919A04BA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2EEEFC-2AE3-4E8E-B9B7-2B34BB67E92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FB27EB-419D-455F-B3EE-F67883A07A17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AC9A6D-7823-44E7-BB13-0B897320D180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88B526-D8DD-48DB-9732-CC6441C6E66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3248E6-1F93-4169-8C5E-8F2AF1F5D5C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2043D4-7CAA-46EA-9042-8BC790E8536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8A0EC3-88FD-4AAF-8930-AB026E2F6B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09E959-24F4-4A31-8FE8-472514562075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F9D6D1-0E92-42A5-BF0A-73851C029CD7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2AA9DC-FA0C-4471-BB51-6B18B933DCC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48FA211-F73D-49A7-AEE9-6AF5752F976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AF7EB3-1D56-4F76-9437-CF022A35E6E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55DA4B-AFC2-42AF-A540-6632DCB21460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E0E540-D267-4A6F-B98A-2B9D3D1C6BA4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565176-B299-4471-8105-CB90F327B04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C2445B-631D-4609-8C2A-B40496CF63A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EE8173-2A26-4B10-AC3B-9A3DF0C00BF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8944C6-4F14-4851-817C-93486E2064A6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FA1C4F-3651-43C6-82C2-04AA92624999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2FBCFC-8829-4C7C-A057-C4C1AABCB88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92084D7-BF3A-4B00-971C-762E8556155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41AD6D-25DC-4C9F-A1B3-A5E98A0D43D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FE72EB-6802-4426-99F2-570A9F2D057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3AE0388-C7F4-4BE0-BC44-8418251932E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E30FAAF-3CFC-4BE2-9FF0-D4481E64C3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A3D13B-458D-4FA8-94B2-AE35500445D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5251C7D-68C7-4E8B-A101-CBFC62AC07B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2ADC410-59AC-4FDA-B2F3-65FF152135C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A00667C-6BC0-4F43-AB9B-D34C2404AB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B63F292-1787-4495-BD92-DE0D4F3D008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6B2980D-8491-4824-8704-1D469C92969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3884F69-07F1-411B-9E9E-B0B27D1A3AC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239A3D8-BB16-4A86-900B-6530D608155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172B391-3499-4763-AE52-D0DB89E2C83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842FF77-F083-4442-888F-0D67D5947AA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FF2DB7A-F95F-4C2E-B4F0-18C9CDC89A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D82321A-D795-47E9-A593-E5775C1D208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B602228-DA2C-4D5A-8F09-CF26E1E0B08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E343691-B65B-4EF5-A6DE-9B93DEF08AB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785DE10-116E-4193-AD4F-6A9F3EF1E03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2BB0470-DE22-402F-A32E-92008BEECFD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B59443C-9E1B-4E21-9FD7-59258438315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E44F419-C44D-4B43-A994-692E33429B0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C618556-BEE6-445B-BA22-4B3CE9533C1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0D81E8B-C48C-4FF8-B455-BB09398DA00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9BF87C5-4B15-4B45-82AC-5267C534229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DE715D8-743C-44BC-8E7C-B188B70E2CF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E5DF233-5A0F-48C5-AF00-DBA88828546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2BF379D-5A2F-484D-BC0A-C5903B50CE1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E3D3DB0-005B-48B6-99A6-B917F4A902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12DC9CF-D1DB-4DE3-BF8E-A489C8CA44C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744643C-42EE-4965-BFFC-41D63A25FD2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8E5A6BD-6FE4-42E5-90E8-21DB4D9E86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06EB805-3CCC-4919-AAE9-97F53758491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A7B0881-1606-485B-ACFB-EEE2F855445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A2A2815-344B-4ED8-B206-5E475647DBD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DB20444-3CA5-41AE-AE0E-03287916E80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00103CA-7BD0-4806-9A72-0BBA402172A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2187D0B-A13C-4C88-B184-B362F6EBA21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6801C8A-E810-4DDC-B79A-48E04BB027E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5BB8E81-AA57-4158-9FBD-A4BF9BCE148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D6EAC98-D00A-404D-994B-3355C64EB23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6F9022F-6CCF-4A90-9A9F-7BFED44556D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2A6A3D3-0A44-437D-8D53-7F5B213E764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F4696C6-7EDF-47B5-AFE5-67BA03454EF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B34F4CC-7F86-4B78-BD86-8F5A985F698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636DDE0-D649-4CBB-A06E-7912DE0B38B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27E8D44-A1E7-40FC-A641-6B22EED31CA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001755C-1A2F-4A6B-A3AC-F138D63A51F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5BC2527-91D4-4106-944B-84929EBA5FE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8ECC1A4-C554-48FD-894E-FFDC73BC63C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2E7039-9CE6-4B71-8ECA-1E837D889BCD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FF984D-9975-43A8-97B7-DC3247DB761A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647677-C35D-45C5-8CB7-80AC417F788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F381D6-D4A9-422D-854A-7C8CED8141E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B54C7F-57AF-434C-9417-7D92BD43136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4BBDA-B7E6-4271-A2C7-900F7073BC1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177F336-B0A4-4009-AC53-DC41BB2B117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D331386-6801-4E82-8E52-56E98EE2B15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DEE14D2-DB98-4AA7-A939-4153F9C4A0F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BC5AFE3-2C4B-43E9-BBC4-A5AF6B72883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9B1B38-FA84-4A91-A99A-6C9575B574D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A41A988-6FB3-4192-AD51-96211A05FAF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F75A645-AD5E-4F69-9350-5E5122431D4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0CDC5C8-0B16-47FA-80B9-EC17A29500E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D28BD9C-6638-4038-BF6A-5CEFE0A59AF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5F196DF-1294-4AE0-94FA-A98496C2DC3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2BD3A8-FF16-4422-9885-1F516C4651E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8AB99F-5152-4FAA-BBE7-DF7344FA28B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E91B6DA-C957-4AEF-91F5-CE36C0E52E1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7FA913D-1A44-4F15-AF7E-6CC8B067047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8509C15-4FD5-4431-BAB7-89AE6DEAEFD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8909E49-EA0F-438F-BA17-2C2CC68C658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5364E37-8AFB-48B2-A7C4-0E10B9761B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F7EDD94-B98C-4E42-A878-D15F81461B9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80CF1F5-DAE1-48D9-8691-5AB32CA3571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8DCF441-1EC1-46DB-89FC-AE948FEF64A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DE5F9BA-7E45-4FFF-9E21-94D1BA6C241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386B3B1-4CEF-4A84-AD42-D6B4342E42D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DD0FFEA-0D5F-4A50-A7A8-E6F42169B2D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0326B14-4BC7-4AB4-82B3-B322D813F3D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D7D2060-8997-42E0-ACBB-D50D96F0742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6776455-D686-4115-9E64-D7EA359B1B5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B29E388-61D0-4EAC-B6AE-F6A35102E1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3614B34-F675-4D24-8687-C5C02E7A143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0E3049B-4866-4338-A057-41C7DB5380B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D4D7523-E74E-4E2D-82F4-F0480673E8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F10A746-2104-40D4-B5DF-9FC80B2F24B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48B00D6-1F43-4D1F-B2A9-7609FDCE966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5935635-AA36-47B4-B657-EDA2430517D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35441E8-B7DA-4F5B-B610-73F977E666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D861C27-E9D9-44D7-BD36-024CD495C7D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6943630-C6BB-40F9-97AF-B044EECAE86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A93AD74-9E84-451F-8B7D-C2A531C473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8AF39EC-F8E9-4143-80F8-B18F415322F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BE5FBF8-FBB9-4211-9CB5-51DFE9FAEE8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376DF72-6DC0-43F7-BF0C-A75CBE0D95C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35193EF-B858-487B-93C6-6552651C25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86DEE05-9376-4C84-8A9E-D1B8EDD0928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76F9CC-33AC-4753-AD17-D187A214AAF5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0F114D-CB79-4B86-B92B-AF2B506C4466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E09F4C-E0AD-4A35-A0DE-F5F28789917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497071-08C8-42E1-94A8-87520DE692F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C9F63F5-5B5F-45F2-BEF4-54F714777B9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4D49874-F00D-4AD6-A2E9-6C7F8262ADF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082092-B258-4778-B0D9-97A74292D2C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20141A-9FCB-41EE-B0D3-E3B9381BB8D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E7A2B95-FA05-4EF6-961E-5CD549BCB82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3AD9EA-A4A8-4CF5-93A2-A9A1F154A17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BA3C1FC-BB06-4197-AF01-9492D6BC66A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B066D87-3073-4914-876C-6857AF9E88D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1910892-3EF6-4451-A5A9-F87410D415F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C9146A1-5B64-4031-B310-E7808B31A3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9DEE49E-DD13-4034-B0C1-FEA2E375112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C34F57C-ACE4-488E-833C-C3755302FEC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FD3BCBC-7555-4A19-96B5-65C7BC35169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A393621-D6A5-4FBC-A215-6475CC2E8FE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0A34384-BF53-4E1E-8D56-C05F5D20439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9D7C18B-5475-48D8-986D-8A64DB8DD5C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E9178C1-CEA7-4A13-9DFB-C5C08DE598E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B2AF61A-3010-48BB-ACA4-EA8C98DFBB0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4EEBF88-31E9-414D-B477-340F803461B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C3BA681-3BE2-476D-89CE-621E1058A1A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FB97F51-4677-4C65-889D-66C78A4DF44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9A631AA-C626-4FAD-8BDD-B3FB299CDFD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6D81346-C5E5-41AF-8602-396D9F0074B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2083F32-CB65-45F8-8593-737E17061BB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2EC86C3-4785-44D7-BE6B-1E5D5FF29F6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A66BC36-7C04-4668-89D9-89A08BD8DBF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3E1A931-05D7-467A-B67D-6D39FDF61F2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2ABEFE9-917A-4FB1-B9C1-E643DF21DCA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F177AE7-6C5C-4890-B719-1ED576DC3D2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E36346B-E9DB-4357-9E80-F6A96CC30B2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644145D-DA5B-4D25-9C77-3C8633845E7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86E66ED-45FF-4C0B-905E-4F632CE550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0C1C22C-5894-4F5D-8EC4-CC94A678004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1034A2B-154D-4E3B-8604-2B1D1FD0532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ECD910A-9D62-48EA-A9E1-028B7887E88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9CAA912-57EB-4E72-90D7-1CE8C6C684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26429CA-65AA-405C-8037-EAB21673B66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A360D5-06F9-4211-8980-332E5303CFD0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BF9E7A-CB70-4DC8-9D20-6DA12EEB5B44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9568D4-7C2F-46DF-B607-20B9206657C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81DC93-C256-412B-AA8B-684203D7BE0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3BD0AAA-30BF-4E81-BDF2-BD71C55A08F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A99E4D-D37C-4DAA-828C-F84FB4683D6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709F17-0C0A-40AA-B0A2-770D6780B9C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4E5119-6D48-498E-82EB-35C8D24210B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95510F9-FA88-4306-90EF-E73C1CD4D1A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4D7129E-D50C-4BB0-8618-986C57B0517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053B235-8F13-4C4B-AEC5-5FB3D737AA7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2142ED8-DC0A-400B-9C66-8ADCC489192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A8DC778-BEC6-4C72-884A-5FCC5837F6F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4461FB7-193C-4BA9-99D0-4BB2F02D27B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4DCB5C0-6FD2-4004-BE8E-FA957F7FE3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7B92AD4-AFCB-4474-8744-E47C966A642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C0ED028-CF6C-4B8A-9F4F-40AF112159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49E3CED-B687-4FE0-8095-859ED1A4241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36C0E94-8938-498E-AF68-7754913C26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076FA07-08AC-460A-BC8F-6A04832DEA8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3991AEE-DFAA-4FED-80BD-DA3FB23F610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55DF7AF-46E6-4389-9D35-30C93F4666E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F8C0F0-4D90-4A3A-8EC6-61EA4C57A92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552C189-F18C-4D6F-8E98-F1342D7B23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7D98BF5-4653-4848-9704-6727F742DCA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456D555-A0C7-4465-88E3-D2169E3B240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99DFDEC-B5C3-4C46-8BCD-EB0B8985374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D702743-4F7B-4225-A32F-2E148253BDF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383371E-8349-4A7F-8C57-0ABFA31313A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85EA89B-7452-4CF4-977B-27D3A8C57CB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E43C643-59F1-45EC-BFB2-58E199162EF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E4C2294-1688-4A2A-B3A3-3EF5647F1F6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7490F7-1DFE-445D-B84F-753CEAEA7FB8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FBA148-CD7D-4700-B88C-1F5EB25931FA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A3C407-639F-47CA-A5E7-46C0A02DB56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303ED2-AF08-4E3C-BEE0-46BB12E2867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C17441-2184-4FD8-B523-B929163BC8D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9466324-5308-4967-AE48-B425D9B4A9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A5DBAD-B4E4-4C2B-BAF0-32C687E4DC4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4D22FE-A6EF-41E7-9510-A82C199675B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84EF098-2185-482C-ABC1-B9169B97E22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242FA21-83D2-4EEE-8DAA-B7C66C7F077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14AEC3-0545-4B77-BEB8-3BB3FEE78EC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AB35554-102F-4905-841C-AEB169B5E37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40DCA81-DF8B-4F5F-A823-F853E1C3037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E22AF95-6699-41FD-9450-372B60DA1B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E3E8253-E8C1-4DDE-A14A-F8ECCB82FA2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220B80-CE41-44E6-B831-C391CD76A1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B66CFD6-0600-4A8A-8DCB-CD3259A5712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0E2C27A-2907-4659-9EE4-8A9729385C1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2A15AAA-5836-4DD1-97FC-B8B6EB19F19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477C07A-1592-4B7E-BB72-7651D2EE16A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21ED61C-8E5E-46B5-93FE-E9271F75F25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4B0DA42-16D1-4B2D-8362-A3AB32688DC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D4E16C7-7EFA-4973-8ABE-AE69DEB2510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07F8CD-D0FC-4CFC-8316-721BADA7F727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28774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991861-6C3E-42CC-80B5-A59D19013EC9}"/>
            </a:ext>
          </a:extLst>
        </xdr:cNvPr>
        <xdr:cNvSpPr txBox="1"/>
      </xdr:nvSpPr>
      <xdr:spPr>
        <a:xfrm>
          <a:off x="4258408" y="1589942"/>
          <a:ext cx="194454" cy="287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B2006D-1D12-4A4A-B8D1-9EAA6BF4F568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815A761-BB47-49E4-980F-93029A189AF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82AACBF-5107-4414-A303-3462F81AE4D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45A4EAC-208D-461E-BDE0-63050B00CE6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4BA6389-EF4A-4D50-87E0-43BE610F8E2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84AC8B5-3E09-4A2F-AA50-DC686DDA3E7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C3DEB6C-F619-4357-8B29-A1CA8440CF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B9C3EFC-5839-4D71-9B9C-DBAF12DE297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C51A1A5-AC0B-4EE5-ABBF-A1551D5591A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8FC01ED-2D9F-4228-B14D-4F0E8002823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0DF96D0-991C-46E7-A354-09FA6BD4837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9076257-2DC0-49AF-AC49-17D698ABBCD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7258040-B975-44F2-BDEA-E8B77E76562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8D9480C-6D3C-4591-AE43-1CBA35F3BC4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AB8627D-6616-48E3-8567-1BC9BDB37D5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495055B-A11A-4445-820B-AF12712F890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E83BE7-974F-4C17-9C28-A2EDD37B842B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8B4821-ED65-4581-BE24-1A75E158EE18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759CE5-679F-4BAA-AF5A-6703A90E5FD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D48DBD-4EF4-4A9A-9E94-AA1A55F774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09E24F6-4A90-47D2-A330-CBAABBC1E04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4ED2240-FB4E-4CB3-893F-37B2080BEFE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5A25D9E-21F8-460B-AA44-C5175406013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2DD7B9-5530-477D-BA39-842714E238F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2B3AF17-3C2F-458F-8ACE-D825DC98D9A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BAB25-6660-4928-893E-FD837610D5EF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59AD4F-31D0-49AD-BD06-1E1EE1105F92}"/>
            </a:ext>
          </a:extLst>
        </xdr:cNvPr>
        <xdr:cNvSpPr txBox="1"/>
      </xdr:nvSpPr>
      <xdr:spPr>
        <a:xfrm>
          <a:off x="4258408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F9ED45-1954-4AC0-B35A-75BF013EE0B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4AE8E6-B383-4E53-B2DF-6CFBFB3CDEC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6EE478-F8A8-4D61-9C80-D71114A684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6F38871-6A14-4FBF-9FE6-397E66FF6B0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0E2088-D611-4110-80CB-4060CE87F58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6E87982-76CC-4335-A160-0A888119765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540DEA-330C-4F0F-AFCF-C31FA88B617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747DD1A-F5AD-4A63-BFE0-83B65D0F8D7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90F1C36-50DE-445E-8AFC-2A783847B4E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0156FC9-24DD-4851-9C8D-3FC75F267D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33B02FA-0B2E-4FFD-B800-04ADA894AE1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07BE4C9-080F-4148-8095-FDEA932B66D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0F125D4-E0D3-40C0-B6BD-0144C9C8B41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EDF3103-1FCD-43D2-80F7-89A0E075014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9CC283E-944B-4804-A34F-6D67EEA1310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DEAF209-6C16-4495-BD4F-B3998270835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2E3D745-932E-455C-B928-8CAD138C62D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F603B23-E1D2-4796-8218-8E28B044C6C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028ABAF-7CCE-4BA2-B4CD-D2F17AEBE65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B87D6A2-72B1-447D-9A9B-584A8FA8F7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42A4E8-CCC5-4981-AB86-BCF5050084F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0D5506D-F023-4877-9E4B-C4FA576765D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C45355D-854D-4C0B-86FE-83E4917EA7D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593139-C983-4F5B-9600-B2E408D44FA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08D6BD0-C2DC-4E9A-8121-01C708A1F13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917D7E1-CB6F-4C3F-9393-1998653159E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B9BA9F2-E3CB-44A2-BD87-CF1421F354F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6AFB476-567E-4F51-84BE-D110BE69B3B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3097DCA-9E99-4BFE-B2FF-831995F07BA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07F16B0-F661-44DB-82F5-AC71CECCF68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31EEEB8-47FC-4F66-B366-852B2C71DE8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7BB225D-408B-4427-A499-DB99EA4027F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0990989-7427-4B99-9E8B-DB9513D0AF8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947BB32-074D-45C7-B361-857EA22BA1D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E6D7439-C4F8-4DD8-86E8-3C8C2A45C51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65C75D5-E966-4D35-BDE4-94C00D39625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724493C-DFCE-4FBD-B1BE-68333590D5D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311A46-1F2A-4FAE-95B8-228CD367385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622DB86-A515-4F5C-832B-8EA5FDCA27A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33C1A51-FDA6-4A91-8946-C98803933CA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10C48BE-381B-4381-ADA9-9404273880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F11FE94-7E6C-4564-B343-29B741076A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96F05C1-9946-4317-9872-E2D16DC6292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53F4E86-32CA-44E8-85AC-281532BC0C8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F6FCBC6-9B84-4ADF-85E5-396F10AAC9F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677FAA3-7FE3-41C4-B8DA-00705CB24A2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5952CD9-8846-4201-8191-1B7CB0E93FF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3E8DF95-87DD-44AE-8789-B71D48E3E8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E1C0ECD-9FEF-4FB0-A55E-7FA6922A919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E009654-F871-4180-853E-9F3E7332C3B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0E2B72D-F700-47BB-A2D3-ABFF750D965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B3ABCB2-0558-4CA0-B15C-F9EAB30F90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575DD0B-9D81-46BA-B087-2EB651D268D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CE10257-D474-4E9B-8494-392FB7D871C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01F8F12-22AD-4DB7-8A2A-ECB5CFD793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C1A152A-F764-4193-B384-5359ABC9D4B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05FED62-72F0-4B78-B7D1-B753BC96BBF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E244044-3D65-4EB0-B686-C97534DF8D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D7E57D9-FE0C-4182-918A-93A0E97EFC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2D5C1EF-D075-4B5E-BEEA-7ABE2B091AA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921D9B3-4854-4EA2-B469-57C5CB9E30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B951C9E-4705-488D-8B18-7B8EA08149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921B4A3-B4EA-4E65-9D71-7E41EFE9E8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D245571-F0BC-43B4-8150-6EA2E8686B3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EAD44B1-E8FA-4DAB-9594-4F0B4B093A8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686B2DE-DC37-4858-A0C6-B7CB7DDB987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4CF04AC-483C-4C4B-8BB5-92D3ED1D8C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F5D3476-6825-4D5D-8D34-CE2E6887528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0D48E2E-2D52-48E0-9D4A-1FC798335A7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FC35A6A-7621-4AA0-9AA2-89C48D9E515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431CDCC-A1F6-4427-AFE3-998985555DB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BBC1D8E-96EC-4849-B522-67C594D17C8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0292D29-97F8-4A31-B63A-C2DDAB6551F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4DE76AF-F182-4519-A0C3-6F7F43B3D16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DF461BF-586D-46E5-9022-0A8C4B30C53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C3D74A7-E9D9-4770-BF50-2B979FA3BFC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801FEEB-D14B-4A23-A7B3-4801259162F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C0D4963-B275-4AB6-AADD-B1E3F8EC9BD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BC0667C-8AC1-42F9-9A97-7AD7226FCAC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763F6BE-D592-476E-94D2-47F76F5F907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AFA5BF1-6D62-4334-8118-3B870322CE2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AC075707-9F99-40EE-A073-00BD5AA5DAA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E9CC3D8-5675-4C49-8E14-681077686DF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F26B8A54-7732-4BEC-B6A1-236AC8AE119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7F3E013-F504-4735-87EB-BAE269990F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BA4A20E-05C5-4716-9F43-F33E1FD51F6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A87F003-4050-41B0-A75B-54840DFF435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32D6D76-0361-4D90-A436-3617A2A7F5B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154E196-A4A6-4A3E-88B4-DA740264BEF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D5C483B-6873-44F3-9EB6-14B556AEE24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37B3076-2AF8-4CE3-BBC9-2238DF223F0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9BCF605-6842-4800-AAA8-427AFE53157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5F8B617-D553-4F59-AE42-B2DD19DB0DD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B8413D1-836B-48C0-9F7D-28141ACA4AF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4D93A3C-6267-4007-AEE7-B0AF1417DEC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193910F-E6C2-4E79-98FF-5739F23C998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2BD4DB7-5377-46CC-BDF2-572CD5B600B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7B44B1B-4F72-44CC-A1F6-E38BA002EB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C6BEAD0-46C7-4388-8F45-C56C1261042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D92213E-C890-425F-8D31-A3DDEEA416A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54F0E80-F0A5-40E1-9011-3D14E24017F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5666D29-BD64-45B3-A819-57CED0F0A5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EF46ABC-6B96-406E-938E-EF31C1FBECF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5D9C6C8-59FC-42B3-AA98-651DD6FC071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3A6AB91-97ED-4997-8A6A-0B84ED621BB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25231B1-3B6B-43E6-A9E3-3F77E79CA3B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FD53D26-5342-430D-B88A-9D99DDF148D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9B4A659D-AC6E-49BC-B2AB-D7AB5EDDEAF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39192BB-A024-4E1B-B75F-06C270AFC7B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8AE151B-E6B8-4C93-B0E7-5ABF588F0F1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CEE8419-193D-4619-AF5E-42F9303FA13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D4B24E54-BBA2-4C56-A213-0CA28F4BD82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5701AC4-215F-4CFF-900C-69EECE2F818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1898A0C-8DE1-46F3-9D0F-10148222C89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BED0724-34E1-425C-B0C9-C2EC4E6DED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C5ACD2F-2156-43C7-9371-B8C99DF15E3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E0791B1-1BCE-4714-9FF2-648384CAF7E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598AB30-12EC-49F5-9EB8-DC6F5D1AF90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47F62EF-92A0-49BB-9FF8-E2F825CAE68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4D8996D0-BD20-4776-A03B-6EBD34C61CF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3A909E3-4699-4667-A407-ECE5B80FF72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553F51A-BB17-43FC-A22D-F7125C9DA6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710852F1-8D2F-4B2A-BA9F-B1349B62A14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CE7F894-8C3F-4537-A753-0041D630E0F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B96535F8-7AC7-4227-8B0D-257DE5F3084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BCB9047-07C3-4FD4-8F3B-BC40580C2CF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BBEB0E1-B869-44D0-A39F-78A9194BBA1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8768658A-9DB3-4C12-996C-B5B5EF16D4F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428A7448-266F-4178-909A-2053437D5CD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CB57F1EE-E30B-4495-AA20-F49AD71FFAA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FD9F4E68-3CF9-495C-B454-381D40DFF67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5297A96C-F046-489B-8B62-502855B6727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1D436CE-8852-49B4-8743-A4CC8CD0F13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A63DB46-766D-4ABF-83F7-E75A8219163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754FA89D-F9BA-4C8E-B41C-51E5AD50E66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F31367B-AF3D-4712-88CA-5E536FC5ECF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0112BB6-12DB-4F6D-AE27-25FC4855939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A26C64C-F1C0-4F62-84A8-637ED4C5F87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34629E0-C8AC-41EF-BBA3-32C6B72B8B7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9AC9886A-9876-484B-BE4D-4EAC534C24E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85302B5-F59D-4FF0-87C1-2DE5F852EC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D324585-28CD-4365-BA07-1A751BBB1AB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941CB03D-DB11-43A9-8A65-86038E0705A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18E4FA7A-C868-46D4-AE55-13C5A80852F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6D365BD-DFB4-43A6-9909-DC272FFE3CE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D04385F5-4D42-4E4D-BBE8-3D214C3F5C2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FC40CE7-B778-4AD9-A94F-4A094565659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6CDDE6D-0A5B-4875-AB3C-0810161E4DE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C151CF39-E420-47BA-8940-6B037446966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6B41B40-0ECA-4B4A-B383-19E70D7ABB2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F4868440-D965-492E-9E26-90019B5A84C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78A08D90-F9B3-4E19-802C-B21E12194E1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469BF352-6678-4A89-8A9C-E5C5A33AA2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5D0555C4-20A3-4813-B76B-4976531720C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4094D00A-A0BA-4261-B288-FC1F11FE680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8B156FF-07D2-4613-AEB6-396714C6084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E544BFA6-348A-48A8-8012-5A4FCB35AB7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6AC0F636-781C-4764-A926-7216B056B3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837A7FA2-ADDD-4A26-AA88-AAD22A30997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43D5D4F-CBDA-4EF3-B196-B6226380373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E84BBF6E-1172-469E-A6F1-3D2DF084764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7C93716A-6353-467D-9283-AADED203801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C45C7E2-F1E6-4049-B340-5683EB100ED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CA1CD641-CCCD-4488-9E45-5C9AE339F23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4D657412-C104-4488-B5DC-5696AD3E8DC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DB65AF5-5B03-49A0-9EBA-EA87027C30B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A2BF5C41-A54D-4437-B208-F311B29F78A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016C751-7F05-4EB3-B231-8513F30E22F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CB6BBD4F-9379-44E7-80C6-4254647804F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34CF11E4-604C-4DBC-AB66-EF7F949241D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8A84BE21-7307-46F6-A9D4-F1250D8F7A9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EDF3CBE4-731A-4DCD-8193-6A42A1B49E7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D99D290E-CAE4-4732-BC86-E979E352D7B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195DC32E-FBAB-4BD8-AD6E-75EC4D91344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B0D968BC-D93E-44ED-9388-A0558E7B043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9C03212B-A67A-4525-B17E-11E01AFB123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2125781-D371-4015-BC85-BFC286AF467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E7881652-F075-4FF1-B702-CC8AB61D4D9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CE3DF7A-7A43-40C1-A1C3-09C932068CD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72E08581-EF4E-40FD-AB47-C489BD31DFF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52512F2-5782-4A9B-93BD-73AE06EFA62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7C301B2-4C86-4135-9437-ADD1201BCD3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4B58012-23AE-4C4E-9E1A-A5860FA9D0F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B13FBD0E-D912-4348-966C-2612783EB8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C8C0BC8-3965-4537-8076-CD1CE642A46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56E62A7B-5673-4A70-BA19-5F700A69CC0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6CADB40D-E4B8-4603-933A-720E5FA7EF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2C5DAFA2-BBB3-493F-ACA0-48EE221FC47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2CB100AA-67C4-4ADF-BEBB-C8FAA2661A9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E2EF0E6D-DDCB-4BC4-974D-E18F3F3D468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831865A8-EAE8-4A87-8B74-F57950E590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C8DABCF2-9138-4C7A-8DDD-85C38D0C0B8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FB54B248-F39D-43D6-84C2-FA573096014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91C01E15-FF46-4537-8E47-866045C4003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B088FC7C-6FBA-4910-90AF-15F7F48C117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7EAA09C9-C97E-4BCB-88D2-B9626532428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271B9BE0-B631-4413-973B-B5A38726D0D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B6AB6DE2-AB16-4608-9AC4-2C38C3C78BE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C22068B-61E9-4A43-9361-C848E47276F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718288E8-B80D-4D77-BFD4-A79999F8280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CBFA4E1E-5DFD-425C-9125-1B3E06EFE45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2E225A54-731B-4C2A-8254-EB4F80FB55E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5D89CE97-9C19-4F1E-B60C-2F3913D2422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A9546FBA-A0B6-423B-ABE8-27E86CCFC90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B9727B5C-238C-4E83-8B3B-33C41DDACC1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6A2CB5CC-57C8-4694-9746-1F76F781540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4DEE8D65-14D5-4812-A970-63A95E7CE73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93E27478-E33E-49D3-9C95-7BA7DB6C2D5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B4053E14-0E9E-4A72-8640-340251971C5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81CA31BA-A886-4D3A-8AF1-17A2813EA31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7D89ABE9-0DBE-4586-A0A6-080F46D4119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83188F9F-608C-4368-8C45-336716C6852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63762549-8C91-404C-8D1B-1FE01DAB5BF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9414BA8A-FDDD-4636-B4DE-06063EB0EFD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4FEDB4D3-7DC9-4F19-A66A-C145D5CF1B2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E2F7C5CF-06CA-47CB-9B1D-B511E8CBA71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B9DB3C07-8C62-4D1D-9ECB-738FDFB92A3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16F333F2-71CF-4731-BF57-D40FC877F6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78060F9-6572-412B-BD77-2B7BE3E602E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2E479C66-2780-476D-B5AC-9C797DC9FA2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A62B800D-C9BC-44A7-9902-8CB5F66FEB1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B3E49983-CC27-4C1F-BF45-BC4AA0982E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975F831C-A2CC-4ADF-98D5-82D901AEB2E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8BAFE0F1-C2AB-4A41-8D26-EA6A24E0C74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3B7901AE-DBE6-4B47-8565-18157C0989F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A8EA365E-1CC5-4BBB-AC2A-438E5170532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69A91A15-CDE1-4F8D-A14F-24E1D907A6C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A614A88B-0F3B-4A21-8431-140E900C2F1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A88BA457-5713-4EAB-81FA-E25DE28BED6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7527503-8CC5-4687-8018-83695BA30A0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652310D7-974B-4ECC-B8C5-E7ED2066982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601D0DB0-E19E-43CA-A141-D48F80BAB02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28ED1BE2-5D60-41E2-B916-7448DE2B546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EBF90513-13DC-4777-A4A2-C1E1D4EF71C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F12FD63F-8B43-4F6F-A57F-A9DD1C89517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69579062-C27C-4065-B310-7993DA2D503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1337766B-89D3-48A5-B8A4-D42276E43D3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581026FD-EC75-4401-90A7-045FFE5DBBC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530F1384-AA06-48C7-B161-1E440B3F954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9ED5C67C-5104-418D-A6B7-76B8EFF4707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CA4CAB42-16EB-4198-A30F-8A788F5A78F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8DC04FE-D74B-4E9B-BA86-61A4F0036B8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521E700F-43D4-427B-B8CA-5EC79BA02AF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2E4154A9-3EE2-4201-A551-0BFA69ED397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10E2CDF3-B7A0-4EDA-BC39-39A1C796282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C9BDBAC9-C977-4CC7-B248-3690D0B160A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B99C51A7-294F-418F-A392-32DC11249C7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28E6FBEF-F23A-4C2F-8FC7-A2948686C51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2D41A48-B39C-4731-BDAE-379E7EF14B7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369C5BCE-F196-444E-9DEB-7DACBFE774A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77DD426-747C-4478-88D5-75B2D8E0AFA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B31ECA60-EC34-4107-B6A3-A2D64D297A1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2451426B-1A5E-4301-850D-39747B55157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CE56B165-4228-4B01-801E-B50C0C48576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5C703D45-8995-4477-9699-090D531F97C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FC43125D-AE30-4C59-AAF6-7A63C61C9B6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9F04DF68-187B-494B-A818-4D4D1DBBF77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6CA68050-5E0F-4988-9135-51842EF33E7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97EA75BE-8C22-4A57-8F44-D2DEF852127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8CD39542-7F6D-42D8-BEEC-86273CD57C5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1654E839-51AE-4881-9AFE-89336ACFF9B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3EFADB67-7C68-4E0E-A4EF-ABB86486EB7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95C03F78-7F46-4D85-8261-689FD3F0873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7383A161-D31E-413F-A44F-75CC2265A90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C01898B3-3943-44A4-B4BA-92741744BA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6B6F08B0-23CD-4CD4-A753-A874A6E142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91ED2D24-CE83-4AF6-A1F1-C392478D1B9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547DCE76-B9BA-44C8-B89E-2306535ED0D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87967A16-B79A-4355-9E9C-D1F859258BB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A349B6D7-4CCE-4C7E-9024-647A723807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100520C8-654A-4765-A2C0-EBAC862559E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475A6AA9-BF0C-4272-8E2C-89F6C72CAC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AFE71100-F871-4AAA-BC54-4762F479E89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A991D82B-E833-4DA2-8A90-A782422E7D1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8670000C-B36D-482C-803A-1CAA5CED7BE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AAB79D00-2749-4C97-984C-AB8700DE9ED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C6A3E8D1-B0DD-4D8B-BE48-D5A4A7DD157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62B55D2E-914A-4FBB-82B0-8E7FC088761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24BED0E6-FA94-443E-985B-4D9425CFA24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11AEC960-2C87-4211-9F4A-9270FF9D9BC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B0BC21DB-B304-418C-A2D9-8F1BC63B2F7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87C80B6-8230-4E5E-ADD3-3ED04DB8F4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76852A60-7A0E-4C59-989E-A86FFB202AB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2521662C-C9BE-49F5-B3E1-B74D5BC82C5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544D5508-61F4-4AD2-B902-8D407BE6318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633984E7-8EA6-4709-AAEE-7D066D63319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3D7680DB-84DC-4F20-A81B-026753552B5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9FF7DF24-4385-4F65-BB43-CAAA6697CE5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31056CE4-B1F1-4932-9819-473130594AF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F33FA40D-4E44-4326-994E-82E145C44C3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1B35694-1380-44C8-9C86-C34AC024D8C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8F851E84-0095-4866-9FC7-951958CD7E2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EF4EF4D-F978-4A12-838C-E87A883E74C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9B70EA0E-0830-40F7-8EED-4C178F1F7F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CAF6BB24-2B21-47A0-A796-8B1C4275436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60B66F36-8DAC-4878-AC75-410974DC9B1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C3DE13A1-DDDF-420B-92CB-31A9E942800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B88C1A2-2D88-4E25-9B62-295D83AA101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90669BD2-66E4-45A2-85F3-E950F18A0B3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1270A81A-7559-496F-8738-4A3B6869095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7F078816-1087-4C1F-8B44-AE1A9CA3B2F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D7E79D28-B8AE-48F4-9991-A8099138013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43454902-4B73-41F6-9F05-6AFA0E73DB2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77DC236-D911-40EF-9F82-CE42D415783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6B046001-B872-49AB-865D-2C6430E9411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91B58379-7A13-44EC-B0C0-F44E15837C2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576CD7EC-B330-4E78-B0D6-418DD4EDF38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2CE4BD1F-AFA6-4C53-961C-DB88CD986B3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D243C373-FE5F-4ACB-99BC-A32A634A4F7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8497D02E-68FB-40DC-B769-D535F620407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8C173F2F-B4F4-48CE-BA62-A04866E29D3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EC25CB55-CE36-4227-A88C-ABCEFB74BD1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771375DD-7DE1-462F-9F75-916C9A46C8E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68C3B82B-7A69-4D65-A8F7-EDF7526A6DF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AC40FF60-7350-414B-B71D-3B1B1D6476F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7CFDD87F-356D-4AA5-A67E-AAB6BA362B9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AB3447B4-F8E5-4B42-B702-5FB58A5E14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6CBA6FE4-A328-4B28-BD8C-8F5AFFBD57A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1CFF7F44-645B-4943-AA79-3A183C51AE0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63C1DC28-6FFF-4E92-8CDD-ABF20BCC93B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25E7BD19-F839-4589-A2CD-821F5DA9B65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2DCBC9EB-521B-4682-B511-407C22836EF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CFE846D-8988-4CA7-AC51-5EC52B250F1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D68E3EB7-5F2E-4BB1-A089-D0CFB8DCF03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787192F6-43D3-49DF-B3ED-F2E2E5DB6BF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BB0EFDC7-9D6B-4DAA-98D0-48DF92CB890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1AE9D473-36B3-4A03-BC50-1BCDDEAF94B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1F680D4E-859E-4DA7-B79B-E42173E31B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C0AAB72B-15DC-4B36-8C9C-2B9913DEDF6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2354802C-3254-4B49-8383-E65961ABB74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4E7986D5-3877-45A2-BC56-E1A1973DF34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1687855F-B403-405B-AFF4-0338E7D5DC5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DDF90CD3-75A6-4064-A603-9B2375ECBA9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87217D98-9CA0-47C8-82E8-3DF016DA94B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A49F71DA-AD1B-427A-B8B9-07271C5988B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D34B21D3-A576-4F15-9A95-4CBC90ABFFD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CC4359FF-9495-448F-8980-7F3B45086BD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5A48FA02-8A6A-4389-A394-B0B634D7014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D24FE93D-6B12-46B0-A57A-EB411C9312D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9CAC0297-ED53-4BFD-8B9F-AB4402D1EF6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8EA88401-92FA-49A5-93E4-89968005F29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EC8EB8E5-D693-4662-99BD-C909808E125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5C956817-4D76-466F-8FB7-0F100FCDE2B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ACC127FD-A149-4E38-8C6A-EAB7E6B0C12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67415F15-F28D-4E02-8C13-6FFEAEBC347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3AE24703-59BA-436F-A5A4-A1F50F7FDE6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D5C3D769-8946-4F1C-B3DD-02422DA7E83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1C0CB90A-931A-4D1D-9424-37D483E6DB3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BBE01D7D-8823-4731-B237-62E6B4AD4BA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AE4F821A-AE3B-4197-96E3-B2B0947D901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8FBF2569-0D49-431E-B409-6B8BF50E83A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91C3F66C-1F61-4775-B663-D687512D84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6EFD32B-D03E-438B-AE4D-0220F639A34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5259B234-8E5D-4854-BB87-3DFF21062BA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BAD9FBB9-5C4E-4C31-88C0-F2B678175F6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E34ECE6F-A08C-4EAC-A885-863DEA1A58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74611548-B570-4DDA-8986-4372636A8BD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96B73B1B-2DE1-4C96-AA65-42D9E055050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A214FB-EC7E-45F5-BA32-C3371D2EAD04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E3AB9D-6EA5-4C8A-AD20-0BC0FA23B434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655CE9-7968-44D9-BB2F-0D550D008B4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64FC9D4-40FD-415E-9553-F3872805C93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E08F08D-B2B0-47A7-B8EE-F6F967921C0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FFF336-D01E-4C4F-9073-C8A71E666F9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52B6A8-459D-43B2-B44D-C98C95755A0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EBFA8B-654E-453F-8DA5-121D1D2EB48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A957B30-F441-4C5A-A9C1-D12CFC750FF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2FDCC28-E363-4089-AA44-A6E93ED7A41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AE02D15-BA55-49CC-80CE-49FAD51DA23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6259FD6-2145-4A89-B547-11680F63EC0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98FC60F-696A-41DF-B9D8-E0076EF3C1B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DDBB87D-3049-4509-8819-84C29FA55A3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CC27E3E-DB67-4D1E-99C4-9F0C4F5A9AC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AF313D-CE13-47BE-BF1D-1AA8221F072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321ADA7-4395-4229-9369-8B3E4E7362E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01F1EB-AFA0-4B33-9E8D-409CD00BAA6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040AC59-D61A-4CE1-A420-80FABB45C18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2283943-9BA9-4366-95F4-851881465DB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1789541-CD54-41FF-ADA2-593851516F5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42E0F3A-D54B-4534-B8E5-B468C2E72A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5B105AF-C411-4427-9FF1-0ABD75684A4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3B4F9FB-AB94-475C-A0B1-ABBCA020725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68966D7-FAB4-4CBF-ABB2-465DA8B515B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E20573-B75D-4B1F-A285-BEBDBA16A5A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81B774A-5A8B-4096-AC6A-816405914CF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F4DC46-CB80-4193-910A-483632FA85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32F1BE1-DED8-4683-A1E6-541413EC33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8331B50-C4F6-4A06-87A3-697996E08BD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A4A69F2-BD5E-4D86-BD08-49CBAE24286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6D1F02A-0222-4E9C-B694-85E89DBD2F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FF564F6-2C51-45AD-94A7-65381E9C84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5F6A403-8D52-4CF8-871D-8E2B01D0EDC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B84EF11-9018-4FA5-BBBD-A11AA295C59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E1F3FE5-63D0-4A7B-867C-41D33EF06C4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CFF0058-71AE-4331-A45E-2C8762490B0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E4CE977-58BD-40B0-9444-85BAE06D0A9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8D92639-84EF-4C53-9723-4E394A2FE0B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963BF85-64F5-4FA2-8EC9-69653CCF147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BCE5A45-5459-4CE2-9A75-B8BDEF9CF28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3AAD94B-2FDB-466C-8AB0-40284626657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A03352C-5A29-4697-AB35-397E785203B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E045D8B-161D-4ACE-B5F0-3F998E6ECE5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D755714-1BE4-4154-94B8-2A3B068B84A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64F3524-11AD-4604-988F-D5EC40D13F5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CA73776-C0DA-428A-9965-DA02626DE1C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74F2163-27C2-48B4-901D-B1A1EE58E1D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E8F6DD5-A551-4DA7-A811-ADDDFF41AD4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2F2A32C-6385-4208-B289-BD58FCC2E0B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34E5F61-C694-460D-8340-B477704CAC7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F69083B-18DC-4DDF-B327-AC8D45EA2D8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436D916-47BD-420C-BB1B-0205E037B62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301A874-A654-497A-BC91-35AFA78DBE0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E089EE4-E439-4154-8301-E6706014461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CE11D05-9003-46D0-9D2F-18F20061BC4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6490281-BFAC-4027-9BA7-311385B2D45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334076D-D93F-4004-8794-70C75BA223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D4B10EC-B526-458C-921E-78C5068403E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C3A0F58-9CCF-479F-8B35-E824D5FCAC6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9B35653-9BE9-402C-AFB5-36FBFAA1123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2F0D0A4D-7EFE-4506-86A2-E18ABC6FFAB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1BE8F8A-4200-4C28-829E-5D031420FF8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B1C152B-AB7F-4021-9CFD-BE7FFADFC5E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B1B1C60-8D4B-4C30-B031-E3D02597898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E0656D8-641A-407F-8F85-7E105A14412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4663949-B872-4D31-A39F-5AE9B9066B8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97029D2-4C72-48FD-AB6E-EE529A6B8C5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D9B498D6-F8D6-4F03-88FE-EED3707B2B4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3DBE731-4996-4524-B5B4-97F24FD4F38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6090597-13CE-41DF-9C22-C38A5E6D30F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DCDB582-B422-43AE-85FE-C21BB382D0C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E817A24-0657-4C8D-98BA-68508F0522B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4BDF543-2076-4B2E-B025-CBEAA1C6138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8CCAEB6-EF05-4CD5-8C75-99FA71C000F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21225D9-84B6-47BE-92E6-BF1DEEBFEC8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F3BA22B-939D-4DDD-A4DA-3CBB9E15509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3EA252F-47E6-447C-BC31-B334C282703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FC3CCA4-C2AB-49F3-8F5D-122F4013B3B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E78BB68-FA96-4E4D-B5B0-ED9DCF3A051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3F37D98-EA65-40A3-AF6B-332520F11E9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424B9AE9-8222-4F88-B073-D4AD92FCB2D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E49889B7-629C-4F2E-8051-14B27F716A9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7491448-26D7-4939-AD17-D008550EE3D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4E72F05-DB80-4F0A-91A1-83F2845C738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D9022B1-B663-439E-961E-78F6BAD407A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FACA6FB-67E7-42C4-B1DF-57AE467D02C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574F9E0-E04E-4661-9FA4-FDD527EC4FB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674925D-B4B4-47D7-9BAB-6F45D50D3E0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3A3D446-DC62-4912-B09A-288EFCA0AA0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A692090-997F-420C-9E31-31D873FCD72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35C1A15F-5F94-4061-90B0-6B8546524DC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C56E0EE-D99A-4639-AA03-AE6AFE86F34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F78F360-A169-4DD8-87D6-293F27AB21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E195420-AA59-4D12-8358-317B14103EC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0FC00C6-E476-4FBC-9140-4627A48AED2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CEC750E-EC86-46CD-AEDE-51C7D5FB868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E4B0C20-F9A9-4B6A-916C-900D76D776A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8FD91EC-AC70-444E-9397-6618FFBF3E1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EB27F82-1288-402F-B889-8C493CAE19D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7F9B6BA-1636-45A0-A034-5836572CC98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8890B41-CC8E-44CE-AE74-6E83A5F1EEB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82E3B060-284B-48BD-B3E2-8A7039E35BF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D35B638-2A82-4181-8C2F-E658F10D097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BC59555-F51E-48B8-BE4C-AA62B57717B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77A8A60C-1555-4A19-9091-79D9DDC1415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29244A4-CD25-4532-BF9E-8CD30888656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379794A-7712-4B32-A5B6-77A19E9A3C1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89ED8D8-57DA-459E-84B1-E9C8051DFFA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8B6AC7E-5B33-4DC1-8EC2-977517CAA8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D5B820F-C8DC-4E3B-AE49-B5304335CE5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942687A-ECA1-4C83-B6C5-54543A15CA1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AA36EA8-5664-45E1-9312-0A2C44FD272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E0F43E6-3E3D-4D05-BD29-8FC4A199911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18B2622-0C5E-411F-9FA0-DD67AD159CD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31995DB-5B23-42C5-883B-98983CB0804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2F62C83-E5E3-4A96-830F-3089B85C41A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9B35E61-6B2F-4A57-8826-5BE9DFA16A8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D526473-A13E-43FB-9FDD-681442E5A77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6ADA6701-D68F-402E-BB21-8D9FDF1729F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F103801-8783-491D-8FD8-69914B0466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CB9CC0A3-985F-476D-A4A1-3A1C7D25BD1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9755356-D086-4243-A42D-4F18B103E67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AFEEE09-6E56-4B9A-A0B6-07E7AB5FFB3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6DB63F3-B94A-4E6F-8DBD-59DB890411E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E7BED2DE-B366-4CEF-96D8-2BBD1DB96EE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D8C26AA-F2EA-46DC-929A-FBCF6CDC3F7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4D72B92-E3A1-4CE2-A3F5-1F7C5B33B86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A4BF688-AE5E-4E70-BCD9-45E47C16538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C00951F-7C0C-4B71-9F68-7A08A900250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15FF64B-BA0C-44FB-B8A2-02631C1C4F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F490F15-CDD9-41DD-AD35-322C2BDE977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D7D6066D-032F-44CE-9E50-1CBE1BEFB37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FA85AD4-E1EC-4F19-99BC-0BDCE94B1E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32A3490-EA47-4F52-A136-728750E1679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84B54A6-5422-4868-93AE-2AC39B8BBF5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25A5875-5E77-4C04-937A-85F86105996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7AFE4C8C-D0EA-4223-B134-FD3B0F86B72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2D56113-2951-44E4-A884-9DAA262AA1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4380E13-C006-4E3D-A872-87366C370B0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5FFE1A1-D196-4A07-8502-3EB3A3C7A1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57DB534-E97E-4BD7-B0A9-647B4336EF1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6DEFCE6-9B05-4760-A24A-1D87979B6BD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15E18F7-112F-461C-B156-5AD65E968F2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33C7118C-AACC-4EF6-A463-70395A535F5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18BBA9B-D25E-424C-AE25-3B52D10DC38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BC9F251-B388-4739-9843-33C15686D5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BBA81EE-F5E8-46E3-8DCD-3AED88A72B9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6385E2E-7D9C-4433-B281-4070FCF665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777B682-DD6F-459A-9A4B-C666C2908D6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49C2AC63-0DC7-4443-A017-89ED744230D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BDBA5B6E-A9C5-4BFE-83F5-2BD73472E4D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EC5538D1-38A4-4136-BCC6-93FC22000A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43E17C6C-680B-4446-B7E0-037BE7C4C68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42FE4FA4-86B3-4511-B875-AA592167ED9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A2C92E6E-A424-4BA9-A171-16F9B0A404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3E894BCA-98EE-480D-8EBD-0E68C97A076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9148E0-6668-4B99-8359-C2F9010CDB8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C4D7B23-AADB-4205-A104-555FD7BE6D2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BB43466-DAA7-4380-90AB-F11A9670E7A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B974CF4-EBD8-4572-AC67-E7FF8898D2F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CC265A7-7EE9-44F1-A276-F69797DF983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3A1FEDF5-33AE-47B7-AF5F-8EF1106F072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B13DF0C-BC83-48CC-9B39-B89F7D096FB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14B86C40-00FB-4BDD-B513-5F86F1E52AE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FC68A646-F856-4EDB-BFE3-B1C69B706C5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C9B8EC3F-6D57-4182-8E5A-B56F8326597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0801EA7-4C94-499A-83D2-82633AC87FB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B1A23E9D-38F0-490F-9FD0-6238B82D618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E106DD95-5C24-4660-888E-229EBE14FA6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DAE5075-DCAF-4FDB-B429-2E5499F38C6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85C7E916-8E8A-4496-B8B7-8F0CC72D3B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C4CF6C99-0012-4FA3-9430-6DC571D5603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D82E640F-E520-4439-8AA0-7E6AA62BA3C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11198FF4-79F0-4BD2-B411-B8B8DCCD017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F6704EC5-E6F7-443A-A3DF-78432E99555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4ABF05BD-8BC8-40E6-A432-B79FFC7DADC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9AAAA298-C8F2-4375-A073-133896AAF6B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48BB8871-AB9D-49F7-A251-ECFEA923460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A81C1928-54F9-4E6F-8997-0A054E24923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3F9F603-6FDF-4F35-8F21-BFA14B64D08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2E0D3FC5-DE29-49E0-B78B-BE8243D6F96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A4E47F1E-051B-4CED-844F-5C1B77AF85B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5E3DAAC-0D1F-454D-BA78-50989FCB2E5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23A7856-1DF9-4154-923B-3E823FD54E6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33A1680-74AD-4381-A0B1-B1B0B332DA3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DAEB8F-31DF-4877-9642-3344A7C314A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C9E6BD3C-D269-487B-94C8-08F23D34D45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4AE2BE15-DD74-4D83-AC87-F74B7E96F36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8A58399D-69D1-4BC3-9107-4D07C9682EF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63FFD8C4-1773-46CE-B1BA-4B7947E65BC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F28349E-4359-4B55-ABD3-EEE8C6453B3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A8B7CFF3-64C5-4C16-9784-186B11C1F49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8005FD3-18E4-49D1-B7AA-E997EAA867C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C5986437-8B95-44E9-8EDD-D677527901A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E31CF54D-6F6F-445A-8F47-D53A87F449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FB06206E-7777-4018-9BAF-B64716E20C1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028EC53-2671-4C6D-A01A-2F188FA397B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7965B51-B45B-42C3-8BB4-83C81D70BDA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81E00483-4B80-4DF9-8D60-D94EEDA429E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75557A02-424A-4F2C-AAC3-E50C65A000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FE164A4F-4953-403E-87ED-E39AF2541C7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F8F8FDAB-2856-4444-8787-CFDA3B43944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C75467A5-6AA7-49E7-B721-8B6F81DD75F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8E6A2FD9-7073-4CC1-9262-CBB785D1B7D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A1C071F7-7D83-4F7D-B6C3-42E9ABA7E8F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B7B32329-6387-489C-B639-A6D37094904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DD59439-2357-4983-8A32-7AACE29FDE0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D565158B-F965-43E8-A951-37FF65DAB72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42685D89-99F6-4997-B5EC-3E979E194BE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40BFFD4-4EC8-453E-861C-A9123664937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9307C7FA-38ED-4B52-9DEE-6D1AA33A768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8FD07042-5E9F-446C-A712-A6334620DDD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0FB08FD-189A-480F-987D-5222237276E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CBBAF6A6-1568-4E17-BE2E-459989CEEDA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23CA3033-A611-4BEE-9DF8-064BEE38023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37B792E8-FF23-4EF5-9664-EC17AD3ABAB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59BE26E7-59FC-4C05-82ED-D54F9BEDDCA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CCDDEA56-6256-4B9C-9D28-0DE8FD02B69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9A40F0E2-4936-4C1D-BC02-1F40EEF353E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50578408-071D-4BD0-A6E0-F19D33C2D47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24AB263-AA39-46F0-8BDE-8FCE6207081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D21ACB9F-40DE-4A59-ADB0-78924AE03C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AECE739B-DFCA-4906-BA50-0A9BF5FCE1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9D7B424-3584-4986-80F4-8386DCD323C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15311708-66ED-470D-8F12-715753B1FA5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69C64BF9-904C-4660-8408-B19AAD0EE3D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D86381D6-F0F5-4215-B7FD-9CDAA1650EE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2457C99E-0499-4A63-8D75-0D9EC673F52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2A038B8A-145E-477E-99A5-99DB365D105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D21FD3F6-C496-46F9-A82C-09F64F64A8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DC81FEEE-E8F6-40B0-8A11-6D5613BF5FA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12A114E5-A4ED-4A0D-9296-89219EBB2F8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1EEAFC04-FA46-4735-A158-B0046C7A079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4A07952B-D5B6-4DEB-9E7D-4CCEBD7E7A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BE12CA35-AB53-4C8B-9D50-AA59ED791D5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AA1D504-B500-4C29-ACCF-5E9ED0ED067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CB879C0F-0BE4-4D07-9EE6-0B3B2A2AE4F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718182E-D19A-43EB-82B8-DA555A4B395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50A28E61-28E8-4C05-A397-141A39E74FF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BF408AD-AD1E-4361-8B2F-76CA3488B3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87D8BCE3-4A1C-4B77-9694-C5CBB3F6D3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C02AD08D-C927-4D59-A04C-FEC41A62D23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63813CC7-A5EC-4911-B6B1-754C1CAF7E3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4B1F3B70-8FDE-4F8F-8D8C-CC46113E634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5CBF8B8A-94FE-47DC-8A0E-C684952B902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BA31E07E-E7D2-4A94-B6B5-59E2A7AA9F3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DDC90A-3C5C-4064-A68C-467C6867E71E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05CC44-288D-4F41-A4E8-46C1ABF14FCB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0D9CC3-C070-456F-B1A1-58E2D60E9BE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DC91FF-04EB-4D34-830D-64B43F26B33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0D05E8-2ABB-4955-8132-1E26D57CB3C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B3FCAFA-D7E8-4B83-A175-9EBA1DB0D77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76639BE-745A-4333-9E2C-66B4629BE46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F2C679-814B-4023-8DFD-58B69EE5A3C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CA2F1F3-3171-4173-A586-C8916302BC4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6502A9-10A8-4D8D-84FC-0995DBA4B23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828551-736C-4FB6-A715-FD9371F21DA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95406CB-9C46-4E23-A963-5664B92C27E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489D581-9199-489D-BEA3-4EA153FB743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AE54B0E-E638-4862-9085-90DE361191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767B978-F23D-4BA5-88C5-4F2816262A0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9977639-A86C-4EBB-9B68-C6850F42963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42137D0-C15A-4693-AE6A-37CF58DF687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D1FD4B9-C13D-4FD2-B427-152731B504D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0C6771B-9121-4CD1-9A74-E0F673F6A1C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7A1FEF7-9458-4F14-B905-DC691DD2D72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010DD4C-8391-4B66-895D-1816F919B2A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98CEDFD-FB95-44EA-BED5-E35DEA3EDAE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13031A8-8067-4102-A625-7654D837C26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E77D4B7-3BDB-4313-ACB3-70D27C8F520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C20B784-6812-492F-8E51-CD148397DB7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0172773-825F-47CD-AD2C-C5F6C2D31C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D6312A2-C7D6-4E6D-B0AA-6E840E1013C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317769E-A892-4B42-97C5-B61F476268F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717E22D-988B-4CAD-AD0E-AA060C268E2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37FFB79-AD12-44AC-9875-EF71EFD0D1D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507E35-437A-481E-A13C-981AD74FAA6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2008B57-6887-4570-BF3F-6374CB541C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CC8E7A8-D629-4B20-BF73-E61F58B94F5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35A501F-9E5A-4D5E-BEC1-3B12916385B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60B12BC-503A-450B-B45E-A4DED30C6BD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ED197D5-72F6-41AE-8E55-0BAE33208AA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217E67E-9D28-49D2-9935-7DB07174712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27A3495-ED1F-4090-847C-0C9C17E5EF6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DADDFFB-B111-4D6D-842D-D740688811E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91751FA-7382-4140-8E17-FFC871FF01D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C421875-EBEE-4780-96A9-56CD11EE0D5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1D7C093-9BEF-4C2E-BF38-0B45EEAD2F6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8C75DF3-6844-4D8F-9B0F-DF4B447B628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AB43C25-DCF1-420F-BFD1-5D4041067BD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48C15A6-4782-4004-BACA-49472B196F9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B1E2CEC-2E7F-4562-B1B6-6DE5D2807F3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56466F2-3A3E-4FAD-A2D7-4775CBA432C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5ABA18A-DC25-4AA2-ADE0-2B7073A8E02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7D8291A-46C2-4AA0-BB43-8E3BD8F3520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8E8A98A-69A5-4213-899C-008145EF094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4CA7395-9C3C-4E6C-AC06-02F3DF2148B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C0ADE51-F1FD-4516-BDC8-4ED1A0808DF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BCD8AB3-E4B2-435C-99B0-A02C0BED24D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D4FFDA0-F276-42AE-A345-4A00F23B329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B9674F4-998D-453A-B172-1A2D047BAF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82CB58D-7B59-4403-88C0-AFF389C4FEC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AF7C63-474F-446F-8C68-4F5A5FF47E8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33600B0-2031-4F26-966A-F9500CE1A7B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0FD58EC-D064-4E3A-B246-940597C95B5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231AFC9-0EE4-46B5-836A-E1203DC92F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BE107BB-A6E1-4036-9B4A-A5CA5126292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466B629-90C9-40E8-A8E9-C4399CBA6CF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8945289-FEBC-4262-A4B2-FF81C95DBD0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944C9AC-7853-4DD8-A8DA-C12381B8D7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DD176A9-0FB1-4500-9A8F-16992F2711A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1C5CA3C-36ED-431E-98A1-4155EF72095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2217812-6F6E-40CD-A49D-0FA33EB5653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47C41E6-B220-45AF-9C3D-D704FA7CA4C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672940F-9FAF-4D7C-BA7C-6192B8DAEE6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B62068B-FC37-40F9-AE2F-58757C692E2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379CF02-0931-4C9B-A91E-FD350FE4C40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6A90478-0CE1-40D0-8577-7ACDD39D445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F690C3A-C5FB-4849-9010-7AEEFBC0B64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6ED48A6-6431-4362-8356-8436A977F6B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A9E5CA-F216-4524-BEF4-0CFB546B372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A5B67C6-A3CF-4532-A7AC-BD3C610F663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E212A14-878D-4852-A1AB-774B8E1017E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0F0B91D-A799-4C53-BA20-92705E0CD19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53469C5-D784-4F8C-9157-1DFC6D7DCF8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B07048F-12DE-4307-AE5D-B75B1F42C23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60AD312-667B-48C3-98B4-8BF210D50C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33E450F-0ED3-4571-852B-63CA3673991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BFF4DE6-3624-4740-88D8-D395DE1F8F9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F787EEC-57D8-4EE6-9C78-BA616B66152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E091AE2-D232-4C03-B8AD-3E7499E8C48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2F222B9-05DE-464A-A26B-722E6098BB1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BDCC052-36A8-4828-8E8D-C8EE45B23DB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2E435F5-BB85-4024-BE3C-D524A2BEEEB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9287658-46B4-4519-95EF-8B9F8E244E3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F5B3244-4712-45F3-85F4-4E1DF1C20E2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0C0B1D3-DFF1-4CA8-B473-AA913B89BFF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3186F582-E5E9-4047-A1F7-68FB0F31893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54A9355-09CA-49EA-A7A1-33369BF257E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5863D71-9E6A-4A94-B237-544E130FC8A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7A64C76-34E0-447B-9E40-4B7C9509128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1CF11202-57B7-4156-AFD8-2E1E523B55F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76ED8ED-615B-4CDD-8424-27BCD32CD1C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A9F285B-0A2D-43C5-B05C-5E176998223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2545564-1992-4413-A08A-B889A00E0B0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B70AF8B-5528-4DDB-9004-77392A1B064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02C0CBA-849E-4BB0-9146-FD57F3F8986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FABDD204-0EF3-4854-9AC5-D87C612B3BF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B16AED0B-8A11-4DAB-A436-55C0005C6EA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FA61232-F648-40E3-9E73-F3F352B15D1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0531EE0-CE4E-47BC-92DB-FDE30DD375C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F645E14-CD2F-4178-B81D-8611E305CA0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DE462EC-2A97-419A-896A-084AC353A35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3896A24-DBD4-4D71-BB4F-164A62BE8B4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3108EA0-2025-4036-A574-E2A9F612F94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1DB79F3-1042-4C32-A3ED-5824E85269A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A76FB3C-0948-42BF-AD63-E6D554E2C69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B4129F6-1B3F-4091-84AC-00ABB20270A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B145965C-AD84-4427-943F-0677149D633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3C0E436E-D06B-404E-B544-E94E02A7E1C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CBFA220-6011-45BC-B9E8-B02DC1CB550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46BFE41-605C-4A80-A0D0-A2168BC2BE2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50F9D82-9623-47AE-876B-E0537CC46C9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5D537A6-AC20-41F9-8FF0-115EEEDD654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0BB6474-DC76-4422-BD53-816F0FABF6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DFCCA378-57FF-4561-814A-36B3FA9C57F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D1A9F7AE-3243-4F62-A1FE-DE462E6B9A4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1514BE7-BBED-44A7-8DE0-0752B46CF3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C3498B7-C1C7-4168-AD88-DF99E32157C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5FD668E-A552-473F-8F4A-A1D633707D8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D8BFE51-3F37-47DD-A449-34822A3ABDA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9C21D15A-DC02-4458-A802-4A2887266D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AD1DBD6-7766-4756-94F3-8674745FFA9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E2495C6-9412-49E2-8B8B-F33FFC644E4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A103EF99-7EE3-4A3F-9735-55097565309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BA1E5E65-1D12-4A4F-A45D-0D78E082E53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55B4A46D-9091-4D55-A182-A7772BB6EAE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274BBB5-D311-4C3F-94F2-8CA4C78AEB8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76A2D3E3-50E6-4B32-9DE8-6E108BC755F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3A251E4-247D-4157-B8EE-CBE945CCDA1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60C7DB2-4C5B-46F7-AF95-97ADDE10585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9F345DA7-FB0A-4D5D-9A4B-11B7078E77B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6F36FF0-E804-42C9-9B8F-BE6B02CD56A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E6BBBC1F-A234-4CD1-840E-9A058E6D437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D366358E-7237-461D-A036-DF18F693E9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76702DCF-5C61-4096-96F4-34C0129D3EF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181689F-ECB1-49B6-8A8F-B0129D67BC1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9F8790A8-681A-4EA7-AE4D-2956229BD1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77D1F02B-AE72-4F92-91CA-908342D6C67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B2714F4-8782-486E-89E0-64C9EA6841A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64555FAB-7E0D-4AAA-AD55-F3A5B34CDE7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1F240E0-0E82-4613-8556-DC47FF357D4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5957832-433F-48A4-9834-8096397AD9D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3D50365-5EF5-46D7-A838-6EAE9D8FE28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7A91745-2CD9-43B4-861D-A38B0A5ADB3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88EFC541-FCDC-4628-ACD6-8C74270D2B1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FC83EF4B-59B2-4E10-B142-9BE7FFC7C8B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6BD5A4-1B60-4AE7-8B80-5FF1DB4715AE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23622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90FAB7-98B7-4361-BCEE-8D506262B66A}"/>
            </a:ext>
          </a:extLst>
        </xdr:cNvPr>
        <xdr:cNvSpPr txBox="1"/>
      </xdr:nvSpPr>
      <xdr:spPr>
        <a:xfrm>
          <a:off x="4258408" y="1589942"/>
          <a:ext cx="223622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FEA4E6-747A-48C7-87CF-EE4F92C4F47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1D43E4-BACC-411E-BACB-D2DA6D0AA6C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8AB92E-4F3D-47A3-8598-39D71BF5203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68120C-69C0-4386-9FB2-D1795304984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E10485-EF9B-4293-9E9E-83AB215CB58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9CE4B0-9476-424E-B58F-0FBBA01A8EA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4B80AD-9B4A-4D5E-89D0-AF18905500B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26E867B-6D4B-41F8-B447-A036B8C859F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BC2DFCB-6992-4DBA-BE78-426909404FF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6464E13-F741-4606-BC17-CE1408906F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C0AB909-52AF-425B-B7FF-56235DE35AA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FE435C8-4FA8-4A62-9DAF-6313C102233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3C3D558-2D1C-47D9-8E4D-83A991571BA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F23B8CA-65E5-408E-BF1C-62864030BBF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170F2A4-8C86-4793-A714-BA423EA14BD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D352944-F64B-4B22-858E-FEDF9E615D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84658B1-4502-4ED4-A88B-24B5E15C2E2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A5AC40C-96A7-4F8B-B0B2-6F22B642857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12DEC21-4383-4C42-983C-C110F582C59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541BF9F-32FD-4316-8076-228DBE33F03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94B2CF9-81C9-407D-9BAC-C0C66FA8848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E523963-1E60-4804-8E8F-992C5BB3CEC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0D332C6-BD2A-4557-B5D2-5BD37FAA52F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3796FDE-4086-447B-B54C-1F70440F990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70420C4-A4BA-4A3A-8034-80C10B407AF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5FF65F-7349-4F83-BDAF-44AE339DBA4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C42CC84-2FEF-44E8-85E1-47495600D6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EB23DEA-213F-49FC-AB5E-EECC6107D37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E962973-EEDC-4FE1-9BE5-E8B8C42470E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B26FFA8-D278-417F-B4AE-A7745603D4D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BA89A55-6718-4F0F-A371-B1FD96D3FEA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7A0A172-3035-48EF-AF3C-197E12066FE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D6150C6-4F7F-4AAC-BF86-F009AB489A1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325FFB4-DE60-4302-8D74-DF603075336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3F865FC-B8CD-4097-ABF1-DF0FE357520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700ED56-3BAF-454C-9599-A9559627C8F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B576A8D-7609-4A9D-9E4F-F801BA74604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C2EC068-8797-43A0-A8E1-02EBF64F09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DA6C549-B0EE-4A2C-8E94-04878ACCF8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07D5D11-EAD6-4E7D-A2BA-2151259ABB7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D25FAD5-B327-4634-9BF2-1C998BF9320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D6492BF-F772-4A24-8EDD-E6092E79B52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00926B7-C87D-4AD4-A10A-A69DD7B6AFC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35178FF-3A82-4830-B8B1-213F990C77B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EEA1715-2F86-4147-AC02-26BB868BE97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11D5324-D5D2-4349-978B-1861B0AAFD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98CEB31-DA73-4B67-8C3D-D4DAAB828DF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7DE7B8E-6C8C-4AA0-B053-01883A8CC4B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31CBA3D-74BA-4738-BA2C-38B594B789C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A0DD346-C065-46E7-AAA7-2BB2E6454C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CA1C32E-4D38-41DB-AE97-D97CE2803A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6852CA5-E491-44BE-B06A-0A239884C9D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6DA506C-5633-40EE-82FA-E9C89B9AA55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FC1B669-7B35-4767-8D4A-85F32F084FE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7588612-2D44-4C15-A8E5-A9C07AA64FB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89E4944-6132-4861-8300-2CC03F73975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BDACAD1-F583-4AFF-AA8B-8EA1F8D57E5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98E6825-E14A-448B-9CAA-79A1FB6E71D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A76ACEA-3B83-4FC4-9B65-94383F051E6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5915E24-B20F-4627-AC0A-ECDC5C44BD0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116B643-5993-431E-B185-5FF8A6C1D50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ECDDA7A-A5CE-48E4-8D95-5C0D58AFBBB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FFFE893-7CDD-4757-98E9-849BA7FFA88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9A8625-E7DE-447D-A964-14CE2372A0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E0EDEB3-16DE-4614-82B2-202E947F1D0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1F648D7-ECD1-4AAB-B817-A3E23DD0FEB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067BF28-D099-44AB-9E3F-7894EDD1AA3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30F2AE8-330D-4790-8546-97F1FC6A9C0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32065D5-A902-4D20-AAB8-A6F94F089AD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A319B6D-C23B-4FA0-83AF-155A6B52FC4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BD1CA38-E898-436D-BCEA-E7490ACAB58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1CFED76-789C-4886-8BBA-6FB80063ED4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DBD61E9-A59E-4639-9422-636FE2662FF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0C6F9EA-53E6-446E-B297-7BA2BFC5CCD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9EC9D82-DC6B-4F52-A78A-EF3CE42195A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2F6EEA8-439F-4030-B6BB-7DCB787C36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1606B62-680D-41A4-B25F-F2AFDD87BC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0CA0DB-9B4E-4F5F-BBF7-C153C8D2019A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A03ED1-C325-489B-AF4D-F37FE7514ECE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D9F049-0E59-4956-BA7A-B848DD4288E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2CBBD1-9FBE-4329-8D11-F9A4DE4990B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DB8B11-B381-40B7-BA09-C47D7915C1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07B949-95B9-4B6F-997D-CF8B0A7E235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B2F943C-7BDC-4B7B-9E3C-739FCBA2A0F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0965D4-2EF9-4CC7-A12F-23EF48DD35B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EF3C252-29B5-482A-B150-B088179C6F6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0FCCEC-5025-4EF6-AA62-606960BC526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A13C136-F110-4377-9072-0BE199F5E0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FA532A3-C097-4C84-8325-565922D091B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2DC20DF-B959-4079-B8B6-8C0CB332E8E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F67858-7B91-4F1E-966A-BDB201D4D2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D292A1E-8A3A-4415-AAF9-D66F3C42D67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93A515F-6769-4633-8E6D-4A9AA7CF04A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E2CFAE9-E383-4E55-BB77-8125A815EF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CFE18D1-A477-4F81-87AE-AAE1282CA5E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87AC047-085F-46EE-9456-8130760C5C9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DA39A8C-4F97-40FE-BA36-594DF0C666C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D596E27-6B7F-424B-9E96-216824CE892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BF4B1EF-19FE-4E1D-A2CD-5D2C4026FF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30DAD78-064D-4E80-8C7A-FA6CBCA90F0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AF1D400-3817-4FB0-990B-5BFC109DC9C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BFE1240-BFA0-4926-856C-B217A5D39C7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28C536F-D6A5-477F-A5B2-65BCE590A80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469F712-3567-43E4-92DA-2E525F90352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55F0A31-C44F-4121-80F5-D2EDE01E8E3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DCD8BCF-7C55-4C9D-8419-918183E22C7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446721B-6D40-4379-A72B-1EFCF28B51C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A27D97F-52B6-46F4-81CE-B47BC5B40F3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A2D866F-906C-4D82-BEEB-81A4A5BE872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2C2EE67-7833-497A-8883-EA152351AA8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B3628FA-81C8-41BB-A614-772FF11B60E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8B03EC0-8E21-4E22-AAB0-77677760568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76C28F8-DCDD-4B0F-AD86-DCA4A84A3A2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2496C7-C68D-4915-A935-0C3DF82C29B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4CACA3-DCAD-440B-B6AA-32BBA847235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CDB575-9398-44ED-939D-F80C90F93D8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5E62AD-5340-4B54-869B-50FE5C380A6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51A3B3-2AFC-4EF6-936E-BD2E367C12C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3C225E-024C-442F-948A-245AEFA0AA2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6A69456-BBEE-44B9-B818-18D691C5400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3C5E9F-EFC8-4F78-B298-B2710EB7E31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E795E61-A7FB-43D4-AA62-DD456AF5268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BC89268-082E-435C-872E-9B7730C07EF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EB20EA1-46E4-4D5F-A109-86AC7985BD9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F1E7D02-C4C1-4EE2-B529-E5ACDF2649D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C84FBB6-DAD7-4FCE-9275-08DB96E4517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559A529-5840-4389-9A56-534DA61AE4D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FEAF7BC-3549-401B-B7B2-18BEB888CE8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F8B94BF-7959-4BC4-A875-43D08552EE1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6E8D8A7-65BA-4DBB-8935-44A0C61A17F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424F29D-62B9-479D-9DE4-83975D5887B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8635A73-B3B0-4D96-96E1-A6C9EBE8C10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27EBCE-7536-4DB2-AAF3-49110C8DEB1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74A27AA-12AA-4D30-89AF-BC16D0321F5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774F302-ACA2-4AD5-A53A-27E1FB90150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3996291-F68A-435D-9EB2-901008529AB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A067F4B-4432-4260-B42C-14E322EEF4F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A678BDA-849E-4F42-9444-88726C91B6C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BE142DD-5378-435B-A4E0-18E3B6E8294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3A10F96-48F1-4539-BC5C-1E398422E0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9FD50E4-1C40-4D75-89C6-F23E734DE81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6FFCACA-4AAB-4DDF-AD78-F493E3A9B7E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BFA1D2A-D582-4D7A-8884-E3BDF6DD676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B7B316F-1B10-4477-A874-E6ED0D59C52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6D117B7-A776-4B7F-9612-0D244F75012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888B752-F29A-4706-B2A3-ECD105FDF1B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BB34A33-28F1-4BAD-9B29-28E3F237692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E8C78C-74BC-431C-9301-9AD9D51432A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57866B2-6E8E-421E-8B7A-DA6AD3EB1DB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3910E43-1CAC-4630-87A8-1ECE6778A4F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E17B914-B490-4F9A-A061-AEE161A5324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288BCA2-50BB-4103-BB3C-F2E7790AB62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2F445E7-0366-4318-8B91-375827C0F8E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33625A9-6CD0-4105-9E24-248C8D7CA9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25D3DC-E497-485C-8177-9842378BD1A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DDB845F-5004-4B92-86B4-00203A5FBB8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289FB10-6632-42D4-83F8-3DED3BAF6DE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4264A79-D813-4CF8-A145-21A4B6975C9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162B0F6-DE6F-416A-BC7D-574F7E6B2A2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0EE675C-C95D-427E-AD60-E5FBA43FCE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A53F5C8-C5E2-44EB-8F69-FF4037FDFE5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41C6F16-072C-4802-B031-3A279A1BF98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0C10D80-3345-4666-97BD-61BDB186DF3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EF7AF3B-F325-4B49-9C45-B4693C54F47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602114F-E58D-4DAB-B504-4BD01CA241A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FC4F7B1-EBC7-4420-8C26-8CAC21CF71A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7CBBCE8-4458-430C-99E4-2012DCB0FDE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E20936A-0576-4021-BC48-945C8EC95F9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6565297-1DD2-4452-929E-26D14DE972D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C2F43E7-AF15-45F4-B5B6-4CBFF960ABE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1A8832E-1500-4221-9CA5-470FBA995AE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984CF0F-5443-4277-98E1-88A0C6D885C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FF6214D-BD8D-43DC-86C3-45D2AF7489A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8EFA1E36-4BB5-4B0F-B1B7-A083EC920CF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98D51FE-110F-4935-A9D8-9B07B36D171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4752173-2D15-4768-91B7-02AF03F3F5E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644F324-47E7-400E-B9EA-47B807103AD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EE474DE-CFE8-4ABD-86B6-71D72C001F6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BEA4D12-E76F-4CD0-BB9F-0C1A6D0B7D1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CCB2D95-DF51-4787-836B-4E3F74A239B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35CE607-FAF8-47E2-A9E7-E722DADAD73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C93E659-9847-4E4E-A532-C1632370B9B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D7863C2-97B2-4ABA-B797-C38BD797201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8140B68-4980-4AB5-9D8C-B94FFACC829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35AEB8E-77F9-420C-AC17-C2F2F6C1390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66E2EDE-A883-4E3C-90EB-E4115AE73B2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F83244E-DA7D-4C25-890D-622DE28503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49C3D49-4BE5-4BEC-BB27-54F682AFDEF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E06A0E1-7443-4B11-A668-2E4C581CEFB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8FE862D-08B4-4A64-9785-7F0B29B8119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A6E109F4-95EC-4771-B83D-0530670A3A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87438FC-1E32-44F3-B589-99408FADFB6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12C9DFA-B528-474A-BD35-F117FE6C085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6FFF82AA-BE21-4442-8CD6-6033DAB5C23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EDED7DF-674F-4E34-BCEE-3BC8697CFA6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54A1AD7-7A53-4566-BF93-64AD1B13F52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41C3AD1-4BA0-4027-975C-D7036D13FCE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C08D8BE-9E9E-4FE6-B161-DBCD559BB1F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9B64283-839C-4AE1-8E7E-8BD5BCC276C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CB881555-D7C3-4582-8651-662C64CE18E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D4639A3-1EC3-40CD-827D-6FD89C5F6A7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1EDC09A-2118-40AE-B3FE-77B8F8BCAAC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B88A7C1-E8B4-43BB-B87C-354D385909A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C72CDFA-94D4-4121-BEF1-7EEF4FC0A4E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2579F64-096B-45F9-B617-6342812CA0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34DB898-4DA5-455E-8AB1-5CAE5C236EE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83B6F95-3280-4F71-B43F-D91D9D051C1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EABEB97-6274-4FEA-B3F8-36DDC19C02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852E21E-3F39-4A14-9DA2-66F145D893D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CF22C36-12F4-4215-BF51-6180C78BBE2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777BCE6-E5FA-447E-A138-535E93FD5DD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7A73C0D-A5EC-4DD7-A4FD-4A8C18A6A38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457E84C-8F98-4AFC-B956-5EE7BE81740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99657F00-FC02-493C-B5C8-96A53E78F5F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E9EF088-7A4C-4EF0-A41C-320997A3615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D286E19-C433-4011-8DE7-ABB3CAE7485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3138A4D-A91C-4DCE-9633-4FBA60E4D23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B312180-9635-4DE0-965E-42E84905215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EBFB821-1A59-4D04-805E-7CD858B0419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8344769-C2DC-4ADB-BFB0-0AEFF5EB1A2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78A7557-BF97-4354-869A-34515794E77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FB159F5E-F753-40B5-92F9-47497126983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BABF6196-82C3-4B16-A70A-A1F7CC9CB21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B4413FD-394F-4FB9-B9EC-405C957277B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8E885D7-622F-47EC-ACB6-83385FDA8FF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87224DD-C710-4DFD-BDB0-2131752B001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0707EF8-0B19-4D44-A3D6-F952D606437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569B189-339A-43CE-B606-3EC30CC925B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E3FD5DD-27A5-49A3-9C30-24BAECBF87F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3E87CC9-5C69-4737-B3BC-C57601D6D63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892761C6-E3A1-4E5A-95F9-5DDBA3CE75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D1A9E76-5A8F-40D3-8C89-D288AD7B3EA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F01FFAE-81C6-455E-A332-F26EDB7B153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15BCDF06-8922-4474-84F9-D12CEEC77E6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08ECC8E-F9F4-4125-A377-B3C0202A729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C63C1F-7F40-4C18-A5A9-32C327813C3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9ED86F7-E456-464B-A951-0E4DCBA505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043E7B9-CE5B-4E9E-9A50-9525BD17796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BDFF8F5-6691-47DB-8897-31258CD3643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5D500EB-B833-4A5F-9310-FEAAC1A3763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B0B614F-7DCC-4413-A074-542A1E98998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D46D9EA-3C9D-4C5D-B48D-7B60BEBB646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E1CA3C6-F228-44E7-85D7-9F2BC125290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0F2069C-9955-42AF-B759-E78F5B70EAF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AB9203F-0B59-4C66-89FD-018A36DFD5F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87A3176-DC8A-4C69-A634-723F97493D7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E86B3DA3-052A-45CD-BF90-3464220FCA9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866BEA1-CA50-452B-BC99-BDD321923DB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972C9F3-C4C8-4F78-B060-BC2FBBDD09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B76E7F4-FDBC-49E2-82EF-7C1C8A97194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FD79BB6B-D996-4EB0-B042-E9E0988E25E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5ACE751-DAD1-4F17-8EB7-153FE07426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5C741AC-38C7-4739-93B4-C44D8A6FA49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F9C72B3-3546-41DC-A74F-63D17556B55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458F89D-73FB-4666-9D43-098D91E5BD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6CCABD7-39E7-4B48-9C1C-29A6E77E96C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F3F9D2DD-5173-4F1B-BF3E-A142EB04C2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216FE951-5700-4F7D-99D5-0B673219C85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96FF0761-D762-42B3-A61C-1FBA391916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88EDC515-FD16-4293-8A1B-12AD061DCF2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39E9C8-9593-40C5-BC65-8EDDA45E80BB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1BA2E1-8EF2-482D-9AC1-440CC3B1746F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9A6B7B-A7CC-428D-A3B7-9DD0C275B56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E056BE-215D-402E-98C1-B27C019FE19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37070A8-01D2-4095-8A94-DE6F4B75E2D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1F6871-9C3A-408F-B76D-01E44A57F5F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01B2CFF-9734-43A5-9B32-7BE7F6D16D9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679CA7-FC77-4258-B4CD-938DD86AE02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C557EE6-2F21-4BC2-89E7-013A877D678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246045F-C4D8-47CB-8163-1D735524DBB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7E03D05-4DF2-45E0-99F7-0A0D9AAE7AF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DEB8579-1DA6-488A-A3E9-71C1EF9F8BE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1194B18-85B9-477B-A47E-55FDFB04837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661F60-CD9D-4BE6-A3A1-164698F62C1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C83C10-C513-438E-AA59-CD1E186E5C9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075E44-150A-4BFA-A4AB-6D6091EB5A7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3A0306B-07A7-4413-B389-ED95E4463C7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53E80E9-EC20-415B-B980-31492EC6B73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0967965-9CDD-4350-B438-DDC9368E3AB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7657CEE-E6FD-4EC6-ADAA-EB965F47B82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BEE1AE2-395A-40A6-9558-E9086C64355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55CEF94-4172-4BCD-8D0C-18CB541E6CB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755FED7-D88F-4766-8D9D-8FE5B344E47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1B93808-CD9B-44EB-A804-853CA82E031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C277D19-480B-43B8-8F75-4BAB69A30B8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791B63E-2369-4B98-A6C3-6B46AD8DA40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8D672AD-1DE9-4EC2-8B07-8ADC4A853A4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292AE73-3CA7-4F11-8B8B-BAD3C844092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03F9AE8-F454-41F4-836B-D5BCEC43912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D6ABDC9-CBD9-40D2-BD3C-F2AB90846EF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FC08D15-DCB5-468D-93E2-B7A7454C633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516B4A5-59E8-4ABE-A62D-3901D0DD4C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15248D5-5DFB-4875-A809-84CB634D490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E2315F8-370B-4B65-A937-AE3837EC342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6FBBE8F-7F32-478B-B8BE-EFF7BEC7439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413BE3E-F1B5-417A-8626-94EC97F80A6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2003A61-D922-491A-A650-B2CEB15313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9E7930E-AAAE-4673-B9D4-B55492E628D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377D058-F82F-4D75-88EB-265869A500C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1A9D8E4-5AD1-4967-8AE5-8EDC33ED90E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A4A1B19-1120-430A-9397-37CF57D762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B3C7DE6-5799-4B93-BC7A-A4108FDC24C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8481CAC-4AC2-4794-8EF0-58EF047A755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6169F7C-A226-4D46-BED2-C190BC5E27C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D4F7513-C67B-418C-A503-731D0E7445E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C39C346-3A89-47EA-968A-A59B52C73D8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E2A612F-C496-40E5-B43A-54F23D993B0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513C7EB-4150-4C3E-B695-150C2597F69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3D4CA6E-E2BF-4C99-A31E-93A62753A9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24B8581-6649-49D1-A90A-E648377D056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F04299-E07C-4026-9DE3-AEAEE559B58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7F8ACC1-D597-4806-A964-BAB88B00C1F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FB6DAC3-D755-4C81-A675-BD4D6D1CE4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B97B40F-439B-4033-99F3-6E0A38A402F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05C58E3-5B1E-4185-9751-3913B0A2CDD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7C0C57D-F389-4566-BAF0-D4D64B5EA0A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974D1A7-BADF-454E-BF7E-9FBADB62AE1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6703317-1958-48ED-8932-3FD8DF13E0C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DE8552A-3B4E-46EB-9CAC-3B5933C2A40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6C9132D-E580-4E89-BA35-50B425ECAB8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44115C7-5A79-40C3-B5A5-A2BACBC00F4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FAB6A03-E39C-4652-8D36-625EF64AD0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493FC70-C2A7-4C24-9286-4B0ECD2FBC4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6F05A90-7474-4245-822E-129E897A58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E6C69F2-FC88-487C-B412-FE255B9B17E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DBE1EAA-2B8B-4640-94B4-D9417BF1CFE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28F083E-80CA-4A9E-B320-AA028AC4D30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179AAB7-4ACC-493F-B3A1-23D1DDD5EF8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1949DC7-DF2A-4E9C-9977-6531EEEBB00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5EBDAB5-034A-46FF-A6E2-7A48CAED0CE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F3C1BF5-75DF-4D00-9359-298D5697C43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8D92A8C-499F-40C7-B11D-8F757D5DC43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DABCB19-A805-410F-93E4-A01C3363ABC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94C2065-190C-4B1C-829E-13EA7D948C5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2A2B2D2-AE58-4917-B1B1-67E86AFA671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C6D9717-CBF7-4413-A429-087D05F9648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08B9A9-64B3-4E63-BA22-42579C31271C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8594A5-1C8A-41BD-A8FA-74A2C38B570F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6C1040-D6DC-45DB-8218-AAB2B018C82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EFD755-82B3-4651-9B7A-584919006CD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B44726-F561-44A6-8D67-4716F639038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AC8C6E2-DCF5-4920-8D46-F01F83B9E20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1D6C3B-0941-4A95-9367-260E1B50092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A12182-8D46-4A9B-9C35-50F985299A5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4A0F512-15E1-4D8C-A989-D5B238411DD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D265517-0706-49C3-84E3-317300F5E74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8E1AD14-0C0C-40BC-844E-0BD2FF85CA7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10195EA-D8D9-4ED5-AAF8-E6801D8FCF3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57F0CB0-CE91-4A5D-9348-D3C760793A4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507E477-2174-417D-8381-D53A837313B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4414B34-82A9-4E28-A7BF-2D13AF7A1D9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C14CFBB-F529-434A-A0F8-A1F0A207393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2C18BBF-D234-4100-BBAD-31BCAC0572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50375A2-0862-4E6F-B1C9-306F00D2D76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6DB947-2359-44A0-8A94-E59AB2999E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A8E8F3C-53B9-417C-950B-804CA3FD392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087546B-66D7-4D6A-93E5-2935492621D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2026AEF-5697-4F7A-8D82-BB035149EBA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32E81BB-AB5F-4E9E-8A5F-89187000AC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9AABDE4-237B-4167-B7A0-2B1EE03C87B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4AE7F02-A86B-4B83-B874-84F6A11D1F9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CCD7B25-6512-4922-97FA-2F8D9D3D3CF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299C6D4-82B7-42A2-850F-D638035B543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5566CC5-D4AF-4041-8CE9-040FC8CA15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F9D924-FA39-49D4-9514-F429538D3674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A60F5A-480D-4A88-96AC-CCBEF6CBA44C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C59EED-AB9C-43C4-9D32-41456328C35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97900A-B1A7-4018-AAEE-175C3B4364B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C26920-9FFF-4792-B824-719DF151A8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CDB3BE-792C-44C4-9412-3A2334F2BC8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334DD5B-4CC3-4690-A7F1-40C0FEAC3FB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0B9AF5-9C88-4F78-B9FF-7164BB360D7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026058-96FF-4B53-94FD-A6C9E02F3D9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1F3C4B-5288-439A-8E1A-E1BC02303C4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FDF4687-F5F7-479C-9095-89E6B87642C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F92AE3-E888-4CA4-B6DC-3B004189085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444998D-F003-4416-BE08-E6C4B87BB4F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6556CA9-36DA-42B7-BBF3-DB99D369BFF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2FB231-7B7D-4678-B518-30D96EB23515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73A048-85BF-493A-8A33-FF57AA5A031D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884F9C-0FBE-40D1-AEA4-58227A6F81D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067319-CE0D-4494-B50E-99587E100C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203FE8F-D2BE-4AAD-AC54-1BAE4E996F9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138A2A6-41BC-4E32-B152-340BD230F23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24463A-C48F-41C6-8925-2D6C1827563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AF25302-3F7D-4047-9E22-66C0D2CA29E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D408980-1FCF-447F-9CBF-018ECE126C8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E8E9257-A23F-4378-B5ED-51F40EE4751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C934FAA-C7B2-414D-B2A3-EFF4FE1B1DF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81D7C71-E2A0-4716-941B-9062D169477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71D9AC4-68B6-4D51-83B5-569B24F8A18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7C7B731-4666-4263-A1D4-E8F61D84103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93E595E-3AB2-486C-B5F8-5D2DDBA0D30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2805B8A-5985-4628-A2B9-1B30BB34179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6F2A657-751D-4F63-A9F2-BD7D6CA0618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BBBC3F2-4DB0-4641-BA85-2411465E99D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BCE5670-1E48-4FB0-957E-4AD236EA522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C64DE11-65CA-45AB-BEA9-CFCC173B830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873B464-BE76-4D72-8563-E6D5DDB8716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428AC13-2A99-4C8D-9D3F-D1E87B1A1E6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14DA9BB-C2DB-478E-8F04-108CCED0A6B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B6491D6-7F15-4B6C-B2F0-99FB832D1B7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FBE5912-1C22-451D-B810-7EF472BCBEE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E135384-6D3F-4A00-A47E-70B69076FA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1CA242C-60D4-40ED-8147-B61399BA290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2E7922F-4932-4EF3-82A7-77C0A88E6AB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A286CA4-7FB8-4822-80E0-48041DF9BEB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97B9D94-5A29-4AE7-9D22-A08C9AD4B3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E66568C-EAD7-4A5A-BD99-CBB3191552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598B162-8616-42EF-9353-E176D2FFFE1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4806629-110D-49CA-A440-1F1E670ECFB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5DCE0F0-81D1-4920-B891-3C8505647E5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B185E64-A5BE-40BD-A9DB-C45950C852A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1E02023-076F-47BB-8040-671A7DCD319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09F1F2D-FB52-44A0-B4C5-0ADFF9EC9891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1A83902-9572-42FE-BD6E-FBA6C1B601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F224218-6D11-44F0-8F4D-038105F6118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3B6EE8-F83C-42B1-9FD3-5A4854AD259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02DF12D-3EA2-48C6-9F95-1ADF0728FC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F8E195C-D2BD-4D76-87CE-762E5E74F71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188E2FE-6C3E-49DE-9F78-338561DE805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1AB5965-F297-4EE1-A8D0-6A69246E9B6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6C1C731-17E2-426C-8CC5-DC12509DFBC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6277E27-6ECE-4EAC-8B8A-8899AC879A5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D2E2BBC-FF65-4390-85DD-4ACC19AB4CE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D57594F-9B6E-44F6-B8A0-F3A23BEFBE6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288B1D3-D80D-46AA-903E-8637EA85CC6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C489D8A-8FEF-4396-AD9E-1CE459510B5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0CA0602-83C4-4C75-837F-753FA52E800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5A98DAE-128C-4717-BD56-B0AC62E7DE2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7B4BEEE-0EB4-493E-B7DE-D501BC862BA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3864246-B23D-4806-AB98-16606C51FE0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11D7C0-291B-42EE-B17F-10B9C2AB8C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AEE247B-E58D-4FE6-8802-F59463C79B6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F895DDF-C4A6-458F-AAD7-D7F718852C8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6B16383-6A2A-4DAE-A8D8-5475BFC70F7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8C4D237-925F-415D-9DE7-01F91194938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99774A2-43F3-48EB-8559-98A0865216B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3A5407E-C4E6-47AB-B80C-6294B0D44A2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353B4FD-74D9-497A-9366-72264CA71D1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178DCAB-8D06-4A62-BC9A-D76E5D40438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2F2CEE0-93EB-44A2-B29E-696D8A1C6D0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A41F9C3-89B4-45DA-ACF6-E35521C4FF5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603394D-DDD9-4F21-A3E8-E04A9D16BB0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E9785D8-0657-4865-A97D-04BF2F6D006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DC09785-65BB-4897-B2EF-15655FCA206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9274173-58C3-44C7-A5AF-A1FCFCF08FA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665BA05B-A1C4-40A3-BDDF-B8FBB874539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7E58F24-E36B-49B5-A73B-49B352AB528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66E9168-A770-4E28-A32F-9E5B7BE472A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8A03934-FB2A-4F57-A88F-EF67529DC50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A001F2A-9123-4B12-8528-C4C98C3321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801E0C4-ADC5-45F2-88FC-CE3A2DE42F9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9CFB1FF-C60A-47E1-8DD3-BD3CDCC0E03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378E801-B230-4BC4-A066-781C0DA3533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35DCFC3-3951-4FEA-BEEA-D32049BE643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8C55209-FA23-43FD-B0A9-6C12D9AE3EA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F21CB8B-2535-46C7-826C-91DFEFAD583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C626C02-817C-4235-B7D0-D0ABA30DCBC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A74410A-AB3C-4570-A650-F20C970625F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2CBC0B2-95E3-424B-BC66-E2855112DFB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219EC90F-4902-43D7-AF82-F039D20D9E9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E14279AE-AE04-4696-A8EC-073186E21F7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3AC4650-FADC-4B08-A23B-A391D98657C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2060EB6B-5BB9-492D-948D-0925EC776D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8ED12F7-6AA0-4305-AF20-456797506C8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8411856-738F-41C1-B214-BD3B95B4F82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5F1B223-7898-4F4A-BC02-F19D647F552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8543D3F-BFE9-4038-9105-E2A8AF7230C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49D47D3-EF68-4217-A9F3-95B6C6413B2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CFDD505-67EF-4807-B43E-93C8342319E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CBB402F-B69C-4094-8960-A4DC3BD8278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CE2F130-39A2-4DF8-8A34-4782ACC32AC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6588F54A-87DE-48FD-939E-BD402B15FE9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4B232EA-ED26-4BE2-8E16-E97CAED34FA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3E87758F-DE71-4EC8-AE29-D4739F9C83C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B1EB0E73-EA4D-471C-81CC-CFEC01480A8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E050440-73A7-482D-AE52-386FF0522AE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133E40C4-4425-483E-AAD6-322E666152A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4D05B16-DCAC-4F82-AB51-7AF16748718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BD8A954-5586-4D9C-87A1-B36328FAFEE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99A8FFF-ABDA-440D-9E98-18D021FC5EE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2E003D2-9FCE-4043-AF10-9A5CE4C616E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0D03B5B-8CAE-4259-9C45-756931E4FD8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B2AABE2-1732-4B5B-8B53-C42B80A1F3D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978E036-5DD3-4BD3-8043-664D4E4D49A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13BE23F-FEDF-4FEF-BC14-9709090C4B4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D06E0853-1F21-47D9-A4B1-F94F936C5EF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6C2370F-A2F3-4308-A156-DDA82C38D64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D2294135-22CD-424B-BA82-4B1D652A223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167541A-1E5D-4470-92F9-A3AB16823EC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F0B67625-58BE-40EE-BDFE-819D5892C87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F7E15DE1-61CA-45C7-96BF-CE6E35BA364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56B819A5-DF00-4937-A7DA-F4FB0317227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139E84CC-E2CD-48FE-A583-AF47D746F62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9ED3AD4-87B2-4294-A488-EE54E17B36E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C24744C-E681-4A63-BF6A-5B90057FF07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DC402C8-A61C-4594-ADFC-E279D4B5AAF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06BC575-E73A-4C85-AE1E-7E6DC70900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7F6B7F0-9952-4565-AE60-9364B130100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B54F964-8633-4963-BFBF-FEDEBB7BC5B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38503ED2-F5A1-4F0D-994C-F3F735127CA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50745DA-E364-45CF-9C3C-FC2A0368C27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3BE026E-C46A-4AEF-9308-7937BE5F341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BD12A124-18D0-4CE5-B054-6DD52BF2DAB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19B9A2F-C239-4AAC-A88E-53D90ED0A7C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1821DA6-79C2-47B2-BDB0-80DCD340198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C73CDAE-F77C-4E00-B9B9-878CE6D6DB4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307E0212-BAAC-4D63-BF59-3BDB28F25F1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777146E1-62EE-4194-B880-6565B1C5ED00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57C289BF-AD50-4FE2-8DE1-358F8A14E2F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D7BE452-B9C7-46FB-B608-62626D017CF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5A339DC-9F58-4119-A8A5-7043BCCA2A4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5DEBE152-456F-4A8F-8FB1-E9795D58D0E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B1D29BF-3799-455A-AFE5-FEBDB4FA228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7B0119AF-A607-47A9-9B65-88C3F910D22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98CE6A81-76F4-4C46-A3FA-66527B4D609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92B4D99-8F41-46CC-95D3-28B1664BA78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54745993-D3F4-4EBB-8CF8-A6A3DF82FD2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F4225586-27C1-4847-8D23-7C8D4A7AC0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1CA8D7D-DA16-4926-9BC0-43DA588AD4F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CE06FB63-688D-4B3F-8062-242BC6E00A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3D894EC1-B40A-4CB2-AC31-3CEB1F7749E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45197D48-458C-45A1-8C26-E23BA192EE0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88C89DF-8D30-4AAD-9026-E82A21B0ABC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73EA177-413C-474F-A301-ED717033E86E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92409BA-C206-4A0E-99B5-5547070FC6E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A7464920-598D-448C-A75A-8C06ED80C92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27C01E26-6722-4737-BC65-CDA33AAC7F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6B66ED1-C1A3-4E18-A998-B7D9D6AAF02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6344035-7129-45E5-8BEE-A2230EA1E37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488B6748-5F50-40DC-BE4B-7C0D6210F21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DC51351-9EC3-4909-B9CC-447659B7DC4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11AD3783-8B81-4AE6-BB48-D06A6489847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29D091C-966C-41A4-9A51-36F004D5A04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3B1E0A7B-70A9-4DC9-BAEC-8ED4BE0271F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2FC7917-4F96-4372-B3F7-FC843D7D6C0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FA4659AE-30B1-44BB-A196-BCF9C764A76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ED7457A-6B90-48A9-BA66-D337D439553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BCFCECCF-36E2-46B0-974E-5253B7AC40B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B1616A5C-6E4B-4709-9CF9-77EB4880AD3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A792405-C9BD-441F-9E5A-5ABB96493D3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533524E-1C6D-4AC8-B535-12CD82D6961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A9F1AA65-9A2B-4414-BDF1-5F7A574ABAF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E5E4095-909D-4AD9-923D-B1A0B7E8974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76AFA4E8-48AE-4B58-8587-E3C622481B7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2D326A4-221E-4649-A98A-EC448710F0E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D14F919-2153-4183-ABCB-169B42C20CD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EA9934B-EDCC-4851-A4AC-DF88888CEF2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C5305A8-4FF0-47A2-A88D-7B12FDE5E16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2260CC73-28A4-4116-B169-6408C765D46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3516A0D-A9B0-4A73-AE67-58D0CE275FB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A07E2B8A-37E6-490D-915C-2CCBEA87DB0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AC9D559C-06E8-4142-86E0-9DDDBD28210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D93C0C09-B439-4909-87A2-3455DDBC4B7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1A63E9C8-8F6E-4B50-872A-D8AF5474B56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24D9CBCF-5985-4C35-8C6F-2D2F15D2136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2BCBDA3-8947-4305-BC86-C26E9534AF1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1254037A-4EC6-4B5C-89F5-479A2334753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F5031ED8-6974-4F8F-8FEB-5C1CB77BBC1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FAFCB567-6DA0-458C-8411-508AFEAA38C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DC04E6C-4C4E-42F1-8969-9DD2881EEEB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CC0E687-F204-4072-8646-7CABFBE3A68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AACF1D3-25E3-4AC1-A9BE-4879160A979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9204746-23EB-4A2B-93EA-0CF22C5B06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9709DF9-643F-402D-B85E-BF89362D85D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53474F1-9AA2-4BC3-8C74-5903FC5C1D7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67673CD2-818D-4996-82CF-5E18412AF8B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4601E55-B448-44C4-9A8F-D761027B1E8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9E19AED3-EE8D-4B57-8417-14736DA0718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F0509CFD-D996-45E4-910B-4AAE8458487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E69E765B-5C82-4883-AAFA-AD5E775399B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C7FE3315-4055-4D12-BD31-80FDFC7B371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6BCF752B-474C-4729-BA5A-A435568E184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DC890B3E-4868-4AB5-8607-99F0E6FCBCA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725E467E-EAE1-4DFE-B096-ED23A496569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520B810-90D8-4003-AB73-A7322483C49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4CE8138B-1721-4EEE-956B-B6763B23718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8E865411-8D1D-4A5A-AC18-968BDD48A8D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503D7F66-35D2-41C7-B977-88ADEB61418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A76D1FD7-0F6C-4259-8CA7-BCE7BC2CC06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C0DF570-8166-458A-8AF8-6052292373B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325FAEC3-FED5-4C1D-82B2-F0153DA2806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CD1A9CFA-B324-4DB0-AFEA-A1FCC29C34F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AB37315-BD33-4FBD-8CDD-FF0C940786A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788718D-4496-47AF-8FE1-25C5C4BCCBF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4B058ED-00A3-4A85-9E38-69F6F3FBAAA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5F905B3E-3E18-444B-9993-8EA0867819F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67C472F-2348-4354-9CBE-296CEAAA49E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B09D6EF-4D26-4B33-A22B-F5F3B24EDB0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820DB8F8-F810-4483-9940-767EF8B03F1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6900A0C8-2C29-4D3D-B23F-1AEAF4A5442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FBFD57FE-90BE-4E8C-92A8-BEB5743168C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AC09E7C6-4E70-475B-82C3-F90BA09A635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23B916C7-3D54-4535-89C9-EEEE04EC518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14BF3967-3C64-41E1-8657-6128C1A1929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8DC27E3-5FDE-4B37-9AD1-90E8FD80445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CA3CFB22-E4A8-4609-88B7-2922CACD1ED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B8E24E66-7C53-4D54-9333-10A812D103E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500A4C7C-AD8F-4F6D-92D3-6773583FF54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74CA95B0-CE65-4769-9028-9DDAA4134A6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8E76D63E-3E76-434A-810B-30EFE2D8B9E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ED5B14B0-072D-4DFF-AF63-8098EE51A89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6D9945CC-015D-4995-8955-06E62431885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1E7C952A-C98C-4A42-B5CC-9F1A31C07B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D173916D-99A2-463C-9A31-D3D60F2F35E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26E95FDD-C839-48C6-8B3B-6CC562B9C68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12C30437-0184-4417-A5E5-A42EEADFF16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F9DBDD2A-50A7-43E3-A0B9-737E10AD8B1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5D01F515-3D6C-4FD9-92AB-34E57CE816E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B0872302-BCB2-4B05-9C04-CE18739EAF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AC28E822-F902-4BC3-85F1-1B61A4C420E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A2CBFA8-23C2-4542-BD89-FC1AEC94BE76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3645807-8B24-45AD-80E9-1BF411A3711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69E7E0-6A0D-4038-BAA1-74868039323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824FAB-1C8E-460A-A6E8-5D6DDBE11D4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77E18E-48B4-4388-B605-539DABCF58E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E204FDD-7368-4EE5-83B0-1A3A7735C94F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6D64665-1150-4EA5-A19D-C5781A1A0A5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872855F-CE19-42F6-BFF4-6609DC73167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727053D-2C41-4878-BC62-2902537F7AB4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476944-B645-441A-A11A-407F6EE9179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1ADF9A0-2297-4A9F-AF4E-DF2E8017205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7FA04D4-1135-4A89-890C-BEA0F4A5EFC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310A4E4-99CC-44BC-BD61-60B238BBFBD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C378B3F-33D7-4975-B14B-3180DB17FE4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1DDD16A-BF86-49D3-B742-9A0B250ED8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361FC8F-C5D9-4875-8FCF-A15269B6661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8945027-C415-4F4A-A9C2-AE5B23A251C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1A8D26C-97F3-48C0-B516-F70C8250F68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B3EA7DF-F6DF-49BC-861C-EA7AB94EA3A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4D4AA12-F097-44A0-8AAF-ACFA0455F59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934BCF-B6F8-4DC5-B3C4-615FB0EBBCD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9836918-579B-48DE-8544-28CA3A8FAF5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330C29E-F543-4C27-8D6F-2EB4218D254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8E92B9E-D0C4-419E-927E-D6426CA1795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A25CFE1-C9AD-4B75-84A9-EB086B47AC4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EA5A5E8-D93C-462A-B7A3-6EEB063FC57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F680598-B684-4BE5-BB39-C896A4985217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A3677E3-3776-437A-8205-9F6CF97E6DE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0318558-3F80-4345-AA24-624A2F8A46D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02CDD16-ADD4-4D53-95CE-3FC8CC7BC4B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A1552FC-0AB8-4A01-A4A3-A0B34D40C7F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CD8DCEC-E496-4D5F-8E85-C9C8E86F43E6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74416D5-7BBC-4601-86F8-6FB611CD18F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EBC27DE-0C48-4430-99A8-2CDFA296214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0B57C9D-1E07-4EE8-93E2-F06D44BE864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AD13A40-B6CB-4C1D-81F8-0AE02906560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51C60A4-EC78-4482-B894-50F4588678C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ADBA71C-3C57-4C2F-AD9C-E3D7911CE55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B2A225E-0C6D-4DEB-BA88-C8CC9016BD1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925C414-EE1F-40E2-9CBF-2F04E8F123A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FDD0E35-2D35-43B9-B85B-D212616FCAE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598C31D-EBF9-4600-86B7-A40ADFE809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6ED614F-21FF-4882-B42C-BC077CD7BFF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C559291-DB08-42A3-B72F-BDE0106B876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49AD655-A4B1-45ED-BDF5-AE69DB6E604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78CF1EA-EBBF-419D-AF6A-DADF6408AC0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B3838B3-A61D-478C-851D-9F27965169F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7B29BE9-5E94-41F4-A2CC-7A768446ACE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1B7AFB-CACC-4F10-A27A-67759103F1A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62C1559-A9D5-429B-B28C-E76C514E7E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464A421-64C2-47FC-88A2-787F9D17F93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153E518-0FA6-41E0-8BB4-61D8B6DF05D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DC752AB-0640-43A5-9AC2-1AB9D5CD85B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6A72333-7662-4C27-8B26-6A5FB7594E6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F78133E-2D96-4E3C-95F2-4F7483FEB0FB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21169B2-96F4-437D-9C6F-07C510A3D05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E9A9179-215C-4C09-8927-8DBB4FC66DB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51C876-5A54-404C-B7E3-038CF18A45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7A3DB5F-4BD6-4E90-8A49-C6F67390D7F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FD00047-A84A-4E58-8F99-86DAB9C0E50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60DCCAB-DFEB-4E6F-9AC4-15958BDD593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522E072-0399-4DDD-89FD-9A2DB11D41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3F03BE1-CF6B-4C8B-9AFB-E6F7CCBEB95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824AE3B-751C-4DB3-871E-714971C902D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2DAC537-8FD4-434D-9061-AD8D86EDF099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642ABBD-95B7-413B-B557-FA006B05290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0E58EB1-192B-4238-8E9C-A32BF9C7B72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2810C1A-9370-4479-873B-9BC715717EA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3555011-87DB-4223-8D06-5547CECF4F62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FC8C080-CB6C-4CC5-8943-2824FC36505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5AE2E3E8-9ECD-403E-B7A5-A87C0B5C1DD5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CCFF85C-7B0E-4C80-9000-5DAB2BA5169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4FAEA0E-2A95-41E0-9660-C0BF4CECA2E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19FA45BB-6B2B-4ADA-805F-133DB4BED65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97E8688-FD7B-4954-8707-B1DFC27318B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D8AA9A1-EA0A-4BA6-A1E1-D948B5BA3C0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9CA3CFE-8F77-4AAC-A417-B6EB7DF03F5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19F6ADF-A8B7-49BF-8F6D-BC24C8BB7A9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C1B2ED3-C4A0-4442-8A32-2E3A62CA192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8BCC783-D774-4A9A-A1E5-D086CCEDEF22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366864-BBEB-4A26-A200-0281B6117B3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5AB8BBB-470D-4F09-85D2-A1E4C12727A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949093-82C9-4589-9DC4-8DA4DDB7D2D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17848E9-0929-451B-B82A-E93D8A2EF15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B04E9BF-2B8D-402D-9C0F-DC35B8BB82BA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2320725-856C-4907-B93E-849DB745505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B6B9827-84D4-4F45-9C80-8F4F6650511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C38FD5-8ADA-4314-BFEC-622B736A5FF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D48E049-20C8-4EF5-95A3-B2F18724E78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D1C4938-27C7-49D8-AF3C-6FD0FC34AD0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56B990B-7408-4CCB-BF9C-C743342E3AFD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2AE2A63-9BDF-451E-9CC6-EED7BE28144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22EB42A-4201-4467-9D6A-66C5B8692C8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FD6D644-4FD8-452B-A1BA-5FDB7CA3D2F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6BD147D-B4A4-4597-B55D-54A26489C64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27BCA58-FCCC-48F1-B08F-0CB2298F148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56F696B-BE51-46F2-9EC9-B6D36F61D2E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30B5ACF0-88ED-4F5D-9D08-196A0FE1A71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4FFA085E-C8A9-4B19-B747-8CCF44509F1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79B8C2D-7CDC-4EF0-A4C7-79842801D51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673DFD49-FE1D-4305-9A94-E4372239EE7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361E29F-D7A1-4C0B-82C0-92338892019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E8D95F-C04B-42A5-8A22-36FF7C027A6D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5C454FD-77F2-4ABB-9F2D-469996E4EF6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19A434-2A5F-48B1-AB6D-33E6B4D19D6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16AFF4-4BF3-4559-BBD7-926A72D5A7D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540732-C74F-440C-8FC7-45F8FF71E00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37BC51-C4FD-4214-859B-12B1B9AB2B7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298E1FE-2EDA-42BA-B8AB-3FB757323C2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868AE5A-0E9C-4625-9425-58148BD9970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F0EDB9-9424-4FC7-85C2-AF933A02AB0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BE20153-A3B7-437F-9F49-24F8D8FE3DC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B503F3-92E2-4B02-ACDC-89E9E79562C8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E65A66F-8304-432C-A0F6-234818DE417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B89FA9F-48D0-4E5E-BEC4-ECD88F27A15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407CF3-D896-4E45-B335-4D2EE6E9EC3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FEBBE1-FFDC-4451-BE4B-7F43DC9BAE2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459A714-7FC6-4BD3-940D-C854652FEBC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3FE98D3-75C9-43B8-AAA8-4C898DA78CBC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02E8EF4-12B1-4496-907A-0645B0FC991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B8B97AE-962F-46AC-8696-7A94306F7B2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DCF4D7C-74CB-48CD-A9DB-E2C016EB3B8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E005D55-25E1-4FB9-AAE1-FCFFC380922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38F14C1-F8D1-40A6-B2DE-3B495A2784E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90536AE-B3C4-4637-A3A2-005FFF6A783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204CDF-125F-4F44-A1E6-402D299879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BD9DBCB-7CA7-478B-A908-51423586C8A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3D6FDF0-2F5F-40C2-92EB-49537CF9793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661F0D6-525E-45B5-A51F-1D107E628AFA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B41BCAD-D3FF-4293-BE11-FD7597B2B545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F44646F-3A9B-4904-99B6-08E9A859733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A4A73E6-2689-4713-B612-36BC83B4538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35E4752-0123-4FB2-AACD-09A88619007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DA616C7-3C3F-497D-B2E1-9EC708A53368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7C7AFE-E2DB-4812-8CB0-847C40C520E1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67E71C5-3537-4533-A19F-BC8677B25FA6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0579305-B725-432F-9A5E-04678A2C9D5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9B94778-7D02-4F38-8ACC-31342A8CE219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DAA331-1165-4E98-A407-55AC251F1FAF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94FE12F-8B7E-4ED5-AEA2-A34276C568E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48FF90A-54A0-4922-BA6B-F60A69150C7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7606160-AD0B-4116-9333-12A758A39BE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6C8185-2162-49FC-BF5C-E40ECB8166F5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02655D-B456-4F83-95EB-3193D6625293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5F67AF-77A1-4AE0-A7A8-57DC44EB7BA3}"/>
            </a:ext>
          </a:extLst>
        </xdr:cNvPr>
        <xdr:cNvSpPr txBox="1"/>
      </xdr:nvSpPr>
      <xdr:spPr>
        <a:xfrm>
          <a:off x="3725008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FDD9FF-E8D2-434C-87DC-827033C40E3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80CBBF-BCB4-4C44-AA10-BD2F706F69CD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68FC16-5FB8-4C34-BFA4-B80CC202AFBC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FB2FCB-6ED8-4338-BF51-DA95B027CC2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61A9E0C-8579-4B64-B06B-2FBDE04CC70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F49991-DFF8-4F7B-9BB1-77191D887C8E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19BE2CA-7F10-4F0F-9262-070227392B33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76DB43A-D9E9-4C6A-A98A-03894AE87CF7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594B14F-BB3A-49E9-81F3-C42AA293C8E4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ADD668E-D99D-4912-AEF1-7BD7C411E28B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D16F8E6-702B-4F58-8662-EB72872D4F20}"/>
            </a:ext>
          </a:extLst>
        </xdr:cNvPr>
        <xdr:cNvSpPr txBox="1"/>
      </xdr:nvSpPr>
      <xdr:spPr>
        <a:xfrm>
          <a:off x="3734533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B16461B-50FF-46D1-8FBD-16A6E3FC0DB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E0559B7-526F-4E93-9C67-76EE5F30EDC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5EFD37-D588-4DB0-9726-DCFDBDDFFBCE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4EBED2-7FAD-483A-A446-431EDA6513AC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115D68-2991-44D4-974B-9F0F04328C53}"/>
            </a:ext>
          </a:extLst>
        </xdr:cNvPr>
        <xdr:cNvSpPr txBox="1"/>
      </xdr:nvSpPr>
      <xdr:spPr>
        <a:xfrm>
          <a:off x="4639408" y="14097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FFEA6B-C6F7-4224-9D9D-3A4A5FC8749E}"/>
            </a:ext>
          </a:extLst>
        </xdr:cNvPr>
        <xdr:cNvSpPr txBox="1"/>
      </xdr:nvSpPr>
      <xdr:spPr>
        <a:xfrm>
          <a:off x="424888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F61FF6-C5E3-4B89-9E72-5F4C8655C32F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B7D0FD2-A9E8-4303-AAD7-A457C36862EA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8BC91A-E392-4100-8906-9B219BF09942}"/>
            </a:ext>
          </a:extLst>
        </xdr:cNvPr>
        <xdr:cNvSpPr txBox="1"/>
      </xdr:nvSpPr>
      <xdr:spPr>
        <a:xfrm>
          <a:off x="4639408" y="14097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C039F1-145F-4129-B291-FB910B24E805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4</xdr:row>
      <xdr:rowOff>151667</xdr:rowOff>
    </xdr:from>
    <xdr:ext cx="213899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E90C67-DECE-4854-96DC-33CC366D4D59}"/>
            </a:ext>
          </a:extLst>
        </xdr:cNvPr>
        <xdr:cNvSpPr txBox="1"/>
      </xdr:nvSpPr>
      <xdr:spPr>
        <a:xfrm>
          <a:off x="4258408" y="1589942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7EDA5B-291F-4960-8069-59E2E155E040}"/>
            </a:ext>
          </a:extLst>
        </xdr:cNvPr>
        <xdr:cNvSpPr txBox="1"/>
      </xdr:nvSpPr>
      <xdr:spPr>
        <a:xfrm>
          <a:off x="4639408" y="14097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5"/>
  <sheetViews>
    <sheetView tabSelected="1" zoomScale="85" zoomScaleNormal="85" workbookViewId="0">
      <pane xSplit="3" ySplit="3" topLeftCell="AB62" activePane="bottomRight" state="frozen"/>
      <selection pane="topRight" activeCell="D1" sqref="D1"/>
      <selection pane="bottomLeft" activeCell="A4" sqref="A4"/>
      <selection pane="bottomRight" activeCell="B64" sqref="A64:XFD64"/>
    </sheetView>
  </sheetViews>
  <sheetFormatPr defaultRowHeight="15" x14ac:dyDescent="0.25"/>
  <cols>
    <col min="1" max="1" width="3.375" style="36" customWidth="1"/>
    <col min="2" max="2" width="29.75" style="36" customWidth="1"/>
    <col min="3" max="30" width="9" style="36" customWidth="1"/>
    <col min="31" max="32" width="9" style="109" customWidth="1"/>
    <col min="33" max="33" width="7.625" style="109" bestFit="1" customWidth="1"/>
    <col min="34" max="35" width="10.25" style="36" customWidth="1"/>
    <col min="36" max="37" width="8.125" style="36" customWidth="1"/>
    <col min="38" max="252" width="9.125" style="36"/>
    <col min="253" max="253" width="3.375" style="36" customWidth="1"/>
    <col min="254" max="254" width="32.25" style="36" customWidth="1"/>
    <col min="255" max="255" width="13" style="36" customWidth="1"/>
    <col min="256" max="262" width="9.625" style="36" customWidth="1"/>
    <col min="263" max="264" width="11.375" style="36" customWidth="1"/>
    <col min="265" max="266" width="9.125" style="36"/>
    <col min="267" max="267" width="18.375" style="36" customWidth="1"/>
    <col min="268" max="508" width="9.125" style="36"/>
    <col min="509" max="509" width="3.375" style="36" customWidth="1"/>
    <col min="510" max="510" width="32.25" style="36" customWidth="1"/>
    <col min="511" max="511" width="13" style="36" customWidth="1"/>
    <col min="512" max="518" width="9.625" style="36" customWidth="1"/>
    <col min="519" max="520" width="11.375" style="36" customWidth="1"/>
    <col min="521" max="522" width="9.125" style="36"/>
    <col min="523" max="523" width="18.375" style="36" customWidth="1"/>
    <col min="524" max="764" width="9.125" style="36"/>
    <col min="765" max="765" width="3.375" style="36" customWidth="1"/>
    <col min="766" max="766" width="32.25" style="36" customWidth="1"/>
    <col min="767" max="767" width="13" style="36" customWidth="1"/>
    <col min="768" max="774" width="9.625" style="36" customWidth="1"/>
    <col min="775" max="776" width="11.375" style="36" customWidth="1"/>
    <col min="777" max="778" width="9.125" style="36"/>
    <col min="779" max="779" width="18.375" style="36" customWidth="1"/>
    <col min="780" max="1020" width="9.125" style="36"/>
    <col min="1021" max="1021" width="3.375" style="36" customWidth="1"/>
    <col min="1022" max="1022" width="32.25" style="36" customWidth="1"/>
    <col min="1023" max="1023" width="13" style="36" customWidth="1"/>
    <col min="1024" max="1030" width="9.625" style="36" customWidth="1"/>
    <col min="1031" max="1032" width="11.375" style="36" customWidth="1"/>
    <col min="1033" max="1034" width="9.125" style="36"/>
    <col min="1035" max="1035" width="18.375" style="36" customWidth="1"/>
    <col min="1036" max="1276" width="9.125" style="36"/>
    <col min="1277" max="1277" width="3.375" style="36" customWidth="1"/>
    <col min="1278" max="1278" width="32.25" style="36" customWidth="1"/>
    <col min="1279" max="1279" width="13" style="36" customWidth="1"/>
    <col min="1280" max="1286" width="9.625" style="36" customWidth="1"/>
    <col min="1287" max="1288" width="11.375" style="36" customWidth="1"/>
    <col min="1289" max="1290" width="9.125" style="36"/>
    <col min="1291" max="1291" width="18.375" style="36" customWidth="1"/>
    <col min="1292" max="1532" width="9.125" style="36"/>
    <col min="1533" max="1533" width="3.375" style="36" customWidth="1"/>
    <col min="1534" max="1534" width="32.25" style="36" customWidth="1"/>
    <col min="1535" max="1535" width="13" style="36" customWidth="1"/>
    <col min="1536" max="1542" width="9.625" style="36" customWidth="1"/>
    <col min="1543" max="1544" width="11.375" style="36" customWidth="1"/>
    <col min="1545" max="1546" width="9.125" style="36"/>
    <col min="1547" max="1547" width="18.375" style="36" customWidth="1"/>
    <col min="1548" max="1788" width="9.125" style="36"/>
    <col min="1789" max="1789" width="3.375" style="36" customWidth="1"/>
    <col min="1790" max="1790" width="32.25" style="36" customWidth="1"/>
    <col min="1791" max="1791" width="13" style="36" customWidth="1"/>
    <col min="1792" max="1798" width="9.625" style="36" customWidth="1"/>
    <col min="1799" max="1800" width="11.375" style="36" customWidth="1"/>
    <col min="1801" max="1802" width="9.125" style="36"/>
    <col min="1803" max="1803" width="18.375" style="36" customWidth="1"/>
    <col min="1804" max="2044" width="9.125" style="36"/>
    <col min="2045" max="2045" width="3.375" style="36" customWidth="1"/>
    <col min="2046" max="2046" width="32.25" style="36" customWidth="1"/>
    <col min="2047" max="2047" width="13" style="36" customWidth="1"/>
    <col min="2048" max="2054" width="9.625" style="36" customWidth="1"/>
    <col min="2055" max="2056" width="11.375" style="36" customWidth="1"/>
    <col min="2057" max="2058" width="9.125" style="36"/>
    <col min="2059" max="2059" width="18.375" style="36" customWidth="1"/>
    <col min="2060" max="2300" width="9.125" style="36"/>
    <col min="2301" max="2301" width="3.375" style="36" customWidth="1"/>
    <col min="2302" max="2302" width="32.25" style="36" customWidth="1"/>
    <col min="2303" max="2303" width="13" style="36" customWidth="1"/>
    <col min="2304" max="2310" width="9.625" style="36" customWidth="1"/>
    <col min="2311" max="2312" width="11.375" style="36" customWidth="1"/>
    <col min="2313" max="2314" width="9.125" style="36"/>
    <col min="2315" max="2315" width="18.375" style="36" customWidth="1"/>
    <col min="2316" max="2556" width="9.125" style="36"/>
    <col min="2557" max="2557" width="3.375" style="36" customWidth="1"/>
    <col min="2558" max="2558" width="32.25" style="36" customWidth="1"/>
    <col min="2559" max="2559" width="13" style="36" customWidth="1"/>
    <col min="2560" max="2566" width="9.625" style="36" customWidth="1"/>
    <col min="2567" max="2568" width="11.375" style="36" customWidth="1"/>
    <col min="2569" max="2570" width="9.125" style="36"/>
    <col min="2571" max="2571" width="18.375" style="36" customWidth="1"/>
    <col min="2572" max="2812" width="9.125" style="36"/>
    <col min="2813" max="2813" width="3.375" style="36" customWidth="1"/>
    <col min="2814" max="2814" width="32.25" style="36" customWidth="1"/>
    <col min="2815" max="2815" width="13" style="36" customWidth="1"/>
    <col min="2816" max="2822" width="9.625" style="36" customWidth="1"/>
    <col min="2823" max="2824" width="11.375" style="36" customWidth="1"/>
    <col min="2825" max="2826" width="9.125" style="36"/>
    <col min="2827" max="2827" width="18.375" style="36" customWidth="1"/>
    <col min="2828" max="3068" width="9.125" style="36"/>
    <col min="3069" max="3069" width="3.375" style="36" customWidth="1"/>
    <col min="3070" max="3070" width="32.25" style="36" customWidth="1"/>
    <col min="3071" max="3071" width="13" style="36" customWidth="1"/>
    <col min="3072" max="3078" width="9.625" style="36" customWidth="1"/>
    <col min="3079" max="3080" width="11.375" style="36" customWidth="1"/>
    <col min="3081" max="3082" width="9.125" style="36"/>
    <col min="3083" max="3083" width="18.375" style="36" customWidth="1"/>
    <col min="3084" max="3324" width="9.125" style="36"/>
    <col min="3325" max="3325" width="3.375" style="36" customWidth="1"/>
    <col min="3326" max="3326" width="32.25" style="36" customWidth="1"/>
    <col min="3327" max="3327" width="13" style="36" customWidth="1"/>
    <col min="3328" max="3334" width="9.625" style="36" customWidth="1"/>
    <col min="3335" max="3336" width="11.375" style="36" customWidth="1"/>
    <col min="3337" max="3338" width="9.125" style="36"/>
    <col min="3339" max="3339" width="18.375" style="36" customWidth="1"/>
    <col min="3340" max="3580" width="9.125" style="36"/>
    <col min="3581" max="3581" width="3.375" style="36" customWidth="1"/>
    <col min="3582" max="3582" width="32.25" style="36" customWidth="1"/>
    <col min="3583" max="3583" width="13" style="36" customWidth="1"/>
    <col min="3584" max="3590" width="9.625" style="36" customWidth="1"/>
    <col min="3591" max="3592" width="11.375" style="36" customWidth="1"/>
    <col min="3593" max="3594" width="9.125" style="36"/>
    <col min="3595" max="3595" width="18.375" style="36" customWidth="1"/>
    <col min="3596" max="3836" width="9.125" style="36"/>
    <col min="3837" max="3837" width="3.375" style="36" customWidth="1"/>
    <col min="3838" max="3838" width="32.25" style="36" customWidth="1"/>
    <col min="3839" max="3839" width="13" style="36" customWidth="1"/>
    <col min="3840" max="3846" width="9.625" style="36" customWidth="1"/>
    <col min="3847" max="3848" width="11.375" style="36" customWidth="1"/>
    <col min="3849" max="3850" width="9.125" style="36"/>
    <col min="3851" max="3851" width="18.375" style="36" customWidth="1"/>
    <col min="3852" max="4092" width="9.125" style="36"/>
    <col min="4093" max="4093" width="3.375" style="36" customWidth="1"/>
    <col min="4094" max="4094" width="32.25" style="36" customWidth="1"/>
    <col min="4095" max="4095" width="13" style="36" customWidth="1"/>
    <col min="4096" max="4102" width="9.625" style="36" customWidth="1"/>
    <col min="4103" max="4104" width="11.375" style="36" customWidth="1"/>
    <col min="4105" max="4106" width="9.125" style="36"/>
    <col min="4107" max="4107" width="18.375" style="36" customWidth="1"/>
    <col min="4108" max="4348" width="9.125" style="36"/>
    <col min="4349" max="4349" width="3.375" style="36" customWidth="1"/>
    <col min="4350" max="4350" width="32.25" style="36" customWidth="1"/>
    <col min="4351" max="4351" width="13" style="36" customWidth="1"/>
    <col min="4352" max="4358" width="9.625" style="36" customWidth="1"/>
    <col min="4359" max="4360" width="11.375" style="36" customWidth="1"/>
    <col min="4361" max="4362" width="9.125" style="36"/>
    <col min="4363" max="4363" width="18.375" style="36" customWidth="1"/>
    <col min="4364" max="4604" width="9.125" style="36"/>
    <col min="4605" max="4605" width="3.375" style="36" customWidth="1"/>
    <col min="4606" max="4606" width="32.25" style="36" customWidth="1"/>
    <col min="4607" max="4607" width="13" style="36" customWidth="1"/>
    <col min="4608" max="4614" width="9.625" style="36" customWidth="1"/>
    <col min="4615" max="4616" width="11.375" style="36" customWidth="1"/>
    <col min="4617" max="4618" width="9.125" style="36"/>
    <col min="4619" max="4619" width="18.375" style="36" customWidth="1"/>
    <col min="4620" max="4860" width="9.125" style="36"/>
    <col min="4861" max="4861" width="3.375" style="36" customWidth="1"/>
    <col min="4862" max="4862" width="32.25" style="36" customWidth="1"/>
    <col min="4863" max="4863" width="13" style="36" customWidth="1"/>
    <col min="4864" max="4870" width="9.625" style="36" customWidth="1"/>
    <col min="4871" max="4872" width="11.375" style="36" customWidth="1"/>
    <col min="4873" max="4874" width="9.125" style="36"/>
    <col min="4875" max="4875" width="18.375" style="36" customWidth="1"/>
    <col min="4876" max="5116" width="9.125" style="36"/>
    <col min="5117" max="5117" width="3.375" style="36" customWidth="1"/>
    <col min="5118" max="5118" width="32.25" style="36" customWidth="1"/>
    <col min="5119" max="5119" width="13" style="36" customWidth="1"/>
    <col min="5120" max="5126" width="9.625" style="36" customWidth="1"/>
    <col min="5127" max="5128" width="11.375" style="36" customWidth="1"/>
    <col min="5129" max="5130" width="9.125" style="36"/>
    <col min="5131" max="5131" width="18.375" style="36" customWidth="1"/>
    <col min="5132" max="5372" width="9.125" style="36"/>
    <col min="5373" max="5373" width="3.375" style="36" customWidth="1"/>
    <col min="5374" max="5374" width="32.25" style="36" customWidth="1"/>
    <col min="5375" max="5375" width="13" style="36" customWidth="1"/>
    <col min="5376" max="5382" width="9.625" style="36" customWidth="1"/>
    <col min="5383" max="5384" width="11.375" style="36" customWidth="1"/>
    <col min="5385" max="5386" width="9.125" style="36"/>
    <col min="5387" max="5387" width="18.375" style="36" customWidth="1"/>
    <col min="5388" max="5628" width="9.125" style="36"/>
    <col min="5629" max="5629" width="3.375" style="36" customWidth="1"/>
    <col min="5630" max="5630" width="32.25" style="36" customWidth="1"/>
    <col min="5631" max="5631" width="13" style="36" customWidth="1"/>
    <col min="5632" max="5638" width="9.625" style="36" customWidth="1"/>
    <col min="5639" max="5640" width="11.375" style="36" customWidth="1"/>
    <col min="5641" max="5642" width="9.125" style="36"/>
    <col min="5643" max="5643" width="18.375" style="36" customWidth="1"/>
    <col min="5644" max="5884" width="9.125" style="36"/>
    <col min="5885" max="5885" width="3.375" style="36" customWidth="1"/>
    <col min="5886" max="5886" width="32.25" style="36" customWidth="1"/>
    <col min="5887" max="5887" width="13" style="36" customWidth="1"/>
    <col min="5888" max="5894" width="9.625" style="36" customWidth="1"/>
    <col min="5895" max="5896" width="11.375" style="36" customWidth="1"/>
    <col min="5897" max="5898" width="9.125" style="36"/>
    <col min="5899" max="5899" width="18.375" style="36" customWidth="1"/>
    <col min="5900" max="6140" width="9.125" style="36"/>
    <col min="6141" max="6141" width="3.375" style="36" customWidth="1"/>
    <col min="6142" max="6142" width="32.25" style="36" customWidth="1"/>
    <col min="6143" max="6143" width="13" style="36" customWidth="1"/>
    <col min="6144" max="6150" width="9.625" style="36" customWidth="1"/>
    <col min="6151" max="6152" width="11.375" style="36" customWidth="1"/>
    <col min="6153" max="6154" width="9.125" style="36"/>
    <col min="6155" max="6155" width="18.375" style="36" customWidth="1"/>
    <col min="6156" max="6396" width="9.125" style="36"/>
    <col min="6397" max="6397" width="3.375" style="36" customWidth="1"/>
    <col min="6398" max="6398" width="32.25" style="36" customWidth="1"/>
    <col min="6399" max="6399" width="13" style="36" customWidth="1"/>
    <col min="6400" max="6406" width="9.625" style="36" customWidth="1"/>
    <col min="6407" max="6408" width="11.375" style="36" customWidth="1"/>
    <col min="6409" max="6410" width="9.125" style="36"/>
    <col min="6411" max="6411" width="18.375" style="36" customWidth="1"/>
    <col min="6412" max="6652" width="9.125" style="36"/>
    <col min="6653" max="6653" width="3.375" style="36" customWidth="1"/>
    <col min="6654" max="6654" width="32.25" style="36" customWidth="1"/>
    <col min="6655" max="6655" width="13" style="36" customWidth="1"/>
    <col min="6656" max="6662" width="9.625" style="36" customWidth="1"/>
    <col min="6663" max="6664" width="11.375" style="36" customWidth="1"/>
    <col min="6665" max="6666" width="9.125" style="36"/>
    <col min="6667" max="6667" width="18.375" style="36" customWidth="1"/>
    <col min="6668" max="6908" width="9.125" style="36"/>
    <col min="6909" max="6909" width="3.375" style="36" customWidth="1"/>
    <col min="6910" max="6910" width="32.25" style="36" customWidth="1"/>
    <col min="6911" max="6911" width="13" style="36" customWidth="1"/>
    <col min="6912" max="6918" width="9.625" style="36" customWidth="1"/>
    <col min="6919" max="6920" width="11.375" style="36" customWidth="1"/>
    <col min="6921" max="6922" width="9.125" style="36"/>
    <col min="6923" max="6923" width="18.375" style="36" customWidth="1"/>
    <col min="6924" max="7164" width="9.125" style="36"/>
    <col min="7165" max="7165" width="3.375" style="36" customWidth="1"/>
    <col min="7166" max="7166" width="32.25" style="36" customWidth="1"/>
    <col min="7167" max="7167" width="13" style="36" customWidth="1"/>
    <col min="7168" max="7174" width="9.625" style="36" customWidth="1"/>
    <col min="7175" max="7176" width="11.375" style="36" customWidth="1"/>
    <col min="7177" max="7178" width="9.125" style="36"/>
    <col min="7179" max="7179" width="18.375" style="36" customWidth="1"/>
    <col min="7180" max="7420" width="9.125" style="36"/>
    <col min="7421" max="7421" width="3.375" style="36" customWidth="1"/>
    <col min="7422" max="7422" width="32.25" style="36" customWidth="1"/>
    <col min="7423" max="7423" width="13" style="36" customWidth="1"/>
    <col min="7424" max="7430" width="9.625" style="36" customWidth="1"/>
    <col min="7431" max="7432" width="11.375" style="36" customWidth="1"/>
    <col min="7433" max="7434" width="9.125" style="36"/>
    <col min="7435" max="7435" width="18.375" style="36" customWidth="1"/>
    <col min="7436" max="7676" width="9.125" style="36"/>
    <col min="7677" max="7677" width="3.375" style="36" customWidth="1"/>
    <col min="7678" max="7678" width="32.25" style="36" customWidth="1"/>
    <col min="7679" max="7679" width="13" style="36" customWidth="1"/>
    <col min="7680" max="7686" width="9.625" style="36" customWidth="1"/>
    <col min="7687" max="7688" width="11.375" style="36" customWidth="1"/>
    <col min="7689" max="7690" width="9.125" style="36"/>
    <col min="7691" max="7691" width="18.375" style="36" customWidth="1"/>
    <col min="7692" max="7932" width="9.125" style="36"/>
    <col min="7933" max="7933" width="3.375" style="36" customWidth="1"/>
    <col min="7934" max="7934" width="32.25" style="36" customWidth="1"/>
    <col min="7935" max="7935" width="13" style="36" customWidth="1"/>
    <col min="7936" max="7942" width="9.625" style="36" customWidth="1"/>
    <col min="7943" max="7944" width="11.375" style="36" customWidth="1"/>
    <col min="7945" max="7946" width="9.125" style="36"/>
    <col min="7947" max="7947" width="18.375" style="36" customWidth="1"/>
    <col min="7948" max="8188" width="9.125" style="36"/>
    <col min="8189" max="8189" width="3.375" style="36" customWidth="1"/>
    <col min="8190" max="8190" width="32.25" style="36" customWidth="1"/>
    <col min="8191" max="8191" width="13" style="36" customWidth="1"/>
    <col min="8192" max="8198" width="9.625" style="36" customWidth="1"/>
    <col min="8199" max="8200" width="11.375" style="36" customWidth="1"/>
    <col min="8201" max="8202" width="9.125" style="36"/>
    <col min="8203" max="8203" width="18.375" style="36" customWidth="1"/>
    <col min="8204" max="8444" width="9.125" style="36"/>
    <col min="8445" max="8445" width="3.375" style="36" customWidth="1"/>
    <col min="8446" max="8446" width="32.25" style="36" customWidth="1"/>
    <col min="8447" max="8447" width="13" style="36" customWidth="1"/>
    <col min="8448" max="8454" width="9.625" style="36" customWidth="1"/>
    <col min="8455" max="8456" width="11.375" style="36" customWidth="1"/>
    <col min="8457" max="8458" width="9.125" style="36"/>
    <col min="8459" max="8459" width="18.375" style="36" customWidth="1"/>
    <col min="8460" max="8700" width="9.125" style="36"/>
    <col min="8701" max="8701" width="3.375" style="36" customWidth="1"/>
    <col min="8702" max="8702" width="32.25" style="36" customWidth="1"/>
    <col min="8703" max="8703" width="13" style="36" customWidth="1"/>
    <col min="8704" max="8710" width="9.625" style="36" customWidth="1"/>
    <col min="8711" max="8712" width="11.375" style="36" customWidth="1"/>
    <col min="8713" max="8714" width="9.125" style="36"/>
    <col min="8715" max="8715" width="18.375" style="36" customWidth="1"/>
    <col min="8716" max="8956" width="9.125" style="36"/>
    <col min="8957" max="8957" width="3.375" style="36" customWidth="1"/>
    <col min="8958" max="8958" width="32.25" style="36" customWidth="1"/>
    <col min="8959" max="8959" width="13" style="36" customWidth="1"/>
    <col min="8960" max="8966" width="9.625" style="36" customWidth="1"/>
    <col min="8967" max="8968" width="11.375" style="36" customWidth="1"/>
    <col min="8969" max="8970" width="9.125" style="36"/>
    <col min="8971" max="8971" width="18.375" style="36" customWidth="1"/>
    <col min="8972" max="9212" width="9.125" style="36"/>
    <col min="9213" max="9213" width="3.375" style="36" customWidth="1"/>
    <col min="9214" max="9214" width="32.25" style="36" customWidth="1"/>
    <col min="9215" max="9215" width="13" style="36" customWidth="1"/>
    <col min="9216" max="9222" width="9.625" style="36" customWidth="1"/>
    <col min="9223" max="9224" width="11.375" style="36" customWidth="1"/>
    <col min="9225" max="9226" width="9.125" style="36"/>
    <col min="9227" max="9227" width="18.375" style="36" customWidth="1"/>
    <col min="9228" max="9468" width="9.125" style="36"/>
    <col min="9469" max="9469" width="3.375" style="36" customWidth="1"/>
    <col min="9470" max="9470" width="32.25" style="36" customWidth="1"/>
    <col min="9471" max="9471" width="13" style="36" customWidth="1"/>
    <col min="9472" max="9478" width="9.625" style="36" customWidth="1"/>
    <col min="9479" max="9480" width="11.375" style="36" customWidth="1"/>
    <col min="9481" max="9482" width="9.125" style="36"/>
    <col min="9483" max="9483" width="18.375" style="36" customWidth="1"/>
    <col min="9484" max="9724" width="9.125" style="36"/>
    <col min="9725" max="9725" width="3.375" style="36" customWidth="1"/>
    <col min="9726" max="9726" width="32.25" style="36" customWidth="1"/>
    <col min="9727" max="9727" width="13" style="36" customWidth="1"/>
    <col min="9728" max="9734" width="9.625" style="36" customWidth="1"/>
    <col min="9735" max="9736" width="11.375" style="36" customWidth="1"/>
    <col min="9737" max="9738" width="9.125" style="36"/>
    <col min="9739" max="9739" width="18.375" style="36" customWidth="1"/>
    <col min="9740" max="9980" width="9.125" style="36"/>
    <col min="9981" max="9981" width="3.375" style="36" customWidth="1"/>
    <col min="9982" max="9982" width="32.25" style="36" customWidth="1"/>
    <col min="9983" max="9983" width="13" style="36" customWidth="1"/>
    <col min="9984" max="9990" width="9.625" style="36" customWidth="1"/>
    <col min="9991" max="9992" width="11.375" style="36" customWidth="1"/>
    <col min="9993" max="9994" width="9.125" style="36"/>
    <col min="9995" max="9995" width="18.375" style="36" customWidth="1"/>
    <col min="9996" max="10236" width="9.125" style="36"/>
    <col min="10237" max="10237" width="3.375" style="36" customWidth="1"/>
    <col min="10238" max="10238" width="32.25" style="36" customWidth="1"/>
    <col min="10239" max="10239" width="13" style="36" customWidth="1"/>
    <col min="10240" max="10246" width="9.625" style="36" customWidth="1"/>
    <col min="10247" max="10248" width="11.375" style="36" customWidth="1"/>
    <col min="10249" max="10250" width="9.125" style="36"/>
    <col min="10251" max="10251" width="18.375" style="36" customWidth="1"/>
    <col min="10252" max="10492" width="9.125" style="36"/>
    <col min="10493" max="10493" width="3.375" style="36" customWidth="1"/>
    <col min="10494" max="10494" width="32.25" style="36" customWidth="1"/>
    <col min="10495" max="10495" width="13" style="36" customWidth="1"/>
    <col min="10496" max="10502" width="9.625" style="36" customWidth="1"/>
    <col min="10503" max="10504" width="11.375" style="36" customWidth="1"/>
    <col min="10505" max="10506" width="9.125" style="36"/>
    <col min="10507" max="10507" width="18.375" style="36" customWidth="1"/>
    <col min="10508" max="10748" width="9.125" style="36"/>
    <col min="10749" max="10749" width="3.375" style="36" customWidth="1"/>
    <col min="10750" max="10750" width="32.25" style="36" customWidth="1"/>
    <col min="10751" max="10751" width="13" style="36" customWidth="1"/>
    <col min="10752" max="10758" width="9.625" style="36" customWidth="1"/>
    <col min="10759" max="10760" width="11.375" style="36" customWidth="1"/>
    <col min="10761" max="10762" width="9.125" style="36"/>
    <col min="10763" max="10763" width="18.375" style="36" customWidth="1"/>
    <col min="10764" max="11004" width="9.125" style="36"/>
    <col min="11005" max="11005" width="3.375" style="36" customWidth="1"/>
    <col min="11006" max="11006" width="32.25" style="36" customWidth="1"/>
    <col min="11007" max="11007" width="13" style="36" customWidth="1"/>
    <col min="11008" max="11014" width="9.625" style="36" customWidth="1"/>
    <col min="11015" max="11016" width="11.375" style="36" customWidth="1"/>
    <col min="11017" max="11018" width="9.125" style="36"/>
    <col min="11019" max="11019" width="18.375" style="36" customWidth="1"/>
    <col min="11020" max="11260" width="9.125" style="36"/>
    <col min="11261" max="11261" width="3.375" style="36" customWidth="1"/>
    <col min="11262" max="11262" width="32.25" style="36" customWidth="1"/>
    <col min="11263" max="11263" width="13" style="36" customWidth="1"/>
    <col min="11264" max="11270" width="9.625" style="36" customWidth="1"/>
    <col min="11271" max="11272" width="11.375" style="36" customWidth="1"/>
    <col min="11273" max="11274" width="9.125" style="36"/>
    <col min="11275" max="11275" width="18.375" style="36" customWidth="1"/>
    <col min="11276" max="11516" width="9.125" style="36"/>
    <col min="11517" max="11517" width="3.375" style="36" customWidth="1"/>
    <col min="11518" max="11518" width="32.25" style="36" customWidth="1"/>
    <col min="11519" max="11519" width="13" style="36" customWidth="1"/>
    <col min="11520" max="11526" width="9.625" style="36" customWidth="1"/>
    <col min="11527" max="11528" width="11.375" style="36" customWidth="1"/>
    <col min="11529" max="11530" width="9.125" style="36"/>
    <col min="11531" max="11531" width="18.375" style="36" customWidth="1"/>
    <col min="11532" max="11772" width="9.125" style="36"/>
    <col min="11773" max="11773" width="3.375" style="36" customWidth="1"/>
    <col min="11774" max="11774" width="32.25" style="36" customWidth="1"/>
    <col min="11775" max="11775" width="13" style="36" customWidth="1"/>
    <col min="11776" max="11782" width="9.625" style="36" customWidth="1"/>
    <col min="11783" max="11784" width="11.375" style="36" customWidth="1"/>
    <col min="11785" max="11786" width="9.125" style="36"/>
    <col min="11787" max="11787" width="18.375" style="36" customWidth="1"/>
    <col min="11788" max="12028" width="9.125" style="36"/>
    <col min="12029" max="12029" width="3.375" style="36" customWidth="1"/>
    <col min="12030" max="12030" width="32.25" style="36" customWidth="1"/>
    <col min="12031" max="12031" width="13" style="36" customWidth="1"/>
    <col min="12032" max="12038" width="9.625" style="36" customWidth="1"/>
    <col min="12039" max="12040" width="11.375" style="36" customWidth="1"/>
    <col min="12041" max="12042" width="9.125" style="36"/>
    <col min="12043" max="12043" width="18.375" style="36" customWidth="1"/>
    <col min="12044" max="12284" width="9.125" style="36"/>
    <col min="12285" max="12285" width="3.375" style="36" customWidth="1"/>
    <col min="12286" max="12286" width="32.25" style="36" customWidth="1"/>
    <col min="12287" max="12287" width="13" style="36" customWidth="1"/>
    <col min="12288" max="12294" width="9.625" style="36" customWidth="1"/>
    <col min="12295" max="12296" width="11.375" style="36" customWidth="1"/>
    <col min="12297" max="12298" width="9.125" style="36"/>
    <col min="12299" max="12299" width="18.375" style="36" customWidth="1"/>
    <col min="12300" max="12540" width="9.125" style="36"/>
    <col min="12541" max="12541" width="3.375" style="36" customWidth="1"/>
    <col min="12542" max="12542" width="32.25" style="36" customWidth="1"/>
    <col min="12543" max="12543" width="13" style="36" customWidth="1"/>
    <col min="12544" max="12550" width="9.625" style="36" customWidth="1"/>
    <col min="12551" max="12552" width="11.375" style="36" customWidth="1"/>
    <col min="12553" max="12554" width="9.125" style="36"/>
    <col min="12555" max="12555" width="18.375" style="36" customWidth="1"/>
    <col min="12556" max="12796" width="9.125" style="36"/>
    <col min="12797" max="12797" width="3.375" style="36" customWidth="1"/>
    <col min="12798" max="12798" width="32.25" style="36" customWidth="1"/>
    <col min="12799" max="12799" width="13" style="36" customWidth="1"/>
    <col min="12800" max="12806" width="9.625" style="36" customWidth="1"/>
    <col min="12807" max="12808" width="11.375" style="36" customWidth="1"/>
    <col min="12809" max="12810" width="9.125" style="36"/>
    <col min="12811" max="12811" width="18.375" style="36" customWidth="1"/>
    <col min="12812" max="13052" width="9.125" style="36"/>
    <col min="13053" max="13053" width="3.375" style="36" customWidth="1"/>
    <col min="13054" max="13054" width="32.25" style="36" customWidth="1"/>
    <col min="13055" max="13055" width="13" style="36" customWidth="1"/>
    <col min="13056" max="13062" width="9.625" style="36" customWidth="1"/>
    <col min="13063" max="13064" width="11.375" style="36" customWidth="1"/>
    <col min="13065" max="13066" width="9.125" style="36"/>
    <col min="13067" max="13067" width="18.375" style="36" customWidth="1"/>
    <col min="13068" max="13308" width="9.125" style="36"/>
    <col min="13309" max="13309" width="3.375" style="36" customWidth="1"/>
    <col min="13310" max="13310" width="32.25" style="36" customWidth="1"/>
    <col min="13311" max="13311" width="13" style="36" customWidth="1"/>
    <col min="13312" max="13318" width="9.625" style="36" customWidth="1"/>
    <col min="13319" max="13320" width="11.375" style="36" customWidth="1"/>
    <col min="13321" max="13322" width="9.125" style="36"/>
    <col min="13323" max="13323" width="18.375" style="36" customWidth="1"/>
    <col min="13324" max="13564" width="9.125" style="36"/>
    <col min="13565" max="13565" width="3.375" style="36" customWidth="1"/>
    <col min="13566" max="13566" width="32.25" style="36" customWidth="1"/>
    <col min="13567" max="13567" width="13" style="36" customWidth="1"/>
    <col min="13568" max="13574" width="9.625" style="36" customWidth="1"/>
    <col min="13575" max="13576" width="11.375" style="36" customWidth="1"/>
    <col min="13577" max="13578" width="9.125" style="36"/>
    <col min="13579" max="13579" width="18.375" style="36" customWidth="1"/>
    <col min="13580" max="13820" width="9.125" style="36"/>
    <col min="13821" max="13821" width="3.375" style="36" customWidth="1"/>
    <col min="13822" max="13822" width="32.25" style="36" customWidth="1"/>
    <col min="13823" max="13823" width="13" style="36" customWidth="1"/>
    <col min="13824" max="13830" width="9.625" style="36" customWidth="1"/>
    <col min="13831" max="13832" width="11.375" style="36" customWidth="1"/>
    <col min="13833" max="13834" width="9.125" style="36"/>
    <col min="13835" max="13835" width="18.375" style="36" customWidth="1"/>
    <col min="13836" max="14076" width="9.125" style="36"/>
    <col min="14077" max="14077" width="3.375" style="36" customWidth="1"/>
    <col min="14078" max="14078" width="32.25" style="36" customWidth="1"/>
    <col min="14079" max="14079" width="13" style="36" customWidth="1"/>
    <col min="14080" max="14086" width="9.625" style="36" customWidth="1"/>
    <col min="14087" max="14088" width="11.375" style="36" customWidth="1"/>
    <col min="14089" max="14090" width="9.125" style="36"/>
    <col min="14091" max="14091" width="18.375" style="36" customWidth="1"/>
    <col min="14092" max="14332" width="9.125" style="36"/>
    <col min="14333" max="14333" width="3.375" style="36" customWidth="1"/>
    <col min="14334" max="14334" width="32.25" style="36" customWidth="1"/>
    <col min="14335" max="14335" width="13" style="36" customWidth="1"/>
    <col min="14336" max="14342" width="9.625" style="36" customWidth="1"/>
    <col min="14343" max="14344" width="11.375" style="36" customWidth="1"/>
    <col min="14345" max="14346" width="9.125" style="36"/>
    <col min="14347" max="14347" width="18.375" style="36" customWidth="1"/>
    <col min="14348" max="14588" width="9.125" style="36"/>
    <col min="14589" max="14589" width="3.375" style="36" customWidth="1"/>
    <col min="14590" max="14590" width="32.25" style="36" customWidth="1"/>
    <col min="14591" max="14591" width="13" style="36" customWidth="1"/>
    <col min="14592" max="14598" width="9.625" style="36" customWidth="1"/>
    <col min="14599" max="14600" width="11.375" style="36" customWidth="1"/>
    <col min="14601" max="14602" width="9.125" style="36"/>
    <col min="14603" max="14603" width="18.375" style="36" customWidth="1"/>
    <col min="14604" max="14844" width="9.125" style="36"/>
    <col min="14845" max="14845" width="3.375" style="36" customWidth="1"/>
    <col min="14846" max="14846" width="32.25" style="36" customWidth="1"/>
    <col min="14847" max="14847" width="13" style="36" customWidth="1"/>
    <col min="14848" max="14854" width="9.625" style="36" customWidth="1"/>
    <col min="14855" max="14856" width="11.375" style="36" customWidth="1"/>
    <col min="14857" max="14858" width="9.125" style="36"/>
    <col min="14859" max="14859" width="18.375" style="36" customWidth="1"/>
    <col min="14860" max="15100" width="9.125" style="36"/>
    <col min="15101" max="15101" width="3.375" style="36" customWidth="1"/>
    <col min="15102" max="15102" width="32.25" style="36" customWidth="1"/>
    <col min="15103" max="15103" width="13" style="36" customWidth="1"/>
    <col min="15104" max="15110" width="9.625" style="36" customWidth="1"/>
    <col min="15111" max="15112" width="11.375" style="36" customWidth="1"/>
    <col min="15113" max="15114" width="9.125" style="36"/>
    <col min="15115" max="15115" width="18.375" style="36" customWidth="1"/>
    <col min="15116" max="15356" width="9.125" style="36"/>
    <col min="15357" max="15357" width="3.375" style="36" customWidth="1"/>
    <col min="15358" max="15358" width="32.25" style="36" customWidth="1"/>
    <col min="15359" max="15359" width="13" style="36" customWidth="1"/>
    <col min="15360" max="15366" width="9.625" style="36" customWidth="1"/>
    <col min="15367" max="15368" width="11.375" style="36" customWidth="1"/>
    <col min="15369" max="15370" width="9.125" style="36"/>
    <col min="15371" max="15371" width="18.375" style="36" customWidth="1"/>
    <col min="15372" max="15612" width="9.125" style="36"/>
    <col min="15613" max="15613" width="3.375" style="36" customWidth="1"/>
    <col min="15614" max="15614" width="32.25" style="36" customWidth="1"/>
    <col min="15615" max="15615" width="13" style="36" customWidth="1"/>
    <col min="15616" max="15622" width="9.625" style="36" customWidth="1"/>
    <col min="15623" max="15624" width="11.375" style="36" customWidth="1"/>
    <col min="15625" max="15626" width="9.125" style="36"/>
    <col min="15627" max="15627" width="18.375" style="36" customWidth="1"/>
    <col min="15628" max="15868" width="9.125" style="36"/>
    <col min="15869" max="15869" width="3.375" style="36" customWidth="1"/>
    <col min="15870" max="15870" width="32.25" style="36" customWidth="1"/>
    <col min="15871" max="15871" width="13" style="36" customWidth="1"/>
    <col min="15872" max="15878" width="9.625" style="36" customWidth="1"/>
    <col min="15879" max="15880" width="11.375" style="36" customWidth="1"/>
    <col min="15881" max="15882" width="9.125" style="36"/>
    <col min="15883" max="15883" width="18.375" style="36" customWidth="1"/>
    <col min="15884" max="16124" width="9.125" style="36"/>
    <col min="16125" max="16125" width="3.375" style="36" customWidth="1"/>
    <col min="16126" max="16126" width="32.25" style="36" customWidth="1"/>
    <col min="16127" max="16127" width="13" style="36" customWidth="1"/>
    <col min="16128" max="16134" width="9.625" style="36" customWidth="1"/>
    <col min="16135" max="16136" width="11.375" style="36" customWidth="1"/>
    <col min="16137" max="16138" width="9.125" style="36"/>
    <col min="16139" max="16139" width="18.375" style="36" customWidth="1"/>
    <col min="16140" max="16384" width="9.125" style="36"/>
  </cols>
  <sheetData>
    <row r="1" spans="1:37" ht="18.75" x14ac:dyDescent="0.3">
      <c r="A1" s="131" t="s">
        <v>103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</row>
    <row r="2" spans="1:37" ht="18.75" x14ac:dyDescent="0.3">
      <c r="A2" s="132" t="s">
        <v>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</row>
    <row r="3" spans="1:37" ht="19.5" thickBot="1" x14ac:dyDescent="0.35">
      <c r="A3" s="133" t="s">
        <v>128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</row>
    <row r="4" spans="1:37" ht="15" customHeight="1" x14ac:dyDescent="0.25">
      <c r="A4" s="137" t="s">
        <v>1</v>
      </c>
      <c r="B4" s="140" t="s">
        <v>2</v>
      </c>
      <c r="C4" s="137" t="s">
        <v>3</v>
      </c>
      <c r="D4" s="99"/>
      <c r="E4" s="99"/>
      <c r="F4" s="99"/>
      <c r="G4" s="99"/>
      <c r="H4" s="99"/>
      <c r="I4" s="99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11"/>
      <c r="AF4" s="111"/>
      <c r="AG4" s="111"/>
      <c r="AH4" s="127" t="s">
        <v>104</v>
      </c>
      <c r="AI4" s="130" t="s">
        <v>102</v>
      </c>
    </row>
    <row r="5" spans="1:37" x14ac:dyDescent="0.25">
      <c r="A5" s="138"/>
      <c r="B5" s="141"/>
      <c r="C5" s="138"/>
      <c r="D5" s="101">
        <v>1</v>
      </c>
      <c r="E5" s="101">
        <v>2</v>
      </c>
      <c r="F5" s="101">
        <v>3</v>
      </c>
      <c r="G5" s="101">
        <v>4</v>
      </c>
      <c r="H5" s="101">
        <v>5</v>
      </c>
      <c r="I5" s="101">
        <v>6</v>
      </c>
      <c r="J5" s="102">
        <v>7</v>
      </c>
      <c r="K5" s="102">
        <v>8</v>
      </c>
      <c r="L5" s="102">
        <v>9</v>
      </c>
      <c r="M5" s="102">
        <v>10</v>
      </c>
      <c r="N5" s="102">
        <v>11</v>
      </c>
      <c r="O5" s="102">
        <v>12</v>
      </c>
      <c r="P5" s="102">
        <v>13</v>
      </c>
      <c r="Q5" s="102">
        <v>14</v>
      </c>
      <c r="R5" s="102">
        <v>15</v>
      </c>
      <c r="S5" s="102">
        <v>16</v>
      </c>
      <c r="T5" s="102">
        <v>17</v>
      </c>
      <c r="U5" s="102">
        <v>18</v>
      </c>
      <c r="V5" s="102">
        <v>19</v>
      </c>
      <c r="W5" s="102">
        <v>20</v>
      </c>
      <c r="X5" s="102">
        <v>21</v>
      </c>
      <c r="Y5" s="102">
        <v>22</v>
      </c>
      <c r="Z5" s="102">
        <v>23</v>
      </c>
      <c r="AA5" s="102">
        <v>24</v>
      </c>
      <c r="AB5" s="102">
        <v>25</v>
      </c>
      <c r="AC5" s="102">
        <v>26</v>
      </c>
      <c r="AD5" s="102">
        <v>27</v>
      </c>
      <c r="AE5" s="112">
        <v>28</v>
      </c>
      <c r="AF5" s="112">
        <v>29</v>
      </c>
      <c r="AG5" s="112">
        <v>30</v>
      </c>
      <c r="AH5" s="128"/>
      <c r="AI5" s="128"/>
    </row>
    <row r="6" spans="1:37" ht="27" customHeight="1" thickBot="1" x14ac:dyDescent="0.3">
      <c r="A6" s="139"/>
      <c r="B6" s="142"/>
      <c r="C6" s="139"/>
      <c r="D6" s="103"/>
      <c r="E6" s="103"/>
      <c r="F6" s="103"/>
      <c r="G6" s="103"/>
      <c r="H6" s="103"/>
      <c r="I6" s="103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13"/>
      <c r="AF6" s="113"/>
      <c r="AG6" s="113"/>
      <c r="AH6" s="129"/>
      <c r="AI6" s="129"/>
    </row>
    <row r="7" spans="1:37" x14ac:dyDescent="0.25">
      <c r="A7" s="143">
        <v>1</v>
      </c>
      <c r="B7" s="26" t="s">
        <v>4</v>
      </c>
      <c r="C7" s="27"/>
      <c r="D7" s="68"/>
      <c r="E7" s="68"/>
      <c r="F7" s="68"/>
      <c r="G7" s="68"/>
      <c r="H7" s="68"/>
      <c r="I7" s="68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7"/>
      <c r="AF7" s="107"/>
      <c r="AG7" s="107"/>
      <c r="AH7" s="28"/>
      <c r="AI7" s="124"/>
    </row>
    <row r="8" spans="1:37" x14ac:dyDescent="0.25">
      <c r="A8" s="135"/>
      <c r="B8" s="16" t="s">
        <v>113</v>
      </c>
      <c r="C8" s="17" t="s">
        <v>5</v>
      </c>
      <c r="D8" s="98">
        <f>'1'!K8</f>
        <v>13714.285714285714</v>
      </c>
      <c r="E8" s="98">
        <f>'2'!K8</f>
        <v>13714.285714285714</v>
      </c>
      <c r="F8" s="98">
        <f>'3'!K8</f>
        <v>14142.857142857143</v>
      </c>
      <c r="G8" s="98">
        <f>'4'!K8</f>
        <v>14142.857142857143</v>
      </c>
      <c r="H8" s="98">
        <f>'5'!K8</f>
        <v>14142.857142857143</v>
      </c>
      <c r="I8" s="98">
        <f>'6'!K8</f>
        <v>14142.857142857143</v>
      </c>
      <c r="J8" s="106">
        <f>'7'!K8</f>
        <v>14142.857142857143</v>
      </c>
      <c r="K8" s="106">
        <f>'8'!K8</f>
        <v>14142.857142857143</v>
      </c>
      <c r="L8" s="106">
        <f>'9'!K8</f>
        <v>14100</v>
      </c>
      <c r="M8" s="106">
        <f>'10'!K8</f>
        <v>14114.285714285714</v>
      </c>
      <c r="N8" s="106">
        <f>'11'!K8</f>
        <v>13971.428571428571</v>
      </c>
      <c r="O8" s="106">
        <f>'12'!K8</f>
        <v>13971.428571428571</v>
      </c>
      <c r="P8" s="106">
        <f>'13'!K8</f>
        <v>13971.428571428571</v>
      </c>
      <c r="Q8" s="106">
        <f>'14'!K8</f>
        <v>13971.428571428571</v>
      </c>
      <c r="R8" s="106">
        <f>'15'!K8</f>
        <v>13985.714285714286</v>
      </c>
      <c r="S8" s="106">
        <f>'14'!K8</f>
        <v>13971.428571428571</v>
      </c>
      <c r="T8" s="106">
        <f>'17'!K8</f>
        <v>13985.714285714286</v>
      </c>
      <c r="U8" s="106">
        <f>'18'!K8</f>
        <v>13985.714285714286</v>
      </c>
      <c r="V8" s="106">
        <f>'19'!K8</f>
        <v>13985.714285714286</v>
      </c>
      <c r="W8" s="106">
        <f>'20'!K8</f>
        <v>13985.714285714286</v>
      </c>
      <c r="X8" s="106">
        <f>'21'!K8</f>
        <v>13985.714285714286</v>
      </c>
      <c r="Y8" s="106">
        <f>'22'!K8</f>
        <v>13985.714285714286</v>
      </c>
      <c r="Z8" s="106">
        <f>'23'!K8</f>
        <v>13985.714285714286</v>
      </c>
      <c r="AA8" s="106">
        <f>'24'!K8</f>
        <v>13985.714285714286</v>
      </c>
      <c r="AB8" s="106">
        <f>'25'!K8</f>
        <v>13985.714285714286</v>
      </c>
      <c r="AC8" s="106">
        <f>'26'!K8</f>
        <v>13985.714285714286</v>
      </c>
      <c r="AD8" s="106">
        <f>'27'!K8</f>
        <v>13985.714285714286</v>
      </c>
      <c r="AE8" s="106">
        <f>'28'!K8</f>
        <v>13985.714285714286</v>
      </c>
      <c r="AF8" s="106">
        <f>'29'!K8</f>
        <v>14128.571428571429</v>
      </c>
      <c r="AG8" s="106">
        <f>'30'!K8</f>
        <v>14128.571428571429</v>
      </c>
      <c r="AH8" s="18">
        <v>12800</v>
      </c>
      <c r="AI8" s="116">
        <f>AG8-D8</f>
        <v>414.28571428571558</v>
      </c>
      <c r="AJ8" s="193">
        <f>AVERAGE(D8:AG8)</f>
        <v>14014.285714285708</v>
      </c>
    </row>
    <row r="9" spans="1:37" x14ac:dyDescent="0.25">
      <c r="A9" s="135"/>
      <c r="B9" s="16" t="s">
        <v>124</v>
      </c>
      <c r="C9" s="17" t="s">
        <v>125</v>
      </c>
      <c r="D9" s="98">
        <f>'1'!K9</f>
        <v>10916.666666666666</v>
      </c>
      <c r="E9" s="98">
        <f>'2'!K9</f>
        <v>10916.666666666666</v>
      </c>
      <c r="F9" s="98">
        <f>'3'!K9</f>
        <v>10916.666666666666</v>
      </c>
      <c r="G9" s="98">
        <f>'4'!K9</f>
        <v>10916.666666666666</v>
      </c>
      <c r="H9" s="98">
        <f>'5'!K9</f>
        <v>10916.666666666666</v>
      </c>
      <c r="I9" s="98">
        <f>'6'!K9</f>
        <v>10916.666666666666</v>
      </c>
      <c r="J9" s="106">
        <f>'7'!K9</f>
        <v>10916.666666666666</v>
      </c>
      <c r="K9" s="106">
        <f>'8'!K9</f>
        <v>10916.666666666666</v>
      </c>
      <c r="L9" s="106">
        <f>'9'!K9</f>
        <v>10916.666666666666</v>
      </c>
      <c r="M9" s="106">
        <f>'10'!K9</f>
        <v>10900</v>
      </c>
      <c r="N9" s="106">
        <f>'11'!K9</f>
        <v>10900</v>
      </c>
      <c r="O9" s="106">
        <f>'12'!K9</f>
        <v>10900</v>
      </c>
      <c r="P9" s="106">
        <f>'13'!K9</f>
        <v>10900</v>
      </c>
      <c r="Q9" s="106">
        <f>'14'!K9</f>
        <v>10900</v>
      </c>
      <c r="R9" s="106">
        <f>'15'!K9</f>
        <v>10900</v>
      </c>
      <c r="S9" s="106">
        <f>'14'!K9</f>
        <v>10900</v>
      </c>
      <c r="T9" s="106">
        <f>'17'!K9</f>
        <v>10900</v>
      </c>
      <c r="U9" s="106">
        <f>'18'!K9</f>
        <v>10900</v>
      </c>
      <c r="V9" s="106">
        <f>'19'!K9</f>
        <v>10900</v>
      </c>
      <c r="W9" s="106">
        <f>'20'!K9</f>
        <v>10900</v>
      </c>
      <c r="X9" s="106">
        <f>'21'!K9</f>
        <v>10900</v>
      </c>
      <c r="Y9" s="106">
        <f>'22'!K9</f>
        <v>10900</v>
      </c>
      <c r="Z9" s="106">
        <f>'23'!K9</f>
        <v>10900</v>
      </c>
      <c r="AA9" s="106">
        <f>'24'!K9</f>
        <v>10900</v>
      </c>
      <c r="AB9" s="106">
        <f>'25'!K9</f>
        <v>10900</v>
      </c>
      <c r="AC9" s="106">
        <f>'26'!K9</f>
        <v>10900</v>
      </c>
      <c r="AD9" s="106">
        <f>'27'!K9</f>
        <v>10900</v>
      </c>
      <c r="AE9" s="106">
        <f>'28'!K9</f>
        <v>10900</v>
      </c>
      <c r="AF9" s="106">
        <f>'29'!K9</f>
        <v>10900</v>
      </c>
      <c r="AG9" s="106">
        <f>'30'!K9</f>
        <v>10900</v>
      </c>
      <c r="AH9" s="18"/>
      <c r="AI9" s="116">
        <f t="shared" ref="AI9:AI72" si="0">AG9-D9</f>
        <v>-16.66666666666606</v>
      </c>
      <c r="AJ9" s="193">
        <f t="shared" ref="AJ9:AJ72" si="1">AVERAGE(D9:AG9)</f>
        <v>10905</v>
      </c>
    </row>
    <row r="10" spans="1:37" x14ac:dyDescent="0.25">
      <c r="A10" s="135"/>
      <c r="B10" s="16" t="s">
        <v>109</v>
      </c>
      <c r="C10" s="17" t="s">
        <v>5</v>
      </c>
      <c r="D10" s="98">
        <f>'1'!K10</f>
        <v>0</v>
      </c>
      <c r="E10" s="98">
        <f>'2'!K10</f>
        <v>0</v>
      </c>
      <c r="F10" s="98">
        <f>'3'!K10</f>
        <v>0</v>
      </c>
      <c r="G10" s="98">
        <f>'4'!K10</f>
        <v>0</v>
      </c>
      <c r="H10" s="98">
        <f>'5'!K10</f>
        <v>0</v>
      </c>
      <c r="I10" s="98">
        <f>'6'!K10</f>
        <v>0</v>
      </c>
      <c r="J10" s="106">
        <f>'7'!K10</f>
        <v>0</v>
      </c>
      <c r="K10" s="106">
        <f>'8'!K10</f>
        <v>0</v>
      </c>
      <c r="L10" s="106">
        <f>'9'!K10</f>
        <v>0</v>
      </c>
      <c r="M10" s="106">
        <f>'10'!K10</f>
        <v>0</v>
      </c>
      <c r="N10" s="106">
        <f>'11'!K10</f>
        <v>0</v>
      </c>
      <c r="O10" s="106">
        <f>'12'!K10</f>
        <v>0</v>
      </c>
      <c r="P10" s="106">
        <f>'13'!K10</f>
        <v>0</v>
      </c>
      <c r="Q10" s="106">
        <f>'14'!K10</f>
        <v>0</v>
      </c>
      <c r="R10" s="106">
        <f>'15'!K10</f>
        <v>0</v>
      </c>
      <c r="S10" s="106">
        <f>'14'!K10</f>
        <v>0</v>
      </c>
      <c r="T10" s="106">
        <f>'17'!K10</f>
        <v>0</v>
      </c>
      <c r="U10" s="106">
        <f>'18'!K10</f>
        <v>0</v>
      </c>
      <c r="V10" s="106">
        <f>'19'!K10</f>
        <v>0</v>
      </c>
      <c r="W10" s="106">
        <f>'20'!K10</f>
        <v>0</v>
      </c>
      <c r="X10" s="106">
        <f>'21'!K10</f>
        <v>0</v>
      </c>
      <c r="Y10" s="106">
        <f>'22'!K10</f>
        <v>0</v>
      </c>
      <c r="Z10" s="106">
        <f>'23'!K10</f>
        <v>0</v>
      </c>
      <c r="AA10" s="106">
        <f>'24'!K10</f>
        <v>0</v>
      </c>
      <c r="AB10" s="106">
        <f>'25'!K10</f>
        <v>0</v>
      </c>
      <c r="AC10" s="106">
        <f>'26'!K10</f>
        <v>0</v>
      </c>
      <c r="AD10" s="106">
        <f>'27'!K10</f>
        <v>0</v>
      </c>
      <c r="AE10" s="106">
        <f>'28'!K10</f>
        <v>0</v>
      </c>
      <c r="AF10" s="106">
        <f>'29'!K10</f>
        <v>0</v>
      </c>
      <c r="AG10" s="106">
        <f>'30'!K10</f>
        <v>0</v>
      </c>
      <c r="AH10" s="18">
        <v>9450</v>
      </c>
      <c r="AI10" s="116">
        <f t="shared" si="0"/>
        <v>0</v>
      </c>
      <c r="AJ10" s="193">
        <f t="shared" si="1"/>
        <v>0</v>
      </c>
      <c r="AK10" s="36" t="s">
        <v>1</v>
      </c>
    </row>
    <row r="11" spans="1:37" x14ac:dyDescent="0.25">
      <c r="A11" s="135"/>
      <c r="B11" s="16" t="s">
        <v>6</v>
      </c>
      <c r="C11" s="17" t="s">
        <v>5</v>
      </c>
      <c r="D11" s="98">
        <f>'1'!K11</f>
        <v>10400</v>
      </c>
      <c r="E11" s="98">
        <f>'2'!K11</f>
        <v>10400</v>
      </c>
      <c r="F11" s="98">
        <f>'3'!K11</f>
        <v>10400</v>
      </c>
      <c r="G11" s="98">
        <f>'4'!K11</f>
        <v>10400</v>
      </c>
      <c r="H11" s="98">
        <f>'5'!K11</f>
        <v>10400</v>
      </c>
      <c r="I11" s="98">
        <f>'6'!K11</f>
        <v>10400</v>
      </c>
      <c r="J11" s="106">
        <f>'7'!K11</f>
        <v>10400</v>
      </c>
      <c r="K11" s="106">
        <f>'8'!K11</f>
        <v>10400</v>
      </c>
      <c r="L11" s="106">
        <f>'9'!K11</f>
        <v>10400</v>
      </c>
      <c r="M11" s="106">
        <f>'10'!K11</f>
        <v>10400</v>
      </c>
      <c r="N11" s="106">
        <f>'11'!K11</f>
        <v>10400</v>
      </c>
      <c r="O11" s="106">
        <f>'12'!K11</f>
        <v>10400</v>
      </c>
      <c r="P11" s="106">
        <f>'13'!K11</f>
        <v>10400</v>
      </c>
      <c r="Q11" s="106">
        <f>'14'!K11</f>
        <v>10000</v>
      </c>
      <c r="R11" s="106">
        <f>'15'!K11</f>
        <v>10000</v>
      </c>
      <c r="S11" s="106">
        <f>'14'!K11</f>
        <v>10000</v>
      </c>
      <c r="T11" s="106">
        <f>'17'!K11</f>
        <v>10000</v>
      </c>
      <c r="U11" s="106">
        <f>'18'!K11</f>
        <v>10000</v>
      </c>
      <c r="V11" s="106">
        <f>'19'!K11</f>
        <v>10400</v>
      </c>
      <c r="W11" s="106">
        <f>'20'!K11</f>
        <v>10400</v>
      </c>
      <c r="X11" s="106">
        <f>'21'!K11</f>
        <v>10400</v>
      </c>
      <c r="Y11" s="106">
        <f>'22'!K11</f>
        <v>10400</v>
      </c>
      <c r="Z11" s="106">
        <f>'23'!K11</f>
        <v>10400</v>
      </c>
      <c r="AA11" s="106">
        <f>'24'!K11</f>
        <v>10400</v>
      </c>
      <c r="AB11" s="106">
        <f>'25'!K11</f>
        <v>10400</v>
      </c>
      <c r="AC11" s="106">
        <f>'26'!K11</f>
        <v>10400</v>
      </c>
      <c r="AD11" s="106">
        <f>'27'!K11</f>
        <v>10400</v>
      </c>
      <c r="AE11" s="106">
        <f>'28'!K11</f>
        <v>10400</v>
      </c>
      <c r="AF11" s="106">
        <f>'29'!K11</f>
        <v>10400</v>
      </c>
      <c r="AG11" s="106">
        <f>'30'!K11</f>
        <v>10400</v>
      </c>
      <c r="AH11" s="18"/>
      <c r="AI11" s="116">
        <f t="shared" si="0"/>
        <v>0</v>
      </c>
      <c r="AJ11" s="193">
        <f t="shared" si="1"/>
        <v>10333.333333333334</v>
      </c>
    </row>
    <row r="12" spans="1:37" x14ac:dyDescent="0.25">
      <c r="A12" s="136"/>
      <c r="B12" s="16" t="s">
        <v>7</v>
      </c>
      <c r="C12" s="17" t="s">
        <v>5</v>
      </c>
      <c r="D12" s="98">
        <f>'1'!K12</f>
        <v>18400</v>
      </c>
      <c r="E12" s="98">
        <f>'2'!K12</f>
        <v>18400</v>
      </c>
      <c r="F12" s="98">
        <f>'3'!K12</f>
        <v>18400</v>
      </c>
      <c r="G12" s="98">
        <f>'4'!K12</f>
        <v>18400</v>
      </c>
      <c r="H12" s="98">
        <f>'5'!K12</f>
        <v>18400</v>
      </c>
      <c r="I12" s="98">
        <f>'6'!K12</f>
        <v>18400</v>
      </c>
      <c r="J12" s="106">
        <f>'7'!K12</f>
        <v>17400</v>
      </c>
      <c r="K12" s="106">
        <f>'8'!K12</f>
        <v>17750</v>
      </c>
      <c r="L12" s="106">
        <f>'9'!K12</f>
        <v>17750</v>
      </c>
      <c r="M12" s="106">
        <f>'10'!K12</f>
        <v>17750</v>
      </c>
      <c r="N12" s="106">
        <f>'11'!K12</f>
        <v>17750</v>
      </c>
      <c r="O12" s="106">
        <f>'12'!K12</f>
        <v>17750</v>
      </c>
      <c r="P12" s="106">
        <f>'13'!K12</f>
        <v>17750</v>
      </c>
      <c r="Q12" s="106">
        <f>'14'!K12</f>
        <v>18000</v>
      </c>
      <c r="R12" s="106">
        <f>'15'!K12</f>
        <v>18750</v>
      </c>
      <c r="S12" s="106">
        <f>'14'!K12</f>
        <v>18000</v>
      </c>
      <c r="T12" s="106">
        <f>'17'!K12</f>
        <v>19000</v>
      </c>
      <c r="U12" s="106">
        <f>'18'!K12</f>
        <v>19000</v>
      </c>
      <c r="V12" s="106">
        <f>'19'!K12</f>
        <v>18400</v>
      </c>
      <c r="W12" s="106">
        <f>'20'!K12</f>
        <v>18400</v>
      </c>
      <c r="X12" s="106">
        <f>'21'!K12</f>
        <v>18400</v>
      </c>
      <c r="Y12" s="106">
        <f>'22'!K12</f>
        <v>18400</v>
      </c>
      <c r="Z12" s="106">
        <f>'23'!K12</f>
        <v>18400</v>
      </c>
      <c r="AA12" s="106">
        <f>'24'!K12</f>
        <v>18400</v>
      </c>
      <c r="AB12" s="106">
        <f>'25'!K12</f>
        <v>18400</v>
      </c>
      <c r="AC12" s="106">
        <f>'26'!K12</f>
        <v>18400</v>
      </c>
      <c r="AD12" s="106">
        <f>'27'!K12</f>
        <v>18400</v>
      </c>
      <c r="AE12" s="106">
        <f>'28'!K12</f>
        <v>18400</v>
      </c>
      <c r="AF12" s="106">
        <f>'29'!K12</f>
        <v>18400</v>
      </c>
      <c r="AG12" s="106">
        <f>'30'!K12</f>
        <v>18400</v>
      </c>
      <c r="AH12" s="18"/>
      <c r="AI12" s="116">
        <f t="shared" si="0"/>
        <v>0</v>
      </c>
      <c r="AJ12" s="193">
        <f t="shared" si="1"/>
        <v>18261.666666666668</v>
      </c>
    </row>
    <row r="13" spans="1:37" x14ac:dyDescent="0.25">
      <c r="A13" s="134">
        <v>2</v>
      </c>
      <c r="B13" s="21" t="s">
        <v>8</v>
      </c>
      <c r="C13" s="19"/>
      <c r="D13" s="98">
        <f>'1'!K13</f>
        <v>0</v>
      </c>
      <c r="E13" s="98">
        <f>'2'!K13</f>
        <v>0</v>
      </c>
      <c r="F13" s="98">
        <f>'3'!K13</f>
        <v>0</v>
      </c>
      <c r="G13" s="98">
        <f>'4'!K13</f>
        <v>0</v>
      </c>
      <c r="H13" s="98">
        <f>'5'!K13</f>
        <v>0</v>
      </c>
      <c r="I13" s="98">
        <f>'6'!K13</f>
        <v>0</v>
      </c>
      <c r="J13" s="106">
        <f>'7'!K13</f>
        <v>0</v>
      </c>
      <c r="K13" s="106">
        <f>'8'!K13</f>
        <v>0</v>
      </c>
      <c r="L13" s="106">
        <f>'9'!K13</f>
        <v>0</v>
      </c>
      <c r="M13" s="106">
        <f>'10'!K13</f>
        <v>0</v>
      </c>
      <c r="N13" s="106">
        <f>'11'!K13</f>
        <v>0</v>
      </c>
      <c r="O13" s="106">
        <f>'12'!K13</f>
        <v>0</v>
      </c>
      <c r="P13" s="106">
        <f>'13'!K13</f>
        <v>0</v>
      </c>
      <c r="Q13" s="106">
        <f>'14'!K13</f>
        <v>0</v>
      </c>
      <c r="R13" s="106">
        <f>'15'!K13</f>
        <v>0</v>
      </c>
      <c r="S13" s="106">
        <f>'14'!K13</f>
        <v>0</v>
      </c>
      <c r="T13" s="106">
        <f>'17'!K13</f>
        <v>0</v>
      </c>
      <c r="U13" s="106">
        <f>'18'!K13</f>
        <v>0</v>
      </c>
      <c r="V13" s="106">
        <f>'19'!K13</f>
        <v>0</v>
      </c>
      <c r="W13" s="106">
        <f>'20'!K13</f>
        <v>0</v>
      </c>
      <c r="X13" s="106">
        <f>'21'!K13</f>
        <v>0</v>
      </c>
      <c r="Y13" s="106">
        <f>'22'!K13</f>
        <v>0</v>
      </c>
      <c r="Z13" s="106">
        <f>'23'!K13</f>
        <v>0</v>
      </c>
      <c r="AA13" s="106">
        <f>'24'!K13</f>
        <v>0</v>
      </c>
      <c r="AB13" s="106">
        <f>'25'!K13</f>
        <v>0</v>
      </c>
      <c r="AC13" s="106">
        <f>'26'!K13</f>
        <v>0</v>
      </c>
      <c r="AD13" s="106">
        <f>'27'!K13</f>
        <v>0</v>
      </c>
      <c r="AE13" s="106">
        <f>'28'!K13</f>
        <v>0</v>
      </c>
      <c r="AF13" s="106">
        <f>'29'!K13</f>
        <v>0</v>
      </c>
      <c r="AG13" s="106">
        <f>'30'!K13</f>
        <v>0</v>
      </c>
      <c r="AH13" s="18"/>
      <c r="AI13" s="116">
        <f t="shared" si="0"/>
        <v>0</v>
      </c>
      <c r="AJ13" s="193">
        <f t="shared" si="1"/>
        <v>0</v>
      </c>
    </row>
    <row r="14" spans="1:37" x14ac:dyDescent="0.25">
      <c r="A14" s="135"/>
      <c r="B14" s="19" t="s">
        <v>9</v>
      </c>
      <c r="C14" s="17" t="s">
        <v>5</v>
      </c>
      <c r="D14" s="98">
        <f>'1'!K14</f>
        <v>14642.857142857143</v>
      </c>
      <c r="E14" s="98">
        <f>'2'!K14</f>
        <v>14642.857142857143</v>
      </c>
      <c r="F14" s="98">
        <f>'3'!K14</f>
        <v>15071.428571428571</v>
      </c>
      <c r="G14" s="98">
        <f>'4'!K14</f>
        <v>15285.714285714286</v>
      </c>
      <c r="H14" s="98">
        <f>'5'!K14</f>
        <v>15142.857142857143</v>
      </c>
      <c r="I14" s="98">
        <f>'6'!K14</f>
        <v>15285.714285714286</v>
      </c>
      <c r="J14" s="106">
        <f>'7'!K14</f>
        <v>15214.285714285714</v>
      </c>
      <c r="K14" s="106">
        <f>'8'!K14</f>
        <v>15214.285714285714</v>
      </c>
      <c r="L14" s="106">
        <f>'9'!K14</f>
        <v>15214.285714285714</v>
      </c>
      <c r="M14" s="106">
        <f>'10'!K14</f>
        <v>15142.857142857143</v>
      </c>
      <c r="N14" s="106">
        <f>'11'!K14</f>
        <v>15214.285714285714</v>
      </c>
      <c r="O14" s="106">
        <f>'12'!K14</f>
        <v>15214.285714285714</v>
      </c>
      <c r="P14" s="106">
        <f>'13'!K14</f>
        <v>15428.571428571429</v>
      </c>
      <c r="Q14" s="106">
        <f>'14'!K14</f>
        <v>15285.714285714286</v>
      </c>
      <c r="R14" s="106">
        <f>'15'!K14</f>
        <v>15428.571428571429</v>
      </c>
      <c r="S14" s="106">
        <f>'14'!K14</f>
        <v>15285.714285714286</v>
      </c>
      <c r="T14" s="106">
        <f>'17'!K14</f>
        <v>15500</v>
      </c>
      <c r="U14" s="106">
        <f>'18'!K14</f>
        <v>15500</v>
      </c>
      <c r="V14" s="106">
        <f>'19'!K14</f>
        <v>15357.142857142857</v>
      </c>
      <c r="W14" s="106">
        <f>'20'!K14</f>
        <v>15500</v>
      </c>
      <c r="X14" s="106">
        <f>'21'!K14</f>
        <v>15642.857142857143</v>
      </c>
      <c r="Y14" s="106">
        <f>'22'!K14</f>
        <v>15642.857142857143</v>
      </c>
      <c r="Z14" s="106">
        <f>'23'!K14</f>
        <v>15714.285714285714</v>
      </c>
      <c r="AA14" s="106">
        <f>'24'!K14</f>
        <v>15857.142857142857</v>
      </c>
      <c r="AB14" s="106">
        <f>'25'!K14</f>
        <v>15857.142857142857</v>
      </c>
      <c r="AC14" s="106">
        <f>'26'!K14</f>
        <v>15857.142857142857</v>
      </c>
      <c r="AD14" s="106">
        <f>'27'!K14</f>
        <v>16000</v>
      </c>
      <c r="AE14" s="106">
        <f>'28'!K14</f>
        <v>16000</v>
      </c>
      <c r="AF14" s="106">
        <f>'29'!K14</f>
        <v>16214.285714285714</v>
      </c>
      <c r="AG14" s="106">
        <f>'30'!K14</f>
        <v>16285.714285714286</v>
      </c>
      <c r="AH14" s="18">
        <v>13500</v>
      </c>
      <c r="AI14" s="116">
        <f t="shared" si="0"/>
        <v>1642.8571428571431</v>
      </c>
      <c r="AJ14" s="193">
        <f t="shared" si="1"/>
        <v>15454.761904761903</v>
      </c>
    </row>
    <row r="15" spans="1:37" x14ac:dyDescent="0.25">
      <c r="A15" s="136"/>
      <c r="B15" s="20" t="s">
        <v>10</v>
      </c>
      <c r="C15" s="17" t="s">
        <v>5</v>
      </c>
      <c r="D15" s="98">
        <f>'1'!K15</f>
        <v>15142.857142857143</v>
      </c>
      <c r="E15" s="98">
        <f>'2'!K15</f>
        <v>15142.857142857143</v>
      </c>
      <c r="F15" s="98">
        <f>'3'!K15</f>
        <v>15285.714285714286</v>
      </c>
      <c r="G15" s="98">
        <f>'4'!K15</f>
        <v>15285.714285714286</v>
      </c>
      <c r="H15" s="98">
        <f>'5'!K15</f>
        <v>15285.714285714286</v>
      </c>
      <c r="I15" s="98">
        <f>'6'!K15</f>
        <v>15285.714285714286</v>
      </c>
      <c r="J15" s="106">
        <f>'7'!K15</f>
        <v>15285.714285714286</v>
      </c>
      <c r="K15" s="106">
        <f>'8'!K15</f>
        <v>15285.714285714286</v>
      </c>
      <c r="L15" s="106">
        <f>'9'!K15</f>
        <v>15285.714285714286</v>
      </c>
      <c r="M15" s="106">
        <f>'10'!K15</f>
        <v>15285.714285714286</v>
      </c>
      <c r="N15" s="106">
        <f>'11'!K15</f>
        <v>15285.714285714286</v>
      </c>
      <c r="O15" s="106">
        <f>'12'!K15</f>
        <v>15285.714285714286</v>
      </c>
      <c r="P15" s="106">
        <f>'13'!K15</f>
        <v>15285.714285714286</v>
      </c>
      <c r="Q15" s="106">
        <f>'14'!K15</f>
        <v>15285.714285714286</v>
      </c>
      <c r="R15" s="106">
        <f>'15'!K15</f>
        <v>15285.714285714286</v>
      </c>
      <c r="S15" s="106">
        <f>'14'!K15</f>
        <v>15285.714285714286</v>
      </c>
      <c r="T15" s="106">
        <f>'17'!K15</f>
        <v>15500</v>
      </c>
      <c r="U15" s="106">
        <f>'18'!K15</f>
        <v>15500</v>
      </c>
      <c r="V15" s="106">
        <f>'19'!K15</f>
        <v>15500</v>
      </c>
      <c r="W15" s="106">
        <f>'20'!K15</f>
        <v>15500</v>
      </c>
      <c r="X15" s="106">
        <f>'21'!K15</f>
        <v>15500</v>
      </c>
      <c r="Y15" s="106">
        <f>'22'!K15</f>
        <v>15500</v>
      </c>
      <c r="Z15" s="106">
        <f>'23'!K15</f>
        <v>15642.857142857143</v>
      </c>
      <c r="AA15" s="106">
        <f>'24'!K15</f>
        <v>15642.857142857143</v>
      </c>
      <c r="AB15" s="106">
        <f>'25'!K15</f>
        <v>15642.857142857143</v>
      </c>
      <c r="AC15" s="106">
        <f>'26'!K15</f>
        <v>15642.857142857143</v>
      </c>
      <c r="AD15" s="106">
        <f>'27'!K15</f>
        <v>15785.714285714286</v>
      </c>
      <c r="AE15" s="106">
        <f>'28'!K15</f>
        <v>15785.714285714286</v>
      </c>
      <c r="AF15" s="106">
        <f>'29'!K15</f>
        <v>15785.714285714286</v>
      </c>
      <c r="AG15" s="106">
        <f>'30'!K15</f>
        <v>15785.714285714286</v>
      </c>
      <c r="AH15" s="18"/>
      <c r="AI15" s="116">
        <f t="shared" si="0"/>
        <v>642.85714285714312</v>
      </c>
      <c r="AJ15" s="193">
        <f t="shared" si="1"/>
        <v>15433.333333333334</v>
      </c>
    </row>
    <row r="16" spans="1:37" x14ac:dyDescent="0.25">
      <c r="A16" s="134"/>
      <c r="B16" s="21" t="s">
        <v>11</v>
      </c>
      <c r="C16" s="21"/>
      <c r="D16" s="98">
        <f>'1'!K16</f>
        <v>0</v>
      </c>
      <c r="E16" s="98">
        <f>'2'!K16</f>
        <v>0</v>
      </c>
      <c r="F16" s="98">
        <f>'3'!K16</f>
        <v>0</v>
      </c>
      <c r="G16" s="98">
        <f>'4'!K16</f>
        <v>0</v>
      </c>
      <c r="H16" s="98">
        <f>'5'!K16</f>
        <v>0</v>
      </c>
      <c r="I16" s="98">
        <f>'6'!K16</f>
        <v>0</v>
      </c>
      <c r="J16" s="106">
        <f>'7'!K16</f>
        <v>0</v>
      </c>
      <c r="K16" s="106">
        <f>'8'!K16</f>
        <v>0</v>
      </c>
      <c r="L16" s="106">
        <f>'9'!K16</f>
        <v>0</v>
      </c>
      <c r="M16" s="106">
        <f>'10'!K16</f>
        <v>0</v>
      </c>
      <c r="N16" s="106">
        <f>'11'!K16</f>
        <v>0</v>
      </c>
      <c r="O16" s="106">
        <f>'12'!K16</f>
        <v>0</v>
      </c>
      <c r="P16" s="106">
        <f>'13'!K16</f>
        <v>0</v>
      </c>
      <c r="Q16" s="106">
        <f>'14'!K16</f>
        <v>0</v>
      </c>
      <c r="R16" s="106">
        <f>'15'!K16</f>
        <v>0</v>
      </c>
      <c r="S16" s="106">
        <f>'14'!K16</f>
        <v>0</v>
      </c>
      <c r="T16" s="106">
        <f>'17'!K16</f>
        <v>0</v>
      </c>
      <c r="U16" s="106">
        <f>'18'!K16</f>
        <v>0</v>
      </c>
      <c r="V16" s="106">
        <f>'19'!K16</f>
        <v>0</v>
      </c>
      <c r="W16" s="106">
        <f>'20'!K16</f>
        <v>0</v>
      </c>
      <c r="X16" s="106">
        <f>'21'!K16</f>
        <v>0</v>
      </c>
      <c r="Y16" s="106">
        <f>'22'!K16</f>
        <v>0</v>
      </c>
      <c r="Z16" s="106">
        <f>'23'!K16</f>
        <v>0</v>
      </c>
      <c r="AA16" s="106">
        <f>'24'!K16</f>
        <v>0</v>
      </c>
      <c r="AB16" s="106">
        <f>'25'!K16</f>
        <v>0</v>
      </c>
      <c r="AC16" s="106">
        <f>'26'!K16</f>
        <v>0</v>
      </c>
      <c r="AD16" s="106">
        <f>'27'!K16</f>
        <v>0</v>
      </c>
      <c r="AE16" s="106">
        <f>'28'!K16</f>
        <v>0</v>
      </c>
      <c r="AF16" s="106">
        <f>'29'!K16</f>
        <v>0</v>
      </c>
      <c r="AG16" s="106">
        <f>'30'!K16</f>
        <v>0</v>
      </c>
      <c r="AH16" s="18"/>
      <c r="AI16" s="116">
        <f t="shared" si="0"/>
        <v>0</v>
      </c>
      <c r="AJ16" s="193">
        <f t="shared" si="1"/>
        <v>0</v>
      </c>
    </row>
    <row r="17" spans="1:36" x14ac:dyDescent="0.25">
      <c r="A17" s="135"/>
      <c r="B17" s="20" t="s">
        <v>12</v>
      </c>
      <c r="C17" s="17" t="s">
        <v>5</v>
      </c>
      <c r="D17" s="98">
        <f>'1'!K17</f>
        <v>15142.857142857143</v>
      </c>
      <c r="E17" s="98">
        <f>'2'!K17</f>
        <v>15142.857142857143</v>
      </c>
      <c r="F17" s="98">
        <f>'3'!K17</f>
        <v>15142.857142857143</v>
      </c>
      <c r="G17" s="98">
        <f>'4'!K17</f>
        <v>15142.857142857143</v>
      </c>
      <c r="H17" s="98">
        <f>'5'!K17</f>
        <v>15142.857142857143</v>
      </c>
      <c r="I17" s="98">
        <f>'6'!K17</f>
        <v>15142.857142857143</v>
      </c>
      <c r="J17" s="106">
        <f>'7'!K17</f>
        <v>15142.857142857143</v>
      </c>
      <c r="K17" s="106">
        <f>'8'!K17</f>
        <v>15142.857142857143</v>
      </c>
      <c r="L17" s="106">
        <f>'9'!K17</f>
        <v>15000</v>
      </c>
      <c r="M17" s="106">
        <f>'10'!K17</f>
        <v>15142.857142857143</v>
      </c>
      <c r="N17" s="106">
        <f>'11'!K17</f>
        <v>15142.857142857143</v>
      </c>
      <c r="O17" s="106">
        <f>'12'!K17</f>
        <v>15142.857142857143</v>
      </c>
      <c r="P17" s="106">
        <f>'13'!K17</f>
        <v>15142.857142857143</v>
      </c>
      <c r="Q17" s="106">
        <f>'14'!K17</f>
        <v>15142.857142857143</v>
      </c>
      <c r="R17" s="106">
        <f>'15'!K17</f>
        <v>15142.857142857143</v>
      </c>
      <c r="S17" s="106">
        <f>'14'!K17</f>
        <v>15142.857142857143</v>
      </c>
      <c r="T17" s="106">
        <f>'17'!K17</f>
        <v>15142.857142857143</v>
      </c>
      <c r="U17" s="106">
        <f>'18'!K17</f>
        <v>15142.857142857143</v>
      </c>
      <c r="V17" s="106">
        <f>'19'!K17</f>
        <v>15142.857142857143</v>
      </c>
      <c r="W17" s="106">
        <f>'20'!K17</f>
        <v>15142.857142857143</v>
      </c>
      <c r="X17" s="106">
        <f>'21'!K17</f>
        <v>15142.857142857143</v>
      </c>
      <c r="Y17" s="106">
        <f>'22'!K17</f>
        <v>15142.857142857143</v>
      </c>
      <c r="Z17" s="106">
        <f>'23'!K17</f>
        <v>15142.857142857143</v>
      </c>
      <c r="AA17" s="106">
        <f>'24'!K17</f>
        <v>15142.857142857143</v>
      </c>
      <c r="AB17" s="106">
        <f>'25'!K17</f>
        <v>15142.857142857143</v>
      </c>
      <c r="AC17" s="106">
        <f>'26'!K17</f>
        <v>15142.857142857143</v>
      </c>
      <c r="AD17" s="106">
        <f>'27'!K17</f>
        <v>15142.857142857143</v>
      </c>
      <c r="AE17" s="106">
        <f>'28'!K17</f>
        <v>15142.857142857143</v>
      </c>
      <c r="AF17" s="106">
        <f>'29'!K17</f>
        <v>15285.714285714286</v>
      </c>
      <c r="AG17" s="106">
        <f>'30'!K17</f>
        <v>15142.857142857143</v>
      </c>
      <c r="AH17" s="18">
        <v>15500</v>
      </c>
      <c r="AI17" s="116">
        <f t="shared" si="0"/>
        <v>0</v>
      </c>
      <c r="AJ17" s="193">
        <f t="shared" si="1"/>
        <v>15142.857142857147</v>
      </c>
    </row>
    <row r="18" spans="1:36" x14ac:dyDescent="0.25">
      <c r="A18" s="136"/>
      <c r="B18" s="20" t="s">
        <v>110</v>
      </c>
      <c r="C18" s="17" t="s">
        <v>5</v>
      </c>
      <c r="D18" s="98">
        <f>'1'!K18</f>
        <v>14000</v>
      </c>
      <c r="E18" s="98">
        <f>'2'!K18</f>
        <v>14000</v>
      </c>
      <c r="F18" s="98">
        <f>'3'!K18</f>
        <v>14000</v>
      </c>
      <c r="G18" s="98">
        <f>'4'!K18</f>
        <v>14000</v>
      </c>
      <c r="H18" s="98">
        <f>'5'!K18</f>
        <v>14000</v>
      </c>
      <c r="I18" s="98">
        <f>'6'!K18</f>
        <v>14000</v>
      </c>
      <c r="J18" s="106">
        <f>'7'!K18</f>
        <v>14000</v>
      </c>
      <c r="K18" s="106">
        <f>'8'!K18</f>
        <v>14000</v>
      </c>
      <c r="L18" s="106">
        <f>'9'!K18</f>
        <v>14000</v>
      </c>
      <c r="M18" s="106">
        <f>'10'!K18</f>
        <v>14000</v>
      </c>
      <c r="N18" s="106">
        <f>'11'!K18</f>
        <v>14000</v>
      </c>
      <c r="O18" s="106">
        <f>'12'!K18</f>
        <v>14000</v>
      </c>
      <c r="P18" s="106">
        <f>'13'!K18</f>
        <v>14000</v>
      </c>
      <c r="Q18" s="106">
        <f>'14'!K18</f>
        <v>14000</v>
      </c>
      <c r="R18" s="106">
        <f>'15'!K18</f>
        <v>14000</v>
      </c>
      <c r="S18" s="106">
        <f>'14'!K18</f>
        <v>14000</v>
      </c>
      <c r="T18" s="106">
        <f>'17'!K18</f>
        <v>14000</v>
      </c>
      <c r="U18" s="106">
        <f>'18'!K18</f>
        <v>14000</v>
      </c>
      <c r="V18" s="106">
        <f>'19'!K18</f>
        <v>14000</v>
      </c>
      <c r="W18" s="106">
        <f>'20'!K18</f>
        <v>14000</v>
      </c>
      <c r="X18" s="106">
        <f>'21'!K18</f>
        <v>14000</v>
      </c>
      <c r="Y18" s="106">
        <f>'22'!K18</f>
        <v>14000</v>
      </c>
      <c r="Z18" s="106">
        <f>'23'!K18</f>
        <v>14000</v>
      </c>
      <c r="AA18" s="106">
        <f>'24'!K18</f>
        <v>14000</v>
      </c>
      <c r="AB18" s="106">
        <f>'25'!K18</f>
        <v>14000</v>
      </c>
      <c r="AC18" s="106">
        <f>'26'!K18</f>
        <v>14000</v>
      </c>
      <c r="AD18" s="106">
        <f>'27'!K18</f>
        <v>14000</v>
      </c>
      <c r="AE18" s="106">
        <f>'28'!K18</f>
        <v>14000</v>
      </c>
      <c r="AF18" s="106">
        <f>'29'!K18</f>
        <v>14000</v>
      </c>
      <c r="AG18" s="106">
        <f>'30'!K18</f>
        <v>14000</v>
      </c>
      <c r="AH18" s="18">
        <v>14000</v>
      </c>
      <c r="AI18" s="116">
        <f t="shared" si="0"/>
        <v>0</v>
      </c>
      <c r="AJ18" s="193">
        <f t="shared" si="1"/>
        <v>14000</v>
      </c>
    </row>
    <row r="19" spans="1:36" x14ac:dyDescent="0.25">
      <c r="A19" s="134">
        <v>4</v>
      </c>
      <c r="B19" s="21" t="s">
        <v>13</v>
      </c>
      <c r="C19" s="21"/>
      <c r="D19" s="98">
        <f>'1'!K19</f>
        <v>0</v>
      </c>
      <c r="E19" s="98">
        <f>'2'!K19</f>
        <v>0</v>
      </c>
      <c r="F19" s="98">
        <f>'3'!K19</f>
        <v>0</v>
      </c>
      <c r="G19" s="98">
        <f>'4'!K19</f>
        <v>0</v>
      </c>
      <c r="H19" s="98">
        <f>'5'!K19</f>
        <v>0</v>
      </c>
      <c r="I19" s="98">
        <f>'6'!K19</f>
        <v>0</v>
      </c>
      <c r="J19" s="106">
        <f>'7'!K19</f>
        <v>0</v>
      </c>
      <c r="K19" s="106">
        <f>'8'!K19</f>
        <v>0</v>
      </c>
      <c r="L19" s="106">
        <f>'9'!K19</f>
        <v>0</v>
      </c>
      <c r="M19" s="106">
        <f>'10'!K19</f>
        <v>0</v>
      </c>
      <c r="N19" s="106">
        <f>'11'!K19</f>
        <v>0</v>
      </c>
      <c r="O19" s="106">
        <f>'12'!K19</f>
        <v>0</v>
      </c>
      <c r="P19" s="106">
        <f>'13'!K19</f>
        <v>0</v>
      </c>
      <c r="Q19" s="106">
        <f>'14'!K19</f>
        <v>0</v>
      </c>
      <c r="R19" s="106">
        <f>'15'!K19</f>
        <v>0</v>
      </c>
      <c r="S19" s="106">
        <f>'14'!K19</f>
        <v>0</v>
      </c>
      <c r="T19" s="106">
        <f>'17'!K19</f>
        <v>0</v>
      </c>
      <c r="U19" s="106">
        <f>'18'!K19</f>
        <v>0</v>
      </c>
      <c r="V19" s="106">
        <f>'19'!K19</f>
        <v>0</v>
      </c>
      <c r="W19" s="106">
        <f>'20'!K19</f>
        <v>0</v>
      </c>
      <c r="X19" s="106">
        <f>'21'!K19</f>
        <v>0</v>
      </c>
      <c r="Y19" s="106">
        <f>'22'!K19</f>
        <v>0</v>
      </c>
      <c r="Z19" s="106">
        <f>'23'!K19</f>
        <v>0</v>
      </c>
      <c r="AA19" s="106">
        <f>'24'!K19</f>
        <v>0</v>
      </c>
      <c r="AB19" s="106">
        <f>'25'!K19</f>
        <v>0</v>
      </c>
      <c r="AC19" s="106">
        <f>'26'!K19</f>
        <v>0</v>
      </c>
      <c r="AD19" s="106">
        <f>'27'!K19</f>
        <v>0</v>
      </c>
      <c r="AE19" s="106">
        <f>'28'!K19</f>
        <v>0</v>
      </c>
      <c r="AF19" s="106">
        <f>'29'!K19</f>
        <v>0</v>
      </c>
      <c r="AG19" s="106">
        <f>'30'!K19</f>
        <v>0</v>
      </c>
      <c r="AH19" s="18"/>
      <c r="AI19" s="116">
        <f t="shared" si="0"/>
        <v>0</v>
      </c>
      <c r="AJ19" s="193">
        <f t="shared" si="1"/>
        <v>0</v>
      </c>
    </row>
    <row r="20" spans="1:36" x14ac:dyDescent="0.25">
      <c r="A20" s="136"/>
      <c r="B20" s="20" t="s">
        <v>14</v>
      </c>
      <c r="C20" s="17" t="s">
        <v>5</v>
      </c>
      <c r="D20" s="98">
        <f>'1'!K20</f>
        <v>20400</v>
      </c>
      <c r="E20" s="98">
        <f>'2'!K20</f>
        <v>20400</v>
      </c>
      <c r="F20" s="98">
        <f>'3'!K20</f>
        <v>20400</v>
      </c>
      <c r="G20" s="98">
        <f>'4'!K20</f>
        <v>20400</v>
      </c>
      <c r="H20" s="98">
        <f>'5'!K20</f>
        <v>20400</v>
      </c>
      <c r="I20" s="98">
        <f>'6'!K20</f>
        <v>20400</v>
      </c>
      <c r="J20" s="106">
        <f>'7'!K20</f>
        <v>20400</v>
      </c>
      <c r="K20" s="106">
        <f>'8'!K20</f>
        <v>20400</v>
      </c>
      <c r="L20" s="106">
        <f>'9'!K20</f>
        <v>20400</v>
      </c>
      <c r="M20" s="106">
        <f>'10'!K20</f>
        <v>20400</v>
      </c>
      <c r="N20" s="106">
        <f>'11'!K20</f>
        <v>20400</v>
      </c>
      <c r="O20" s="106">
        <f>'12'!K20</f>
        <v>20400</v>
      </c>
      <c r="P20" s="106">
        <f>'13'!K20</f>
        <v>20400</v>
      </c>
      <c r="Q20" s="106">
        <f>'14'!K20</f>
        <v>20400</v>
      </c>
      <c r="R20" s="106">
        <f>'15'!K20</f>
        <v>20400</v>
      </c>
      <c r="S20" s="106">
        <f>'14'!K20</f>
        <v>20400</v>
      </c>
      <c r="T20" s="106">
        <f>'17'!K20</f>
        <v>20400</v>
      </c>
      <c r="U20" s="106">
        <f>'18'!K20</f>
        <v>20400</v>
      </c>
      <c r="V20" s="106">
        <f>'19'!K20</f>
        <v>20400</v>
      </c>
      <c r="W20" s="106">
        <f>'20'!K20</f>
        <v>20400</v>
      </c>
      <c r="X20" s="106">
        <f>'21'!K20</f>
        <v>20400</v>
      </c>
      <c r="Y20" s="106">
        <f>'22'!K20</f>
        <v>20400</v>
      </c>
      <c r="Z20" s="106">
        <f>'23'!K20</f>
        <v>20400</v>
      </c>
      <c r="AA20" s="106">
        <f>'24'!K20</f>
        <v>20400</v>
      </c>
      <c r="AB20" s="106">
        <f>'25'!K20</f>
        <v>20400</v>
      </c>
      <c r="AC20" s="106">
        <f>'26'!K20</f>
        <v>20400</v>
      </c>
      <c r="AD20" s="106">
        <f>'27'!K20</f>
        <v>20400</v>
      </c>
      <c r="AE20" s="106">
        <f>'28'!K20</f>
        <v>20400</v>
      </c>
      <c r="AF20" s="106">
        <f>'29'!K20</f>
        <v>20400</v>
      </c>
      <c r="AG20" s="106">
        <f>'30'!K20</f>
        <v>20400</v>
      </c>
      <c r="AH20" s="18"/>
      <c r="AI20" s="116">
        <f t="shared" si="0"/>
        <v>0</v>
      </c>
      <c r="AJ20" s="193">
        <f t="shared" si="1"/>
        <v>20400</v>
      </c>
    </row>
    <row r="21" spans="1:36" x14ac:dyDescent="0.25">
      <c r="A21" s="134">
        <v>5</v>
      </c>
      <c r="B21" s="21" t="s">
        <v>15</v>
      </c>
      <c r="C21" s="21"/>
      <c r="D21" s="98">
        <f>'1'!K21</f>
        <v>0</v>
      </c>
      <c r="E21" s="98">
        <f>'2'!K21</f>
        <v>0</v>
      </c>
      <c r="F21" s="98">
        <f>'3'!K21</f>
        <v>0</v>
      </c>
      <c r="G21" s="98">
        <f>'4'!K21</f>
        <v>0</v>
      </c>
      <c r="H21" s="98">
        <f>'5'!K21</f>
        <v>0</v>
      </c>
      <c r="I21" s="98">
        <f>'6'!K21</f>
        <v>0</v>
      </c>
      <c r="J21" s="106">
        <f>'7'!K21</f>
        <v>0</v>
      </c>
      <c r="K21" s="106">
        <f>'8'!K21</f>
        <v>0</v>
      </c>
      <c r="L21" s="106">
        <f>'9'!K21</f>
        <v>0</v>
      </c>
      <c r="M21" s="106">
        <f>'10'!K21</f>
        <v>0</v>
      </c>
      <c r="N21" s="106">
        <f>'11'!K21</f>
        <v>0</v>
      </c>
      <c r="O21" s="106">
        <f>'12'!K21</f>
        <v>0</v>
      </c>
      <c r="P21" s="106">
        <f>'13'!K21</f>
        <v>0</v>
      </c>
      <c r="Q21" s="106">
        <f>'14'!K21</f>
        <v>0</v>
      </c>
      <c r="R21" s="106">
        <f>'15'!K21</f>
        <v>0</v>
      </c>
      <c r="S21" s="106">
        <f>'14'!K21</f>
        <v>0</v>
      </c>
      <c r="T21" s="106">
        <f>'17'!K21</f>
        <v>0</v>
      </c>
      <c r="U21" s="106">
        <f>'18'!K21</f>
        <v>0</v>
      </c>
      <c r="V21" s="106">
        <f>'19'!K21</f>
        <v>0</v>
      </c>
      <c r="W21" s="106">
        <f>'20'!K21</f>
        <v>0</v>
      </c>
      <c r="X21" s="106">
        <f>'21'!K21</f>
        <v>0</v>
      </c>
      <c r="Y21" s="106">
        <f>'22'!K21</f>
        <v>0</v>
      </c>
      <c r="Z21" s="106">
        <f>'23'!K21</f>
        <v>0</v>
      </c>
      <c r="AA21" s="106">
        <f>'24'!K21</f>
        <v>0</v>
      </c>
      <c r="AB21" s="106">
        <f>'25'!K21</f>
        <v>0</v>
      </c>
      <c r="AC21" s="106">
        <f>'26'!K21</f>
        <v>0</v>
      </c>
      <c r="AD21" s="106">
        <f>'27'!K21</f>
        <v>0</v>
      </c>
      <c r="AE21" s="106">
        <f>'28'!K21</f>
        <v>0</v>
      </c>
      <c r="AF21" s="106">
        <f>'29'!K21</f>
        <v>0</v>
      </c>
      <c r="AG21" s="106">
        <f>'30'!K21</f>
        <v>0</v>
      </c>
      <c r="AH21" s="18"/>
      <c r="AI21" s="116">
        <f t="shared" si="0"/>
        <v>0</v>
      </c>
      <c r="AJ21" s="193">
        <f t="shared" si="1"/>
        <v>0</v>
      </c>
    </row>
    <row r="22" spans="1:36" x14ac:dyDescent="0.25">
      <c r="A22" s="135"/>
      <c r="B22" s="20" t="s">
        <v>16</v>
      </c>
      <c r="C22" s="17" t="s">
        <v>5</v>
      </c>
      <c r="D22" s="98">
        <f>'1'!K22</f>
        <v>120000</v>
      </c>
      <c r="E22" s="98">
        <f>'2'!K22</f>
        <v>120000</v>
      </c>
      <c r="F22" s="98">
        <f>'3'!K22</f>
        <v>120000</v>
      </c>
      <c r="G22" s="98">
        <f>'4'!K22</f>
        <v>120000</v>
      </c>
      <c r="H22" s="98">
        <f>'5'!K22</f>
        <v>120000</v>
      </c>
      <c r="I22" s="98">
        <f>'6'!K22</f>
        <v>120000</v>
      </c>
      <c r="J22" s="106">
        <f>'7'!K22</f>
        <v>120000</v>
      </c>
      <c r="K22" s="106">
        <f>'8'!K22</f>
        <v>120000</v>
      </c>
      <c r="L22" s="106">
        <f>'9'!K22</f>
        <v>120000</v>
      </c>
      <c r="M22" s="106">
        <f>'10'!K22</f>
        <v>120000</v>
      </c>
      <c r="N22" s="106">
        <f>'11'!K22</f>
        <v>120000</v>
      </c>
      <c r="O22" s="106">
        <f>'12'!K22</f>
        <v>120000</v>
      </c>
      <c r="P22" s="106">
        <f>'13'!K22</f>
        <v>120000</v>
      </c>
      <c r="Q22" s="106">
        <f>'14'!K22</f>
        <v>120000</v>
      </c>
      <c r="R22" s="106">
        <f>'15'!K22</f>
        <v>120000</v>
      </c>
      <c r="S22" s="106">
        <f>'14'!K22</f>
        <v>120000</v>
      </c>
      <c r="T22" s="106">
        <f>'17'!K22</f>
        <v>120000</v>
      </c>
      <c r="U22" s="106">
        <f>'18'!K22</f>
        <v>120000</v>
      </c>
      <c r="V22" s="106">
        <f>'19'!K22</f>
        <v>120000</v>
      </c>
      <c r="W22" s="106">
        <f>'20'!K22</f>
        <v>120000</v>
      </c>
      <c r="X22" s="106">
        <f>'21'!K22</f>
        <v>120000</v>
      </c>
      <c r="Y22" s="106">
        <f>'22'!K22</f>
        <v>120000</v>
      </c>
      <c r="Z22" s="106">
        <f>'23'!K22</f>
        <v>120000</v>
      </c>
      <c r="AA22" s="106">
        <f>'24'!K22</f>
        <v>120000</v>
      </c>
      <c r="AB22" s="106">
        <f>'25'!K22</f>
        <v>120000</v>
      </c>
      <c r="AC22" s="106">
        <f>'26'!K22</f>
        <v>120000</v>
      </c>
      <c r="AD22" s="106">
        <f>'27'!K22</f>
        <v>120000</v>
      </c>
      <c r="AE22" s="106">
        <f>'28'!K22</f>
        <v>120000</v>
      </c>
      <c r="AF22" s="106">
        <f>'29'!K22</f>
        <v>120000</v>
      </c>
      <c r="AG22" s="106">
        <f>'30'!K22</f>
        <v>120000</v>
      </c>
      <c r="AH22" s="18">
        <v>105000</v>
      </c>
      <c r="AI22" s="116">
        <f t="shared" si="0"/>
        <v>0</v>
      </c>
      <c r="AJ22" s="193">
        <f t="shared" si="1"/>
        <v>120000</v>
      </c>
    </row>
    <row r="23" spans="1:36" x14ac:dyDescent="0.25">
      <c r="A23" s="135"/>
      <c r="B23" s="20" t="s">
        <v>17</v>
      </c>
      <c r="C23" s="17" t="s">
        <v>5</v>
      </c>
      <c r="D23" s="98">
        <f>'1'!K23</f>
        <v>111428.57142857143</v>
      </c>
      <c r="E23" s="98">
        <f>'2'!K23</f>
        <v>111428.57142857143</v>
      </c>
      <c r="F23" s="98">
        <f>'3'!K23</f>
        <v>111428.57142857143</v>
      </c>
      <c r="G23" s="98">
        <f>'4'!K23</f>
        <v>111428.57142857143</v>
      </c>
      <c r="H23" s="98">
        <f>'5'!K23</f>
        <v>111428.57142857143</v>
      </c>
      <c r="I23" s="98">
        <f>'6'!K23</f>
        <v>111428.57142857143</v>
      </c>
      <c r="J23" s="106">
        <f>'7'!K23</f>
        <v>111428.57142857143</v>
      </c>
      <c r="K23" s="106">
        <f>'8'!K23</f>
        <v>111428.57142857143</v>
      </c>
      <c r="L23" s="106">
        <f>'9'!K23</f>
        <v>111428.57142857143</v>
      </c>
      <c r="M23" s="106">
        <f>'10'!K23</f>
        <v>110714.28571428571</v>
      </c>
      <c r="N23" s="106">
        <f>'11'!K23</f>
        <v>110714.28571428571</v>
      </c>
      <c r="O23" s="106">
        <f>'12'!K23</f>
        <v>110714.28571428571</v>
      </c>
      <c r="P23" s="106">
        <f>'13'!K23</f>
        <v>110714.28571428571</v>
      </c>
      <c r="Q23" s="106">
        <f>'14'!K23</f>
        <v>110714.28571428571</v>
      </c>
      <c r="R23" s="106">
        <f>'15'!K23</f>
        <v>110714.28571428571</v>
      </c>
      <c r="S23" s="106">
        <f>'14'!K23</f>
        <v>110714.28571428571</v>
      </c>
      <c r="T23" s="106">
        <f>'17'!K23</f>
        <v>110714.28571428571</v>
      </c>
      <c r="U23" s="106">
        <f>'18'!K23</f>
        <v>110714.28571428571</v>
      </c>
      <c r="V23" s="106">
        <f>'19'!K23</f>
        <v>110714.28571428571</v>
      </c>
      <c r="W23" s="106">
        <f>'20'!K23</f>
        <v>110714.28571428571</v>
      </c>
      <c r="X23" s="106">
        <f>'21'!K23</f>
        <v>110714.28571428571</v>
      </c>
      <c r="Y23" s="106">
        <f>'22'!K23</f>
        <v>110714.28571428571</v>
      </c>
      <c r="Z23" s="106">
        <f>'23'!K23</f>
        <v>110714.28571428571</v>
      </c>
      <c r="AA23" s="106">
        <f>'24'!K23</f>
        <v>110714.28571428571</v>
      </c>
      <c r="AB23" s="106">
        <f>'25'!K23</f>
        <v>110714.28571428571</v>
      </c>
      <c r="AC23" s="106">
        <f>'26'!K23</f>
        <v>110714.28571428571</v>
      </c>
      <c r="AD23" s="106">
        <f>'27'!K23</f>
        <v>110714.28571428571</v>
      </c>
      <c r="AE23" s="106">
        <f>'28'!K23</f>
        <v>110714.28571428571</v>
      </c>
      <c r="AF23" s="106">
        <f>'29'!K23</f>
        <v>110714.28571428571</v>
      </c>
      <c r="AG23" s="106">
        <f>'30'!K23</f>
        <v>110714.28571428571</v>
      </c>
      <c r="AH23" s="18">
        <v>80000</v>
      </c>
      <c r="AI23" s="116">
        <f t="shared" si="0"/>
        <v>-714.28571428572468</v>
      </c>
      <c r="AJ23" s="193">
        <f t="shared" si="1"/>
        <v>110928.57142857151</v>
      </c>
    </row>
    <row r="24" spans="1:36" x14ac:dyDescent="0.25">
      <c r="A24" s="135"/>
      <c r="B24" s="20" t="s">
        <v>18</v>
      </c>
      <c r="C24" s="17" t="s">
        <v>5</v>
      </c>
      <c r="D24" s="98">
        <f>'1'!K24</f>
        <v>100714.28571428571</v>
      </c>
      <c r="E24" s="98">
        <f>'2'!K24</f>
        <v>100714.28571428571</v>
      </c>
      <c r="F24" s="98">
        <f>'3'!K24</f>
        <v>100714.28571428571</v>
      </c>
      <c r="G24" s="98">
        <f>'4'!K24</f>
        <v>100714.28571428571</v>
      </c>
      <c r="H24" s="98">
        <f>'5'!K24</f>
        <v>100714.28571428571</v>
      </c>
      <c r="I24" s="98">
        <f>'6'!K24</f>
        <v>100714.28571428571</v>
      </c>
      <c r="J24" s="106">
        <f>'7'!K24</f>
        <v>100714.28571428571</v>
      </c>
      <c r="K24" s="106">
        <f>'8'!K24</f>
        <v>100714.28571428571</v>
      </c>
      <c r="L24" s="106">
        <f>'9'!K24</f>
        <v>100714.28571428571</v>
      </c>
      <c r="M24" s="106">
        <f>'10'!K24</f>
        <v>100714.28571428571</v>
      </c>
      <c r="N24" s="106">
        <f>'11'!K24</f>
        <v>100714.28571428571</v>
      </c>
      <c r="O24" s="106">
        <f>'12'!K24</f>
        <v>100714.28571428571</v>
      </c>
      <c r="P24" s="106">
        <f>'13'!K24</f>
        <v>100714.28571428571</v>
      </c>
      <c r="Q24" s="106">
        <f>'14'!K24</f>
        <v>99285.71428571429</v>
      </c>
      <c r="R24" s="106">
        <f>'15'!K24</f>
        <v>99285.71428571429</v>
      </c>
      <c r="S24" s="106">
        <f>'14'!K24</f>
        <v>99285.71428571429</v>
      </c>
      <c r="T24" s="106">
        <f>'17'!K24</f>
        <v>99285.71428571429</v>
      </c>
      <c r="U24" s="106">
        <f>'18'!K24</f>
        <v>100714.28571428571</v>
      </c>
      <c r="V24" s="106">
        <f>'19'!K24</f>
        <v>100714.28571428571</v>
      </c>
      <c r="W24" s="106">
        <f>'20'!K24</f>
        <v>100714.28571428571</v>
      </c>
      <c r="X24" s="106">
        <f>'21'!K24</f>
        <v>100714.28571428571</v>
      </c>
      <c r="Y24" s="106">
        <f>'22'!K24</f>
        <v>100714.28571428571</v>
      </c>
      <c r="Z24" s="106">
        <f>'23'!K24</f>
        <v>100714.28571428571</v>
      </c>
      <c r="AA24" s="106">
        <f>'24'!K24</f>
        <v>100714.28571428571</v>
      </c>
      <c r="AB24" s="106">
        <f>'25'!K24</f>
        <v>100714.28571428571</v>
      </c>
      <c r="AC24" s="106">
        <f>'26'!K24</f>
        <v>100714.28571428571</v>
      </c>
      <c r="AD24" s="106">
        <f>'27'!K24</f>
        <v>100714.28571428571</v>
      </c>
      <c r="AE24" s="106">
        <f>'28'!K24</f>
        <v>100714.28571428571</v>
      </c>
      <c r="AF24" s="106">
        <f>'29'!K24</f>
        <v>100714.28571428571</v>
      </c>
      <c r="AG24" s="106">
        <f>'30'!K24</f>
        <v>100714.28571428571</v>
      </c>
      <c r="AH24" s="18">
        <v>80000</v>
      </c>
      <c r="AI24" s="116">
        <f t="shared" si="0"/>
        <v>0</v>
      </c>
      <c r="AJ24" s="193">
        <f t="shared" si="1"/>
        <v>100523.80952380957</v>
      </c>
    </row>
    <row r="25" spans="1:36" x14ac:dyDescent="0.25">
      <c r="A25" s="136"/>
      <c r="B25" s="20" t="s">
        <v>19</v>
      </c>
      <c r="C25" s="17" t="s">
        <v>5</v>
      </c>
      <c r="D25" s="98">
        <f>'1'!K25</f>
        <v>33714.285714285717</v>
      </c>
      <c r="E25" s="98">
        <f>'2'!K25</f>
        <v>33571.428571428572</v>
      </c>
      <c r="F25" s="98">
        <f>'3'!K25</f>
        <v>33642.857142857145</v>
      </c>
      <c r="G25" s="98">
        <f>'4'!K25</f>
        <v>33642.857142857145</v>
      </c>
      <c r="H25" s="98">
        <f>'5'!K25</f>
        <v>33642.857142857145</v>
      </c>
      <c r="I25" s="98">
        <f>'6'!K25</f>
        <v>33500</v>
      </c>
      <c r="J25" s="106">
        <f>'7'!K25</f>
        <v>33857.142857142855</v>
      </c>
      <c r="K25" s="106">
        <f>'8'!K25</f>
        <v>34000</v>
      </c>
      <c r="L25" s="106">
        <f>'9'!K25</f>
        <v>34000</v>
      </c>
      <c r="M25" s="106">
        <f>'10'!K25</f>
        <v>34142.857142857145</v>
      </c>
      <c r="N25" s="106">
        <f>'11'!K25</f>
        <v>34142.857142857145</v>
      </c>
      <c r="O25" s="106">
        <f>'12'!K25</f>
        <v>34142.857142857145</v>
      </c>
      <c r="P25" s="106">
        <f>'13'!K25</f>
        <v>34142.857142857145</v>
      </c>
      <c r="Q25" s="106">
        <f>'14'!K25</f>
        <v>34142.857142857145</v>
      </c>
      <c r="R25" s="106">
        <f>'15'!K25</f>
        <v>33857.142857142855</v>
      </c>
      <c r="S25" s="106">
        <f>'14'!K25</f>
        <v>34142.857142857145</v>
      </c>
      <c r="T25" s="106">
        <f>'17'!K25</f>
        <v>33285.714285714283</v>
      </c>
      <c r="U25" s="106">
        <f>'18'!K25</f>
        <v>33571.428571428572</v>
      </c>
      <c r="V25" s="106">
        <f>'19'!K25</f>
        <v>33714.285714285717</v>
      </c>
      <c r="W25" s="106">
        <f>'20'!K25</f>
        <v>33428.571428571428</v>
      </c>
      <c r="X25" s="106">
        <f>'21'!K25</f>
        <v>33142.857142857145</v>
      </c>
      <c r="Y25" s="106">
        <f>'22'!K25</f>
        <v>33142.857142857145</v>
      </c>
      <c r="Z25" s="106">
        <f>'23'!K25</f>
        <v>32428.571428571428</v>
      </c>
      <c r="AA25" s="106">
        <f>'24'!K25</f>
        <v>31714.285714285714</v>
      </c>
      <c r="AB25" s="106">
        <f>'25'!K25</f>
        <v>31571.428571428572</v>
      </c>
      <c r="AC25" s="106">
        <f>'26'!K25</f>
        <v>31714.285714285714</v>
      </c>
      <c r="AD25" s="106">
        <f>'27'!K25</f>
        <v>31714.285714285714</v>
      </c>
      <c r="AE25" s="106">
        <f>'28'!K25</f>
        <v>31142.857142857141</v>
      </c>
      <c r="AF25" s="106">
        <f>'29'!K25</f>
        <v>31000</v>
      </c>
      <c r="AG25" s="106">
        <f>'30'!K25</f>
        <v>31142.857142857141</v>
      </c>
      <c r="AH25" s="18">
        <v>36750</v>
      </c>
      <c r="AI25" s="116">
        <f t="shared" si="0"/>
        <v>-2571.4285714285761</v>
      </c>
      <c r="AJ25" s="193">
        <f t="shared" si="1"/>
        <v>33166.666666666664</v>
      </c>
    </row>
    <row r="26" spans="1:36" x14ac:dyDescent="0.25">
      <c r="A26" s="134">
        <v>6</v>
      </c>
      <c r="B26" s="21" t="s">
        <v>20</v>
      </c>
      <c r="C26" s="21"/>
      <c r="D26" s="98">
        <f>'1'!K26</f>
        <v>0</v>
      </c>
      <c r="E26" s="98">
        <f>'2'!K26</f>
        <v>0</v>
      </c>
      <c r="F26" s="98">
        <f>'3'!K26</f>
        <v>0</v>
      </c>
      <c r="G26" s="98">
        <f>'4'!K26</f>
        <v>0</v>
      </c>
      <c r="H26" s="98">
        <f>'5'!K26</f>
        <v>0</v>
      </c>
      <c r="I26" s="98">
        <f>'6'!K26</f>
        <v>0</v>
      </c>
      <c r="J26" s="106">
        <f>'7'!K26</f>
        <v>0</v>
      </c>
      <c r="K26" s="106">
        <f>'8'!K26</f>
        <v>0</v>
      </c>
      <c r="L26" s="106">
        <f>'9'!K26</f>
        <v>0</v>
      </c>
      <c r="M26" s="106">
        <f>'10'!K26</f>
        <v>0</v>
      </c>
      <c r="N26" s="106">
        <f>'11'!K26</f>
        <v>0</v>
      </c>
      <c r="O26" s="106">
        <f>'12'!K26</f>
        <v>0</v>
      </c>
      <c r="P26" s="106">
        <f>'13'!K26</f>
        <v>0</v>
      </c>
      <c r="Q26" s="106">
        <f>'14'!K26</f>
        <v>0</v>
      </c>
      <c r="R26" s="106">
        <f>'15'!K26</f>
        <v>0</v>
      </c>
      <c r="S26" s="106">
        <f>'14'!K26</f>
        <v>0</v>
      </c>
      <c r="T26" s="106">
        <f>'17'!K26</f>
        <v>0</v>
      </c>
      <c r="U26" s="106">
        <f>'18'!K26</f>
        <v>0</v>
      </c>
      <c r="V26" s="106">
        <f>'19'!K26</f>
        <v>0</v>
      </c>
      <c r="W26" s="106">
        <f>'20'!K26</f>
        <v>0</v>
      </c>
      <c r="X26" s="106">
        <f>'21'!K26</f>
        <v>0</v>
      </c>
      <c r="Y26" s="106">
        <f>'22'!K26</f>
        <v>0</v>
      </c>
      <c r="Z26" s="106">
        <f>'23'!K26</f>
        <v>0</v>
      </c>
      <c r="AA26" s="106">
        <f>'24'!K26</f>
        <v>0</v>
      </c>
      <c r="AB26" s="106">
        <f>'25'!K26</f>
        <v>0</v>
      </c>
      <c r="AC26" s="106">
        <f>'26'!K26</f>
        <v>0</v>
      </c>
      <c r="AD26" s="106">
        <f>'27'!K26</f>
        <v>0</v>
      </c>
      <c r="AE26" s="106">
        <f>'28'!K26</f>
        <v>0</v>
      </c>
      <c r="AF26" s="106">
        <f>'29'!K26</f>
        <v>0</v>
      </c>
      <c r="AG26" s="106">
        <f>'30'!K26</f>
        <v>0</v>
      </c>
      <c r="AH26" s="18"/>
      <c r="AI26" s="116">
        <f t="shared" si="0"/>
        <v>0</v>
      </c>
      <c r="AJ26" s="193">
        <f t="shared" si="1"/>
        <v>0</v>
      </c>
    </row>
    <row r="27" spans="1:36" x14ac:dyDescent="0.25">
      <c r="A27" s="135"/>
      <c r="B27" s="20" t="s">
        <v>21</v>
      </c>
      <c r="C27" s="17" t="s">
        <v>5</v>
      </c>
      <c r="D27" s="98">
        <f>'1'!K27</f>
        <v>35166.666666666664</v>
      </c>
      <c r="E27" s="98">
        <f>'2'!K27</f>
        <v>35166.666666666664</v>
      </c>
      <c r="F27" s="98">
        <f>'3'!K27</f>
        <v>35166.666666666664</v>
      </c>
      <c r="G27" s="98">
        <f>'4'!K27</f>
        <v>35166.666666666664</v>
      </c>
      <c r="H27" s="98">
        <f>'5'!K27</f>
        <v>35166.666666666664</v>
      </c>
      <c r="I27" s="98">
        <f>'6'!K27</f>
        <v>35666.666666666664</v>
      </c>
      <c r="J27" s="106">
        <f>'7'!K27</f>
        <v>35666.666666666664</v>
      </c>
      <c r="K27" s="106">
        <f>'8'!K27</f>
        <v>35666.666666666664</v>
      </c>
      <c r="L27" s="106">
        <f>'9'!K27</f>
        <v>35666.666666666664</v>
      </c>
      <c r="M27" s="106">
        <f>'10'!K27</f>
        <v>35800</v>
      </c>
      <c r="N27" s="106">
        <f>'11'!K27</f>
        <v>35800</v>
      </c>
      <c r="O27" s="106">
        <f>'12'!K27</f>
        <v>35800</v>
      </c>
      <c r="P27" s="106">
        <f>'13'!K27</f>
        <v>35800</v>
      </c>
      <c r="Q27" s="106">
        <f>'14'!K27</f>
        <v>35666.666666666664</v>
      </c>
      <c r="R27" s="106">
        <f>'15'!K27</f>
        <v>35666.666666666664</v>
      </c>
      <c r="S27" s="106">
        <f>'14'!K27</f>
        <v>35666.666666666664</v>
      </c>
      <c r="T27" s="106">
        <f>'17'!K27</f>
        <v>35666.666666666664</v>
      </c>
      <c r="U27" s="106">
        <f>'18'!K27</f>
        <v>35666.666666666664</v>
      </c>
      <c r="V27" s="106">
        <f>'19'!K27</f>
        <v>35800</v>
      </c>
      <c r="W27" s="106">
        <f>'20'!K27</f>
        <v>35800</v>
      </c>
      <c r="X27" s="106">
        <f>'21'!K27</f>
        <v>35800</v>
      </c>
      <c r="Y27" s="106">
        <f>'22'!K27</f>
        <v>35800</v>
      </c>
      <c r="Z27" s="106">
        <f>'23'!K27</f>
        <v>35800</v>
      </c>
      <c r="AA27" s="106">
        <f>'24'!K27</f>
        <v>35800</v>
      </c>
      <c r="AB27" s="106">
        <f>'25'!K27</f>
        <v>35800</v>
      </c>
      <c r="AC27" s="106">
        <f>'26'!K27</f>
        <v>35800</v>
      </c>
      <c r="AD27" s="106">
        <f>'27'!K27</f>
        <v>35800</v>
      </c>
      <c r="AE27" s="106">
        <f>'28'!K27</f>
        <v>35600</v>
      </c>
      <c r="AF27" s="106">
        <f>'29'!K27</f>
        <v>35600</v>
      </c>
      <c r="AG27" s="106">
        <f>'30'!K27</f>
        <v>35600</v>
      </c>
      <c r="AH27" s="18"/>
      <c r="AI27" s="116">
        <f t="shared" si="0"/>
        <v>433.33333333333576</v>
      </c>
      <c r="AJ27" s="193">
        <f t="shared" si="1"/>
        <v>35634.444444444445</v>
      </c>
    </row>
    <row r="28" spans="1:36" x14ac:dyDescent="0.25">
      <c r="A28" s="135"/>
      <c r="B28" s="20" t="s">
        <v>22</v>
      </c>
      <c r="C28" s="17" t="s">
        <v>5</v>
      </c>
      <c r="D28" s="98">
        <f>'1'!K28</f>
        <v>27285.714285714286</v>
      </c>
      <c r="E28" s="98">
        <f>'2'!K28</f>
        <v>27285.714285714286</v>
      </c>
      <c r="F28" s="98">
        <f>'3'!K28</f>
        <v>27285.714285714286</v>
      </c>
      <c r="G28" s="98">
        <f>'4'!K28</f>
        <v>27285.714285714286</v>
      </c>
      <c r="H28" s="98">
        <f>'5'!K28</f>
        <v>27285.714285714286</v>
      </c>
      <c r="I28" s="98">
        <f>'6'!K28</f>
        <v>28000</v>
      </c>
      <c r="J28" s="106">
        <f>'7'!K28</f>
        <v>28285.714285714286</v>
      </c>
      <c r="K28" s="106">
        <f>'8'!K28</f>
        <v>28285.714285714286</v>
      </c>
      <c r="L28" s="106">
        <f>'9'!K28</f>
        <v>28285.714285714286</v>
      </c>
      <c r="M28" s="106">
        <f>'10'!K28</f>
        <v>28571.428571428572</v>
      </c>
      <c r="N28" s="106">
        <f>'11'!K28</f>
        <v>28571.428571428572</v>
      </c>
      <c r="O28" s="106">
        <f>'12'!K28</f>
        <v>28571.428571428572</v>
      </c>
      <c r="P28" s="106">
        <f>'13'!K28</f>
        <v>28571.428571428572</v>
      </c>
      <c r="Q28" s="106">
        <f>'14'!K28</f>
        <v>28285.714285714286</v>
      </c>
      <c r="R28" s="106">
        <f>'15'!K28</f>
        <v>28285.714285714286</v>
      </c>
      <c r="S28" s="106">
        <f>'14'!K28</f>
        <v>28285.714285714286</v>
      </c>
      <c r="T28" s="106">
        <f>'17'!K28</f>
        <v>28285.714285714286</v>
      </c>
      <c r="U28" s="106">
        <f>'18'!K28</f>
        <v>28571.428571428572</v>
      </c>
      <c r="V28" s="106">
        <f>'19'!K28</f>
        <v>28571.428571428572</v>
      </c>
      <c r="W28" s="106">
        <f>'20'!K28</f>
        <v>28571.428571428572</v>
      </c>
      <c r="X28" s="106">
        <f>'21'!K28</f>
        <v>28571.428571428572</v>
      </c>
      <c r="Y28" s="106">
        <f>'22'!K28</f>
        <v>28571.428571428572</v>
      </c>
      <c r="Z28" s="106">
        <f>'23'!K28</f>
        <v>28571.428571428572</v>
      </c>
      <c r="AA28" s="106">
        <f>'24'!K28</f>
        <v>28571.428571428572</v>
      </c>
      <c r="AB28" s="106">
        <f>'25'!K28</f>
        <v>28571.428571428572</v>
      </c>
      <c r="AC28" s="106">
        <f>'26'!K28</f>
        <v>28571.428571428572</v>
      </c>
      <c r="AD28" s="106">
        <f>'27'!K28</f>
        <v>27857.142857142859</v>
      </c>
      <c r="AE28" s="106">
        <f>'28'!K28</f>
        <v>27857.142857142859</v>
      </c>
      <c r="AF28" s="106">
        <f>'29'!K28</f>
        <v>27857.142857142859</v>
      </c>
      <c r="AG28" s="106">
        <f>'30'!K28</f>
        <v>27857.142857142859</v>
      </c>
      <c r="AH28" s="18"/>
      <c r="AI28" s="116">
        <f t="shared" si="0"/>
        <v>571.42857142857247</v>
      </c>
      <c r="AJ28" s="193">
        <f t="shared" si="1"/>
        <v>28176.190476190459</v>
      </c>
    </row>
    <row r="29" spans="1:36" x14ac:dyDescent="0.25">
      <c r="A29" s="135"/>
      <c r="B29" s="20" t="s">
        <v>23</v>
      </c>
      <c r="C29" s="17" t="s">
        <v>5</v>
      </c>
      <c r="D29" s="98">
        <f>'1'!K29</f>
        <v>66571.428571428565</v>
      </c>
      <c r="E29" s="98">
        <f>'2'!K29</f>
        <v>66571.428571428565</v>
      </c>
      <c r="F29" s="98">
        <f>'3'!K29</f>
        <v>66571.428571428565</v>
      </c>
      <c r="G29" s="98">
        <f>'4'!K29</f>
        <v>66571.428571428565</v>
      </c>
      <c r="H29" s="98">
        <f>'5'!K29</f>
        <v>66571.428571428565</v>
      </c>
      <c r="I29" s="98">
        <f>'6'!K29</f>
        <v>67285.71428571429</v>
      </c>
      <c r="J29" s="106">
        <f>'7'!K29</f>
        <v>65857.142857142855</v>
      </c>
      <c r="K29" s="106">
        <f>'8'!K29</f>
        <v>65857.142857142855</v>
      </c>
      <c r="L29" s="106">
        <f>'9'!K29</f>
        <v>65857.142857142855</v>
      </c>
      <c r="M29" s="106">
        <f>'10'!K29</f>
        <v>65428.571428571428</v>
      </c>
      <c r="N29" s="106">
        <f>'11'!K29</f>
        <v>65428.571428571428</v>
      </c>
      <c r="O29" s="106">
        <f>'12'!K29</f>
        <v>65428.571428571428</v>
      </c>
      <c r="P29" s="106">
        <f>'13'!K29</f>
        <v>65428.571428571428</v>
      </c>
      <c r="Q29" s="106">
        <f>'14'!K29</f>
        <v>64714.285714285717</v>
      </c>
      <c r="R29" s="106">
        <f>'15'!K29</f>
        <v>64714.285714285717</v>
      </c>
      <c r="S29" s="106">
        <f>'14'!K29</f>
        <v>64714.285714285717</v>
      </c>
      <c r="T29" s="106">
        <f>'17'!K29</f>
        <v>64714.285714285717</v>
      </c>
      <c r="U29" s="106">
        <f>'18'!K29</f>
        <v>65428.571428571428</v>
      </c>
      <c r="V29" s="106">
        <f>'19'!K29</f>
        <v>65428.571428571428</v>
      </c>
      <c r="W29" s="106">
        <f>'20'!K29</f>
        <v>65428.571428571428</v>
      </c>
      <c r="X29" s="106">
        <f>'21'!K29</f>
        <v>65428.571428571428</v>
      </c>
      <c r="Y29" s="106">
        <f>'22'!K29</f>
        <v>65428.571428571428</v>
      </c>
      <c r="Z29" s="106">
        <f>'23'!K29</f>
        <v>64714.285714285717</v>
      </c>
      <c r="AA29" s="106">
        <f>'24'!K29</f>
        <v>64714.285714285717</v>
      </c>
      <c r="AB29" s="106">
        <f>'25'!K29</f>
        <v>63285.714285714283</v>
      </c>
      <c r="AC29" s="106">
        <f>'26'!K29</f>
        <v>63285.714285714283</v>
      </c>
      <c r="AD29" s="106">
        <f>'27'!K29</f>
        <v>63285.714285714283</v>
      </c>
      <c r="AE29" s="106">
        <f>'28'!K29</f>
        <v>63285.714285714283</v>
      </c>
      <c r="AF29" s="106">
        <f>'29'!K29</f>
        <v>63285.714285714283</v>
      </c>
      <c r="AG29" s="106">
        <f>'30'!K29</f>
        <v>63285.714285714283</v>
      </c>
      <c r="AH29" s="18"/>
      <c r="AI29" s="116">
        <f t="shared" si="0"/>
        <v>-3285.7142857142826</v>
      </c>
      <c r="AJ29" s="193">
        <f t="shared" si="1"/>
        <v>65152.380952380947</v>
      </c>
    </row>
    <row r="30" spans="1:36" x14ac:dyDescent="0.25">
      <c r="A30" s="135"/>
      <c r="B30" s="20" t="s">
        <v>24</v>
      </c>
      <c r="C30" s="17" t="s">
        <v>5</v>
      </c>
      <c r="D30" s="98">
        <f>'1'!K30</f>
        <v>24600</v>
      </c>
      <c r="E30" s="98">
        <f>'2'!K30</f>
        <v>24600</v>
      </c>
      <c r="F30" s="98">
        <f>'3'!K30</f>
        <v>24600</v>
      </c>
      <c r="G30" s="98">
        <f>'4'!K30</f>
        <v>24600</v>
      </c>
      <c r="H30" s="98">
        <f>'5'!K30</f>
        <v>24600</v>
      </c>
      <c r="I30" s="98">
        <f>'6'!K30</f>
        <v>24600</v>
      </c>
      <c r="J30" s="106">
        <f>'7'!K30</f>
        <v>24600</v>
      </c>
      <c r="K30" s="106">
        <f>'8'!K30</f>
        <v>24600</v>
      </c>
      <c r="L30" s="106">
        <f>'9'!K30</f>
        <v>24600</v>
      </c>
      <c r="M30" s="106">
        <f>'10'!K30</f>
        <v>24750</v>
      </c>
      <c r="N30" s="106">
        <f>'11'!K30</f>
        <v>24750</v>
      </c>
      <c r="O30" s="106">
        <f>'12'!K30</f>
        <v>24750</v>
      </c>
      <c r="P30" s="106">
        <f>'13'!K30</f>
        <v>24750</v>
      </c>
      <c r="Q30" s="106">
        <f>'14'!K30</f>
        <v>24750</v>
      </c>
      <c r="R30" s="106">
        <f>'15'!K30</f>
        <v>24750</v>
      </c>
      <c r="S30" s="106">
        <f>'14'!K30</f>
        <v>24750</v>
      </c>
      <c r="T30" s="106">
        <f>'17'!K30</f>
        <v>24750</v>
      </c>
      <c r="U30" s="106">
        <f>'18'!K30</f>
        <v>24750</v>
      </c>
      <c r="V30" s="106">
        <f>'19'!K30</f>
        <v>24750</v>
      </c>
      <c r="W30" s="106">
        <f>'20'!K30</f>
        <v>24750</v>
      </c>
      <c r="X30" s="106">
        <f>'21'!K30</f>
        <v>24750</v>
      </c>
      <c r="Y30" s="106">
        <f>'22'!K30</f>
        <v>24750</v>
      </c>
      <c r="Z30" s="106">
        <f>'23'!K30</f>
        <v>24750</v>
      </c>
      <c r="AA30" s="106">
        <f>'24'!K30</f>
        <v>24750</v>
      </c>
      <c r="AB30" s="106">
        <f>'25'!K30</f>
        <v>24750</v>
      </c>
      <c r="AC30" s="106">
        <f>'26'!K30</f>
        <v>24750</v>
      </c>
      <c r="AD30" s="106">
        <f>'27'!K30</f>
        <v>24750</v>
      </c>
      <c r="AE30" s="106">
        <f>'28'!K30</f>
        <v>24750</v>
      </c>
      <c r="AF30" s="106">
        <f>'29'!K30</f>
        <v>24750</v>
      </c>
      <c r="AG30" s="106">
        <f>'30'!K30</f>
        <v>24750</v>
      </c>
      <c r="AH30" s="18"/>
      <c r="AI30" s="116">
        <f t="shared" si="0"/>
        <v>150</v>
      </c>
      <c r="AJ30" s="193">
        <f t="shared" si="1"/>
        <v>24705</v>
      </c>
    </row>
    <row r="31" spans="1:36" x14ac:dyDescent="0.25">
      <c r="A31" s="135"/>
      <c r="B31" s="20" t="s">
        <v>25</v>
      </c>
      <c r="C31" s="17" t="s">
        <v>5</v>
      </c>
      <c r="D31" s="98">
        <f>'1'!K31</f>
        <v>36000</v>
      </c>
      <c r="E31" s="98">
        <f>'2'!K31</f>
        <v>36000</v>
      </c>
      <c r="F31" s="98">
        <f>'3'!K31</f>
        <v>36000</v>
      </c>
      <c r="G31" s="98">
        <f>'4'!K31</f>
        <v>36000</v>
      </c>
      <c r="H31" s="98">
        <f>'5'!K31</f>
        <v>36000</v>
      </c>
      <c r="I31" s="98">
        <f>'6'!K31</f>
        <v>36714.285714285717</v>
      </c>
      <c r="J31" s="106">
        <f>'7'!K31</f>
        <v>37000</v>
      </c>
      <c r="K31" s="106">
        <f>'8'!K31</f>
        <v>37000</v>
      </c>
      <c r="L31" s="106">
        <f>'9'!K31</f>
        <v>37000</v>
      </c>
      <c r="M31" s="106">
        <f>'10'!K31</f>
        <v>37571.428571428572</v>
      </c>
      <c r="N31" s="106">
        <f>'11'!K31</f>
        <v>37857.142857142855</v>
      </c>
      <c r="O31" s="106">
        <f>'12'!K31</f>
        <v>37571.428571428572</v>
      </c>
      <c r="P31" s="106">
        <f>'13'!K31</f>
        <v>37571.428571428572</v>
      </c>
      <c r="Q31" s="106">
        <f>'14'!K31</f>
        <v>37285.714285714283</v>
      </c>
      <c r="R31" s="106">
        <f>'15'!K31</f>
        <v>37285.714285714283</v>
      </c>
      <c r="S31" s="106">
        <f>'14'!K31</f>
        <v>37285.714285714283</v>
      </c>
      <c r="T31" s="106">
        <f>'17'!K31</f>
        <v>37857.142857142855</v>
      </c>
      <c r="U31" s="106">
        <f>'18'!K31</f>
        <v>38142.857142857145</v>
      </c>
      <c r="V31" s="106">
        <f>'19'!K31</f>
        <v>38142.857142857145</v>
      </c>
      <c r="W31" s="106">
        <f>'20'!K31</f>
        <v>37571.428571428572</v>
      </c>
      <c r="X31" s="106">
        <f>'21'!K31</f>
        <v>37571.428571428572</v>
      </c>
      <c r="Y31" s="106">
        <f>'22'!K31</f>
        <v>37571.428571428572</v>
      </c>
      <c r="Z31" s="106">
        <f>'23'!K31</f>
        <v>37285.714285714283</v>
      </c>
      <c r="AA31" s="106">
        <f>'24'!K31</f>
        <v>37714.285714285717</v>
      </c>
      <c r="AB31" s="106">
        <f>'25'!K31</f>
        <v>37714.285714285717</v>
      </c>
      <c r="AC31" s="106">
        <f>'26'!K31</f>
        <v>37714.285714285717</v>
      </c>
      <c r="AD31" s="106">
        <f>'27'!K31</f>
        <v>37000</v>
      </c>
      <c r="AE31" s="106">
        <f>'28'!K31</f>
        <v>37000</v>
      </c>
      <c r="AF31" s="106">
        <f>'29'!K31</f>
        <v>37000</v>
      </c>
      <c r="AG31" s="106">
        <f>'30'!K31</f>
        <v>37000</v>
      </c>
      <c r="AH31" s="18"/>
      <c r="AI31" s="116">
        <f t="shared" si="0"/>
        <v>1000</v>
      </c>
      <c r="AJ31" s="193">
        <f t="shared" si="1"/>
        <v>37180.952380952382</v>
      </c>
    </row>
    <row r="32" spans="1:36" x14ac:dyDescent="0.25">
      <c r="A32" s="136"/>
      <c r="B32" s="20" t="s">
        <v>26</v>
      </c>
      <c r="C32" s="17" t="s">
        <v>5</v>
      </c>
      <c r="D32" s="98">
        <f>'1'!K32</f>
        <v>87500</v>
      </c>
      <c r="E32" s="98">
        <f>'2'!K32</f>
        <v>87500</v>
      </c>
      <c r="F32" s="98">
        <f>'3'!K32</f>
        <v>87500</v>
      </c>
      <c r="G32" s="98">
        <f>'4'!K32</f>
        <v>87500</v>
      </c>
      <c r="H32" s="98">
        <f>'5'!K32</f>
        <v>87500</v>
      </c>
      <c r="I32" s="98">
        <f>'6'!K32</f>
        <v>87500</v>
      </c>
      <c r="J32" s="106">
        <f>'7'!K32</f>
        <v>87500</v>
      </c>
      <c r="K32" s="106">
        <f>'8'!K32</f>
        <v>87500</v>
      </c>
      <c r="L32" s="106">
        <f>'9'!K32</f>
        <v>87500</v>
      </c>
      <c r="M32" s="106">
        <f>'10'!K32</f>
        <v>87500</v>
      </c>
      <c r="N32" s="106">
        <f>'11'!K32</f>
        <v>87500</v>
      </c>
      <c r="O32" s="106">
        <f>'12'!K32</f>
        <v>87500</v>
      </c>
      <c r="P32" s="106">
        <f>'13'!K32</f>
        <v>87500</v>
      </c>
      <c r="Q32" s="106">
        <f>'14'!K32</f>
        <v>83333.333333333328</v>
      </c>
      <c r="R32" s="106">
        <f>'15'!K32</f>
        <v>83333.333333333328</v>
      </c>
      <c r="S32" s="106">
        <f>'14'!K32</f>
        <v>83333.333333333328</v>
      </c>
      <c r="T32" s="106">
        <f>'17'!K32</f>
        <v>83333.333333333328</v>
      </c>
      <c r="U32" s="106">
        <f>'18'!K32</f>
        <v>87500</v>
      </c>
      <c r="V32" s="106">
        <f>'19'!K32</f>
        <v>87500</v>
      </c>
      <c r="W32" s="106">
        <f>'20'!K32</f>
        <v>87500</v>
      </c>
      <c r="X32" s="106">
        <f>'21'!K32</f>
        <v>87500</v>
      </c>
      <c r="Y32" s="106">
        <f>'22'!K32</f>
        <v>87500</v>
      </c>
      <c r="Z32" s="106">
        <f>'23'!K32</f>
        <v>87500</v>
      </c>
      <c r="AA32" s="106">
        <f>'24'!K32</f>
        <v>87500</v>
      </c>
      <c r="AB32" s="106">
        <f>'25'!K32</f>
        <v>87500</v>
      </c>
      <c r="AC32" s="106">
        <f>'26'!K32</f>
        <v>87500</v>
      </c>
      <c r="AD32" s="106">
        <f>'27'!K32</f>
        <v>87500</v>
      </c>
      <c r="AE32" s="106">
        <f>'28'!K32</f>
        <v>87500</v>
      </c>
      <c r="AF32" s="106">
        <f>'29'!K32</f>
        <v>87500</v>
      </c>
      <c r="AG32" s="106">
        <f>'30'!K32</f>
        <v>87500</v>
      </c>
      <c r="AH32" s="18"/>
      <c r="AI32" s="116">
        <f t="shared" si="0"/>
        <v>0</v>
      </c>
      <c r="AJ32" s="193">
        <f t="shared" si="1"/>
        <v>86944.444444444438</v>
      </c>
    </row>
    <row r="33" spans="1:36" x14ac:dyDescent="0.25">
      <c r="A33" s="134">
        <v>7</v>
      </c>
      <c r="B33" s="21" t="s">
        <v>27</v>
      </c>
      <c r="C33" s="21"/>
      <c r="D33" s="98">
        <f>'1'!K33</f>
        <v>0</v>
      </c>
      <c r="E33" s="98">
        <f>'2'!K33</f>
        <v>0</v>
      </c>
      <c r="F33" s="98">
        <f>'3'!K33</f>
        <v>0</v>
      </c>
      <c r="G33" s="98">
        <f>'4'!K33</f>
        <v>0</v>
      </c>
      <c r="H33" s="98">
        <f>'5'!K33</f>
        <v>0</v>
      </c>
      <c r="I33" s="98">
        <f>'6'!K33</f>
        <v>0</v>
      </c>
      <c r="J33" s="106">
        <f>'7'!K33</f>
        <v>0</v>
      </c>
      <c r="K33" s="106">
        <f>'8'!K33</f>
        <v>0</v>
      </c>
      <c r="L33" s="106">
        <f>'9'!K33</f>
        <v>0</v>
      </c>
      <c r="M33" s="106">
        <f>'10'!K33</f>
        <v>0</v>
      </c>
      <c r="N33" s="106">
        <f>'11'!K33</f>
        <v>0</v>
      </c>
      <c r="O33" s="106">
        <f>'12'!K33</f>
        <v>0</v>
      </c>
      <c r="P33" s="106">
        <f>'13'!K33</f>
        <v>0</v>
      </c>
      <c r="Q33" s="106">
        <f>'14'!K33</f>
        <v>0</v>
      </c>
      <c r="R33" s="106">
        <f>'15'!K33</f>
        <v>0</v>
      </c>
      <c r="S33" s="106">
        <f>'14'!K33</f>
        <v>0</v>
      </c>
      <c r="T33" s="106">
        <f>'17'!K33</f>
        <v>0</v>
      </c>
      <c r="U33" s="106">
        <f>'18'!K33</f>
        <v>0</v>
      </c>
      <c r="V33" s="106">
        <f>'19'!K33</f>
        <v>0</v>
      </c>
      <c r="W33" s="106">
        <f>'20'!K33</f>
        <v>0</v>
      </c>
      <c r="X33" s="106">
        <f>'21'!K33</f>
        <v>0</v>
      </c>
      <c r="Y33" s="106">
        <f>'22'!K33</f>
        <v>0</v>
      </c>
      <c r="Z33" s="106">
        <f>'23'!K33</f>
        <v>0</v>
      </c>
      <c r="AA33" s="106">
        <f>'24'!K33</f>
        <v>0</v>
      </c>
      <c r="AB33" s="106">
        <f>'25'!K33</f>
        <v>0</v>
      </c>
      <c r="AC33" s="106">
        <f>'26'!K33</f>
        <v>0</v>
      </c>
      <c r="AD33" s="106">
        <f>'27'!K33</f>
        <v>0</v>
      </c>
      <c r="AE33" s="106">
        <f>'28'!K33</f>
        <v>0</v>
      </c>
      <c r="AF33" s="106">
        <f>'29'!K33</f>
        <v>0</v>
      </c>
      <c r="AG33" s="106">
        <f>'30'!K33</f>
        <v>0</v>
      </c>
      <c r="AH33" s="18"/>
      <c r="AI33" s="116">
        <f t="shared" si="0"/>
        <v>0</v>
      </c>
      <c r="AJ33" s="193">
        <f t="shared" si="1"/>
        <v>0</v>
      </c>
    </row>
    <row r="34" spans="1:36" x14ac:dyDescent="0.25">
      <c r="A34" s="135"/>
      <c r="B34" s="20" t="s">
        <v>101</v>
      </c>
      <c r="C34" s="17" t="s">
        <v>5</v>
      </c>
      <c r="D34" s="98">
        <f>'1'!K34</f>
        <v>24428.571428571428</v>
      </c>
      <c r="E34" s="98">
        <f>'2'!K34</f>
        <v>24428.571428571428</v>
      </c>
      <c r="F34" s="98">
        <f>'3'!K34</f>
        <v>24571.428571428572</v>
      </c>
      <c r="G34" s="98">
        <f>'4'!K34</f>
        <v>24571.428571428572</v>
      </c>
      <c r="H34" s="98">
        <f>'5'!K34</f>
        <v>24571.428571428572</v>
      </c>
      <c r="I34" s="98">
        <f>'6'!K34</f>
        <v>25571.428571428572</v>
      </c>
      <c r="J34" s="106">
        <f>'7'!K34</f>
        <v>25428.571428571428</v>
      </c>
      <c r="K34" s="106">
        <f>'8'!K34</f>
        <v>25571.428571428572</v>
      </c>
      <c r="L34" s="106">
        <f>'9'!K34</f>
        <v>25571.428571428572</v>
      </c>
      <c r="M34" s="106">
        <f>'10'!K34</f>
        <v>26000</v>
      </c>
      <c r="N34" s="106">
        <f>'11'!K34</f>
        <v>25857.142857142859</v>
      </c>
      <c r="O34" s="106">
        <f>'12'!K34</f>
        <v>26142.857142857141</v>
      </c>
      <c r="P34" s="106">
        <f>'13'!K34</f>
        <v>26071.428571428572</v>
      </c>
      <c r="Q34" s="106">
        <f>'14'!K34</f>
        <v>25857.142857142859</v>
      </c>
      <c r="R34" s="106">
        <f>'15'!K34</f>
        <v>26000</v>
      </c>
      <c r="S34" s="106">
        <f>'14'!K34</f>
        <v>25857.142857142859</v>
      </c>
      <c r="T34" s="106">
        <f>'17'!K34</f>
        <v>26428.571428571428</v>
      </c>
      <c r="U34" s="106">
        <f>'18'!K34</f>
        <v>26142.857142857141</v>
      </c>
      <c r="V34" s="106">
        <f>'19'!K34</f>
        <v>26285.714285714286</v>
      </c>
      <c r="W34" s="106">
        <f>'20'!K34</f>
        <v>26214.285714285714</v>
      </c>
      <c r="X34" s="106">
        <f>'21'!K34</f>
        <v>26214.285714285714</v>
      </c>
      <c r="Y34" s="106">
        <f>'22'!K34</f>
        <v>26428.571428571428</v>
      </c>
      <c r="Z34" s="106">
        <f>'23'!K34</f>
        <v>26142.857142857141</v>
      </c>
      <c r="AA34" s="106">
        <f>'24'!K34</f>
        <v>26285.714285714286</v>
      </c>
      <c r="AB34" s="106">
        <f>'25'!K34</f>
        <v>26142.857142857141</v>
      </c>
      <c r="AC34" s="106">
        <f>'26'!K34</f>
        <v>26142.857142857141</v>
      </c>
      <c r="AD34" s="106">
        <f>'27'!K34</f>
        <v>26357.142857142859</v>
      </c>
      <c r="AE34" s="106">
        <f>'28'!K34</f>
        <v>26500</v>
      </c>
      <c r="AF34" s="106">
        <f>'29'!K34</f>
        <v>26642.857142857141</v>
      </c>
      <c r="AG34" s="106">
        <f>'30'!K34</f>
        <v>26642.857142857141</v>
      </c>
      <c r="AH34" s="18">
        <v>27000</v>
      </c>
      <c r="AI34" s="116">
        <f t="shared" si="0"/>
        <v>2214.2857142857138</v>
      </c>
      <c r="AJ34" s="193">
        <f t="shared" si="1"/>
        <v>25835.714285714294</v>
      </c>
    </row>
    <row r="35" spans="1:36" x14ac:dyDescent="0.25">
      <c r="A35" s="136"/>
      <c r="B35" s="20" t="s">
        <v>29</v>
      </c>
      <c r="C35" s="17" t="s">
        <v>30</v>
      </c>
      <c r="D35" s="98">
        <f>'1'!K35</f>
        <v>2728.5714285714284</v>
      </c>
      <c r="E35" s="98">
        <f>'2'!K35</f>
        <v>2728.5714285714284</v>
      </c>
      <c r="F35" s="98">
        <f>'3'!K35</f>
        <v>2728.5714285714284</v>
      </c>
      <c r="G35" s="98">
        <f>'4'!K35</f>
        <v>2728.5714285714284</v>
      </c>
      <c r="H35" s="98">
        <f>'5'!K35</f>
        <v>2728.5714285714284</v>
      </c>
      <c r="I35" s="98">
        <f>'6'!K35</f>
        <v>2728.5714285714284</v>
      </c>
      <c r="J35" s="106">
        <f>'7'!K35</f>
        <v>2728.5714285714284</v>
      </c>
      <c r="K35" s="106">
        <f>'8'!K35</f>
        <v>2728.5714285714284</v>
      </c>
      <c r="L35" s="106">
        <f>'9'!K35</f>
        <v>2728.5714285714284</v>
      </c>
      <c r="M35" s="106">
        <f>'10'!K35</f>
        <v>2657.1428571428573</v>
      </c>
      <c r="N35" s="106">
        <f>'11'!K35</f>
        <v>2657.1428571428573</v>
      </c>
      <c r="O35" s="106">
        <f>'12'!K35</f>
        <v>2657.1428571428573</v>
      </c>
      <c r="P35" s="106">
        <f>'13'!K35</f>
        <v>2657.1428571428573</v>
      </c>
      <c r="Q35" s="106">
        <f>'14'!K35</f>
        <v>2728.5714285714284</v>
      </c>
      <c r="R35" s="106">
        <f>'15'!K35</f>
        <v>2728.5714285714284</v>
      </c>
      <c r="S35" s="106">
        <f>'14'!K35</f>
        <v>2728.5714285714284</v>
      </c>
      <c r="T35" s="106">
        <f>'17'!K35</f>
        <v>2728.5714285714284</v>
      </c>
      <c r="U35" s="106">
        <f>'18'!K35</f>
        <v>2657.1428571428573</v>
      </c>
      <c r="V35" s="106">
        <f>'19'!K35</f>
        <v>2657.1428571428573</v>
      </c>
      <c r="W35" s="106">
        <f>'20'!K35</f>
        <v>2657.1428571428573</v>
      </c>
      <c r="X35" s="106">
        <f>'21'!K35</f>
        <v>2657.1428571428573</v>
      </c>
      <c r="Y35" s="106">
        <f>'22'!K35</f>
        <v>2728.5714285714284</v>
      </c>
      <c r="Z35" s="106">
        <f>'23'!K35</f>
        <v>2800</v>
      </c>
      <c r="AA35" s="106">
        <f>'24'!K35</f>
        <v>2800</v>
      </c>
      <c r="AB35" s="106">
        <f>'25'!K35</f>
        <v>2800</v>
      </c>
      <c r="AC35" s="106">
        <f>'26'!K35</f>
        <v>2800</v>
      </c>
      <c r="AD35" s="106">
        <f>'27'!K35</f>
        <v>2800</v>
      </c>
      <c r="AE35" s="106">
        <f>'28'!K35</f>
        <v>2800</v>
      </c>
      <c r="AF35" s="106">
        <f>'29'!K35</f>
        <v>2800</v>
      </c>
      <c r="AG35" s="106">
        <f>'30'!K35</f>
        <v>2800</v>
      </c>
      <c r="AH35" s="18"/>
      <c r="AI35" s="116">
        <f t="shared" si="0"/>
        <v>71.428571428571558</v>
      </c>
      <c r="AJ35" s="193">
        <f t="shared" si="1"/>
        <v>2728.571428571428</v>
      </c>
    </row>
    <row r="36" spans="1:36" x14ac:dyDescent="0.25">
      <c r="A36" s="31">
        <v>8</v>
      </c>
      <c r="B36" s="22" t="s">
        <v>115</v>
      </c>
      <c r="C36" s="23"/>
      <c r="D36" s="98">
        <f>'1'!K36</f>
        <v>0</v>
      </c>
      <c r="E36" s="98">
        <f>'2'!K36</f>
        <v>0</v>
      </c>
      <c r="F36" s="98">
        <f>'3'!K36</f>
        <v>0</v>
      </c>
      <c r="G36" s="98">
        <f>'4'!K36</f>
        <v>0</v>
      </c>
      <c r="H36" s="98">
        <f>'5'!K36</f>
        <v>0</v>
      </c>
      <c r="I36" s="98">
        <f>'6'!K36</f>
        <v>0</v>
      </c>
      <c r="J36" s="106">
        <f>'7'!K36</f>
        <v>0</v>
      </c>
      <c r="K36" s="106">
        <f>'8'!K36</f>
        <v>0</v>
      </c>
      <c r="L36" s="106">
        <f>'9'!K36</f>
        <v>0</v>
      </c>
      <c r="M36" s="106">
        <f>'10'!K36</f>
        <v>0</v>
      </c>
      <c r="N36" s="106">
        <f>'11'!K36</f>
        <v>0</v>
      </c>
      <c r="O36" s="106">
        <f>'12'!K36</f>
        <v>0</v>
      </c>
      <c r="P36" s="106">
        <f>'13'!K36</f>
        <v>0</v>
      </c>
      <c r="Q36" s="106">
        <f>'14'!K36</f>
        <v>0</v>
      </c>
      <c r="R36" s="106">
        <f>'15'!K36</f>
        <v>0</v>
      </c>
      <c r="S36" s="106">
        <f>'14'!K36</f>
        <v>0</v>
      </c>
      <c r="T36" s="106">
        <f>'17'!K36</f>
        <v>0</v>
      </c>
      <c r="U36" s="106">
        <f>'18'!K36</f>
        <v>0</v>
      </c>
      <c r="V36" s="106">
        <f>'19'!K36</f>
        <v>0</v>
      </c>
      <c r="W36" s="106">
        <f>'20'!K36</f>
        <v>0</v>
      </c>
      <c r="X36" s="106">
        <f>'21'!K36</f>
        <v>0</v>
      </c>
      <c r="Y36" s="106">
        <f>'22'!K36</f>
        <v>0</v>
      </c>
      <c r="Z36" s="106">
        <f>'23'!K36</f>
        <v>0</v>
      </c>
      <c r="AA36" s="106">
        <f>'24'!K36</f>
        <v>0</v>
      </c>
      <c r="AB36" s="106">
        <f>'25'!K36</f>
        <v>0</v>
      </c>
      <c r="AC36" s="106">
        <f>'26'!K36</f>
        <v>0</v>
      </c>
      <c r="AD36" s="106">
        <f>'27'!K36</f>
        <v>0</v>
      </c>
      <c r="AE36" s="106">
        <f>'28'!K36</f>
        <v>0</v>
      </c>
      <c r="AF36" s="106">
        <f>'29'!K36</f>
        <v>0</v>
      </c>
      <c r="AG36" s="106">
        <f>'30'!K36</f>
        <v>0</v>
      </c>
      <c r="AH36" s="18"/>
      <c r="AI36" s="116">
        <f t="shared" si="0"/>
        <v>0</v>
      </c>
      <c r="AJ36" s="193">
        <f t="shared" si="1"/>
        <v>0</v>
      </c>
    </row>
    <row r="37" spans="1:36" x14ac:dyDescent="0.25">
      <c r="A37" s="31"/>
      <c r="B37" s="24" t="s">
        <v>116</v>
      </c>
      <c r="C37" s="23" t="s">
        <v>5</v>
      </c>
      <c r="D37" s="98">
        <f>'1'!K37</f>
        <v>8750</v>
      </c>
      <c r="E37" s="98">
        <f>'2'!K37</f>
        <v>8750</v>
      </c>
      <c r="F37" s="98">
        <f>'3'!K37</f>
        <v>8750</v>
      </c>
      <c r="G37" s="98">
        <f>'4'!K37</f>
        <v>8750</v>
      </c>
      <c r="H37" s="98">
        <f>'5'!K37</f>
        <v>8750</v>
      </c>
      <c r="I37" s="98">
        <f>'6'!K37</f>
        <v>8750</v>
      </c>
      <c r="J37" s="106">
        <f>'7'!K37</f>
        <v>8750</v>
      </c>
      <c r="K37" s="106">
        <f>'8'!K37</f>
        <v>8750</v>
      </c>
      <c r="L37" s="106">
        <f>'9'!K37</f>
        <v>8750</v>
      </c>
      <c r="M37" s="106">
        <f>'10'!K37</f>
        <v>9035.7142857142862</v>
      </c>
      <c r="N37" s="106">
        <f>'11'!K37</f>
        <v>9035.7142857142862</v>
      </c>
      <c r="O37" s="106">
        <f>'12'!K37</f>
        <v>9035.7142857142862</v>
      </c>
      <c r="P37" s="106">
        <f>'13'!K37</f>
        <v>9035.7142857142862</v>
      </c>
      <c r="Q37" s="106">
        <f>'14'!K37</f>
        <v>9035.7142857142862</v>
      </c>
      <c r="R37" s="106">
        <f>'15'!K37</f>
        <v>7892.8571428571431</v>
      </c>
      <c r="S37" s="106">
        <f>'14'!K37</f>
        <v>9035.7142857142862</v>
      </c>
      <c r="T37" s="106">
        <f>'17'!K37</f>
        <v>7892.8571428571431</v>
      </c>
      <c r="U37" s="106">
        <f>'18'!K37</f>
        <v>9035.7142857142862</v>
      </c>
      <c r="V37" s="106">
        <f>'19'!K37</f>
        <v>9035.7142857142862</v>
      </c>
      <c r="W37" s="106">
        <f>'20'!K37</f>
        <v>9035.7142857142862</v>
      </c>
      <c r="X37" s="106">
        <f>'21'!K37</f>
        <v>9035.7142857142862</v>
      </c>
      <c r="Y37" s="106">
        <f>'22'!K37</f>
        <v>9035.7142857142862</v>
      </c>
      <c r="Z37" s="106">
        <f>'23'!K37</f>
        <v>9035.7142857142862</v>
      </c>
      <c r="AA37" s="106">
        <f>'24'!K37</f>
        <v>9035.7142857142862</v>
      </c>
      <c r="AB37" s="106">
        <f>'25'!K37</f>
        <v>9035.7142857142862</v>
      </c>
      <c r="AC37" s="106">
        <f>'26'!K37</f>
        <v>9035.7142857142862</v>
      </c>
      <c r="AD37" s="106">
        <f>'27'!K37</f>
        <v>9035.7142857142862</v>
      </c>
      <c r="AE37" s="106">
        <f>'28'!K37</f>
        <v>9035.7142857142862</v>
      </c>
      <c r="AF37" s="106">
        <f>'29'!K37</f>
        <v>9035.7142857142862</v>
      </c>
      <c r="AG37" s="106">
        <f>'30'!K37</f>
        <v>9035.7142857142862</v>
      </c>
      <c r="AH37" s="18"/>
      <c r="AI37" s="116">
        <f t="shared" si="0"/>
        <v>285.71428571428623</v>
      </c>
      <c r="AJ37" s="193">
        <f t="shared" si="1"/>
        <v>8873.8095238095248</v>
      </c>
    </row>
    <row r="38" spans="1:36" x14ac:dyDescent="0.25">
      <c r="A38" s="32"/>
      <c r="B38" s="24" t="s">
        <v>117</v>
      </c>
      <c r="C38" s="23" t="s">
        <v>5</v>
      </c>
      <c r="D38" s="98">
        <f>'1'!K38</f>
        <v>12600</v>
      </c>
      <c r="E38" s="98">
        <f>'2'!K38</f>
        <v>12600</v>
      </c>
      <c r="F38" s="98">
        <f>'3'!K38</f>
        <v>12600</v>
      </c>
      <c r="G38" s="98">
        <f>'4'!K38</f>
        <v>12600</v>
      </c>
      <c r="H38" s="98">
        <f>'5'!K38</f>
        <v>12600</v>
      </c>
      <c r="I38" s="98">
        <f>'6'!K38</f>
        <v>12600</v>
      </c>
      <c r="J38" s="106">
        <f>'7'!K38</f>
        <v>12600</v>
      </c>
      <c r="K38" s="106">
        <f>'8'!K38</f>
        <v>12600</v>
      </c>
      <c r="L38" s="106">
        <f>'9'!K38</f>
        <v>12600</v>
      </c>
      <c r="M38" s="106">
        <f>'10'!K38</f>
        <v>12000</v>
      </c>
      <c r="N38" s="106">
        <f>'11'!K38</f>
        <v>12000</v>
      </c>
      <c r="O38" s="106">
        <f>'12'!K38</f>
        <v>12000</v>
      </c>
      <c r="P38" s="106">
        <f>'13'!K38</f>
        <v>12000</v>
      </c>
      <c r="Q38" s="106">
        <f>'14'!K38</f>
        <v>12000</v>
      </c>
      <c r="R38" s="106">
        <f>'15'!K38</f>
        <v>12000</v>
      </c>
      <c r="S38" s="106">
        <f>'14'!K38</f>
        <v>12000</v>
      </c>
      <c r="T38" s="106">
        <f>'17'!K38</f>
        <v>12000</v>
      </c>
      <c r="U38" s="106">
        <f>'18'!K38</f>
        <v>12000</v>
      </c>
      <c r="V38" s="106">
        <f>'19'!K38</f>
        <v>12000</v>
      </c>
      <c r="W38" s="106">
        <f>'20'!K38</f>
        <v>12000</v>
      </c>
      <c r="X38" s="106">
        <f>'21'!K38</f>
        <v>12000</v>
      </c>
      <c r="Y38" s="106">
        <f>'22'!K38</f>
        <v>12000</v>
      </c>
      <c r="Z38" s="106">
        <f>'23'!K38</f>
        <v>12000</v>
      </c>
      <c r="AA38" s="106">
        <f>'24'!K38</f>
        <v>12000</v>
      </c>
      <c r="AB38" s="106">
        <f>'25'!K38</f>
        <v>12000</v>
      </c>
      <c r="AC38" s="106">
        <f>'26'!K38</f>
        <v>12000</v>
      </c>
      <c r="AD38" s="106">
        <f>'27'!K38</f>
        <v>12000</v>
      </c>
      <c r="AE38" s="106">
        <f>'28'!K38</f>
        <v>12000</v>
      </c>
      <c r="AF38" s="106">
        <f>'29'!K38</f>
        <v>12000</v>
      </c>
      <c r="AG38" s="106">
        <f>'30'!K38</f>
        <v>12000</v>
      </c>
      <c r="AH38" s="18"/>
      <c r="AI38" s="116">
        <f t="shared" si="0"/>
        <v>-600</v>
      </c>
      <c r="AJ38" s="193">
        <f t="shared" si="1"/>
        <v>12180</v>
      </c>
    </row>
    <row r="39" spans="1:36" x14ac:dyDescent="0.25">
      <c r="A39" s="31">
        <v>9</v>
      </c>
      <c r="B39" s="22" t="s">
        <v>118</v>
      </c>
      <c r="C39" s="23"/>
      <c r="D39" s="98">
        <f>'1'!K39</f>
        <v>0</v>
      </c>
      <c r="E39" s="98">
        <f>'2'!K39</f>
        <v>0</v>
      </c>
      <c r="F39" s="98">
        <f>'3'!K39</f>
        <v>0</v>
      </c>
      <c r="G39" s="98">
        <f>'4'!K39</f>
        <v>0</v>
      </c>
      <c r="H39" s="98">
        <f>'5'!K39</f>
        <v>0</v>
      </c>
      <c r="I39" s="98">
        <f>'6'!K39</f>
        <v>0</v>
      </c>
      <c r="J39" s="106">
        <f>'7'!K39</f>
        <v>0</v>
      </c>
      <c r="K39" s="106">
        <f>'8'!K39</f>
        <v>0</v>
      </c>
      <c r="L39" s="106">
        <f>'9'!K39</f>
        <v>0</v>
      </c>
      <c r="M39" s="106">
        <f>'10'!K39</f>
        <v>0</v>
      </c>
      <c r="N39" s="106">
        <f>'11'!K39</f>
        <v>0</v>
      </c>
      <c r="O39" s="106">
        <f>'12'!K39</f>
        <v>0</v>
      </c>
      <c r="P39" s="106">
        <f>'13'!K39</f>
        <v>0</v>
      </c>
      <c r="Q39" s="106">
        <f>'14'!K39</f>
        <v>0</v>
      </c>
      <c r="R39" s="106">
        <f>'15'!K39</f>
        <v>0</v>
      </c>
      <c r="S39" s="106">
        <f>'14'!K39</f>
        <v>0</v>
      </c>
      <c r="T39" s="106">
        <f>'17'!K39</f>
        <v>0</v>
      </c>
      <c r="U39" s="106">
        <f>'18'!K39</f>
        <v>0</v>
      </c>
      <c r="V39" s="106">
        <f>'19'!K39</f>
        <v>0</v>
      </c>
      <c r="W39" s="106">
        <f>'20'!K39</f>
        <v>0</v>
      </c>
      <c r="X39" s="106">
        <f>'21'!K39</f>
        <v>0</v>
      </c>
      <c r="Y39" s="106">
        <f>'22'!K39</f>
        <v>0</v>
      </c>
      <c r="Z39" s="106">
        <f>'23'!K39</f>
        <v>0</v>
      </c>
      <c r="AA39" s="106">
        <f>'24'!K39</f>
        <v>0</v>
      </c>
      <c r="AB39" s="106">
        <f>'25'!K39</f>
        <v>0</v>
      </c>
      <c r="AC39" s="106">
        <f>'26'!K39</f>
        <v>0</v>
      </c>
      <c r="AD39" s="106">
        <f>'27'!K39</f>
        <v>0</v>
      </c>
      <c r="AE39" s="106">
        <f>'28'!K39</f>
        <v>0</v>
      </c>
      <c r="AF39" s="106">
        <f>'29'!K39</f>
        <v>0</v>
      </c>
      <c r="AG39" s="106">
        <f>'30'!K39</f>
        <v>0</v>
      </c>
      <c r="AH39" s="18"/>
      <c r="AI39" s="116">
        <f t="shared" si="0"/>
        <v>0</v>
      </c>
      <c r="AJ39" s="193">
        <f t="shared" si="1"/>
        <v>0</v>
      </c>
    </row>
    <row r="40" spans="1:36" x14ac:dyDescent="0.25">
      <c r="A40" s="31"/>
      <c r="B40" s="24" t="s">
        <v>119</v>
      </c>
      <c r="C40" s="23" t="s">
        <v>5</v>
      </c>
      <c r="D40" s="98">
        <f>'1'!K40</f>
        <v>13000</v>
      </c>
      <c r="E40" s="98">
        <f>'2'!K40</f>
        <v>13000</v>
      </c>
      <c r="F40" s="98">
        <f>'3'!K40</f>
        <v>13000</v>
      </c>
      <c r="G40" s="98">
        <f>'4'!K40</f>
        <v>13000</v>
      </c>
      <c r="H40" s="98">
        <f>'5'!K40</f>
        <v>13000</v>
      </c>
      <c r="I40" s="98">
        <f>'6'!K40</f>
        <v>13000</v>
      </c>
      <c r="J40" s="106">
        <f>'7'!K40</f>
        <v>13000</v>
      </c>
      <c r="K40" s="106">
        <f>'8'!K40</f>
        <v>13000</v>
      </c>
      <c r="L40" s="106">
        <f>'9'!K40</f>
        <v>13000</v>
      </c>
      <c r="M40" s="106">
        <f>'10'!K40</f>
        <v>12750</v>
      </c>
      <c r="N40" s="106">
        <f>'11'!K40</f>
        <v>15000</v>
      </c>
      <c r="O40" s="106">
        <f>'12'!K40</f>
        <v>15000</v>
      </c>
      <c r="P40" s="106">
        <f>'13'!K40</f>
        <v>15000</v>
      </c>
      <c r="Q40" s="106">
        <f>'14'!K40</f>
        <v>15000</v>
      </c>
      <c r="R40" s="106">
        <f>'15'!K40</f>
        <v>15000</v>
      </c>
      <c r="S40" s="106">
        <f>'14'!K40</f>
        <v>15000</v>
      </c>
      <c r="T40" s="106">
        <f>'17'!K40</f>
        <v>15000</v>
      </c>
      <c r="U40" s="106">
        <f>'18'!K40</f>
        <v>15000</v>
      </c>
      <c r="V40" s="106">
        <f>'19'!K40</f>
        <v>15000</v>
      </c>
      <c r="W40" s="106">
        <f>'20'!K40</f>
        <v>15000</v>
      </c>
      <c r="X40" s="106">
        <f>'21'!K40</f>
        <v>15000</v>
      </c>
      <c r="Y40" s="106">
        <f>'22'!K40</f>
        <v>15000</v>
      </c>
      <c r="Z40" s="106">
        <f>'23'!K40</f>
        <v>15000</v>
      </c>
      <c r="AA40" s="106">
        <f>'24'!K40</f>
        <v>15000</v>
      </c>
      <c r="AB40" s="106">
        <f>'25'!K40</f>
        <v>15000</v>
      </c>
      <c r="AC40" s="106">
        <f>'26'!K40</f>
        <v>15000</v>
      </c>
      <c r="AD40" s="106">
        <f>'27'!K40</f>
        <v>15000</v>
      </c>
      <c r="AE40" s="106">
        <f>'28'!K40</f>
        <v>15000</v>
      </c>
      <c r="AF40" s="106">
        <f>'29'!K40</f>
        <v>15000</v>
      </c>
      <c r="AG40" s="106">
        <f>'30'!K40</f>
        <v>15000</v>
      </c>
      <c r="AH40" s="18"/>
      <c r="AI40" s="116">
        <f t="shared" si="0"/>
        <v>2000</v>
      </c>
      <c r="AJ40" s="193">
        <f t="shared" si="1"/>
        <v>14325</v>
      </c>
    </row>
    <row r="41" spans="1:36" x14ac:dyDescent="0.25">
      <c r="A41" s="31"/>
      <c r="B41" s="24" t="s">
        <v>120</v>
      </c>
      <c r="C41" s="23" t="s">
        <v>5</v>
      </c>
      <c r="D41" s="98">
        <f>'1'!K41</f>
        <v>6000</v>
      </c>
      <c r="E41" s="98">
        <f>'2'!K41</f>
        <v>6000</v>
      </c>
      <c r="F41" s="98">
        <f>'3'!K41</f>
        <v>6000</v>
      </c>
      <c r="G41" s="98">
        <f>'4'!K41</f>
        <v>6000</v>
      </c>
      <c r="H41" s="98">
        <f>'5'!K41</f>
        <v>6000</v>
      </c>
      <c r="I41" s="98">
        <f>'6'!K41</f>
        <v>6000</v>
      </c>
      <c r="J41" s="106">
        <f>'7'!K41</f>
        <v>6000</v>
      </c>
      <c r="K41" s="106">
        <f>'8'!K41</f>
        <v>6000</v>
      </c>
      <c r="L41" s="106">
        <f>'9'!K41</f>
        <v>6000</v>
      </c>
      <c r="M41" s="106">
        <f>'10'!K41</f>
        <v>6000</v>
      </c>
      <c r="N41" s="106">
        <f>'11'!K41</f>
        <v>6000</v>
      </c>
      <c r="O41" s="106">
        <f>'12'!K41</f>
        <v>6000</v>
      </c>
      <c r="P41" s="106">
        <f>'13'!K41</f>
        <v>6000</v>
      </c>
      <c r="Q41" s="106">
        <f>'14'!K41</f>
        <v>6000</v>
      </c>
      <c r="R41" s="106">
        <f>'15'!K41</f>
        <v>6000</v>
      </c>
      <c r="S41" s="106">
        <f>'14'!K41</f>
        <v>6000</v>
      </c>
      <c r="T41" s="106">
        <f>'17'!K41</f>
        <v>6000</v>
      </c>
      <c r="U41" s="106">
        <f>'18'!K41</f>
        <v>6000</v>
      </c>
      <c r="V41" s="106">
        <f>'19'!K41</f>
        <v>6000</v>
      </c>
      <c r="W41" s="106">
        <f>'20'!K41</f>
        <v>6000</v>
      </c>
      <c r="X41" s="106">
        <f>'21'!K41</f>
        <v>6000</v>
      </c>
      <c r="Y41" s="106">
        <f>'22'!K41</f>
        <v>6000</v>
      </c>
      <c r="Z41" s="106">
        <f>'23'!K41</f>
        <v>6000</v>
      </c>
      <c r="AA41" s="106">
        <f>'24'!K41</f>
        <v>6000</v>
      </c>
      <c r="AB41" s="106">
        <f>'25'!K41</f>
        <v>6000</v>
      </c>
      <c r="AC41" s="106">
        <f>'26'!K41</f>
        <v>6000</v>
      </c>
      <c r="AD41" s="106">
        <f>'27'!K41</f>
        <v>6000</v>
      </c>
      <c r="AE41" s="106">
        <f>'28'!K41</f>
        <v>6000</v>
      </c>
      <c r="AF41" s="106">
        <f>'29'!K41</f>
        <v>6000</v>
      </c>
      <c r="AG41" s="106">
        <f>'30'!K41</f>
        <v>6000</v>
      </c>
      <c r="AH41" s="18"/>
      <c r="AI41" s="116">
        <f t="shared" si="0"/>
        <v>0</v>
      </c>
      <c r="AJ41" s="193">
        <f t="shared" si="1"/>
        <v>6000</v>
      </c>
    </row>
    <row r="42" spans="1:36" x14ac:dyDescent="0.25">
      <c r="A42" s="31"/>
      <c r="B42" s="24" t="s">
        <v>121</v>
      </c>
      <c r="C42" s="23" t="s">
        <v>5</v>
      </c>
      <c r="D42" s="98">
        <f>'1'!K42</f>
        <v>2500</v>
      </c>
      <c r="E42" s="98">
        <f>'2'!K42</f>
        <v>2500</v>
      </c>
      <c r="F42" s="98">
        <f>'3'!K42</f>
        <v>2500</v>
      </c>
      <c r="G42" s="98">
        <f>'4'!K42</f>
        <v>2500</v>
      </c>
      <c r="H42" s="98">
        <f>'5'!K42</f>
        <v>2500</v>
      </c>
      <c r="I42" s="98">
        <f>'6'!K42</f>
        <v>2500</v>
      </c>
      <c r="J42" s="106">
        <f>'7'!K42</f>
        <v>2500</v>
      </c>
      <c r="K42" s="106">
        <f>'8'!K42</f>
        <v>2500</v>
      </c>
      <c r="L42" s="106">
        <f>'9'!K42</f>
        <v>2500</v>
      </c>
      <c r="M42" s="106">
        <f>'10'!K42</f>
        <v>2500</v>
      </c>
      <c r="N42" s="106">
        <f>'11'!K42</f>
        <v>2500</v>
      </c>
      <c r="O42" s="106">
        <f>'12'!K42</f>
        <v>2500</v>
      </c>
      <c r="P42" s="106">
        <f>'13'!K42</f>
        <v>2500</v>
      </c>
      <c r="Q42" s="106">
        <f>'14'!K42</f>
        <v>2500</v>
      </c>
      <c r="R42" s="106">
        <f>'15'!K42</f>
        <v>2500</v>
      </c>
      <c r="S42" s="106">
        <f>'14'!K42</f>
        <v>2500</v>
      </c>
      <c r="T42" s="106">
        <f>'17'!K42</f>
        <v>2500</v>
      </c>
      <c r="U42" s="106">
        <f>'18'!K42</f>
        <v>2500</v>
      </c>
      <c r="V42" s="106">
        <f>'19'!K42</f>
        <v>2500</v>
      </c>
      <c r="W42" s="106">
        <f>'20'!K42</f>
        <v>2500</v>
      </c>
      <c r="X42" s="106">
        <f>'21'!K42</f>
        <v>2500</v>
      </c>
      <c r="Y42" s="106">
        <f>'22'!K42</f>
        <v>2500</v>
      </c>
      <c r="Z42" s="106">
        <f>'23'!K42</f>
        <v>2500</v>
      </c>
      <c r="AA42" s="106">
        <f>'24'!K42</f>
        <v>2500</v>
      </c>
      <c r="AB42" s="106">
        <f>'25'!K42</f>
        <v>2500</v>
      </c>
      <c r="AC42" s="106">
        <f>'26'!K42</f>
        <v>2500</v>
      </c>
      <c r="AD42" s="106">
        <f>'27'!K42</f>
        <v>2500</v>
      </c>
      <c r="AE42" s="106">
        <f>'28'!K42</f>
        <v>2500</v>
      </c>
      <c r="AF42" s="106">
        <f>'29'!K42</f>
        <v>2500</v>
      </c>
      <c r="AG42" s="106">
        <f>'30'!K42</f>
        <v>2500</v>
      </c>
      <c r="AH42" s="18"/>
      <c r="AI42" s="116">
        <f t="shared" si="0"/>
        <v>0</v>
      </c>
      <c r="AJ42" s="193">
        <f t="shared" si="1"/>
        <v>2500</v>
      </c>
    </row>
    <row r="43" spans="1:36" x14ac:dyDescent="0.25">
      <c r="A43" s="134">
        <v>10</v>
      </c>
      <c r="B43" s="21" t="s">
        <v>31</v>
      </c>
      <c r="C43" s="21"/>
      <c r="D43" s="98">
        <f>'1'!K43</f>
        <v>0</v>
      </c>
      <c r="E43" s="98">
        <f>'2'!K43</f>
        <v>0</v>
      </c>
      <c r="F43" s="98">
        <f>'3'!K43</f>
        <v>0</v>
      </c>
      <c r="G43" s="98">
        <f>'4'!K43</f>
        <v>0</v>
      </c>
      <c r="H43" s="98">
        <f>'5'!K43</f>
        <v>0</v>
      </c>
      <c r="I43" s="98">
        <f>'6'!K43</f>
        <v>0</v>
      </c>
      <c r="J43" s="106">
        <f>'7'!K43</f>
        <v>0</v>
      </c>
      <c r="K43" s="106">
        <f>'8'!K43</f>
        <v>0</v>
      </c>
      <c r="L43" s="106">
        <f>'9'!K43</f>
        <v>0</v>
      </c>
      <c r="M43" s="106">
        <f>'10'!K43</f>
        <v>0</v>
      </c>
      <c r="N43" s="106">
        <f>'11'!K43</f>
        <v>0</v>
      </c>
      <c r="O43" s="106">
        <f>'12'!K43</f>
        <v>0</v>
      </c>
      <c r="P43" s="106">
        <f>'13'!K43</f>
        <v>0</v>
      </c>
      <c r="Q43" s="106">
        <f>'14'!K43</f>
        <v>0</v>
      </c>
      <c r="R43" s="106">
        <f>'15'!K43</f>
        <v>0</v>
      </c>
      <c r="S43" s="106">
        <f>'14'!K43</f>
        <v>0</v>
      </c>
      <c r="T43" s="106">
        <f>'17'!K43</f>
        <v>0</v>
      </c>
      <c r="U43" s="106">
        <f>'18'!K43</f>
        <v>0</v>
      </c>
      <c r="V43" s="106">
        <f>'19'!K43</f>
        <v>0</v>
      </c>
      <c r="W43" s="106">
        <f>'20'!K43</f>
        <v>0</v>
      </c>
      <c r="X43" s="106">
        <f>'21'!K43</f>
        <v>0</v>
      </c>
      <c r="Y43" s="106">
        <f>'22'!K43</f>
        <v>0</v>
      </c>
      <c r="Z43" s="106">
        <f>'23'!K43</f>
        <v>0</v>
      </c>
      <c r="AA43" s="106">
        <f>'24'!K43</f>
        <v>0</v>
      </c>
      <c r="AB43" s="106">
        <f>'25'!K43</f>
        <v>0</v>
      </c>
      <c r="AC43" s="106">
        <f>'26'!K43</f>
        <v>0</v>
      </c>
      <c r="AD43" s="106">
        <f>'27'!K43</f>
        <v>0</v>
      </c>
      <c r="AE43" s="106">
        <f>'28'!K43</f>
        <v>0</v>
      </c>
      <c r="AF43" s="106">
        <f>'29'!K43</f>
        <v>0</v>
      </c>
      <c r="AG43" s="106">
        <f>'30'!K43</f>
        <v>0</v>
      </c>
      <c r="AH43" s="18"/>
      <c r="AI43" s="116">
        <f t="shared" si="0"/>
        <v>0</v>
      </c>
      <c r="AJ43" s="193">
        <f t="shared" si="1"/>
        <v>0</v>
      </c>
    </row>
    <row r="44" spans="1:36" x14ac:dyDescent="0.25">
      <c r="A44" s="135"/>
      <c r="B44" s="20" t="s">
        <v>32</v>
      </c>
      <c r="C44" s="17" t="s">
        <v>33</v>
      </c>
      <c r="D44" s="98">
        <f>'1'!K44</f>
        <v>12416.666666666666</v>
      </c>
      <c r="E44" s="98">
        <f>'2'!K44</f>
        <v>12416.666666666666</v>
      </c>
      <c r="F44" s="98">
        <f>'3'!K44</f>
        <v>12416.666666666666</v>
      </c>
      <c r="G44" s="98">
        <f>'4'!K44</f>
        <v>12416.666666666666</v>
      </c>
      <c r="H44" s="98">
        <f>'5'!K44</f>
        <v>12416.666666666666</v>
      </c>
      <c r="I44" s="98">
        <f>'6'!K44</f>
        <v>12416.666666666666</v>
      </c>
      <c r="J44" s="106">
        <f>'7'!K44</f>
        <v>12416.666666666666</v>
      </c>
      <c r="K44" s="106">
        <f>'8'!K44</f>
        <v>12416.666666666666</v>
      </c>
      <c r="L44" s="106">
        <f>'9'!K44</f>
        <v>12416.666666666666</v>
      </c>
      <c r="M44" s="106">
        <f>'10'!K44</f>
        <v>12416.666666666666</v>
      </c>
      <c r="N44" s="106">
        <f>'11'!K44</f>
        <v>12416.666666666666</v>
      </c>
      <c r="O44" s="106">
        <f>'12'!K44</f>
        <v>12416.666666666666</v>
      </c>
      <c r="P44" s="106">
        <f>'13'!K44</f>
        <v>12416.666666666666</v>
      </c>
      <c r="Q44" s="106">
        <f>'14'!K44</f>
        <v>12416.666666666666</v>
      </c>
      <c r="R44" s="106">
        <f>'15'!K44</f>
        <v>12416.666666666666</v>
      </c>
      <c r="S44" s="106">
        <f>'14'!K44</f>
        <v>12416.666666666666</v>
      </c>
      <c r="T44" s="106">
        <f>'17'!K44</f>
        <v>12416.666666666666</v>
      </c>
      <c r="U44" s="106">
        <f>'18'!K44</f>
        <v>12416.666666666666</v>
      </c>
      <c r="V44" s="106">
        <f>'19'!K44</f>
        <v>12416.666666666666</v>
      </c>
      <c r="W44" s="106">
        <f>'20'!K44</f>
        <v>12416.666666666666</v>
      </c>
      <c r="X44" s="106">
        <f>'21'!K44</f>
        <v>12416.666666666666</v>
      </c>
      <c r="Y44" s="106">
        <f>'22'!K44</f>
        <v>12416.666666666666</v>
      </c>
      <c r="Z44" s="106">
        <f>'23'!K44</f>
        <v>12416.666666666666</v>
      </c>
      <c r="AA44" s="106">
        <f>'24'!K44</f>
        <v>12416.666666666666</v>
      </c>
      <c r="AB44" s="106">
        <f>'25'!K44</f>
        <v>12416.666666666666</v>
      </c>
      <c r="AC44" s="106">
        <f>'26'!K44</f>
        <v>12416.666666666666</v>
      </c>
      <c r="AD44" s="106">
        <f>'27'!K44</f>
        <v>12416.666666666666</v>
      </c>
      <c r="AE44" s="106">
        <f>'28'!K44</f>
        <v>12416.666666666666</v>
      </c>
      <c r="AF44" s="106">
        <f>'29'!K44</f>
        <v>12416.666666666666</v>
      </c>
      <c r="AG44" s="106">
        <f>'30'!K44</f>
        <v>12416.666666666666</v>
      </c>
      <c r="AH44" s="18"/>
      <c r="AI44" s="116">
        <f t="shared" si="0"/>
        <v>0</v>
      </c>
      <c r="AJ44" s="193">
        <f t="shared" si="1"/>
        <v>12416.666666666668</v>
      </c>
    </row>
    <row r="45" spans="1:36" x14ac:dyDescent="0.25">
      <c r="A45" s="136"/>
      <c r="B45" s="20" t="s">
        <v>34</v>
      </c>
      <c r="C45" s="17" t="s">
        <v>35</v>
      </c>
      <c r="D45" s="98">
        <f>'1'!K45</f>
        <v>12583.333333333334</v>
      </c>
      <c r="E45" s="98">
        <f>'2'!K45</f>
        <v>12583.333333333334</v>
      </c>
      <c r="F45" s="98">
        <f>'3'!K45</f>
        <v>12583.333333333334</v>
      </c>
      <c r="G45" s="98">
        <f>'4'!K45</f>
        <v>12583.333333333334</v>
      </c>
      <c r="H45" s="98">
        <f>'5'!K45</f>
        <v>12583.333333333334</v>
      </c>
      <c r="I45" s="98">
        <f>'6'!K45</f>
        <v>12583.333333333334</v>
      </c>
      <c r="J45" s="106">
        <f>'7'!K45</f>
        <v>12583.333333333334</v>
      </c>
      <c r="K45" s="106">
        <f>'8'!K45</f>
        <v>12583.333333333334</v>
      </c>
      <c r="L45" s="106">
        <f>'9'!K45</f>
        <v>12583.333333333334</v>
      </c>
      <c r="M45" s="106">
        <f>'10'!K45</f>
        <v>12583.333333333334</v>
      </c>
      <c r="N45" s="106">
        <f>'11'!K45</f>
        <v>12583.333333333334</v>
      </c>
      <c r="O45" s="106">
        <f>'12'!K45</f>
        <v>12583.333333333334</v>
      </c>
      <c r="P45" s="106">
        <f>'13'!K45</f>
        <v>12583.333333333334</v>
      </c>
      <c r="Q45" s="106">
        <f>'14'!K45</f>
        <v>12583.333333333334</v>
      </c>
      <c r="R45" s="106">
        <f>'15'!K45</f>
        <v>12583.333333333334</v>
      </c>
      <c r="S45" s="106">
        <f>'14'!K45</f>
        <v>12583.333333333334</v>
      </c>
      <c r="T45" s="106">
        <f>'17'!K45</f>
        <v>12583.333333333334</v>
      </c>
      <c r="U45" s="106">
        <f>'18'!K45</f>
        <v>12583.333333333334</v>
      </c>
      <c r="V45" s="106">
        <f>'19'!K45</f>
        <v>12583.333333333334</v>
      </c>
      <c r="W45" s="106">
        <f>'20'!K45</f>
        <v>12583.333333333334</v>
      </c>
      <c r="X45" s="106">
        <f>'21'!K45</f>
        <v>12583.333333333334</v>
      </c>
      <c r="Y45" s="106">
        <f>'22'!K45</f>
        <v>12583.333333333334</v>
      </c>
      <c r="Z45" s="106">
        <f>'23'!K45</f>
        <v>12583.333333333334</v>
      </c>
      <c r="AA45" s="106">
        <f>'24'!K45</f>
        <v>12583.333333333334</v>
      </c>
      <c r="AB45" s="106">
        <f>'25'!K45</f>
        <v>12583.333333333334</v>
      </c>
      <c r="AC45" s="106">
        <f>'26'!K45</f>
        <v>12583.333333333334</v>
      </c>
      <c r="AD45" s="106">
        <f>'27'!K45</f>
        <v>12583.333333333334</v>
      </c>
      <c r="AE45" s="106">
        <f>'28'!K45</f>
        <v>12583.333333333334</v>
      </c>
      <c r="AF45" s="106">
        <f>'29'!K45</f>
        <v>12583.333333333334</v>
      </c>
      <c r="AG45" s="106">
        <f>'30'!K45</f>
        <v>12583.333333333334</v>
      </c>
      <c r="AH45" s="18"/>
      <c r="AI45" s="116">
        <f t="shared" si="0"/>
        <v>0</v>
      </c>
      <c r="AJ45" s="193">
        <f t="shared" si="1"/>
        <v>12583.33333333333</v>
      </c>
    </row>
    <row r="46" spans="1:36" x14ac:dyDescent="0.25">
      <c r="A46" s="134">
        <v>11</v>
      </c>
      <c r="B46" s="21" t="s">
        <v>36</v>
      </c>
      <c r="C46" s="21"/>
      <c r="D46" s="98">
        <f>'1'!K46</f>
        <v>0</v>
      </c>
      <c r="E46" s="98">
        <f>'2'!K46</f>
        <v>0</v>
      </c>
      <c r="F46" s="98">
        <f>'3'!K46</f>
        <v>0</v>
      </c>
      <c r="G46" s="98">
        <f>'4'!K46</f>
        <v>0</v>
      </c>
      <c r="H46" s="98">
        <f>'5'!K46</f>
        <v>0</v>
      </c>
      <c r="I46" s="98">
        <f>'6'!K46</f>
        <v>0</v>
      </c>
      <c r="J46" s="106">
        <f>'7'!K46</f>
        <v>0</v>
      </c>
      <c r="K46" s="106">
        <f>'8'!K46</f>
        <v>0</v>
      </c>
      <c r="L46" s="106">
        <f>'9'!K46</f>
        <v>0</v>
      </c>
      <c r="M46" s="106">
        <f>'10'!K46</f>
        <v>0</v>
      </c>
      <c r="N46" s="106">
        <f>'11'!K46</f>
        <v>0</v>
      </c>
      <c r="O46" s="106">
        <f>'12'!K46</f>
        <v>0</v>
      </c>
      <c r="P46" s="106">
        <f>'13'!K46</f>
        <v>0</v>
      </c>
      <c r="Q46" s="106">
        <f>'14'!K46</f>
        <v>0</v>
      </c>
      <c r="R46" s="106">
        <f>'15'!K46</f>
        <v>0</v>
      </c>
      <c r="S46" s="106">
        <f>'14'!K46</f>
        <v>0</v>
      </c>
      <c r="T46" s="106">
        <f>'17'!K46</f>
        <v>0</v>
      </c>
      <c r="U46" s="106">
        <f>'18'!K46</f>
        <v>0</v>
      </c>
      <c r="V46" s="106">
        <f>'19'!K46</f>
        <v>0</v>
      </c>
      <c r="W46" s="106">
        <f>'20'!K46</f>
        <v>0</v>
      </c>
      <c r="X46" s="106">
        <f>'21'!K46</f>
        <v>0</v>
      </c>
      <c r="Y46" s="106">
        <f>'22'!K46</f>
        <v>0</v>
      </c>
      <c r="Z46" s="106">
        <f>'23'!K46</f>
        <v>0</v>
      </c>
      <c r="AA46" s="106">
        <f>'24'!K46</f>
        <v>0</v>
      </c>
      <c r="AB46" s="106">
        <f>'25'!K46</f>
        <v>0</v>
      </c>
      <c r="AC46" s="106">
        <f>'26'!K46</f>
        <v>0</v>
      </c>
      <c r="AD46" s="106">
        <f>'27'!K46</f>
        <v>0</v>
      </c>
      <c r="AE46" s="106">
        <f>'28'!K46</f>
        <v>0</v>
      </c>
      <c r="AF46" s="106">
        <f>'29'!K46</f>
        <v>0</v>
      </c>
      <c r="AG46" s="106">
        <f>'30'!K46</f>
        <v>0</v>
      </c>
      <c r="AH46" s="18"/>
      <c r="AI46" s="116">
        <f t="shared" si="0"/>
        <v>0</v>
      </c>
      <c r="AJ46" s="193">
        <f t="shared" si="1"/>
        <v>0</v>
      </c>
    </row>
    <row r="47" spans="1:36" x14ac:dyDescent="0.25">
      <c r="A47" s="135"/>
      <c r="B47" s="20" t="s">
        <v>37</v>
      </c>
      <c r="C47" s="17" t="s">
        <v>38</v>
      </c>
      <c r="D47" s="98">
        <f>'1'!K47</f>
        <v>17500</v>
      </c>
      <c r="E47" s="98">
        <f>'2'!K47</f>
        <v>17500</v>
      </c>
      <c r="F47" s="98">
        <f>'3'!K47</f>
        <v>17500</v>
      </c>
      <c r="G47" s="98">
        <f>'4'!K47</f>
        <v>17500</v>
      </c>
      <c r="H47" s="98">
        <f>'5'!K47</f>
        <v>17500</v>
      </c>
      <c r="I47" s="98">
        <f>'6'!K47</f>
        <v>17500</v>
      </c>
      <c r="J47" s="106">
        <f>'7'!K47</f>
        <v>17500</v>
      </c>
      <c r="K47" s="106">
        <f>'8'!K47</f>
        <v>17500</v>
      </c>
      <c r="L47" s="106">
        <f>'9'!K47</f>
        <v>17500</v>
      </c>
      <c r="M47" s="106">
        <f>'10'!K47</f>
        <v>17500</v>
      </c>
      <c r="N47" s="106">
        <f>'11'!K47</f>
        <v>17500</v>
      </c>
      <c r="O47" s="106">
        <f>'12'!K47</f>
        <v>17500</v>
      </c>
      <c r="P47" s="106">
        <f>'13'!K47</f>
        <v>17500</v>
      </c>
      <c r="Q47" s="106">
        <f>'14'!K47</f>
        <v>17500</v>
      </c>
      <c r="R47" s="106">
        <f>'15'!K47</f>
        <v>17500</v>
      </c>
      <c r="S47" s="106">
        <f>'14'!K47</f>
        <v>17500</v>
      </c>
      <c r="T47" s="106">
        <f>'17'!K47</f>
        <v>17500</v>
      </c>
      <c r="U47" s="106">
        <f>'18'!K47</f>
        <v>17500</v>
      </c>
      <c r="V47" s="106">
        <f>'19'!K47</f>
        <v>17500</v>
      </c>
      <c r="W47" s="106">
        <f>'20'!K47</f>
        <v>17500</v>
      </c>
      <c r="X47" s="106">
        <f>'21'!K47</f>
        <v>17500</v>
      </c>
      <c r="Y47" s="106">
        <f>'22'!K47</f>
        <v>17500</v>
      </c>
      <c r="Z47" s="106">
        <f>'23'!K47</f>
        <v>17500</v>
      </c>
      <c r="AA47" s="106">
        <f>'24'!K47</f>
        <v>17500</v>
      </c>
      <c r="AB47" s="106">
        <f>'25'!K47</f>
        <v>17500</v>
      </c>
      <c r="AC47" s="106">
        <f>'26'!K47</f>
        <v>17500</v>
      </c>
      <c r="AD47" s="106">
        <f>'27'!K47</f>
        <v>17500</v>
      </c>
      <c r="AE47" s="106">
        <f>'28'!K47</f>
        <v>17500</v>
      </c>
      <c r="AF47" s="106">
        <f>'29'!K47</f>
        <v>17500</v>
      </c>
      <c r="AG47" s="106">
        <f>'30'!K47</f>
        <v>17500</v>
      </c>
      <c r="AH47" s="18"/>
      <c r="AI47" s="116">
        <f t="shared" si="0"/>
        <v>0</v>
      </c>
      <c r="AJ47" s="193">
        <f t="shared" si="1"/>
        <v>17500</v>
      </c>
    </row>
    <row r="48" spans="1:36" x14ac:dyDescent="0.25">
      <c r="A48" s="136"/>
      <c r="B48" s="20" t="s">
        <v>39</v>
      </c>
      <c r="C48" s="17" t="s">
        <v>40</v>
      </c>
      <c r="D48" s="98">
        <f>'1'!K48</f>
        <v>2000</v>
      </c>
      <c r="E48" s="98">
        <f>'2'!K48</f>
        <v>2000</v>
      </c>
      <c r="F48" s="98">
        <f>'3'!K48</f>
        <v>2000</v>
      </c>
      <c r="G48" s="98">
        <f>'4'!K48</f>
        <v>2000</v>
      </c>
      <c r="H48" s="98">
        <f>'5'!K48</f>
        <v>2000</v>
      </c>
      <c r="I48" s="98">
        <f>'6'!K48</f>
        <v>2000</v>
      </c>
      <c r="J48" s="106">
        <f>'7'!K48</f>
        <v>2000</v>
      </c>
      <c r="K48" s="106">
        <f>'8'!K48</f>
        <v>2000</v>
      </c>
      <c r="L48" s="106">
        <f>'9'!K48</f>
        <v>2000</v>
      </c>
      <c r="M48" s="106">
        <f>'10'!K48</f>
        <v>2000</v>
      </c>
      <c r="N48" s="106">
        <f>'11'!K48</f>
        <v>2000</v>
      </c>
      <c r="O48" s="106">
        <f>'12'!K48</f>
        <v>2000</v>
      </c>
      <c r="P48" s="106">
        <f>'13'!K48</f>
        <v>2000</v>
      </c>
      <c r="Q48" s="106">
        <f>'14'!K48</f>
        <v>2000</v>
      </c>
      <c r="R48" s="106">
        <f>'15'!K48</f>
        <v>2000</v>
      </c>
      <c r="S48" s="106">
        <f>'14'!K48</f>
        <v>2000</v>
      </c>
      <c r="T48" s="106">
        <f>'17'!K48</f>
        <v>2000</v>
      </c>
      <c r="U48" s="106">
        <f>'18'!K48</f>
        <v>2000</v>
      </c>
      <c r="V48" s="106">
        <f>'19'!K48</f>
        <v>2000</v>
      </c>
      <c r="W48" s="106">
        <f>'20'!K48</f>
        <v>2000</v>
      </c>
      <c r="X48" s="106">
        <f>'21'!K48</f>
        <v>2000</v>
      </c>
      <c r="Y48" s="106">
        <f>'22'!K48</f>
        <v>2000</v>
      </c>
      <c r="Z48" s="106">
        <f>'23'!K48</f>
        <v>2000</v>
      </c>
      <c r="AA48" s="106">
        <f>'24'!K48</f>
        <v>2000</v>
      </c>
      <c r="AB48" s="106">
        <f>'25'!K48</f>
        <v>2000</v>
      </c>
      <c r="AC48" s="106">
        <f>'26'!K48</f>
        <v>2000</v>
      </c>
      <c r="AD48" s="106">
        <f>'27'!K48</f>
        <v>2000</v>
      </c>
      <c r="AE48" s="106">
        <f>'28'!K48</f>
        <v>2000</v>
      </c>
      <c r="AF48" s="106">
        <f>'29'!K48</f>
        <v>2000</v>
      </c>
      <c r="AG48" s="106">
        <f>'30'!K48</f>
        <v>2000</v>
      </c>
      <c r="AH48" s="18"/>
      <c r="AI48" s="116">
        <f t="shared" si="0"/>
        <v>0</v>
      </c>
      <c r="AJ48" s="193">
        <f t="shared" si="1"/>
        <v>2000</v>
      </c>
    </row>
    <row r="49" spans="1:36" x14ac:dyDescent="0.25">
      <c r="A49" s="29">
        <v>12</v>
      </c>
      <c r="B49" s="25" t="s">
        <v>41</v>
      </c>
      <c r="C49" s="17"/>
      <c r="D49" s="98">
        <f>'1'!K49</f>
        <v>0</v>
      </c>
      <c r="E49" s="98">
        <f>'2'!K49</f>
        <v>0</v>
      </c>
      <c r="F49" s="98">
        <f>'3'!K49</f>
        <v>0</v>
      </c>
      <c r="G49" s="98">
        <f>'4'!K49</f>
        <v>0</v>
      </c>
      <c r="H49" s="98">
        <f>'5'!K49</f>
        <v>0</v>
      </c>
      <c r="I49" s="98">
        <f>'6'!K49</f>
        <v>0</v>
      </c>
      <c r="J49" s="106">
        <f>'7'!K49</f>
        <v>0</v>
      </c>
      <c r="K49" s="106">
        <f>'8'!K49</f>
        <v>0</v>
      </c>
      <c r="L49" s="106">
        <f>'9'!K49</f>
        <v>0</v>
      </c>
      <c r="M49" s="106">
        <f>'10'!K49</f>
        <v>0</v>
      </c>
      <c r="N49" s="106">
        <f>'11'!K49</f>
        <v>0</v>
      </c>
      <c r="O49" s="106">
        <f>'12'!K49</f>
        <v>0</v>
      </c>
      <c r="P49" s="106">
        <f>'13'!K49</f>
        <v>0</v>
      </c>
      <c r="Q49" s="106">
        <f>'14'!K49</f>
        <v>0</v>
      </c>
      <c r="R49" s="106">
        <f>'15'!K49</f>
        <v>0</v>
      </c>
      <c r="S49" s="106">
        <f>'14'!K49</f>
        <v>0</v>
      </c>
      <c r="T49" s="106">
        <f>'17'!K49</f>
        <v>0</v>
      </c>
      <c r="U49" s="106">
        <f>'18'!K49</f>
        <v>0</v>
      </c>
      <c r="V49" s="106">
        <f>'19'!K49</f>
        <v>0</v>
      </c>
      <c r="W49" s="106">
        <f>'20'!K49</f>
        <v>0</v>
      </c>
      <c r="X49" s="106">
        <f>'21'!K49</f>
        <v>0</v>
      </c>
      <c r="Y49" s="106">
        <f>'22'!K49</f>
        <v>0</v>
      </c>
      <c r="Z49" s="106">
        <f>'23'!K49</f>
        <v>0</v>
      </c>
      <c r="AA49" s="106">
        <f>'24'!K49</f>
        <v>0</v>
      </c>
      <c r="AB49" s="106">
        <f>'25'!K49</f>
        <v>0</v>
      </c>
      <c r="AC49" s="106">
        <f>'26'!K49</f>
        <v>0</v>
      </c>
      <c r="AD49" s="106">
        <f>'27'!K49</f>
        <v>0</v>
      </c>
      <c r="AE49" s="106">
        <f>'28'!K49</f>
        <v>0</v>
      </c>
      <c r="AF49" s="106">
        <f>'29'!K49</f>
        <v>0</v>
      </c>
      <c r="AG49" s="106">
        <f>'30'!K49</f>
        <v>0</v>
      </c>
      <c r="AH49" s="18"/>
      <c r="AI49" s="116">
        <f t="shared" si="0"/>
        <v>0</v>
      </c>
      <c r="AJ49" s="193">
        <f t="shared" si="1"/>
        <v>0</v>
      </c>
    </row>
    <row r="50" spans="1:36" x14ac:dyDescent="0.25">
      <c r="A50" s="29"/>
      <c r="B50" s="20" t="s">
        <v>42</v>
      </c>
      <c r="C50" s="17" t="s">
        <v>5</v>
      </c>
      <c r="D50" s="98">
        <f>'1'!K50</f>
        <v>9500</v>
      </c>
      <c r="E50" s="98">
        <f>'2'!K50</f>
        <v>9500</v>
      </c>
      <c r="F50" s="98">
        <f>'3'!K50</f>
        <v>9500</v>
      </c>
      <c r="G50" s="98">
        <f>'4'!K50</f>
        <v>9500</v>
      </c>
      <c r="H50" s="98">
        <f>'5'!K50</f>
        <v>9500</v>
      </c>
      <c r="I50" s="98">
        <f>'6'!K50</f>
        <v>9500</v>
      </c>
      <c r="J50" s="106">
        <f>'7'!K50</f>
        <v>9500</v>
      </c>
      <c r="K50" s="106">
        <f>'8'!K50</f>
        <v>9500</v>
      </c>
      <c r="L50" s="106">
        <f>'9'!K50</f>
        <v>9500</v>
      </c>
      <c r="M50" s="106">
        <f>'10'!K50</f>
        <v>9500</v>
      </c>
      <c r="N50" s="106">
        <f>'11'!K50</f>
        <v>9500</v>
      </c>
      <c r="O50" s="106">
        <f>'12'!K50</f>
        <v>9500</v>
      </c>
      <c r="P50" s="106">
        <f>'13'!K50</f>
        <v>9500</v>
      </c>
      <c r="Q50" s="106">
        <f>'14'!K50</f>
        <v>9400</v>
      </c>
      <c r="R50" s="106">
        <f>'15'!K50</f>
        <v>9400</v>
      </c>
      <c r="S50" s="106">
        <f>'14'!K50</f>
        <v>9400</v>
      </c>
      <c r="T50" s="106">
        <f>'17'!K50</f>
        <v>9400</v>
      </c>
      <c r="U50" s="106">
        <f>'18'!K50</f>
        <v>9500</v>
      </c>
      <c r="V50" s="106">
        <f>'19'!K50</f>
        <v>9500</v>
      </c>
      <c r="W50" s="106">
        <f>'20'!K50</f>
        <v>9500</v>
      </c>
      <c r="X50" s="106">
        <f>'21'!K50</f>
        <v>9500</v>
      </c>
      <c r="Y50" s="106">
        <f>'22'!K50</f>
        <v>9500</v>
      </c>
      <c r="Z50" s="106">
        <f>'23'!K50</f>
        <v>9500</v>
      </c>
      <c r="AA50" s="106">
        <f>'24'!K50</f>
        <v>9500</v>
      </c>
      <c r="AB50" s="106">
        <f>'25'!K50</f>
        <v>9500</v>
      </c>
      <c r="AC50" s="106">
        <f>'26'!K50</f>
        <v>9500</v>
      </c>
      <c r="AD50" s="106">
        <f>'27'!K50</f>
        <v>9500</v>
      </c>
      <c r="AE50" s="106">
        <f>'28'!K50</f>
        <v>9500</v>
      </c>
      <c r="AF50" s="106">
        <f>'29'!K50</f>
        <v>9500</v>
      </c>
      <c r="AG50" s="106">
        <f>'30'!K50</f>
        <v>9500</v>
      </c>
      <c r="AH50" s="18"/>
      <c r="AI50" s="116">
        <f t="shared" si="0"/>
        <v>0</v>
      </c>
      <c r="AJ50" s="193">
        <f t="shared" si="1"/>
        <v>9486.6666666666661</v>
      </c>
    </row>
    <row r="51" spans="1:36" x14ac:dyDescent="0.25">
      <c r="A51" s="30"/>
      <c r="B51" s="20" t="s">
        <v>43</v>
      </c>
      <c r="C51" s="17" t="s">
        <v>5</v>
      </c>
      <c r="D51" s="98">
        <f>'1'!K51</f>
        <v>8857.1428571428569</v>
      </c>
      <c r="E51" s="98">
        <f>'2'!K51</f>
        <v>8857.1428571428569</v>
      </c>
      <c r="F51" s="98">
        <f>'3'!K51</f>
        <v>8857.1428571428569</v>
      </c>
      <c r="G51" s="98">
        <f>'4'!K51</f>
        <v>8857.1428571428569</v>
      </c>
      <c r="H51" s="98">
        <f>'5'!K51</f>
        <v>8857.1428571428569</v>
      </c>
      <c r="I51" s="98">
        <f>'6'!K51</f>
        <v>8857.1428571428569</v>
      </c>
      <c r="J51" s="106">
        <f>'7'!K51</f>
        <v>8857.1428571428569</v>
      </c>
      <c r="K51" s="106">
        <f>'8'!K51</f>
        <v>8857.1428571428569</v>
      </c>
      <c r="L51" s="106">
        <f>'9'!K51</f>
        <v>8857.1428571428569</v>
      </c>
      <c r="M51" s="106">
        <f>'10'!K51</f>
        <v>8857.1428571428569</v>
      </c>
      <c r="N51" s="106">
        <f>'11'!K51</f>
        <v>8857.1428571428569</v>
      </c>
      <c r="O51" s="106">
        <f>'12'!K51</f>
        <v>8857.1428571428569</v>
      </c>
      <c r="P51" s="106">
        <f>'13'!K51</f>
        <v>8857.1428571428569</v>
      </c>
      <c r="Q51" s="106">
        <f>'14'!K51</f>
        <v>9000</v>
      </c>
      <c r="R51" s="106">
        <f>'15'!K51</f>
        <v>9000</v>
      </c>
      <c r="S51" s="106">
        <f>'14'!K51</f>
        <v>9000</v>
      </c>
      <c r="T51" s="106">
        <f>'17'!K51</f>
        <v>9000</v>
      </c>
      <c r="U51" s="106">
        <f>'18'!K51</f>
        <v>8857.1428571428569</v>
      </c>
      <c r="V51" s="106">
        <f>'19'!K51</f>
        <v>8857.1428571428569</v>
      </c>
      <c r="W51" s="106">
        <f>'20'!K51</f>
        <v>8857.1428571428569</v>
      </c>
      <c r="X51" s="106">
        <f>'21'!K51</f>
        <v>8857.1428571428569</v>
      </c>
      <c r="Y51" s="106">
        <f>'22'!K51</f>
        <v>8857.1428571428569</v>
      </c>
      <c r="Z51" s="106">
        <f>'23'!K51</f>
        <v>8857.1428571428569</v>
      </c>
      <c r="AA51" s="106">
        <f>'24'!K51</f>
        <v>8857.1428571428569</v>
      </c>
      <c r="AB51" s="106">
        <f>'25'!K51</f>
        <v>8857.1428571428569</v>
      </c>
      <c r="AC51" s="106">
        <f>'26'!K51</f>
        <v>8857.1428571428569</v>
      </c>
      <c r="AD51" s="106">
        <f>'27'!K51</f>
        <v>8857.1428571428569</v>
      </c>
      <c r="AE51" s="106">
        <f>'28'!K51</f>
        <v>8857.1428571428569</v>
      </c>
      <c r="AF51" s="106">
        <f>'29'!K51</f>
        <v>8857.1428571428569</v>
      </c>
      <c r="AG51" s="106">
        <f>'30'!K51</f>
        <v>8857.1428571428569</v>
      </c>
      <c r="AH51" s="18"/>
      <c r="AI51" s="116">
        <f t="shared" si="0"/>
        <v>0</v>
      </c>
      <c r="AJ51" s="193">
        <f t="shared" si="1"/>
        <v>8876.1904761904807</v>
      </c>
    </row>
    <row r="52" spans="1:36" x14ac:dyDescent="0.25">
      <c r="A52" s="134">
        <v>13</v>
      </c>
      <c r="B52" s="21" t="s">
        <v>44</v>
      </c>
      <c r="C52" s="21"/>
      <c r="D52" s="98">
        <f>'1'!K52</f>
        <v>0</v>
      </c>
      <c r="E52" s="98">
        <f>'2'!K52</f>
        <v>0</v>
      </c>
      <c r="F52" s="98">
        <f>'3'!K52</f>
        <v>0</v>
      </c>
      <c r="G52" s="98">
        <f>'4'!K52</f>
        <v>0</v>
      </c>
      <c r="H52" s="98">
        <f>'5'!K52</f>
        <v>0</v>
      </c>
      <c r="I52" s="98">
        <f>'6'!K52</f>
        <v>0</v>
      </c>
      <c r="J52" s="106">
        <f>'7'!K52</f>
        <v>0</v>
      </c>
      <c r="K52" s="106">
        <f>'8'!K52</f>
        <v>0</v>
      </c>
      <c r="L52" s="106">
        <f>'9'!K52</f>
        <v>0</v>
      </c>
      <c r="M52" s="106">
        <f>'10'!K52</f>
        <v>0</v>
      </c>
      <c r="N52" s="106">
        <f>'11'!K52</f>
        <v>0</v>
      </c>
      <c r="O52" s="106">
        <f>'12'!K52</f>
        <v>0</v>
      </c>
      <c r="P52" s="106">
        <f>'13'!K52</f>
        <v>0</v>
      </c>
      <c r="Q52" s="106">
        <f>'14'!K52</f>
        <v>0</v>
      </c>
      <c r="R52" s="106">
        <f>'15'!K52</f>
        <v>0</v>
      </c>
      <c r="S52" s="106">
        <f>'14'!K52</f>
        <v>0</v>
      </c>
      <c r="T52" s="106">
        <f>'17'!K52</f>
        <v>0</v>
      </c>
      <c r="U52" s="106">
        <f>'18'!K52</f>
        <v>0</v>
      </c>
      <c r="V52" s="106">
        <f>'19'!K52</f>
        <v>0</v>
      </c>
      <c r="W52" s="106">
        <f>'20'!K52</f>
        <v>0</v>
      </c>
      <c r="X52" s="106">
        <f>'21'!K52</f>
        <v>0</v>
      </c>
      <c r="Y52" s="106">
        <f>'22'!K52</f>
        <v>0</v>
      </c>
      <c r="Z52" s="106">
        <f>'23'!K52</f>
        <v>0</v>
      </c>
      <c r="AA52" s="106">
        <f>'24'!K52</f>
        <v>0</v>
      </c>
      <c r="AB52" s="106">
        <f>'25'!K52</f>
        <v>0</v>
      </c>
      <c r="AC52" s="106">
        <f>'26'!K52</f>
        <v>0</v>
      </c>
      <c r="AD52" s="106">
        <f>'27'!K52</f>
        <v>0</v>
      </c>
      <c r="AE52" s="106">
        <f>'28'!K52</f>
        <v>0</v>
      </c>
      <c r="AF52" s="106">
        <f>'29'!K52</f>
        <v>0</v>
      </c>
      <c r="AG52" s="106">
        <f>'30'!K52</f>
        <v>0</v>
      </c>
      <c r="AH52" s="18"/>
      <c r="AI52" s="116">
        <f t="shared" si="0"/>
        <v>0</v>
      </c>
      <c r="AJ52" s="193">
        <f t="shared" si="1"/>
        <v>0</v>
      </c>
    </row>
    <row r="53" spans="1:36" x14ac:dyDescent="0.25">
      <c r="A53" s="136"/>
      <c r="B53" s="20" t="s">
        <v>45</v>
      </c>
      <c r="C53" s="17" t="s">
        <v>46</v>
      </c>
      <c r="D53" s="98">
        <f>'1'!K53</f>
        <v>4071.4285714285716</v>
      </c>
      <c r="E53" s="98">
        <f>'2'!K53</f>
        <v>4071.4285714285716</v>
      </c>
      <c r="F53" s="98">
        <f>'3'!K53</f>
        <v>4071.4285714285716</v>
      </c>
      <c r="G53" s="98">
        <f>'4'!K53</f>
        <v>4071.4285714285716</v>
      </c>
      <c r="H53" s="98">
        <f>'5'!K53</f>
        <v>4071.4285714285716</v>
      </c>
      <c r="I53" s="98">
        <f>'6'!K53</f>
        <v>4071.4285714285716</v>
      </c>
      <c r="J53" s="106">
        <f>'7'!K53</f>
        <v>4071.4285714285716</v>
      </c>
      <c r="K53" s="106">
        <f>'8'!K53</f>
        <v>4071.4285714285716</v>
      </c>
      <c r="L53" s="106">
        <f>'9'!K53</f>
        <v>4071.4285714285716</v>
      </c>
      <c r="M53" s="106">
        <f>'10'!K53</f>
        <v>4071.4285714285716</v>
      </c>
      <c r="N53" s="106">
        <f>'11'!K53</f>
        <v>4428.5714285714284</v>
      </c>
      <c r="O53" s="106">
        <f>'12'!K53</f>
        <v>4428.5714285714284</v>
      </c>
      <c r="P53" s="106">
        <f>'13'!K53</f>
        <v>4428.5714285714284</v>
      </c>
      <c r="Q53" s="106">
        <f>'14'!K53</f>
        <v>4142.8571428571431</v>
      </c>
      <c r="R53" s="106">
        <f>'15'!K53</f>
        <v>4142.8571428571431</v>
      </c>
      <c r="S53" s="106">
        <f>'14'!K53</f>
        <v>4142.8571428571431</v>
      </c>
      <c r="T53" s="106">
        <f>'17'!K53</f>
        <v>4142.8571428571431</v>
      </c>
      <c r="U53" s="106">
        <f>'18'!K53</f>
        <v>4428.5714285714284</v>
      </c>
      <c r="V53" s="106">
        <f>'19'!K53</f>
        <v>4428.5714285714284</v>
      </c>
      <c r="W53" s="106">
        <f>'20'!K53</f>
        <v>4428.5714285714284</v>
      </c>
      <c r="X53" s="106">
        <f>'21'!K53</f>
        <v>4428.5714285714284</v>
      </c>
      <c r="Y53" s="106">
        <f>'22'!K53</f>
        <v>4428.5714285714284</v>
      </c>
      <c r="Z53" s="106">
        <f>'23'!K53</f>
        <v>4428.5714285714284</v>
      </c>
      <c r="AA53" s="106">
        <f>'24'!K53</f>
        <v>4428.5714285714284</v>
      </c>
      <c r="AB53" s="106">
        <f>'25'!K53</f>
        <v>4428.5714285714284</v>
      </c>
      <c r="AC53" s="106">
        <f>'26'!K53</f>
        <v>4428.5714285714284</v>
      </c>
      <c r="AD53" s="106">
        <f>'27'!K53</f>
        <v>4428.5714285714284</v>
      </c>
      <c r="AE53" s="106">
        <f>'28'!K53</f>
        <v>4428.5714285714284</v>
      </c>
      <c r="AF53" s="106">
        <f>'29'!K53</f>
        <v>4428.5714285714284</v>
      </c>
      <c r="AG53" s="106">
        <f>'30'!K53</f>
        <v>4428.5714285714284</v>
      </c>
      <c r="AH53" s="18"/>
      <c r="AI53" s="116">
        <f t="shared" si="0"/>
        <v>357.14285714285688</v>
      </c>
      <c r="AJ53" s="193">
        <f t="shared" si="1"/>
        <v>4271.4285714285743</v>
      </c>
    </row>
    <row r="54" spans="1:36" x14ac:dyDescent="0.25">
      <c r="A54" s="134">
        <v>14</v>
      </c>
      <c r="B54" s="21" t="s">
        <v>47</v>
      </c>
      <c r="C54" s="17"/>
      <c r="D54" s="98">
        <f>'1'!K54</f>
        <v>0</v>
      </c>
      <c r="E54" s="98">
        <f>'2'!K54</f>
        <v>0</v>
      </c>
      <c r="F54" s="98">
        <f>'3'!K54</f>
        <v>0</v>
      </c>
      <c r="G54" s="98">
        <f>'4'!K54</f>
        <v>0</v>
      </c>
      <c r="H54" s="98">
        <f>'5'!K54</f>
        <v>0</v>
      </c>
      <c r="I54" s="98">
        <f>'6'!K54</f>
        <v>0</v>
      </c>
      <c r="J54" s="106">
        <f>'7'!K54</f>
        <v>0</v>
      </c>
      <c r="K54" s="106">
        <f>'8'!K54</f>
        <v>0</v>
      </c>
      <c r="L54" s="106">
        <f>'9'!K54</f>
        <v>0</v>
      </c>
      <c r="M54" s="106">
        <f>'10'!K54</f>
        <v>0</v>
      </c>
      <c r="N54" s="106">
        <f>'11'!K54</f>
        <v>0</v>
      </c>
      <c r="O54" s="106">
        <f>'12'!K54</f>
        <v>0</v>
      </c>
      <c r="P54" s="106">
        <f>'13'!K54</f>
        <v>0</v>
      </c>
      <c r="Q54" s="106">
        <f>'14'!K54</f>
        <v>0</v>
      </c>
      <c r="R54" s="106">
        <f>'15'!K54</f>
        <v>0</v>
      </c>
      <c r="S54" s="106">
        <f>'14'!K54</f>
        <v>0</v>
      </c>
      <c r="T54" s="106">
        <f>'17'!K54</f>
        <v>0</v>
      </c>
      <c r="U54" s="106">
        <f>'18'!K54</f>
        <v>0</v>
      </c>
      <c r="V54" s="106">
        <f>'19'!K54</f>
        <v>0</v>
      </c>
      <c r="W54" s="106">
        <f>'20'!K54</f>
        <v>0</v>
      </c>
      <c r="X54" s="106">
        <f>'21'!K54</f>
        <v>0</v>
      </c>
      <c r="Y54" s="106">
        <f>'22'!K54</f>
        <v>0</v>
      </c>
      <c r="Z54" s="106">
        <f>'23'!K54</f>
        <v>0</v>
      </c>
      <c r="AA54" s="106">
        <f>'24'!K54</f>
        <v>0</v>
      </c>
      <c r="AB54" s="106">
        <f>'25'!K54</f>
        <v>0</v>
      </c>
      <c r="AC54" s="106">
        <f>'26'!K54</f>
        <v>0</v>
      </c>
      <c r="AD54" s="106">
        <f>'27'!K54</f>
        <v>0</v>
      </c>
      <c r="AE54" s="106">
        <f>'28'!K54</f>
        <v>0</v>
      </c>
      <c r="AF54" s="106">
        <f>'29'!K54</f>
        <v>0</v>
      </c>
      <c r="AG54" s="106">
        <f>'30'!K54</f>
        <v>0</v>
      </c>
      <c r="AH54" s="18"/>
      <c r="AI54" s="116">
        <f t="shared" si="0"/>
        <v>0</v>
      </c>
      <c r="AJ54" s="193">
        <f t="shared" si="1"/>
        <v>0</v>
      </c>
    </row>
    <row r="55" spans="1:36" x14ac:dyDescent="0.25">
      <c r="A55" s="136"/>
      <c r="B55" s="20" t="s">
        <v>48</v>
      </c>
      <c r="C55" s="17" t="s">
        <v>5</v>
      </c>
      <c r="D55" s="98">
        <f>'1'!K55</f>
        <v>10500</v>
      </c>
      <c r="E55" s="98">
        <f>'2'!K55</f>
        <v>10500</v>
      </c>
      <c r="F55" s="98">
        <f>'3'!K55</f>
        <v>10357.142857142857</v>
      </c>
      <c r="G55" s="98">
        <f>'4'!K55</f>
        <v>10357.142857142857</v>
      </c>
      <c r="H55" s="98">
        <f>'5'!K55</f>
        <v>10357.142857142857</v>
      </c>
      <c r="I55" s="98">
        <f>'6'!K55</f>
        <v>10357.142857142857</v>
      </c>
      <c r="J55" s="106">
        <f>'7'!K55</f>
        <v>10500</v>
      </c>
      <c r="K55" s="106">
        <f>'8'!K55</f>
        <v>10500</v>
      </c>
      <c r="L55" s="106">
        <f>'9'!K55</f>
        <v>10500</v>
      </c>
      <c r="M55" s="106">
        <f>'10'!K55</f>
        <v>10500</v>
      </c>
      <c r="N55" s="106">
        <f>'11'!K55</f>
        <v>10500</v>
      </c>
      <c r="O55" s="106">
        <f>'12'!K55</f>
        <v>10500</v>
      </c>
      <c r="P55" s="106">
        <f>'13'!K55</f>
        <v>10500</v>
      </c>
      <c r="Q55" s="106">
        <f>'14'!K55</f>
        <v>10500</v>
      </c>
      <c r="R55" s="106">
        <f>'15'!K55</f>
        <v>10500</v>
      </c>
      <c r="S55" s="106">
        <f>'14'!K55</f>
        <v>10500</v>
      </c>
      <c r="T55" s="106">
        <f>'17'!K55</f>
        <v>10500</v>
      </c>
      <c r="U55" s="106">
        <f>'18'!K55</f>
        <v>10500</v>
      </c>
      <c r="V55" s="106">
        <f>'19'!K55</f>
        <v>10500</v>
      </c>
      <c r="W55" s="106">
        <f>'20'!K55</f>
        <v>10500</v>
      </c>
      <c r="X55" s="106">
        <f>'21'!K55</f>
        <v>10500</v>
      </c>
      <c r="Y55" s="106">
        <f>'22'!K55</f>
        <v>10500</v>
      </c>
      <c r="Z55" s="106">
        <f>'23'!K55</f>
        <v>10500</v>
      </c>
      <c r="AA55" s="106">
        <f>'24'!K55</f>
        <v>10500</v>
      </c>
      <c r="AB55" s="106">
        <f>'25'!K55</f>
        <v>10500</v>
      </c>
      <c r="AC55" s="106">
        <f>'26'!K55</f>
        <v>10500</v>
      </c>
      <c r="AD55" s="106">
        <f>'27'!K55</f>
        <v>10500</v>
      </c>
      <c r="AE55" s="106">
        <f>'28'!K55</f>
        <v>10500</v>
      </c>
      <c r="AF55" s="106">
        <f>'29'!K55</f>
        <v>10500</v>
      </c>
      <c r="AG55" s="106">
        <f>'30'!K55</f>
        <v>10500</v>
      </c>
      <c r="AH55" s="18"/>
      <c r="AI55" s="116">
        <f t="shared" si="0"/>
        <v>0</v>
      </c>
      <c r="AJ55" s="193">
        <f t="shared" si="1"/>
        <v>10480.95238095238</v>
      </c>
    </row>
    <row r="56" spans="1:36" x14ac:dyDescent="0.25">
      <c r="A56" s="134">
        <v>15</v>
      </c>
      <c r="B56" s="21" t="s">
        <v>49</v>
      </c>
      <c r="C56" s="21"/>
      <c r="D56" s="98">
        <f>'1'!K56</f>
        <v>0</v>
      </c>
      <c r="E56" s="98">
        <f>'2'!K56</f>
        <v>0</v>
      </c>
      <c r="F56" s="98">
        <f>'3'!K56</f>
        <v>0</v>
      </c>
      <c r="G56" s="98">
        <f>'4'!K56</f>
        <v>0</v>
      </c>
      <c r="H56" s="98">
        <f>'5'!K56</f>
        <v>0</v>
      </c>
      <c r="I56" s="98">
        <f>'6'!K56</f>
        <v>0</v>
      </c>
      <c r="J56" s="106">
        <f>'7'!K56</f>
        <v>0</v>
      </c>
      <c r="K56" s="106">
        <f>'8'!K56</f>
        <v>0</v>
      </c>
      <c r="L56" s="106">
        <f>'9'!K56</f>
        <v>0</v>
      </c>
      <c r="M56" s="106">
        <f>'10'!K56</f>
        <v>0</v>
      </c>
      <c r="N56" s="106">
        <f>'11'!K56</f>
        <v>0</v>
      </c>
      <c r="O56" s="106">
        <f>'12'!K56</f>
        <v>0</v>
      </c>
      <c r="P56" s="106">
        <f>'13'!K56</f>
        <v>0</v>
      </c>
      <c r="Q56" s="106">
        <f>'14'!K56</f>
        <v>0</v>
      </c>
      <c r="R56" s="106">
        <f>'15'!K56</f>
        <v>0</v>
      </c>
      <c r="S56" s="106">
        <f>'14'!K56</f>
        <v>0</v>
      </c>
      <c r="T56" s="106">
        <f>'17'!K56</f>
        <v>0</v>
      </c>
      <c r="U56" s="106">
        <f>'18'!K56</f>
        <v>0</v>
      </c>
      <c r="V56" s="106">
        <f>'19'!K56</f>
        <v>0</v>
      </c>
      <c r="W56" s="106">
        <f>'20'!K56</f>
        <v>0</v>
      </c>
      <c r="X56" s="106">
        <f>'21'!K56</f>
        <v>0</v>
      </c>
      <c r="Y56" s="106">
        <f>'22'!K56</f>
        <v>0</v>
      </c>
      <c r="Z56" s="106">
        <f>'23'!K56</f>
        <v>0</v>
      </c>
      <c r="AA56" s="106">
        <f>'24'!K56</f>
        <v>0</v>
      </c>
      <c r="AB56" s="106">
        <f>'25'!K56</f>
        <v>0</v>
      </c>
      <c r="AC56" s="106">
        <f>'26'!K56</f>
        <v>0</v>
      </c>
      <c r="AD56" s="106">
        <f>'27'!K56</f>
        <v>0</v>
      </c>
      <c r="AE56" s="106">
        <f>'28'!K56</f>
        <v>0</v>
      </c>
      <c r="AF56" s="106">
        <f>'29'!K56</f>
        <v>0</v>
      </c>
      <c r="AG56" s="106">
        <f>'30'!K56</f>
        <v>0</v>
      </c>
      <c r="AH56" s="18"/>
      <c r="AI56" s="116">
        <f t="shared" si="0"/>
        <v>0</v>
      </c>
      <c r="AJ56" s="193">
        <f t="shared" si="1"/>
        <v>0</v>
      </c>
    </row>
    <row r="57" spans="1:36" x14ac:dyDescent="0.25">
      <c r="A57" s="135"/>
      <c r="B57" s="20" t="s">
        <v>50</v>
      </c>
      <c r="C57" s="17" t="s">
        <v>5</v>
      </c>
      <c r="D57" s="98">
        <f>'1'!K57</f>
        <v>13666.666666666666</v>
      </c>
      <c r="E57" s="98">
        <f>'2'!K57</f>
        <v>13666.666666666666</v>
      </c>
      <c r="F57" s="98">
        <f>'3'!K57</f>
        <v>13833.333333333334</v>
      </c>
      <c r="G57" s="98">
        <f>'4'!K57</f>
        <v>13833.333333333334</v>
      </c>
      <c r="H57" s="98">
        <f>'5'!K57</f>
        <v>13833.333333333334</v>
      </c>
      <c r="I57" s="98">
        <f>'6'!K57</f>
        <v>13833.333333333334</v>
      </c>
      <c r="J57" s="106">
        <f>'7'!K57</f>
        <v>13833.333333333334</v>
      </c>
      <c r="K57" s="106">
        <f>'8'!K57</f>
        <v>13833.333333333334</v>
      </c>
      <c r="L57" s="106">
        <f>'9'!K57</f>
        <v>13833.333333333334</v>
      </c>
      <c r="M57" s="106">
        <f>'10'!K57</f>
        <v>14000</v>
      </c>
      <c r="N57" s="106">
        <f>'11'!K57</f>
        <v>14000</v>
      </c>
      <c r="O57" s="106">
        <f>'12'!K57</f>
        <v>14000</v>
      </c>
      <c r="P57" s="106">
        <f>'13'!K57</f>
        <v>14000</v>
      </c>
      <c r="Q57" s="106">
        <f>'14'!K57</f>
        <v>14000</v>
      </c>
      <c r="R57" s="106">
        <f>'15'!K57</f>
        <v>14000</v>
      </c>
      <c r="S57" s="106">
        <f>'14'!K57</f>
        <v>14000</v>
      </c>
      <c r="T57" s="106">
        <f>'17'!K57</f>
        <v>14000</v>
      </c>
      <c r="U57" s="106">
        <f>'18'!K57</f>
        <v>14000</v>
      </c>
      <c r="V57" s="106">
        <f>'19'!K57</f>
        <v>14000</v>
      </c>
      <c r="W57" s="106">
        <f>'20'!K57</f>
        <v>14000</v>
      </c>
      <c r="X57" s="106">
        <f>'21'!K57</f>
        <v>14000</v>
      </c>
      <c r="Y57" s="106">
        <f>'22'!K57</f>
        <v>14000</v>
      </c>
      <c r="Z57" s="106">
        <f>'23'!K57</f>
        <v>14000</v>
      </c>
      <c r="AA57" s="106">
        <f>'24'!K57</f>
        <v>14000</v>
      </c>
      <c r="AB57" s="106">
        <f>'25'!K57</f>
        <v>14000</v>
      </c>
      <c r="AC57" s="106">
        <f>'26'!K57</f>
        <v>14000</v>
      </c>
      <c r="AD57" s="106">
        <f>'27'!K57</f>
        <v>14000</v>
      </c>
      <c r="AE57" s="106">
        <f>'28'!K57</f>
        <v>14000</v>
      </c>
      <c r="AF57" s="106">
        <f>'29'!K57</f>
        <v>14000</v>
      </c>
      <c r="AG57" s="106">
        <f>'30'!K57</f>
        <v>14000</v>
      </c>
      <c r="AH57" s="18">
        <v>6800</v>
      </c>
      <c r="AI57" s="116">
        <f t="shared" si="0"/>
        <v>333.33333333333394</v>
      </c>
      <c r="AJ57" s="193">
        <f t="shared" si="1"/>
        <v>13938.888888888887</v>
      </c>
    </row>
    <row r="58" spans="1:36" x14ac:dyDescent="0.25">
      <c r="A58" s="135"/>
      <c r="B58" s="20" t="s">
        <v>51</v>
      </c>
      <c r="C58" s="17" t="s">
        <v>5</v>
      </c>
      <c r="D58" s="98">
        <f>'1'!K58</f>
        <v>14000</v>
      </c>
      <c r="E58" s="98">
        <f>'2'!K58</f>
        <v>14000</v>
      </c>
      <c r="F58" s="98">
        <f>'3'!K58</f>
        <v>14000</v>
      </c>
      <c r="G58" s="98">
        <f>'4'!K58</f>
        <v>14000</v>
      </c>
      <c r="H58" s="98">
        <f>'5'!K58</f>
        <v>14000</v>
      </c>
      <c r="I58" s="98">
        <f>'6'!K58</f>
        <v>14000</v>
      </c>
      <c r="J58" s="106">
        <f>'7'!K58</f>
        <v>14000</v>
      </c>
      <c r="K58" s="106">
        <f>'8'!K58</f>
        <v>14000</v>
      </c>
      <c r="L58" s="106">
        <f>'9'!K58</f>
        <v>14000</v>
      </c>
      <c r="M58" s="106">
        <f>'10'!K58</f>
        <v>14000</v>
      </c>
      <c r="N58" s="106">
        <f>'11'!K58</f>
        <v>14000</v>
      </c>
      <c r="O58" s="106">
        <f>'12'!K58</f>
        <v>14000</v>
      </c>
      <c r="P58" s="106">
        <f>'13'!K58</f>
        <v>14000</v>
      </c>
      <c r="Q58" s="106">
        <f>'14'!K58</f>
        <v>14000</v>
      </c>
      <c r="R58" s="106">
        <f>'15'!K58</f>
        <v>14000</v>
      </c>
      <c r="S58" s="106">
        <f>'14'!K58</f>
        <v>14000</v>
      </c>
      <c r="T58" s="106">
        <f>'17'!K58</f>
        <v>14000</v>
      </c>
      <c r="U58" s="106">
        <f>'18'!K58</f>
        <v>14000</v>
      </c>
      <c r="V58" s="106">
        <f>'19'!K58</f>
        <v>14000</v>
      </c>
      <c r="W58" s="106">
        <f>'20'!K58</f>
        <v>14000</v>
      </c>
      <c r="X58" s="106">
        <f>'21'!K58</f>
        <v>14000</v>
      </c>
      <c r="Y58" s="106">
        <f>'22'!K58</f>
        <v>14000</v>
      </c>
      <c r="Z58" s="106">
        <f>'23'!K58</f>
        <v>14000</v>
      </c>
      <c r="AA58" s="106">
        <f>'24'!K58</f>
        <v>14000</v>
      </c>
      <c r="AB58" s="106">
        <f>'25'!K58</f>
        <v>14000</v>
      </c>
      <c r="AC58" s="106">
        <f>'26'!K58</f>
        <v>14000</v>
      </c>
      <c r="AD58" s="106">
        <f>'27'!K58</f>
        <v>14000</v>
      </c>
      <c r="AE58" s="106">
        <f>'28'!K58</f>
        <v>14000</v>
      </c>
      <c r="AF58" s="106">
        <f>'29'!K58</f>
        <v>14000</v>
      </c>
      <c r="AG58" s="106">
        <f>'30'!K58</f>
        <v>14000</v>
      </c>
      <c r="AH58" s="18">
        <v>9200</v>
      </c>
      <c r="AI58" s="116">
        <f t="shared" si="0"/>
        <v>0</v>
      </c>
      <c r="AJ58" s="193">
        <f t="shared" si="1"/>
        <v>14000</v>
      </c>
    </row>
    <row r="59" spans="1:36" x14ac:dyDescent="0.25">
      <c r="A59" s="135"/>
      <c r="B59" s="20" t="s">
        <v>52</v>
      </c>
      <c r="C59" s="17" t="s">
        <v>5</v>
      </c>
      <c r="D59" s="98">
        <f>'1'!K59</f>
        <v>22142.857142857141</v>
      </c>
      <c r="E59" s="98">
        <f>'2'!K59</f>
        <v>22142.857142857141</v>
      </c>
      <c r="F59" s="98">
        <f>'3'!K59</f>
        <v>22428.571428571428</v>
      </c>
      <c r="G59" s="98">
        <f>'4'!K59</f>
        <v>22428.571428571428</v>
      </c>
      <c r="H59" s="98">
        <f>'5'!K59</f>
        <v>22428.571428571428</v>
      </c>
      <c r="I59" s="98">
        <f>'6'!K59</f>
        <v>22428.571428571428</v>
      </c>
      <c r="J59" s="106">
        <f>'7'!K59</f>
        <v>22428.571428571428</v>
      </c>
      <c r="K59" s="106">
        <f>'8'!K59</f>
        <v>22428.571428571428</v>
      </c>
      <c r="L59" s="106">
        <f>'9'!K59</f>
        <v>22428.571428571428</v>
      </c>
      <c r="M59" s="106">
        <f>'10'!K59</f>
        <v>22428.571428571428</v>
      </c>
      <c r="N59" s="106">
        <f>'11'!K59</f>
        <v>22428.571428571428</v>
      </c>
      <c r="O59" s="106">
        <f>'12'!K59</f>
        <v>22428.571428571428</v>
      </c>
      <c r="P59" s="106">
        <f>'13'!K59</f>
        <v>22428.571428571428</v>
      </c>
      <c r="Q59" s="106">
        <f>'14'!K59</f>
        <v>22285.714285714286</v>
      </c>
      <c r="R59" s="106">
        <f>'15'!K59</f>
        <v>22285.714285714286</v>
      </c>
      <c r="S59" s="106">
        <f>'14'!K59</f>
        <v>22285.714285714286</v>
      </c>
      <c r="T59" s="106">
        <f>'17'!K59</f>
        <v>22285.714285714286</v>
      </c>
      <c r="U59" s="106">
        <f>'18'!K59</f>
        <v>22428.571428571428</v>
      </c>
      <c r="V59" s="106">
        <f>'19'!K59</f>
        <v>22428.571428571428</v>
      </c>
      <c r="W59" s="106">
        <f>'20'!K59</f>
        <v>22428.571428571428</v>
      </c>
      <c r="X59" s="106">
        <f>'21'!K59</f>
        <v>22428.571428571428</v>
      </c>
      <c r="Y59" s="106">
        <f>'22'!K59</f>
        <v>22428.571428571428</v>
      </c>
      <c r="Z59" s="106">
        <f>'23'!K59</f>
        <v>22428.571428571428</v>
      </c>
      <c r="AA59" s="106">
        <f>'24'!K59</f>
        <v>22428.571428571428</v>
      </c>
      <c r="AB59" s="106">
        <f>'25'!K59</f>
        <v>22428.571428571428</v>
      </c>
      <c r="AC59" s="106">
        <f>'26'!K59</f>
        <v>22428.571428571428</v>
      </c>
      <c r="AD59" s="106">
        <f>'27'!K59</f>
        <v>22428.571428571428</v>
      </c>
      <c r="AE59" s="106">
        <f>'28'!K59</f>
        <v>22428.571428571428</v>
      </c>
      <c r="AF59" s="106">
        <f>'29'!K59</f>
        <v>22428.571428571428</v>
      </c>
      <c r="AG59" s="106">
        <f>'30'!K59</f>
        <v>22428.571428571428</v>
      </c>
      <c r="AH59" s="18"/>
      <c r="AI59" s="116">
        <f t="shared" si="0"/>
        <v>285.71428571428623</v>
      </c>
      <c r="AJ59" s="193">
        <f t="shared" si="1"/>
        <v>22390.476190476194</v>
      </c>
    </row>
    <row r="60" spans="1:36" x14ac:dyDescent="0.25">
      <c r="A60" s="136"/>
      <c r="B60" s="20" t="s">
        <v>53</v>
      </c>
      <c r="C60" s="17" t="s">
        <v>5</v>
      </c>
      <c r="D60" s="98">
        <f>'1'!K60</f>
        <v>28285.714285714286</v>
      </c>
      <c r="E60" s="98">
        <f>'2'!K60</f>
        <v>28285.714285714286</v>
      </c>
      <c r="F60" s="98">
        <f>'3'!K60</f>
        <v>28428.571428571428</v>
      </c>
      <c r="G60" s="98">
        <f>'4'!K60</f>
        <v>28428.571428571428</v>
      </c>
      <c r="H60" s="98">
        <f>'5'!K60</f>
        <v>28428.571428571428</v>
      </c>
      <c r="I60" s="98">
        <f>'6'!K60</f>
        <v>28428.571428571428</v>
      </c>
      <c r="J60" s="106">
        <f>'7'!K60</f>
        <v>28428.571428571428</v>
      </c>
      <c r="K60" s="106">
        <f>'8'!K60</f>
        <v>28428.571428571428</v>
      </c>
      <c r="L60" s="106">
        <f>'9'!K60</f>
        <v>28428.571428571428</v>
      </c>
      <c r="M60" s="106">
        <f>'10'!K60</f>
        <v>28428.571428571428</v>
      </c>
      <c r="N60" s="106">
        <f>'11'!K60</f>
        <v>28428.571428571428</v>
      </c>
      <c r="O60" s="106">
        <f>'12'!K60</f>
        <v>28428.571428571428</v>
      </c>
      <c r="P60" s="106">
        <f>'13'!K60</f>
        <v>28428.571428571428</v>
      </c>
      <c r="Q60" s="106">
        <f>'14'!K60</f>
        <v>28714.285714285714</v>
      </c>
      <c r="R60" s="106">
        <f>'15'!K60</f>
        <v>28714.285714285714</v>
      </c>
      <c r="S60" s="106">
        <f>'14'!K60</f>
        <v>28714.285714285714</v>
      </c>
      <c r="T60" s="106">
        <f>'17'!K60</f>
        <v>28714.285714285714</v>
      </c>
      <c r="U60" s="106">
        <f>'18'!K60</f>
        <v>28428.571428571428</v>
      </c>
      <c r="V60" s="106">
        <f>'19'!K60</f>
        <v>28428.571428571428</v>
      </c>
      <c r="W60" s="106">
        <f>'20'!K60</f>
        <v>28428.571428571428</v>
      </c>
      <c r="X60" s="106">
        <f>'21'!K60</f>
        <v>28428.571428571428</v>
      </c>
      <c r="Y60" s="106">
        <f>'22'!K60</f>
        <v>28428.571428571428</v>
      </c>
      <c r="Z60" s="106">
        <f>'23'!K60</f>
        <v>28428.571428571428</v>
      </c>
      <c r="AA60" s="106">
        <f>'24'!K60</f>
        <v>28428.571428571428</v>
      </c>
      <c r="AB60" s="106">
        <f>'25'!K60</f>
        <v>28428.571428571428</v>
      </c>
      <c r="AC60" s="106">
        <f>'26'!K60</f>
        <v>28428.571428571428</v>
      </c>
      <c r="AD60" s="106">
        <f>'27'!K60</f>
        <v>28428.571428571428</v>
      </c>
      <c r="AE60" s="106">
        <f>'28'!K60</f>
        <v>28428.571428571428</v>
      </c>
      <c r="AF60" s="106">
        <f>'29'!K60</f>
        <v>28428.571428571428</v>
      </c>
      <c r="AG60" s="106">
        <f>'30'!K60</f>
        <v>28428.571428571428</v>
      </c>
      <c r="AH60" s="18"/>
      <c r="AI60" s="116">
        <f t="shared" si="0"/>
        <v>142.8571428571413</v>
      </c>
      <c r="AJ60" s="193">
        <f t="shared" si="1"/>
        <v>28457.142857142877</v>
      </c>
    </row>
    <row r="61" spans="1:36" x14ac:dyDescent="0.25">
      <c r="A61" s="33">
        <v>16</v>
      </c>
      <c r="B61" s="21" t="s">
        <v>54</v>
      </c>
      <c r="C61" s="17"/>
      <c r="D61" s="98">
        <f>'1'!K61</f>
        <v>0</v>
      </c>
      <c r="E61" s="98">
        <f>'2'!K61</f>
        <v>0</v>
      </c>
      <c r="F61" s="98">
        <f>'3'!K61</f>
        <v>0</v>
      </c>
      <c r="G61" s="98">
        <f>'4'!K61</f>
        <v>0</v>
      </c>
      <c r="H61" s="98">
        <f>'5'!K61</f>
        <v>0</v>
      </c>
      <c r="I61" s="98">
        <f>'6'!K61</f>
        <v>0</v>
      </c>
      <c r="J61" s="106">
        <f>'7'!K61</f>
        <v>0</v>
      </c>
      <c r="K61" s="106">
        <f>'8'!K61</f>
        <v>0</v>
      </c>
      <c r="L61" s="106">
        <f>'9'!K61</f>
        <v>0</v>
      </c>
      <c r="M61" s="106">
        <f>'10'!K61</f>
        <v>0</v>
      </c>
      <c r="N61" s="106">
        <f>'11'!K61</f>
        <v>0</v>
      </c>
      <c r="O61" s="106">
        <f>'12'!K61</f>
        <v>0</v>
      </c>
      <c r="P61" s="106">
        <f>'13'!K61</f>
        <v>0</v>
      </c>
      <c r="Q61" s="106">
        <f>'14'!K61</f>
        <v>0</v>
      </c>
      <c r="R61" s="106">
        <f>'15'!K61</f>
        <v>0</v>
      </c>
      <c r="S61" s="106">
        <f>'14'!K61</f>
        <v>0</v>
      </c>
      <c r="T61" s="106">
        <f>'17'!K61</f>
        <v>0</v>
      </c>
      <c r="U61" s="106">
        <f>'18'!K61</f>
        <v>0</v>
      </c>
      <c r="V61" s="106">
        <f>'19'!K61</f>
        <v>0</v>
      </c>
      <c r="W61" s="106">
        <f>'20'!K61</f>
        <v>0</v>
      </c>
      <c r="X61" s="106">
        <f>'21'!K61</f>
        <v>0</v>
      </c>
      <c r="Y61" s="106">
        <f>'22'!K61</f>
        <v>0</v>
      </c>
      <c r="Z61" s="106">
        <f>'23'!K61</f>
        <v>0</v>
      </c>
      <c r="AA61" s="106">
        <f>'24'!K61</f>
        <v>0</v>
      </c>
      <c r="AB61" s="106">
        <f>'25'!K61</f>
        <v>0</v>
      </c>
      <c r="AC61" s="106">
        <f>'26'!K61</f>
        <v>0</v>
      </c>
      <c r="AD61" s="106">
        <f>'27'!K61</f>
        <v>0</v>
      </c>
      <c r="AE61" s="106">
        <f>'28'!K61</f>
        <v>0</v>
      </c>
      <c r="AF61" s="106">
        <f>'29'!K61</f>
        <v>0</v>
      </c>
      <c r="AG61" s="106">
        <f>'30'!K61</f>
        <v>0</v>
      </c>
      <c r="AH61" s="18"/>
      <c r="AI61" s="116">
        <f t="shared" si="0"/>
        <v>0</v>
      </c>
      <c r="AJ61" s="193">
        <f t="shared" si="1"/>
        <v>0</v>
      </c>
    </row>
    <row r="62" spans="1:36" x14ac:dyDescent="0.25">
      <c r="A62" s="34"/>
      <c r="B62" s="20" t="s">
        <v>55</v>
      </c>
      <c r="C62" s="17" t="s">
        <v>56</v>
      </c>
      <c r="D62" s="98">
        <f>'1'!K62</f>
        <v>3200</v>
      </c>
      <c r="E62" s="98">
        <f>'2'!K62</f>
        <v>3200</v>
      </c>
      <c r="F62" s="98">
        <f>'3'!K62</f>
        <v>3200</v>
      </c>
      <c r="G62" s="98">
        <f>'4'!K62</f>
        <v>3200</v>
      </c>
      <c r="H62" s="98">
        <f>'5'!K62</f>
        <v>3200</v>
      </c>
      <c r="I62" s="98">
        <f>'6'!K62</f>
        <v>3200</v>
      </c>
      <c r="J62" s="106">
        <f>'7'!K62</f>
        <v>3200</v>
      </c>
      <c r="K62" s="106">
        <f>'8'!K62</f>
        <v>3200</v>
      </c>
      <c r="L62" s="106">
        <f>'9'!K62</f>
        <v>3200</v>
      </c>
      <c r="M62" s="106">
        <f>'10'!K62</f>
        <v>3116.6666666666665</v>
      </c>
      <c r="N62" s="106">
        <f>'11'!K62</f>
        <v>3116.6666666666665</v>
      </c>
      <c r="O62" s="106">
        <f>'12'!K62</f>
        <v>3116.6666666666665</v>
      </c>
      <c r="P62" s="106">
        <f>'13'!K62</f>
        <v>3116.6666666666665</v>
      </c>
      <c r="Q62" s="106">
        <f>'14'!K62</f>
        <v>3116.6666666666665</v>
      </c>
      <c r="R62" s="106">
        <f>'15'!K62</f>
        <v>3116.6666666666665</v>
      </c>
      <c r="S62" s="106">
        <f>'14'!K62</f>
        <v>3116.6666666666665</v>
      </c>
      <c r="T62" s="106">
        <f>'17'!K62</f>
        <v>3116.6666666666665</v>
      </c>
      <c r="U62" s="106">
        <f>'18'!K62</f>
        <v>3116.6666666666665</v>
      </c>
      <c r="V62" s="106">
        <f>'19'!K62</f>
        <v>3116.6666666666665</v>
      </c>
      <c r="W62" s="106">
        <f>'20'!K62</f>
        <v>3116.6666666666665</v>
      </c>
      <c r="X62" s="106">
        <f>'21'!K62</f>
        <v>3116.6666666666665</v>
      </c>
      <c r="Y62" s="106">
        <f>'22'!K62</f>
        <v>3116.6666666666665</v>
      </c>
      <c r="Z62" s="106">
        <f>'23'!K62</f>
        <v>3116.6666666666665</v>
      </c>
      <c r="AA62" s="106">
        <f>'24'!K62</f>
        <v>3116.6666666666665</v>
      </c>
      <c r="AB62" s="106">
        <f>'25'!K62</f>
        <v>3116.6666666666665</v>
      </c>
      <c r="AC62" s="106">
        <f>'26'!K62</f>
        <v>3116.6666666666665</v>
      </c>
      <c r="AD62" s="106">
        <f>'27'!K62</f>
        <v>3116.6666666666665</v>
      </c>
      <c r="AE62" s="106">
        <f>'28'!K62</f>
        <v>3116.6666666666665</v>
      </c>
      <c r="AF62" s="106">
        <f>'29'!K62</f>
        <v>3116.6666666666665</v>
      </c>
      <c r="AG62" s="106">
        <f>'30'!K62</f>
        <v>3116.6666666666665</v>
      </c>
      <c r="AH62" s="18"/>
      <c r="AI62" s="116">
        <f t="shared" si="0"/>
        <v>-83.333333333333485</v>
      </c>
      <c r="AJ62" s="193">
        <f t="shared" si="1"/>
        <v>3141.6666666666674</v>
      </c>
    </row>
    <row r="63" spans="1:36" x14ac:dyDescent="0.25">
      <c r="A63" s="134">
        <v>17</v>
      </c>
      <c r="B63" s="21" t="s">
        <v>57</v>
      </c>
      <c r="C63" s="21"/>
      <c r="D63" s="98">
        <f>'1'!K63</f>
        <v>0</v>
      </c>
      <c r="E63" s="98">
        <f>'2'!K63</f>
        <v>0</v>
      </c>
      <c r="F63" s="98">
        <f>'3'!K63</f>
        <v>0</v>
      </c>
      <c r="G63" s="98">
        <f>'4'!K63</f>
        <v>0</v>
      </c>
      <c r="H63" s="98">
        <f>'5'!K63</f>
        <v>0</v>
      </c>
      <c r="I63" s="98">
        <f>'6'!K63</f>
        <v>0</v>
      </c>
      <c r="J63" s="106">
        <f>'7'!K63</f>
        <v>0</v>
      </c>
      <c r="K63" s="106">
        <f>'8'!K63</f>
        <v>0</v>
      </c>
      <c r="L63" s="106">
        <f>'9'!K63</f>
        <v>0</v>
      </c>
      <c r="M63" s="106">
        <f>'10'!K63</f>
        <v>0</v>
      </c>
      <c r="N63" s="106">
        <f>'11'!K63</f>
        <v>0</v>
      </c>
      <c r="O63" s="106">
        <f>'12'!K63</f>
        <v>0</v>
      </c>
      <c r="P63" s="106">
        <f>'13'!K63</f>
        <v>0</v>
      </c>
      <c r="Q63" s="106">
        <f>'14'!K63</f>
        <v>0</v>
      </c>
      <c r="R63" s="106">
        <f>'15'!K63</f>
        <v>0</v>
      </c>
      <c r="S63" s="106">
        <f>'14'!K63</f>
        <v>0</v>
      </c>
      <c r="T63" s="106">
        <f>'17'!K63</f>
        <v>0</v>
      </c>
      <c r="U63" s="106">
        <f>'18'!K63</f>
        <v>0</v>
      </c>
      <c r="V63" s="106">
        <f>'19'!K63</f>
        <v>0</v>
      </c>
      <c r="W63" s="106">
        <f>'20'!K63</f>
        <v>0</v>
      </c>
      <c r="X63" s="106">
        <f>'21'!K63</f>
        <v>0</v>
      </c>
      <c r="Y63" s="106">
        <f>'22'!K63</f>
        <v>0</v>
      </c>
      <c r="Z63" s="106">
        <f>'23'!K63</f>
        <v>0</v>
      </c>
      <c r="AA63" s="106">
        <f>'24'!K63</f>
        <v>0</v>
      </c>
      <c r="AB63" s="106">
        <f>'25'!K63</f>
        <v>0</v>
      </c>
      <c r="AC63" s="106">
        <f>'26'!K63</f>
        <v>0</v>
      </c>
      <c r="AD63" s="106">
        <f>'27'!K63</f>
        <v>0</v>
      </c>
      <c r="AE63" s="106">
        <f>'28'!K63</f>
        <v>0</v>
      </c>
      <c r="AF63" s="106">
        <f>'29'!K63</f>
        <v>0</v>
      </c>
      <c r="AG63" s="106">
        <f>'30'!K63</f>
        <v>0</v>
      </c>
      <c r="AH63" s="18"/>
      <c r="AI63" s="116">
        <f t="shared" si="0"/>
        <v>0</v>
      </c>
      <c r="AJ63" s="193">
        <f t="shared" si="1"/>
        <v>0</v>
      </c>
    </row>
    <row r="64" spans="1:36" x14ac:dyDescent="0.25">
      <c r="A64" s="135"/>
      <c r="B64" s="20" t="s">
        <v>58</v>
      </c>
      <c r="C64" s="17" t="s">
        <v>5</v>
      </c>
      <c r="D64" s="98">
        <f>'1'!K64</f>
        <v>30285.714285714286</v>
      </c>
      <c r="E64" s="98">
        <f>'2'!K64</f>
        <v>30571.428571428572</v>
      </c>
      <c r="F64" s="98">
        <f>'3'!K64</f>
        <v>35714.285714285717</v>
      </c>
      <c r="G64" s="98">
        <f>'4'!K64</f>
        <v>36142.857142857145</v>
      </c>
      <c r="H64" s="98">
        <f>'5'!K64</f>
        <v>35285.714285714283</v>
      </c>
      <c r="I64" s="98">
        <f>'6'!K64</f>
        <v>44285.714285714283</v>
      </c>
      <c r="J64" s="106">
        <f>'7'!K64</f>
        <v>44714.285714285717</v>
      </c>
      <c r="K64" s="106">
        <f>'8'!K64</f>
        <v>45000</v>
      </c>
      <c r="L64" s="106">
        <f>'9'!K64</f>
        <v>45285.714285714283</v>
      </c>
      <c r="M64" s="106">
        <f>'10'!K64</f>
        <v>48714.285714285717</v>
      </c>
      <c r="N64" s="106">
        <f>'11'!K64</f>
        <v>49428.571428571428</v>
      </c>
      <c r="O64" s="106">
        <f>'12'!K64</f>
        <v>48714.285714285717</v>
      </c>
      <c r="P64" s="106">
        <f>'13'!K64</f>
        <v>49571.428571428572</v>
      </c>
      <c r="Q64" s="106">
        <f>'14'!K64</f>
        <v>49857.142857142855</v>
      </c>
      <c r="R64" s="106">
        <f>'15'!K64</f>
        <v>49142.857142857145</v>
      </c>
      <c r="S64" s="106">
        <f>'14'!K64</f>
        <v>49857.142857142855</v>
      </c>
      <c r="T64" s="106">
        <f>'17'!K64</f>
        <v>47428.571428571428</v>
      </c>
      <c r="U64" s="106">
        <f>'18'!K64</f>
        <v>47142.857142857145</v>
      </c>
      <c r="V64" s="106">
        <f>'19'!K64</f>
        <v>47857.142857142855</v>
      </c>
      <c r="W64" s="106">
        <f>'20'!K64</f>
        <v>54428.571428571428</v>
      </c>
      <c r="X64" s="106">
        <f>'21'!K64</f>
        <v>54428.571428571428</v>
      </c>
      <c r="Y64" s="106">
        <f>'22'!K64</f>
        <v>54714.285714285717</v>
      </c>
      <c r="Z64" s="106">
        <f>'23'!K64</f>
        <v>56571.428571428572</v>
      </c>
      <c r="AA64" s="106">
        <f>'24'!K64</f>
        <v>54428.571428571428</v>
      </c>
      <c r="AB64" s="106">
        <f>'25'!K64</f>
        <v>54285.714285714283</v>
      </c>
      <c r="AC64" s="106">
        <f>'26'!K64</f>
        <v>55000</v>
      </c>
      <c r="AD64" s="106">
        <f>'27'!K64</f>
        <v>61428.571428571428</v>
      </c>
      <c r="AE64" s="106">
        <f>'28'!K64</f>
        <v>63571.428571428572</v>
      </c>
      <c r="AF64" s="106">
        <f>'29'!K64</f>
        <v>68571.428571428565</v>
      </c>
      <c r="AG64" s="106">
        <f>'30'!K64</f>
        <v>68571.428571428565</v>
      </c>
      <c r="AH64" s="18"/>
      <c r="AI64" s="116">
        <f t="shared" si="0"/>
        <v>38285.714285714275</v>
      </c>
      <c r="AJ64" s="193">
        <f t="shared" si="1"/>
        <v>49366.666666666672</v>
      </c>
    </row>
    <row r="65" spans="1:36" x14ac:dyDescent="0.25">
      <c r="A65" s="135"/>
      <c r="B65" s="20" t="s">
        <v>59</v>
      </c>
      <c r="C65" s="17" t="s">
        <v>5</v>
      </c>
      <c r="D65" s="98">
        <f>'1'!K65</f>
        <v>35000</v>
      </c>
      <c r="E65" s="98">
        <f>'2'!K65</f>
        <v>37833.333333333336</v>
      </c>
      <c r="F65" s="98">
        <f>'3'!K65</f>
        <v>42833.333333333336</v>
      </c>
      <c r="G65" s="98">
        <f>'4'!K65</f>
        <v>43666.666666666664</v>
      </c>
      <c r="H65" s="98">
        <f>'5'!K65</f>
        <v>43333.333333333336</v>
      </c>
      <c r="I65" s="98">
        <f>'6'!K65</f>
        <v>50000</v>
      </c>
      <c r="J65" s="106">
        <f>'7'!K65</f>
        <v>52000</v>
      </c>
      <c r="K65" s="106">
        <f>'8'!K65</f>
        <v>51166.666666666664</v>
      </c>
      <c r="L65" s="106">
        <f>'9'!K65</f>
        <v>50000</v>
      </c>
      <c r="M65" s="106">
        <f>'10'!K65</f>
        <v>55000</v>
      </c>
      <c r="N65" s="106">
        <f>'11'!K65</f>
        <v>56666.666666666664</v>
      </c>
      <c r="O65" s="106">
        <f>'12'!K65</f>
        <v>57500</v>
      </c>
      <c r="P65" s="106">
        <f>'13'!K65</f>
        <v>54500</v>
      </c>
      <c r="Q65" s="106">
        <f>'14'!K65</f>
        <v>55166.666666666664</v>
      </c>
      <c r="R65" s="106">
        <f>'15'!K65</f>
        <v>54333.333333333336</v>
      </c>
      <c r="S65" s="106">
        <f>'14'!K65</f>
        <v>55166.666666666664</v>
      </c>
      <c r="T65" s="106">
        <f>'17'!K65</f>
        <v>53333.333333333336</v>
      </c>
      <c r="U65" s="106">
        <f>'18'!K65</f>
        <v>53666.666666666664</v>
      </c>
      <c r="V65" s="106">
        <f>'19'!K65</f>
        <v>54166.666666666664</v>
      </c>
      <c r="W65" s="106">
        <f>'20'!K65</f>
        <v>61166.666666666664</v>
      </c>
      <c r="X65" s="106">
        <f>'21'!K65</f>
        <v>61166.666666666664</v>
      </c>
      <c r="Y65" s="106">
        <f>'22'!K65</f>
        <v>62000</v>
      </c>
      <c r="Z65" s="106">
        <f>'23'!K65</f>
        <v>64166.666666666664</v>
      </c>
      <c r="AA65" s="106">
        <f>'24'!K65</f>
        <v>60333.333333333336</v>
      </c>
      <c r="AB65" s="106">
        <f>'25'!K65</f>
        <v>58666.666666666664</v>
      </c>
      <c r="AC65" s="106">
        <f>'26'!K65</f>
        <v>58333.333333333336</v>
      </c>
      <c r="AD65" s="106">
        <f>'27'!K65</f>
        <v>62500</v>
      </c>
      <c r="AE65" s="106">
        <f>'28'!K65</f>
        <v>63333.333333333336</v>
      </c>
      <c r="AF65" s="106">
        <f>'29'!K65</f>
        <v>66666.666666666672</v>
      </c>
      <c r="AG65" s="106">
        <f>'30'!K65</f>
        <v>66666.666666666672</v>
      </c>
      <c r="AH65" s="18"/>
      <c r="AI65" s="116">
        <f t="shared" si="0"/>
        <v>31666.666666666672</v>
      </c>
      <c r="AJ65" s="193">
        <f t="shared" si="1"/>
        <v>54677.777777777774</v>
      </c>
    </row>
    <row r="66" spans="1:36" x14ac:dyDescent="0.25">
      <c r="A66" s="136"/>
      <c r="B66" s="20" t="s">
        <v>60</v>
      </c>
      <c r="C66" s="17" t="s">
        <v>5</v>
      </c>
      <c r="D66" s="98">
        <f>'1'!K66</f>
        <v>61857.142857142855</v>
      </c>
      <c r="E66" s="98">
        <f>'2'!K66</f>
        <v>63428.571428571428</v>
      </c>
      <c r="F66" s="98">
        <f>'3'!K66</f>
        <v>69285.71428571429</v>
      </c>
      <c r="G66" s="98">
        <f>'4'!K66</f>
        <v>71428.571428571435</v>
      </c>
      <c r="H66" s="98">
        <f>'5'!K66</f>
        <v>67857.142857142855</v>
      </c>
      <c r="I66" s="98">
        <f>'6'!K66</f>
        <v>62142.857142857145</v>
      </c>
      <c r="J66" s="106">
        <f>'7'!K66</f>
        <v>63571.428571428572</v>
      </c>
      <c r="K66" s="106">
        <f>'8'!K66</f>
        <v>67285.71428571429</v>
      </c>
      <c r="L66" s="106">
        <f>'9'!K66</f>
        <v>67000</v>
      </c>
      <c r="M66" s="106">
        <f>'10'!K66</f>
        <v>69285.71428571429</v>
      </c>
      <c r="N66" s="106">
        <f>'11'!K66</f>
        <v>67142.857142857145</v>
      </c>
      <c r="O66" s="106">
        <f>'12'!K66</f>
        <v>67142.857142857145</v>
      </c>
      <c r="P66" s="106">
        <f>'13'!K66</f>
        <v>71000</v>
      </c>
      <c r="Q66" s="106">
        <f>'14'!K66</f>
        <v>69714.28571428571</v>
      </c>
      <c r="R66" s="106">
        <f>'15'!K66</f>
        <v>70285.71428571429</v>
      </c>
      <c r="S66" s="106">
        <f>'14'!K66</f>
        <v>69714.28571428571</v>
      </c>
      <c r="T66" s="106">
        <f>'17'!K66</f>
        <v>69857.142857142855</v>
      </c>
      <c r="U66" s="106">
        <f>'18'!K66</f>
        <v>69142.857142857145</v>
      </c>
      <c r="V66" s="106">
        <f>'19'!K66</f>
        <v>69857.142857142855</v>
      </c>
      <c r="W66" s="106">
        <f>'20'!K66</f>
        <v>81285.71428571429</v>
      </c>
      <c r="X66" s="106">
        <f>'21'!K66</f>
        <v>80571.428571428565</v>
      </c>
      <c r="Y66" s="106">
        <f>'22'!K66</f>
        <v>83857.142857142855</v>
      </c>
      <c r="Z66" s="106">
        <f>'23'!K66</f>
        <v>80142.857142857145</v>
      </c>
      <c r="AA66" s="106">
        <f>'24'!K66</f>
        <v>78000</v>
      </c>
      <c r="AB66" s="106">
        <f>'25'!K66</f>
        <v>79285.71428571429</v>
      </c>
      <c r="AC66" s="106">
        <f>'26'!K66</f>
        <v>79285.71428571429</v>
      </c>
      <c r="AD66" s="106">
        <f>'27'!K66</f>
        <v>78571.428571428565</v>
      </c>
      <c r="AE66" s="106">
        <f>'28'!K66</f>
        <v>77857.142857142855</v>
      </c>
      <c r="AF66" s="106">
        <f>'29'!K66</f>
        <v>76428.571428571435</v>
      </c>
      <c r="AG66" s="106">
        <f>'30'!K66</f>
        <v>76428.571428571435</v>
      </c>
      <c r="AH66" s="18"/>
      <c r="AI66" s="116">
        <f t="shared" si="0"/>
        <v>14571.42857142858</v>
      </c>
      <c r="AJ66" s="193">
        <f t="shared" si="1"/>
        <v>71957.142857142884</v>
      </c>
    </row>
    <row r="67" spans="1:36" x14ac:dyDescent="0.25">
      <c r="A67" s="33">
        <v>18</v>
      </c>
      <c r="B67" s="21" t="s">
        <v>61</v>
      </c>
      <c r="C67" s="17"/>
      <c r="D67" s="98">
        <f>'1'!K67</f>
        <v>0</v>
      </c>
      <c r="E67" s="98">
        <f>'2'!K67</f>
        <v>0</v>
      </c>
      <c r="F67" s="98">
        <f>'3'!K67</f>
        <v>0</v>
      </c>
      <c r="G67" s="98">
        <f>'4'!K67</f>
        <v>0</v>
      </c>
      <c r="H67" s="98">
        <f>'5'!K67</f>
        <v>0</v>
      </c>
      <c r="I67" s="98">
        <f>'6'!K67</f>
        <v>0</v>
      </c>
      <c r="J67" s="106">
        <f>'7'!K67</f>
        <v>0</v>
      </c>
      <c r="K67" s="106">
        <f>'8'!K67</f>
        <v>0</v>
      </c>
      <c r="L67" s="106">
        <f>'9'!K67</f>
        <v>0</v>
      </c>
      <c r="M67" s="106">
        <f>'10'!K67</f>
        <v>0</v>
      </c>
      <c r="N67" s="106">
        <f>'11'!K67</f>
        <v>0</v>
      </c>
      <c r="O67" s="106">
        <f>'12'!K67</f>
        <v>0</v>
      </c>
      <c r="P67" s="106">
        <f>'13'!K67</f>
        <v>0</v>
      </c>
      <c r="Q67" s="106">
        <f>'14'!K67</f>
        <v>0</v>
      </c>
      <c r="R67" s="106">
        <f>'15'!K67</f>
        <v>0</v>
      </c>
      <c r="S67" s="106">
        <f>'14'!K67</f>
        <v>0</v>
      </c>
      <c r="T67" s="106">
        <f>'17'!K67</f>
        <v>0</v>
      </c>
      <c r="U67" s="106">
        <f>'18'!K67</f>
        <v>0</v>
      </c>
      <c r="V67" s="106">
        <f>'19'!K67</f>
        <v>0</v>
      </c>
      <c r="W67" s="106">
        <f>'20'!K67</f>
        <v>0</v>
      </c>
      <c r="X67" s="106">
        <f>'21'!K67</f>
        <v>0</v>
      </c>
      <c r="Y67" s="106">
        <f>'22'!K67</f>
        <v>0</v>
      </c>
      <c r="Z67" s="106">
        <f>'23'!K67</f>
        <v>0</v>
      </c>
      <c r="AA67" s="106">
        <f>'24'!K67</f>
        <v>0</v>
      </c>
      <c r="AB67" s="106">
        <f>'25'!K67</f>
        <v>0</v>
      </c>
      <c r="AC67" s="106">
        <f>'26'!K67</f>
        <v>0</v>
      </c>
      <c r="AD67" s="106">
        <f>'27'!K67</f>
        <v>0</v>
      </c>
      <c r="AE67" s="106">
        <f>'28'!K67</f>
        <v>0</v>
      </c>
      <c r="AF67" s="106">
        <f>'29'!K67</f>
        <v>0</v>
      </c>
      <c r="AG67" s="106">
        <f>'30'!K67</f>
        <v>0</v>
      </c>
      <c r="AH67" s="18"/>
      <c r="AI67" s="116">
        <f t="shared" si="0"/>
        <v>0</v>
      </c>
      <c r="AJ67" s="193">
        <f t="shared" si="1"/>
        <v>0</v>
      </c>
    </row>
    <row r="68" spans="1:36" x14ac:dyDescent="0.25">
      <c r="A68" s="34"/>
      <c r="B68" s="20" t="s">
        <v>62</v>
      </c>
      <c r="C68" s="17" t="s">
        <v>63</v>
      </c>
      <c r="D68" s="98">
        <f>'1'!K68</f>
        <v>18666.666666666668</v>
      </c>
      <c r="E68" s="98">
        <f>'2'!K68</f>
        <v>18666.666666666668</v>
      </c>
      <c r="F68" s="98">
        <f>'3'!K68</f>
        <v>18666.666666666668</v>
      </c>
      <c r="G68" s="98">
        <f>'4'!K68</f>
        <v>18666.666666666668</v>
      </c>
      <c r="H68" s="98">
        <f>'5'!K68</f>
        <v>18666.666666666668</v>
      </c>
      <c r="I68" s="98">
        <f>'6'!K68</f>
        <v>18666.666666666668</v>
      </c>
      <c r="J68" s="106">
        <f>'7'!K68</f>
        <v>18666.666666666668</v>
      </c>
      <c r="K68" s="106">
        <f>'8'!K68</f>
        <v>18666.666666666668</v>
      </c>
      <c r="L68" s="106">
        <f>'9'!K68</f>
        <v>18666.666666666668</v>
      </c>
      <c r="M68" s="106">
        <f>'10'!K68</f>
        <v>18666.666666666668</v>
      </c>
      <c r="N68" s="106">
        <f>'11'!K68</f>
        <v>18666.666666666668</v>
      </c>
      <c r="O68" s="106">
        <f>'12'!K68</f>
        <v>18666.666666666668</v>
      </c>
      <c r="P68" s="106">
        <f>'13'!K68</f>
        <v>18666.666666666668</v>
      </c>
      <c r="Q68" s="106">
        <f>'14'!K68</f>
        <v>18666.666666666668</v>
      </c>
      <c r="R68" s="106">
        <f>'15'!K68</f>
        <v>18666.666666666668</v>
      </c>
      <c r="S68" s="106">
        <f>'14'!K68</f>
        <v>18666.666666666668</v>
      </c>
      <c r="T68" s="106">
        <f>'17'!K68</f>
        <v>18666.666666666668</v>
      </c>
      <c r="U68" s="106">
        <f>'18'!K68</f>
        <v>18666.666666666668</v>
      </c>
      <c r="V68" s="106">
        <f>'19'!K68</f>
        <v>18666.666666666668</v>
      </c>
      <c r="W68" s="106">
        <f>'20'!K68</f>
        <v>18666.666666666668</v>
      </c>
      <c r="X68" s="106">
        <f>'21'!K68</f>
        <v>18666.666666666668</v>
      </c>
      <c r="Y68" s="106">
        <f>'22'!K68</f>
        <v>18666.666666666668</v>
      </c>
      <c r="Z68" s="106">
        <f>'23'!K68</f>
        <v>18666.666666666668</v>
      </c>
      <c r="AA68" s="106">
        <f>'24'!K68</f>
        <v>18333.333333333332</v>
      </c>
      <c r="AB68" s="106">
        <f>'25'!K68</f>
        <v>18333.333333333332</v>
      </c>
      <c r="AC68" s="106">
        <f>'26'!K68</f>
        <v>18333.333333333332</v>
      </c>
      <c r="AD68" s="106">
        <f>'27'!K68</f>
        <v>18333.333333333332</v>
      </c>
      <c r="AE68" s="106">
        <f>'28'!K68</f>
        <v>18333.333333333332</v>
      </c>
      <c r="AF68" s="106">
        <f>'29'!K68</f>
        <v>18333.333333333332</v>
      </c>
      <c r="AG68" s="106">
        <f>'30'!K68</f>
        <v>18333.333333333332</v>
      </c>
      <c r="AH68" s="18"/>
      <c r="AI68" s="116">
        <f t="shared" si="0"/>
        <v>-333.33333333333576</v>
      </c>
      <c r="AJ68" s="193">
        <f t="shared" si="1"/>
        <v>18588.888888888891</v>
      </c>
    </row>
    <row r="69" spans="1:36" x14ac:dyDescent="0.25">
      <c r="A69" s="134">
        <v>19</v>
      </c>
      <c r="B69" s="21" t="s">
        <v>64</v>
      </c>
      <c r="C69" s="21"/>
      <c r="D69" s="98">
        <f>'1'!K69</f>
        <v>0</v>
      </c>
      <c r="E69" s="98">
        <f>'2'!K69</f>
        <v>0</v>
      </c>
      <c r="F69" s="98">
        <f>'3'!K69</f>
        <v>0</v>
      </c>
      <c r="G69" s="98">
        <f>'4'!K69</f>
        <v>0</v>
      </c>
      <c r="H69" s="98">
        <f>'5'!K69</f>
        <v>0</v>
      </c>
      <c r="I69" s="98">
        <f>'6'!K69</f>
        <v>0</v>
      </c>
      <c r="J69" s="106">
        <f>'7'!K69</f>
        <v>0</v>
      </c>
      <c r="K69" s="106">
        <f>'8'!K69</f>
        <v>0</v>
      </c>
      <c r="L69" s="106">
        <f>'9'!K69</f>
        <v>0</v>
      </c>
      <c r="M69" s="106">
        <f>'10'!K69</f>
        <v>0</v>
      </c>
      <c r="N69" s="106">
        <f>'11'!K69</f>
        <v>0</v>
      </c>
      <c r="O69" s="106">
        <f>'12'!K69</f>
        <v>0</v>
      </c>
      <c r="P69" s="106">
        <f>'13'!K69</f>
        <v>0</v>
      </c>
      <c r="Q69" s="106">
        <f>'14'!K69</f>
        <v>0</v>
      </c>
      <c r="R69" s="106">
        <f>'15'!K69</f>
        <v>0</v>
      </c>
      <c r="S69" s="106">
        <f>'14'!K69</f>
        <v>0</v>
      </c>
      <c r="T69" s="106">
        <f>'17'!K69</f>
        <v>0</v>
      </c>
      <c r="U69" s="106">
        <f>'18'!K69</f>
        <v>0</v>
      </c>
      <c r="V69" s="106">
        <f>'19'!K69</f>
        <v>0</v>
      </c>
      <c r="W69" s="106">
        <f>'20'!K69</f>
        <v>0</v>
      </c>
      <c r="X69" s="106">
        <f>'21'!K69</f>
        <v>0</v>
      </c>
      <c r="Y69" s="106">
        <f>'22'!K69</f>
        <v>0</v>
      </c>
      <c r="Z69" s="106">
        <f>'23'!K69</f>
        <v>0</v>
      </c>
      <c r="AA69" s="106">
        <f>'24'!K69</f>
        <v>0</v>
      </c>
      <c r="AB69" s="106">
        <f>'25'!K69</f>
        <v>0</v>
      </c>
      <c r="AC69" s="106">
        <f>'26'!K69</f>
        <v>0</v>
      </c>
      <c r="AD69" s="106">
        <f>'27'!K69</f>
        <v>0</v>
      </c>
      <c r="AE69" s="106">
        <f>'28'!K69</f>
        <v>0</v>
      </c>
      <c r="AF69" s="106">
        <f>'29'!K69</f>
        <v>0</v>
      </c>
      <c r="AG69" s="106">
        <f>'30'!K69</f>
        <v>0</v>
      </c>
      <c r="AH69" s="18"/>
      <c r="AI69" s="116">
        <f t="shared" si="0"/>
        <v>0</v>
      </c>
      <c r="AJ69" s="193">
        <f t="shared" si="1"/>
        <v>0</v>
      </c>
    </row>
    <row r="70" spans="1:36" x14ac:dyDescent="0.25">
      <c r="A70" s="135"/>
      <c r="B70" s="20" t="s">
        <v>65</v>
      </c>
      <c r="C70" s="17" t="s">
        <v>5</v>
      </c>
      <c r="D70" s="98">
        <f>'1'!K70</f>
        <v>34571.428571428572</v>
      </c>
      <c r="E70" s="98">
        <f>'2'!K70</f>
        <v>34571.428571428572</v>
      </c>
      <c r="F70" s="98">
        <f>'3'!K70</f>
        <v>34571.428571428572</v>
      </c>
      <c r="G70" s="98">
        <f>'4'!K70</f>
        <v>34571.428571428572</v>
      </c>
      <c r="H70" s="98">
        <f>'5'!K70</f>
        <v>34571.428571428572</v>
      </c>
      <c r="I70" s="98">
        <f>'6'!K70</f>
        <v>34714.285714285717</v>
      </c>
      <c r="J70" s="106">
        <f>'7'!K70</f>
        <v>34714.285714285717</v>
      </c>
      <c r="K70" s="106">
        <f>'8'!K70</f>
        <v>34428.571428571428</v>
      </c>
      <c r="L70" s="106">
        <f>'9'!K70</f>
        <v>34142.857142857145</v>
      </c>
      <c r="M70" s="106">
        <f>'10'!K70</f>
        <v>34000</v>
      </c>
      <c r="N70" s="106">
        <f>'11'!K70</f>
        <v>34000</v>
      </c>
      <c r="O70" s="106">
        <f>'12'!K70</f>
        <v>34000</v>
      </c>
      <c r="P70" s="106">
        <f>'13'!K70</f>
        <v>34142.857142857145</v>
      </c>
      <c r="Q70" s="106">
        <f>'14'!K70</f>
        <v>34142.857142857145</v>
      </c>
      <c r="R70" s="106">
        <f>'15'!K70</f>
        <v>34142.857142857145</v>
      </c>
      <c r="S70" s="106">
        <f>'14'!K70</f>
        <v>34142.857142857145</v>
      </c>
      <c r="T70" s="106">
        <f>'17'!K70</f>
        <v>34285.714285714283</v>
      </c>
      <c r="U70" s="106">
        <f>'18'!K70</f>
        <v>34285.714285714283</v>
      </c>
      <c r="V70" s="106">
        <f>'19'!K70</f>
        <v>34285.714285714283</v>
      </c>
      <c r="W70" s="106">
        <f>'20'!K70</f>
        <v>34285.714285714283</v>
      </c>
      <c r="X70" s="106">
        <f>'21'!K70</f>
        <v>34285.714285714283</v>
      </c>
      <c r="Y70" s="106">
        <f>'22'!K70</f>
        <v>34285.714285714283</v>
      </c>
      <c r="Z70" s="106">
        <f>'23'!K70</f>
        <v>34000</v>
      </c>
      <c r="AA70" s="106">
        <f>'24'!K70</f>
        <v>34000</v>
      </c>
      <c r="AB70" s="106">
        <f>'25'!K70</f>
        <v>34000</v>
      </c>
      <c r="AC70" s="106">
        <f>'26'!K70</f>
        <v>34000</v>
      </c>
      <c r="AD70" s="106">
        <f>'27'!K70</f>
        <v>34000</v>
      </c>
      <c r="AE70" s="106">
        <f>'28'!K70</f>
        <v>34000</v>
      </c>
      <c r="AF70" s="106">
        <f>'29'!K70</f>
        <v>34000</v>
      </c>
      <c r="AG70" s="106">
        <f>'30'!K70</f>
        <v>34000</v>
      </c>
      <c r="AH70" s="18"/>
      <c r="AI70" s="116">
        <f t="shared" si="0"/>
        <v>-571.42857142857247</v>
      </c>
      <c r="AJ70" s="193">
        <f t="shared" si="1"/>
        <v>34238.095238095244</v>
      </c>
    </row>
    <row r="71" spans="1:36" x14ac:dyDescent="0.25">
      <c r="A71" s="135"/>
      <c r="B71" s="20" t="s">
        <v>66</v>
      </c>
      <c r="C71" s="17" t="s">
        <v>5</v>
      </c>
      <c r="D71" s="98">
        <f>'1'!K71</f>
        <v>32285.714285714286</v>
      </c>
      <c r="E71" s="98">
        <f>'2'!K71</f>
        <v>32285.714285714286</v>
      </c>
      <c r="F71" s="98">
        <f>'3'!K71</f>
        <v>32285.714285714286</v>
      </c>
      <c r="G71" s="98">
        <f>'4'!K71</f>
        <v>32285.714285714286</v>
      </c>
      <c r="H71" s="98">
        <f>'5'!K71</f>
        <v>32285.714285714286</v>
      </c>
      <c r="I71" s="98">
        <f>'6'!K71</f>
        <v>32142.857142857141</v>
      </c>
      <c r="J71" s="106">
        <f>'7'!K71</f>
        <v>32000</v>
      </c>
      <c r="K71" s="106">
        <f>'8'!K71</f>
        <v>32000</v>
      </c>
      <c r="L71" s="106">
        <f>'9'!K71</f>
        <v>31571.428571428572</v>
      </c>
      <c r="M71" s="106">
        <f>'10'!K71</f>
        <v>31142.857142857141</v>
      </c>
      <c r="N71" s="106">
        <f>'11'!K71</f>
        <v>31142.857142857141</v>
      </c>
      <c r="O71" s="106">
        <f>'12'!K71</f>
        <v>31142.857142857141</v>
      </c>
      <c r="P71" s="106">
        <f>'13'!K71</f>
        <v>31428.571428571428</v>
      </c>
      <c r="Q71" s="106">
        <f>'14'!K71</f>
        <v>31428.571428571428</v>
      </c>
      <c r="R71" s="106">
        <f>'15'!K71</f>
        <v>31428.571428571428</v>
      </c>
      <c r="S71" s="106">
        <f>'14'!K71</f>
        <v>31428.571428571428</v>
      </c>
      <c r="T71" s="106">
        <f>'17'!K71</f>
        <v>31428.571428571428</v>
      </c>
      <c r="U71" s="106">
        <f>'18'!K71</f>
        <v>31428.571428571428</v>
      </c>
      <c r="V71" s="106">
        <f>'19'!K71</f>
        <v>31428.571428571428</v>
      </c>
      <c r="W71" s="106">
        <f>'20'!K71</f>
        <v>31428.571428571428</v>
      </c>
      <c r="X71" s="106">
        <f>'21'!K71</f>
        <v>31428.571428571428</v>
      </c>
      <c r="Y71" s="106">
        <f>'22'!K71</f>
        <v>31428.571428571428</v>
      </c>
      <c r="Z71" s="106">
        <f>'23'!K71</f>
        <v>31857.142857142859</v>
      </c>
      <c r="AA71" s="106">
        <f>'24'!K71</f>
        <v>31857.142857142859</v>
      </c>
      <c r="AB71" s="106">
        <f>'25'!K71</f>
        <v>31857.142857142859</v>
      </c>
      <c r="AC71" s="106">
        <f>'26'!K71</f>
        <v>31857.142857142859</v>
      </c>
      <c r="AD71" s="106">
        <f>'27'!K71</f>
        <v>31857.142857142859</v>
      </c>
      <c r="AE71" s="106">
        <f>'28'!K71</f>
        <v>31857.142857142859</v>
      </c>
      <c r="AF71" s="106">
        <f>'29'!K71</f>
        <v>31571.428571428572</v>
      </c>
      <c r="AG71" s="106">
        <f>'30'!K71</f>
        <v>31571.428571428572</v>
      </c>
      <c r="AH71" s="18"/>
      <c r="AI71" s="116">
        <f t="shared" si="0"/>
        <v>-714.28571428571377</v>
      </c>
      <c r="AJ71" s="193">
        <f t="shared" si="1"/>
        <v>31704.761904761905</v>
      </c>
    </row>
    <row r="72" spans="1:36" x14ac:dyDescent="0.25">
      <c r="A72" s="135"/>
      <c r="B72" s="20" t="s">
        <v>67</v>
      </c>
      <c r="C72" s="17" t="s">
        <v>5</v>
      </c>
      <c r="D72" s="98">
        <f>'1'!K72</f>
        <v>20000</v>
      </c>
      <c r="E72" s="98">
        <f>'2'!K72</f>
        <v>20000</v>
      </c>
      <c r="F72" s="98">
        <f>'3'!K72</f>
        <v>20714.285714285714</v>
      </c>
      <c r="G72" s="98">
        <f>'4'!K72</f>
        <v>20714.285714285714</v>
      </c>
      <c r="H72" s="98">
        <f>'5'!K72</f>
        <v>20714.285714285714</v>
      </c>
      <c r="I72" s="98">
        <f>'6'!K72</f>
        <v>22714.285714285714</v>
      </c>
      <c r="J72" s="106">
        <f>'7'!K72</f>
        <v>23285.714285714286</v>
      </c>
      <c r="K72" s="106">
        <f>'8'!K72</f>
        <v>23714.285714285714</v>
      </c>
      <c r="L72" s="106">
        <f>'9'!K72</f>
        <v>23142.857142857141</v>
      </c>
      <c r="M72" s="106">
        <f>'10'!K72</f>
        <v>23142.857142857141</v>
      </c>
      <c r="N72" s="106">
        <f>'11'!K72</f>
        <v>23142.857142857141</v>
      </c>
      <c r="O72" s="106">
        <f>'12'!K72</f>
        <v>23142.857142857141</v>
      </c>
      <c r="P72" s="106">
        <f>'13'!K72</f>
        <v>23142.857142857141</v>
      </c>
      <c r="Q72" s="106">
        <f>'14'!K72</f>
        <v>23428.571428571428</v>
      </c>
      <c r="R72" s="106">
        <f>'15'!K72</f>
        <v>24000</v>
      </c>
      <c r="S72" s="106">
        <f>'14'!K72</f>
        <v>23428.571428571428</v>
      </c>
      <c r="T72" s="106">
        <f>'17'!K72</f>
        <v>23857.142857142859</v>
      </c>
      <c r="U72" s="106">
        <f>'18'!K72</f>
        <v>23571.428571428572</v>
      </c>
      <c r="V72" s="106">
        <f>'19'!K72</f>
        <v>23571.428571428572</v>
      </c>
      <c r="W72" s="106">
        <f>'20'!K72</f>
        <v>23714.285714285714</v>
      </c>
      <c r="X72" s="106">
        <f>'21'!K72</f>
        <v>23714.285714285714</v>
      </c>
      <c r="Y72" s="106">
        <f>'22'!K72</f>
        <v>24142.857142857141</v>
      </c>
      <c r="Z72" s="106">
        <f>'23'!K72</f>
        <v>24142.857142857141</v>
      </c>
      <c r="AA72" s="106">
        <f>'24'!K72</f>
        <v>24142.857142857141</v>
      </c>
      <c r="AB72" s="106">
        <f>'25'!K72</f>
        <v>24142.857142857141</v>
      </c>
      <c r="AC72" s="106">
        <f>'26'!K72</f>
        <v>24142.857142857141</v>
      </c>
      <c r="AD72" s="106">
        <f>'27'!K72</f>
        <v>24428.571428571428</v>
      </c>
      <c r="AE72" s="106">
        <f>'28'!K72</f>
        <v>25428.571428571428</v>
      </c>
      <c r="AF72" s="106">
        <f>'29'!K72</f>
        <v>25714.285714285714</v>
      </c>
      <c r="AG72" s="106">
        <f>'30'!K72</f>
        <v>25714.285714285714</v>
      </c>
      <c r="AH72" s="18"/>
      <c r="AI72" s="116">
        <f t="shared" si="0"/>
        <v>5714.2857142857138</v>
      </c>
      <c r="AJ72" s="193">
        <f t="shared" si="1"/>
        <v>23295.238095238099</v>
      </c>
    </row>
    <row r="73" spans="1:36" x14ac:dyDescent="0.25">
      <c r="A73" s="136"/>
      <c r="B73" s="20" t="s">
        <v>68</v>
      </c>
      <c r="C73" s="17" t="s">
        <v>5</v>
      </c>
      <c r="D73" s="98">
        <f>'1'!K73</f>
        <v>27000</v>
      </c>
      <c r="E73" s="98">
        <f>'2'!K73</f>
        <v>27000</v>
      </c>
      <c r="F73" s="98">
        <f>'3'!K73</f>
        <v>27333.333333333332</v>
      </c>
      <c r="G73" s="98">
        <f>'4'!K73</f>
        <v>27333.333333333332</v>
      </c>
      <c r="H73" s="98">
        <f>'5'!K73</f>
        <v>27333.333333333332</v>
      </c>
      <c r="I73" s="98">
        <f>'6'!K73</f>
        <v>27333.333333333332</v>
      </c>
      <c r="J73" s="106">
        <f>'7'!K73</f>
        <v>27333.333333333332</v>
      </c>
      <c r="K73" s="106">
        <f>'8'!K73</f>
        <v>27333.333333333332</v>
      </c>
      <c r="L73" s="106">
        <f>'9'!K73</f>
        <v>27000</v>
      </c>
      <c r="M73" s="106">
        <f>'10'!K73</f>
        <v>26666.666666666668</v>
      </c>
      <c r="N73" s="106">
        <f>'11'!K73</f>
        <v>26666.666666666668</v>
      </c>
      <c r="O73" s="106">
        <f>'12'!K73</f>
        <v>26666.666666666668</v>
      </c>
      <c r="P73" s="106">
        <f>'13'!K73</f>
        <v>26666.666666666668</v>
      </c>
      <c r="Q73" s="106">
        <f>'14'!K73</f>
        <v>27500</v>
      </c>
      <c r="R73" s="106">
        <f>'15'!K73</f>
        <v>27500</v>
      </c>
      <c r="S73" s="106">
        <f>'14'!K73</f>
        <v>27500</v>
      </c>
      <c r="T73" s="106">
        <f>'17'!K73</f>
        <v>27500</v>
      </c>
      <c r="U73" s="106">
        <f>'18'!K73</f>
        <v>26666.666666666668</v>
      </c>
      <c r="V73" s="106">
        <f>'19'!K73</f>
        <v>26666.666666666668</v>
      </c>
      <c r="W73" s="106">
        <f>'20'!K73</f>
        <v>26500</v>
      </c>
      <c r="X73" s="106">
        <f>'21'!K73</f>
        <v>26500</v>
      </c>
      <c r="Y73" s="106">
        <f>'22'!K73</f>
        <v>26500</v>
      </c>
      <c r="Z73" s="106">
        <f>'23'!K73</f>
        <v>26500</v>
      </c>
      <c r="AA73" s="106">
        <f>'24'!K73</f>
        <v>26500</v>
      </c>
      <c r="AB73" s="106">
        <f>'25'!K73</f>
        <v>26500</v>
      </c>
      <c r="AC73" s="106">
        <f>'26'!K73</f>
        <v>26500</v>
      </c>
      <c r="AD73" s="106">
        <f>'27'!K73</f>
        <v>26166.666666666668</v>
      </c>
      <c r="AE73" s="106">
        <f>'28'!K73</f>
        <v>26166.666666666668</v>
      </c>
      <c r="AF73" s="106">
        <f>'29'!K73</f>
        <v>26166.666666666668</v>
      </c>
      <c r="AG73" s="106">
        <f>'30'!K73</f>
        <v>26166.666666666668</v>
      </c>
      <c r="AH73" s="18"/>
      <c r="AI73" s="116">
        <f t="shared" ref="AI73:AI88" si="2">AG73-D73</f>
        <v>-833.33333333333212</v>
      </c>
      <c r="AJ73" s="193">
        <f t="shared" ref="AJ73:AJ88" si="3">AVERAGE(D73:AG73)</f>
        <v>26838.888888888887</v>
      </c>
    </row>
    <row r="74" spans="1:36" x14ac:dyDescent="0.25">
      <c r="A74" s="33">
        <v>20</v>
      </c>
      <c r="B74" s="21" t="s">
        <v>69</v>
      </c>
      <c r="C74" s="17"/>
      <c r="D74" s="98">
        <f>'1'!K74</f>
        <v>0</v>
      </c>
      <c r="E74" s="98">
        <f>'2'!K74</f>
        <v>0</v>
      </c>
      <c r="F74" s="98">
        <f>'3'!K74</f>
        <v>0</v>
      </c>
      <c r="G74" s="98">
        <f>'4'!K74</f>
        <v>0</v>
      </c>
      <c r="H74" s="98">
        <f>'5'!K74</f>
        <v>0</v>
      </c>
      <c r="I74" s="98">
        <f>'6'!K74</f>
        <v>0</v>
      </c>
      <c r="J74" s="106">
        <f>'7'!K74</f>
        <v>0</v>
      </c>
      <c r="K74" s="106">
        <f>'8'!K74</f>
        <v>0</v>
      </c>
      <c r="L74" s="106">
        <f>'9'!K74</f>
        <v>0</v>
      </c>
      <c r="M74" s="106">
        <f>'10'!K74</f>
        <v>0</v>
      </c>
      <c r="N74" s="106">
        <f>'11'!K74</f>
        <v>0</v>
      </c>
      <c r="O74" s="106">
        <f>'12'!K74</f>
        <v>0</v>
      </c>
      <c r="P74" s="106">
        <f>'13'!K74</f>
        <v>0</v>
      </c>
      <c r="Q74" s="106">
        <f>'14'!K74</f>
        <v>0</v>
      </c>
      <c r="R74" s="106">
        <f>'15'!K74</f>
        <v>0</v>
      </c>
      <c r="S74" s="106">
        <f>'14'!K74</f>
        <v>0</v>
      </c>
      <c r="T74" s="106">
        <f>'17'!K74</f>
        <v>0</v>
      </c>
      <c r="U74" s="106">
        <f>'18'!K74</f>
        <v>0</v>
      </c>
      <c r="V74" s="106">
        <f>'19'!K74</f>
        <v>0</v>
      </c>
      <c r="W74" s="106">
        <f>'20'!K74</f>
        <v>0</v>
      </c>
      <c r="X74" s="106">
        <f>'21'!K74</f>
        <v>0</v>
      </c>
      <c r="Y74" s="106">
        <f>'22'!K74</f>
        <v>0</v>
      </c>
      <c r="Z74" s="106">
        <f>'23'!K74</f>
        <v>0</v>
      </c>
      <c r="AA74" s="106">
        <f>'24'!K74</f>
        <v>0</v>
      </c>
      <c r="AB74" s="106">
        <f>'25'!K74</f>
        <v>0</v>
      </c>
      <c r="AC74" s="106">
        <f>'26'!K74</f>
        <v>0</v>
      </c>
      <c r="AD74" s="106">
        <f>'27'!K74</f>
        <v>0</v>
      </c>
      <c r="AE74" s="106">
        <f>'28'!K74</f>
        <v>0</v>
      </c>
      <c r="AF74" s="106">
        <f>'29'!K74</f>
        <v>0</v>
      </c>
      <c r="AG74" s="106">
        <f>'30'!K74</f>
        <v>0</v>
      </c>
      <c r="AH74" s="18"/>
      <c r="AI74" s="116">
        <f t="shared" si="2"/>
        <v>0</v>
      </c>
      <c r="AJ74" s="193">
        <f t="shared" si="3"/>
        <v>0</v>
      </c>
    </row>
    <row r="75" spans="1:36" x14ac:dyDescent="0.25">
      <c r="A75" s="35"/>
      <c r="B75" s="20" t="s">
        <v>70</v>
      </c>
      <c r="C75" s="17" t="s">
        <v>5</v>
      </c>
      <c r="D75" s="98">
        <f>'1'!K75</f>
        <v>5571.4285714285716</v>
      </c>
      <c r="E75" s="98">
        <f>'2'!K75</f>
        <v>5571.4285714285716</v>
      </c>
      <c r="F75" s="98">
        <f>'3'!K75</f>
        <v>5571.4285714285716</v>
      </c>
      <c r="G75" s="98">
        <f>'4'!K75</f>
        <v>5571.4285714285716</v>
      </c>
      <c r="H75" s="98">
        <f>'5'!K75</f>
        <v>5571.4285714285716</v>
      </c>
      <c r="I75" s="98">
        <f>'6'!K75</f>
        <v>5571.4285714285716</v>
      </c>
      <c r="J75" s="106">
        <f>'7'!K75</f>
        <v>5571.4285714285716</v>
      </c>
      <c r="K75" s="106">
        <f>'8'!K75</f>
        <v>5571.4285714285716</v>
      </c>
      <c r="L75" s="106">
        <f>'9'!K75</f>
        <v>5571.4285714285716</v>
      </c>
      <c r="M75" s="106">
        <f>'10'!K75</f>
        <v>5571.4285714285716</v>
      </c>
      <c r="N75" s="106">
        <f>'11'!K75</f>
        <v>5571.4285714285716</v>
      </c>
      <c r="O75" s="106">
        <f>'12'!K75</f>
        <v>5571.4285714285716</v>
      </c>
      <c r="P75" s="106">
        <f>'13'!K75</f>
        <v>5571.4285714285716</v>
      </c>
      <c r="Q75" s="106">
        <f>'14'!K75</f>
        <v>5714.2857142857147</v>
      </c>
      <c r="R75" s="106">
        <f>'15'!K75</f>
        <v>5714.2857142857147</v>
      </c>
      <c r="S75" s="106">
        <f>'14'!K75</f>
        <v>5714.2857142857147</v>
      </c>
      <c r="T75" s="106">
        <f>'17'!K75</f>
        <v>5714.2857142857147</v>
      </c>
      <c r="U75" s="106">
        <f>'18'!K75</f>
        <v>5571.4285714285716</v>
      </c>
      <c r="V75" s="106">
        <f>'19'!K75</f>
        <v>5571.4285714285716</v>
      </c>
      <c r="W75" s="106">
        <f>'20'!K75</f>
        <v>5571.4285714285716</v>
      </c>
      <c r="X75" s="106">
        <f>'21'!K75</f>
        <v>5571.4285714285716</v>
      </c>
      <c r="Y75" s="106">
        <f>'22'!K75</f>
        <v>5571.4285714285716</v>
      </c>
      <c r="Z75" s="106">
        <f>'23'!K75</f>
        <v>5571.4285714285716</v>
      </c>
      <c r="AA75" s="106">
        <f>'24'!K75</f>
        <v>5571.4285714285716</v>
      </c>
      <c r="AB75" s="106">
        <f>'25'!K75</f>
        <v>5571.4285714285716</v>
      </c>
      <c r="AC75" s="106">
        <f>'26'!K75</f>
        <v>5571.4285714285716</v>
      </c>
      <c r="AD75" s="106">
        <f>'27'!K75</f>
        <v>5571.4285714285716</v>
      </c>
      <c r="AE75" s="106">
        <f>'28'!K75</f>
        <v>5571.4285714285716</v>
      </c>
      <c r="AF75" s="106">
        <f>'29'!K75</f>
        <v>5571.4285714285716</v>
      </c>
      <c r="AG75" s="106">
        <f>'30'!K75</f>
        <v>5571.4285714285716</v>
      </c>
      <c r="AH75" s="18"/>
      <c r="AI75" s="116">
        <f t="shared" si="2"/>
        <v>0</v>
      </c>
      <c r="AJ75" s="193">
        <f t="shared" si="3"/>
        <v>5590.4761904761899</v>
      </c>
    </row>
    <row r="76" spans="1:36" x14ac:dyDescent="0.25">
      <c r="A76" s="34"/>
      <c r="B76" s="20" t="s">
        <v>71</v>
      </c>
      <c r="C76" s="17" t="s">
        <v>5</v>
      </c>
      <c r="D76" s="98">
        <f>'1'!K76</f>
        <v>5857.1428571428569</v>
      </c>
      <c r="E76" s="98">
        <f>'2'!K76</f>
        <v>5857.1428571428569</v>
      </c>
      <c r="F76" s="98">
        <f>'3'!K76</f>
        <v>5857.1428571428569</v>
      </c>
      <c r="G76" s="98">
        <f>'4'!K76</f>
        <v>5857.1428571428569</v>
      </c>
      <c r="H76" s="98">
        <f>'5'!K76</f>
        <v>5857.1428571428569</v>
      </c>
      <c r="I76" s="98">
        <f>'6'!K76</f>
        <v>5857.1428571428569</v>
      </c>
      <c r="J76" s="106">
        <f>'7'!K76</f>
        <v>5857.1428571428569</v>
      </c>
      <c r="K76" s="106">
        <f>'8'!K76</f>
        <v>5857.1428571428569</v>
      </c>
      <c r="L76" s="106">
        <f>'9'!K76</f>
        <v>5857.1428571428569</v>
      </c>
      <c r="M76" s="106">
        <f>'10'!K76</f>
        <v>5857.1428571428569</v>
      </c>
      <c r="N76" s="106">
        <f>'11'!K76</f>
        <v>5857.1428571428569</v>
      </c>
      <c r="O76" s="106">
        <f>'12'!K76</f>
        <v>5857.1428571428569</v>
      </c>
      <c r="P76" s="106">
        <f>'13'!K76</f>
        <v>5857.1428571428569</v>
      </c>
      <c r="Q76" s="106">
        <f>'14'!K76</f>
        <v>5857.1428571428569</v>
      </c>
      <c r="R76" s="106">
        <f>'15'!K76</f>
        <v>5857.1428571428569</v>
      </c>
      <c r="S76" s="106">
        <f>'14'!K76</f>
        <v>5857.1428571428569</v>
      </c>
      <c r="T76" s="106">
        <f>'17'!K76</f>
        <v>5857.1428571428569</v>
      </c>
      <c r="U76" s="106">
        <f>'18'!K76</f>
        <v>5857.1428571428569</v>
      </c>
      <c r="V76" s="106">
        <f>'19'!K76</f>
        <v>5857.1428571428569</v>
      </c>
      <c r="W76" s="106">
        <f>'20'!K76</f>
        <v>5857.1428571428569</v>
      </c>
      <c r="X76" s="106">
        <f>'21'!K76</f>
        <v>5857.1428571428569</v>
      </c>
      <c r="Y76" s="106">
        <f>'22'!K76</f>
        <v>5857.1428571428569</v>
      </c>
      <c r="Z76" s="106">
        <f>'23'!K76</f>
        <v>5857.1428571428569</v>
      </c>
      <c r="AA76" s="106">
        <f>'24'!K76</f>
        <v>5857.1428571428569</v>
      </c>
      <c r="AB76" s="106">
        <f>'25'!K76</f>
        <v>5857.1428571428569</v>
      </c>
      <c r="AC76" s="106">
        <f>'26'!K76</f>
        <v>5857.1428571428569</v>
      </c>
      <c r="AD76" s="106">
        <f>'27'!K76</f>
        <v>5857.1428571428569</v>
      </c>
      <c r="AE76" s="106">
        <f>'28'!K76</f>
        <v>5857.1428571428569</v>
      </c>
      <c r="AF76" s="106">
        <f>'29'!K76</f>
        <v>5857.1428571428569</v>
      </c>
      <c r="AG76" s="106">
        <f>'30'!K76</f>
        <v>5857.1428571428569</v>
      </c>
      <c r="AH76" s="18"/>
      <c r="AI76" s="116">
        <f t="shared" si="2"/>
        <v>0</v>
      </c>
      <c r="AJ76" s="193">
        <f t="shared" si="3"/>
        <v>5857.1428571428587</v>
      </c>
    </row>
    <row r="77" spans="1:36" x14ac:dyDescent="0.25">
      <c r="A77" s="33">
        <v>21</v>
      </c>
      <c r="B77" s="21" t="s">
        <v>72</v>
      </c>
      <c r="C77" s="17"/>
      <c r="D77" s="98">
        <f>'1'!K77</f>
        <v>0</v>
      </c>
      <c r="E77" s="98">
        <f>'2'!K77</f>
        <v>0</v>
      </c>
      <c r="F77" s="98">
        <f>'3'!K77</f>
        <v>0</v>
      </c>
      <c r="G77" s="98">
        <f>'4'!K77</f>
        <v>0</v>
      </c>
      <c r="H77" s="98">
        <f>'5'!K77</f>
        <v>0</v>
      </c>
      <c r="I77" s="98">
        <f>'6'!K77</f>
        <v>0</v>
      </c>
      <c r="J77" s="106">
        <f>'7'!K77</f>
        <v>0</v>
      </c>
      <c r="K77" s="106">
        <f>'8'!K77</f>
        <v>0</v>
      </c>
      <c r="L77" s="106">
        <f>'9'!K77</f>
        <v>0</v>
      </c>
      <c r="M77" s="106">
        <f>'10'!K77</f>
        <v>0</v>
      </c>
      <c r="N77" s="106">
        <f>'11'!K77</f>
        <v>0</v>
      </c>
      <c r="O77" s="106">
        <f>'12'!K77</f>
        <v>0</v>
      </c>
      <c r="P77" s="106">
        <f>'13'!K77</f>
        <v>0</v>
      </c>
      <c r="Q77" s="106">
        <f>'14'!K77</f>
        <v>0</v>
      </c>
      <c r="R77" s="106">
        <f>'15'!K77</f>
        <v>0</v>
      </c>
      <c r="S77" s="106">
        <f>'14'!K77</f>
        <v>0</v>
      </c>
      <c r="T77" s="106">
        <f>'17'!K77</f>
        <v>0</v>
      </c>
      <c r="U77" s="106">
        <f>'18'!K77</f>
        <v>0</v>
      </c>
      <c r="V77" s="106">
        <f>'19'!K77</f>
        <v>0</v>
      </c>
      <c r="W77" s="106">
        <f>'20'!K77</f>
        <v>0</v>
      </c>
      <c r="X77" s="106">
        <f>'21'!K77</f>
        <v>0</v>
      </c>
      <c r="Y77" s="106">
        <f>'22'!K77</f>
        <v>0</v>
      </c>
      <c r="Z77" s="106">
        <f>'23'!K77</f>
        <v>0</v>
      </c>
      <c r="AA77" s="106">
        <f>'24'!K77</f>
        <v>0</v>
      </c>
      <c r="AB77" s="106">
        <f>'25'!K77</f>
        <v>0</v>
      </c>
      <c r="AC77" s="106">
        <f>'26'!K77</f>
        <v>0</v>
      </c>
      <c r="AD77" s="106">
        <f>'27'!K77</f>
        <v>0</v>
      </c>
      <c r="AE77" s="106">
        <f>'28'!K77</f>
        <v>0</v>
      </c>
      <c r="AF77" s="106">
        <f>'29'!K77</f>
        <v>0</v>
      </c>
      <c r="AG77" s="106">
        <f>'30'!K77</f>
        <v>0</v>
      </c>
      <c r="AH77" s="18"/>
      <c r="AI77" s="116">
        <f t="shared" si="2"/>
        <v>0</v>
      </c>
      <c r="AJ77" s="193">
        <f t="shared" si="3"/>
        <v>0</v>
      </c>
    </row>
    <row r="78" spans="1:36" x14ac:dyDescent="0.25">
      <c r="A78" s="35"/>
      <c r="B78" s="20" t="s">
        <v>73</v>
      </c>
      <c r="C78" s="17" t="s">
        <v>5</v>
      </c>
      <c r="D78" s="98">
        <f>'1'!K78</f>
        <v>7666.666666666667</v>
      </c>
      <c r="E78" s="98">
        <f>'2'!K78</f>
        <v>7666.666666666667</v>
      </c>
      <c r="F78" s="98">
        <f>'3'!K78</f>
        <v>7666.666666666667</v>
      </c>
      <c r="G78" s="98">
        <f>'4'!K78</f>
        <v>7666.666666666667</v>
      </c>
      <c r="H78" s="98">
        <f>'5'!K78</f>
        <v>7666.666666666667</v>
      </c>
      <c r="I78" s="98">
        <f>'6'!K78</f>
        <v>7666.666666666667</v>
      </c>
      <c r="J78" s="106">
        <f>'7'!K78</f>
        <v>7666.666666666667</v>
      </c>
      <c r="K78" s="106">
        <f>'8'!K78</f>
        <v>7666.666666666667</v>
      </c>
      <c r="L78" s="106">
        <f>'9'!K78</f>
        <v>7666.666666666667</v>
      </c>
      <c r="M78" s="106">
        <f>'10'!K78</f>
        <v>8000</v>
      </c>
      <c r="N78" s="106">
        <f>'11'!K78</f>
        <v>8000</v>
      </c>
      <c r="O78" s="106">
        <f>'12'!K78</f>
        <v>8000</v>
      </c>
      <c r="P78" s="106">
        <f>'13'!K78</f>
        <v>8000</v>
      </c>
      <c r="Q78" s="106">
        <f>'14'!K78</f>
        <v>7833.333333333333</v>
      </c>
      <c r="R78" s="106">
        <f>'15'!K78</f>
        <v>7833.333333333333</v>
      </c>
      <c r="S78" s="106">
        <f>'14'!K78</f>
        <v>7833.333333333333</v>
      </c>
      <c r="T78" s="106">
        <f>'17'!K78</f>
        <v>7833.333333333333</v>
      </c>
      <c r="U78" s="106">
        <f>'18'!K78</f>
        <v>8000</v>
      </c>
      <c r="V78" s="106">
        <f>'19'!K78</f>
        <v>8000</v>
      </c>
      <c r="W78" s="106">
        <f>'20'!K78</f>
        <v>8500</v>
      </c>
      <c r="X78" s="106">
        <f>'21'!K78</f>
        <v>8500</v>
      </c>
      <c r="Y78" s="106">
        <f>'22'!K78</f>
        <v>8500</v>
      </c>
      <c r="Z78" s="106">
        <f>'23'!K78</f>
        <v>8500</v>
      </c>
      <c r="AA78" s="106">
        <f>'24'!K78</f>
        <v>8500</v>
      </c>
      <c r="AB78" s="106">
        <f>'25'!K78</f>
        <v>8500</v>
      </c>
      <c r="AC78" s="106">
        <f>'26'!K78</f>
        <v>8500</v>
      </c>
      <c r="AD78" s="106">
        <f>'27'!K78</f>
        <v>8500</v>
      </c>
      <c r="AE78" s="106">
        <f>'28'!K78</f>
        <v>8500</v>
      </c>
      <c r="AF78" s="106">
        <f>'29'!K78</f>
        <v>8500</v>
      </c>
      <c r="AG78" s="106">
        <f>'30'!K78</f>
        <v>8500</v>
      </c>
      <c r="AH78" s="18"/>
      <c r="AI78" s="116">
        <f t="shared" si="2"/>
        <v>833.33333333333303</v>
      </c>
      <c r="AJ78" s="193">
        <f t="shared" si="3"/>
        <v>8061.1111111111104</v>
      </c>
    </row>
    <row r="79" spans="1:36" x14ac:dyDescent="0.25">
      <c r="A79" s="35"/>
      <c r="B79" s="20" t="s">
        <v>74</v>
      </c>
      <c r="C79" s="17" t="s">
        <v>5</v>
      </c>
      <c r="D79" s="98">
        <f>'1'!K79</f>
        <v>12857.142857142857</v>
      </c>
      <c r="E79" s="98">
        <f>'2'!K79</f>
        <v>13000</v>
      </c>
      <c r="F79" s="98">
        <f>'3'!K79</f>
        <v>14571.428571428571</v>
      </c>
      <c r="G79" s="98">
        <f>'4'!K79</f>
        <v>14571.428571428571</v>
      </c>
      <c r="H79" s="98">
        <f>'5'!K79</f>
        <v>14571.428571428571</v>
      </c>
      <c r="I79" s="98">
        <f>'6'!K79</f>
        <v>14571.428571428571</v>
      </c>
      <c r="J79" s="106">
        <f>'7'!K79</f>
        <v>14571.428571428571</v>
      </c>
      <c r="K79" s="106">
        <f>'8'!K79</f>
        <v>14571.428571428571</v>
      </c>
      <c r="L79" s="106">
        <f>'9'!K79</f>
        <v>14571.428571428571</v>
      </c>
      <c r="M79" s="106">
        <f>'10'!K79</f>
        <v>14571.428571428571</v>
      </c>
      <c r="N79" s="106">
        <f>'11'!K79</f>
        <v>14571.428571428571</v>
      </c>
      <c r="O79" s="106">
        <f>'12'!K79</f>
        <v>14571.428571428571</v>
      </c>
      <c r="P79" s="106">
        <f>'13'!K79</f>
        <v>14571.428571428571</v>
      </c>
      <c r="Q79" s="106">
        <f>'14'!K79</f>
        <v>16142.857142857143</v>
      </c>
      <c r="R79" s="106">
        <f>'15'!K79</f>
        <v>16142.857142857143</v>
      </c>
      <c r="S79" s="106">
        <f>'14'!K79</f>
        <v>16142.857142857143</v>
      </c>
      <c r="T79" s="106">
        <f>'17'!K79</f>
        <v>16142.857142857143</v>
      </c>
      <c r="U79" s="106">
        <f>'18'!K79</f>
        <v>15000</v>
      </c>
      <c r="V79" s="106">
        <f>'19'!K79</f>
        <v>15000</v>
      </c>
      <c r="W79" s="106">
        <f>'20'!K79</f>
        <v>15285.714285714286</v>
      </c>
      <c r="X79" s="106">
        <f>'21'!K79</f>
        <v>15285.714285714286</v>
      </c>
      <c r="Y79" s="106">
        <f>'22'!K79</f>
        <v>15428.571428571429</v>
      </c>
      <c r="Z79" s="106">
        <f>'23'!K79</f>
        <v>16142.857142857143</v>
      </c>
      <c r="AA79" s="106">
        <f>'24'!K79</f>
        <v>16142.857142857143</v>
      </c>
      <c r="AB79" s="106">
        <f>'25'!K79</f>
        <v>16142.857142857143</v>
      </c>
      <c r="AC79" s="106">
        <f>'26'!K79</f>
        <v>16142.857142857143</v>
      </c>
      <c r="AD79" s="106">
        <f>'27'!K79</f>
        <v>16142.857142857143</v>
      </c>
      <c r="AE79" s="106">
        <f>'28'!K79</f>
        <v>16142.857142857143</v>
      </c>
      <c r="AF79" s="106">
        <f>'29'!K79</f>
        <v>16142.857142857143</v>
      </c>
      <c r="AG79" s="106">
        <f>'30'!K79</f>
        <v>16142.857142857143</v>
      </c>
      <c r="AH79" s="18"/>
      <c r="AI79" s="116">
        <f t="shared" si="2"/>
        <v>3285.7142857142862</v>
      </c>
      <c r="AJ79" s="193">
        <f t="shared" si="3"/>
        <v>15195.238095238097</v>
      </c>
    </row>
    <row r="80" spans="1:36" x14ac:dyDescent="0.25">
      <c r="A80" s="35"/>
      <c r="B80" s="20" t="s">
        <v>75</v>
      </c>
      <c r="C80" s="17" t="s">
        <v>5</v>
      </c>
      <c r="D80" s="98">
        <f>'1'!K80</f>
        <v>15142.857142857143</v>
      </c>
      <c r="E80" s="98">
        <f>'2'!K80</f>
        <v>15142.857142857143</v>
      </c>
      <c r="F80" s="98">
        <f>'3'!K80</f>
        <v>15142.857142857143</v>
      </c>
      <c r="G80" s="98">
        <f>'4'!K80</f>
        <v>15142.857142857143</v>
      </c>
      <c r="H80" s="98">
        <f>'5'!K80</f>
        <v>15142.857142857143</v>
      </c>
      <c r="I80" s="98">
        <f>'6'!K80</f>
        <v>15142.857142857143</v>
      </c>
      <c r="J80" s="106">
        <f>'7'!K80</f>
        <v>15000</v>
      </c>
      <c r="K80" s="106">
        <f>'8'!K80</f>
        <v>15000</v>
      </c>
      <c r="L80" s="106">
        <f>'9'!K80</f>
        <v>15000</v>
      </c>
      <c r="M80" s="106">
        <f>'10'!K80</f>
        <v>14857.142857142857</v>
      </c>
      <c r="N80" s="106">
        <f>'11'!K80</f>
        <v>14857.142857142857</v>
      </c>
      <c r="O80" s="106">
        <f>'12'!K80</f>
        <v>14857.142857142857</v>
      </c>
      <c r="P80" s="106">
        <f>'13'!K80</f>
        <v>14857.142857142857</v>
      </c>
      <c r="Q80" s="106">
        <f>'14'!K80</f>
        <v>14714.285714285714</v>
      </c>
      <c r="R80" s="106">
        <f>'15'!K80</f>
        <v>14714.285714285714</v>
      </c>
      <c r="S80" s="106">
        <f>'14'!K80</f>
        <v>14714.285714285714</v>
      </c>
      <c r="T80" s="106">
        <f>'17'!K80</f>
        <v>14714.285714285714</v>
      </c>
      <c r="U80" s="106">
        <f>'18'!K80</f>
        <v>14857.142857142857</v>
      </c>
      <c r="V80" s="106">
        <f>'19'!K80</f>
        <v>14857.142857142857</v>
      </c>
      <c r="W80" s="106">
        <f>'20'!K80</f>
        <v>14857.142857142857</v>
      </c>
      <c r="X80" s="106">
        <f>'21'!K80</f>
        <v>14857.142857142857</v>
      </c>
      <c r="Y80" s="106">
        <f>'22'!K80</f>
        <v>15142.857142857143</v>
      </c>
      <c r="Z80" s="106">
        <f>'23'!K80</f>
        <v>15285.714285714286</v>
      </c>
      <c r="AA80" s="106">
        <f>'24'!K80</f>
        <v>15285.714285714286</v>
      </c>
      <c r="AB80" s="106">
        <f>'25'!K80</f>
        <v>15285.714285714286</v>
      </c>
      <c r="AC80" s="106">
        <f>'26'!K80</f>
        <v>15285.714285714286</v>
      </c>
      <c r="AD80" s="106">
        <f>'27'!K80</f>
        <v>15285.714285714286</v>
      </c>
      <c r="AE80" s="106">
        <f>'28'!K80</f>
        <v>15285.714285714286</v>
      </c>
      <c r="AF80" s="106">
        <f>'29'!K80</f>
        <v>15285.714285714286</v>
      </c>
      <c r="AG80" s="106">
        <f>'30'!K80</f>
        <v>15285.714285714286</v>
      </c>
      <c r="AH80" s="18"/>
      <c r="AI80" s="116">
        <f t="shared" si="2"/>
        <v>142.85714285714312</v>
      </c>
      <c r="AJ80" s="193">
        <f t="shared" si="3"/>
        <v>15033.333333333325</v>
      </c>
    </row>
    <row r="81" spans="1:39" x14ac:dyDescent="0.25">
      <c r="A81" s="35"/>
      <c r="B81" s="20" t="s">
        <v>76</v>
      </c>
      <c r="C81" s="17" t="s">
        <v>5</v>
      </c>
      <c r="D81" s="98">
        <f>'1'!K81</f>
        <v>7142.8571428571431</v>
      </c>
      <c r="E81" s="98">
        <f>'2'!K81</f>
        <v>7142.8571428571431</v>
      </c>
      <c r="F81" s="98">
        <f>'3'!K81</f>
        <v>7142.8571428571431</v>
      </c>
      <c r="G81" s="98">
        <f>'4'!K81</f>
        <v>7142.8571428571431</v>
      </c>
      <c r="H81" s="98">
        <f>'5'!K81</f>
        <v>7142.8571428571431</v>
      </c>
      <c r="I81" s="98">
        <f>'6'!K81</f>
        <v>7142.8571428571431</v>
      </c>
      <c r="J81" s="106">
        <f>'7'!K81</f>
        <v>7142.8571428571431</v>
      </c>
      <c r="K81" s="106">
        <f>'8'!K81</f>
        <v>7142.8571428571431</v>
      </c>
      <c r="L81" s="106">
        <f>'9'!K81</f>
        <v>7142.8571428571431</v>
      </c>
      <c r="M81" s="106">
        <f>'10'!K81</f>
        <v>6571.4285714285716</v>
      </c>
      <c r="N81" s="106">
        <f>'11'!K81</f>
        <v>6571.4285714285716</v>
      </c>
      <c r="O81" s="106">
        <f>'12'!K81</f>
        <v>6571.4285714285716</v>
      </c>
      <c r="P81" s="106">
        <f>'13'!K81</f>
        <v>6571.4285714285716</v>
      </c>
      <c r="Q81" s="106">
        <f>'14'!K81</f>
        <v>7000</v>
      </c>
      <c r="R81" s="106">
        <f>'15'!K81</f>
        <v>7000</v>
      </c>
      <c r="S81" s="106">
        <f>'14'!K81</f>
        <v>7000</v>
      </c>
      <c r="T81" s="106">
        <f>'17'!K81</f>
        <v>7000</v>
      </c>
      <c r="U81" s="106">
        <f>'18'!K81</f>
        <v>6571.4285714285716</v>
      </c>
      <c r="V81" s="106">
        <f>'19'!K81</f>
        <v>6571.4285714285716</v>
      </c>
      <c r="W81" s="106">
        <f>'20'!K81</f>
        <v>6571.4285714285716</v>
      </c>
      <c r="X81" s="106">
        <f>'21'!K81</f>
        <v>6571.4285714285716</v>
      </c>
      <c r="Y81" s="106">
        <f>'22'!K81</f>
        <v>6571.4285714285716</v>
      </c>
      <c r="Z81" s="106">
        <f>'23'!K81</f>
        <v>6857.1428571428569</v>
      </c>
      <c r="AA81" s="106">
        <f>'24'!K81</f>
        <v>6857.1428571428569</v>
      </c>
      <c r="AB81" s="106">
        <f>'25'!K81</f>
        <v>6857.1428571428569</v>
      </c>
      <c r="AC81" s="106">
        <f>'26'!K81</f>
        <v>6857.1428571428569</v>
      </c>
      <c r="AD81" s="106">
        <f>'27'!K81</f>
        <v>6857.1428571428569</v>
      </c>
      <c r="AE81" s="106">
        <f>'28'!K81</f>
        <v>6857.1428571428569</v>
      </c>
      <c r="AF81" s="106">
        <f>'29'!K81</f>
        <v>6857.1428571428569</v>
      </c>
      <c r="AG81" s="106">
        <f>'30'!K81</f>
        <v>6857.1428571428569</v>
      </c>
      <c r="AH81" s="18"/>
      <c r="AI81" s="116">
        <f t="shared" si="2"/>
        <v>-285.71428571428623</v>
      </c>
      <c r="AJ81" s="193">
        <f t="shared" si="3"/>
        <v>6876.1904761904798</v>
      </c>
    </row>
    <row r="82" spans="1:39" x14ac:dyDescent="0.25">
      <c r="A82" s="35"/>
      <c r="B82" s="20" t="s">
        <v>77</v>
      </c>
      <c r="C82" s="17" t="s">
        <v>5</v>
      </c>
      <c r="D82" s="98">
        <f>'1'!K82</f>
        <v>12285.714285714286</v>
      </c>
      <c r="E82" s="98">
        <f>'2'!K82</f>
        <v>12285.714285714286</v>
      </c>
      <c r="F82" s="98">
        <f>'3'!K82</f>
        <v>12142.857142857143</v>
      </c>
      <c r="G82" s="98">
        <f>'4'!K82</f>
        <v>12142.857142857143</v>
      </c>
      <c r="H82" s="98">
        <f>'5'!K82</f>
        <v>12142.857142857143</v>
      </c>
      <c r="I82" s="98">
        <f>'6'!K82</f>
        <v>12142.857142857143</v>
      </c>
      <c r="J82" s="106">
        <f>'7'!K82</f>
        <v>12142.857142857143</v>
      </c>
      <c r="K82" s="106">
        <f>'8'!K82</f>
        <v>12142.857142857143</v>
      </c>
      <c r="L82" s="106">
        <f>'9'!K82</f>
        <v>12142.857142857143</v>
      </c>
      <c r="M82" s="106">
        <f>'10'!K82</f>
        <v>12142.857142857143</v>
      </c>
      <c r="N82" s="106">
        <f>'11'!K82</f>
        <v>12142.857142857143</v>
      </c>
      <c r="O82" s="106">
        <f>'12'!K82</f>
        <v>12142.857142857143</v>
      </c>
      <c r="P82" s="106">
        <f>'13'!K82</f>
        <v>12142.857142857143</v>
      </c>
      <c r="Q82" s="106">
        <f>'14'!K82</f>
        <v>12000</v>
      </c>
      <c r="R82" s="106">
        <f>'15'!K82</f>
        <v>12000</v>
      </c>
      <c r="S82" s="106">
        <f>'14'!K82</f>
        <v>12000</v>
      </c>
      <c r="T82" s="106">
        <f>'17'!K82</f>
        <v>12000</v>
      </c>
      <c r="U82" s="106">
        <f>'18'!K82</f>
        <v>12142.857142857143</v>
      </c>
      <c r="V82" s="106">
        <f>'19'!K82</f>
        <v>12142.857142857143</v>
      </c>
      <c r="W82" s="106">
        <f>'20'!K82</f>
        <v>12142.857142857143</v>
      </c>
      <c r="X82" s="106">
        <f>'21'!K82</f>
        <v>12142.857142857143</v>
      </c>
      <c r="Y82" s="106">
        <f>'22'!K82</f>
        <v>12142.857142857143</v>
      </c>
      <c r="Z82" s="106">
        <f>'23'!K82</f>
        <v>12285.714285714286</v>
      </c>
      <c r="AA82" s="106">
        <f>'24'!K82</f>
        <v>12285.714285714286</v>
      </c>
      <c r="AB82" s="106">
        <f>'25'!K82</f>
        <v>12285.714285714286</v>
      </c>
      <c r="AC82" s="106">
        <f>'26'!K82</f>
        <v>12285.714285714286</v>
      </c>
      <c r="AD82" s="106">
        <f>'27'!K82</f>
        <v>12000</v>
      </c>
      <c r="AE82" s="106">
        <f>'28'!K82</f>
        <v>12000</v>
      </c>
      <c r="AF82" s="106">
        <f>'29'!K82</f>
        <v>12000</v>
      </c>
      <c r="AG82" s="106">
        <f>'30'!K82</f>
        <v>12000</v>
      </c>
      <c r="AH82" s="18"/>
      <c r="AI82" s="116">
        <f t="shared" si="2"/>
        <v>-285.71428571428623</v>
      </c>
      <c r="AJ82" s="193">
        <f t="shared" si="3"/>
        <v>12133.333333333327</v>
      </c>
    </row>
    <row r="83" spans="1:39" x14ac:dyDescent="0.25">
      <c r="A83" s="35"/>
      <c r="B83" s="20" t="s">
        <v>78</v>
      </c>
      <c r="C83" s="17" t="s">
        <v>5</v>
      </c>
      <c r="D83" s="98">
        <f>'1'!K83</f>
        <v>8428.5714285714294</v>
      </c>
      <c r="E83" s="98">
        <f>'2'!K83</f>
        <v>8428.5714285714294</v>
      </c>
      <c r="F83" s="98">
        <f>'3'!K83</f>
        <v>8428.5714285714294</v>
      </c>
      <c r="G83" s="98">
        <f>'4'!K83</f>
        <v>8428.5714285714294</v>
      </c>
      <c r="H83" s="98">
        <f>'5'!K83</f>
        <v>8428.5714285714294</v>
      </c>
      <c r="I83" s="98">
        <f>'6'!K83</f>
        <v>8428.5714285714294</v>
      </c>
      <c r="J83" s="106">
        <f>'7'!K83</f>
        <v>8428.5714285714294</v>
      </c>
      <c r="K83" s="106">
        <f>'8'!K83</f>
        <v>8428.5714285714294</v>
      </c>
      <c r="L83" s="106">
        <f>'9'!K83</f>
        <v>8428.5714285714294</v>
      </c>
      <c r="M83" s="106">
        <f>'10'!K83</f>
        <v>8428.5714285714294</v>
      </c>
      <c r="N83" s="106">
        <f>'11'!K83</f>
        <v>8428.5714285714294</v>
      </c>
      <c r="O83" s="106">
        <f>'12'!K83</f>
        <v>8428.5714285714294</v>
      </c>
      <c r="P83" s="106">
        <f>'13'!K83</f>
        <v>8428.5714285714294</v>
      </c>
      <c r="Q83" s="106">
        <f>'14'!K83</f>
        <v>8285.7142857142862</v>
      </c>
      <c r="R83" s="106">
        <f>'15'!K83</f>
        <v>8285.7142857142862</v>
      </c>
      <c r="S83" s="106">
        <f>'14'!K83</f>
        <v>8285.7142857142862</v>
      </c>
      <c r="T83" s="106">
        <f>'17'!K83</f>
        <v>8285.7142857142862</v>
      </c>
      <c r="U83" s="106">
        <f>'18'!K83</f>
        <v>8428.5714285714294</v>
      </c>
      <c r="V83" s="106">
        <f>'19'!K83</f>
        <v>8428.5714285714294</v>
      </c>
      <c r="W83" s="106">
        <f>'20'!K83</f>
        <v>8285.7142857142862</v>
      </c>
      <c r="X83" s="106">
        <f>'21'!K83</f>
        <v>8285.7142857142862</v>
      </c>
      <c r="Y83" s="106">
        <f>'22'!K83</f>
        <v>8285.7142857142862</v>
      </c>
      <c r="Z83" s="106">
        <f>'23'!K83</f>
        <v>8285.7142857142862</v>
      </c>
      <c r="AA83" s="106">
        <f>'24'!K83</f>
        <v>8285.7142857142862</v>
      </c>
      <c r="AB83" s="106">
        <f>'25'!K83</f>
        <v>8285.7142857142862</v>
      </c>
      <c r="AC83" s="106">
        <f>'26'!K83</f>
        <v>8285.7142857142862</v>
      </c>
      <c r="AD83" s="106">
        <f>'27'!K83</f>
        <v>8285.7142857142862</v>
      </c>
      <c r="AE83" s="106">
        <f>'28'!K83</f>
        <v>8285.7142857142862</v>
      </c>
      <c r="AF83" s="106">
        <f>'29'!K83</f>
        <v>8285.7142857142862</v>
      </c>
      <c r="AG83" s="106">
        <f>'30'!K83</f>
        <v>8285.7142857142862</v>
      </c>
      <c r="AH83" s="18"/>
      <c r="AI83" s="116">
        <f t="shared" si="2"/>
        <v>-142.85714285714312</v>
      </c>
      <c r="AJ83" s="193">
        <f t="shared" si="3"/>
        <v>8357.1428571428605</v>
      </c>
    </row>
    <row r="84" spans="1:39" x14ac:dyDescent="0.25">
      <c r="A84" s="35"/>
      <c r="B84" s="20" t="s">
        <v>79</v>
      </c>
      <c r="C84" s="17" t="s">
        <v>80</v>
      </c>
      <c r="D84" s="98">
        <f>'1'!K84</f>
        <v>1714.2857142857142</v>
      </c>
      <c r="E84" s="98">
        <f>'2'!K84</f>
        <v>1714.2857142857142</v>
      </c>
      <c r="F84" s="98">
        <f>'3'!K84</f>
        <v>1714.2857142857142</v>
      </c>
      <c r="G84" s="98">
        <f>'4'!K84</f>
        <v>1714.2857142857142</v>
      </c>
      <c r="H84" s="98">
        <f>'5'!K84</f>
        <v>1714.2857142857142</v>
      </c>
      <c r="I84" s="98">
        <f>'6'!K84</f>
        <v>1714.2857142857142</v>
      </c>
      <c r="J84" s="106">
        <f>'7'!K84</f>
        <v>1714.2857142857142</v>
      </c>
      <c r="K84" s="106">
        <f>'8'!K84</f>
        <v>1714.2857142857142</v>
      </c>
      <c r="L84" s="106">
        <f>'9'!K84</f>
        <v>1714.2857142857142</v>
      </c>
      <c r="M84" s="106">
        <f>'10'!K84</f>
        <v>1714.2857142857142</v>
      </c>
      <c r="N84" s="106">
        <f>'11'!K84</f>
        <v>1714.2857142857142</v>
      </c>
      <c r="O84" s="106">
        <f>'12'!K84</f>
        <v>1714.2857142857142</v>
      </c>
      <c r="P84" s="106">
        <f>'13'!K84</f>
        <v>1714.2857142857142</v>
      </c>
      <c r="Q84" s="106">
        <f>'14'!K84</f>
        <v>1642.8571428571429</v>
      </c>
      <c r="R84" s="106">
        <f>'15'!K84</f>
        <v>1642.8571428571429</v>
      </c>
      <c r="S84" s="106">
        <f>'14'!K84</f>
        <v>1642.8571428571429</v>
      </c>
      <c r="T84" s="106">
        <f>'17'!K84</f>
        <v>1642.8571428571429</v>
      </c>
      <c r="U84" s="106">
        <f>'18'!K84</f>
        <v>1714.2857142857142</v>
      </c>
      <c r="V84" s="106">
        <f>'19'!K84</f>
        <v>1714.2857142857142</v>
      </c>
      <c r="W84" s="106">
        <f>'20'!K84</f>
        <v>1714.2857142857142</v>
      </c>
      <c r="X84" s="106">
        <f>'21'!K84</f>
        <v>1714.2857142857142</v>
      </c>
      <c r="Y84" s="106">
        <f>'22'!K84</f>
        <v>1714.2857142857142</v>
      </c>
      <c r="Z84" s="106">
        <f>'23'!K84</f>
        <v>1714.2857142857142</v>
      </c>
      <c r="AA84" s="106">
        <f>'24'!K84</f>
        <v>1714.2857142857142</v>
      </c>
      <c r="AB84" s="106">
        <f>'25'!K84</f>
        <v>1714.2857142857142</v>
      </c>
      <c r="AC84" s="106">
        <f>'26'!K84</f>
        <v>1714.2857142857142</v>
      </c>
      <c r="AD84" s="106">
        <f>'27'!K84</f>
        <v>1714.2857142857142</v>
      </c>
      <c r="AE84" s="106">
        <f>'28'!K84</f>
        <v>1714.2857142857142</v>
      </c>
      <c r="AF84" s="106">
        <f>'29'!K84</f>
        <v>1714.2857142857142</v>
      </c>
      <c r="AG84" s="106">
        <f>'30'!K84</f>
        <v>1714.2857142857142</v>
      </c>
      <c r="AH84" s="18"/>
      <c r="AI84" s="116">
        <f t="shared" si="2"/>
        <v>0</v>
      </c>
      <c r="AJ84" s="193">
        <f t="shared" si="3"/>
        <v>1704.7619047619055</v>
      </c>
    </row>
    <row r="85" spans="1:39" x14ac:dyDescent="0.25">
      <c r="A85" s="35"/>
      <c r="B85" s="20" t="s">
        <v>81</v>
      </c>
      <c r="C85" s="17" t="s">
        <v>80</v>
      </c>
      <c r="D85" s="98">
        <f>'1'!K85</f>
        <v>1500</v>
      </c>
      <c r="E85" s="98">
        <f>'2'!K85</f>
        <v>1500</v>
      </c>
      <c r="F85" s="98">
        <f>'3'!K85</f>
        <v>1428.5714285714287</v>
      </c>
      <c r="G85" s="98">
        <f>'4'!K85</f>
        <v>1428.5714285714287</v>
      </c>
      <c r="H85" s="98">
        <f>'5'!K85</f>
        <v>1428.5714285714287</v>
      </c>
      <c r="I85" s="98">
        <f>'6'!K85</f>
        <v>1428.5714285714287</v>
      </c>
      <c r="J85" s="106">
        <f>'7'!K85</f>
        <v>1428.5714285714287</v>
      </c>
      <c r="K85" s="106">
        <f>'8'!K85</f>
        <v>1428.5714285714287</v>
      </c>
      <c r="L85" s="106">
        <f>'9'!K85</f>
        <v>1428.5714285714287</v>
      </c>
      <c r="M85" s="106">
        <f>'10'!K85</f>
        <v>1428.5714285714287</v>
      </c>
      <c r="N85" s="106">
        <f>'11'!K85</f>
        <v>1428.5714285714287</v>
      </c>
      <c r="O85" s="106">
        <f>'12'!K85</f>
        <v>1428.5714285714287</v>
      </c>
      <c r="P85" s="106">
        <f>'13'!K85</f>
        <v>1428.5714285714287</v>
      </c>
      <c r="Q85" s="106">
        <f>'14'!K85</f>
        <v>1357.1428571428571</v>
      </c>
      <c r="R85" s="106">
        <f>'15'!K85</f>
        <v>1357.1428571428571</v>
      </c>
      <c r="S85" s="106">
        <f>'14'!K85</f>
        <v>1357.1428571428571</v>
      </c>
      <c r="T85" s="106">
        <f>'17'!K85</f>
        <v>1357.1428571428571</v>
      </c>
      <c r="U85" s="106">
        <f>'18'!K85</f>
        <v>1428.5714285714287</v>
      </c>
      <c r="V85" s="106">
        <f>'19'!K85</f>
        <v>1428.5714285714287</v>
      </c>
      <c r="W85" s="106">
        <f>'20'!K85</f>
        <v>1428.5714285714287</v>
      </c>
      <c r="X85" s="106">
        <f>'21'!K85</f>
        <v>1428.5714285714287</v>
      </c>
      <c r="Y85" s="106">
        <f>'22'!K85</f>
        <v>1428.5714285714287</v>
      </c>
      <c r="Z85" s="106">
        <f>'23'!K85</f>
        <v>1428.5714285714287</v>
      </c>
      <c r="AA85" s="106">
        <f>'24'!K85</f>
        <v>1428.5714285714287</v>
      </c>
      <c r="AB85" s="106">
        <f>'25'!K85</f>
        <v>1428.5714285714287</v>
      </c>
      <c r="AC85" s="106">
        <f>'26'!K85</f>
        <v>1428.5714285714287</v>
      </c>
      <c r="AD85" s="106">
        <f>'27'!K85</f>
        <v>1428.5714285714287</v>
      </c>
      <c r="AE85" s="106">
        <f>'28'!K85</f>
        <v>1428.5714285714287</v>
      </c>
      <c r="AF85" s="106">
        <f>'29'!K85</f>
        <v>1428.5714285714287</v>
      </c>
      <c r="AG85" s="106">
        <f>'30'!K85</f>
        <v>1428.5714285714287</v>
      </c>
      <c r="AH85" s="18"/>
      <c r="AI85" s="116">
        <f t="shared" si="2"/>
        <v>-71.428571428571331</v>
      </c>
      <c r="AJ85" s="193">
        <f t="shared" si="3"/>
        <v>1423.8095238095236</v>
      </c>
    </row>
    <row r="86" spans="1:39" x14ac:dyDescent="0.25">
      <c r="A86" s="34"/>
      <c r="B86" s="20" t="s">
        <v>82</v>
      </c>
      <c r="C86" s="17" t="s">
        <v>80</v>
      </c>
      <c r="D86" s="98">
        <f>'1'!K86</f>
        <v>2166.6666666666665</v>
      </c>
      <c r="E86" s="98">
        <f>'2'!K86</f>
        <v>2166.6666666666665</v>
      </c>
      <c r="F86" s="98">
        <f>'3'!K86</f>
        <v>2166.6666666666665</v>
      </c>
      <c r="G86" s="98">
        <f>'4'!K86</f>
        <v>2166.6666666666665</v>
      </c>
      <c r="H86" s="98">
        <f>'5'!K86</f>
        <v>2166.6666666666665</v>
      </c>
      <c r="I86" s="98">
        <f>'6'!K86</f>
        <v>2166.6666666666665</v>
      </c>
      <c r="J86" s="106">
        <f>'7'!K86</f>
        <v>2166.6666666666665</v>
      </c>
      <c r="K86" s="106">
        <f>'8'!K86</f>
        <v>2166.6666666666665</v>
      </c>
      <c r="L86" s="106">
        <f>'9'!K86</f>
        <v>2166.6666666666665</v>
      </c>
      <c r="M86" s="106">
        <f>'10'!K86</f>
        <v>2166.6666666666665</v>
      </c>
      <c r="N86" s="106">
        <f>'11'!K86</f>
        <v>2166.6666666666665</v>
      </c>
      <c r="O86" s="106">
        <f>'12'!K86</f>
        <v>2166.6666666666665</v>
      </c>
      <c r="P86" s="106">
        <f>'13'!K86</f>
        <v>2166.6666666666665</v>
      </c>
      <c r="Q86" s="106">
        <f>'14'!K86</f>
        <v>2166.6666666666665</v>
      </c>
      <c r="R86" s="106">
        <f>'15'!K86</f>
        <v>2166.6666666666665</v>
      </c>
      <c r="S86" s="106">
        <f>'14'!K86</f>
        <v>2166.6666666666665</v>
      </c>
      <c r="T86" s="106">
        <f>'17'!K86</f>
        <v>2166.6666666666665</v>
      </c>
      <c r="U86" s="106">
        <f>'18'!K86</f>
        <v>2166.6666666666665</v>
      </c>
      <c r="V86" s="106">
        <f>'19'!K86</f>
        <v>2166.6666666666665</v>
      </c>
      <c r="W86" s="106">
        <f>'20'!K86</f>
        <v>2166.6666666666665</v>
      </c>
      <c r="X86" s="106">
        <f>'21'!K86</f>
        <v>2166.6666666666665</v>
      </c>
      <c r="Y86" s="106">
        <f>'22'!K86</f>
        <v>2166.6666666666665</v>
      </c>
      <c r="Z86" s="106">
        <f>'23'!K86</f>
        <v>2166.6666666666665</v>
      </c>
      <c r="AA86" s="106">
        <f>'24'!K86</f>
        <v>2166.6666666666665</v>
      </c>
      <c r="AB86" s="106">
        <f>'25'!K86</f>
        <v>2166.6666666666665</v>
      </c>
      <c r="AC86" s="106">
        <f>'26'!K86</f>
        <v>2166.6666666666665</v>
      </c>
      <c r="AD86" s="106">
        <f>'27'!K86</f>
        <v>2166.6666666666665</v>
      </c>
      <c r="AE86" s="106">
        <f>'28'!K86</f>
        <v>2166.6666666666665</v>
      </c>
      <c r="AF86" s="106">
        <f>'29'!K86</f>
        <v>2166.6666666666665</v>
      </c>
      <c r="AG86" s="106">
        <f>'30'!K86</f>
        <v>2166.6666666666665</v>
      </c>
      <c r="AH86" s="18"/>
      <c r="AI86" s="116">
        <f t="shared" si="2"/>
        <v>0</v>
      </c>
      <c r="AJ86" s="193">
        <f t="shared" si="3"/>
        <v>2166.6666666666656</v>
      </c>
    </row>
    <row r="87" spans="1:39" x14ac:dyDescent="0.25">
      <c r="A87" s="33">
        <v>22</v>
      </c>
      <c r="B87" s="21" t="s">
        <v>83</v>
      </c>
      <c r="C87" s="17"/>
      <c r="D87" s="98">
        <f>'1'!K87</f>
        <v>0</v>
      </c>
      <c r="E87" s="98">
        <f>'2'!K87</f>
        <v>0</v>
      </c>
      <c r="F87" s="98">
        <f>'3'!K87</f>
        <v>0</v>
      </c>
      <c r="G87" s="98">
        <f>'4'!K87</f>
        <v>0</v>
      </c>
      <c r="H87" s="98">
        <f>'5'!K87</f>
        <v>0</v>
      </c>
      <c r="I87" s="98">
        <f>'6'!K87</f>
        <v>0</v>
      </c>
      <c r="J87" s="106">
        <f>'7'!K87</f>
        <v>0</v>
      </c>
      <c r="K87" s="106">
        <f>'8'!K87</f>
        <v>0</v>
      </c>
      <c r="L87" s="106">
        <f>'9'!K87</f>
        <v>0</v>
      </c>
      <c r="M87" s="106">
        <f>'10'!K87</f>
        <v>0</v>
      </c>
      <c r="N87" s="106">
        <f>'11'!K87</f>
        <v>0</v>
      </c>
      <c r="O87" s="106">
        <f>'12'!K87</f>
        <v>0</v>
      </c>
      <c r="P87" s="106">
        <f>'13'!K87</f>
        <v>0</v>
      </c>
      <c r="Q87" s="106">
        <f>'14'!K87</f>
        <v>0</v>
      </c>
      <c r="R87" s="106">
        <f>'15'!K87</f>
        <v>0</v>
      </c>
      <c r="S87" s="106">
        <f>'14'!K87</f>
        <v>0</v>
      </c>
      <c r="T87" s="106">
        <f>'17'!K87</f>
        <v>0</v>
      </c>
      <c r="U87" s="106">
        <f>'18'!K87</f>
        <v>0</v>
      </c>
      <c r="V87" s="106">
        <f>'19'!K87</f>
        <v>0</v>
      </c>
      <c r="W87" s="106">
        <f>'20'!K87</f>
        <v>0</v>
      </c>
      <c r="X87" s="106">
        <f>'21'!K87</f>
        <v>0</v>
      </c>
      <c r="Y87" s="106">
        <f>'22'!K87</f>
        <v>0</v>
      </c>
      <c r="Z87" s="106">
        <f>'23'!K87</f>
        <v>0</v>
      </c>
      <c r="AA87" s="106">
        <f>'24'!K87</f>
        <v>0</v>
      </c>
      <c r="AB87" s="106">
        <f>'25'!K87</f>
        <v>0</v>
      </c>
      <c r="AC87" s="106">
        <f>'26'!K87</f>
        <v>0</v>
      </c>
      <c r="AD87" s="106">
        <f>'27'!K87</f>
        <v>0</v>
      </c>
      <c r="AE87" s="106">
        <f>'28'!K87</f>
        <v>0</v>
      </c>
      <c r="AF87" s="106">
        <f>'29'!K87</f>
        <v>0</v>
      </c>
      <c r="AG87" s="106">
        <f>'30'!K87</f>
        <v>0</v>
      </c>
      <c r="AH87" s="18"/>
      <c r="AI87" s="116">
        <f t="shared" si="2"/>
        <v>0</v>
      </c>
      <c r="AJ87" s="193">
        <f t="shared" si="3"/>
        <v>0</v>
      </c>
    </row>
    <row r="88" spans="1:39" ht="14.25" customHeight="1" x14ac:dyDescent="0.25">
      <c r="A88" s="34"/>
      <c r="B88" s="20" t="s">
        <v>84</v>
      </c>
      <c r="C88" s="17" t="s">
        <v>85</v>
      </c>
      <c r="D88" s="98">
        <f>'1'!K88</f>
        <v>18000</v>
      </c>
      <c r="E88" s="98">
        <f>'2'!K88</f>
        <v>18000</v>
      </c>
      <c r="F88" s="98">
        <f>'3'!K88</f>
        <v>18000</v>
      </c>
      <c r="G88" s="98">
        <f>'4'!K88</f>
        <v>18000</v>
      </c>
      <c r="H88" s="98">
        <f>'5'!K88</f>
        <v>18000</v>
      </c>
      <c r="I88" s="98">
        <f>'6'!K88</f>
        <v>18000</v>
      </c>
      <c r="J88" s="106">
        <f>'7'!K88</f>
        <v>18000</v>
      </c>
      <c r="K88" s="106">
        <f>'8'!K88</f>
        <v>18000</v>
      </c>
      <c r="L88" s="106">
        <f>'9'!K88</f>
        <v>18000</v>
      </c>
      <c r="M88" s="106">
        <f>'10'!K88</f>
        <v>18000</v>
      </c>
      <c r="N88" s="106">
        <f>'11'!K88</f>
        <v>18000</v>
      </c>
      <c r="O88" s="106">
        <f>'12'!K88</f>
        <v>18000</v>
      </c>
      <c r="P88" s="106">
        <f>'13'!K88</f>
        <v>18000</v>
      </c>
      <c r="Q88" s="106">
        <f>'14'!K88</f>
        <v>18000</v>
      </c>
      <c r="R88" s="106">
        <f>'15'!K88</f>
        <v>18000</v>
      </c>
      <c r="S88" s="106">
        <f>'14'!K88</f>
        <v>18000</v>
      </c>
      <c r="T88" s="106">
        <f>'17'!K88</f>
        <v>18000</v>
      </c>
      <c r="U88" s="106">
        <f>'18'!K88</f>
        <v>18000</v>
      </c>
      <c r="V88" s="106">
        <f>'19'!K88</f>
        <v>18000</v>
      </c>
      <c r="W88" s="106">
        <f>'20'!K88</f>
        <v>18000</v>
      </c>
      <c r="X88" s="106">
        <f>'21'!K88</f>
        <v>18000</v>
      </c>
      <c r="Y88" s="106">
        <f>'22'!K88</f>
        <v>18000</v>
      </c>
      <c r="Z88" s="106">
        <f>'23'!K88</f>
        <v>18000</v>
      </c>
      <c r="AA88" s="106">
        <f>'24'!K88</f>
        <v>17750</v>
      </c>
      <c r="AB88" s="106">
        <f>'25'!K88</f>
        <v>17750</v>
      </c>
      <c r="AC88" s="106">
        <f>'26'!K88</f>
        <v>17750</v>
      </c>
      <c r="AD88" s="106">
        <f>'27'!K88</f>
        <v>17750</v>
      </c>
      <c r="AE88" s="106">
        <f>'28'!K88</f>
        <v>17750</v>
      </c>
      <c r="AF88" s="106">
        <f>'29'!K88</f>
        <v>17750</v>
      </c>
      <c r="AG88" s="106">
        <f>'30'!K88</f>
        <v>17750</v>
      </c>
      <c r="AH88" s="18"/>
      <c r="AI88" s="116">
        <f t="shared" si="2"/>
        <v>-250</v>
      </c>
      <c r="AJ88" s="193">
        <f t="shared" si="3"/>
        <v>17941.666666666668</v>
      </c>
      <c r="AM88" s="36" t="s">
        <v>100</v>
      </c>
    </row>
    <row r="89" spans="1:39" ht="14.25" customHeight="1" x14ac:dyDescent="0.25">
      <c r="A89" s="37"/>
      <c r="B89" s="64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108"/>
      <c r="AF89" s="108"/>
      <c r="AG89" s="108"/>
      <c r="AH89" s="65"/>
      <c r="AI89" s="66"/>
    </row>
    <row r="90" spans="1:39" ht="12.75" customHeight="1" x14ac:dyDescent="0.25">
      <c r="A90" s="38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6"/>
    </row>
    <row r="91" spans="1:39" ht="3" customHeight="1" x14ac:dyDescent="0.25">
      <c r="A91" s="38"/>
      <c r="B91" s="67"/>
      <c r="C91" s="44"/>
      <c r="D91" s="44"/>
      <c r="E91" s="44"/>
      <c r="F91" s="44"/>
      <c r="G91" s="44"/>
      <c r="H91" s="44"/>
      <c r="I91" s="44"/>
      <c r="AI91" s="39"/>
    </row>
    <row r="92" spans="1:39" ht="14.25" hidden="1" customHeight="1" x14ac:dyDescent="0.25">
      <c r="A92" s="38"/>
      <c r="C92" s="44"/>
      <c r="D92" s="44"/>
      <c r="E92" s="44"/>
      <c r="F92" s="44"/>
      <c r="G92" s="44"/>
      <c r="H92" s="44"/>
      <c r="I92" s="44"/>
      <c r="AI92" s="39"/>
    </row>
    <row r="93" spans="1:39" ht="14.25" customHeight="1" x14ac:dyDescent="0.25">
      <c r="A93" s="40" t="s">
        <v>100</v>
      </c>
      <c r="B93" s="45" t="s">
        <v>111</v>
      </c>
      <c r="C93" s="44"/>
      <c r="D93" s="44"/>
      <c r="E93" s="44"/>
      <c r="F93" s="44"/>
      <c r="G93" s="44"/>
      <c r="H93" s="44"/>
      <c r="I93" s="44"/>
      <c r="AI93" s="39"/>
    </row>
    <row r="94" spans="1:39" ht="15.75" customHeight="1" x14ac:dyDescent="0.25">
      <c r="A94" s="38"/>
      <c r="B94" s="44" t="s">
        <v>112</v>
      </c>
      <c r="C94" s="44"/>
      <c r="D94" s="44"/>
      <c r="E94" s="44"/>
      <c r="F94" s="44"/>
      <c r="G94" s="44"/>
      <c r="H94" s="44"/>
      <c r="I94" s="44"/>
      <c r="AI94" s="39"/>
    </row>
    <row r="95" spans="1:39" ht="15.75" customHeight="1" x14ac:dyDescent="0.25">
      <c r="A95" s="41"/>
      <c r="B95" s="46" t="s">
        <v>126</v>
      </c>
      <c r="C95" s="46"/>
      <c r="D95" s="46"/>
      <c r="E95" s="46"/>
      <c r="F95" s="46"/>
      <c r="G95" s="46"/>
      <c r="H95" s="46"/>
      <c r="I95" s="46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110"/>
      <c r="AF95" s="110"/>
      <c r="AG95" s="110"/>
      <c r="AH95" s="42"/>
      <c r="AI95" s="43"/>
    </row>
  </sheetData>
  <mergeCells count="23">
    <mergeCell ref="A69:A73"/>
    <mergeCell ref="A43:A45"/>
    <mergeCell ref="A46:A48"/>
    <mergeCell ref="A52:A53"/>
    <mergeCell ref="A54:A55"/>
    <mergeCell ref="A56:A60"/>
    <mergeCell ref="A63:A66"/>
    <mergeCell ref="B90:AI90"/>
    <mergeCell ref="AH4:AH6"/>
    <mergeCell ref="AI4:AI6"/>
    <mergeCell ref="A1:AI1"/>
    <mergeCell ref="A2:AI2"/>
    <mergeCell ref="A3:AI3"/>
    <mergeCell ref="A33:A35"/>
    <mergeCell ref="A4:A6"/>
    <mergeCell ref="B4:B6"/>
    <mergeCell ref="C4:C6"/>
    <mergeCell ref="A7:A12"/>
    <mergeCell ref="A13:A15"/>
    <mergeCell ref="A16:A18"/>
    <mergeCell ref="A19:A20"/>
    <mergeCell ref="A21:A25"/>
    <mergeCell ref="A26:A32"/>
  </mergeCells>
  <pageMargins left="0.7" right="0.2" top="0" bottom="0" header="0.3" footer="0.3"/>
  <pageSetup paperSize="5" scale="4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129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13000</v>
      </c>
      <c r="E8" s="8">
        <v>13500</v>
      </c>
      <c r="F8" s="8">
        <v>14000</v>
      </c>
      <c r="G8" s="8">
        <v>13500</v>
      </c>
      <c r="H8" s="8">
        <v>14000</v>
      </c>
      <c r="I8" s="8">
        <v>14000</v>
      </c>
      <c r="J8" s="11">
        <v>14000</v>
      </c>
      <c r="K8" s="79">
        <f>AVERAGE(D8:J8)</f>
        <v>13714.285714285714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14000</v>
      </c>
      <c r="F14" s="8">
        <v>14500</v>
      </c>
      <c r="G14" s="8">
        <v>13500</v>
      </c>
      <c r="H14" s="8">
        <v>15000</v>
      </c>
      <c r="I14" s="8">
        <v>13500</v>
      </c>
      <c r="J14" s="52">
        <v>16000</v>
      </c>
      <c r="K14" s="79">
        <f t="shared" si="0"/>
        <v>14642.857142857143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2">
        <v>16000</v>
      </c>
      <c r="K15" s="79">
        <f>AVERAGE(D15:J15)</f>
        <v>15142.857142857143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16000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33000</v>
      </c>
      <c r="G25" s="8">
        <v>33000</v>
      </c>
      <c r="H25" s="52">
        <v>35000</v>
      </c>
      <c r="I25" s="8">
        <v>34000</v>
      </c>
      <c r="J25" s="52">
        <v>34000</v>
      </c>
      <c r="K25" s="79">
        <f t="shared" si="0"/>
        <v>33714.285714285717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35000</v>
      </c>
      <c r="K27" s="79">
        <f t="shared" si="0"/>
        <v>35166.666666666664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27285.714285714286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75000</v>
      </c>
      <c r="G29" s="7">
        <v>70000</v>
      </c>
      <c r="H29" s="8">
        <v>68000</v>
      </c>
      <c r="I29" s="8">
        <v>68000</v>
      </c>
      <c r="J29" s="55">
        <v>65000</v>
      </c>
      <c r="K29" s="79">
        <f t="shared" si="0"/>
        <v>66571.428571428565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36000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24000</v>
      </c>
      <c r="E34" s="8">
        <v>24000</v>
      </c>
      <c r="F34" s="8">
        <v>25000</v>
      </c>
      <c r="G34" s="8">
        <v>24000</v>
      </c>
      <c r="H34" s="8">
        <v>24000</v>
      </c>
      <c r="I34" s="8">
        <v>25000</v>
      </c>
      <c r="J34" s="52">
        <v>25000</v>
      </c>
      <c r="K34" s="79">
        <f t="shared" si="0"/>
        <v>24428.571428571428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12000</v>
      </c>
      <c r="H57" s="8">
        <v>13000</v>
      </c>
      <c r="I57" s="8">
        <v>14000</v>
      </c>
      <c r="J57" s="52" t="s">
        <v>97</v>
      </c>
      <c r="K57" s="79">
        <f t="shared" si="0"/>
        <v>13666.666666666666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20000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22142.857142857141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28000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2">
        <v>28000</v>
      </c>
      <c r="K60" s="79">
        <f t="shared" si="0"/>
        <v>28285.714285714286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30000</v>
      </c>
      <c r="E64" s="8">
        <v>30000</v>
      </c>
      <c r="F64" s="8">
        <v>32000</v>
      </c>
      <c r="G64" s="8">
        <v>35000</v>
      </c>
      <c r="H64" s="8">
        <v>30000</v>
      </c>
      <c r="I64" s="8">
        <v>25000</v>
      </c>
      <c r="J64" s="52">
        <v>30000</v>
      </c>
      <c r="K64" s="79">
        <f t="shared" si="0"/>
        <v>30285.714285714286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50000</v>
      </c>
      <c r="E65" s="8">
        <v>35000</v>
      </c>
      <c r="F65" s="8">
        <v>34000</v>
      </c>
      <c r="G65" s="8">
        <v>36000</v>
      </c>
      <c r="H65" s="8">
        <v>30000</v>
      </c>
      <c r="I65" s="7">
        <v>25000</v>
      </c>
      <c r="J65" s="52" t="s">
        <v>97</v>
      </c>
      <c r="K65" s="79">
        <f t="shared" si="0"/>
        <v>35000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66000</v>
      </c>
      <c r="E66" s="8">
        <v>60000</v>
      </c>
      <c r="F66" s="8">
        <v>61000</v>
      </c>
      <c r="G66" s="8">
        <v>61000</v>
      </c>
      <c r="H66" s="8">
        <v>60000</v>
      </c>
      <c r="I66" s="8">
        <v>55000</v>
      </c>
      <c r="J66" s="52">
        <v>70000</v>
      </c>
      <c r="K66" s="79">
        <f t="shared" si="0"/>
        <v>61857.142857142855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35000</v>
      </c>
      <c r="J70" s="52">
        <v>38000</v>
      </c>
      <c r="K70" s="79">
        <f t="shared" si="0"/>
        <v>34571.428571428572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33000</v>
      </c>
      <c r="J71" s="52">
        <v>35000</v>
      </c>
      <c r="K71" s="79">
        <f t="shared" si="0"/>
        <v>32285.714285714286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18000</v>
      </c>
      <c r="E72" s="8">
        <v>20000</v>
      </c>
      <c r="F72" s="8">
        <v>20000</v>
      </c>
      <c r="G72" s="8">
        <v>20000</v>
      </c>
      <c r="H72" s="8">
        <v>20000</v>
      </c>
      <c r="I72" s="8">
        <v>22000</v>
      </c>
      <c r="J72" s="52">
        <v>20000</v>
      </c>
      <c r="K72" s="79">
        <f t="shared" si="0"/>
        <v>20000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27000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14000</v>
      </c>
      <c r="E79" s="8">
        <v>12000</v>
      </c>
      <c r="F79" s="8">
        <v>12000</v>
      </c>
      <c r="G79" s="8">
        <v>15000</v>
      </c>
      <c r="H79" s="8">
        <v>10000</v>
      </c>
      <c r="I79" s="11">
        <v>12000</v>
      </c>
      <c r="J79" s="52">
        <v>15000</v>
      </c>
      <c r="K79" s="79">
        <f t="shared" si="0"/>
        <v>12857.142857142857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16000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15142.857142857143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13000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12285.714285714286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1500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13000</v>
      </c>
      <c r="E8" s="8">
        <v>13500</v>
      </c>
      <c r="F8" s="8">
        <v>14000</v>
      </c>
      <c r="G8" s="8">
        <v>13500</v>
      </c>
      <c r="H8" s="8">
        <v>14000</v>
      </c>
      <c r="I8" s="8">
        <v>14000</v>
      </c>
      <c r="J8" s="11">
        <v>14000</v>
      </c>
      <c r="K8" s="79">
        <f>AVERAGE(D8:J8)</f>
        <v>13714.285714285714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14000</v>
      </c>
      <c r="F14" s="8">
        <v>14500</v>
      </c>
      <c r="G14" s="8">
        <v>13500</v>
      </c>
      <c r="H14" s="8">
        <v>15000</v>
      </c>
      <c r="I14" s="8">
        <v>13500</v>
      </c>
      <c r="J14" s="52">
        <v>16000</v>
      </c>
      <c r="K14" s="79">
        <f t="shared" si="0"/>
        <v>14642.857142857143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14000</v>
      </c>
      <c r="H15" s="8">
        <v>15000</v>
      </c>
      <c r="I15" s="8">
        <v>15000</v>
      </c>
      <c r="J15" s="52">
        <v>16000</v>
      </c>
      <c r="K15" s="79">
        <f>AVERAGE(D15:J15)</f>
        <v>15142.857142857143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16000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33000</v>
      </c>
      <c r="G25" s="8">
        <v>33000</v>
      </c>
      <c r="H25" s="52">
        <v>34000</v>
      </c>
      <c r="I25" s="8">
        <v>34000</v>
      </c>
      <c r="J25" s="52">
        <v>34000</v>
      </c>
      <c r="K25" s="79">
        <f t="shared" si="0"/>
        <v>33571.428571428572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35000</v>
      </c>
      <c r="K27" s="79">
        <f t="shared" si="0"/>
        <v>35166.666666666664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27285.714285714286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75000</v>
      </c>
      <c r="G29" s="7">
        <v>70000</v>
      </c>
      <c r="H29" s="8">
        <v>68000</v>
      </c>
      <c r="I29" s="8">
        <v>68000</v>
      </c>
      <c r="J29" s="55">
        <v>65000</v>
      </c>
      <c r="K29" s="79">
        <f t="shared" si="0"/>
        <v>66571.428571428565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36000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24000</v>
      </c>
      <c r="E34" s="8">
        <v>24000</v>
      </c>
      <c r="F34" s="8">
        <v>25000</v>
      </c>
      <c r="G34" s="8">
        <v>24000</v>
      </c>
      <c r="H34" s="8">
        <v>24000</v>
      </c>
      <c r="I34" s="8">
        <v>25000</v>
      </c>
      <c r="J34" s="52">
        <v>25000</v>
      </c>
      <c r="K34" s="79">
        <f t="shared" si="0"/>
        <v>24428.571428571428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12000</v>
      </c>
      <c r="H57" s="8">
        <v>13000</v>
      </c>
      <c r="I57" s="8">
        <v>14000</v>
      </c>
      <c r="J57" s="52" t="s">
        <v>97</v>
      </c>
      <c r="K57" s="79">
        <f t="shared" si="0"/>
        <v>13666.666666666666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20000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22142.857142857141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28000</v>
      </c>
      <c r="E60" s="8">
        <v>30000</v>
      </c>
      <c r="F60" s="8">
        <v>28000</v>
      </c>
      <c r="G60" s="8">
        <v>30000</v>
      </c>
      <c r="H60" s="8">
        <v>26000</v>
      </c>
      <c r="I60" s="8">
        <v>28000</v>
      </c>
      <c r="J60" s="52">
        <v>28000</v>
      </c>
      <c r="K60" s="79">
        <f t="shared" si="0"/>
        <v>28285.714285714286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30000</v>
      </c>
      <c r="E64" s="8">
        <v>30000</v>
      </c>
      <c r="F64" s="8">
        <v>32000</v>
      </c>
      <c r="G64" s="8">
        <v>35000</v>
      </c>
      <c r="H64" s="8">
        <v>32000</v>
      </c>
      <c r="I64" s="8">
        <v>25000</v>
      </c>
      <c r="J64" s="52">
        <v>30000</v>
      </c>
      <c r="K64" s="79">
        <f t="shared" si="0"/>
        <v>30571.428571428572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50000</v>
      </c>
      <c r="E65" s="8">
        <v>35000</v>
      </c>
      <c r="F65" s="8">
        <v>49000</v>
      </c>
      <c r="G65" s="8">
        <v>36000</v>
      </c>
      <c r="H65" s="8">
        <v>32000</v>
      </c>
      <c r="I65" s="7">
        <v>25000</v>
      </c>
      <c r="J65" s="52" t="s">
        <v>97</v>
      </c>
      <c r="K65" s="79">
        <f t="shared" si="0"/>
        <v>37833.333333333336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66000</v>
      </c>
      <c r="E66" s="8">
        <v>60000</v>
      </c>
      <c r="F66" s="8">
        <v>63000</v>
      </c>
      <c r="G66" s="8">
        <v>65000</v>
      </c>
      <c r="H66" s="8">
        <v>65000</v>
      </c>
      <c r="I66" s="8">
        <v>55000</v>
      </c>
      <c r="J66" s="52">
        <v>70000</v>
      </c>
      <c r="K66" s="79">
        <f t="shared" si="0"/>
        <v>63428.571428571428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35000</v>
      </c>
      <c r="J70" s="52">
        <v>38000</v>
      </c>
      <c r="K70" s="79">
        <f t="shared" si="0"/>
        <v>34571.428571428572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33000</v>
      </c>
      <c r="J71" s="52">
        <v>35000</v>
      </c>
      <c r="K71" s="79">
        <f t="shared" si="0"/>
        <v>32285.714285714286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18000</v>
      </c>
      <c r="E72" s="8">
        <v>20000</v>
      </c>
      <c r="F72" s="8">
        <v>20000</v>
      </c>
      <c r="G72" s="8">
        <v>20000</v>
      </c>
      <c r="H72" s="8">
        <v>20000</v>
      </c>
      <c r="I72" s="8">
        <v>22000</v>
      </c>
      <c r="J72" s="52">
        <v>20000</v>
      </c>
      <c r="K72" s="79">
        <f t="shared" si="0"/>
        <v>20000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27000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14000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15000</v>
      </c>
      <c r="K79" s="79">
        <f t="shared" si="0"/>
        <v>13000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16000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15142.857142857143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13000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12285.714285714286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1500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1500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2"/>
  <sheetViews>
    <sheetView zoomScale="40" zoomScaleNormal="4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132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14000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14142.857142857143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14500</v>
      </c>
      <c r="F14" s="8">
        <v>14500</v>
      </c>
      <c r="G14" s="8">
        <v>16000</v>
      </c>
      <c r="H14" s="8">
        <v>15000</v>
      </c>
      <c r="I14" s="8">
        <v>13500</v>
      </c>
      <c r="J14" s="52">
        <v>16000</v>
      </c>
      <c r="K14" s="79">
        <f t="shared" si="0"/>
        <v>15071.428571428571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16000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33000</v>
      </c>
      <c r="G25" s="8">
        <v>33000</v>
      </c>
      <c r="H25" s="52">
        <v>34500</v>
      </c>
      <c r="I25" s="8">
        <v>34000</v>
      </c>
      <c r="J25" s="52">
        <v>34000</v>
      </c>
      <c r="K25" s="79">
        <f t="shared" si="0"/>
        <v>33642.857142857145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35000</v>
      </c>
      <c r="K27" s="79">
        <f t="shared" si="0"/>
        <v>35166.666666666664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27285.714285714286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75000</v>
      </c>
      <c r="G29" s="7">
        <v>70000</v>
      </c>
      <c r="H29" s="8">
        <v>68000</v>
      </c>
      <c r="I29" s="8">
        <v>68000</v>
      </c>
      <c r="J29" s="55">
        <v>65000</v>
      </c>
      <c r="K29" s="79">
        <f t="shared" si="0"/>
        <v>66571.428571428565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36000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25000</v>
      </c>
      <c r="E34" s="8">
        <v>24000</v>
      </c>
      <c r="F34" s="8">
        <v>25000</v>
      </c>
      <c r="G34" s="8">
        <v>24000</v>
      </c>
      <c r="H34" s="8">
        <v>24000</v>
      </c>
      <c r="I34" s="8">
        <v>25000</v>
      </c>
      <c r="J34" s="52">
        <v>25000</v>
      </c>
      <c r="K34" s="79">
        <f t="shared" si="0"/>
        <v>24571.428571428572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9000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10357.142857142857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14000</v>
      </c>
      <c r="J57" s="52" t="s">
        <v>97</v>
      </c>
      <c r="K57" s="79">
        <f t="shared" si="0"/>
        <v>13833.333333333334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38000</v>
      </c>
      <c r="E64" s="8">
        <v>35000</v>
      </c>
      <c r="F64" s="8">
        <v>32000</v>
      </c>
      <c r="G64" s="8">
        <v>40000</v>
      </c>
      <c r="H64" s="8">
        <v>35000</v>
      </c>
      <c r="I64" s="8">
        <v>25000</v>
      </c>
      <c r="J64" s="52">
        <v>45000</v>
      </c>
      <c r="K64" s="79">
        <f t="shared" si="0"/>
        <v>35714.285714285717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60000</v>
      </c>
      <c r="E65" s="8">
        <v>40000</v>
      </c>
      <c r="F65" s="8">
        <v>52000</v>
      </c>
      <c r="G65" s="8">
        <v>45000</v>
      </c>
      <c r="H65" s="8">
        <v>35000</v>
      </c>
      <c r="I65" s="7">
        <v>25000</v>
      </c>
      <c r="J65" s="52" t="s">
        <v>97</v>
      </c>
      <c r="K65" s="79">
        <f t="shared" si="0"/>
        <v>42833.333333333336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70000</v>
      </c>
      <c r="E66" s="8">
        <v>65000</v>
      </c>
      <c r="F66" s="8">
        <v>70000</v>
      </c>
      <c r="G66" s="8">
        <v>70000</v>
      </c>
      <c r="H66" s="8">
        <v>75000</v>
      </c>
      <c r="I66" s="8">
        <v>55000</v>
      </c>
      <c r="J66" s="52">
        <v>80000</v>
      </c>
      <c r="K66" s="79">
        <f t="shared" si="0"/>
        <v>69285.71428571429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35000</v>
      </c>
      <c r="J70" s="52">
        <v>38000</v>
      </c>
      <c r="K70" s="79">
        <f t="shared" si="0"/>
        <v>34571.428571428572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33000</v>
      </c>
      <c r="J71" s="52">
        <v>35000</v>
      </c>
      <c r="K71" s="79">
        <f t="shared" si="0"/>
        <v>32285.714285714286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20000</v>
      </c>
      <c r="E72" s="8">
        <v>20000</v>
      </c>
      <c r="F72" s="8">
        <v>20000</v>
      </c>
      <c r="G72" s="8">
        <v>20000</v>
      </c>
      <c r="H72" s="8">
        <v>23000</v>
      </c>
      <c r="I72" s="8">
        <v>22000</v>
      </c>
      <c r="J72" s="52">
        <v>20000</v>
      </c>
      <c r="K72" s="79">
        <f t="shared" si="0"/>
        <v>20714.285714285714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27000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27333.333333333332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16000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15142.857142857143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14000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14142.857142857143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14500</v>
      </c>
      <c r="F14" s="8">
        <v>14500</v>
      </c>
      <c r="G14" s="8">
        <v>16000</v>
      </c>
      <c r="H14" s="8">
        <v>15000</v>
      </c>
      <c r="I14" s="8">
        <v>15000</v>
      </c>
      <c r="J14" s="52">
        <v>16000</v>
      </c>
      <c r="K14" s="79">
        <f t="shared" si="0"/>
        <v>15285.714285714286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16000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33000</v>
      </c>
      <c r="G25" s="8">
        <v>33000</v>
      </c>
      <c r="H25" s="52">
        <v>34500</v>
      </c>
      <c r="I25" s="8">
        <v>34000</v>
      </c>
      <c r="J25" s="52">
        <v>34000</v>
      </c>
      <c r="K25" s="79">
        <f t="shared" si="0"/>
        <v>33642.857142857145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35000</v>
      </c>
      <c r="K27" s="79">
        <f t="shared" si="0"/>
        <v>35166.666666666664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27285.714285714286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75000</v>
      </c>
      <c r="G29" s="7">
        <v>70000</v>
      </c>
      <c r="H29" s="8">
        <v>68000</v>
      </c>
      <c r="I29" s="8">
        <v>68000</v>
      </c>
      <c r="J29" s="55">
        <v>65000</v>
      </c>
      <c r="K29" s="79">
        <f t="shared" si="0"/>
        <v>66571.428571428565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36000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25000</v>
      </c>
      <c r="E34" s="8">
        <v>24000</v>
      </c>
      <c r="F34" s="8">
        <v>25000</v>
      </c>
      <c r="G34" s="8">
        <v>24000</v>
      </c>
      <c r="H34" s="8">
        <v>24000</v>
      </c>
      <c r="I34" s="8">
        <v>25000</v>
      </c>
      <c r="J34" s="52">
        <v>25000</v>
      </c>
      <c r="K34" s="79">
        <f t="shared" si="0"/>
        <v>24571.428571428572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9000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10357.142857142857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14000</v>
      </c>
      <c r="J57" s="52" t="s">
        <v>97</v>
      </c>
      <c r="K57" s="79">
        <f t="shared" si="0"/>
        <v>13833.333333333334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38000</v>
      </c>
      <c r="E64" s="8">
        <v>35000</v>
      </c>
      <c r="F64" s="8">
        <v>35000</v>
      </c>
      <c r="G64" s="8">
        <v>40000</v>
      </c>
      <c r="H64" s="8">
        <v>35000</v>
      </c>
      <c r="I64" s="8">
        <v>25000</v>
      </c>
      <c r="J64" s="52">
        <v>45000</v>
      </c>
      <c r="K64" s="79">
        <f t="shared" si="0"/>
        <v>36142.857142857145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60000</v>
      </c>
      <c r="E65" s="8">
        <v>45000</v>
      </c>
      <c r="F65" s="8">
        <v>52000</v>
      </c>
      <c r="G65" s="8">
        <v>45000</v>
      </c>
      <c r="H65" s="8">
        <v>35000</v>
      </c>
      <c r="I65" s="7">
        <v>25000</v>
      </c>
      <c r="J65" s="52" t="s">
        <v>97</v>
      </c>
      <c r="K65" s="79">
        <f t="shared" si="0"/>
        <v>43666.666666666664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70000</v>
      </c>
      <c r="E66" s="8">
        <v>65000</v>
      </c>
      <c r="F66" s="8">
        <v>70000</v>
      </c>
      <c r="G66" s="8">
        <v>70000</v>
      </c>
      <c r="H66" s="8">
        <v>75000</v>
      </c>
      <c r="I66" s="8">
        <v>70000</v>
      </c>
      <c r="J66" s="52">
        <v>80000</v>
      </c>
      <c r="K66" s="79">
        <f t="shared" si="0"/>
        <v>71428.571428571435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35000</v>
      </c>
      <c r="J70" s="52">
        <v>38000</v>
      </c>
      <c r="K70" s="79">
        <f t="shared" si="0"/>
        <v>34571.428571428572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33000</v>
      </c>
      <c r="J71" s="52">
        <v>35000</v>
      </c>
      <c r="K71" s="79">
        <f t="shared" si="0"/>
        <v>32285.714285714286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20000</v>
      </c>
      <c r="E72" s="8">
        <v>20000</v>
      </c>
      <c r="F72" s="8">
        <v>20000</v>
      </c>
      <c r="G72" s="8">
        <v>20000</v>
      </c>
      <c r="H72" s="8">
        <v>23000</v>
      </c>
      <c r="I72" s="8">
        <v>22000</v>
      </c>
      <c r="J72" s="52">
        <v>20000</v>
      </c>
      <c r="K72" s="79">
        <f t="shared" si="0"/>
        <v>20714.285714285714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27000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27333.333333333332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16000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15142.857142857143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134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14000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14142.857142857143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14500</v>
      </c>
      <c r="F14" s="8">
        <v>14500</v>
      </c>
      <c r="G14" s="8">
        <v>15000</v>
      </c>
      <c r="H14" s="8">
        <v>15000</v>
      </c>
      <c r="I14" s="8">
        <v>15000</v>
      </c>
      <c r="J14" s="52">
        <v>16000</v>
      </c>
      <c r="K14" s="79">
        <f t="shared" si="0"/>
        <v>15142.857142857143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16000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33000</v>
      </c>
      <c r="G25" s="8">
        <v>33000</v>
      </c>
      <c r="H25" s="52">
        <v>34500</v>
      </c>
      <c r="I25" s="8">
        <v>34000</v>
      </c>
      <c r="J25" s="52">
        <v>34000</v>
      </c>
      <c r="K25" s="79">
        <f t="shared" si="0"/>
        <v>33642.857142857145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35000</v>
      </c>
      <c r="K27" s="79">
        <f t="shared" si="0"/>
        <v>35166.666666666664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30000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27285.714285714286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75000</v>
      </c>
      <c r="G29" s="7">
        <v>70000</v>
      </c>
      <c r="H29" s="8">
        <v>68000</v>
      </c>
      <c r="I29" s="8">
        <v>68000</v>
      </c>
      <c r="J29" s="55">
        <v>65000</v>
      </c>
      <c r="K29" s="79">
        <f t="shared" si="0"/>
        <v>66571.428571428565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40000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36000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25000</v>
      </c>
      <c r="E34" s="8">
        <v>24000</v>
      </c>
      <c r="F34" s="8">
        <v>25000</v>
      </c>
      <c r="G34" s="8">
        <v>24000</v>
      </c>
      <c r="H34" s="8">
        <v>24000</v>
      </c>
      <c r="I34" s="8">
        <v>25000</v>
      </c>
      <c r="J34" s="52">
        <v>25000</v>
      </c>
      <c r="K34" s="79">
        <f t="shared" si="0"/>
        <v>24571.428571428572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9000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10357.142857142857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14000</v>
      </c>
      <c r="J57" s="52" t="s">
        <v>97</v>
      </c>
      <c r="K57" s="79">
        <f t="shared" si="0"/>
        <v>13833.333333333334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38000</v>
      </c>
      <c r="E64" s="8">
        <v>35000</v>
      </c>
      <c r="F64" s="8">
        <v>34000</v>
      </c>
      <c r="G64" s="8">
        <v>35000</v>
      </c>
      <c r="H64" s="8">
        <v>35000</v>
      </c>
      <c r="I64" s="8">
        <v>25000</v>
      </c>
      <c r="J64" s="52">
        <v>45000</v>
      </c>
      <c r="K64" s="79">
        <f t="shared" si="0"/>
        <v>35285.714285714283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60000</v>
      </c>
      <c r="E65" s="8">
        <v>45000</v>
      </c>
      <c r="F65" s="8">
        <v>50000</v>
      </c>
      <c r="G65" s="8">
        <v>45000</v>
      </c>
      <c r="H65" s="8">
        <v>35000</v>
      </c>
      <c r="I65" s="7">
        <v>25000</v>
      </c>
      <c r="J65" s="52" t="s">
        <v>97</v>
      </c>
      <c r="K65" s="79">
        <f t="shared" si="0"/>
        <v>43333.333333333336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70000</v>
      </c>
      <c r="E66" s="8">
        <v>60000</v>
      </c>
      <c r="F66" s="8">
        <v>60000</v>
      </c>
      <c r="G66" s="8">
        <v>60000</v>
      </c>
      <c r="H66" s="8">
        <v>75000</v>
      </c>
      <c r="I66" s="8">
        <v>70000</v>
      </c>
      <c r="J66" s="52">
        <v>80000</v>
      </c>
      <c r="K66" s="79">
        <f t="shared" si="0"/>
        <v>67857.142857142855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35000</v>
      </c>
      <c r="J70" s="52">
        <v>38000</v>
      </c>
      <c r="K70" s="79">
        <f t="shared" si="0"/>
        <v>34571.428571428572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33000</v>
      </c>
      <c r="J71" s="52">
        <v>35000</v>
      </c>
      <c r="K71" s="79">
        <f t="shared" si="0"/>
        <v>32285.714285714286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20000</v>
      </c>
      <c r="E72" s="8">
        <v>20000</v>
      </c>
      <c r="F72" s="8">
        <v>20000</v>
      </c>
      <c r="G72" s="8">
        <v>20000</v>
      </c>
      <c r="H72" s="8">
        <v>23000</v>
      </c>
      <c r="I72" s="8">
        <v>22000</v>
      </c>
      <c r="J72" s="52">
        <v>20000</v>
      </c>
      <c r="K72" s="79">
        <f t="shared" si="0"/>
        <v>20714.285714285714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27000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27333.333333333332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16000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15142.857142857143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14000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14142.857142857143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15000</v>
      </c>
      <c r="G14" s="8">
        <v>15000</v>
      </c>
      <c r="H14" s="8">
        <v>15000</v>
      </c>
      <c r="I14" s="8">
        <v>15000</v>
      </c>
      <c r="J14" s="52">
        <v>16000</v>
      </c>
      <c r="K14" s="79">
        <f t="shared" si="0"/>
        <v>15285.714285714286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16000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32000</v>
      </c>
      <c r="F25" s="8">
        <v>33000</v>
      </c>
      <c r="G25" s="8">
        <v>33000</v>
      </c>
      <c r="H25" s="52">
        <v>34500</v>
      </c>
      <c r="I25" s="8">
        <v>34000</v>
      </c>
      <c r="J25" s="52">
        <v>34000</v>
      </c>
      <c r="K25" s="79">
        <f t="shared" si="0"/>
        <v>33500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30000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28000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75000</v>
      </c>
      <c r="G29" s="7">
        <v>70000</v>
      </c>
      <c r="H29" s="8">
        <v>68000</v>
      </c>
      <c r="I29" s="8">
        <v>68000</v>
      </c>
      <c r="J29" s="55">
        <v>70000</v>
      </c>
      <c r="K29" s="79">
        <f t="shared" si="0"/>
        <v>67285.71428571429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40000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36714.285714285717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25571.428571428572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9000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10357.142857142857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14000</v>
      </c>
      <c r="J57" s="52" t="s">
        <v>97</v>
      </c>
      <c r="K57" s="79">
        <f t="shared" si="0"/>
        <v>13833.333333333334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50000</v>
      </c>
      <c r="E64" s="8">
        <v>40000</v>
      </c>
      <c r="F64" s="8">
        <v>45000</v>
      </c>
      <c r="G64" s="8">
        <v>50000</v>
      </c>
      <c r="H64" s="8">
        <v>50000</v>
      </c>
      <c r="I64" s="8">
        <v>25000</v>
      </c>
      <c r="J64" s="52">
        <v>50000</v>
      </c>
      <c r="K64" s="79">
        <f t="shared" si="0"/>
        <v>44285.714285714283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60000</v>
      </c>
      <c r="E65" s="8">
        <v>50000</v>
      </c>
      <c r="F65" s="8">
        <v>55000</v>
      </c>
      <c r="G65" s="8">
        <v>60000</v>
      </c>
      <c r="H65" s="8">
        <v>50000</v>
      </c>
      <c r="I65" s="7">
        <v>25000</v>
      </c>
      <c r="J65" s="52" t="s">
        <v>97</v>
      </c>
      <c r="K65" s="79">
        <f t="shared" si="0"/>
        <v>50000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60000</v>
      </c>
      <c r="E66" s="8">
        <v>50000</v>
      </c>
      <c r="F66" s="8">
        <v>50000</v>
      </c>
      <c r="G66" s="8">
        <v>70000</v>
      </c>
      <c r="H66" s="8">
        <v>60000</v>
      </c>
      <c r="I66" s="8">
        <v>70000</v>
      </c>
      <c r="J66" s="52">
        <v>75000</v>
      </c>
      <c r="K66" s="79">
        <f t="shared" si="0"/>
        <v>62142.857142857145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35000</v>
      </c>
      <c r="J70" s="52">
        <v>38000</v>
      </c>
      <c r="K70" s="79">
        <f t="shared" si="0"/>
        <v>34714.285714285717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29000</v>
      </c>
      <c r="I71" s="8">
        <v>33000</v>
      </c>
      <c r="J71" s="52">
        <v>35000</v>
      </c>
      <c r="K71" s="79">
        <f t="shared" si="0"/>
        <v>32142.857142857141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20000</v>
      </c>
      <c r="G72" s="8">
        <v>25000</v>
      </c>
      <c r="H72" s="8">
        <v>22000</v>
      </c>
      <c r="I72" s="8">
        <v>22000</v>
      </c>
      <c r="J72" s="52">
        <v>25000</v>
      </c>
      <c r="K72" s="79">
        <f t="shared" si="0"/>
        <v>22714.285714285714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27000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27333.333333333332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16000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15142.857142857143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2"/>
  <sheetViews>
    <sheetView zoomScale="70" zoomScaleNormal="70" workbookViewId="0">
      <selection activeCell="H9" sqref="H9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136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14000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14142.857142857143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16000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17400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14500</v>
      </c>
      <c r="G14" s="8">
        <v>15000</v>
      </c>
      <c r="H14" s="8">
        <v>15000</v>
      </c>
      <c r="I14" s="8">
        <v>15000</v>
      </c>
      <c r="J14" s="52">
        <v>16000</v>
      </c>
      <c r="K14" s="79">
        <f t="shared" si="0"/>
        <v>15214.285714285714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16000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32000</v>
      </c>
      <c r="F25" s="8">
        <v>34000</v>
      </c>
      <c r="G25" s="8">
        <v>34000</v>
      </c>
      <c r="H25" s="52">
        <v>35000</v>
      </c>
      <c r="I25" s="8">
        <v>34000</v>
      </c>
      <c r="J25" s="52">
        <v>34000</v>
      </c>
      <c r="K25" s="79">
        <f t="shared" si="0"/>
        <v>33857.142857142855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28285.714285714286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68000</v>
      </c>
      <c r="J29" s="55">
        <v>70000</v>
      </c>
      <c r="K29" s="79">
        <f t="shared" si="0"/>
        <v>65857.142857142855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37000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25000</v>
      </c>
      <c r="E34" s="8">
        <v>25000</v>
      </c>
      <c r="F34" s="8">
        <v>25000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25428.571428571428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14000</v>
      </c>
      <c r="J57" s="52" t="s">
        <v>97</v>
      </c>
      <c r="K57" s="79">
        <f t="shared" si="0"/>
        <v>13833.333333333334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50000</v>
      </c>
      <c r="E64" s="8">
        <v>40000</v>
      </c>
      <c r="F64" s="8">
        <v>48000</v>
      </c>
      <c r="G64" s="8">
        <v>50000</v>
      </c>
      <c r="H64" s="8">
        <v>60000</v>
      </c>
      <c r="I64" s="8">
        <v>25000</v>
      </c>
      <c r="J64" s="52">
        <v>40000</v>
      </c>
      <c r="K64" s="79">
        <f t="shared" si="0"/>
        <v>44714.285714285717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60000</v>
      </c>
      <c r="E65" s="8">
        <v>50000</v>
      </c>
      <c r="F65" s="8">
        <v>57000</v>
      </c>
      <c r="G65" s="8">
        <v>60000</v>
      </c>
      <c r="H65" s="8">
        <v>60000</v>
      </c>
      <c r="I65" s="7">
        <v>25000</v>
      </c>
      <c r="J65" s="52" t="s">
        <v>97</v>
      </c>
      <c r="K65" s="79">
        <f t="shared" si="0"/>
        <v>52000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60000</v>
      </c>
      <c r="E66" s="8">
        <v>50000</v>
      </c>
      <c r="F66" s="8">
        <v>65000</v>
      </c>
      <c r="G66" s="8">
        <v>70000</v>
      </c>
      <c r="H66" s="8">
        <v>65000</v>
      </c>
      <c r="I66" s="8">
        <v>70000</v>
      </c>
      <c r="J66" s="52">
        <v>65000</v>
      </c>
      <c r="K66" s="79">
        <f t="shared" si="0"/>
        <v>63571.428571428572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36000</v>
      </c>
      <c r="G70" s="8">
        <v>35000</v>
      </c>
      <c r="H70" s="8">
        <v>32000</v>
      </c>
      <c r="I70" s="8">
        <v>35000</v>
      </c>
      <c r="J70" s="52">
        <v>37000</v>
      </c>
      <c r="K70" s="79">
        <f t="shared" si="0"/>
        <v>34714.285714285717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28000</v>
      </c>
      <c r="I71" s="8">
        <v>33000</v>
      </c>
      <c r="J71" s="52">
        <v>35000</v>
      </c>
      <c r="K71" s="79">
        <f t="shared" si="0"/>
        <v>32000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24000</v>
      </c>
      <c r="G72" s="8">
        <v>25000</v>
      </c>
      <c r="H72" s="8">
        <v>22000</v>
      </c>
      <c r="I72" s="8">
        <v>22000</v>
      </c>
      <c r="J72" s="52">
        <v>25000</v>
      </c>
      <c r="K72" s="79">
        <f t="shared" si="0"/>
        <v>23285.714285714286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27000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27333.333333333332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15000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2"/>
  <sheetViews>
    <sheetView topLeftCell="A52"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137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14000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14142.857142857143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 t="s">
        <v>97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17750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14500</v>
      </c>
      <c r="G14" s="8">
        <v>15000</v>
      </c>
      <c r="H14" s="8">
        <v>15000</v>
      </c>
      <c r="I14" s="8">
        <v>15000</v>
      </c>
      <c r="J14" s="52">
        <v>16000</v>
      </c>
      <c r="K14" s="79">
        <f t="shared" si="0"/>
        <v>15214.285714285714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16000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34000</v>
      </c>
      <c r="F25" s="8">
        <v>33000</v>
      </c>
      <c r="G25" s="8">
        <v>34000</v>
      </c>
      <c r="H25" s="52">
        <v>35000</v>
      </c>
      <c r="I25" s="8">
        <v>34000</v>
      </c>
      <c r="J25" s="52">
        <v>34000</v>
      </c>
      <c r="K25" s="79">
        <f t="shared" si="0"/>
        <v>34000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28285.714285714286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68000</v>
      </c>
      <c r="J29" s="55">
        <v>70000</v>
      </c>
      <c r="K29" s="79">
        <f t="shared" si="0"/>
        <v>65857.142857142855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37000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25571.428571428572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14000</v>
      </c>
      <c r="J57" s="52" t="s">
        <v>97</v>
      </c>
      <c r="K57" s="79">
        <f t="shared" si="0"/>
        <v>13833.333333333334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52000</v>
      </c>
      <c r="E64" s="8">
        <v>50000</v>
      </c>
      <c r="F64" s="8">
        <v>48000</v>
      </c>
      <c r="G64" s="8">
        <v>50000</v>
      </c>
      <c r="H64" s="8">
        <v>50000</v>
      </c>
      <c r="I64" s="8">
        <v>25000</v>
      </c>
      <c r="J64" s="52">
        <v>40000</v>
      </c>
      <c r="K64" s="79">
        <f t="shared" si="0"/>
        <v>45000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65000</v>
      </c>
      <c r="E65" s="8">
        <v>55000</v>
      </c>
      <c r="F65" s="8">
        <v>57000</v>
      </c>
      <c r="G65" s="8">
        <v>55000</v>
      </c>
      <c r="H65" s="8">
        <v>50000</v>
      </c>
      <c r="I65" s="7">
        <v>25000</v>
      </c>
      <c r="J65" s="52" t="s">
        <v>97</v>
      </c>
      <c r="K65" s="79">
        <f t="shared" si="0"/>
        <v>51166.666666666664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62000</v>
      </c>
      <c r="E66" s="8">
        <v>65000</v>
      </c>
      <c r="F66" s="8">
        <v>69000</v>
      </c>
      <c r="G66" s="8">
        <v>65000</v>
      </c>
      <c r="H66" s="8">
        <v>75000</v>
      </c>
      <c r="I66" s="8">
        <v>70000</v>
      </c>
      <c r="J66" s="52">
        <v>65000</v>
      </c>
      <c r="K66" s="79">
        <f t="shared" si="0"/>
        <v>67285.71428571429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32000</v>
      </c>
      <c r="I70" s="8">
        <v>35000</v>
      </c>
      <c r="J70" s="52">
        <v>37000</v>
      </c>
      <c r="K70" s="79">
        <f t="shared" si="0"/>
        <v>34428.571428571428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28000</v>
      </c>
      <c r="I71" s="8">
        <v>33000</v>
      </c>
      <c r="J71" s="52">
        <v>35000</v>
      </c>
      <c r="K71" s="79">
        <f t="shared" si="0"/>
        <v>32000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24000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23714.285714285714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27000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27333.333333333332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15000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138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13700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14100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11000</v>
      </c>
      <c r="J9" s="11" t="s">
        <v>97</v>
      </c>
      <c r="K9" s="79">
        <f t="shared" ref="K9:K80" si="0">AVERAGE(D9:J9)</f>
        <v>10916.666666666666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 t="s">
        <v>97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17750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14500</v>
      </c>
      <c r="G14" s="8">
        <v>15000</v>
      </c>
      <c r="H14" s="8">
        <v>15000</v>
      </c>
      <c r="I14" s="8">
        <v>15000</v>
      </c>
      <c r="J14" s="52">
        <v>16000</v>
      </c>
      <c r="K14" s="79">
        <f t="shared" si="0"/>
        <v>15214.285714285714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15000</v>
      </c>
      <c r="J17" s="52">
        <v>15000</v>
      </c>
      <c r="K17" s="79">
        <f t="shared" si="0"/>
        <v>15000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115000</v>
      </c>
      <c r="J23" s="52">
        <v>110000</v>
      </c>
      <c r="K23" s="79">
        <f t="shared" si="0"/>
        <v>111428.57142857143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33000</v>
      </c>
      <c r="G25" s="8">
        <v>34000</v>
      </c>
      <c r="H25" s="52">
        <v>35000</v>
      </c>
      <c r="I25" s="8">
        <v>34000</v>
      </c>
      <c r="J25" s="52">
        <v>35000</v>
      </c>
      <c r="K25" s="79">
        <f t="shared" si="0"/>
        <v>34000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>
        <v>35000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30000</v>
      </c>
      <c r="J28" s="54">
        <v>25000</v>
      </c>
      <c r="K28" s="79">
        <f t="shared" si="0"/>
        <v>28285.714285714286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68000</v>
      </c>
      <c r="J29" s="55">
        <v>70000</v>
      </c>
      <c r="K29" s="79">
        <f t="shared" si="0"/>
        <v>65857.142857142855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>
        <v>24000</v>
      </c>
      <c r="J30" s="55">
        <v>26000</v>
      </c>
      <c r="K30" s="79">
        <f t="shared" si="0"/>
        <v>24600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28000</v>
      </c>
      <c r="I31" s="8">
        <v>38000</v>
      </c>
      <c r="J31" s="52">
        <v>40000</v>
      </c>
      <c r="K31" s="79">
        <f t="shared" si="0"/>
        <v>37000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25000</v>
      </c>
      <c r="E34" s="8">
        <v>25000</v>
      </c>
      <c r="F34" s="8">
        <v>26000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25571.428571428572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7000</v>
      </c>
      <c r="J37" s="52">
        <v>9000</v>
      </c>
      <c r="K37" s="79">
        <f t="shared" si="0"/>
        <v>8750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15000</v>
      </c>
      <c r="J38" s="52">
        <v>12000</v>
      </c>
      <c r="K38" s="79">
        <f>AVERAGE(D38:J38)</f>
        <v>12600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7000</v>
      </c>
      <c r="J40" s="52">
        <v>15000</v>
      </c>
      <c r="K40" s="79">
        <f t="shared" si="0"/>
        <v>13000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14000</v>
      </c>
      <c r="J57" s="52" t="s">
        <v>97</v>
      </c>
      <c r="K57" s="79">
        <f t="shared" si="0"/>
        <v>13833.333333333334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 t="s">
        <v>97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3500</v>
      </c>
      <c r="J62" s="52">
        <v>3500</v>
      </c>
      <c r="K62" s="79">
        <f t="shared" si="0"/>
        <v>3200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52000</v>
      </c>
      <c r="E64" s="8">
        <v>45000</v>
      </c>
      <c r="F64" s="8">
        <v>45000</v>
      </c>
      <c r="G64" s="8">
        <v>50000</v>
      </c>
      <c r="H64" s="8">
        <v>50000</v>
      </c>
      <c r="I64" s="8">
        <v>25000</v>
      </c>
      <c r="J64" s="52">
        <v>50000</v>
      </c>
      <c r="K64" s="79">
        <f t="shared" si="0"/>
        <v>45285.714285714283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65000</v>
      </c>
      <c r="E65" s="8">
        <v>55000</v>
      </c>
      <c r="F65" s="8">
        <v>50000</v>
      </c>
      <c r="G65" s="8">
        <v>55000</v>
      </c>
      <c r="H65" s="8">
        <v>50000</v>
      </c>
      <c r="I65" s="7">
        <v>25000</v>
      </c>
      <c r="J65" s="52" t="s">
        <v>97</v>
      </c>
      <c r="K65" s="79">
        <f t="shared" si="0"/>
        <v>50000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62000</v>
      </c>
      <c r="E66" s="8">
        <v>65000</v>
      </c>
      <c r="F66" s="8">
        <v>67000</v>
      </c>
      <c r="G66" s="8">
        <v>65000</v>
      </c>
      <c r="H66" s="8">
        <v>70000</v>
      </c>
      <c r="I66" s="8">
        <v>70000</v>
      </c>
      <c r="J66" s="52">
        <v>70000</v>
      </c>
      <c r="K66" s="79">
        <f t="shared" si="0"/>
        <v>67000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32000</v>
      </c>
      <c r="I70" s="8">
        <v>35000</v>
      </c>
      <c r="J70" s="52">
        <v>35000</v>
      </c>
      <c r="K70" s="79">
        <f t="shared" si="0"/>
        <v>34142.857142857145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28000</v>
      </c>
      <c r="I71" s="8">
        <v>33000</v>
      </c>
      <c r="J71" s="52">
        <v>32000</v>
      </c>
      <c r="K71" s="79">
        <f t="shared" si="0"/>
        <v>31571.428571428572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23142.857142857141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27000</v>
      </c>
      <c r="J73" s="52" t="s">
        <v>97</v>
      </c>
      <c r="K73" s="79">
        <f t="shared" si="0"/>
        <v>27000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6000</v>
      </c>
      <c r="J78" s="52" t="s">
        <v>97</v>
      </c>
      <c r="K78" s="79">
        <f t="shared" si="0"/>
        <v>7666.666666666667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16000</v>
      </c>
      <c r="J80" s="52">
        <v>15000</v>
      </c>
      <c r="K80" s="79">
        <f t="shared" si="0"/>
        <v>15000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9000</v>
      </c>
      <c r="J81" s="52">
        <v>5000</v>
      </c>
      <c r="K81" s="79">
        <f t="shared" ref="K81:K88" si="1">AVERAGE(D81:J81)</f>
        <v>7142.8571428571431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139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13800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14114.285714285714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 t="s">
        <v>97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17750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15000</v>
      </c>
      <c r="G14" s="8">
        <v>15000</v>
      </c>
      <c r="H14" s="8">
        <v>15000</v>
      </c>
      <c r="I14" s="8">
        <v>14000</v>
      </c>
      <c r="J14" s="52">
        <v>16000</v>
      </c>
      <c r="K14" s="79">
        <f t="shared" si="0"/>
        <v>15142.857142857143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34000</v>
      </c>
      <c r="F25" s="8">
        <v>33000</v>
      </c>
      <c r="G25" s="8">
        <v>34000</v>
      </c>
      <c r="H25" s="52">
        <v>35000</v>
      </c>
      <c r="I25" s="8">
        <v>34000</v>
      </c>
      <c r="J25" s="52">
        <v>35000</v>
      </c>
      <c r="K25" s="79">
        <f t="shared" si="0"/>
        <v>34142.857142857145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28000</v>
      </c>
      <c r="I31" s="8">
        <v>42000</v>
      </c>
      <c r="J31" s="52">
        <v>40000</v>
      </c>
      <c r="K31" s="79">
        <f t="shared" si="0"/>
        <v>37571.428571428572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26000</v>
      </c>
      <c r="F34" s="8">
        <v>26000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26000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2657.1428571428573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>
        <v>6000</v>
      </c>
      <c r="J40" s="52">
        <v>15000</v>
      </c>
      <c r="K40" s="79">
        <f t="shared" si="0"/>
        <v>12750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 t="s">
        <v>97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2500</v>
      </c>
      <c r="J53" s="52">
        <v>2500</v>
      </c>
      <c r="K53" s="79">
        <f t="shared" si="0"/>
        <v>4071.4285714285716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56000</v>
      </c>
      <c r="E64" s="8">
        <v>45000</v>
      </c>
      <c r="F64" s="8">
        <v>50000</v>
      </c>
      <c r="G64" s="8">
        <v>45000</v>
      </c>
      <c r="H64" s="8">
        <v>50000</v>
      </c>
      <c r="I64" s="8">
        <v>45000</v>
      </c>
      <c r="J64" s="52">
        <v>50000</v>
      </c>
      <c r="K64" s="79">
        <f t="shared" si="0"/>
        <v>48714.285714285717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65000</v>
      </c>
      <c r="E65" s="8">
        <v>55000</v>
      </c>
      <c r="F65" s="8">
        <v>60000</v>
      </c>
      <c r="G65" s="8">
        <v>50000</v>
      </c>
      <c r="H65" s="8">
        <v>50000</v>
      </c>
      <c r="I65" s="7">
        <v>50000</v>
      </c>
      <c r="J65" s="52" t="s">
        <v>97</v>
      </c>
      <c r="K65" s="79">
        <f t="shared" si="0"/>
        <v>55000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66000</v>
      </c>
      <c r="E66" s="8">
        <v>65000</v>
      </c>
      <c r="F66" s="8">
        <v>67000</v>
      </c>
      <c r="G66" s="8">
        <v>67000</v>
      </c>
      <c r="H66" s="8">
        <v>70000</v>
      </c>
      <c r="I66" s="8">
        <v>80000</v>
      </c>
      <c r="J66" s="52">
        <v>70000</v>
      </c>
      <c r="K66" s="79">
        <f t="shared" si="0"/>
        <v>69285.71428571429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32000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28000</v>
      </c>
      <c r="I71" s="8">
        <v>30000</v>
      </c>
      <c r="J71" s="52">
        <v>32000</v>
      </c>
      <c r="K71" s="79">
        <f t="shared" si="0"/>
        <v>31142.857142857141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23142.857142857141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26666.666666666668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8000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14857.142857142857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140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13800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13971.428571428571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 t="s">
        <v>97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17750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15000</v>
      </c>
      <c r="G14" s="8">
        <v>15000</v>
      </c>
      <c r="H14" s="8">
        <v>15000</v>
      </c>
      <c r="I14" s="8">
        <v>14500</v>
      </c>
      <c r="J14" s="52">
        <v>16000</v>
      </c>
      <c r="K14" s="79">
        <f t="shared" si="0"/>
        <v>15214.285714285714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34000</v>
      </c>
      <c r="F25" s="8">
        <v>33000</v>
      </c>
      <c r="G25" s="8">
        <v>34000</v>
      </c>
      <c r="H25" s="52">
        <v>35000</v>
      </c>
      <c r="I25" s="8">
        <v>34000</v>
      </c>
      <c r="J25" s="52">
        <v>35000</v>
      </c>
      <c r="K25" s="79">
        <f t="shared" si="0"/>
        <v>34142.857142857145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30000</v>
      </c>
      <c r="I31" s="8">
        <v>42000</v>
      </c>
      <c r="J31" s="52">
        <v>40000</v>
      </c>
      <c r="K31" s="79">
        <f t="shared" si="0"/>
        <v>37857.142857142855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26000</v>
      </c>
      <c r="F34" s="8">
        <v>26000</v>
      </c>
      <c r="G34" s="8">
        <v>25000</v>
      </c>
      <c r="H34" s="8">
        <v>25000</v>
      </c>
      <c r="I34" s="8">
        <v>25000</v>
      </c>
      <c r="J34" s="52">
        <v>27000</v>
      </c>
      <c r="K34" s="79">
        <f t="shared" si="0"/>
        <v>25857.142857142859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2657.1428571428573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56000</v>
      </c>
      <c r="E64" s="8">
        <v>45000</v>
      </c>
      <c r="F64" s="8">
        <v>50000</v>
      </c>
      <c r="G64" s="8">
        <v>50000</v>
      </c>
      <c r="H64" s="8">
        <v>50000</v>
      </c>
      <c r="I64" s="8">
        <v>45000</v>
      </c>
      <c r="J64" s="52">
        <v>50000</v>
      </c>
      <c r="K64" s="79">
        <f t="shared" si="0"/>
        <v>49428.571428571428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65000</v>
      </c>
      <c r="E65" s="8">
        <v>55000</v>
      </c>
      <c r="F65" s="8">
        <v>60000</v>
      </c>
      <c r="G65" s="8">
        <v>60000</v>
      </c>
      <c r="H65" s="8">
        <v>50000</v>
      </c>
      <c r="I65" s="7">
        <v>50000</v>
      </c>
      <c r="J65" s="52" t="s">
        <v>97</v>
      </c>
      <c r="K65" s="79">
        <f t="shared" si="0"/>
        <v>56666.666666666664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66000</v>
      </c>
      <c r="E66" s="8">
        <v>65000</v>
      </c>
      <c r="F66" s="8">
        <v>67000</v>
      </c>
      <c r="G66" s="8">
        <v>67000</v>
      </c>
      <c r="H66" s="8">
        <v>55000</v>
      </c>
      <c r="I66" s="8">
        <v>80000</v>
      </c>
      <c r="J66" s="52">
        <v>70000</v>
      </c>
      <c r="K66" s="79">
        <f t="shared" si="0"/>
        <v>67142.857142857145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32000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28000</v>
      </c>
      <c r="I71" s="8">
        <v>30000</v>
      </c>
      <c r="J71" s="52">
        <v>32000</v>
      </c>
      <c r="K71" s="79">
        <f t="shared" si="0"/>
        <v>31142.857142857141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23142.857142857141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26666.666666666668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8000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14857.142857142857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13800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13971.428571428571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 t="s">
        <v>97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17750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15000</v>
      </c>
      <c r="G14" s="8">
        <v>15000</v>
      </c>
      <c r="H14" s="8">
        <v>15000</v>
      </c>
      <c r="I14" s="8">
        <v>14500</v>
      </c>
      <c r="J14" s="52">
        <v>16000</v>
      </c>
      <c r="K14" s="79">
        <f t="shared" si="0"/>
        <v>15214.285714285714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34000</v>
      </c>
      <c r="F25" s="8">
        <v>33000</v>
      </c>
      <c r="G25" s="8">
        <v>34000</v>
      </c>
      <c r="H25" s="52">
        <v>35000</v>
      </c>
      <c r="I25" s="8">
        <v>34000</v>
      </c>
      <c r="J25" s="52">
        <v>35000</v>
      </c>
      <c r="K25" s="79">
        <f t="shared" si="0"/>
        <v>34142.857142857145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28000</v>
      </c>
      <c r="I31" s="8">
        <v>42000</v>
      </c>
      <c r="J31" s="52">
        <v>40000</v>
      </c>
      <c r="K31" s="79">
        <f t="shared" si="0"/>
        <v>37571.428571428572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26000</v>
      </c>
      <c r="F34" s="8">
        <v>27000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26142.857142857141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2657.1428571428573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56000</v>
      </c>
      <c r="E64" s="8">
        <v>45000</v>
      </c>
      <c r="F64" s="8">
        <v>50000</v>
      </c>
      <c r="G64" s="8">
        <v>50000</v>
      </c>
      <c r="H64" s="8">
        <v>50000</v>
      </c>
      <c r="I64" s="8">
        <v>45000</v>
      </c>
      <c r="J64" s="52">
        <v>45000</v>
      </c>
      <c r="K64" s="79">
        <f t="shared" si="0"/>
        <v>48714.285714285717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65000</v>
      </c>
      <c r="E65" s="8">
        <v>55000</v>
      </c>
      <c r="F65" s="8">
        <v>65000</v>
      </c>
      <c r="G65" s="8">
        <v>60000</v>
      </c>
      <c r="H65" s="8">
        <v>50000</v>
      </c>
      <c r="I65" s="7">
        <v>50000</v>
      </c>
      <c r="J65" s="52" t="s">
        <v>97</v>
      </c>
      <c r="K65" s="79">
        <f t="shared" si="0"/>
        <v>57500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66000</v>
      </c>
      <c r="E66" s="8">
        <v>65000</v>
      </c>
      <c r="F66" s="8">
        <v>64000</v>
      </c>
      <c r="G66" s="8">
        <v>65000</v>
      </c>
      <c r="H66" s="8">
        <v>70000</v>
      </c>
      <c r="I66" s="8">
        <v>80000</v>
      </c>
      <c r="J66" s="52">
        <v>60000</v>
      </c>
      <c r="K66" s="79">
        <f t="shared" si="0"/>
        <v>67142.857142857145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32000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28000</v>
      </c>
      <c r="I71" s="8">
        <v>30000</v>
      </c>
      <c r="J71" s="52">
        <v>32000</v>
      </c>
      <c r="K71" s="79">
        <f t="shared" si="0"/>
        <v>31142.857142857141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23142.857142857141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26666.666666666668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8000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14857.142857142857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142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13800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13971.428571428571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 t="s">
        <v>97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17750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16500</v>
      </c>
      <c r="G14" s="8">
        <v>15000</v>
      </c>
      <c r="H14" s="8">
        <v>15000</v>
      </c>
      <c r="I14" s="8">
        <v>14500</v>
      </c>
      <c r="J14" s="52">
        <v>16000</v>
      </c>
      <c r="K14" s="79">
        <f t="shared" si="0"/>
        <v>15428.571428571429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34000</v>
      </c>
      <c r="F25" s="8">
        <v>33000</v>
      </c>
      <c r="G25" s="8">
        <v>34000</v>
      </c>
      <c r="H25" s="52">
        <v>35000</v>
      </c>
      <c r="I25" s="8">
        <v>34000</v>
      </c>
      <c r="J25" s="52">
        <v>35000</v>
      </c>
      <c r="K25" s="79">
        <f t="shared" si="0"/>
        <v>34142.857142857145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28000</v>
      </c>
      <c r="I31" s="8">
        <v>42000</v>
      </c>
      <c r="J31" s="52">
        <v>40000</v>
      </c>
      <c r="K31" s="79">
        <f t="shared" si="0"/>
        <v>37571.428571428572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26000</v>
      </c>
      <c r="E34" s="8">
        <v>26000</v>
      </c>
      <c r="F34" s="8">
        <v>27500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26071.428571428572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2657.1428571428573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52000</v>
      </c>
      <c r="E64" s="8">
        <v>50000</v>
      </c>
      <c r="F64" s="8">
        <v>50000</v>
      </c>
      <c r="G64" s="8">
        <v>50000</v>
      </c>
      <c r="H64" s="8">
        <v>50000</v>
      </c>
      <c r="I64" s="8">
        <v>45000</v>
      </c>
      <c r="J64" s="52">
        <v>50000</v>
      </c>
      <c r="K64" s="79">
        <f t="shared" si="0"/>
        <v>49571.428571428572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58000</v>
      </c>
      <c r="E65" s="8">
        <v>55000</v>
      </c>
      <c r="F65" s="8">
        <v>54000</v>
      </c>
      <c r="G65" s="8">
        <v>60000</v>
      </c>
      <c r="H65" s="8">
        <v>50000</v>
      </c>
      <c r="I65" s="7">
        <v>50000</v>
      </c>
      <c r="J65" s="52" t="s">
        <v>97</v>
      </c>
      <c r="K65" s="79">
        <f t="shared" si="0"/>
        <v>54500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66000</v>
      </c>
      <c r="E66" s="8">
        <v>65000</v>
      </c>
      <c r="F66" s="8">
        <v>69000</v>
      </c>
      <c r="G66" s="8">
        <v>67000</v>
      </c>
      <c r="H66" s="8">
        <v>75000</v>
      </c>
      <c r="I66" s="8">
        <v>80000</v>
      </c>
      <c r="J66" s="52">
        <v>75000</v>
      </c>
      <c r="K66" s="79">
        <f t="shared" si="0"/>
        <v>71000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35000</v>
      </c>
      <c r="K70" s="79">
        <f t="shared" si="0"/>
        <v>34142.857142857145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23142.857142857141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26666.666666666668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8000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12000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14571.428571428571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14857.142857142857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92"/>
  <sheetViews>
    <sheetView zoomScale="55" zoomScaleNormal="55" workbookViewId="0">
      <selection sqref="A1:K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13800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13971.428571428571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 t="s">
        <v>97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10000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 t="s">
        <v>97</v>
      </c>
      <c r="F12" s="11" t="s">
        <v>97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18000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15500</v>
      </c>
      <c r="G14" s="8">
        <v>15000</v>
      </c>
      <c r="H14" s="8">
        <v>15000</v>
      </c>
      <c r="I14" s="8">
        <v>14500</v>
      </c>
      <c r="J14" s="52">
        <v>16000</v>
      </c>
      <c r="K14" s="79">
        <f t="shared" si="0"/>
        <v>15285.714285714286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90000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99285.71428571429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34000</v>
      </c>
      <c r="F25" s="8">
        <v>33000</v>
      </c>
      <c r="G25" s="8">
        <v>34000</v>
      </c>
      <c r="H25" s="52">
        <v>35000</v>
      </c>
      <c r="I25" s="8">
        <v>34000</v>
      </c>
      <c r="J25" s="52">
        <v>35000</v>
      </c>
      <c r="K25" s="79">
        <f t="shared" si="0"/>
        <v>34142.857142857145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>
        <v>35000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30000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64714.285714285717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2">
        <v>40000</v>
      </c>
      <c r="K31" s="79">
        <f t="shared" si="0"/>
        <v>37285.714285714283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 t="s">
        <v>97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83333.333333333328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26000</v>
      </c>
      <c r="E34" s="8">
        <v>26000</v>
      </c>
      <c r="F34" s="8">
        <v>26000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25857.142857142859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 t="s">
        <v>97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 t="s">
        <v>97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 t="s">
        <v>97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9400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10000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9000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3000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4142.8571428571431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 t="s">
        <v>97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22000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22285.714285714286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30000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28714.285714285714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52000</v>
      </c>
      <c r="E64" s="8">
        <v>50000</v>
      </c>
      <c r="F64" s="8">
        <v>52000</v>
      </c>
      <c r="G64" s="8">
        <v>50000</v>
      </c>
      <c r="H64" s="8">
        <v>50000</v>
      </c>
      <c r="I64" s="8">
        <v>45000</v>
      </c>
      <c r="J64" s="52">
        <v>50000</v>
      </c>
      <c r="K64" s="79">
        <f t="shared" si="0"/>
        <v>49857.142857142855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58000</v>
      </c>
      <c r="E65" s="8">
        <v>55000</v>
      </c>
      <c r="F65" s="8">
        <v>58000</v>
      </c>
      <c r="G65" s="8">
        <v>60000</v>
      </c>
      <c r="H65" s="8">
        <v>50000</v>
      </c>
      <c r="I65" s="7">
        <v>50000</v>
      </c>
      <c r="J65" s="52" t="s">
        <v>97</v>
      </c>
      <c r="K65" s="79">
        <f t="shared" si="0"/>
        <v>55166.666666666664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66000</v>
      </c>
      <c r="E66" s="8">
        <v>65000</v>
      </c>
      <c r="F66" s="8">
        <v>65000</v>
      </c>
      <c r="G66" s="8">
        <v>67000</v>
      </c>
      <c r="H66" s="8">
        <v>65000</v>
      </c>
      <c r="I66" s="8">
        <v>80000</v>
      </c>
      <c r="J66" s="52">
        <v>80000</v>
      </c>
      <c r="K66" s="79">
        <f t="shared" si="0"/>
        <v>69714.28571428571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35000</v>
      </c>
      <c r="K70" s="79">
        <f t="shared" si="0"/>
        <v>34142.857142857145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20000</v>
      </c>
      <c r="F72" s="8">
        <v>22000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23428.571428571428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30000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27500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6000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5714.2857142857147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7833.333333333333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15000</v>
      </c>
      <c r="F79" s="8">
        <v>20000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14000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14714.285714285714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8000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7000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12000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12000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8000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1642.8571428571429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1000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1357.1428571428571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144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 t="s">
        <v>97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10000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 t="s">
        <v>97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18750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16500</v>
      </c>
      <c r="G14" s="8">
        <v>15000</v>
      </c>
      <c r="H14" s="8">
        <v>15000</v>
      </c>
      <c r="I14" s="8">
        <v>14500</v>
      </c>
      <c r="J14" s="52">
        <v>16000</v>
      </c>
      <c r="K14" s="79">
        <f t="shared" si="0"/>
        <v>15428.571428571429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90000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99285.71428571429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32000</v>
      </c>
      <c r="G25" s="8">
        <v>34000</v>
      </c>
      <c r="H25" s="52">
        <v>35000</v>
      </c>
      <c r="I25" s="8">
        <v>34000</v>
      </c>
      <c r="J25" s="52">
        <v>35000</v>
      </c>
      <c r="K25" s="79">
        <f t="shared" si="0"/>
        <v>33857.142857142855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>
        <v>35000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30000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64714.285714285717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2">
        <v>40000</v>
      </c>
      <c r="K31" s="79">
        <f t="shared" si="0"/>
        <v>37285.714285714283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 t="s">
        <v>97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83333.333333333328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26000</v>
      </c>
      <c r="E34" s="8">
        <v>26000</v>
      </c>
      <c r="F34" s="8">
        <v>27000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26000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1000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7892.8571428571431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 t="s">
        <v>97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 t="s">
        <v>97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 t="s">
        <v>97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9400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10000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9000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3000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4142.8571428571431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 t="s">
        <v>97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22000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22285.714285714286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30000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28714.285714285714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52000</v>
      </c>
      <c r="E64" s="8">
        <v>50000</v>
      </c>
      <c r="F64" s="8">
        <v>52000</v>
      </c>
      <c r="G64" s="8">
        <v>50000</v>
      </c>
      <c r="H64" s="8">
        <v>45000</v>
      </c>
      <c r="I64" s="8">
        <v>45000</v>
      </c>
      <c r="J64" s="52">
        <v>50000</v>
      </c>
      <c r="K64" s="79">
        <f t="shared" si="0"/>
        <v>49142.857142857145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58000</v>
      </c>
      <c r="E65" s="8">
        <v>55000</v>
      </c>
      <c r="F65" s="8">
        <v>58000</v>
      </c>
      <c r="G65" s="8">
        <v>60000</v>
      </c>
      <c r="H65" s="8">
        <v>45000</v>
      </c>
      <c r="I65" s="7">
        <v>50000</v>
      </c>
      <c r="J65" s="52" t="s">
        <v>97</v>
      </c>
      <c r="K65" s="79">
        <f t="shared" si="0"/>
        <v>54333.333333333336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66000</v>
      </c>
      <c r="E66" s="8">
        <v>65000</v>
      </c>
      <c r="F66" s="8">
        <v>69000</v>
      </c>
      <c r="G66" s="8">
        <v>67000</v>
      </c>
      <c r="H66" s="8">
        <v>70000</v>
      </c>
      <c r="I66" s="8">
        <v>80000</v>
      </c>
      <c r="J66" s="52">
        <v>75000</v>
      </c>
      <c r="K66" s="79">
        <f t="shared" si="0"/>
        <v>70285.71428571429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35000</v>
      </c>
      <c r="K70" s="79">
        <f t="shared" si="0"/>
        <v>34142.857142857145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24000</v>
      </c>
      <c r="F72" s="8">
        <v>22000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24000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30000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27500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6000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5714.2857142857147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7833.333333333333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15000</v>
      </c>
      <c r="F79" s="8">
        <v>20000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14000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14714.285714285714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8000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7000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12000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12000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8000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1642.8571428571429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1000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1357.1428571428571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 t="s">
        <v>97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10000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22000</v>
      </c>
      <c r="F12" s="11" t="s">
        <v>97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19000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16000</v>
      </c>
      <c r="G14" s="8">
        <v>15000</v>
      </c>
      <c r="H14" s="8">
        <v>15000</v>
      </c>
      <c r="I14" s="8">
        <v>14500</v>
      </c>
      <c r="J14" s="52">
        <v>16000</v>
      </c>
      <c r="K14" s="79">
        <f t="shared" si="0"/>
        <v>15357.142857142857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16000</v>
      </c>
      <c r="K15" s="79">
        <f>AVERAGE(D15:J15)</f>
        <v>15285.714285714286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90000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99285.71428571429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33000</v>
      </c>
      <c r="G25" s="8">
        <v>34000</v>
      </c>
      <c r="H25" s="52">
        <v>35000</v>
      </c>
      <c r="I25" s="8">
        <v>34000</v>
      </c>
      <c r="J25" s="52">
        <v>35000</v>
      </c>
      <c r="K25" s="79">
        <f t="shared" si="0"/>
        <v>34000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>
        <v>35000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30000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64714.285714285717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40000</v>
      </c>
      <c r="G31" s="8">
        <v>35000</v>
      </c>
      <c r="H31" s="8">
        <v>28000</v>
      </c>
      <c r="I31" s="8">
        <v>42000</v>
      </c>
      <c r="J31" s="52">
        <v>40000</v>
      </c>
      <c r="K31" s="79">
        <f t="shared" si="0"/>
        <v>37285.714285714283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 t="s">
        <v>97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83333.333333333328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26000</v>
      </c>
      <c r="F34" s="8">
        <v>27000</v>
      </c>
      <c r="G34" s="8">
        <v>25000</v>
      </c>
      <c r="H34" s="8">
        <v>26000</v>
      </c>
      <c r="I34" s="8">
        <v>25000</v>
      </c>
      <c r="J34" s="52">
        <v>27000</v>
      </c>
      <c r="K34" s="79">
        <f t="shared" si="0"/>
        <v>26142.857142857141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1000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7892.8571428571431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 t="s">
        <v>97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 t="s">
        <v>97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 t="s">
        <v>97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9400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10000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9000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3000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4142.8571428571431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 t="s">
        <v>97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22000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22285.714285714286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30000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28714.285714285714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50000</v>
      </c>
      <c r="E64" s="8">
        <v>50000</v>
      </c>
      <c r="F64" s="8">
        <v>52000</v>
      </c>
      <c r="G64" s="8">
        <v>50000</v>
      </c>
      <c r="H64" s="8">
        <v>40000</v>
      </c>
      <c r="I64" s="8">
        <v>45000</v>
      </c>
      <c r="J64" s="52">
        <v>50000</v>
      </c>
      <c r="K64" s="79">
        <f t="shared" si="0"/>
        <v>48142.857142857145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58000</v>
      </c>
      <c r="E65" s="8">
        <v>55000</v>
      </c>
      <c r="F65" s="8">
        <v>52000</v>
      </c>
      <c r="G65" s="8">
        <v>60000</v>
      </c>
      <c r="H65" s="8">
        <v>45000</v>
      </c>
      <c r="I65" s="7">
        <v>50000</v>
      </c>
      <c r="J65" s="52" t="s">
        <v>97</v>
      </c>
      <c r="K65" s="79">
        <f t="shared" si="0"/>
        <v>53333.333333333336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68000</v>
      </c>
      <c r="E66" s="8">
        <v>65000</v>
      </c>
      <c r="F66" s="8">
        <v>72000</v>
      </c>
      <c r="G66" s="8">
        <v>67000</v>
      </c>
      <c r="H66" s="8">
        <v>70000</v>
      </c>
      <c r="I66" s="8">
        <v>69000</v>
      </c>
      <c r="J66" s="52">
        <v>75000</v>
      </c>
      <c r="K66" s="79">
        <f t="shared" si="0"/>
        <v>69428.571428571435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35000</v>
      </c>
      <c r="K70" s="79">
        <f t="shared" si="0"/>
        <v>34142.857142857145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24000</v>
      </c>
      <c r="F72" s="8">
        <v>22000</v>
      </c>
      <c r="G72" s="8">
        <v>25000</v>
      </c>
      <c r="H72" s="8">
        <v>25000</v>
      </c>
      <c r="I72" s="8">
        <v>22000</v>
      </c>
      <c r="J72" s="52">
        <v>25000</v>
      </c>
      <c r="K72" s="79">
        <f t="shared" si="0"/>
        <v>24000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30000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27500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6000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5714.2857142857147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7833.333333333333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15000</v>
      </c>
      <c r="F79" s="8">
        <v>20000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14000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14714.285714285714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8000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7000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12000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12000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8000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1642.8571428571429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1000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1357.1428571428571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1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14"/>
      <c r="E92" s="5"/>
      <c r="F92" s="5"/>
      <c r="G92" s="5"/>
      <c r="H92" s="5"/>
      <c r="I92" s="5"/>
      <c r="J92" s="10"/>
      <c r="K92" s="5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92"/>
  <sheetViews>
    <sheetView zoomScale="85" zoomScaleNormal="8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146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 t="s">
        <v>97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10000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22000</v>
      </c>
      <c r="F12" s="11" t="s">
        <v>97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19000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16000</v>
      </c>
      <c r="G14" s="8">
        <v>15000</v>
      </c>
      <c r="H14" s="8">
        <v>15000</v>
      </c>
      <c r="I14" s="8">
        <v>14500</v>
      </c>
      <c r="J14" s="52">
        <v>17000</v>
      </c>
      <c r="K14" s="79">
        <f t="shared" si="0"/>
        <v>15500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15500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90000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99285.71428571429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31000</v>
      </c>
      <c r="G25" s="8">
        <v>33000</v>
      </c>
      <c r="H25" s="52">
        <v>34000</v>
      </c>
      <c r="I25" s="8">
        <v>34000</v>
      </c>
      <c r="J25" s="52">
        <v>34000</v>
      </c>
      <c r="K25" s="79">
        <f t="shared" si="0"/>
        <v>33285.714285714283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>
        <v>35000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30000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28285.714285714286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64714.285714285717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40000</v>
      </c>
      <c r="G31" s="8">
        <v>35000</v>
      </c>
      <c r="H31" s="8">
        <v>32000</v>
      </c>
      <c r="I31" s="8">
        <v>42000</v>
      </c>
      <c r="J31" s="52">
        <v>40000</v>
      </c>
      <c r="K31" s="79">
        <f t="shared" si="0"/>
        <v>37857.142857142855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 t="s">
        <v>97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83333.333333333328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26000</v>
      </c>
      <c r="F34" s="8">
        <v>27000</v>
      </c>
      <c r="G34" s="8">
        <v>27000</v>
      </c>
      <c r="H34" s="8">
        <v>26000</v>
      </c>
      <c r="I34" s="8">
        <v>25000</v>
      </c>
      <c r="J34" s="52">
        <v>27000</v>
      </c>
      <c r="K34" s="79">
        <f t="shared" si="0"/>
        <v>26428.571428571428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1000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7892.8571428571431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 t="s">
        <v>97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 t="s">
        <v>97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 t="s">
        <v>97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9400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10000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9000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3000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4142.8571428571431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 t="s">
        <v>97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22000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22285.714285714286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30000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28714.285714285714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50000</v>
      </c>
      <c r="E64" s="8">
        <v>45000</v>
      </c>
      <c r="F64" s="8">
        <v>47000</v>
      </c>
      <c r="G64" s="8">
        <v>50000</v>
      </c>
      <c r="H64" s="8">
        <v>45000</v>
      </c>
      <c r="I64" s="8">
        <v>45000</v>
      </c>
      <c r="J64" s="52">
        <v>50000</v>
      </c>
      <c r="K64" s="79">
        <f t="shared" si="0"/>
        <v>47428.571428571428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58000</v>
      </c>
      <c r="E65" s="8">
        <v>55000</v>
      </c>
      <c r="F65" s="8">
        <v>52000</v>
      </c>
      <c r="G65" s="8">
        <v>60000</v>
      </c>
      <c r="H65" s="8">
        <v>45000</v>
      </c>
      <c r="I65" s="7">
        <v>50000</v>
      </c>
      <c r="J65" s="52" t="s">
        <v>97</v>
      </c>
      <c r="K65" s="79">
        <f t="shared" si="0"/>
        <v>53333.333333333336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68000</v>
      </c>
      <c r="E66" s="8">
        <v>65000</v>
      </c>
      <c r="F66" s="8">
        <v>72000</v>
      </c>
      <c r="G66" s="8">
        <v>70000</v>
      </c>
      <c r="H66" s="8">
        <v>75000</v>
      </c>
      <c r="I66" s="8">
        <v>69000</v>
      </c>
      <c r="J66" s="52">
        <v>70000</v>
      </c>
      <c r="K66" s="79">
        <f t="shared" si="0"/>
        <v>69857.142857142855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36000</v>
      </c>
      <c r="K70" s="79">
        <f t="shared" si="0"/>
        <v>34285.714285714283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24000</v>
      </c>
      <c r="F72" s="8">
        <v>22000</v>
      </c>
      <c r="G72" s="8">
        <v>25000</v>
      </c>
      <c r="H72" s="8">
        <v>25000</v>
      </c>
      <c r="I72" s="8">
        <v>22000</v>
      </c>
      <c r="J72" s="52">
        <v>24000</v>
      </c>
      <c r="K72" s="79">
        <f t="shared" si="0"/>
        <v>23857.142857142859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30000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27500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6000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5714.2857142857147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7000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7833.333333333333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15000</v>
      </c>
      <c r="F79" s="8">
        <v>20000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14000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14714.285714285714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8000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7000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12000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12000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8000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1500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1642.8571428571429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1000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1357.1428571428571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147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 t="s">
        <v>97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10000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22000</v>
      </c>
      <c r="F12" s="11" t="s">
        <v>97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19000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16000</v>
      </c>
      <c r="G14" s="8">
        <v>15000</v>
      </c>
      <c r="H14" s="8">
        <v>15000</v>
      </c>
      <c r="I14" s="8">
        <v>14500</v>
      </c>
      <c r="J14" s="52">
        <v>17000</v>
      </c>
      <c r="K14" s="79">
        <f t="shared" si="0"/>
        <v>15500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15500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33000</v>
      </c>
      <c r="G25" s="8">
        <v>33000</v>
      </c>
      <c r="H25" s="52">
        <v>34000</v>
      </c>
      <c r="I25" s="8">
        <v>34000</v>
      </c>
      <c r="J25" s="52">
        <v>34000</v>
      </c>
      <c r="K25" s="79">
        <f t="shared" si="0"/>
        <v>33571.428571428572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>
        <v>35000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35666.666666666664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40000</v>
      </c>
      <c r="K31" s="79">
        <f t="shared" si="0"/>
        <v>38142.857142857145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26000</v>
      </c>
      <c r="F34" s="8">
        <v>26000</v>
      </c>
      <c r="G34" s="8">
        <v>26000</v>
      </c>
      <c r="H34" s="8">
        <v>26000</v>
      </c>
      <c r="I34" s="8">
        <v>25000</v>
      </c>
      <c r="J34" s="52">
        <v>27000</v>
      </c>
      <c r="K34" s="79">
        <f t="shared" si="0"/>
        <v>26142.857142857141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2657.1428571428573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50000</v>
      </c>
      <c r="E64" s="8">
        <v>45000</v>
      </c>
      <c r="F64" s="8">
        <v>45000</v>
      </c>
      <c r="G64" s="8">
        <v>50000</v>
      </c>
      <c r="H64" s="8">
        <v>45000</v>
      </c>
      <c r="I64" s="8">
        <v>45000</v>
      </c>
      <c r="J64" s="52">
        <v>50000</v>
      </c>
      <c r="K64" s="79">
        <f t="shared" si="0"/>
        <v>47142.857142857145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58000</v>
      </c>
      <c r="E65" s="8">
        <v>55000</v>
      </c>
      <c r="F65" s="8">
        <v>54000</v>
      </c>
      <c r="G65" s="8">
        <v>60000</v>
      </c>
      <c r="H65" s="8">
        <v>45000</v>
      </c>
      <c r="I65" s="7">
        <v>50000</v>
      </c>
      <c r="J65" s="52" t="s">
        <v>97</v>
      </c>
      <c r="K65" s="79">
        <f t="shared" si="0"/>
        <v>53666.666666666664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70000</v>
      </c>
      <c r="E66" s="8">
        <v>65000</v>
      </c>
      <c r="F66" s="8">
        <v>65000</v>
      </c>
      <c r="G66" s="8">
        <v>70000</v>
      </c>
      <c r="H66" s="8">
        <v>75000</v>
      </c>
      <c r="I66" s="8">
        <v>69000</v>
      </c>
      <c r="J66" s="52">
        <v>70000</v>
      </c>
      <c r="K66" s="79">
        <f t="shared" si="0"/>
        <v>69142.857142857145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36000</v>
      </c>
      <c r="K70" s="79">
        <f t="shared" si="0"/>
        <v>34285.714285714283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24000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24000</v>
      </c>
      <c r="K72" s="79">
        <f t="shared" si="0"/>
        <v>23571.428571428572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26666.666666666668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8000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15000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15000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14857.142857142857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148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15000</v>
      </c>
      <c r="F14" s="8">
        <v>15000</v>
      </c>
      <c r="G14" s="8">
        <v>15000</v>
      </c>
      <c r="H14" s="8">
        <v>15000</v>
      </c>
      <c r="I14" s="8">
        <v>14500</v>
      </c>
      <c r="J14" s="52">
        <v>17000</v>
      </c>
      <c r="K14" s="79">
        <f t="shared" si="0"/>
        <v>15357.142857142857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15500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34000</v>
      </c>
      <c r="E25" s="8">
        <v>33000</v>
      </c>
      <c r="F25" s="8">
        <v>34000</v>
      </c>
      <c r="G25" s="8">
        <v>33000</v>
      </c>
      <c r="H25" s="52">
        <v>34000</v>
      </c>
      <c r="I25" s="8">
        <v>34000</v>
      </c>
      <c r="J25" s="52">
        <v>34000</v>
      </c>
      <c r="K25" s="79">
        <f t="shared" si="0"/>
        <v>33714.285714285717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40000</v>
      </c>
      <c r="K31" s="79">
        <f t="shared" si="0"/>
        <v>38142.857142857145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26000</v>
      </c>
      <c r="F34" s="8">
        <v>27000</v>
      </c>
      <c r="G34" s="8">
        <v>26000</v>
      </c>
      <c r="H34" s="8">
        <v>26000</v>
      </c>
      <c r="I34" s="8">
        <v>25000</v>
      </c>
      <c r="J34" s="52">
        <v>27000</v>
      </c>
      <c r="K34" s="79">
        <f t="shared" si="0"/>
        <v>26285.714285714286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2657.1428571428573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50000</v>
      </c>
      <c r="E64" s="8">
        <v>45000</v>
      </c>
      <c r="F64" s="8">
        <v>50000</v>
      </c>
      <c r="G64" s="8">
        <v>50000</v>
      </c>
      <c r="H64" s="8">
        <v>45000</v>
      </c>
      <c r="I64" s="8">
        <v>45000</v>
      </c>
      <c r="J64" s="52">
        <v>50000</v>
      </c>
      <c r="K64" s="79">
        <f t="shared" si="0"/>
        <v>47857.142857142855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58000</v>
      </c>
      <c r="E65" s="8">
        <v>55000</v>
      </c>
      <c r="F65" s="8">
        <v>57000</v>
      </c>
      <c r="G65" s="8">
        <v>60000</v>
      </c>
      <c r="H65" s="8">
        <v>45000</v>
      </c>
      <c r="I65" s="7">
        <v>50000</v>
      </c>
      <c r="J65" s="52" t="s">
        <v>97</v>
      </c>
      <c r="K65" s="79">
        <f t="shared" si="0"/>
        <v>54166.666666666664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70000</v>
      </c>
      <c r="E66" s="8">
        <v>65000</v>
      </c>
      <c r="F66" s="8">
        <v>70000</v>
      </c>
      <c r="G66" s="8">
        <v>70000</v>
      </c>
      <c r="H66" s="8">
        <v>75000</v>
      </c>
      <c r="I66" s="8">
        <v>69000</v>
      </c>
      <c r="J66" s="52">
        <v>70000</v>
      </c>
      <c r="K66" s="79">
        <f t="shared" si="0"/>
        <v>69857.142857142855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36000</v>
      </c>
      <c r="K70" s="79">
        <f t="shared" si="0"/>
        <v>34285.714285714283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25000</v>
      </c>
      <c r="E72" s="8">
        <v>24000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24000</v>
      </c>
      <c r="K72" s="79">
        <f t="shared" si="0"/>
        <v>23571.428571428572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25000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26666.666666666668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7000</v>
      </c>
      <c r="E78" s="8">
        <v>7000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8000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15000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15000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14857.142857142857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8000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8428.5714285714294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92"/>
  <sheetViews>
    <sheetView zoomScale="55" zoomScaleNormal="5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149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15000</v>
      </c>
      <c r="G14" s="8">
        <v>15000</v>
      </c>
      <c r="H14" s="8">
        <v>15000</v>
      </c>
      <c r="I14" s="8">
        <v>14500</v>
      </c>
      <c r="J14" s="52">
        <v>17000</v>
      </c>
      <c r="K14" s="79">
        <f t="shared" si="0"/>
        <v>15500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15500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32000</v>
      </c>
      <c r="E25" s="8">
        <v>33000</v>
      </c>
      <c r="F25" s="8">
        <v>34000</v>
      </c>
      <c r="G25" s="8">
        <v>33000</v>
      </c>
      <c r="H25" s="52">
        <v>34000</v>
      </c>
      <c r="I25" s="8">
        <v>34000</v>
      </c>
      <c r="J25" s="52">
        <v>34000</v>
      </c>
      <c r="K25" s="79">
        <f t="shared" si="0"/>
        <v>33428.571428571428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36000</v>
      </c>
      <c r="K31" s="79">
        <f t="shared" si="0"/>
        <v>37571.428571428572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26500</v>
      </c>
      <c r="F34" s="8">
        <v>26000</v>
      </c>
      <c r="G34" s="8">
        <v>26000</v>
      </c>
      <c r="H34" s="8">
        <v>26000</v>
      </c>
      <c r="I34" s="8">
        <v>25000</v>
      </c>
      <c r="J34" s="52">
        <v>27000</v>
      </c>
      <c r="K34" s="79">
        <f t="shared" si="0"/>
        <v>26214.285714285714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2657.1428571428573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56000</v>
      </c>
      <c r="E64" s="8">
        <v>55000</v>
      </c>
      <c r="F64" s="8">
        <v>50000</v>
      </c>
      <c r="G64" s="8">
        <v>55000</v>
      </c>
      <c r="H64" s="8">
        <v>60000</v>
      </c>
      <c r="I64" s="8">
        <v>45000</v>
      </c>
      <c r="J64" s="52">
        <v>60000</v>
      </c>
      <c r="K64" s="79">
        <f t="shared" si="0"/>
        <v>54428.571428571428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75000</v>
      </c>
      <c r="E65" s="8">
        <v>60000</v>
      </c>
      <c r="F65" s="8">
        <v>57000</v>
      </c>
      <c r="G65" s="8">
        <v>65000</v>
      </c>
      <c r="H65" s="8">
        <v>60000</v>
      </c>
      <c r="I65" s="7">
        <v>50000</v>
      </c>
      <c r="J65" s="52" t="s">
        <v>97</v>
      </c>
      <c r="K65" s="79">
        <f t="shared" si="0"/>
        <v>61166.666666666664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80000</v>
      </c>
      <c r="F66" s="8">
        <v>70000</v>
      </c>
      <c r="G66" s="8">
        <v>80000</v>
      </c>
      <c r="H66" s="8">
        <v>100000</v>
      </c>
      <c r="I66" s="8">
        <v>69000</v>
      </c>
      <c r="J66" s="52">
        <v>90000</v>
      </c>
      <c r="K66" s="79">
        <f t="shared" si="0"/>
        <v>81285.71428571429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/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36000</v>
      </c>
      <c r="K70" s="79">
        <f t="shared" si="0"/>
        <v>34285.714285714283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26000</v>
      </c>
      <c r="E72" s="8">
        <v>24000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24000</v>
      </c>
      <c r="K72" s="79">
        <f t="shared" si="0"/>
        <v>23714.285714285714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17000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15285.714285714286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14857.142857142857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92"/>
  <sheetViews>
    <sheetView zoomScale="40" zoomScaleNormal="4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150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15000</v>
      </c>
      <c r="G14" s="8">
        <v>15000</v>
      </c>
      <c r="H14" s="8">
        <v>16000</v>
      </c>
      <c r="I14" s="8">
        <v>14500</v>
      </c>
      <c r="J14" s="52">
        <v>17000</v>
      </c>
      <c r="K14" s="79">
        <f t="shared" si="0"/>
        <v>15642.857142857143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15500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32000</v>
      </c>
      <c r="E25" s="8">
        <v>33000</v>
      </c>
      <c r="F25" s="8">
        <v>32000</v>
      </c>
      <c r="G25" s="8">
        <v>33000</v>
      </c>
      <c r="H25" s="52">
        <v>34000</v>
      </c>
      <c r="I25" s="8">
        <v>34000</v>
      </c>
      <c r="J25" s="52">
        <v>34000</v>
      </c>
      <c r="K25" s="79">
        <f t="shared" si="0"/>
        <v>33142.857142857145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36000</v>
      </c>
      <c r="K31" s="79">
        <f t="shared" si="0"/>
        <v>37571.428571428572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26500</v>
      </c>
      <c r="F34" s="8">
        <v>26000</v>
      </c>
      <c r="G34" s="8">
        <v>26000</v>
      </c>
      <c r="H34" s="8">
        <v>26000</v>
      </c>
      <c r="I34" s="8">
        <v>25000</v>
      </c>
      <c r="J34" s="52">
        <v>27000</v>
      </c>
      <c r="K34" s="79">
        <f t="shared" si="0"/>
        <v>26214.285714285714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2500</v>
      </c>
      <c r="J35" s="52">
        <v>3000</v>
      </c>
      <c r="K35" s="79">
        <f t="shared" si="0"/>
        <v>2657.1428571428573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56000</v>
      </c>
      <c r="E64" s="8">
        <v>55000</v>
      </c>
      <c r="F64" s="8">
        <v>50000</v>
      </c>
      <c r="G64" s="8">
        <v>55000</v>
      </c>
      <c r="H64" s="8">
        <v>60000</v>
      </c>
      <c r="I64" s="8">
        <v>45000</v>
      </c>
      <c r="J64" s="52">
        <v>60000</v>
      </c>
      <c r="K64" s="79">
        <f t="shared" si="0"/>
        <v>54428.571428571428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75000</v>
      </c>
      <c r="E65" s="8">
        <v>60000</v>
      </c>
      <c r="F65" s="8">
        <v>57000</v>
      </c>
      <c r="G65" s="8">
        <v>65000</v>
      </c>
      <c r="H65" s="8">
        <v>60000</v>
      </c>
      <c r="I65" s="7">
        <v>50000</v>
      </c>
      <c r="J65" s="52" t="s">
        <v>97</v>
      </c>
      <c r="K65" s="79">
        <f t="shared" si="0"/>
        <v>61166.666666666664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80000</v>
      </c>
      <c r="F66" s="8">
        <v>75000</v>
      </c>
      <c r="G66" s="8">
        <v>80000</v>
      </c>
      <c r="H66" s="8">
        <v>90000</v>
      </c>
      <c r="I66" s="8">
        <v>69000</v>
      </c>
      <c r="J66" s="52">
        <v>90000</v>
      </c>
      <c r="K66" s="79">
        <f t="shared" si="0"/>
        <v>80571.428571428565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36000</v>
      </c>
      <c r="K70" s="79">
        <f t="shared" si="0"/>
        <v>34285.714285714283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26000</v>
      </c>
      <c r="E72" s="8">
        <v>24000</v>
      </c>
      <c r="F72" s="8">
        <v>20000</v>
      </c>
      <c r="G72" s="8">
        <v>25000</v>
      </c>
      <c r="H72" s="8">
        <v>25000</v>
      </c>
      <c r="I72" s="8">
        <v>22000</v>
      </c>
      <c r="J72" s="52">
        <v>24000</v>
      </c>
      <c r="K72" s="79">
        <f t="shared" si="0"/>
        <v>23714.285714285714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17000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15285.714285714286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15000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14857.142857142857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151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15000</v>
      </c>
      <c r="G14" s="8">
        <v>15000</v>
      </c>
      <c r="H14" s="8">
        <v>16000</v>
      </c>
      <c r="I14" s="8">
        <v>14500</v>
      </c>
      <c r="J14" s="52">
        <v>17000</v>
      </c>
      <c r="K14" s="79">
        <f t="shared" si="0"/>
        <v>15642.857142857143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15000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15500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32000</v>
      </c>
      <c r="E25" s="8">
        <v>33000</v>
      </c>
      <c r="F25" s="8">
        <v>32000</v>
      </c>
      <c r="G25" s="8">
        <v>33000</v>
      </c>
      <c r="H25" s="52">
        <v>34000</v>
      </c>
      <c r="I25" s="8">
        <v>34000</v>
      </c>
      <c r="J25" s="52">
        <v>34000</v>
      </c>
      <c r="K25" s="79">
        <f t="shared" si="0"/>
        <v>33142.857142857145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65000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65428.571428571428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36000</v>
      </c>
      <c r="K31" s="79">
        <f t="shared" si="0"/>
        <v>37571.428571428572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27000</v>
      </c>
      <c r="F34" s="8">
        <v>27000</v>
      </c>
      <c r="G34" s="8">
        <v>26000</v>
      </c>
      <c r="H34" s="8">
        <v>26000</v>
      </c>
      <c r="I34" s="8">
        <v>25000</v>
      </c>
      <c r="J34" s="52">
        <v>27000</v>
      </c>
      <c r="K34" s="79">
        <f t="shared" si="0"/>
        <v>26428.571428571428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2500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2728.5714285714284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56000</v>
      </c>
      <c r="E64" s="8">
        <v>55000</v>
      </c>
      <c r="F64" s="8">
        <v>52000</v>
      </c>
      <c r="G64" s="8">
        <v>55000</v>
      </c>
      <c r="H64" s="8">
        <v>60000</v>
      </c>
      <c r="I64" s="8">
        <v>45000</v>
      </c>
      <c r="J64" s="52">
        <v>60000</v>
      </c>
      <c r="K64" s="79">
        <f t="shared" si="0"/>
        <v>54714.285714285717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75000</v>
      </c>
      <c r="E65" s="8">
        <v>65000</v>
      </c>
      <c r="F65" s="8">
        <v>57000</v>
      </c>
      <c r="G65" s="8">
        <v>65000</v>
      </c>
      <c r="H65" s="8">
        <v>60000</v>
      </c>
      <c r="I65" s="7">
        <v>50000</v>
      </c>
      <c r="J65" s="52" t="s">
        <v>97</v>
      </c>
      <c r="K65" s="79">
        <f t="shared" si="0"/>
        <v>62000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90000</v>
      </c>
      <c r="F66" s="8">
        <v>78000</v>
      </c>
      <c r="G66" s="8">
        <v>90000</v>
      </c>
      <c r="H66" s="8">
        <v>90000</v>
      </c>
      <c r="I66" s="8">
        <v>69000</v>
      </c>
      <c r="J66" s="52">
        <v>90000</v>
      </c>
      <c r="K66" s="79">
        <f t="shared" si="0"/>
        <v>83857.142857142855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36000</v>
      </c>
      <c r="K70" s="79">
        <f t="shared" si="0"/>
        <v>34285.714285714283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32000</v>
      </c>
      <c r="G71" s="8">
        <v>32000</v>
      </c>
      <c r="H71" s="8">
        <v>30000</v>
      </c>
      <c r="I71" s="8">
        <v>30000</v>
      </c>
      <c r="J71" s="52">
        <v>32000</v>
      </c>
      <c r="K71" s="79">
        <f t="shared" si="0"/>
        <v>31428.571428571428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26000</v>
      </c>
      <c r="E72" s="8">
        <v>24000</v>
      </c>
      <c r="F72" s="8">
        <v>20000</v>
      </c>
      <c r="G72" s="8">
        <v>25000</v>
      </c>
      <c r="H72" s="8">
        <v>25000</v>
      </c>
      <c r="I72" s="8">
        <v>25000</v>
      </c>
      <c r="J72" s="52">
        <v>24000</v>
      </c>
      <c r="K72" s="79">
        <f t="shared" si="0"/>
        <v>24142.857142857141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12000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15428.571428571429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15000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15142.857142857143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5000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6571.4285714285716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13000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12142.857142857143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92"/>
  <sheetViews>
    <sheetView zoomScale="70" zoomScaleNormal="70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152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15000</v>
      </c>
      <c r="G14" s="8">
        <v>15000</v>
      </c>
      <c r="H14" s="8">
        <v>16000</v>
      </c>
      <c r="I14" s="8">
        <v>15000</v>
      </c>
      <c r="J14" s="52">
        <v>17000</v>
      </c>
      <c r="K14" s="79">
        <f t="shared" si="0"/>
        <v>15714.285714285714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16000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15642.857142857143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32000</v>
      </c>
      <c r="E25" s="8">
        <v>32000</v>
      </c>
      <c r="F25" s="8">
        <v>32000</v>
      </c>
      <c r="G25" s="8">
        <v>31000</v>
      </c>
      <c r="H25" s="52">
        <v>33000</v>
      </c>
      <c r="I25" s="8">
        <v>34000</v>
      </c>
      <c r="J25" s="52">
        <v>33000</v>
      </c>
      <c r="K25" s="79">
        <f t="shared" si="0"/>
        <v>32428.571428571428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64714.285714285717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34000</v>
      </c>
      <c r="K31" s="79">
        <f t="shared" si="0"/>
        <v>37285.714285714283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27000</v>
      </c>
      <c r="F34" s="8">
        <v>26000</v>
      </c>
      <c r="G34" s="8">
        <v>26000</v>
      </c>
      <c r="H34" s="8">
        <v>26000</v>
      </c>
      <c r="I34" s="8">
        <v>25000</v>
      </c>
      <c r="J34" s="52">
        <v>26000</v>
      </c>
      <c r="K34" s="79">
        <f t="shared" si="0"/>
        <v>26142.857142857141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2800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56000</v>
      </c>
      <c r="E64" s="8">
        <v>55000</v>
      </c>
      <c r="F64" s="8">
        <v>60000</v>
      </c>
      <c r="G64" s="8">
        <v>55000</v>
      </c>
      <c r="H64" s="8">
        <v>65000</v>
      </c>
      <c r="I64" s="8">
        <v>45000</v>
      </c>
      <c r="J64" s="52">
        <v>60000</v>
      </c>
      <c r="K64" s="79">
        <f t="shared" si="0"/>
        <v>56571.428571428572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75000</v>
      </c>
      <c r="E65" s="8">
        <v>65000</v>
      </c>
      <c r="F65" s="8">
        <v>65000</v>
      </c>
      <c r="G65" s="8">
        <v>65000</v>
      </c>
      <c r="H65" s="8">
        <v>65000</v>
      </c>
      <c r="I65" s="7">
        <v>50000</v>
      </c>
      <c r="J65" s="52" t="s">
        <v>97</v>
      </c>
      <c r="K65" s="79">
        <f t="shared" si="0"/>
        <v>64166.666666666664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80000</v>
      </c>
      <c r="F66" s="8">
        <v>77000</v>
      </c>
      <c r="G66" s="8">
        <v>85000</v>
      </c>
      <c r="H66" s="8">
        <v>80000</v>
      </c>
      <c r="I66" s="8">
        <v>69000</v>
      </c>
      <c r="J66" s="52">
        <v>90000</v>
      </c>
      <c r="K66" s="79">
        <f t="shared" si="0"/>
        <v>80142.857142857145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20000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18666.666666666668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30000</v>
      </c>
      <c r="I71" s="8">
        <v>30000</v>
      </c>
      <c r="J71" s="52">
        <v>33000</v>
      </c>
      <c r="K71" s="79">
        <f t="shared" si="0"/>
        <v>31857.142857142859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26000</v>
      </c>
      <c r="E72" s="8">
        <v>24000</v>
      </c>
      <c r="F72" s="8">
        <v>22000</v>
      </c>
      <c r="G72" s="8">
        <v>24000</v>
      </c>
      <c r="H72" s="8">
        <v>25000</v>
      </c>
      <c r="I72" s="8">
        <v>25000</v>
      </c>
      <c r="J72" s="52">
        <v>23000</v>
      </c>
      <c r="K72" s="79">
        <f t="shared" si="0"/>
        <v>24142.857142857141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17000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16000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15285.714285714286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6857.1428571428569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14000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12285.714285714286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130</v>
      </c>
      <c r="H86" s="8">
        <v>2500</v>
      </c>
      <c r="I86" s="8" t="s">
        <v>127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19000</v>
      </c>
      <c r="J88" s="55">
        <v>18000</v>
      </c>
      <c r="K88" s="79">
        <f t="shared" si="1"/>
        <v>18000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92"/>
  <sheetViews>
    <sheetView topLeftCell="A67" zoomScale="85" zoomScaleNormal="85"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59" t="s">
        <v>153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M3" s="5"/>
      <c r="N3" s="5"/>
    </row>
    <row r="4" spans="1:14" ht="25.5" customHeight="1" x14ac:dyDescent="0.25">
      <c r="A4" s="160" t="s">
        <v>1</v>
      </c>
      <c r="B4" s="163" t="s">
        <v>2</v>
      </c>
      <c r="C4" s="166" t="s">
        <v>88</v>
      </c>
      <c r="D4" s="169" t="s">
        <v>89</v>
      </c>
      <c r="E4" s="172" t="s">
        <v>90</v>
      </c>
      <c r="F4" s="175" t="s">
        <v>91</v>
      </c>
      <c r="G4" s="178" t="s">
        <v>92</v>
      </c>
      <c r="H4" s="181" t="s">
        <v>93</v>
      </c>
      <c r="I4" s="184" t="s">
        <v>94</v>
      </c>
      <c r="J4" s="187" t="s">
        <v>95</v>
      </c>
      <c r="K4" s="190" t="s">
        <v>96</v>
      </c>
      <c r="M4" s="5"/>
      <c r="N4" s="5"/>
    </row>
    <row r="5" spans="1:14" ht="15" customHeight="1" x14ac:dyDescent="0.25">
      <c r="A5" s="161"/>
      <c r="B5" s="164"/>
      <c r="C5" s="167"/>
      <c r="D5" s="170"/>
      <c r="E5" s="173"/>
      <c r="F5" s="176"/>
      <c r="G5" s="179"/>
      <c r="H5" s="182"/>
      <c r="I5" s="185"/>
      <c r="J5" s="188"/>
      <c r="K5" s="191"/>
      <c r="M5" s="5"/>
      <c r="N5" s="5"/>
    </row>
    <row r="6" spans="1:14" ht="15.75" x14ac:dyDescent="0.25">
      <c r="A6" s="162"/>
      <c r="B6" s="165"/>
      <c r="C6" s="168"/>
      <c r="D6" s="171"/>
      <c r="E6" s="174"/>
      <c r="F6" s="177"/>
      <c r="G6" s="180"/>
      <c r="H6" s="183"/>
      <c r="I6" s="186"/>
      <c r="J6" s="189"/>
      <c r="K6" s="192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16000</v>
      </c>
      <c r="G14" s="8">
        <v>15000</v>
      </c>
      <c r="H14" s="8">
        <v>16000</v>
      </c>
      <c r="I14" s="8">
        <v>15000</v>
      </c>
      <c r="J14" s="52">
        <v>17000</v>
      </c>
      <c r="K14" s="79">
        <f t="shared" si="0"/>
        <v>15857.142857142857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16000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15642.857142857143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32000</v>
      </c>
      <c r="E25" s="8">
        <v>32000</v>
      </c>
      <c r="F25" s="8">
        <v>30000</v>
      </c>
      <c r="G25" s="8">
        <v>31000</v>
      </c>
      <c r="H25" s="52">
        <v>33000</v>
      </c>
      <c r="I25" s="8">
        <v>34000</v>
      </c>
      <c r="J25" s="52">
        <v>30000</v>
      </c>
      <c r="K25" s="79">
        <f t="shared" si="0"/>
        <v>31714.285714285714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70000</v>
      </c>
      <c r="K29" s="79">
        <f t="shared" si="0"/>
        <v>64714.285714285717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37000</v>
      </c>
      <c r="K31" s="79">
        <f t="shared" si="0"/>
        <v>37714.285714285717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27000</v>
      </c>
      <c r="F34" s="8">
        <v>26000</v>
      </c>
      <c r="G34" s="8">
        <v>27000</v>
      </c>
      <c r="H34" s="8">
        <v>26000</v>
      </c>
      <c r="I34" s="8">
        <v>25000</v>
      </c>
      <c r="J34" s="52">
        <v>26000</v>
      </c>
      <c r="K34" s="79">
        <f t="shared" si="0"/>
        <v>26285.714285714286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2800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56000</v>
      </c>
      <c r="E64" s="8">
        <v>55000</v>
      </c>
      <c r="F64" s="8">
        <v>60000</v>
      </c>
      <c r="G64" s="8">
        <v>55000</v>
      </c>
      <c r="H64" s="8">
        <v>50000</v>
      </c>
      <c r="I64" s="8">
        <v>45000</v>
      </c>
      <c r="J64" s="52">
        <v>60000</v>
      </c>
      <c r="K64" s="79">
        <f t="shared" si="0"/>
        <v>54428.571428571428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75000</v>
      </c>
      <c r="E65" s="8">
        <v>65000</v>
      </c>
      <c r="F65" s="8">
        <v>57000</v>
      </c>
      <c r="G65" s="8">
        <v>65000</v>
      </c>
      <c r="H65" s="8">
        <v>50000</v>
      </c>
      <c r="I65" s="7">
        <v>50000</v>
      </c>
      <c r="J65" s="52" t="s">
        <v>97</v>
      </c>
      <c r="K65" s="79">
        <f t="shared" si="0"/>
        <v>60333.333333333336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80000</v>
      </c>
      <c r="F66" s="8">
        <v>77000</v>
      </c>
      <c r="G66" s="8">
        <v>80000</v>
      </c>
      <c r="H66" s="8">
        <v>80000</v>
      </c>
      <c r="I66" s="8">
        <v>69000</v>
      </c>
      <c r="J66" s="52">
        <v>80000</v>
      </c>
      <c r="K66" s="79">
        <f t="shared" si="0"/>
        <v>78000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18000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18333.333333333332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30000</v>
      </c>
      <c r="I71" s="8">
        <v>30000</v>
      </c>
      <c r="J71" s="52">
        <v>33000</v>
      </c>
      <c r="K71" s="79">
        <f t="shared" si="0"/>
        <v>31857.142857142859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26000</v>
      </c>
      <c r="E72" s="8">
        <v>24000</v>
      </c>
      <c r="F72" s="8">
        <v>22000</v>
      </c>
      <c r="G72" s="8">
        <v>24000</v>
      </c>
      <c r="H72" s="8">
        <v>25000</v>
      </c>
      <c r="I72" s="8">
        <v>25000</v>
      </c>
      <c r="J72" s="52">
        <v>23000</v>
      </c>
      <c r="K72" s="79">
        <f t="shared" si="0"/>
        <v>24142.857142857141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26500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17000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16000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15285.714285714286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6857.1428571428569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14000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12285.714285714286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97</v>
      </c>
      <c r="H86" s="8">
        <v>2500</v>
      </c>
      <c r="I86" s="8" t="s">
        <v>97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18000</v>
      </c>
      <c r="J88" s="55">
        <v>18000</v>
      </c>
      <c r="K88" s="79">
        <f t="shared" si="1"/>
        <v>17750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92"/>
  <sheetViews>
    <sheetView zoomScale="85" zoomScaleNormal="85" workbookViewId="0">
      <selection sqref="A1:K88"/>
    </sheetView>
  </sheetViews>
  <sheetFormatPr defaultRowHeight="15" x14ac:dyDescent="0.25"/>
  <cols>
    <col min="1" max="1" width="5.25" customWidth="1"/>
    <col min="2" max="2" width="18" customWidth="1"/>
    <col min="4" max="10" width="11.375" customWidth="1"/>
  </cols>
  <sheetData>
    <row r="1" spans="1:23" ht="15.75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86"/>
      <c r="M1" s="87"/>
      <c r="N1" s="87"/>
      <c r="O1" s="86"/>
      <c r="P1" s="86"/>
      <c r="Q1" s="86"/>
      <c r="R1" s="86"/>
      <c r="S1" s="86"/>
      <c r="T1" s="86"/>
      <c r="U1" s="86"/>
      <c r="V1" s="86"/>
      <c r="W1" s="86"/>
    </row>
    <row r="2" spans="1:23" ht="15.75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86"/>
      <c r="M2" s="87"/>
      <c r="N2" s="87"/>
      <c r="O2" s="86"/>
      <c r="P2" s="86"/>
      <c r="Q2" s="86"/>
      <c r="R2" s="86"/>
      <c r="S2" s="86"/>
      <c r="T2" s="86"/>
      <c r="U2" s="86"/>
      <c r="V2" s="86"/>
      <c r="W2" s="86"/>
    </row>
    <row r="3" spans="1:23" ht="15.75" x14ac:dyDescent="0.25">
      <c r="A3" s="159" t="s">
        <v>154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86"/>
      <c r="M3" s="87"/>
      <c r="N3" s="87"/>
      <c r="O3" s="86"/>
      <c r="P3" s="86"/>
      <c r="Q3" s="86"/>
      <c r="R3" s="86"/>
      <c r="S3" s="86"/>
      <c r="T3" s="86"/>
      <c r="U3" s="86"/>
      <c r="V3" s="86"/>
      <c r="W3" s="86"/>
    </row>
    <row r="4" spans="1:23" ht="15.75" customHeight="1" x14ac:dyDescent="0.25">
      <c r="A4" s="160" t="s">
        <v>1</v>
      </c>
      <c r="B4" s="163" t="s">
        <v>2</v>
      </c>
      <c r="C4" s="166" t="s">
        <v>88</v>
      </c>
      <c r="D4" s="169" t="s">
        <v>89</v>
      </c>
      <c r="E4" s="172" t="s">
        <v>90</v>
      </c>
      <c r="F4" s="175" t="s">
        <v>91</v>
      </c>
      <c r="G4" s="178" t="s">
        <v>92</v>
      </c>
      <c r="H4" s="181" t="s">
        <v>93</v>
      </c>
      <c r="I4" s="184" t="s">
        <v>94</v>
      </c>
      <c r="J4" s="187" t="s">
        <v>95</v>
      </c>
      <c r="K4" s="190" t="s">
        <v>96</v>
      </c>
      <c r="L4" s="86"/>
      <c r="M4" s="87"/>
      <c r="N4" s="87"/>
      <c r="O4" s="86"/>
      <c r="P4" s="86"/>
      <c r="Q4" s="86"/>
      <c r="R4" s="86"/>
      <c r="S4" s="86"/>
      <c r="T4" s="86"/>
      <c r="U4" s="86"/>
      <c r="V4" s="86"/>
      <c r="W4" s="86"/>
    </row>
    <row r="5" spans="1:23" ht="15.75" x14ac:dyDescent="0.25">
      <c r="A5" s="161"/>
      <c r="B5" s="164"/>
      <c r="C5" s="167"/>
      <c r="D5" s="170"/>
      <c r="E5" s="173"/>
      <c r="F5" s="176"/>
      <c r="G5" s="179"/>
      <c r="H5" s="182"/>
      <c r="I5" s="185"/>
      <c r="J5" s="188"/>
      <c r="K5" s="191"/>
      <c r="L5" s="86"/>
      <c r="M5" s="87"/>
      <c r="N5" s="87"/>
      <c r="O5" s="86"/>
      <c r="P5" s="86"/>
      <c r="Q5" s="86"/>
      <c r="R5" s="86"/>
      <c r="S5" s="86"/>
      <c r="T5" s="86"/>
      <c r="U5" s="86"/>
      <c r="V5" s="86"/>
      <c r="W5" s="86"/>
    </row>
    <row r="6" spans="1:23" ht="15.75" x14ac:dyDescent="0.25">
      <c r="A6" s="162"/>
      <c r="B6" s="165"/>
      <c r="C6" s="168"/>
      <c r="D6" s="171"/>
      <c r="E6" s="174"/>
      <c r="F6" s="177"/>
      <c r="G6" s="180"/>
      <c r="H6" s="183"/>
      <c r="I6" s="186"/>
      <c r="J6" s="189"/>
      <c r="K6" s="192"/>
      <c r="L6" s="86"/>
      <c r="M6" s="87"/>
      <c r="N6" s="87"/>
      <c r="O6" s="86"/>
      <c r="P6" s="86"/>
      <c r="Q6" s="86"/>
      <c r="R6" s="86"/>
      <c r="S6" s="86"/>
      <c r="T6" s="86"/>
      <c r="U6" s="86"/>
      <c r="V6" s="86"/>
      <c r="W6" s="86"/>
    </row>
    <row r="7" spans="1:23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L7" s="86"/>
      <c r="M7" s="87"/>
      <c r="N7" s="87"/>
      <c r="O7" s="86"/>
      <c r="P7" s="86"/>
      <c r="Q7" s="86"/>
      <c r="R7" s="86"/>
      <c r="S7" s="86"/>
      <c r="T7" s="86"/>
      <c r="U7" s="86"/>
      <c r="V7" s="86"/>
      <c r="W7" s="86"/>
    </row>
    <row r="8" spans="1:23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91"/>
      <c r="M8" s="88"/>
      <c r="N8" s="87"/>
      <c r="O8" s="86"/>
      <c r="P8" s="86"/>
      <c r="Q8" s="86"/>
      <c r="R8" s="86"/>
      <c r="S8" s="86"/>
      <c r="T8" s="86"/>
      <c r="U8" s="86"/>
      <c r="V8" s="86"/>
      <c r="W8" s="86"/>
    </row>
    <row r="9" spans="1:23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L9" s="86"/>
      <c r="M9" s="87"/>
      <c r="N9" s="87"/>
      <c r="O9" s="86"/>
      <c r="P9" s="86"/>
      <c r="Q9" s="86"/>
      <c r="R9" s="86"/>
      <c r="S9" s="86"/>
      <c r="T9" s="86"/>
      <c r="U9" s="86"/>
      <c r="V9" s="86"/>
      <c r="W9" s="86"/>
    </row>
    <row r="10" spans="1:23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L10" s="86"/>
      <c r="M10" s="87"/>
      <c r="N10" s="87"/>
      <c r="O10" s="86"/>
      <c r="P10" s="86"/>
      <c r="Q10" s="86"/>
      <c r="R10" s="86"/>
      <c r="S10" s="86"/>
      <c r="T10" s="86"/>
      <c r="U10" s="86"/>
      <c r="V10" s="86"/>
      <c r="W10" s="86"/>
    </row>
    <row r="11" spans="1:23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L11" s="86"/>
      <c r="M11" s="87"/>
      <c r="N11" s="87"/>
      <c r="O11" s="86"/>
      <c r="P11" s="86"/>
      <c r="Q11" s="86"/>
      <c r="R11" s="86"/>
      <c r="S11" s="86"/>
      <c r="T11" s="86"/>
      <c r="U11" s="86"/>
      <c r="V11" s="86"/>
      <c r="W11" s="86"/>
    </row>
    <row r="12" spans="1:23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L12" s="86"/>
      <c r="M12" s="87"/>
      <c r="N12" s="87"/>
      <c r="O12" s="86"/>
      <c r="P12" s="86"/>
      <c r="Q12" s="86"/>
      <c r="R12" s="86"/>
      <c r="S12" s="86"/>
      <c r="T12" s="86"/>
      <c r="U12" s="86"/>
      <c r="V12" s="86"/>
      <c r="W12" s="86"/>
    </row>
    <row r="13" spans="1:23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L13" s="86"/>
      <c r="M13" s="87"/>
      <c r="N13" s="89"/>
      <c r="O13" s="86"/>
      <c r="P13" s="86"/>
      <c r="Q13" s="86"/>
      <c r="R13" s="86"/>
      <c r="S13" s="86"/>
      <c r="T13" s="86"/>
      <c r="U13" s="86"/>
      <c r="V13" s="86"/>
      <c r="W13" s="86"/>
    </row>
    <row r="14" spans="1:23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16000</v>
      </c>
      <c r="G14" s="8">
        <v>15000</v>
      </c>
      <c r="H14" s="8">
        <v>16000</v>
      </c>
      <c r="I14" s="8">
        <v>15000</v>
      </c>
      <c r="J14" s="52">
        <v>17000</v>
      </c>
      <c r="K14" s="79">
        <f t="shared" si="0"/>
        <v>15857.142857142857</v>
      </c>
      <c r="L14" s="86"/>
      <c r="M14" s="87"/>
      <c r="N14" s="87"/>
      <c r="O14" s="86"/>
      <c r="P14" s="86"/>
      <c r="Q14" s="86"/>
      <c r="R14" s="86"/>
      <c r="S14" s="86"/>
      <c r="T14" s="86"/>
      <c r="U14" s="86"/>
      <c r="V14" s="86"/>
      <c r="W14" s="86"/>
    </row>
    <row r="15" spans="1:23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16000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15642.857142857143</v>
      </c>
      <c r="L15" s="86"/>
      <c r="M15" s="87"/>
      <c r="N15" s="87"/>
      <c r="O15" s="86"/>
      <c r="P15" s="86"/>
      <c r="Q15" s="86"/>
      <c r="R15" s="86"/>
      <c r="S15" s="86"/>
      <c r="T15" s="86"/>
      <c r="U15" s="86"/>
      <c r="V15" s="86"/>
      <c r="W15" s="86"/>
    </row>
    <row r="16" spans="1:23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L16" s="86"/>
      <c r="M16" s="87"/>
      <c r="N16" s="87"/>
      <c r="O16" s="86"/>
      <c r="P16" s="86"/>
      <c r="Q16" s="86"/>
      <c r="R16" s="86"/>
      <c r="S16" s="86"/>
      <c r="T16" s="86"/>
      <c r="U16" s="86"/>
      <c r="V16" s="86"/>
      <c r="W16" s="86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L17" s="86"/>
      <c r="M17" s="87"/>
      <c r="N17" s="87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L18" s="86"/>
      <c r="M18" s="87"/>
      <c r="N18" s="87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L19" s="86"/>
      <c r="M19" s="87"/>
      <c r="N19" s="87"/>
    </row>
    <row r="20" spans="1:14" ht="15.75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L20" s="86"/>
      <c r="M20" s="87"/>
      <c r="N20" s="87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L21" s="86"/>
      <c r="M21" s="87"/>
      <c r="N21" s="87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L22" s="86"/>
      <c r="M22" s="87"/>
      <c r="N22" s="87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L23" s="86"/>
      <c r="M23" s="87"/>
      <c r="N23" s="87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L24" s="86"/>
      <c r="M24" s="87"/>
      <c r="N24" s="87"/>
    </row>
    <row r="25" spans="1:14" ht="15.75" x14ac:dyDescent="0.25">
      <c r="A25" s="144"/>
      <c r="B25" s="49" t="s">
        <v>19</v>
      </c>
      <c r="C25" s="12" t="s">
        <v>5</v>
      </c>
      <c r="D25" s="8">
        <v>32000</v>
      </c>
      <c r="E25" s="8">
        <v>32000</v>
      </c>
      <c r="F25" s="8">
        <v>31000</v>
      </c>
      <c r="G25" s="8">
        <v>31000</v>
      </c>
      <c r="H25" s="52">
        <v>33000</v>
      </c>
      <c r="I25" s="8">
        <v>32000</v>
      </c>
      <c r="J25" s="52">
        <v>30000</v>
      </c>
      <c r="K25" s="79">
        <f t="shared" si="0"/>
        <v>31571.428571428572</v>
      </c>
      <c r="L25" s="86"/>
      <c r="M25" s="87"/>
      <c r="N25" s="87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L26" s="86"/>
      <c r="M26" s="87"/>
      <c r="N26" s="87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L27" s="86"/>
      <c r="M27" s="87"/>
      <c r="N27" s="87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s="86" t="s">
        <v>98</v>
      </c>
      <c r="M28" s="87"/>
      <c r="N28" s="87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60000</v>
      </c>
      <c r="K29" s="79">
        <f t="shared" si="0"/>
        <v>63285.714285714283</v>
      </c>
      <c r="L29" s="86"/>
      <c r="M29" s="87"/>
      <c r="N29" s="87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L30" s="86"/>
      <c r="M30" s="87"/>
      <c r="N30" s="87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37000</v>
      </c>
      <c r="K31" s="79">
        <f t="shared" si="0"/>
        <v>37714.285714285717</v>
      </c>
      <c r="L31" s="86"/>
      <c r="M31" s="87"/>
      <c r="N31" s="87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L32" s="86"/>
      <c r="M32" s="87"/>
      <c r="N32" s="87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L33" s="86"/>
      <c r="M33" s="87"/>
      <c r="N33" s="87"/>
    </row>
    <row r="34" spans="1:14" ht="15.75" x14ac:dyDescent="0.25">
      <c r="A34" s="144"/>
      <c r="B34" s="49" t="s">
        <v>28</v>
      </c>
      <c r="C34" s="12" t="s">
        <v>5</v>
      </c>
      <c r="D34" s="8">
        <v>26000</v>
      </c>
      <c r="E34" s="8">
        <v>27000</v>
      </c>
      <c r="F34" s="8">
        <v>27000</v>
      </c>
      <c r="G34" s="8">
        <v>26000</v>
      </c>
      <c r="H34" s="8">
        <v>26000</v>
      </c>
      <c r="I34" s="8">
        <v>25000</v>
      </c>
      <c r="J34" s="52">
        <v>26000</v>
      </c>
      <c r="K34" s="79">
        <f t="shared" si="0"/>
        <v>26142.857142857141</v>
      </c>
      <c r="L34" s="86"/>
      <c r="M34" s="87"/>
      <c r="N34" s="87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2800</v>
      </c>
      <c r="L35" s="86"/>
      <c r="M35" s="87"/>
      <c r="N35" s="87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L36" s="86"/>
      <c r="M36" s="87"/>
      <c r="N36" s="87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L37" s="86"/>
      <c r="M37" s="87"/>
      <c r="N37" s="87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L38" s="86"/>
      <c r="M38" s="87"/>
      <c r="N38" s="87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L39" s="86"/>
      <c r="M39" s="87"/>
      <c r="N39" s="87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L40" s="86"/>
      <c r="M40" s="87"/>
      <c r="N40" s="87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L41" s="86"/>
      <c r="M41" s="87"/>
      <c r="N41" s="87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L42" s="86"/>
      <c r="M42" s="87"/>
      <c r="N42" s="87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L43" s="86"/>
      <c r="M43" s="87"/>
      <c r="N43" s="87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L44" s="86"/>
      <c r="M44" s="87"/>
      <c r="N44" s="87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L45" s="86"/>
      <c r="M45" s="87"/>
      <c r="N45" s="87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L46" s="86"/>
      <c r="M46" s="87"/>
      <c r="N46" s="87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L47" s="86"/>
      <c r="M47" s="87"/>
      <c r="N47" s="87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L48" s="86"/>
      <c r="M48" s="87"/>
      <c r="N48" s="87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L49" s="86"/>
      <c r="M49" s="87"/>
      <c r="N49" s="87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L50" s="86"/>
      <c r="M50" s="87"/>
      <c r="N50" s="87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L51" s="86"/>
      <c r="M51" s="87"/>
      <c r="N51" s="87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L52" s="86"/>
      <c r="M52" s="87"/>
      <c r="N52" s="87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L53" s="86"/>
      <c r="M53" s="87"/>
      <c r="N53" s="87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L54" s="86"/>
      <c r="M54" s="87"/>
      <c r="N54" s="87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L55" s="86"/>
      <c r="M55" s="87"/>
      <c r="N55" s="87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L56" s="86"/>
      <c r="M56" s="87"/>
      <c r="N56" s="87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L57" s="86"/>
      <c r="M57" s="87"/>
      <c r="N57" s="87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L58" s="86"/>
      <c r="M58" s="87" t="s">
        <v>99</v>
      </c>
      <c r="N58" s="87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L59" s="86"/>
      <c r="M59" s="87"/>
      <c r="N59" s="90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L60" s="86"/>
      <c r="M60" s="87"/>
      <c r="N60" s="87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L61" s="86"/>
      <c r="M61" s="87"/>
      <c r="N61" s="87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L62" s="86"/>
      <c r="M62" s="87"/>
      <c r="N62" s="87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L63" s="86"/>
      <c r="M63" s="87"/>
      <c r="N63" s="87"/>
    </row>
    <row r="64" spans="1:14" ht="15.75" x14ac:dyDescent="0.25">
      <c r="A64" s="144"/>
      <c r="B64" s="49" t="s">
        <v>58</v>
      </c>
      <c r="C64" s="12" t="s">
        <v>5</v>
      </c>
      <c r="D64" s="8">
        <v>55000</v>
      </c>
      <c r="E64" s="8">
        <v>55000</v>
      </c>
      <c r="F64" s="8">
        <v>60000</v>
      </c>
      <c r="G64" s="8">
        <v>55000</v>
      </c>
      <c r="H64" s="8">
        <v>50000</v>
      </c>
      <c r="I64" s="8">
        <v>45000</v>
      </c>
      <c r="J64" s="52">
        <v>60000</v>
      </c>
      <c r="K64" s="79">
        <f t="shared" si="0"/>
        <v>54285.714285714283</v>
      </c>
      <c r="L64" s="86"/>
      <c r="M64" s="87"/>
      <c r="N64" s="87"/>
    </row>
    <row r="65" spans="1:14" ht="15.75" x14ac:dyDescent="0.25">
      <c r="A65" s="144"/>
      <c r="B65" s="49" t="s">
        <v>59</v>
      </c>
      <c r="C65" s="12" t="s">
        <v>5</v>
      </c>
      <c r="D65" s="8">
        <v>65000</v>
      </c>
      <c r="E65" s="8">
        <v>65000</v>
      </c>
      <c r="F65" s="8">
        <v>57000</v>
      </c>
      <c r="G65" s="8">
        <v>65000</v>
      </c>
      <c r="H65" s="8">
        <v>50000</v>
      </c>
      <c r="I65" s="7">
        <v>50000</v>
      </c>
      <c r="J65" s="52" t="s">
        <v>97</v>
      </c>
      <c r="K65" s="79">
        <f t="shared" si="0"/>
        <v>58666.666666666664</v>
      </c>
      <c r="L65" s="86"/>
      <c r="M65" s="87"/>
      <c r="N65" s="87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80000</v>
      </c>
      <c r="F66" s="8">
        <v>75000</v>
      </c>
      <c r="G66" s="8">
        <v>80000</v>
      </c>
      <c r="H66" s="8">
        <v>80000</v>
      </c>
      <c r="I66" s="8">
        <v>80000</v>
      </c>
      <c r="J66" s="52">
        <v>80000</v>
      </c>
      <c r="K66" s="79">
        <f t="shared" si="0"/>
        <v>79285.71428571429</v>
      </c>
      <c r="L66" s="86"/>
      <c r="M66" s="87"/>
      <c r="N66" s="87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L67" s="86"/>
      <c r="M67" s="87"/>
      <c r="N67" s="87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18000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18333.333333333332</v>
      </c>
      <c r="L68" s="86"/>
      <c r="M68" s="87"/>
      <c r="N68" s="87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L69" s="86"/>
      <c r="M69" s="87"/>
      <c r="N69" s="87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34000</v>
      </c>
      <c r="J70" s="52">
        <v>35000</v>
      </c>
      <c r="K70" s="79">
        <f t="shared" si="0"/>
        <v>34000</v>
      </c>
      <c r="L70" s="86"/>
      <c r="M70" s="87"/>
      <c r="N70" s="87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30000</v>
      </c>
      <c r="I71" s="8">
        <v>30000</v>
      </c>
      <c r="J71" s="52">
        <v>33000</v>
      </c>
      <c r="K71" s="79">
        <f t="shared" si="0"/>
        <v>31857.142857142859</v>
      </c>
      <c r="L71" s="86"/>
      <c r="M71" s="87"/>
      <c r="N71" s="87"/>
    </row>
    <row r="72" spans="1:14" ht="15.75" x14ac:dyDescent="0.25">
      <c r="A72" s="144"/>
      <c r="B72" s="49" t="s">
        <v>67</v>
      </c>
      <c r="C72" s="12" t="s">
        <v>5</v>
      </c>
      <c r="D72" s="8">
        <v>26000</v>
      </c>
      <c r="E72" s="8">
        <v>24000</v>
      </c>
      <c r="F72" s="8">
        <v>22000</v>
      </c>
      <c r="G72" s="8">
        <v>24000</v>
      </c>
      <c r="H72" s="8">
        <v>25000</v>
      </c>
      <c r="I72" s="8">
        <v>25000</v>
      </c>
      <c r="J72" s="52">
        <v>23000</v>
      </c>
      <c r="K72" s="79">
        <f t="shared" si="0"/>
        <v>24142.857142857141</v>
      </c>
      <c r="L72" s="86"/>
      <c r="M72" s="87"/>
      <c r="N72" s="87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26500</v>
      </c>
      <c r="L73" s="86"/>
      <c r="M73" s="87"/>
      <c r="N73" s="87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L74" s="86"/>
      <c r="M74" s="87"/>
      <c r="N74" s="87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L75" s="86"/>
      <c r="M75" s="87"/>
      <c r="N75" s="87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L76" s="86"/>
      <c r="M76" s="87"/>
      <c r="N76" s="87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L77" s="86"/>
      <c r="M77" s="87"/>
      <c r="N77" s="87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L78" s="86"/>
      <c r="M78" s="87"/>
      <c r="N78" s="87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17000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L79" s="86"/>
      <c r="M79" s="87"/>
      <c r="N79" s="87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16000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15285.714285714286</v>
      </c>
      <c r="L80" s="86"/>
      <c r="M80" s="87"/>
      <c r="N80" s="87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6857.1428571428569</v>
      </c>
      <c r="L81" s="86"/>
      <c r="M81" s="87"/>
      <c r="N81" s="87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14000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12285.714285714286</v>
      </c>
      <c r="L82" s="86"/>
      <c r="M82" s="87"/>
      <c r="N82" s="87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L83" s="86"/>
      <c r="M83" s="87"/>
      <c r="N83" s="87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L84" s="86"/>
      <c r="M84" s="87"/>
      <c r="N84" s="87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L85" s="86"/>
      <c r="M85" s="87"/>
      <c r="N85" s="87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97</v>
      </c>
      <c r="H86" s="8">
        <v>2500</v>
      </c>
      <c r="I86" s="8" t="s">
        <v>97</v>
      </c>
      <c r="J86" s="55">
        <v>2000</v>
      </c>
      <c r="K86" s="79">
        <f t="shared" si="1"/>
        <v>2166.6666666666665</v>
      </c>
      <c r="L86" s="86"/>
      <c r="M86" s="87"/>
      <c r="N86" s="87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L87" s="86"/>
      <c r="M87" s="87"/>
      <c r="N87" s="87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18000</v>
      </c>
      <c r="J88" s="55">
        <v>18000</v>
      </c>
      <c r="K88" s="79">
        <f t="shared" si="1"/>
        <v>17750</v>
      </c>
      <c r="L88" s="86"/>
      <c r="M88" s="87"/>
      <c r="N88" s="87"/>
    </row>
    <row r="89" spans="1:14" ht="15.75" x14ac:dyDescent="0.25">
      <c r="A89" s="86"/>
      <c r="B89" s="86"/>
      <c r="C89" s="86"/>
      <c r="D89" s="86"/>
      <c r="E89" s="92"/>
      <c r="F89" s="93"/>
      <c r="G89" s="93"/>
      <c r="H89" s="93"/>
      <c r="I89" s="93"/>
      <c r="J89" s="94"/>
      <c r="K89" s="93"/>
      <c r="L89" s="86"/>
      <c r="M89" s="87"/>
      <c r="N89" s="87"/>
    </row>
    <row r="90" spans="1:14" ht="15.75" x14ac:dyDescent="0.25">
      <c r="A90" s="86"/>
      <c r="B90" s="15"/>
      <c r="C90" s="86"/>
      <c r="D90" s="86"/>
      <c r="E90" s="93"/>
      <c r="F90" s="93"/>
      <c r="G90" s="93"/>
      <c r="H90" s="93"/>
      <c r="I90" s="93"/>
      <c r="J90" s="94"/>
      <c r="K90" s="93"/>
      <c r="L90" s="86"/>
      <c r="M90" s="87"/>
      <c r="N90" s="87"/>
    </row>
    <row r="91" spans="1:14" ht="15.75" x14ac:dyDescent="0.25">
      <c r="A91" s="86"/>
      <c r="B91" s="86"/>
      <c r="C91" s="86"/>
      <c r="D91" s="86"/>
      <c r="E91" s="93"/>
      <c r="F91" s="93"/>
      <c r="G91" s="93"/>
      <c r="H91" s="93"/>
      <c r="I91" s="93"/>
      <c r="J91" s="94"/>
      <c r="K91" s="93"/>
      <c r="L91" s="86"/>
      <c r="M91" s="87"/>
      <c r="N91" s="87"/>
    </row>
    <row r="92" spans="1:14" ht="15.75" x14ac:dyDescent="0.25">
      <c r="A92" s="87"/>
      <c r="B92" s="87"/>
      <c r="C92" s="87"/>
      <c r="D92" s="95"/>
      <c r="E92" s="96"/>
      <c r="F92" s="96"/>
      <c r="G92" s="96"/>
      <c r="H92" s="96"/>
      <c r="I92" s="96"/>
      <c r="J92" s="97"/>
      <c r="K92" s="96"/>
      <c r="L92" s="87"/>
      <c r="M92" s="87"/>
      <c r="N92" s="87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92"/>
  <sheetViews>
    <sheetView workbookViewId="0">
      <selection sqref="A1:K88"/>
    </sheetView>
  </sheetViews>
  <sheetFormatPr defaultRowHeight="15" x14ac:dyDescent="0.25"/>
  <cols>
    <col min="1" max="1" width="5.75" customWidth="1"/>
    <col min="2" max="2" width="24.875" customWidth="1"/>
    <col min="4" max="11" width="12" customWidth="1"/>
  </cols>
  <sheetData>
    <row r="1" spans="1:23" ht="15.75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86"/>
      <c r="M1" s="87"/>
      <c r="N1" s="87"/>
      <c r="O1" s="86"/>
      <c r="P1" s="86"/>
      <c r="Q1" s="86"/>
      <c r="R1" s="86"/>
      <c r="S1" s="86"/>
      <c r="T1" s="86"/>
      <c r="U1" s="86"/>
      <c r="V1" s="86"/>
      <c r="W1" s="86"/>
    </row>
    <row r="2" spans="1:23" ht="15.75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86"/>
      <c r="M2" s="87"/>
      <c r="N2" s="87"/>
      <c r="O2" s="86"/>
      <c r="P2" s="86"/>
      <c r="Q2" s="86"/>
      <c r="R2" s="86"/>
      <c r="S2" s="86"/>
      <c r="T2" s="86"/>
      <c r="U2" s="86"/>
      <c r="V2" s="86"/>
      <c r="W2" s="86"/>
    </row>
    <row r="3" spans="1:23" ht="15.75" x14ac:dyDescent="0.25">
      <c r="A3" s="147" t="s">
        <v>155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86"/>
      <c r="M3" s="87"/>
      <c r="N3" s="87"/>
      <c r="O3" s="86"/>
      <c r="P3" s="86"/>
      <c r="Q3" s="86"/>
      <c r="R3" s="86"/>
      <c r="S3" s="86"/>
      <c r="T3" s="86"/>
      <c r="U3" s="86"/>
      <c r="V3" s="86"/>
      <c r="W3" s="86"/>
    </row>
    <row r="4" spans="1:23" ht="15.7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L4" s="86"/>
      <c r="M4" s="87"/>
      <c r="N4" s="87"/>
      <c r="O4" s="86"/>
      <c r="P4" s="86"/>
      <c r="Q4" s="86"/>
      <c r="R4" s="86"/>
      <c r="S4" s="86"/>
      <c r="T4" s="86"/>
      <c r="U4" s="86"/>
      <c r="V4" s="86"/>
      <c r="W4" s="86"/>
    </row>
    <row r="5" spans="1:23" ht="15.75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L5" s="86"/>
      <c r="M5" s="87"/>
      <c r="N5" s="87"/>
      <c r="O5" s="86"/>
      <c r="P5" s="86"/>
      <c r="Q5" s="86"/>
      <c r="R5" s="86"/>
      <c r="S5" s="86"/>
      <c r="T5" s="86"/>
      <c r="U5" s="86"/>
      <c r="V5" s="86"/>
      <c r="W5" s="86"/>
    </row>
    <row r="6" spans="1:23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L6" s="86"/>
      <c r="M6" s="87"/>
      <c r="N6" s="87"/>
      <c r="O6" s="86"/>
      <c r="P6" s="86"/>
      <c r="Q6" s="86"/>
      <c r="R6" s="86"/>
      <c r="S6" s="86"/>
      <c r="T6" s="86"/>
      <c r="U6" s="86"/>
      <c r="V6" s="86"/>
      <c r="W6" s="86"/>
    </row>
    <row r="7" spans="1:23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L7" s="86"/>
      <c r="M7" s="87"/>
      <c r="N7" s="87"/>
      <c r="O7" s="86"/>
      <c r="P7" s="86"/>
      <c r="Q7" s="86"/>
      <c r="R7" s="86"/>
      <c r="S7" s="86"/>
      <c r="T7" s="86"/>
      <c r="U7" s="86"/>
      <c r="V7" s="86"/>
      <c r="W7" s="86"/>
    </row>
    <row r="8" spans="1:23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91"/>
      <c r="M8" s="88"/>
      <c r="N8" s="87"/>
      <c r="O8" s="86"/>
      <c r="P8" s="86"/>
      <c r="Q8" s="86"/>
      <c r="R8" s="86"/>
      <c r="S8" s="86"/>
      <c r="T8" s="86"/>
      <c r="U8" s="86"/>
      <c r="V8" s="86"/>
      <c r="W8" s="86"/>
    </row>
    <row r="9" spans="1:23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L9" s="86"/>
      <c r="M9" s="87"/>
      <c r="N9" s="87"/>
      <c r="O9" s="86"/>
      <c r="P9" s="86"/>
      <c r="Q9" s="86"/>
      <c r="R9" s="86"/>
      <c r="S9" s="86"/>
      <c r="T9" s="86"/>
      <c r="U9" s="86"/>
      <c r="V9" s="86"/>
      <c r="W9" s="86"/>
    </row>
    <row r="10" spans="1:23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L10" s="86"/>
      <c r="M10" s="87"/>
      <c r="N10" s="87"/>
      <c r="O10" s="86"/>
      <c r="P10" s="86"/>
      <c r="Q10" s="86"/>
      <c r="R10" s="86"/>
      <c r="S10" s="86"/>
      <c r="T10" s="86"/>
      <c r="U10" s="86"/>
      <c r="V10" s="86"/>
      <c r="W10" s="86"/>
    </row>
    <row r="11" spans="1:23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L11" s="86"/>
      <c r="M11" s="87"/>
      <c r="N11" s="87"/>
      <c r="O11" s="86"/>
      <c r="P11" s="86"/>
      <c r="Q11" s="86"/>
      <c r="R11" s="86"/>
      <c r="S11" s="86"/>
      <c r="T11" s="86"/>
      <c r="U11" s="86"/>
      <c r="V11" s="86"/>
      <c r="W11" s="86"/>
    </row>
    <row r="12" spans="1:23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L12" s="86"/>
      <c r="M12" s="87"/>
      <c r="N12" s="87"/>
      <c r="O12" s="86"/>
      <c r="P12" s="86"/>
      <c r="Q12" s="86"/>
      <c r="R12" s="86"/>
      <c r="S12" s="86"/>
      <c r="T12" s="86"/>
      <c r="U12" s="86"/>
      <c r="V12" s="86"/>
      <c r="W12" s="86"/>
    </row>
    <row r="13" spans="1:23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L13" s="86"/>
      <c r="M13" s="87"/>
      <c r="N13" s="89"/>
      <c r="O13" s="86"/>
      <c r="P13" s="86"/>
      <c r="Q13" s="86"/>
      <c r="R13" s="86"/>
      <c r="S13" s="86"/>
      <c r="T13" s="86"/>
      <c r="U13" s="86"/>
      <c r="V13" s="86"/>
      <c r="W13" s="86"/>
    </row>
    <row r="14" spans="1:23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16000</v>
      </c>
      <c r="G14" s="8">
        <v>15000</v>
      </c>
      <c r="H14" s="8">
        <v>16000</v>
      </c>
      <c r="I14" s="8">
        <v>15000</v>
      </c>
      <c r="J14" s="52">
        <v>17000</v>
      </c>
      <c r="K14" s="79">
        <f t="shared" si="0"/>
        <v>15857.142857142857</v>
      </c>
      <c r="L14" s="86"/>
      <c r="M14" s="87"/>
      <c r="N14" s="87"/>
      <c r="O14" s="86"/>
      <c r="P14" s="86"/>
      <c r="Q14" s="86"/>
      <c r="R14" s="86"/>
      <c r="S14" s="86"/>
      <c r="T14" s="86"/>
      <c r="U14" s="86"/>
      <c r="V14" s="86"/>
      <c r="W14" s="86"/>
    </row>
    <row r="15" spans="1:23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16000</v>
      </c>
      <c r="G15" s="7">
        <v>15000</v>
      </c>
      <c r="H15" s="8">
        <v>15000</v>
      </c>
      <c r="I15" s="8">
        <v>15000</v>
      </c>
      <c r="J15" s="52">
        <v>17500</v>
      </c>
      <c r="K15" s="79">
        <f>AVERAGE(D15:J15)</f>
        <v>15642.857142857143</v>
      </c>
      <c r="L15" s="86"/>
      <c r="M15" s="87"/>
      <c r="N15" s="87"/>
      <c r="O15" s="86"/>
      <c r="P15" s="86"/>
      <c r="Q15" s="86"/>
      <c r="R15" s="86"/>
      <c r="S15" s="86"/>
      <c r="T15" s="86"/>
      <c r="U15" s="86"/>
      <c r="V15" s="86"/>
      <c r="W15" s="86"/>
    </row>
    <row r="16" spans="1:23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L16" s="86"/>
      <c r="M16" s="87"/>
      <c r="N16" s="87"/>
      <c r="O16" s="86"/>
      <c r="P16" s="86"/>
      <c r="Q16" s="86"/>
      <c r="R16" s="86"/>
      <c r="S16" s="86"/>
      <c r="T16" s="86"/>
      <c r="U16" s="86"/>
      <c r="V16" s="86"/>
      <c r="W16" s="86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L17" s="86"/>
      <c r="M17" s="87"/>
      <c r="N17" s="87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L18" s="86"/>
      <c r="M18" s="87"/>
      <c r="N18" s="87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L19" s="86"/>
      <c r="M19" s="87"/>
      <c r="N19" s="87"/>
    </row>
    <row r="20" spans="1:14" ht="15.75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L20" s="86"/>
      <c r="M20" s="87"/>
      <c r="N20" s="87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L21" s="86"/>
      <c r="M21" s="87"/>
      <c r="N21" s="87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L22" s="86"/>
      <c r="M22" s="87"/>
      <c r="N22" s="87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L23" s="86"/>
      <c r="M23" s="87"/>
      <c r="N23" s="87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L24" s="86"/>
      <c r="M24" s="87"/>
      <c r="N24" s="87"/>
    </row>
    <row r="25" spans="1:14" ht="15.75" x14ac:dyDescent="0.25">
      <c r="A25" s="144"/>
      <c r="B25" s="49" t="s">
        <v>19</v>
      </c>
      <c r="C25" s="12" t="s">
        <v>5</v>
      </c>
      <c r="D25" s="8">
        <v>32000</v>
      </c>
      <c r="E25" s="8">
        <v>32000</v>
      </c>
      <c r="F25" s="8">
        <v>32000</v>
      </c>
      <c r="G25" s="8">
        <v>31000</v>
      </c>
      <c r="H25" s="52">
        <v>33000</v>
      </c>
      <c r="I25" s="8">
        <v>32000</v>
      </c>
      <c r="J25" s="52">
        <v>30000</v>
      </c>
      <c r="K25" s="79">
        <f t="shared" si="0"/>
        <v>31714.285714285714</v>
      </c>
      <c r="L25" s="86"/>
      <c r="M25" s="87"/>
      <c r="N25" s="87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L26" s="86"/>
      <c r="M26" s="87"/>
      <c r="N26" s="87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L27" s="86"/>
      <c r="M27" s="87"/>
      <c r="N27" s="87"/>
    </row>
    <row r="28" spans="1:14" ht="15.75" x14ac:dyDescent="0.25">
      <c r="A28" s="144"/>
      <c r="B28" s="49" t="s">
        <v>22</v>
      </c>
      <c r="C28" s="12" t="s">
        <v>5</v>
      </c>
      <c r="D28" s="8">
        <v>30000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28571.428571428572</v>
      </c>
      <c r="L28" s="86" t="s">
        <v>98</v>
      </c>
      <c r="M28" s="87"/>
      <c r="N28" s="87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60000</v>
      </c>
      <c r="K29" s="79">
        <f t="shared" si="0"/>
        <v>63285.714285714283</v>
      </c>
      <c r="L29" s="86"/>
      <c r="M29" s="87"/>
      <c r="N29" s="87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L30" s="86"/>
      <c r="M30" s="87"/>
      <c r="N30" s="87"/>
    </row>
    <row r="31" spans="1:14" ht="15.75" x14ac:dyDescent="0.25">
      <c r="A31" s="144"/>
      <c r="B31" s="49" t="s">
        <v>25</v>
      </c>
      <c r="C31" s="12" t="s">
        <v>5</v>
      </c>
      <c r="D31" s="8">
        <v>40000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37000</v>
      </c>
      <c r="K31" s="79">
        <f t="shared" si="0"/>
        <v>37714.285714285717</v>
      </c>
      <c r="L31" s="86"/>
      <c r="M31" s="87"/>
      <c r="N31" s="87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L32" s="86"/>
      <c r="M32" s="87"/>
      <c r="N32" s="87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L33" s="86"/>
      <c r="M33" s="87"/>
      <c r="N33" s="87"/>
    </row>
    <row r="34" spans="1:14" ht="15.75" x14ac:dyDescent="0.25">
      <c r="A34" s="144"/>
      <c r="B34" s="49" t="s">
        <v>28</v>
      </c>
      <c r="C34" s="12" t="s">
        <v>5</v>
      </c>
      <c r="D34" s="8">
        <v>26000</v>
      </c>
      <c r="E34" s="8">
        <v>27000</v>
      </c>
      <c r="F34" s="8">
        <v>27000</v>
      </c>
      <c r="G34" s="8">
        <v>26000</v>
      </c>
      <c r="H34" s="8">
        <v>26000</v>
      </c>
      <c r="I34" s="8">
        <v>25000</v>
      </c>
      <c r="J34" s="52">
        <v>26000</v>
      </c>
      <c r="K34" s="79">
        <f t="shared" si="0"/>
        <v>26142.857142857141</v>
      </c>
      <c r="L34" s="86"/>
      <c r="M34" s="87"/>
      <c r="N34" s="87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2800</v>
      </c>
      <c r="L35" s="86"/>
      <c r="M35" s="87"/>
      <c r="N35" s="87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L36" s="86"/>
      <c r="M36" s="87"/>
      <c r="N36" s="87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L37" s="86"/>
      <c r="M37" s="87"/>
      <c r="N37" s="87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L38" s="86"/>
      <c r="M38" s="87"/>
      <c r="N38" s="87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L39" s="86"/>
      <c r="M39" s="87"/>
      <c r="N39" s="87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L40" s="86"/>
      <c r="M40" s="87"/>
      <c r="N40" s="87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L41" s="86"/>
      <c r="M41" s="87"/>
      <c r="N41" s="87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L42" s="86"/>
      <c r="M42" s="87"/>
      <c r="N42" s="87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L43" s="86"/>
      <c r="M43" s="87"/>
      <c r="N43" s="87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L44" s="86"/>
      <c r="M44" s="87"/>
      <c r="N44" s="87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L45" s="86"/>
      <c r="M45" s="87"/>
      <c r="N45" s="87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L46" s="86"/>
      <c r="M46" s="87"/>
      <c r="N46" s="87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L47" s="86"/>
      <c r="M47" s="87"/>
      <c r="N47" s="87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L48" s="86"/>
      <c r="M48" s="87"/>
      <c r="N48" s="87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L49" s="86"/>
      <c r="M49" s="87"/>
      <c r="N49" s="87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L50" s="86"/>
      <c r="M50" s="87"/>
      <c r="N50" s="87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L51" s="86"/>
      <c r="M51" s="87"/>
      <c r="N51" s="87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L52" s="86"/>
      <c r="M52" s="87"/>
      <c r="N52" s="87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L53" s="86"/>
      <c r="M53" s="87"/>
      <c r="N53" s="87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L54" s="86"/>
      <c r="M54" s="87"/>
      <c r="N54" s="87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L55" s="86"/>
      <c r="M55" s="87"/>
      <c r="N55" s="87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L56" s="86"/>
      <c r="M56" s="87"/>
      <c r="N56" s="87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L57" s="86"/>
      <c r="M57" s="87"/>
      <c r="N57" s="87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L58" s="86"/>
      <c r="M58" s="87" t="s">
        <v>99</v>
      </c>
      <c r="N58" s="87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L59" s="86"/>
      <c r="M59" s="87"/>
      <c r="N59" s="90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L60" s="86"/>
      <c r="M60" s="87"/>
      <c r="N60" s="87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L61" s="86"/>
      <c r="M61" s="87"/>
      <c r="N61" s="87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L62" s="86"/>
      <c r="M62" s="87"/>
      <c r="N62" s="87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L63" s="86"/>
      <c r="M63" s="87"/>
      <c r="N63" s="87"/>
    </row>
    <row r="64" spans="1:14" ht="15.75" x14ac:dyDescent="0.25">
      <c r="A64" s="144"/>
      <c r="B64" s="49" t="s">
        <v>58</v>
      </c>
      <c r="C64" s="12" t="s">
        <v>5</v>
      </c>
      <c r="D64" s="8">
        <v>55000</v>
      </c>
      <c r="E64" s="8">
        <v>55000</v>
      </c>
      <c r="F64" s="8">
        <v>60000</v>
      </c>
      <c r="G64" s="8">
        <v>60000</v>
      </c>
      <c r="H64" s="8">
        <v>50000</v>
      </c>
      <c r="I64" s="8">
        <v>45000</v>
      </c>
      <c r="J64" s="52">
        <v>60000</v>
      </c>
      <c r="K64" s="79">
        <f t="shared" si="0"/>
        <v>55000</v>
      </c>
      <c r="L64" s="86"/>
      <c r="M64" s="87"/>
      <c r="N64" s="87"/>
    </row>
    <row r="65" spans="1:14" ht="15.75" x14ac:dyDescent="0.25">
      <c r="A65" s="144"/>
      <c r="B65" s="49" t="s">
        <v>59</v>
      </c>
      <c r="C65" s="12" t="s">
        <v>5</v>
      </c>
      <c r="D65" s="8">
        <v>65000</v>
      </c>
      <c r="E65" s="8">
        <v>65000</v>
      </c>
      <c r="F65" s="8">
        <v>55000</v>
      </c>
      <c r="G65" s="8">
        <v>60000</v>
      </c>
      <c r="H65" s="8">
        <v>50000</v>
      </c>
      <c r="I65" s="7">
        <v>55000</v>
      </c>
      <c r="J65" s="52" t="s">
        <v>97</v>
      </c>
      <c r="K65" s="79">
        <f t="shared" si="0"/>
        <v>58333.333333333336</v>
      </c>
      <c r="L65" s="86"/>
      <c r="M65" s="87"/>
      <c r="N65" s="87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80000</v>
      </c>
      <c r="F66" s="8">
        <v>75000</v>
      </c>
      <c r="G66" s="8">
        <v>80000</v>
      </c>
      <c r="H66" s="8">
        <v>80000</v>
      </c>
      <c r="I66" s="8">
        <v>80000</v>
      </c>
      <c r="J66" s="52">
        <v>80000</v>
      </c>
      <c r="K66" s="79">
        <f t="shared" si="0"/>
        <v>79285.71428571429</v>
      </c>
      <c r="L66" s="86"/>
      <c r="M66" s="87"/>
      <c r="N66" s="87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L67" s="86"/>
      <c r="M67" s="87"/>
      <c r="N67" s="87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18000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18333.333333333332</v>
      </c>
      <c r="L68" s="86"/>
      <c r="M68" s="87"/>
      <c r="N68" s="87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L69" s="86"/>
      <c r="M69" s="87"/>
      <c r="N69" s="87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34000</v>
      </c>
      <c r="J70" s="52">
        <v>35000</v>
      </c>
      <c r="K70" s="79">
        <f t="shared" si="0"/>
        <v>34000</v>
      </c>
      <c r="L70" s="86"/>
      <c r="M70" s="87"/>
      <c r="N70" s="87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30000</v>
      </c>
      <c r="I71" s="8">
        <v>30000</v>
      </c>
      <c r="J71" s="52">
        <v>33000</v>
      </c>
      <c r="K71" s="79">
        <f t="shared" si="0"/>
        <v>31857.142857142859</v>
      </c>
      <c r="L71" s="86"/>
      <c r="M71" s="87"/>
      <c r="N71" s="87"/>
    </row>
    <row r="72" spans="1:14" ht="15.75" x14ac:dyDescent="0.25">
      <c r="A72" s="144"/>
      <c r="B72" s="49" t="s">
        <v>67</v>
      </c>
      <c r="C72" s="12" t="s">
        <v>5</v>
      </c>
      <c r="D72" s="8">
        <v>26000</v>
      </c>
      <c r="E72" s="8">
        <v>24000</v>
      </c>
      <c r="F72" s="8">
        <v>22000</v>
      </c>
      <c r="G72" s="8">
        <v>24000</v>
      </c>
      <c r="H72" s="8">
        <v>25000</v>
      </c>
      <c r="I72" s="8">
        <v>25000</v>
      </c>
      <c r="J72" s="52">
        <v>23000</v>
      </c>
      <c r="K72" s="79">
        <f t="shared" si="0"/>
        <v>24142.857142857141</v>
      </c>
      <c r="L72" s="86"/>
      <c r="M72" s="87"/>
      <c r="N72" s="87"/>
    </row>
    <row r="73" spans="1:14" ht="15.75" x14ac:dyDescent="0.25">
      <c r="A73" s="144"/>
      <c r="B73" s="49" t="s">
        <v>68</v>
      </c>
      <c r="C73" s="12" t="s">
        <v>5</v>
      </c>
      <c r="D73" s="8">
        <v>30000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26500</v>
      </c>
      <c r="L73" s="86"/>
      <c r="M73" s="87"/>
      <c r="N73" s="87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L74" s="86"/>
      <c r="M74" s="87"/>
      <c r="N74" s="87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L75" s="86"/>
      <c r="M75" s="87"/>
      <c r="N75" s="87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L76" s="86"/>
      <c r="M76" s="87"/>
      <c r="N76" s="87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L77" s="86"/>
      <c r="M77" s="87"/>
      <c r="N77" s="87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L78" s="86"/>
      <c r="M78" s="87"/>
      <c r="N78" s="87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17000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L79" s="86"/>
      <c r="M79" s="87"/>
      <c r="N79" s="87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16000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15285.714285714286</v>
      </c>
      <c r="L80" s="86"/>
      <c r="M80" s="87"/>
      <c r="N80" s="87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6857.1428571428569</v>
      </c>
      <c r="L81" s="86"/>
      <c r="M81" s="87"/>
      <c r="N81" s="87"/>
    </row>
    <row r="82" spans="1:14" ht="15.75" x14ac:dyDescent="0.25">
      <c r="A82" s="12"/>
      <c r="B82" s="49" t="s">
        <v>77</v>
      </c>
      <c r="C82" s="60" t="s">
        <v>5</v>
      </c>
      <c r="D82" s="8">
        <v>12000</v>
      </c>
      <c r="E82" s="8">
        <v>12000</v>
      </c>
      <c r="F82" s="8">
        <v>14000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12285.714285714286</v>
      </c>
      <c r="L82" s="86"/>
      <c r="M82" s="87"/>
      <c r="N82" s="87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L83" s="86"/>
      <c r="M83" s="87"/>
      <c r="N83" s="87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L84" s="86"/>
      <c r="M84" s="87"/>
      <c r="N84" s="87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L85" s="86"/>
      <c r="M85" s="87"/>
      <c r="N85" s="87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97</v>
      </c>
      <c r="H86" s="8">
        <v>2500</v>
      </c>
      <c r="I86" s="8" t="s">
        <v>97</v>
      </c>
      <c r="J86" s="55">
        <v>2000</v>
      </c>
      <c r="K86" s="79">
        <f t="shared" si="1"/>
        <v>2166.6666666666665</v>
      </c>
      <c r="L86" s="86"/>
      <c r="M86" s="87"/>
      <c r="N86" s="87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L87" s="86"/>
      <c r="M87" s="87"/>
      <c r="N87" s="87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18000</v>
      </c>
      <c r="J88" s="55">
        <v>18000</v>
      </c>
      <c r="K88" s="79">
        <f t="shared" si="1"/>
        <v>17750</v>
      </c>
      <c r="L88" s="86"/>
      <c r="M88" s="87"/>
      <c r="N88" s="87"/>
    </row>
    <row r="89" spans="1:14" ht="15.75" x14ac:dyDescent="0.25">
      <c r="A89" s="86"/>
      <c r="B89" s="86"/>
      <c r="C89" s="86"/>
      <c r="D89" s="86"/>
      <c r="E89" s="92"/>
      <c r="F89" s="93"/>
      <c r="G89" s="93"/>
      <c r="H89" s="93"/>
      <c r="I89" s="93"/>
      <c r="J89" s="94"/>
      <c r="K89" s="93"/>
      <c r="L89" s="86"/>
      <c r="M89" s="87"/>
      <c r="N89" s="87"/>
    </row>
    <row r="90" spans="1:14" ht="15.75" x14ac:dyDescent="0.25">
      <c r="A90" s="86"/>
      <c r="B90" s="15"/>
      <c r="C90" s="86"/>
      <c r="D90" s="86"/>
      <c r="E90" s="93"/>
      <c r="F90" s="93"/>
      <c r="G90" s="93"/>
      <c r="H90" s="93"/>
      <c r="I90" s="93"/>
      <c r="J90" s="94"/>
      <c r="K90" s="93"/>
      <c r="L90" s="86"/>
      <c r="M90" s="87"/>
      <c r="N90" s="87"/>
    </row>
    <row r="91" spans="1:14" ht="15.75" x14ac:dyDescent="0.25">
      <c r="A91" s="86"/>
      <c r="B91" s="86"/>
      <c r="C91" s="86"/>
      <c r="D91" s="86"/>
      <c r="E91" s="93"/>
      <c r="F91" s="93"/>
      <c r="G91" s="93"/>
      <c r="H91" s="93"/>
      <c r="I91" s="93"/>
      <c r="J91" s="94"/>
      <c r="K91" s="93"/>
      <c r="L91" s="86"/>
      <c r="M91" s="87"/>
      <c r="N91" s="87"/>
    </row>
    <row r="92" spans="1:14" ht="15.75" x14ac:dyDescent="0.25">
      <c r="A92" s="87"/>
      <c r="B92" s="87"/>
      <c r="C92" s="87"/>
      <c r="D92" s="95"/>
      <c r="E92" s="96"/>
      <c r="F92" s="96"/>
      <c r="G92" s="96"/>
      <c r="H92" s="96"/>
      <c r="I92" s="96"/>
      <c r="J92" s="97"/>
      <c r="K92" s="96"/>
      <c r="L92" s="87"/>
      <c r="M92" s="87"/>
      <c r="N92" s="87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92"/>
  <sheetViews>
    <sheetView workbookViewId="0">
      <selection sqref="A1:K88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59" t="s">
        <v>156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M3" s="5"/>
      <c r="N3" s="5"/>
    </row>
    <row r="4" spans="1:14" ht="25.5" customHeight="1" x14ac:dyDescent="0.25">
      <c r="A4" s="160" t="s">
        <v>1</v>
      </c>
      <c r="B4" s="163" t="s">
        <v>2</v>
      </c>
      <c r="C4" s="166" t="s">
        <v>88</v>
      </c>
      <c r="D4" s="169" t="s">
        <v>89</v>
      </c>
      <c r="E4" s="172" t="s">
        <v>90</v>
      </c>
      <c r="F4" s="175" t="s">
        <v>91</v>
      </c>
      <c r="G4" s="178" t="s">
        <v>92</v>
      </c>
      <c r="H4" s="181" t="s">
        <v>93</v>
      </c>
      <c r="I4" s="184" t="s">
        <v>94</v>
      </c>
      <c r="J4" s="187" t="s">
        <v>95</v>
      </c>
      <c r="K4" s="190" t="s">
        <v>96</v>
      </c>
      <c r="M4" s="5"/>
      <c r="N4" s="5"/>
    </row>
    <row r="5" spans="1:14" ht="15" customHeight="1" x14ac:dyDescent="0.25">
      <c r="A5" s="161"/>
      <c r="B5" s="164"/>
      <c r="C5" s="167"/>
      <c r="D5" s="170"/>
      <c r="E5" s="173"/>
      <c r="F5" s="176"/>
      <c r="G5" s="179"/>
      <c r="H5" s="182"/>
      <c r="I5" s="185"/>
      <c r="J5" s="188"/>
      <c r="K5" s="191"/>
      <c r="M5" s="5"/>
      <c r="N5" s="5"/>
    </row>
    <row r="6" spans="1:14" ht="15.75" x14ac:dyDescent="0.25">
      <c r="A6" s="162"/>
      <c r="B6" s="165"/>
      <c r="C6" s="168"/>
      <c r="D6" s="171"/>
      <c r="E6" s="174"/>
      <c r="F6" s="177"/>
      <c r="G6" s="180"/>
      <c r="H6" s="183"/>
      <c r="I6" s="186"/>
      <c r="J6" s="189"/>
      <c r="K6" s="192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16000</v>
      </c>
      <c r="G14" s="8">
        <v>15000</v>
      </c>
      <c r="H14" s="8">
        <v>16000</v>
      </c>
      <c r="I14" s="8">
        <v>16000</v>
      </c>
      <c r="J14" s="52">
        <v>17000</v>
      </c>
      <c r="K14" s="79">
        <f t="shared" si="0"/>
        <v>16000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16000</v>
      </c>
      <c r="G15" s="7">
        <v>15000</v>
      </c>
      <c r="H15" s="8">
        <v>15000</v>
      </c>
      <c r="I15" s="8">
        <v>16000</v>
      </c>
      <c r="J15" s="52">
        <v>17500</v>
      </c>
      <c r="K15" s="79">
        <f>AVERAGE(D15:J15)</f>
        <v>15785.714285714286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32000</v>
      </c>
      <c r="E25" s="8">
        <v>32000</v>
      </c>
      <c r="F25" s="8">
        <v>32000</v>
      </c>
      <c r="G25" s="8">
        <v>31000</v>
      </c>
      <c r="H25" s="52">
        <v>31000</v>
      </c>
      <c r="I25" s="8">
        <v>32000</v>
      </c>
      <c r="J25" s="52">
        <v>32000</v>
      </c>
      <c r="K25" s="79">
        <f t="shared" si="0"/>
        <v>31714.285714285714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36000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35800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27857.142857142859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60000</v>
      </c>
      <c r="K29" s="79">
        <f t="shared" si="0"/>
        <v>63285.714285714283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37000</v>
      </c>
      <c r="K31" s="79">
        <f t="shared" si="0"/>
        <v>37000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26500</v>
      </c>
      <c r="E34" s="8">
        <v>27000</v>
      </c>
      <c r="F34" s="8">
        <v>27000</v>
      </c>
      <c r="G34" s="8">
        <v>27000</v>
      </c>
      <c r="H34" s="8">
        <v>26000</v>
      </c>
      <c r="I34" s="8">
        <v>25000</v>
      </c>
      <c r="J34" s="52">
        <v>26000</v>
      </c>
      <c r="K34" s="79">
        <f t="shared" si="0"/>
        <v>26357.142857142859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2800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70000</v>
      </c>
      <c r="E64" s="8">
        <v>55000</v>
      </c>
      <c r="F64" s="8">
        <v>60000</v>
      </c>
      <c r="G64" s="8">
        <v>60000</v>
      </c>
      <c r="H64" s="8">
        <v>70000</v>
      </c>
      <c r="I64" s="8">
        <v>55000</v>
      </c>
      <c r="J64" s="52">
        <v>60000</v>
      </c>
      <c r="K64" s="79">
        <f t="shared" si="0"/>
        <v>61428.571428571428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70000</v>
      </c>
      <c r="E65" s="8">
        <v>65000</v>
      </c>
      <c r="F65" s="8">
        <v>55000</v>
      </c>
      <c r="G65" s="8">
        <v>60000</v>
      </c>
      <c r="H65" s="8">
        <v>70000</v>
      </c>
      <c r="I65" s="7">
        <v>55000</v>
      </c>
      <c r="J65" s="52" t="s">
        <v>97</v>
      </c>
      <c r="K65" s="79">
        <f t="shared" si="0"/>
        <v>62500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75000</v>
      </c>
      <c r="F66" s="8">
        <v>75000</v>
      </c>
      <c r="G66" s="8">
        <v>80000</v>
      </c>
      <c r="H66" s="8">
        <v>85000</v>
      </c>
      <c r="I66" s="8">
        <v>75000</v>
      </c>
      <c r="J66" s="52">
        <v>80000</v>
      </c>
      <c r="K66" s="79">
        <f t="shared" si="0"/>
        <v>78571.428571428565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18000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18333.333333333332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30000</v>
      </c>
      <c r="I71" s="8">
        <v>30000</v>
      </c>
      <c r="J71" s="52">
        <v>33000</v>
      </c>
      <c r="K71" s="79">
        <f t="shared" si="0"/>
        <v>31857.142857142859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28000</v>
      </c>
      <c r="E72" s="8">
        <v>24000</v>
      </c>
      <c r="F72" s="8">
        <v>22000</v>
      </c>
      <c r="G72" s="8">
        <v>24000</v>
      </c>
      <c r="H72" s="8">
        <v>25000</v>
      </c>
      <c r="I72" s="8">
        <v>25000</v>
      </c>
      <c r="J72" s="52">
        <v>23000</v>
      </c>
      <c r="K72" s="79">
        <f t="shared" si="0"/>
        <v>24428.571428571428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28000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26166.666666666668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17000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16000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15285.714285714286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6857.1428571428569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10000</v>
      </c>
      <c r="E82" s="8">
        <v>12000</v>
      </c>
      <c r="F82" s="8">
        <v>14000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12000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97</v>
      </c>
      <c r="H86" s="8">
        <v>2500</v>
      </c>
      <c r="I86" s="8" t="s">
        <v>97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18000</v>
      </c>
      <c r="J88" s="55">
        <v>18000</v>
      </c>
      <c r="K88" s="79">
        <f t="shared" si="1"/>
        <v>17750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92"/>
  <sheetViews>
    <sheetView zoomScale="55" zoomScaleNormal="55"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59" t="s">
        <v>157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M3" s="5"/>
      <c r="N3" s="5"/>
    </row>
    <row r="4" spans="1:14" ht="25.5" customHeight="1" x14ac:dyDescent="0.25">
      <c r="A4" s="160" t="s">
        <v>1</v>
      </c>
      <c r="B4" s="163" t="s">
        <v>2</v>
      </c>
      <c r="C4" s="166" t="s">
        <v>88</v>
      </c>
      <c r="D4" s="169" t="s">
        <v>89</v>
      </c>
      <c r="E4" s="172" t="s">
        <v>90</v>
      </c>
      <c r="F4" s="175" t="s">
        <v>91</v>
      </c>
      <c r="G4" s="178" t="s">
        <v>92</v>
      </c>
      <c r="H4" s="181" t="s">
        <v>93</v>
      </c>
      <c r="I4" s="184" t="s">
        <v>94</v>
      </c>
      <c r="J4" s="187" t="s">
        <v>95</v>
      </c>
      <c r="K4" s="190" t="s">
        <v>96</v>
      </c>
      <c r="M4" s="5"/>
      <c r="N4" s="5"/>
    </row>
    <row r="5" spans="1:14" ht="15" customHeight="1" x14ac:dyDescent="0.25">
      <c r="A5" s="161"/>
      <c r="B5" s="164"/>
      <c r="C5" s="167"/>
      <c r="D5" s="170"/>
      <c r="E5" s="173"/>
      <c r="F5" s="176"/>
      <c r="G5" s="179"/>
      <c r="H5" s="182"/>
      <c r="I5" s="185"/>
      <c r="J5" s="188"/>
      <c r="K5" s="191"/>
      <c r="M5" s="5"/>
      <c r="N5" s="5"/>
    </row>
    <row r="6" spans="1:14" ht="15.75" x14ac:dyDescent="0.25">
      <c r="A6" s="162"/>
      <c r="B6" s="165"/>
      <c r="C6" s="168"/>
      <c r="D6" s="171"/>
      <c r="E6" s="174"/>
      <c r="F6" s="177"/>
      <c r="G6" s="180"/>
      <c r="H6" s="183"/>
      <c r="I6" s="186"/>
      <c r="J6" s="189"/>
      <c r="K6" s="192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14000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13985.714285714286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16000</v>
      </c>
      <c r="G14" s="8">
        <v>15000</v>
      </c>
      <c r="H14" s="8">
        <v>16000</v>
      </c>
      <c r="I14" s="8">
        <v>16000</v>
      </c>
      <c r="J14" s="52">
        <v>17000</v>
      </c>
      <c r="K14" s="79">
        <f t="shared" si="0"/>
        <v>16000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16000</v>
      </c>
      <c r="G15" s="7">
        <v>15000</v>
      </c>
      <c r="H15" s="8">
        <v>15000</v>
      </c>
      <c r="I15" s="8">
        <v>16000</v>
      </c>
      <c r="J15" s="52">
        <v>17500</v>
      </c>
      <c r="K15" s="79">
        <f>AVERAGE(D15:J15)</f>
        <v>15785.714285714286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30000</v>
      </c>
      <c r="E25" s="8">
        <v>30000</v>
      </c>
      <c r="F25" s="8">
        <v>32000</v>
      </c>
      <c r="G25" s="8">
        <v>31000</v>
      </c>
      <c r="H25" s="52">
        <v>31000</v>
      </c>
      <c r="I25" s="8">
        <v>32000</v>
      </c>
      <c r="J25" s="52">
        <v>32000</v>
      </c>
      <c r="K25" s="79">
        <f t="shared" si="0"/>
        <v>31142.857142857141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35000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35600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27857.142857142859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60000</v>
      </c>
      <c r="K29" s="79">
        <f t="shared" si="0"/>
        <v>63285.714285714283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37000</v>
      </c>
      <c r="K31" s="79">
        <f t="shared" si="0"/>
        <v>37000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26500</v>
      </c>
      <c r="E34" s="8">
        <v>27000</v>
      </c>
      <c r="F34" s="8">
        <v>27000</v>
      </c>
      <c r="G34" s="8">
        <v>27000</v>
      </c>
      <c r="H34" s="8">
        <v>26000</v>
      </c>
      <c r="I34" s="8">
        <v>25000</v>
      </c>
      <c r="J34" s="52">
        <v>27000</v>
      </c>
      <c r="K34" s="79">
        <f t="shared" si="0"/>
        <v>26500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2800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70000</v>
      </c>
      <c r="E64" s="8">
        <v>60000</v>
      </c>
      <c r="F64" s="8">
        <v>60000</v>
      </c>
      <c r="G64" s="8">
        <v>60000</v>
      </c>
      <c r="H64" s="8">
        <v>75000</v>
      </c>
      <c r="I64" s="8">
        <v>55000</v>
      </c>
      <c r="J64" s="52">
        <v>65000</v>
      </c>
      <c r="K64" s="79">
        <f t="shared" si="0"/>
        <v>63571.428571428572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70000</v>
      </c>
      <c r="E65" s="8">
        <v>65000</v>
      </c>
      <c r="F65" s="8">
        <v>55000</v>
      </c>
      <c r="G65" s="8">
        <v>60000</v>
      </c>
      <c r="H65" s="8">
        <v>75000</v>
      </c>
      <c r="I65" s="7">
        <v>55000</v>
      </c>
      <c r="J65" s="52" t="s">
        <v>97</v>
      </c>
      <c r="K65" s="79">
        <f t="shared" si="0"/>
        <v>63333.333333333336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75000</v>
      </c>
      <c r="F66" s="8">
        <v>75000</v>
      </c>
      <c r="G66" s="8">
        <v>80000</v>
      </c>
      <c r="H66" s="8">
        <v>75000</v>
      </c>
      <c r="I66" s="8">
        <v>75000</v>
      </c>
      <c r="J66" s="52">
        <v>85000</v>
      </c>
      <c r="K66" s="79">
        <f t="shared" si="0"/>
        <v>77857.142857142855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18000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18333.333333333332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34000</v>
      </c>
      <c r="F70" s="8">
        <v>34000</v>
      </c>
      <c r="G70" s="8">
        <v>34000</v>
      </c>
      <c r="H70" s="8">
        <v>33000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32000</v>
      </c>
      <c r="F71" s="8">
        <v>34000</v>
      </c>
      <c r="G71" s="8">
        <v>32000</v>
      </c>
      <c r="H71" s="8">
        <v>30000</v>
      </c>
      <c r="I71" s="8">
        <v>30000</v>
      </c>
      <c r="J71" s="52">
        <v>33000</v>
      </c>
      <c r="K71" s="79">
        <f t="shared" si="0"/>
        <v>31857.142857142859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28000</v>
      </c>
      <c r="E72" s="8">
        <v>24000</v>
      </c>
      <c r="F72" s="8">
        <v>22000</v>
      </c>
      <c r="G72" s="8">
        <v>24000</v>
      </c>
      <c r="H72" s="8">
        <v>25000</v>
      </c>
      <c r="I72" s="8">
        <v>25000</v>
      </c>
      <c r="J72" s="52">
        <v>30000</v>
      </c>
      <c r="K72" s="79">
        <f t="shared" si="0"/>
        <v>25428.571428571428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28000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26166.666666666668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17000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16000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15285.714285714286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6857.1428571428569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10000</v>
      </c>
      <c r="E82" s="8">
        <v>12000</v>
      </c>
      <c r="F82" s="8">
        <v>14000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12000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97</v>
      </c>
      <c r="H86" s="8">
        <v>2500</v>
      </c>
      <c r="I86" s="8" t="s">
        <v>97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18000</v>
      </c>
      <c r="J88" s="55">
        <v>18000</v>
      </c>
      <c r="K88" s="79">
        <f t="shared" si="1"/>
        <v>17750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92"/>
  <sheetViews>
    <sheetView zoomScale="70" zoomScaleNormal="70" workbookViewId="0">
      <selection activeCell="A4" sqref="A4:A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158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14128.571428571429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16000</v>
      </c>
      <c r="F14" s="8">
        <v>16000</v>
      </c>
      <c r="G14" s="8">
        <v>16500</v>
      </c>
      <c r="H14" s="8">
        <v>16000</v>
      </c>
      <c r="I14" s="8">
        <v>16000</v>
      </c>
      <c r="J14" s="52">
        <v>17000</v>
      </c>
      <c r="K14" s="79">
        <f t="shared" si="0"/>
        <v>16214.285714285714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16000</v>
      </c>
      <c r="G15" s="7">
        <v>15000</v>
      </c>
      <c r="H15" s="8">
        <v>15000</v>
      </c>
      <c r="I15" s="8">
        <v>16000</v>
      </c>
      <c r="J15" s="52">
        <v>17500</v>
      </c>
      <c r="K15" s="79">
        <f>AVERAGE(D15:J15)</f>
        <v>15785.714285714286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16000</v>
      </c>
      <c r="H17" s="8">
        <v>15000</v>
      </c>
      <c r="I17" s="8">
        <v>16000</v>
      </c>
      <c r="J17" s="52">
        <v>15000</v>
      </c>
      <c r="K17" s="79">
        <f t="shared" si="0"/>
        <v>15285.714285714286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30000</v>
      </c>
      <c r="E25" s="8">
        <v>30000</v>
      </c>
      <c r="F25" s="8">
        <v>32000</v>
      </c>
      <c r="G25" s="8">
        <v>30000</v>
      </c>
      <c r="H25" s="52">
        <v>31000</v>
      </c>
      <c r="I25" s="8">
        <v>32000</v>
      </c>
      <c r="J25" s="52">
        <v>32000</v>
      </c>
      <c r="K25" s="79">
        <f t="shared" si="0"/>
        <v>31000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35000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35600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27857.142857142859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60000</v>
      </c>
      <c r="K29" s="79">
        <f t="shared" si="0"/>
        <v>63285.714285714283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37000</v>
      </c>
      <c r="K31" s="79">
        <f t="shared" si="0"/>
        <v>37000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27000</v>
      </c>
      <c r="F34" s="8">
        <v>27500</v>
      </c>
      <c r="G34" s="8">
        <v>27000</v>
      </c>
      <c r="H34" s="8">
        <v>26000</v>
      </c>
      <c r="I34" s="8">
        <v>25000</v>
      </c>
      <c r="J34" s="52">
        <v>27000</v>
      </c>
      <c r="K34" s="79">
        <f t="shared" si="0"/>
        <v>26642.857142857141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2800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75000</v>
      </c>
      <c r="E64" s="8">
        <v>75000</v>
      </c>
      <c r="F64" s="8">
        <v>70000</v>
      </c>
      <c r="G64" s="8">
        <v>60000</v>
      </c>
      <c r="H64" s="8">
        <v>75000</v>
      </c>
      <c r="I64" s="8">
        <v>55000</v>
      </c>
      <c r="J64" s="52">
        <v>70000</v>
      </c>
      <c r="K64" s="79">
        <f t="shared" si="0"/>
        <v>68571.428571428565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75000</v>
      </c>
      <c r="E65" s="8">
        <v>70000</v>
      </c>
      <c r="F65" s="8">
        <v>65000</v>
      </c>
      <c r="G65" s="8">
        <v>60000</v>
      </c>
      <c r="H65" s="8">
        <v>75000</v>
      </c>
      <c r="I65" s="7">
        <v>55000</v>
      </c>
      <c r="J65" s="52" t="s">
        <v>97</v>
      </c>
      <c r="K65" s="79">
        <f t="shared" si="0"/>
        <v>66666.666666666672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75000</v>
      </c>
      <c r="F66" s="8">
        <v>75000</v>
      </c>
      <c r="G66" s="8">
        <v>75000</v>
      </c>
      <c r="H66" s="8">
        <v>75000</v>
      </c>
      <c r="I66" s="8">
        <v>75000</v>
      </c>
      <c r="J66" s="52">
        <v>80000</v>
      </c>
      <c r="K66" s="79">
        <f t="shared" si="0"/>
        <v>76428.571428571435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18000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18333.333333333332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33000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30000</v>
      </c>
      <c r="F71" s="8">
        <v>34000</v>
      </c>
      <c r="G71" s="8">
        <v>32000</v>
      </c>
      <c r="H71" s="8">
        <v>30000</v>
      </c>
      <c r="I71" s="8">
        <v>30000</v>
      </c>
      <c r="J71" s="52">
        <v>33000</v>
      </c>
      <c r="K71" s="79">
        <f t="shared" si="0"/>
        <v>31571.428571428572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28000</v>
      </c>
      <c r="E72" s="8">
        <v>22000</v>
      </c>
      <c r="F72" s="8">
        <v>22000</v>
      </c>
      <c r="G72" s="8">
        <v>28000</v>
      </c>
      <c r="H72" s="8">
        <v>25000</v>
      </c>
      <c r="I72" s="8">
        <v>25000</v>
      </c>
      <c r="J72" s="52">
        <v>30000</v>
      </c>
      <c r="K72" s="79">
        <f t="shared" si="0"/>
        <v>25714.285714285714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28000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26166.666666666668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17000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16000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15285.714285714286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6857.1428571428569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10000</v>
      </c>
      <c r="E82" s="8">
        <v>12000</v>
      </c>
      <c r="F82" s="8">
        <v>14000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12000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97</v>
      </c>
      <c r="H86" s="8">
        <v>2500</v>
      </c>
      <c r="I86" s="8" t="s">
        <v>97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18000</v>
      </c>
      <c r="J88" s="55">
        <v>18000</v>
      </c>
      <c r="K88" s="79">
        <f t="shared" si="1"/>
        <v>17750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92"/>
  <sheetViews>
    <sheetView zoomScale="70" zoomScaleNormal="70" workbookViewId="0">
      <selection activeCell="K11" sqref="K1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1" customWidth="1"/>
    <col min="5" max="5" width="15.125" style="73" customWidth="1"/>
    <col min="6" max="6" width="15.375" style="73" customWidth="1"/>
    <col min="7" max="7" width="14.625" style="73" customWidth="1"/>
    <col min="8" max="8" width="14.75" style="73" customWidth="1"/>
    <col min="9" max="9" width="14.25" style="73" customWidth="1"/>
    <col min="10" max="10" width="14.125" style="73" customWidth="1"/>
    <col min="11" max="11" width="13" style="7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M1" s="5"/>
      <c r="N1" s="5"/>
    </row>
    <row r="2" spans="1:14" ht="27.75" customHeight="1" x14ac:dyDescent="0.25">
      <c r="A2" s="146" t="s">
        <v>87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M2" s="5"/>
      <c r="N2" s="5"/>
    </row>
    <row r="3" spans="1:14" ht="27.75" customHeight="1" x14ac:dyDescent="0.25">
      <c r="A3" s="147" t="s">
        <v>159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M3" s="5"/>
      <c r="N3" s="5"/>
    </row>
    <row r="4" spans="1:14" ht="25.5" customHeight="1" x14ac:dyDescent="0.25">
      <c r="A4" s="148" t="s">
        <v>1</v>
      </c>
      <c r="B4" s="149" t="s">
        <v>2</v>
      </c>
      <c r="C4" s="150" t="s">
        <v>88</v>
      </c>
      <c r="D4" s="151" t="s">
        <v>89</v>
      </c>
      <c r="E4" s="152" t="s">
        <v>90</v>
      </c>
      <c r="F4" s="153" t="s">
        <v>91</v>
      </c>
      <c r="G4" s="154" t="s">
        <v>92</v>
      </c>
      <c r="H4" s="155" t="s">
        <v>93</v>
      </c>
      <c r="I4" s="156" t="s">
        <v>94</v>
      </c>
      <c r="J4" s="157" t="s">
        <v>95</v>
      </c>
      <c r="K4" s="158" t="s">
        <v>96</v>
      </c>
      <c r="M4" s="5"/>
      <c r="N4" s="5"/>
    </row>
    <row r="5" spans="1:14" ht="15" customHeight="1" x14ac:dyDescent="0.25">
      <c r="A5" s="148"/>
      <c r="B5" s="149"/>
      <c r="C5" s="150"/>
      <c r="D5" s="151"/>
      <c r="E5" s="152"/>
      <c r="F5" s="153"/>
      <c r="G5" s="154"/>
      <c r="H5" s="155"/>
      <c r="I5" s="156"/>
      <c r="J5" s="157"/>
      <c r="K5" s="158"/>
      <c r="M5" s="5"/>
      <c r="N5" s="5"/>
    </row>
    <row r="6" spans="1:14" ht="15.75" x14ac:dyDescent="0.25">
      <c r="A6" s="148"/>
      <c r="B6" s="149"/>
      <c r="C6" s="150"/>
      <c r="D6" s="151"/>
      <c r="E6" s="152"/>
      <c r="F6" s="153"/>
      <c r="G6" s="154"/>
      <c r="H6" s="155"/>
      <c r="I6" s="156"/>
      <c r="J6" s="157"/>
      <c r="K6" s="158"/>
      <c r="M6" s="5"/>
      <c r="N6" s="5"/>
    </row>
    <row r="7" spans="1:14" ht="15.75" x14ac:dyDescent="0.25">
      <c r="A7" s="144">
        <v>1</v>
      </c>
      <c r="B7" s="47" t="s">
        <v>4</v>
      </c>
      <c r="C7" s="48"/>
      <c r="D7" s="117"/>
      <c r="E7" s="12" t="s">
        <v>100</v>
      </c>
      <c r="F7" s="12"/>
      <c r="G7" s="118"/>
      <c r="H7" s="118" t="s">
        <v>1</v>
      </c>
      <c r="I7" s="119"/>
      <c r="J7" s="118"/>
      <c r="K7" s="78"/>
      <c r="M7" s="5"/>
      <c r="N7" s="5"/>
    </row>
    <row r="8" spans="1:14" ht="15.75" x14ac:dyDescent="0.25">
      <c r="A8" s="144"/>
      <c r="B8" s="49" t="s">
        <v>105</v>
      </c>
      <c r="C8" s="12" t="s">
        <v>5</v>
      </c>
      <c r="D8" s="8">
        <v>15000</v>
      </c>
      <c r="E8" s="8">
        <v>14000</v>
      </c>
      <c r="F8" s="8">
        <v>13900</v>
      </c>
      <c r="G8" s="8">
        <v>14000</v>
      </c>
      <c r="H8" s="8">
        <v>14000</v>
      </c>
      <c r="I8" s="8">
        <v>14000</v>
      </c>
      <c r="J8" s="11">
        <v>14000</v>
      </c>
      <c r="K8" s="79">
        <f>AVERAGE(D8:J8)</f>
        <v>14128.571428571429</v>
      </c>
      <c r="L8" s="1"/>
      <c r="M8" s="6"/>
      <c r="N8" s="5"/>
    </row>
    <row r="9" spans="1:14" ht="15.75" x14ac:dyDescent="0.25">
      <c r="A9" s="144"/>
      <c r="B9" s="49" t="s">
        <v>123</v>
      </c>
      <c r="C9" s="12" t="s">
        <v>5</v>
      </c>
      <c r="D9" s="8">
        <v>10900</v>
      </c>
      <c r="E9" s="8">
        <v>10900</v>
      </c>
      <c r="F9" s="8">
        <v>10900</v>
      </c>
      <c r="G9" s="7">
        <v>10900</v>
      </c>
      <c r="H9" s="8">
        <v>10900</v>
      </c>
      <c r="I9" s="8">
        <v>10900</v>
      </c>
      <c r="J9" s="11" t="s">
        <v>97</v>
      </c>
      <c r="K9" s="79">
        <f t="shared" ref="K9:K80" si="0">AVERAGE(D9:J9)</f>
        <v>10900</v>
      </c>
      <c r="M9" s="5"/>
      <c r="N9" s="5"/>
    </row>
    <row r="10" spans="1:14" ht="15.75" x14ac:dyDescent="0.25">
      <c r="A10" s="144"/>
      <c r="B10" s="49" t="s">
        <v>106</v>
      </c>
      <c r="C10" s="12" t="s">
        <v>5</v>
      </c>
      <c r="D10" s="8" t="s">
        <v>97</v>
      </c>
      <c r="E10" s="8" t="s">
        <v>97</v>
      </c>
      <c r="F10" s="8" t="s">
        <v>97</v>
      </c>
      <c r="G10" s="7" t="s">
        <v>97</v>
      </c>
      <c r="H10" s="8" t="s">
        <v>97</v>
      </c>
      <c r="I10" s="8" t="s">
        <v>97</v>
      </c>
      <c r="J10" s="11" t="s">
        <v>97</v>
      </c>
      <c r="K10" s="79">
        <v>0</v>
      </c>
      <c r="M10" s="5"/>
      <c r="N10" s="5"/>
    </row>
    <row r="11" spans="1:14" ht="15.75" x14ac:dyDescent="0.25">
      <c r="A11" s="144"/>
      <c r="B11" s="49" t="s">
        <v>6</v>
      </c>
      <c r="C11" s="12" t="s">
        <v>5</v>
      </c>
      <c r="D11" s="8" t="s">
        <v>97</v>
      </c>
      <c r="E11" s="8">
        <v>10000</v>
      </c>
      <c r="F11" s="11">
        <v>12000</v>
      </c>
      <c r="G11" s="7">
        <v>10000</v>
      </c>
      <c r="H11" s="8" t="s">
        <v>97</v>
      </c>
      <c r="I11" s="11">
        <v>12000</v>
      </c>
      <c r="J11" s="11">
        <v>8000</v>
      </c>
      <c r="K11" s="79">
        <f>AVERAGE(D11:J11)</f>
        <v>10400</v>
      </c>
      <c r="M11" s="5"/>
      <c r="N11" s="5"/>
    </row>
    <row r="12" spans="1:14" ht="15.75" x14ac:dyDescent="0.25">
      <c r="A12" s="144"/>
      <c r="B12" s="49" t="s">
        <v>7</v>
      </c>
      <c r="C12" s="12" t="s">
        <v>5</v>
      </c>
      <c r="D12" s="8" t="s">
        <v>97</v>
      </c>
      <c r="E12" s="8">
        <v>21000</v>
      </c>
      <c r="F12" s="11">
        <v>17000</v>
      </c>
      <c r="G12" s="7">
        <v>20000</v>
      </c>
      <c r="H12" s="8" t="s">
        <v>97</v>
      </c>
      <c r="I12" s="11">
        <v>17000</v>
      </c>
      <c r="J12" s="11">
        <v>17000</v>
      </c>
      <c r="K12" s="79">
        <f t="shared" si="0"/>
        <v>18400</v>
      </c>
      <c r="M12" s="5"/>
      <c r="N12" s="5"/>
    </row>
    <row r="13" spans="1:14" ht="15.75" x14ac:dyDescent="0.25">
      <c r="A13" s="144">
        <v>2</v>
      </c>
      <c r="B13" s="47" t="s">
        <v>8</v>
      </c>
      <c r="C13" s="50"/>
      <c r="D13" s="117"/>
      <c r="E13" s="9"/>
      <c r="F13" s="12"/>
      <c r="G13" s="69"/>
      <c r="H13" s="69"/>
      <c r="I13" s="69"/>
      <c r="J13" s="69"/>
      <c r="K13" s="80"/>
      <c r="M13" s="5"/>
      <c r="N13" s="10"/>
    </row>
    <row r="14" spans="1:14" ht="15.75" x14ac:dyDescent="0.25">
      <c r="A14" s="144"/>
      <c r="B14" s="49" t="s">
        <v>114</v>
      </c>
      <c r="C14" s="12" t="s">
        <v>5</v>
      </c>
      <c r="D14" s="8">
        <v>16000</v>
      </c>
      <c r="E14" s="8">
        <v>16500</v>
      </c>
      <c r="F14" s="8">
        <v>16000</v>
      </c>
      <c r="G14" s="8">
        <v>16500</v>
      </c>
      <c r="H14" s="8">
        <v>16000</v>
      </c>
      <c r="I14" s="8">
        <v>16000</v>
      </c>
      <c r="J14" s="52">
        <v>17000</v>
      </c>
      <c r="K14" s="79">
        <f t="shared" si="0"/>
        <v>16285.714285714286</v>
      </c>
      <c r="M14" s="5"/>
      <c r="N14" s="5"/>
    </row>
    <row r="15" spans="1:14" ht="15.75" x14ac:dyDescent="0.25">
      <c r="A15" s="144"/>
      <c r="B15" s="49" t="s">
        <v>10</v>
      </c>
      <c r="C15" s="12" t="s">
        <v>5</v>
      </c>
      <c r="D15" s="8">
        <v>15000</v>
      </c>
      <c r="E15" s="8">
        <v>16000</v>
      </c>
      <c r="F15" s="11">
        <v>16000</v>
      </c>
      <c r="G15" s="7">
        <v>15000</v>
      </c>
      <c r="H15" s="8">
        <v>15000</v>
      </c>
      <c r="I15" s="8">
        <v>16000</v>
      </c>
      <c r="J15" s="52">
        <v>17500</v>
      </c>
      <c r="K15" s="79">
        <f>AVERAGE(D15:J15)</f>
        <v>15785.714285714286</v>
      </c>
      <c r="M15" s="5"/>
      <c r="N15" s="5"/>
    </row>
    <row r="16" spans="1:14" ht="15.75" x14ac:dyDescent="0.25">
      <c r="A16" s="144">
        <v>3</v>
      </c>
      <c r="B16" s="47" t="s">
        <v>11</v>
      </c>
      <c r="C16" s="51"/>
      <c r="D16" s="120"/>
      <c r="E16" s="121"/>
      <c r="F16" s="121"/>
      <c r="G16" s="121"/>
      <c r="H16" s="121"/>
      <c r="I16" s="121"/>
      <c r="J16" s="115"/>
      <c r="K16" s="80"/>
      <c r="M16" s="5"/>
      <c r="N16" s="5"/>
    </row>
    <row r="17" spans="1:14" ht="15.75" x14ac:dyDescent="0.25">
      <c r="A17" s="144"/>
      <c r="B17" s="49" t="s">
        <v>12</v>
      </c>
      <c r="C17" s="12" t="s">
        <v>5</v>
      </c>
      <c r="D17" s="8">
        <v>15000</v>
      </c>
      <c r="E17" s="8">
        <v>15000</v>
      </c>
      <c r="F17" s="8">
        <v>15000</v>
      </c>
      <c r="G17" s="8">
        <v>15000</v>
      </c>
      <c r="H17" s="8">
        <v>15000</v>
      </c>
      <c r="I17" s="8">
        <v>16000</v>
      </c>
      <c r="J17" s="52">
        <v>15000</v>
      </c>
      <c r="K17" s="79">
        <f t="shared" si="0"/>
        <v>15142.857142857143</v>
      </c>
      <c r="M17" s="5"/>
      <c r="N17" s="5"/>
    </row>
    <row r="18" spans="1:14" ht="15.75" x14ac:dyDescent="0.25">
      <c r="A18" s="114"/>
      <c r="B18" s="49" t="s">
        <v>107</v>
      </c>
      <c r="C18" s="12" t="s">
        <v>108</v>
      </c>
      <c r="D18" s="8">
        <v>14000</v>
      </c>
      <c r="E18" s="8">
        <v>14000</v>
      </c>
      <c r="F18" s="8">
        <v>14000</v>
      </c>
      <c r="G18" s="8">
        <v>14000</v>
      </c>
      <c r="H18" s="8" t="s">
        <v>97</v>
      </c>
      <c r="I18" s="8">
        <v>14000</v>
      </c>
      <c r="J18" s="52">
        <v>14000</v>
      </c>
      <c r="K18" s="79">
        <f t="shared" si="0"/>
        <v>14000</v>
      </c>
      <c r="M18" s="5"/>
      <c r="N18" s="5"/>
    </row>
    <row r="19" spans="1:14" ht="15.75" x14ac:dyDescent="0.25">
      <c r="A19" s="144">
        <v>4</v>
      </c>
      <c r="B19" s="47" t="s">
        <v>13</v>
      </c>
      <c r="C19" s="51"/>
      <c r="D19" s="120"/>
      <c r="E19" s="121"/>
      <c r="F19" s="121"/>
      <c r="G19" s="122"/>
      <c r="H19" s="121"/>
      <c r="I19" s="121"/>
      <c r="J19" s="115"/>
      <c r="K19" s="80"/>
      <c r="M19" s="5"/>
      <c r="N19" s="5"/>
    </row>
    <row r="20" spans="1:14" ht="17.25" customHeight="1" x14ac:dyDescent="0.25">
      <c r="A20" s="144"/>
      <c r="B20" s="49" t="s">
        <v>14</v>
      </c>
      <c r="C20" s="12" t="s">
        <v>5</v>
      </c>
      <c r="D20" s="8">
        <v>20000</v>
      </c>
      <c r="E20" s="8">
        <v>20000</v>
      </c>
      <c r="F20" s="11">
        <v>20000</v>
      </c>
      <c r="G20" s="7">
        <v>22000</v>
      </c>
      <c r="H20" s="9" t="s">
        <v>97</v>
      </c>
      <c r="I20" s="11">
        <v>20000</v>
      </c>
      <c r="J20" s="53" t="s">
        <v>97</v>
      </c>
      <c r="K20" s="79">
        <f t="shared" si="0"/>
        <v>20400</v>
      </c>
      <c r="M20" s="5"/>
      <c r="N20" s="5"/>
    </row>
    <row r="21" spans="1:14" ht="15.75" x14ac:dyDescent="0.25">
      <c r="A21" s="144">
        <v>5</v>
      </c>
      <c r="B21" s="47" t="s">
        <v>15</v>
      </c>
      <c r="C21" s="51"/>
      <c r="D21" s="120"/>
      <c r="E21" s="12"/>
      <c r="F21" s="121"/>
      <c r="G21" s="122"/>
      <c r="H21" s="121"/>
      <c r="I21" s="121"/>
      <c r="J21" s="115"/>
      <c r="K21" s="80"/>
      <c r="M21" s="5"/>
      <c r="N21" s="5"/>
    </row>
    <row r="22" spans="1:14" ht="15.75" x14ac:dyDescent="0.25">
      <c r="A22" s="144"/>
      <c r="B22" s="49" t="s">
        <v>16</v>
      </c>
      <c r="C22" s="12" t="s">
        <v>5</v>
      </c>
      <c r="D22" s="8">
        <v>120000</v>
      </c>
      <c r="E22" s="8">
        <v>120000</v>
      </c>
      <c r="F22" s="8">
        <v>120000</v>
      </c>
      <c r="G22" s="8">
        <v>120000</v>
      </c>
      <c r="H22" s="8">
        <v>120000</v>
      </c>
      <c r="I22" s="7">
        <v>120000</v>
      </c>
      <c r="J22" s="52" t="s">
        <v>97</v>
      </c>
      <c r="K22" s="79">
        <f t="shared" si="0"/>
        <v>120000</v>
      </c>
      <c r="M22" s="5"/>
      <c r="N22" s="5"/>
    </row>
    <row r="23" spans="1:14" ht="15.75" x14ac:dyDescent="0.25">
      <c r="A23" s="144"/>
      <c r="B23" s="49" t="s">
        <v>17</v>
      </c>
      <c r="C23" s="12" t="s">
        <v>5</v>
      </c>
      <c r="D23" s="8">
        <v>110000</v>
      </c>
      <c r="E23" s="8">
        <v>110000</v>
      </c>
      <c r="F23" s="8">
        <v>110000</v>
      </c>
      <c r="G23" s="8">
        <v>110000</v>
      </c>
      <c r="H23" s="8">
        <v>115000</v>
      </c>
      <c r="I23" s="8">
        <v>110000</v>
      </c>
      <c r="J23" s="52">
        <v>110000</v>
      </c>
      <c r="K23" s="79">
        <f t="shared" si="0"/>
        <v>110714.28571428571</v>
      </c>
      <c r="M23" s="5"/>
      <c r="N23" s="5"/>
    </row>
    <row r="24" spans="1:14" ht="15.75" x14ac:dyDescent="0.25">
      <c r="A24" s="144"/>
      <c r="B24" s="49" t="s">
        <v>18</v>
      </c>
      <c r="C24" s="12" t="s">
        <v>5</v>
      </c>
      <c r="D24" s="8">
        <v>90000</v>
      </c>
      <c r="E24" s="8">
        <v>95000</v>
      </c>
      <c r="F24" s="8">
        <v>100000</v>
      </c>
      <c r="G24" s="8">
        <v>105000</v>
      </c>
      <c r="H24" s="8">
        <v>110000</v>
      </c>
      <c r="I24" s="7">
        <v>100000</v>
      </c>
      <c r="J24" s="52">
        <v>105000</v>
      </c>
      <c r="K24" s="79">
        <f t="shared" si="0"/>
        <v>100714.28571428571</v>
      </c>
      <c r="M24" s="5"/>
      <c r="N24" s="5"/>
    </row>
    <row r="25" spans="1:14" ht="15.75" x14ac:dyDescent="0.25">
      <c r="A25" s="144"/>
      <c r="B25" s="49" t="s">
        <v>19</v>
      </c>
      <c r="C25" s="12" t="s">
        <v>5</v>
      </c>
      <c r="D25" s="8">
        <v>30000</v>
      </c>
      <c r="E25" s="8">
        <v>30000</v>
      </c>
      <c r="F25" s="8">
        <v>32000</v>
      </c>
      <c r="G25" s="8">
        <v>30000</v>
      </c>
      <c r="H25" s="52">
        <v>32000</v>
      </c>
      <c r="I25" s="8">
        <v>32000</v>
      </c>
      <c r="J25" s="52">
        <v>32000</v>
      </c>
      <c r="K25" s="79">
        <f t="shared" si="0"/>
        <v>31142.857142857141</v>
      </c>
      <c r="M25" s="5"/>
      <c r="N25" s="5"/>
    </row>
    <row r="26" spans="1:14" ht="15.75" x14ac:dyDescent="0.25">
      <c r="A26" s="144">
        <v>6</v>
      </c>
      <c r="B26" s="47" t="s">
        <v>20</v>
      </c>
      <c r="C26" s="51"/>
      <c r="D26" s="120"/>
      <c r="E26" s="12"/>
      <c r="F26" s="122"/>
      <c r="G26" s="121"/>
      <c r="H26" s="115"/>
      <c r="I26" s="121"/>
      <c r="J26" s="115"/>
      <c r="K26" s="80"/>
      <c r="M26" s="5"/>
      <c r="N26" s="5"/>
    </row>
    <row r="27" spans="1:14" ht="15.75" x14ac:dyDescent="0.25">
      <c r="A27" s="144"/>
      <c r="B27" s="49" t="s">
        <v>21</v>
      </c>
      <c r="C27" s="12" t="s">
        <v>5</v>
      </c>
      <c r="D27" s="8">
        <v>35000</v>
      </c>
      <c r="E27" s="8">
        <v>35000</v>
      </c>
      <c r="F27" s="8" t="s">
        <v>97</v>
      </c>
      <c r="G27" s="8">
        <v>35000</v>
      </c>
      <c r="H27" s="8">
        <v>35000</v>
      </c>
      <c r="I27" s="8" t="s">
        <v>97</v>
      </c>
      <c r="J27" s="52">
        <v>38000</v>
      </c>
      <c r="K27" s="79">
        <f t="shared" si="0"/>
        <v>35600</v>
      </c>
      <c r="M27" s="5"/>
      <c r="N27" s="5"/>
    </row>
    <row r="28" spans="1:14" ht="15.75" x14ac:dyDescent="0.25">
      <c r="A28" s="144"/>
      <c r="B28" s="49" t="s">
        <v>22</v>
      </c>
      <c r="C28" s="12" t="s">
        <v>5</v>
      </c>
      <c r="D28" s="8">
        <v>25000</v>
      </c>
      <c r="E28" s="8">
        <v>28000</v>
      </c>
      <c r="F28" s="8">
        <v>32000</v>
      </c>
      <c r="G28" s="7">
        <v>30000</v>
      </c>
      <c r="H28" s="8">
        <v>23000</v>
      </c>
      <c r="I28" s="8">
        <v>32000</v>
      </c>
      <c r="J28" s="54">
        <v>25000</v>
      </c>
      <c r="K28" s="79">
        <f t="shared" si="0"/>
        <v>27857.142857142859</v>
      </c>
      <c r="L28" t="s">
        <v>98</v>
      </c>
      <c r="M28" s="5"/>
      <c r="N28" s="5"/>
    </row>
    <row r="29" spans="1:14" ht="15.75" x14ac:dyDescent="0.25">
      <c r="A29" s="144"/>
      <c r="B29" s="49" t="s">
        <v>23</v>
      </c>
      <c r="C29" s="12" t="s">
        <v>5</v>
      </c>
      <c r="D29" s="8">
        <v>60000</v>
      </c>
      <c r="E29" s="8">
        <v>60000</v>
      </c>
      <c r="F29" s="11">
        <v>60000</v>
      </c>
      <c r="G29" s="7">
        <v>70000</v>
      </c>
      <c r="H29" s="8">
        <v>68000</v>
      </c>
      <c r="I29" s="8">
        <v>65000</v>
      </c>
      <c r="J29" s="55">
        <v>60000</v>
      </c>
      <c r="K29" s="79">
        <f t="shared" si="0"/>
        <v>63285.714285714283</v>
      </c>
      <c r="M29" s="5"/>
      <c r="N29" s="5"/>
    </row>
    <row r="30" spans="1:14" ht="15.75" x14ac:dyDescent="0.25">
      <c r="A30" s="144"/>
      <c r="B30" s="49" t="s">
        <v>24</v>
      </c>
      <c r="C30" s="12" t="s">
        <v>5</v>
      </c>
      <c r="D30" s="8">
        <v>25000</v>
      </c>
      <c r="E30" s="8" t="s">
        <v>97</v>
      </c>
      <c r="F30" s="9" t="s">
        <v>97</v>
      </c>
      <c r="G30" s="7">
        <v>25000</v>
      </c>
      <c r="H30" s="8">
        <v>23000</v>
      </c>
      <c r="I30" s="8" t="s">
        <v>97</v>
      </c>
      <c r="J30" s="55">
        <v>26000</v>
      </c>
      <c r="K30" s="79">
        <f t="shared" si="0"/>
        <v>24750</v>
      </c>
      <c r="M30" s="5"/>
      <c r="N30" s="5"/>
    </row>
    <row r="31" spans="1:14" ht="15.75" x14ac:dyDescent="0.25">
      <c r="A31" s="144"/>
      <c r="B31" s="49" t="s">
        <v>25</v>
      </c>
      <c r="C31" s="12" t="s">
        <v>5</v>
      </c>
      <c r="D31" s="8">
        <v>35000</v>
      </c>
      <c r="E31" s="8">
        <v>36000</v>
      </c>
      <c r="F31" s="8">
        <v>42000</v>
      </c>
      <c r="G31" s="8">
        <v>35000</v>
      </c>
      <c r="H31" s="8">
        <v>32000</v>
      </c>
      <c r="I31" s="8">
        <v>42000</v>
      </c>
      <c r="J31" s="52">
        <v>37000</v>
      </c>
      <c r="K31" s="79">
        <f t="shared" si="0"/>
        <v>37000</v>
      </c>
      <c r="M31" s="5"/>
      <c r="N31" s="5"/>
    </row>
    <row r="32" spans="1:14" ht="15.75" x14ac:dyDescent="0.25">
      <c r="A32" s="144"/>
      <c r="B32" s="49" t="s">
        <v>26</v>
      </c>
      <c r="C32" s="12" t="s">
        <v>5</v>
      </c>
      <c r="D32" s="8" t="s">
        <v>97</v>
      </c>
      <c r="E32" s="8">
        <v>100000</v>
      </c>
      <c r="F32" s="8">
        <v>100000</v>
      </c>
      <c r="G32" s="8" t="s">
        <v>97</v>
      </c>
      <c r="H32" s="8">
        <v>80000</v>
      </c>
      <c r="I32" s="8" t="s">
        <v>97</v>
      </c>
      <c r="J32" s="55">
        <v>70000</v>
      </c>
      <c r="K32" s="79">
        <f t="shared" si="0"/>
        <v>87500</v>
      </c>
      <c r="M32" s="5"/>
      <c r="N32" s="5"/>
    </row>
    <row r="33" spans="1:14" ht="15.75" x14ac:dyDescent="0.25">
      <c r="A33" s="144">
        <v>7</v>
      </c>
      <c r="B33" s="47" t="s">
        <v>27</v>
      </c>
      <c r="C33" s="51"/>
      <c r="D33" s="120"/>
      <c r="E33" s="12"/>
      <c r="F33" s="122"/>
      <c r="G33" s="122"/>
      <c r="H33" s="121"/>
      <c r="I33" s="121"/>
      <c r="J33" s="115"/>
      <c r="K33" s="80"/>
      <c r="M33" s="5"/>
      <c r="N33" s="5"/>
    </row>
    <row r="34" spans="1:14" ht="15.75" x14ac:dyDescent="0.25">
      <c r="A34" s="144"/>
      <c r="B34" s="49" t="s">
        <v>28</v>
      </c>
      <c r="C34" s="12" t="s">
        <v>5</v>
      </c>
      <c r="D34" s="8">
        <v>27000</v>
      </c>
      <c r="E34" s="8">
        <v>27000</v>
      </c>
      <c r="F34" s="8">
        <v>27500</v>
      </c>
      <c r="G34" s="8">
        <v>27000</v>
      </c>
      <c r="H34" s="8">
        <v>26000</v>
      </c>
      <c r="I34" s="8">
        <v>25000</v>
      </c>
      <c r="J34" s="52">
        <v>27000</v>
      </c>
      <c r="K34" s="79">
        <f t="shared" si="0"/>
        <v>26642.857142857141</v>
      </c>
      <c r="M34" s="5"/>
      <c r="N34" s="5"/>
    </row>
    <row r="35" spans="1:14" ht="15.75" x14ac:dyDescent="0.25">
      <c r="A35" s="144"/>
      <c r="B35" s="49" t="s">
        <v>29</v>
      </c>
      <c r="C35" s="12" t="s">
        <v>30</v>
      </c>
      <c r="D35" s="8">
        <v>3000</v>
      </c>
      <c r="E35" s="8">
        <v>2500</v>
      </c>
      <c r="F35" s="8">
        <v>3000</v>
      </c>
      <c r="G35" s="8">
        <v>2600</v>
      </c>
      <c r="H35" s="8">
        <v>2500</v>
      </c>
      <c r="I35" s="8">
        <v>3000</v>
      </c>
      <c r="J35" s="52">
        <v>3000</v>
      </c>
      <c r="K35" s="79">
        <f t="shared" si="0"/>
        <v>2800</v>
      </c>
      <c r="M35" s="5"/>
      <c r="N35" s="5"/>
    </row>
    <row r="36" spans="1:14" ht="15.75" x14ac:dyDescent="0.25">
      <c r="A36" s="114">
        <v>8</v>
      </c>
      <c r="B36" s="51" t="s">
        <v>115</v>
      </c>
      <c r="C36" s="56"/>
      <c r="D36" s="8"/>
      <c r="E36" s="8"/>
      <c r="F36" s="8"/>
      <c r="G36" s="8"/>
      <c r="H36" s="8"/>
      <c r="I36" s="8"/>
      <c r="J36" s="52"/>
      <c r="K36" s="81"/>
      <c r="M36" s="5"/>
      <c r="N36" s="5"/>
    </row>
    <row r="37" spans="1:14" ht="15.75" x14ac:dyDescent="0.25">
      <c r="A37" s="114"/>
      <c r="B37" s="49" t="s">
        <v>116</v>
      </c>
      <c r="C37" s="12" t="s">
        <v>5</v>
      </c>
      <c r="D37" s="8">
        <v>10000</v>
      </c>
      <c r="E37" s="8">
        <v>1250</v>
      </c>
      <c r="F37" s="8">
        <v>9000</v>
      </c>
      <c r="G37" s="8">
        <v>9000</v>
      </c>
      <c r="H37" s="8">
        <v>16000</v>
      </c>
      <c r="I37" s="8">
        <v>9000</v>
      </c>
      <c r="J37" s="52">
        <v>9000</v>
      </c>
      <c r="K37" s="79">
        <f t="shared" si="0"/>
        <v>9035.7142857142862</v>
      </c>
      <c r="M37" s="5"/>
      <c r="N37" s="5"/>
    </row>
    <row r="38" spans="1:14" ht="15.75" x14ac:dyDescent="0.25">
      <c r="A38" s="114"/>
      <c r="B38" s="49" t="s">
        <v>117</v>
      </c>
      <c r="C38" s="12" t="s">
        <v>5</v>
      </c>
      <c r="D38" s="8" t="s">
        <v>97</v>
      </c>
      <c r="E38" s="8">
        <v>10000</v>
      </c>
      <c r="F38" s="8">
        <v>12000</v>
      </c>
      <c r="G38" s="8">
        <v>14000</v>
      </c>
      <c r="H38" s="8" t="s">
        <v>97</v>
      </c>
      <c r="I38" s="8">
        <v>12000</v>
      </c>
      <c r="J38" s="52">
        <v>12000</v>
      </c>
      <c r="K38" s="79">
        <f>AVERAGE(D38:J38)</f>
        <v>12000</v>
      </c>
      <c r="M38" s="5"/>
      <c r="N38" s="5"/>
    </row>
    <row r="39" spans="1:14" ht="15.75" x14ac:dyDescent="0.25">
      <c r="A39" s="114">
        <v>9</v>
      </c>
      <c r="B39" s="57" t="s">
        <v>118</v>
      </c>
      <c r="C39" s="58"/>
      <c r="D39" s="8"/>
      <c r="E39" s="8"/>
      <c r="F39" s="8"/>
      <c r="G39" s="8"/>
      <c r="H39" s="8"/>
      <c r="I39" s="8"/>
      <c r="J39" s="52"/>
      <c r="K39" s="81"/>
      <c r="M39" s="5"/>
      <c r="N39" s="5"/>
    </row>
    <row r="40" spans="1:14" ht="15.75" x14ac:dyDescent="0.25">
      <c r="A40" s="114"/>
      <c r="B40" s="49" t="s">
        <v>119</v>
      </c>
      <c r="C40" s="12" t="s">
        <v>5</v>
      </c>
      <c r="D40" s="8" t="s">
        <v>97</v>
      </c>
      <c r="E40" s="8" t="s">
        <v>97</v>
      </c>
      <c r="F40" s="8" t="s">
        <v>97</v>
      </c>
      <c r="G40" s="8">
        <v>16000</v>
      </c>
      <c r="H40" s="8">
        <v>14000</v>
      </c>
      <c r="I40" s="8" t="s">
        <v>97</v>
      </c>
      <c r="J40" s="52">
        <v>15000</v>
      </c>
      <c r="K40" s="79">
        <f t="shared" si="0"/>
        <v>15000</v>
      </c>
      <c r="M40" s="5"/>
      <c r="N40" s="5"/>
    </row>
    <row r="41" spans="1:14" ht="15.75" x14ac:dyDescent="0.25">
      <c r="A41" s="114"/>
      <c r="B41" s="49" t="s">
        <v>120</v>
      </c>
      <c r="C41" s="12" t="s">
        <v>5</v>
      </c>
      <c r="D41" s="8" t="s">
        <v>97</v>
      </c>
      <c r="E41" s="8" t="s">
        <v>97</v>
      </c>
      <c r="F41" s="8">
        <v>6000</v>
      </c>
      <c r="G41" s="8" t="s">
        <v>97</v>
      </c>
      <c r="H41" s="8" t="s">
        <v>97</v>
      </c>
      <c r="I41" s="8">
        <v>6000</v>
      </c>
      <c r="J41" s="52" t="s">
        <v>97</v>
      </c>
      <c r="K41" s="79">
        <f t="shared" si="0"/>
        <v>6000</v>
      </c>
      <c r="M41" s="5"/>
      <c r="N41" s="5"/>
    </row>
    <row r="42" spans="1:14" ht="15.75" x14ac:dyDescent="0.25">
      <c r="A42" s="114"/>
      <c r="B42" s="49" t="s">
        <v>121</v>
      </c>
      <c r="C42" s="12" t="s">
        <v>5</v>
      </c>
      <c r="D42" s="8" t="s">
        <v>97</v>
      </c>
      <c r="E42" s="8">
        <v>2500</v>
      </c>
      <c r="F42" s="8" t="s">
        <v>97</v>
      </c>
      <c r="G42" s="8" t="s">
        <v>97</v>
      </c>
      <c r="H42" s="8" t="s">
        <v>97</v>
      </c>
      <c r="I42" s="8" t="s">
        <v>97</v>
      </c>
      <c r="J42" s="52" t="s">
        <v>97</v>
      </c>
      <c r="K42" s="79">
        <f t="shared" si="0"/>
        <v>2500</v>
      </c>
      <c r="M42" s="5"/>
      <c r="N42" s="5"/>
    </row>
    <row r="43" spans="1:14" ht="15.75" x14ac:dyDescent="0.25">
      <c r="A43" s="144">
        <v>10</v>
      </c>
      <c r="B43" s="47" t="s">
        <v>31</v>
      </c>
      <c r="C43" s="51"/>
      <c r="D43" s="120"/>
      <c r="E43" s="12"/>
      <c r="F43" s="122"/>
      <c r="G43" s="121"/>
      <c r="H43" s="121"/>
      <c r="I43" s="121"/>
      <c r="J43" s="82"/>
      <c r="K43" s="80"/>
      <c r="M43" s="5"/>
      <c r="N43" s="5"/>
    </row>
    <row r="44" spans="1:14" ht="15.75" x14ac:dyDescent="0.25">
      <c r="A44" s="144"/>
      <c r="B44" s="49" t="s">
        <v>32</v>
      </c>
      <c r="C44" s="12" t="s">
        <v>33</v>
      </c>
      <c r="D44" s="8">
        <v>12500</v>
      </c>
      <c r="E44" s="8">
        <v>12000</v>
      </c>
      <c r="F44" s="8">
        <v>12500</v>
      </c>
      <c r="G44" s="8">
        <v>12500</v>
      </c>
      <c r="H44" s="9" t="s">
        <v>97</v>
      </c>
      <c r="I44" s="11">
        <v>12500</v>
      </c>
      <c r="J44" s="52">
        <v>12500</v>
      </c>
      <c r="K44" s="79">
        <f t="shared" si="0"/>
        <v>12416.666666666666</v>
      </c>
      <c r="M44" s="5"/>
      <c r="N44" s="5"/>
    </row>
    <row r="45" spans="1:14" ht="15.75" x14ac:dyDescent="0.25">
      <c r="A45" s="144"/>
      <c r="B45" s="49" t="s">
        <v>122</v>
      </c>
      <c r="C45" s="12" t="s">
        <v>33</v>
      </c>
      <c r="D45" s="8">
        <v>12500</v>
      </c>
      <c r="E45" s="8">
        <v>13000</v>
      </c>
      <c r="F45" s="11">
        <v>12500</v>
      </c>
      <c r="G45" s="8">
        <v>12500</v>
      </c>
      <c r="H45" s="9" t="s">
        <v>97</v>
      </c>
      <c r="I45" s="11">
        <v>12500</v>
      </c>
      <c r="J45" s="55">
        <v>12500</v>
      </c>
      <c r="K45" s="79">
        <f>AVERAGE(D45:J45)</f>
        <v>12583.333333333334</v>
      </c>
      <c r="M45" s="5"/>
      <c r="N45" s="5"/>
    </row>
    <row r="46" spans="1:14" ht="15.75" x14ac:dyDescent="0.25">
      <c r="A46" s="144">
        <v>11</v>
      </c>
      <c r="B46" s="47" t="s">
        <v>36</v>
      </c>
      <c r="C46" s="51"/>
      <c r="D46" s="120"/>
      <c r="E46" s="12"/>
      <c r="F46" s="121"/>
      <c r="G46" s="122"/>
      <c r="H46" s="121"/>
      <c r="I46" s="121"/>
      <c r="J46" s="115"/>
      <c r="K46" s="80"/>
      <c r="M46" s="5"/>
      <c r="N46" s="5"/>
    </row>
    <row r="47" spans="1:14" ht="15.75" x14ac:dyDescent="0.25">
      <c r="A47" s="144"/>
      <c r="B47" s="49" t="s">
        <v>37</v>
      </c>
      <c r="C47" s="12" t="s">
        <v>38</v>
      </c>
      <c r="D47" s="8" t="s">
        <v>97</v>
      </c>
      <c r="E47" s="8" t="s">
        <v>97</v>
      </c>
      <c r="F47" s="9" t="s">
        <v>97</v>
      </c>
      <c r="G47" s="7" t="s">
        <v>97</v>
      </c>
      <c r="H47" s="8">
        <v>17500</v>
      </c>
      <c r="I47" s="11" t="s">
        <v>97</v>
      </c>
      <c r="J47" s="55" t="s">
        <v>97</v>
      </c>
      <c r="K47" s="79">
        <f t="shared" si="0"/>
        <v>17500</v>
      </c>
      <c r="M47" s="5"/>
      <c r="N47" s="5"/>
    </row>
    <row r="48" spans="1:14" ht="15.75" x14ac:dyDescent="0.25">
      <c r="A48" s="144"/>
      <c r="B48" s="49" t="s">
        <v>39</v>
      </c>
      <c r="C48" s="12" t="s">
        <v>40</v>
      </c>
      <c r="D48" s="8" t="s">
        <v>97</v>
      </c>
      <c r="E48" s="8" t="s">
        <v>97</v>
      </c>
      <c r="F48" s="9" t="s">
        <v>97</v>
      </c>
      <c r="G48" s="7" t="s">
        <v>97</v>
      </c>
      <c r="H48" s="8">
        <v>2000</v>
      </c>
      <c r="I48" s="11" t="s">
        <v>97</v>
      </c>
      <c r="J48" s="55" t="s">
        <v>97</v>
      </c>
      <c r="K48" s="79">
        <f t="shared" si="0"/>
        <v>2000</v>
      </c>
      <c r="M48" s="5"/>
      <c r="N48" s="5"/>
    </row>
    <row r="49" spans="1:14" ht="15.75" x14ac:dyDescent="0.25">
      <c r="A49" s="114">
        <v>12</v>
      </c>
      <c r="B49" s="59" t="s">
        <v>41</v>
      </c>
      <c r="C49" s="56"/>
      <c r="D49" s="83"/>
      <c r="E49" s="9"/>
      <c r="F49" s="9"/>
      <c r="G49" s="13"/>
      <c r="H49" s="9"/>
      <c r="I49" s="9"/>
      <c r="J49" s="53"/>
      <c r="K49" s="80"/>
      <c r="M49" s="5"/>
      <c r="N49" s="5"/>
    </row>
    <row r="50" spans="1:14" ht="15.75" x14ac:dyDescent="0.25">
      <c r="A50" s="114"/>
      <c r="B50" s="49" t="s">
        <v>42</v>
      </c>
      <c r="C50" s="60" t="s">
        <v>5</v>
      </c>
      <c r="D50" s="8" t="s">
        <v>97</v>
      </c>
      <c r="E50" s="8">
        <v>8000</v>
      </c>
      <c r="F50" s="8">
        <v>10000</v>
      </c>
      <c r="G50" s="8">
        <v>10000</v>
      </c>
      <c r="H50" s="8">
        <v>9000</v>
      </c>
      <c r="I50" s="7">
        <v>10000</v>
      </c>
      <c r="J50" s="52">
        <v>10000</v>
      </c>
      <c r="K50" s="79">
        <f t="shared" si="0"/>
        <v>9500</v>
      </c>
      <c r="M50" s="5"/>
      <c r="N50" s="5"/>
    </row>
    <row r="51" spans="1:14" ht="15.75" x14ac:dyDescent="0.25">
      <c r="A51" s="114"/>
      <c r="B51" s="49" t="s">
        <v>43</v>
      </c>
      <c r="C51" s="60" t="s">
        <v>5</v>
      </c>
      <c r="D51" s="8">
        <v>10000</v>
      </c>
      <c r="E51" s="8">
        <v>10000</v>
      </c>
      <c r="F51" s="7">
        <v>9000</v>
      </c>
      <c r="G51" s="8">
        <v>10000</v>
      </c>
      <c r="H51" s="8">
        <v>6000</v>
      </c>
      <c r="I51" s="8">
        <v>9000</v>
      </c>
      <c r="J51" s="52">
        <v>8000</v>
      </c>
      <c r="K51" s="79">
        <f t="shared" si="0"/>
        <v>8857.1428571428569</v>
      </c>
      <c r="M51" s="5"/>
      <c r="N51" s="5"/>
    </row>
    <row r="52" spans="1:14" ht="15.75" x14ac:dyDescent="0.25">
      <c r="A52" s="144">
        <v>13</v>
      </c>
      <c r="B52" s="47" t="s">
        <v>44</v>
      </c>
      <c r="C52" s="51"/>
      <c r="D52" s="120"/>
      <c r="E52" s="12"/>
      <c r="F52" s="122"/>
      <c r="G52" s="122"/>
      <c r="H52" s="121"/>
      <c r="I52" s="121"/>
      <c r="J52" s="82"/>
      <c r="K52" s="80"/>
      <c r="M52" s="5"/>
      <c r="N52" s="5"/>
    </row>
    <row r="53" spans="1:14" ht="15.75" x14ac:dyDescent="0.25">
      <c r="A53" s="144"/>
      <c r="B53" s="49" t="s">
        <v>45</v>
      </c>
      <c r="C53" s="12" t="s">
        <v>46</v>
      </c>
      <c r="D53" s="8">
        <v>3000</v>
      </c>
      <c r="E53" s="8">
        <v>8000</v>
      </c>
      <c r="F53" s="8">
        <v>5000</v>
      </c>
      <c r="G53" s="8">
        <v>5000</v>
      </c>
      <c r="H53" s="8">
        <v>2500</v>
      </c>
      <c r="I53" s="11">
        <v>5000</v>
      </c>
      <c r="J53" s="52">
        <v>2500</v>
      </c>
      <c r="K53" s="79">
        <f t="shared" si="0"/>
        <v>4428.5714285714284</v>
      </c>
      <c r="M53" s="5"/>
      <c r="N53" s="5"/>
    </row>
    <row r="54" spans="1:14" ht="15.75" x14ac:dyDescent="0.25">
      <c r="A54" s="144">
        <v>14</v>
      </c>
      <c r="B54" s="47" t="s">
        <v>47</v>
      </c>
      <c r="C54" s="56"/>
      <c r="D54" s="117"/>
      <c r="E54" s="12"/>
      <c r="F54" s="123"/>
      <c r="G54" s="123"/>
      <c r="H54" s="12"/>
      <c r="I54" s="12"/>
      <c r="J54" s="84"/>
      <c r="K54" s="80"/>
      <c r="M54" s="5"/>
      <c r="N54" s="5"/>
    </row>
    <row r="55" spans="1:14" ht="15.75" x14ac:dyDescent="0.25">
      <c r="A55" s="144"/>
      <c r="B55" s="61" t="s">
        <v>48</v>
      </c>
      <c r="C55" s="60" t="s">
        <v>5</v>
      </c>
      <c r="D55" s="8">
        <v>10000</v>
      </c>
      <c r="E55" s="8">
        <v>10500</v>
      </c>
      <c r="F55" s="8">
        <v>10000</v>
      </c>
      <c r="G55" s="8">
        <v>11000</v>
      </c>
      <c r="H55" s="8">
        <v>12000</v>
      </c>
      <c r="I55" s="8">
        <v>10000</v>
      </c>
      <c r="J55" s="52">
        <v>10000</v>
      </c>
      <c r="K55" s="79">
        <f t="shared" si="0"/>
        <v>10500</v>
      </c>
      <c r="M55" s="5"/>
      <c r="N55" s="5"/>
    </row>
    <row r="56" spans="1:14" ht="15.75" x14ac:dyDescent="0.25">
      <c r="A56" s="144">
        <v>15</v>
      </c>
      <c r="B56" s="47" t="s">
        <v>49</v>
      </c>
      <c r="C56" s="51"/>
      <c r="D56" s="120"/>
      <c r="E56" s="12"/>
      <c r="F56" s="122"/>
      <c r="G56" s="121"/>
      <c r="H56" s="121"/>
      <c r="I56" s="121"/>
      <c r="J56" s="82"/>
      <c r="K56" s="80"/>
      <c r="M56" s="5"/>
      <c r="N56" s="5"/>
    </row>
    <row r="57" spans="1:14" ht="15.75" x14ac:dyDescent="0.25">
      <c r="A57" s="144"/>
      <c r="B57" s="49" t="s">
        <v>50</v>
      </c>
      <c r="C57" s="12" t="s">
        <v>5</v>
      </c>
      <c r="D57" s="8">
        <v>15000</v>
      </c>
      <c r="E57" s="8">
        <v>13000</v>
      </c>
      <c r="F57" s="8">
        <v>15000</v>
      </c>
      <c r="G57" s="8">
        <v>13000</v>
      </c>
      <c r="H57" s="8">
        <v>13000</v>
      </c>
      <c r="I57" s="8">
        <v>15000</v>
      </c>
      <c r="J57" s="52" t="s">
        <v>97</v>
      </c>
      <c r="K57" s="79">
        <f t="shared" si="0"/>
        <v>14000</v>
      </c>
      <c r="M57" s="5"/>
      <c r="N57" s="5"/>
    </row>
    <row r="58" spans="1:14" ht="15.75" x14ac:dyDescent="0.25">
      <c r="A58" s="144"/>
      <c r="B58" s="49" t="s">
        <v>51</v>
      </c>
      <c r="C58" s="12" t="s">
        <v>5</v>
      </c>
      <c r="D58" s="8" t="s">
        <v>97</v>
      </c>
      <c r="E58" s="8" t="s">
        <v>97</v>
      </c>
      <c r="F58" s="11">
        <v>14000</v>
      </c>
      <c r="G58" s="13" t="s">
        <v>97</v>
      </c>
      <c r="H58" s="62" t="s">
        <v>97</v>
      </c>
      <c r="I58" s="7">
        <v>14000</v>
      </c>
      <c r="J58" s="52">
        <v>14000</v>
      </c>
      <c r="K58" s="79">
        <f t="shared" si="0"/>
        <v>14000</v>
      </c>
      <c r="M58" s="5" t="s">
        <v>99</v>
      </c>
      <c r="N58" s="5"/>
    </row>
    <row r="59" spans="1:14" ht="15.75" x14ac:dyDescent="0.25">
      <c r="A59" s="144"/>
      <c r="B59" s="49" t="s">
        <v>52</v>
      </c>
      <c r="C59" s="12" t="s">
        <v>5</v>
      </c>
      <c r="D59" s="8">
        <v>22000</v>
      </c>
      <c r="E59" s="8">
        <v>23000</v>
      </c>
      <c r="F59" s="8">
        <v>23000</v>
      </c>
      <c r="G59" s="8">
        <v>22000</v>
      </c>
      <c r="H59" s="8">
        <v>22000</v>
      </c>
      <c r="I59" s="8">
        <v>23000</v>
      </c>
      <c r="J59" s="52">
        <v>22000</v>
      </c>
      <c r="K59" s="79">
        <f t="shared" si="0"/>
        <v>22428.571428571428</v>
      </c>
      <c r="M59" s="5"/>
      <c r="N59" s="14"/>
    </row>
    <row r="60" spans="1:14" ht="15.75" x14ac:dyDescent="0.25">
      <c r="A60" s="144"/>
      <c r="B60" s="49" t="s">
        <v>53</v>
      </c>
      <c r="C60" s="12" t="s">
        <v>5</v>
      </c>
      <c r="D60" s="8">
        <v>30000</v>
      </c>
      <c r="E60" s="8">
        <v>30000</v>
      </c>
      <c r="F60" s="8">
        <v>28000</v>
      </c>
      <c r="G60" s="8">
        <v>29000</v>
      </c>
      <c r="H60" s="8">
        <v>26000</v>
      </c>
      <c r="I60" s="8">
        <v>28000</v>
      </c>
      <c r="J60" s="52">
        <v>28000</v>
      </c>
      <c r="K60" s="79">
        <f t="shared" si="0"/>
        <v>28428.571428571428</v>
      </c>
      <c r="M60" s="5"/>
      <c r="N60" s="5"/>
    </row>
    <row r="61" spans="1:14" ht="15.75" x14ac:dyDescent="0.25">
      <c r="A61" s="12">
        <v>16</v>
      </c>
      <c r="B61" s="47" t="s">
        <v>54</v>
      </c>
      <c r="C61" s="56"/>
      <c r="D61" s="70"/>
      <c r="E61" s="9"/>
      <c r="F61" s="13"/>
      <c r="G61" s="9"/>
      <c r="H61" s="9"/>
      <c r="I61" s="9"/>
      <c r="J61" s="85"/>
      <c r="K61" s="80"/>
      <c r="M61" s="5"/>
      <c r="N61" s="5"/>
    </row>
    <row r="62" spans="1:14" ht="15.75" x14ac:dyDescent="0.25">
      <c r="A62" s="12"/>
      <c r="B62" s="49" t="s">
        <v>55</v>
      </c>
      <c r="C62" s="60" t="s">
        <v>56</v>
      </c>
      <c r="D62" s="8">
        <v>3000</v>
      </c>
      <c r="E62" s="8">
        <v>3200</v>
      </c>
      <c r="F62" s="8">
        <v>3000</v>
      </c>
      <c r="G62" s="8">
        <v>3000</v>
      </c>
      <c r="H62" s="9" t="s">
        <v>97</v>
      </c>
      <c r="I62" s="11">
        <v>3000</v>
      </c>
      <c r="J62" s="52">
        <v>3500</v>
      </c>
      <c r="K62" s="79">
        <f t="shared" si="0"/>
        <v>3116.6666666666665</v>
      </c>
      <c r="M62" s="5"/>
      <c r="N62" s="5"/>
    </row>
    <row r="63" spans="1:14" ht="15.75" x14ac:dyDescent="0.25">
      <c r="A63" s="144">
        <v>17</v>
      </c>
      <c r="B63" s="47" t="s">
        <v>57</v>
      </c>
      <c r="C63" s="51"/>
      <c r="D63" s="120"/>
      <c r="E63" s="12"/>
      <c r="F63" s="122"/>
      <c r="G63" s="122"/>
      <c r="H63" s="121"/>
      <c r="I63" s="121"/>
      <c r="J63" s="82"/>
      <c r="K63" s="80"/>
      <c r="M63" s="5"/>
      <c r="N63" s="5"/>
    </row>
    <row r="64" spans="1:14" ht="15.75" x14ac:dyDescent="0.25">
      <c r="A64" s="144"/>
      <c r="B64" s="49" t="s">
        <v>58</v>
      </c>
      <c r="C64" s="12" t="s">
        <v>5</v>
      </c>
      <c r="D64" s="8">
        <v>75000</v>
      </c>
      <c r="E64" s="8">
        <v>75000</v>
      </c>
      <c r="F64" s="8">
        <v>70000</v>
      </c>
      <c r="G64" s="8">
        <v>60000</v>
      </c>
      <c r="H64" s="8">
        <v>75000</v>
      </c>
      <c r="I64" s="8">
        <v>55000</v>
      </c>
      <c r="J64" s="52">
        <v>70000</v>
      </c>
      <c r="K64" s="79">
        <f t="shared" si="0"/>
        <v>68571.428571428565</v>
      </c>
      <c r="M64" s="5"/>
      <c r="N64" s="5"/>
    </row>
    <row r="65" spans="1:14" ht="15.75" x14ac:dyDescent="0.25">
      <c r="A65" s="144"/>
      <c r="B65" s="49" t="s">
        <v>59</v>
      </c>
      <c r="C65" s="12" t="s">
        <v>5</v>
      </c>
      <c r="D65" s="8">
        <v>75000</v>
      </c>
      <c r="E65" s="8">
        <v>70000</v>
      </c>
      <c r="F65" s="8">
        <v>65000</v>
      </c>
      <c r="G65" s="8">
        <v>60000</v>
      </c>
      <c r="H65" s="8">
        <v>75000</v>
      </c>
      <c r="I65" s="7">
        <v>55000</v>
      </c>
      <c r="J65" s="52" t="s">
        <v>97</v>
      </c>
      <c r="K65" s="79">
        <f t="shared" si="0"/>
        <v>66666.666666666672</v>
      </c>
      <c r="M65" s="5"/>
      <c r="N65" s="5"/>
    </row>
    <row r="66" spans="1:14" ht="15.75" x14ac:dyDescent="0.25">
      <c r="A66" s="144"/>
      <c r="B66" s="49" t="s">
        <v>60</v>
      </c>
      <c r="C66" s="12" t="s">
        <v>5</v>
      </c>
      <c r="D66" s="8">
        <v>80000</v>
      </c>
      <c r="E66" s="8">
        <v>75000</v>
      </c>
      <c r="F66" s="8">
        <v>75000</v>
      </c>
      <c r="G66" s="8">
        <v>75000</v>
      </c>
      <c r="H66" s="8">
        <v>75000</v>
      </c>
      <c r="I66" s="8">
        <v>75000</v>
      </c>
      <c r="J66" s="52">
        <v>80000</v>
      </c>
      <c r="K66" s="79">
        <f t="shared" si="0"/>
        <v>76428.571428571435</v>
      </c>
      <c r="M66" s="5"/>
      <c r="N66" s="5"/>
    </row>
    <row r="67" spans="1:14" ht="15.75" x14ac:dyDescent="0.25">
      <c r="A67" s="12">
        <v>18</v>
      </c>
      <c r="B67" s="47" t="s">
        <v>61</v>
      </c>
      <c r="C67" s="56"/>
      <c r="D67" s="62"/>
      <c r="E67" s="9"/>
      <c r="F67" s="13"/>
      <c r="G67" s="9"/>
      <c r="H67" s="9" t="s">
        <v>1</v>
      </c>
      <c r="I67" s="9"/>
      <c r="J67" s="53"/>
      <c r="K67" s="80"/>
      <c r="M67" s="5"/>
      <c r="N67" s="5"/>
    </row>
    <row r="68" spans="1:14" ht="15.75" x14ac:dyDescent="0.25">
      <c r="A68" s="12"/>
      <c r="B68" s="49" t="s">
        <v>62</v>
      </c>
      <c r="C68" s="12" t="s">
        <v>63</v>
      </c>
      <c r="D68" s="8">
        <v>20000</v>
      </c>
      <c r="E68" s="8">
        <v>18000</v>
      </c>
      <c r="F68" s="8">
        <v>18000</v>
      </c>
      <c r="G68" s="8">
        <v>18000</v>
      </c>
      <c r="H68" s="9" t="s">
        <v>97</v>
      </c>
      <c r="I68" s="8">
        <v>18000</v>
      </c>
      <c r="J68" s="55">
        <v>18000</v>
      </c>
      <c r="K68" s="79">
        <f t="shared" si="0"/>
        <v>18333.333333333332</v>
      </c>
      <c r="M68" s="5"/>
      <c r="N68" s="5"/>
    </row>
    <row r="69" spans="1:14" ht="15.75" x14ac:dyDescent="0.25">
      <c r="A69" s="144">
        <v>19</v>
      </c>
      <c r="B69" s="47" t="s">
        <v>64</v>
      </c>
      <c r="C69" s="47"/>
      <c r="D69" s="120"/>
      <c r="E69" s="12"/>
      <c r="F69" s="121"/>
      <c r="G69" s="121"/>
      <c r="H69" s="121"/>
      <c r="I69" s="121"/>
      <c r="J69" s="115"/>
      <c r="K69" s="80"/>
      <c r="M69" s="5"/>
      <c r="N69" s="5"/>
    </row>
    <row r="70" spans="1:14" ht="15.75" x14ac:dyDescent="0.25">
      <c r="A70" s="144"/>
      <c r="B70" s="49" t="s">
        <v>65</v>
      </c>
      <c r="C70" s="12" t="s">
        <v>5</v>
      </c>
      <c r="D70" s="8">
        <v>34000</v>
      </c>
      <c r="E70" s="8">
        <v>33000</v>
      </c>
      <c r="F70" s="8">
        <v>34000</v>
      </c>
      <c r="G70" s="8">
        <v>35000</v>
      </c>
      <c r="H70" s="8">
        <v>33000</v>
      </c>
      <c r="I70" s="8">
        <v>34000</v>
      </c>
      <c r="J70" s="52">
        <v>35000</v>
      </c>
      <c r="K70" s="79">
        <f t="shared" si="0"/>
        <v>34000</v>
      </c>
      <c r="M70" s="5"/>
      <c r="N70" s="5"/>
    </row>
    <row r="71" spans="1:14" ht="15.75" x14ac:dyDescent="0.25">
      <c r="A71" s="144"/>
      <c r="B71" s="49" t="s">
        <v>66</v>
      </c>
      <c r="C71" s="12" t="s">
        <v>5</v>
      </c>
      <c r="D71" s="8">
        <v>32000</v>
      </c>
      <c r="E71" s="8">
        <v>30000</v>
      </c>
      <c r="F71" s="8">
        <v>34000</v>
      </c>
      <c r="G71" s="8">
        <v>32000</v>
      </c>
      <c r="H71" s="8">
        <v>30000</v>
      </c>
      <c r="I71" s="8">
        <v>30000</v>
      </c>
      <c r="J71" s="52">
        <v>33000</v>
      </c>
      <c r="K71" s="79">
        <f t="shared" si="0"/>
        <v>31571.428571428572</v>
      </c>
      <c r="M71" s="5"/>
      <c r="N71" s="5"/>
    </row>
    <row r="72" spans="1:14" ht="15.75" x14ac:dyDescent="0.25">
      <c r="A72" s="144"/>
      <c r="B72" s="49" t="s">
        <v>67</v>
      </c>
      <c r="C72" s="12" t="s">
        <v>5</v>
      </c>
      <c r="D72" s="8">
        <v>28000</v>
      </c>
      <c r="E72" s="8">
        <v>22000</v>
      </c>
      <c r="F72" s="8">
        <v>22000</v>
      </c>
      <c r="G72" s="8">
        <v>28000</v>
      </c>
      <c r="H72" s="8">
        <v>25000</v>
      </c>
      <c r="I72" s="8">
        <v>25000</v>
      </c>
      <c r="J72" s="52">
        <v>30000</v>
      </c>
      <c r="K72" s="79">
        <f t="shared" si="0"/>
        <v>25714.285714285714</v>
      </c>
      <c r="M72" s="5"/>
      <c r="N72" s="5"/>
    </row>
    <row r="73" spans="1:14" ht="15.75" x14ac:dyDescent="0.25">
      <c r="A73" s="144"/>
      <c r="B73" s="49" t="s">
        <v>68</v>
      </c>
      <c r="C73" s="12" t="s">
        <v>5</v>
      </c>
      <c r="D73" s="8">
        <v>28000</v>
      </c>
      <c r="E73" s="8">
        <v>24000</v>
      </c>
      <c r="F73" s="11">
        <v>25000</v>
      </c>
      <c r="G73" s="7">
        <v>30000</v>
      </c>
      <c r="H73" s="8">
        <v>25000</v>
      </c>
      <c r="I73" s="8">
        <v>25000</v>
      </c>
      <c r="J73" s="52" t="s">
        <v>97</v>
      </c>
      <c r="K73" s="79">
        <f t="shared" si="0"/>
        <v>26166.666666666668</v>
      </c>
      <c r="M73" s="5"/>
      <c r="N73" s="5"/>
    </row>
    <row r="74" spans="1:14" ht="15.75" x14ac:dyDescent="0.25">
      <c r="A74" s="12">
        <v>20</v>
      </c>
      <c r="B74" s="47" t="s">
        <v>69</v>
      </c>
      <c r="C74" s="63"/>
      <c r="D74" s="62"/>
      <c r="E74" s="9"/>
      <c r="F74" s="9"/>
      <c r="G74" s="70"/>
      <c r="H74" s="9"/>
      <c r="I74" s="9"/>
      <c r="J74" s="85"/>
      <c r="K74" s="80"/>
      <c r="M74" s="5"/>
      <c r="N74" s="5"/>
    </row>
    <row r="75" spans="1:14" ht="15.75" x14ac:dyDescent="0.25">
      <c r="A75" s="12"/>
      <c r="B75" s="49" t="s">
        <v>70</v>
      </c>
      <c r="C75" s="60" t="s">
        <v>5</v>
      </c>
      <c r="D75" s="8">
        <v>6000</v>
      </c>
      <c r="E75" s="8">
        <v>7000</v>
      </c>
      <c r="F75" s="8">
        <v>5000</v>
      </c>
      <c r="G75" s="8">
        <v>6000</v>
      </c>
      <c r="H75" s="8">
        <v>5000</v>
      </c>
      <c r="I75" s="8">
        <v>5000</v>
      </c>
      <c r="J75" s="52">
        <v>5000</v>
      </c>
      <c r="K75" s="79">
        <f t="shared" si="0"/>
        <v>5571.4285714285716</v>
      </c>
      <c r="M75" s="5"/>
      <c r="N75" s="5"/>
    </row>
    <row r="76" spans="1:14" ht="15.75" x14ac:dyDescent="0.25">
      <c r="A76" s="12"/>
      <c r="B76" s="49" t="s">
        <v>71</v>
      </c>
      <c r="C76" s="60" t="s">
        <v>5</v>
      </c>
      <c r="D76" s="8">
        <v>6000</v>
      </c>
      <c r="E76" s="8">
        <v>6000</v>
      </c>
      <c r="F76" s="11">
        <v>6000</v>
      </c>
      <c r="G76" s="7">
        <v>6000</v>
      </c>
      <c r="H76" s="8">
        <v>5000</v>
      </c>
      <c r="I76" s="8">
        <v>6000</v>
      </c>
      <c r="J76" s="55">
        <v>6000</v>
      </c>
      <c r="K76" s="79">
        <f t="shared" si="0"/>
        <v>5857.1428571428569</v>
      </c>
      <c r="M76" s="5"/>
      <c r="N76" s="5"/>
    </row>
    <row r="77" spans="1:14" ht="15.75" x14ac:dyDescent="0.25">
      <c r="A77" s="12">
        <v>21</v>
      </c>
      <c r="B77" s="47" t="s">
        <v>72</v>
      </c>
      <c r="C77" s="63"/>
      <c r="D77" s="83"/>
      <c r="E77" s="9"/>
      <c r="F77" s="9"/>
      <c r="G77" s="13"/>
      <c r="H77" s="9"/>
      <c r="I77" s="9"/>
      <c r="J77" s="53"/>
      <c r="K77" s="80"/>
      <c r="M77" s="5"/>
      <c r="N77" s="5"/>
    </row>
    <row r="78" spans="1:14" ht="15.75" x14ac:dyDescent="0.25">
      <c r="A78" s="12"/>
      <c r="B78" s="49" t="s">
        <v>73</v>
      </c>
      <c r="C78" s="60" t="s">
        <v>5</v>
      </c>
      <c r="D78" s="8">
        <v>9000</v>
      </c>
      <c r="E78" s="8">
        <v>8000</v>
      </c>
      <c r="F78" s="8">
        <v>8000</v>
      </c>
      <c r="G78" s="8">
        <v>8000</v>
      </c>
      <c r="H78" s="8">
        <v>10000</v>
      </c>
      <c r="I78" s="11">
        <v>8000</v>
      </c>
      <c r="J78" s="52" t="s">
        <v>97</v>
      </c>
      <c r="K78" s="79">
        <f t="shared" si="0"/>
        <v>8500</v>
      </c>
      <c r="M78" s="5"/>
      <c r="N78" s="5"/>
    </row>
    <row r="79" spans="1:14" ht="15.75" x14ac:dyDescent="0.25">
      <c r="A79" s="12"/>
      <c r="B79" s="49" t="s">
        <v>74</v>
      </c>
      <c r="C79" s="60" t="s">
        <v>5</v>
      </c>
      <c r="D79" s="8">
        <v>20000</v>
      </c>
      <c r="E79" s="8">
        <v>18000</v>
      </c>
      <c r="F79" s="8">
        <v>17000</v>
      </c>
      <c r="G79" s="8">
        <v>16000</v>
      </c>
      <c r="H79" s="8">
        <v>10000</v>
      </c>
      <c r="I79" s="11">
        <v>12000</v>
      </c>
      <c r="J79" s="52">
        <v>20000</v>
      </c>
      <c r="K79" s="79">
        <f t="shared" si="0"/>
        <v>16142.857142857143</v>
      </c>
      <c r="M79" s="5"/>
      <c r="N79" s="5"/>
    </row>
    <row r="80" spans="1:14" ht="15.75" x14ac:dyDescent="0.25">
      <c r="A80" s="12"/>
      <c r="B80" s="49" t="s">
        <v>75</v>
      </c>
      <c r="C80" s="60" t="s">
        <v>5</v>
      </c>
      <c r="D80" s="8">
        <v>14000</v>
      </c>
      <c r="E80" s="8">
        <v>17000</v>
      </c>
      <c r="F80" s="8">
        <v>16000</v>
      </c>
      <c r="G80" s="8">
        <v>15000</v>
      </c>
      <c r="H80" s="8">
        <v>15000</v>
      </c>
      <c r="I80" s="8">
        <v>15000</v>
      </c>
      <c r="J80" s="52">
        <v>15000</v>
      </c>
      <c r="K80" s="79">
        <f t="shared" si="0"/>
        <v>15285.714285714286</v>
      </c>
      <c r="M80" s="5"/>
      <c r="N80" s="5"/>
    </row>
    <row r="81" spans="1:14" ht="15.75" x14ac:dyDescent="0.25">
      <c r="A81" s="12"/>
      <c r="B81" s="49" t="s">
        <v>76</v>
      </c>
      <c r="C81" s="60" t="s">
        <v>5</v>
      </c>
      <c r="D81" s="8">
        <v>8000</v>
      </c>
      <c r="E81" s="8">
        <v>8000</v>
      </c>
      <c r="F81" s="8">
        <v>7000</v>
      </c>
      <c r="G81" s="8">
        <v>10000</v>
      </c>
      <c r="H81" s="8">
        <v>5000</v>
      </c>
      <c r="I81" s="7">
        <v>5000</v>
      </c>
      <c r="J81" s="52">
        <v>5000</v>
      </c>
      <c r="K81" s="79">
        <f t="shared" ref="K81:K88" si="1">AVERAGE(D81:J81)</f>
        <v>6857.1428571428569</v>
      </c>
      <c r="M81" s="5"/>
      <c r="N81" s="5"/>
    </row>
    <row r="82" spans="1:14" ht="15.75" x14ac:dyDescent="0.25">
      <c r="A82" s="12"/>
      <c r="B82" s="49" t="s">
        <v>77</v>
      </c>
      <c r="C82" s="60" t="s">
        <v>5</v>
      </c>
      <c r="D82" s="8">
        <v>10000</v>
      </c>
      <c r="E82" s="8">
        <v>12000</v>
      </c>
      <c r="F82" s="8">
        <v>14000</v>
      </c>
      <c r="G82" s="8">
        <v>12000</v>
      </c>
      <c r="H82" s="8">
        <v>10000</v>
      </c>
      <c r="I82" s="8">
        <v>13000</v>
      </c>
      <c r="J82" s="52">
        <v>13000</v>
      </c>
      <c r="K82" s="79">
        <f t="shared" si="1"/>
        <v>12000</v>
      </c>
      <c r="M82" s="5"/>
      <c r="N82" s="5"/>
    </row>
    <row r="83" spans="1:14" ht="15.75" x14ac:dyDescent="0.25">
      <c r="A83" s="12"/>
      <c r="B83" s="49" t="s">
        <v>78</v>
      </c>
      <c r="C83" s="60" t="s">
        <v>5</v>
      </c>
      <c r="D83" s="8">
        <v>7000</v>
      </c>
      <c r="E83" s="8">
        <v>8000</v>
      </c>
      <c r="F83" s="11">
        <v>9000</v>
      </c>
      <c r="G83" s="7">
        <v>8000</v>
      </c>
      <c r="H83" s="8">
        <v>9000</v>
      </c>
      <c r="I83" s="11">
        <v>9000</v>
      </c>
      <c r="J83" s="52">
        <v>8000</v>
      </c>
      <c r="K83" s="79">
        <f t="shared" si="1"/>
        <v>8285.7142857142862</v>
      </c>
      <c r="M83" s="5"/>
      <c r="N83" s="5"/>
    </row>
    <row r="84" spans="1:14" ht="15.75" x14ac:dyDescent="0.25">
      <c r="A84" s="12"/>
      <c r="B84" s="49" t="s">
        <v>79</v>
      </c>
      <c r="C84" s="60" t="s">
        <v>80</v>
      </c>
      <c r="D84" s="8">
        <v>1500</v>
      </c>
      <c r="E84" s="8">
        <v>1500</v>
      </c>
      <c r="F84" s="8">
        <v>2000</v>
      </c>
      <c r="G84" s="7">
        <v>2000</v>
      </c>
      <c r="H84" s="8">
        <v>1500</v>
      </c>
      <c r="I84" s="8">
        <v>2000</v>
      </c>
      <c r="J84" s="55">
        <v>1500</v>
      </c>
      <c r="K84" s="79">
        <f t="shared" si="1"/>
        <v>1714.2857142857142</v>
      </c>
      <c r="M84" s="5"/>
      <c r="N84" s="5"/>
    </row>
    <row r="85" spans="1:14" ht="15.75" x14ac:dyDescent="0.25">
      <c r="A85" s="12"/>
      <c r="B85" s="49" t="s">
        <v>81</v>
      </c>
      <c r="C85" s="60" t="s">
        <v>80</v>
      </c>
      <c r="D85" s="8">
        <v>1000</v>
      </c>
      <c r="E85" s="8">
        <v>1500</v>
      </c>
      <c r="F85" s="8">
        <v>1500</v>
      </c>
      <c r="G85" s="7">
        <v>2000</v>
      </c>
      <c r="H85" s="8">
        <v>1500</v>
      </c>
      <c r="I85" s="8">
        <v>1500</v>
      </c>
      <c r="J85" s="55">
        <v>1000</v>
      </c>
      <c r="K85" s="79">
        <f t="shared" si="1"/>
        <v>1428.5714285714287</v>
      </c>
      <c r="M85" s="5"/>
      <c r="N85" s="5"/>
    </row>
    <row r="86" spans="1:14" ht="15.75" x14ac:dyDescent="0.25">
      <c r="A86" s="12"/>
      <c r="B86" s="49" t="s">
        <v>82</v>
      </c>
      <c r="C86" s="60" t="s">
        <v>80</v>
      </c>
      <c r="D86" s="8" t="s">
        <v>97</v>
      </c>
      <c r="E86" s="8">
        <v>2000</v>
      </c>
      <c r="F86" s="8" t="s">
        <v>97</v>
      </c>
      <c r="G86" s="7" t="s">
        <v>97</v>
      </c>
      <c r="H86" s="8">
        <v>2500</v>
      </c>
      <c r="I86" s="8" t="s">
        <v>97</v>
      </c>
      <c r="J86" s="55">
        <v>2000</v>
      </c>
      <c r="K86" s="79">
        <f t="shared" si="1"/>
        <v>2166.6666666666665</v>
      </c>
      <c r="M86" s="5"/>
      <c r="N86" s="5"/>
    </row>
    <row r="87" spans="1:14" ht="15.75" x14ac:dyDescent="0.25">
      <c r="A87" s="12">
        <v>22</v>
      </c>
      <c r="B87" s="47" t="s">
        <v>83</v>
      </c>
      <c r="C87" s="63"/>
      <c r="D87" s="13"/>
      <c r="E87" s="9"/>
      <c r="F87" s="9" t="s">
        <v>100</v>
      </c>
      <c r="G87" s="13"/>
      <c r="H87" s="9"/>
      <c r="I87" s="9"/>
      <c r="J87" s="53"/>
      <c r="K87" s="80"/>
      <c r="M87" s="5"/>
      <c r="N87" s="5"/>
    </row>
    <row r="88" spans="1:14" ht="15.75" x14ac:dyDescent="0.25">
      <c r="A88" s="12"/>
      <c r="B88" s="49" t="s">
        <v>84</v>
      </c>
      <c r="C88" s="60" t="s">
        <v>85</v>
      </c>
      <c r="D88" s="8" t="s">
        <v>97</v>
      </c>
      <c r="E88" s="8" t="s">
        <v>97</v>
      </c>
      <c r="F88" s="8">
        <v>18000</v>
      </c>
      <c r="G88" s="7">
        <v>17000</v>
      </c>
      <c r="H88" s="9" t="s">
        <v>97</v>
      </c>
      <c r="I88" s="11">
        <v>18000</v>
      </c>
      <c r="J88" s="55">
        <v>18000</v>
      </c>
      <c r="K88" s="79">
        <f t="shared" si="1"/>
        <v>17750</v>
      </c>
      <c r="M88" s="5"/>
      <c r="N88" s="5"/>
    </row>
    <row r="89" spans="1:14" ht="15.75" x14ac:dyDescent="0.25">
      <c r="E89" s="72"/>
      <c r="J89" s="74"/>
      <c r="M89" s="5"/>
      <c r="N89" s="5"/>
    </row>
    <row r="90" spans="1:14" ht="15.75" x14ac:dyDescent="0.25">
      <c r="B90" s="15"/>
      <c r="J90" s="74"/>
      <c r="M90" s="5"/>
      <c r="N90" s="5"/>
    </row>
    <row r="91" spans="1:14" ht="15.75" x14ac:dyDescent="0.25">
      <c r="J91" s="74"/>
      <c r="M91" s="5"/>
      <c r="N91" s="5"/>
    </row>
    <row r="92" spans="1:14" ht="15.75" x14ac:dyDescent="0.25">
      <c r="A92" s="5"/>
      <c r="B92" s="5"/>
      <c r="C92" s="5"/>
      <c r="D92" s="75"/>
      <c r="E92" s="76"/>
      <c r="F92" s="76"/>
      <c r="G92" s="76"/>
      <c r="H92" s="76"/>
      <c r="I92" s="76"/>
      <c r="J92" s="77"/>
      <c r="K92" s="76"/>
      <c r="L92" s="5"/>
      <c r="M92" s="5"/>
      <c r="N92" s="5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REKAPITULASI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2023-07-03T08:11:43Z</cp:lastPrinted>
  <dcterms:created xsi:type="dcterms:W3CDTF">2022-08-09T08:09:18Z</dcterms:created>
  <dcterms:modified xsi:type="dcterms:W3CDTF">2024-01-17T08:33:59Z</dcterms:modified>
</cp:coreProperties>
</file>