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drawings/drawing21.xml" ContentType="application/vnd.openxmlformats-officedocument.drawing+xml"/>
  <Override PartName="/xl/comments22.xml" ContentType="application/vnd.openxmlformats-officedocument.spreadsheetml.comments+xml"/>
  <Override PartName="/xl/drawings/drawing22.xml" ContentType="application/vnd.openxmlformats-officedocument.drawing+xml"/>
  <Override PartName="/xl/comments23.xml" ContentType="application/vnd.openxmlformats-officedocument.spreadsheetml.comments+xml"/>
  <Override PartName="/xl/drawings/drawing23.xml" ContentType="application/vnd.openxmlformats-officedocument.drawing+xml"/>
  <Override PartName="/xl/comments24.xml" ContentType="application/vnd.openxmlformats-officedocument.spreadsheetml.comments+xml"/>
  <Override PartName="/xl/drawings/drawing24.xml" ContentType="application/vnd.openxmlformats-officedocument.drawing+xml"/>
  <Override PartName="/xl/comments25.xml" ContentType="application/vnd.openxmlformats-officedocument.spreadsheetml.comments+xml"/>
  <Override PartName="/xl/drawings/drawing25.xml" ContentType="application/vnd.openxmlformats-officedocument.drawing+xml"/>
  <Override PartName="/xl/comments26.xml" ContentType="application/vnd.openxmlformats-officedocument.spreadsheetml.comments+xml"/>
  <Override PartName="/xl/drawings/drawing26.xml" ContentType="application/vnd.openxmlformats-officedocument.drawing+xml"/>
  <Override PartName="/xl/comments27.xml" ContentType="application/vnd.openxmlformats-officedocument.spreadsheetml.comments+xml"/>
  <Override PartName="/xl/drawings/drawing27.xml" ContentType="application/vnd.openxmlformats-officedocument.drawing+xml"/>
  <Override PartName="/xl/comments28.xml" ContentType="application/vnd.openxmlformats-officedocument.spreadsheetml.comments+xml"/>
  <Override PartName="/xl/drawings/drawing28.xml" ContentType="application/vnd.openxmlformats-officedocument.drawing+xml"/>
  <Override PartName="/xl/comments29.xml" ContentType="application/vnd.openxmlformats-officedocument.spreadsheetml.comments+xml"/>
  <Override PartName="/xl/drawings/drawing29.xml" ContentType="application/vnd.openxmlformats-officedocument.drawing+xml"/>
  <Override PartName="/xl/comments30.xml" ContentType="application/vnd.openxmlformats-officedocument.spreadsheetml.comments+xml"/>
  <Override PartName="/xl/drawings/drawing30.xml" ContentType="application/vnd.openxmlformats-officedocument.drawing+xml"/>
  <Override PartName="/xl/comments31.xml" ContentType="application/vnd.openxmlformats-officedocument.spreadsheetml.comments+xml"/>
  <Override PartName="/xl/drawings/drawing31.xml" ContentType="application/vnd.openxmlformats-officedocument.drawing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ni Kerja\BPSDA\Excel Rekap harian PD Pasar\2023\"/>
    </mc:Choice>
  </mc:AlternateContent>
  <xr:revisionPtr revIDLastSave="0" documentId="13_ncr:1_{29D56957-CFC4-4622-B530-29A2DF3BC8EC}" xr6:coauthVersionLast="47" xr6:coauthVersionMax="47" xr10:uidLastSave="{00000000-0000-0000-0000-000000000000}"/>
  <bookViews>
    <workbookView xWindow="-120" yWindow="-120" windowWidth="24240" windowHeight="13140" tabRatio="934" xr2:uid="{4C192097-C7C4-45F9-8F41-4BB5DE9D5F4A}"/>
  </bookViews>
  <sheets>
    <sheet name="REKAPITULASI" sheetId="1" r:id="rId1"/>
    <sheet name="01" sheetId="169" r:id="rId2"/>
    <sheet name="02" sheetId="170" r:id="rId3"/>
    <sheet name="03" sheetId="171" r:id="rId4"/>
    <sheet name="04" sheetId="172" r:id="rId5"/>
    <sheet name="05" sheetId="173" r:id="rId6"/>
    <sheet name="06" sheetId="174" r:id="rId7"/>
    <sheet name="07" sheetId="175" r:id="rId8"/>
    <sheet name="08" sheetId="176" r:id="rId9"/>
    <sheet name="09" sheetId="177" r:id="rId10"/>
    <sheet name="10" sheetId="178" r:id="rId11"/>
    <sheet name="11" sheetId="179" r:id="rId12"/>
    <sheet name="12" sheetId="180" r:id="rId13"/>
    <sheet name="13" sheetId="181" r:id="rId14"/>
    <sheet name="14" sheetId="182" r:id="rId15"/>
    <sheet name="15" sheetId="183" r:id="rId16"/>
    <sheet name="16" sheetId="184" r:id="rId17"/>
    <sheet name="17" sheetId="185" r:id="rId18"/>
    <sheet name="18" sheetId="186" r:id="rId19"/>
    <sheet name="19" sheetId="188" r:id="rId20"/>
    <sheet name="20" sheetId="189" r:id="rId21"/>
    <sheet name="21" sheetId="190" r:id="rId22"/>
    <sheet name="22" sheetId="191" r:id="rId23"/>
    <sheet name="23" sheetId="192" r:id="rId24"/>
    <sheet name="24" sheetId="193" r:id="rId25"/>
    <sheet name="25" sheetId="194" r:id="rId26"/>
    <sheet name="26" sheetId="195" r:id="rId27"/>
    <sheet name="27" sheetId="196" r:id="rId28"/>
    <sheet name="28" sheetId="197" r:id="rId29"/>
    <sheet name="29" sheetId="198" r:id="rId30"/>
    <sheet name="30" sheetId="199" r:id="rId31"/>
    <sheet name="31" sheetId="200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" i="1" l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" i="1"/>
  <c r="K88" i="200"/>
  <c r="K86" i="200"/>
  <c r="K85" i="200"/>
  <c r="K84" i="200"/>
  <c r="K83" i="200"/>
  <c r="K82" i="200"/>
  <c r="K81" i="200"/>
  <c r="K80" i="200"/>
  <c r="K79" i="200"/>
  <c r="K78" i="200"/>
  <c r="K76" i="200"/>
  <c r="AG76" i="1" s="1"/>
  <c r="AI76" i="1" s="1"/>
  <c r="K75" i="200"/>
  <c r="K73" i="200"/>
  <c r="K72" i="200"/>
  <c r="K71" i="200"/>
  <c r="AG71" i="1" s="1"/>
  <c r="K70" i="200"/>
  <c r="K68" i="200"/>
  <c r="K66" i="200"/>
  <c r="K65" i="200"/>
  <c r="K64" i="200"/>
  <c r="K62" i="200"/>
  <c r="K60" i="200"/>
  <c r="K59" i="200"/>
  <c r="AG59" i="1" s="1"/>
  <c r="K58" i="200"/>
  <c r="K57" i="200"/>
  <c r="K55" i="200"/>
  <c r="K53" i="200"/>
  <c r="K51" i="200"/>
  <c r="K50" i="200"/>
  <c r="K48" i="200"/>
  <c r="K47" i="200"/>
  <c r="AG47" i="1" s="1"/>
  <c r="K45" i="200"/>
  <c r="K44" i="200"/>
  <c r="K42" i="200"/>
  <c r="K41" i="200"/>
  <c r="K40" i="200"/>
  <c r="K38" i="200"/>
  <c r="K37" i="200"/>
  <c r="K35" i="200"/>
  <c r="AG35" i="1" s="1"/>
  <c r="K34" i="200"/>
  <c r="K32" i="200"/>
  <c r="K31" i="200"/>
  <c r="K30" i="200"/>
  <c r="AG30" i="1" s="1"/>
  <c r="K29" i="200"/>
  <c r="K28" i="200"/>
  <c r="K27" i="200"/>
  <c r="K25" i="200"/>
  <c r="AG25" i="1" s="1"/>
  <c r="AI25" i="1" s="1"/>
  <c r="K24" i="200"/>
  <c r="K23" i="200"/>
  <c r="K22" i="200"/>
  <c r="K20" i="200"/>
  <c r="AG20" i="1" s="1"/>
  <c r="AI20" i="1" s="1"/>
  <c r="K18" i="200"/>
  <c r="K17" i="200"/>
  <c r="K15" i="200"/>
  <c r="K14" i="200"/>
  <c r="AG14" i="1" s="1"/>
  <c r="K12" i="200"/>
  <c r="K11" i="200"/>
  <c r="K10" i="200"/>
  <c r="K9" i="200"/>
  <c r="AG9" i="1" s="1"/>
  <c r="AI9" i="1" s="1"/>
  <c r="K8" i="200"/>
  <c r="K88" i="199"/>
  <c r="K86" i="199"/>
  <c r="K85" i="199"/>
  <c r="AF85" i="1" s="1"/>
  <c r="K84" i="199"/>
  <c r="K83" i="199"/>
  <c r="K82" i="199"/>
  <c r="K81" i="199"/>
  <c r="AF81" i="1" s="1"/>
  <c r="K80" i="199"/>
  <c r="K79" i="199"/>
  <c r="K78" i="199"/>
  <c r="K76" i="199"/>
  <c r="K75" i="199"/>
  <c r="K73" i="199"/>
  <c r="K72" i="199"/>
  <c r="K71" i="199"/>
  <c r="AF71" i="1" s="1"/>
  <c r="K70" i="199"/>
  <c r="K68" i="199"/>
  <c r="K66" i="199"/>
  <c r="K65" i="199"/>
  <c r="AF65" i="1" s="1"/>
  <c r="K64" i="199"/>
  <c r="K62" i="199"/>
  <c r="K60" i="199"/>
  <c r="K59" i="199"/>
  <c r="AF59" i="1" s="1"/>
  <c r="K58" i="199"/>
  <c r="K57" i="199"/>
  <c r="K55" i="199"/>
  <c r="K53" i="199"/>
  <c r="AF53" i="1" s="1"/>
  <c r="K51" i="199"/>
  <c r="K50" i="199"/>
  <c r="K48" i="199"/>
  <c r="K47" i="199"/>
  <c r="AF47" i="1" s="1"/>
  <c r="K45" i="199"/>
  <c r="K44" i="199"/>
  <c r="K42" i="199"/>
  <c r="K41" i="199"/>
  <c r="AF41" i="1" s="1"/>
  <c r="K40" i="199"/>
  <c r="K38" i="199"/>
  <c r="K37" i="199"/>
  <c r="K35" i="199"/>
  <c r="AF35" i="1" s="1"/>
  <c r="K34" i="199"/>
  <c r="K32" i="199"/>
  <c r="K31" i="199"/>
  <c r="K30" i="199"/>
  <c r="AF30" i="1" s="1"/>
  <c r="K29" i="199"/>
  <c r="K28" i="199"/>
  <c r="K27" i="199"/>
  <c r="K25" i="199"/>
  <c r="AF25" i="1" s="1"/>
  <c r="K24" i="199"/>
  <c r="K23" i="199"/>
  <c r="K22" i="199"/>
  <c r="K20" i="199"/>
  <c r="AF20" i="1" s="1"/>
  <c r="K18" i="199"/>
  <c r="K17" i="199"/>
  <c r="K15" i="199"/>
  <c r="K14" i="199"/>
  <c r="AF14" i="1" s="1"/>
  <c r="K12" i="199"/>
  <c r="K11" i="199"/>
  <c r="K10" i="199"/>
  <c r="K9" i="199"/>
  <c r="AF9" i="1" s="1"/>
  <c r="K8" i="199"/>
  <c r="K88" i="198"/>
  <c r="K86" i="198"/>
  <c r="K85" i="198"/>
  <c r="AE85" i="1" s="1"/>
  <c r="K84" i="198"/>
  <c r="K83" i="198"/>
  <c r="K82" i="198"/>
  <c r="K81" i="198"/>
  <c r="AE81" i="1" s="1"/>
  <c r="K80" i="198"/>
  <c r="K79" i="198"/>
  <c r="K78" i="198"/>
  <c r="K76" i="198"/>
  <c r="AE76" i="1" s="1"/>
  <c r="K75" i="198"/>
  <c r="K73" i="198"/>
  <c r="K72" i="198"/>
  <c r="K71" i="198"/>
  <c r="K70" i="198"/>
  <c r="K68" i="198"/>
  <c r="K66" i="198"/>
  <c r="K65" i="198"/>
  <c r="AE65" i="1" s="1"/>
  <c r="K64" i="198"/>
  <c r="K62" i="198"/>
  <c r="K60" i="198"/>
  <c r="K59" i="198"/>
  <c r="K58" i="198"/>
  <c r="K57" i="198"/>
  <c r="K55" i="198"/>
  <c r="K53" i="198"/>
  <c r="AE53" i="1" s="1"/>
  <c r="K51" i="198"/>
  <c r="K50" i="198"/>
  <c r="K48" i="198"/>
  <c r="K47" i="198"/>
  <c r="K45" i="198"/>
  <c r="K44" i="198"/>
  <c r="K42" i="198"/>
  <c r="K41" i="198"/>
  <c r="AE41" i="1" s="1"/>
  <c r="K40" i="198"/>
  <c r="K38" i="198"/>
  <c r="K37" i="198"/>
  <c r="K35" i="198"/>
  <c r="K34" i="198"/>
  <c r="K32" i="198"/>
  <c r="K31" i="198"/>
  <c r="K30" i="198"/>
  <c r="AE30" i="1" s="1"/>
  <c r="K29" i="198"/>
  <c r="K28" i="198"/>
  <c r="K27" i="198"/>
  <c r="K25" i="198"/>
  <c r="AE25" i="1" s="1"/>
  <c r="K24" i="198"/>
  <c r="K23" i="198"/>
  <c r="K22" i="198"/>
  <c r="K20" i="198"/>
  <c r="AE20" i="1" s="1"/>
  <c r="K18" i="198"/>
  <c r="K17" i="198"/>
  <c r="K15" i="198"/>
  <c r="K14" i="198"/>
  <c r="AE14" i="1" s="1"/>
  <c r="K12" i="198"/>
  <c r="K11" i="198"/>
  <c r="K10" i="198"/>
  <c r="K9" i="198"/>
  <c r="AE9" i="1" s="1"/>
  <c r="K8" i="198"/>
  <c r="K88" i="197"/>
  <c r="K86" i="197"/>
  <c r="K85" i="197"/>
  <c r="AD85" i="1" s="1"/>
  <c r="K84" i="197"/>
  <c r="K83" i="197"/>
  <c r="K82" i="197"/>
  <c r="K81" i="197"/>
  <c r="AD81" i="1" s="1"/>
  <c r="K80" i="197"/>
  <c r="K79" i="197"/>
  <c r="K78" i="197"/>
  <c r="K76" i="197"/>
  <c r="K75" i="197"/>
  <c r="K73" i="197"/>
  <c r="K72" i="197"/>
  <c r="K71" i="197"/>
  <c r="AD71" i="1" s="1"/>
  <c r="K70" i="197"/>
  <c r="K68" i="197"/>
  <c r="K66" i="197"/>
  <c r="K65" i="197"/>
  <c r="AD65" i="1" s="1"/>
  <c r="K64" i="197"/>
  <c r="K62" i="197"/>
  <c r="K60" i="197"/>
  <c r="K59" i="197"/>
  <c r="AD59" i="1" s="1"/>
  <c r="K58" i="197"/>
  <c r="K57" i="197"/>
  <c r="K55" i="197"/>
  <c r="K53" i="197"/>
  <c r="AD53" i="1" s="1"/>
  <c r="K51" i="197"/>
  <c r="K50" i="197"/>
  <c r="K48" i="197"/>
  <c r="K47" i="197"/>
  <c r="AD47" i="1" s="1"/>
  <c r="K45" i="197"/>
  <c r="K44" i="197"/>
  <c r="K42" i="197"/>
  <c r="K41" i="197"/>
  <c r="AD41" i="1" s="1"/>
  <c r="K40" i="197"/>
  <c r="K38" i="197"/>
  <c r="K37" i="197"/>
  <c r="K35" i="197"/>
  <c r="AD35" i="1" s="1"/>
  <c r="K34" i="197"/>
  <c r="K32" i="197"/>
  <c r="K31" i="197"/>
  <c r="K30" i="197"/>
  <c r="AD30" i="1" s="1"/>
  <c r="K29" i="197"/>
  <c r="K28" i="197"/>
  <c r="K27" i="197"/>
  <c r="K25" i="197"/>
  <c r="AD25" i="1" s="1"/>
  <c r="K24" i="197"/>
  <c r="K23" i="197"/>
  <c r="K22" i="197"/>
  <c r="K20" i="197"/>
  <c r="AD20" i="1" s="1"/>
  <c r="K18" i="197"/>
  <c r="K17" i="197"/>
  <c r="K15" i="197"/>
  <c r="K14" i="197"/>
  <c r="AD14" i="1" s="1"/>
  <c r="K12" i="197"/>
  <c r="K11" i="197"/>
  <c r="K10" i="197"/>
  <c r="K9" i="197"/>
  <c r="AD9" i="1" s="1"/>
  <c r="K8" i="197"/>
  <c r="K88" i="196"/>
  <c r="K86" i="196"/>
  <c r="K85" i="196"/>
  <c r="AC85" i="1" s="1"/>
  <c r="K84" i="196"/>
  <c r="K83" i="196"/>
  <c r="K82" i="196"/>
  <c r="K81" i="196"/>
  <c r="AC81" i="1" s="1"/>
  <c r="K80" i="196"/>
  <c r="K79" i="196"/>
  <c r="K78" i="196"/>
  <c r="K76" i="196"/>
  <c r="AC76" i="1" s="1"/>
  <c r="K75" i="196"/>
  <c r="K73" i="196"/>
  <c r="K72" i="196"/>
  <c r="K71" i="196"/>
  <c r="AC71" i="1" s="1"/>
  <c r="K70" i="196"/>
  <c r="K68" i="196"/>
  <c r="K66" i="196"/>
  <c r="K65" i="196"/>
  <c r="AC65" i="1" s="1"/>
  <c r="K64" i="196"/>
  <c r="K62" i="196"/>
  <c r="K60" i="196"/>
  <c r="K59" i="196"/>
  <c r="K58" i="196"/>
  <c r="K57" i="196"/>
  <c r="K55" i="196"/>
  <c r="K53" i="196"/>
  <c r="AC53" i="1" s="1"/>
  <c r="K51" i="196"/>
  <c r="K50" i="196"/>
  <c r="K48" i="196"/>
  <c r="K47" i="196"/>
  <c r="K45" i="196"/>
  <c r="K44" i="196"/>
  <c r="K42" i="196"/>
  <c r="K41" i="196"/>
  <c r="AC41" i="1" s="1"/>
  <c r="K40" i="196"/>
  <c r="K38" i="196"/>
  <c r="K37" i="196"/>
  <c r="K35" i="196"/>
  <c r="AC35" i="1" s="1"/>
  <c r="K34" i="196"/>
  <c r="K32" i="196"/>
  <c r="K31" i="196"/>
  <c r="K30" i="196"/>
  <c r="AC30" i="1" s="1"/>
  <c r="K29" i="196"/>
  <c r="K28" i="196"/>
  <c r="K27" i="196"/>
  <c r="K25" i="196"/>
  <c r="AC25" i="1" s="1"/>
  <c r="K24" i="196"/>
  <c r="K23" i="196"/>
  <c r="K22" i="196"/>
  <c r="K20" i="196"/>
  <c r="AC20" i="1" s="1"/>
  <c r="K18" i="196"/>
  <c r="K17" i="196"/>
  <c r="K15" i="196"/>
  <c r="K14" i="196"/>
  <c r="AC14" i="1" s="1"/>
  <c r="K12" i="196"/>
  <c r="K11" i="196"/>
  <c r="K10" i="196"/>
  <c r="K9" i="196"/>
  <c r="AC9" i="1" s="1"/>
  <c r="K8" i="196"/>
  <c r="K88" i="195"/>
  <c r="K86" i="195"/>
  <c r="K85" i="195"/>
  <c r="AB85" i="1" s="1"/>
  <c r="K84" i="195"/>
  <c r="K83" i="195"/>
  <c r="K82" i="195"/>
  <c r="K81" i="195"/>
  <c r="AB81" i="1" s="1"/>
  <c r="K80" i="195"/>
  <c r="K79" i="195"/>
  <c r="K78" i="195"/>
  <c r="K76" i="195"/>
  <c r="AB76" i="1" s="1"/>
  <c r="K75" i="195"/>
  <c r="K73" i="195"/>
  <c r="K72" i="195"/>
  <c r="K71" i="195"/>
  <c r="AB71" i="1" s="1"/>
  <c r="K70" i="195"/>
  <c r="K68" i="195"/>
  <c r="K66" i="195"/>
  <c r="K65" i="195"/>
  <c r="AB65" i="1" s="1"/>
  <c r="K64" i="195"/>
  <c r="K62" i="195"/>
  <c r="K60" i="195"/>
  <c r="K59" i="195"/>
  <c r="AB59" i="1" s="1"/>
  <c r="K58" i="195"/>
  <c r="K57" i="195"/>
  <c r="K55" i="195"/>
  <c r="K53" i="195"/>
  <c r="AB53" i="1" s="1"/>
  <c r="K51" i="195"/>
  <c r="K50" i="195"/>
  <c r="K48" i="195"/>
  <c r="K47" i="195"/>
  <c r="AB47" i="1" s="1"/>
  <c r="K45" i="195"/>
  <c r="K44" i="195"/>
  <c r="K42" i="195"/>
  <c r="K41" i="195"/>
  <c r="AB41" i="1" s="1"/>
  <c r="K40" i="195"/>
  <c r="K38" i="195"/>
  <c r="K37" i="195"/>
  <c r="K35" i="195"/>
  <c r="AB35" i="1" s="1"/>
  <c r="K34" i="195"/>
  <c r="K32" i="195"/>
  <c r="K31" i="195"/>
  <c r="K30" i="195"/>
  <c r="K29" i="195"/>
  <c r="K28" i="195"/>
  <c r="K27" i="195"/>
  <c r="K25" i="195"/>
  <c r="AB25" i="1" s="1"/>
  <c r="K24" i="195"/>
  <c r="K23" i="195"/>
  <c r="K22" i="195"/>
  <c r="K20" i="195"/>
  <c r="AB20" i="1" s="1"/>
  <c r="K18" i="195"/>
  <c r="K17" i="195"/>
  <c r="K15" i="195"/>
  <c r="K14" i="195"/>
  <c r="AB14" i="1" s="1"/>
  <c r="K12" i="195"/>
  <c r="K11" i="195"/>
  <c r="K10" i="195"/>
  <c r="K9" i="195"/>
  <c r="AB9" i="1" s="1"/>
  <c r="K8" i="195"/>
  <c r="K88" i="194"/>
  <c r="K86" i="194"/>
  <c r="K85" i="194"/>
  <c r="AA85" i="1" s="1"/>
  <c r="K84" i="194"/>
  <c r="K83" i="194"/>
  <c r="K82" i="194"/>
  <c r="K81" i="194"/>
  <c r="AA81" i="1" s="1"/>
  <c r="K80" i="194"/>
  <c r="K79" i="194"/>
  <c r="K78" i="194"/>
  <c r="K76" i="194"/>
  <c r="AA76" i="1" s="1"/>
  <c r="K75" i="194"/>
  <c r="K73" i="194"/>
  <c r="K72" i="194"/>
  <c r="K71" i="194"/>
  <c r="AA71" i="1" s="1"/>
  <c r="K70" i="194"/>
  <c r="K68" i="194"/>
  <c r="K66" i="194"/>
  <c r="K65" i="194"/>
  <c r="K64" i="194"/>
  <c r="K62" i="194"/>
  <c r="K60" i="194"/>
  <c r="K59" i="194"/>
  <c r="AA59" i="1" s="1"/>
  <c r="K58" i="194"/>
  <c r="K57" i="194"/>
  <c r="K55" i="194"/>
  <c r="K53" i="194"/>
  <c r="AA53" i="1" s="1"/>
  <c r="K51" i="194"/>
  <c r="K50" i="194"/>
  <c r="K48" i="194"/>
  <c r="K47" i="194"/>
  <c r="AA47" i="1" s="1"/>
  <c r="K45" i="194"/>
  <c r="K44" i="194"/>
  <c r="K42" i="194"/>
  <c r="K41" i="194"/>
  <c r="AA41" i="1" s="1"/>
  <c r="K40" i="194"/>
  <c r="K38" i="194"/>
  <c r="K37" i="194"/>
  <c r="K35" i="194"/>
  <c r="AA35" i="1" s="1"/>
  <c r="K34" i="194"/>
  <c r="K32" i="194"/>
  <c r="K31" i="194"/>
  <c r="K30" i="194"/>
  <c r="AA30" i="1" s="1"/>
  <c r="K29" i="194"/>
  <c r="K28" i="194"/>
  <c r="K27" i="194"/>
  <c r="K25" i="194"/>
  <c r="K24" i="194"/>
  <c r="K23" i="194"/>
  <c r="K22" i="194"/>
  <c r="K20" i="194"/>
  <c r="AA20" i="1" s="1"/>
  <c r="K18" i="194"/>
  <c r="K17" i="194"/>
  <c r="K15" i="194"/>
  <c r="K14" i="194"/>
  <c r="AA14" i="1" s="1"/>
  <c r="K12" i="194"/>
  <c r="K11" i="194"/>
  <c r="K10" i="194"/>
  <c r="K9" i="194"/>
  <c r="AA9" i="1" s="1"/>
  <c r="K8" i="194"/>
  <c r="K88" i="193"/>
  <c r="K86" i="193"/>
  <c r="K85" i="193"/>
  <c r="Z85" i="1" s="1"/>
  <c r="K84" i="193"/>
  <c r="K83" i="193"/>
  <c r="K82" i="193"/>
  <c r="K81" i="193"/>
  <c r="Z81" i="1" s="1"/>
  <c r="K80" i="193"/>
  <c r="K79" i="193"/>
  <c r="K78" i="193"/>
  <c r="K76" i="193"/>
  <c r="K75" i="193"/>
  <c r="K73" i="193"/>
  <c r="K72" i="193"/>
  <c r="K71" i="193"/>
  <c r="Z71" i="1" s="1"/>
  <c r="K70" i="193"/>
  <c r="K68" i="193"/>
  <c r="K66" i="193"/>
  <c r="K65" i="193"/>
  <c r="Z65" i="1" s="1"/>
  <c r="K64" i="193"/>
  <c r="K62" i="193"/>
  <c r="K60" i="193"/>
  <c r="K59" i="193"/>
  <c r="Z59" i="1" s="1"/>
  <c r="K58" i="193"/>
  <c r="K57" i="193"/>
  <c r="K55" i="193"/>
  <c r="K53" i="193"/>
  <c r="Z53" i="1" s="1"/>
  <c r="K51" i="193"/>
  <c r="K50" i="193"/>
  <c r="K48" i="193"/>
  <c r="K47" i="193"/>
  <c r="Z47" i="1" s="1"/>
  <c r="K45" i="193"/>
  <c r="K44" i="193"/>
  <c r="K42" i="193"/>
  <c r="K41" i="193"/>
  <c r="Z41" i="1" s="1"/>
  <c r="K40" i="193"/>
  <c r="K38" i="193"/>
  <c r="K37" i="193"/>
  <c r="K35" i="193"/>
  <c r="Z35" i="1" s="1"/>
  <c r="K34" i="193"/>
  <c r="K32" i="193"/>
  <c r="K31" i="193"/>
  <c r="K30" i="193"/>
  <c r="Z30" i="1" s="1"/>
  <c r="K29" i="193"/>
  <c r="K28" i="193"/>
  <c r="K27" i="193"/>
  <c r="K25" i="193"/>
  <c r="Z25" i="1" s="1"/>
  <c r="K24" i="193"/>
  <c r="K23" i="193"/>
  <c r="K22" i="193"/>
  <c r="K20" i="193"/>
  <c r="K18" i="193"/>
  <c r="K17" i="193"/>
  <c r="K15" i="193"/>
  <c r="K14" i="193"/>
  <c r="Z14" i="1" s="1"/>
  <c r="K12" i="193"/>
  <c r="K11" i="193"/>
  <c r="K10" i="193"/>
  <c r="K9" i="193"/>
  <c r="Z9" i="1" s="1"/>
  <c r="K8" i="193"/>
  <c r="K88" i="192"/>
  <c r="K86" i="192"/>
  <c r="K85" i="192"/>
  <c r="Y85" i="1" s="1"/>
  <c r="K84" i="192"/>
  <c r="K83" i="192"/>
  <c r="K82" i="192"/>
  <c r="K81" i="192"/>
  <c r="K80" i="192"/>
  <c r="K79" i="192"/>
  <c r="K78" i="192"/>
  <c r="K76" i="192"/>
  <c r="Y76" i="1" s="1"/>
  <c r="K75" i="192"/>
  <c r="K73" i="192"/>
  <c r="K72" i="192"/>
  <c r="K71" i="192"/>
  <c r="Y71" i="1" s="1"/>
  <c r="K70" i="192"/>
  <c r="K68" i="192"/>
  <c r="K66" i="192"/>
  <c r="K65" i="192"/>
  <c r="Y65" i="1" s="1"/>
  <c r="K64" i="192"/>
  <c r="K62" i="192"/>
  <c r="K60" i="192"/>
  <c r="K59" i="192"/>
  <c r="Y59" i="1" s="1"/>
  <c r="K58" i="192"/>
  <c r="K57" i="192"/>
  <c r="K55" i="192"/>
  <c r="K53" i="192"/>
  <c r="Y53" i="1" s="1"/>
  <c r="K51" i="192"/>
  <c r="K50" i="192"/>
  <c r="K48" i="192"/>
  <c r="K47" i="192"/>
  <c r="Y47" i="1" s="1"/>
  <c r="K45" i="192"/>
  <c r="K44" i="192"/>
  <c r="K42" i="192"/>
  <c r="K41" i="192"/>
  <c r="Y41" i="1" s="1"/>
  <c r="K40" i="192"/>
  <c r="K38" i="192"/>
  <c r="K37" i="192"/>
  <c r="K35" i="192"/>
  <c r="Y35" i="1" s="1"/>
  <c r="K34" i="192"/>
  <c r="K32" i="192"/>
  <c r="K31" i="192"/>
  <c r="K30" i="192"/>
  <c r="Y30" i="1" s="1"/>
  <c r="K29" i="192"/>
  <c r="K28" i="192"/>
  <c r="K27" i="192"/>
  <c r="K25" i="192"/>
  <c r="K24" i="192"/>
  <c r="K23" i="192"/>
  <c r="K22" i="192"/>
  <c r="K20" i="192"/>
  <c r="Y20" i="1" s="1"/>
  <c r="K18" i="192"/>
  <c r="K17" i="192"/>
  <c r="K15" i="192"/>
  <c r="K14" i="192"/>
  <c r="Y14" i="1" s="1"/>
  <c r="K12" i="192"/>
  <c r="K11" i="192"/>
  <c r="K10" i="192"/>
  <c r="K9" i="192"/>
  <c r="K8" i="192"/>
  <c r="K88" i="191"/>
  <c r="K86" i="191"/>
  <c r="K85" i="191"/>
  <c r="X85" i="1" s="1"/>
  <c r="K84" i="191"/>
  <c r="K83" i="191"/>
  <c r="K82" i="191"/>
  <c r="K81" i="191"/>
  <c r="X81" i="1" s="1"/>
  <c r="K80" i="191"/>
  <c r="K79" i="191"/>
  <c r="K78" i="191"/>
  <c r="K76" i="191"/>
  <c r="X76" i="1" s="1"/>
  <c r="K75" i="191"/>
  <c r="K73" i="191"/>
  <c r="K72" i="191"/>
  <c r="K71" i="191"/>
  <c r="X71" i="1" s="1"/>
  <c r="K70" i="191"/>
  <c r="K68" i="191"/>
  <c r="K66" i="191"/>
  <c r="K65" i="191"/>
  <c r="X65" i="1" s="1"/>
  <c r="K64" i="191"/>
  <c r="K62" i="191"/>
  <c r="K60" i="191"/>
  <c r="K59" i="191"/>
  <c r="X59" i="1" s="1"/>
  <c r="K58" i="191"/>
  <c r="K57" i="191"/>
  <c r="K55" i="191"/>
  <c r="K53" i="191"/>
  <c r="X53" i="1" s="1"/>
  <c r="K51" i="191"/>
  <c r="K50" i="191"/>
  <c r="K48" i="191"/>
  <c r="K47" i="191"/>
  <c r="X47" i="1" s="1"/>
  <c r="K45" i="191"/>
  <c r="K44" i="191"/>
  <c r="K42" i="191"/>
  <c r="K41" i="191"/>
  <c r="X41" i="1" s="1"/>
  <c r="K40" i="191"/>
  <c r="K38" i="191"/>
  <c r="K37" i="191"/>
  <c r="K35" i="191"/>
  <c r="X35" i="1" s="1"/>
  <c r="K34" i="191"/>
  <c r="K32" i="191"/>
  <c r="K31" i="191"/>
  <c r="K30" i="191"/>
  <c r="X30" i="1" s="1"/>
  <c r="K29" i="191"/>
  <c r="K28" i="191"/>
  <c r="K27" i="191"/>
  <c r="K25" i="191"/>
  <c r="X25" i="1" s="1"/>
  <c r="K24" i="191"/>
  <c r="K23" i="191"/>
  <c r="K22" i="191"/>
  <c r="K20" i="191"/>
  <c r="K18" i="191"/>
  <c r="K17" i="191"/>
  <c r="K15" i="191"/>
  <c r="K14" i="191"/>
  <c r="X14" i="1" s="1"/>
  <c r="K12" i="191"/>
  <c r="K11" i="191"/>
  <c r="K10" i="191"/>
  <c r="K9" i="191"/>
  <c r="X9" i="1" s="1"/>
  <c r="K8" i="191"/>
  <c r="K88" i="190"/>
  <c r="K86" i="190"/>
  <c r="K85" i="190"/>
  <c r="W85" i="1" s="1"/>
  <c r="K84" i="190"/>
  <c r="K83" i="190"/>
  <c r="K82" i="190"/>
  <c r="K81" i="190"/>
  <c r="W81" i="1" s="1"/>
  <c r="K80" i="190"/>
  <c r="K79" i="190"/>
  <c r="K78" i="190"/>
  <c r="K76" i="190"/>
  <c r="W76" i="1" s="1"/>
  <c r="K75" i="190"/>
  <c r="K73" i="190"/>
  <c r="K72" i="190"/>
  <c r="K71" i="190"/>
  <c r="W71" i="1" s="1"/>
  <c r="K70" i="190"/>
  <c r="K68" i="190"/>
  <c r="K66" i="190"/>
  <c r="K65" i="190"/>
  <c r="W65" i="1" s="1"/>
  <c r="K64" i="190"/>
  <c r="K62" i="190"/>
  <c r="K60" i="190"/>
  <c r="K59" i="190"/>
  <c r="W59" i="1" s="1"/>
  <c r="K58" i="190"/>
  <c r="K57" i="190"/>
  <c r="K55" i="190"/>
  <c r="K53" i="190"/>
  <c r="W53" i="1" s="1"/>
  <c r="K51" i="190"/>
  <c r="K50" i="190"/>
  <c r="K48" i="190"/>
  <c r="K47" i="190"/>
  <c r="W47" i="1" s="1"/>
  <c r="K45" i="190"/>
  <c r="K44" i="190"/>
  <c r="K42" i="190"/>
  <c r="K41" i="190"/>
  <c r="W41" i="1" s="1"/>
  <c r="K40" i="190"/>
  <c r="K38" i="190"/>
  <c r="K37" i="190"/>
  <c r="K35" i="190"/>
  <c r="W35" i="1" s="1"/>
  <c r="K34" i="190"/>
  <c r="K32" i="190"/>
  <c r="K31" i="190"/>
  <c r="K30" i="190"/>
  <c r="W30" i="1" s="1"/>
  <c r="K29" i="190"/>
  <c r="K28" i="190"/>
  <c r="K27" i="190"/>
  <c r="K25" i="190"/>
  <c r="W25" i="1" s="1"/>
  <c r="K24" i="190"/>
  <c r="K23" i="190"/>
  <c r="K22" i="190"/>
  <c r="K20" i="190"/>
  <c r="W20" i="1" s="1"/>
  <c r="K18" i="190"/>
  <c r="K17" i="190"/>
  <c r="K15" i="190"/>
  <c r="K14" i="190"/>
  <c r="W14" i="1" s="1"/>
  <c r="K12" i="190"/>
  <c r="K11" i="190"/>
  <c r="K10" i="190"/>
  <c r="K9" i="190"/>
  <c r="W9" i="1" s="1"/>
  <c r="K8" i="190"/>
  <c r="K88" i="189"/>
  <c r="K86" i="189"/>
  <c r="K85" i="189"/>
  <c r="V85" i="1" s="1"/>
  <c r="K84" i="189"/>
  <c r="K83" i="189"/>
  <c r="K82" i="189"/>
  <c r="K81" i="189"/>
  <c r="V81" i="1" s="1"/>
  <c r="K80" i="189"/>
  <c r="K79" i="189"/>
  <c r="K78" i="189"/>
  <c r="K76" i="189"/>
  <c r="K75" i="189"/>
  <c r="K73" i="189"/>
  <c r="K72" i="189"/>
  <c r="K71" i="189"/>
  <c r="V71" i="1" s="1"/>
  <c r="K70" i="189"/>
  <c r="K68" i="189"/>
  <c r="K66" i="189"/>
  <c r="K65" i="189"/>
  <c r="V65" i="1" s="1"/>
  <c r="K64" i="189"/>
  <c r="K62" i="189"/>
  <c r="K60" i="189"/>
  <c r="K59" i="189"/>
  <c r="V59" i="1" s="1"/>
  <c r="K58" i="189"/>
  <c r="K57" i="189"/>
  <c r="K55" i="189"/>
  <c r="K53" i="189"/>
  <c r="V53" i="1" s="1"/>
  <c r="K51" i="189"/>
  <c r="K50" i="189"/>
  <c r="K48" i="189"/>
  <c r="K47" i="189"/>
  <c r="V47" i="1" s="1"/>
  <c r="K45" i="189"/>
  <c r="K44" i="189"/>
  <c r="K42" i="189"/>
  <c r="K41" i="189"/>
  <c r="V41" i="1" s="1"/>
  <c r="K40" i="189"/>
  <c r="K38" i="189"/>
  <c r="K37" i="189"/>
  <c r="K35" i="189"/>
  <c r="V35" i="1" s="1"/>
  <c r="K34" i="189"/>
  <c r="K32" i="189"/>
  <c r="K31" i="189"/>
  <c r="K30" i="189"/>
  <c r="V30" i="1" s="1"/>
  <c r="K29" i="189"/>
  <c r="K28" i="189"/>
  <c r="K27" i="189"/>
  <c r="K25" i="189"/>
  <c r="V25" i="1" s="1"/>
  <c r="K24" i="189"/>
  <c r="K23" i="189"/>
  <c r="K22" i="189"/>
  <c r="K20" i="189"/>
  <c r="V20" i="1" s="1"/>
  <c r="K18" i="189"/>
  <c r="K17" i="189"/>
  <c r="K15" i="189"/>
  <c r="K14" i="189"/>
  <c r="V14" i="1" s="1"/>
  <c r="K12" i="189"/>
  <c r="K11" i="189"/>
  <c r="K10" i="189"/>
  <c r="K9" i="189"/>
  <c r="V9" i="1" s="1"/>
  <c r="K8" i="189"/>
  <c r="K88" i="188"/>
  <c r="K86" i="188"/>
  <c r="K85" i="188"/>
  <c r="U85" i="1" s="1"/>
  <c r="K84" i="188"/>
  <c r="K83" i="188"/>
  <c r="K82" i="188"/>
  <c r="K81" i="188"/>
  <c r="U81" i="1" s="1"/>
  <c r="K80" i="188"/>
  <c r="K79" i="188"/>
  <c r="K78" i="188"/>
  <c r="K76" i="188"/>
  <c r="U76" i="1" s="1"/>
  <c r="K75" i="188"/>
  <c r="K73" i="188"/>
  <c r="K72" i="188"/>
  <c r="K71" i="188"/>
  <c r="U71" i="1" s="1"/>
  <c r="K70" i="188"/>
  <c r="K68" i="188"/>
  <c r="K66" i="188"/>
  <c r="K65" i="188"/>
  <c r="U65" i="1" s="1"/>
  <c r="K64" i="188"/>
  <c r="K62" i="188"/>
  <c r="K60" i="188"/>
  <c r="K59" i="188"/>
  <c r="U59" i="1" s="1"/>
  <c r="K58" i="188"/>
  <c r="K57" i="188"/>
  <c r="K55" i="188"/>
  <c r="K53" i="188"/>
  <c r="U53" i="1" s="1"/>
  <c r="K51" i="188"/>
  <c r="K50" i="188"/>
  <c r="K48" i="188"/>
  <c r="K47" i="188"/>
  <c r="U47" i="1" s="1"/>
  <c r="K45" i="188"/>
  <c r="K44" i="188"/>
  <c r="K42" i="188"/>
  <c r="K41" i="188"/>
  <c r="U41" i="1" s="1"/>
  <c r="K40" i="188"/>
  <c r="K38" i="188"/>
  <c r="K37" i="188"/>
  <c r="K35" i="188"/>
  <c r="U35" i="1" s="1"/>
  <c r="K34" i="188"/>
  <c r="K32" i="188"/>
  <c r="K31" i="188"/>
  <c r="K30" i="188"/>
  <c r="U30" i="1" s="1"/>
  <c r="K29" i="188"/>
  <c r="K28" i="188"/>
  <c r="K27" i="188"/>
  <c r="K25" i="188"/>
  <c r="U25" i="1" s="1"/>
  <c r="K24" i="188"/>
  <c r="K23" i="188"/>
  <c r="K22" i="188"/>
  <c r="K20" i="188"/>
  <c r="U20" i="1" s="1"/>
  <c r="K18" i="188"/>
  <c r="K17" i="188"/>
  <c r="K15" i="188"/>
  <c r="K14" i="188"/>
  <c r="U14" i="1" s="1"/>
  <c r="K12" i="188"/>
  <c r="K11" i="188"/>
  <c r="K10" i="188"/>
  <c r="K9" i="188"/>
  <c r="U9" i="1" s="1"/>
  <c r="K8" i="188"/>
  <c r="K88" i="186"/>
  <c r="K86" i="186"/>
  <c r="K85" i="186"/>
  <c r="K84" i="186"/>
  <c r="K83" i="186"/>
  <c r="K82" i="186"/>
  <c r="K81" i="186"/>
  <c r="K80" i="186"/>
  <c r="K79" i="186"/>
  <c r="K78" i="186"/>
  <c r="K76" i="186"/>
  <c r="K75" i="186"/>
  <c r="K73" i="186"/>
  <c r="K72" i="186"/>
  <c r="K71" i="186"/>
  <c r="T71" i="1" s="1"/>
  <c r="K70" i="186"/>
  <c r="K68" i="186"/>
  <c r="K66" i="186"/>
  <c r="K65" i="186"/>
  <c r="K64" i="186"/>
  <c r="K62" i="186"/>
  <c r="K60" i="186"/>
  <c r="K59" i="186"/>
  <c r="T59" i="1" s="1"/>
  <c r="K58" i="186"/>
  <c r="K57" i="186"/>
  <c r="K55" i="186"/>
  <c r="K53" i="186"/>
  <c r="T53" i="1" s="1"/>
  <c r="K51" i="186"/>
  <c r="K50" i="186"/>
  <c r="K48" i="186"/>
  <c r="K47" i="186"/>
  <c r="T47" i="1" s="1"/>
  <c r="K45" i="186"/>
  <c r="K44" i="186"/>
  <c r="K42" i="186"/>
  <c r="K41" i="186"/>
  <c r="T41" i="1" s="1"/>
  <c r="K40" i="186"/>
  <c r="K38" i="186"/>
  <c r="K37" i="186"/>
  <c r="K35" i="186"/>
  <c r="T35" i="1" s="1"/>
  <c r="K34" i="186"/>
  <c r="K32" i="186"/>
  <c r="K31" i="186"/>
  <c r="K30" i="186"/>
  <c r="T30" i="1" s="1"/>
  <c r="K29" i="186"/>
  <c r="K28" i="186"/>
  <c r="K27" i="186"/>
  <c r="K25" i="186"/>
  <c r="T25" i="1" s="1"/>
  <c r="K24" i="186"/>
  <c r="K23" i="186"/>
  <c r="K22" i="186"/>
  <c r="K20" i="186"/>
  <c r="T20" i="1" s="1"/>
  <c r="K18" i="186"/>
  <c r="K17" i="186"/>
  <c r="K15" i="186"/>
  <c r="K14" i="186"/>
  <c r="K12" i="186"/>
  <c r="K11" i="186"/>
  <c r="K10" i="186"/>
  <c r="K9" i="186"/>
  <c r="T9" i="1" s="1"/>
  <c r="K8" i="186"/>
  <c r="K88" i="185"/>
  <c r="K86" i="185"/>
  <c r="K85" i="185"/>
  <c r="K84" i="185"/>
  <c r="K83" i="185"/>
  <c r="K82" i="185"/>
  <c r="K81" i="185"/>
  <c r="K80" i="185"/>
  <c r="K79" i="185"/>
  <c r="K78" i="185"/>
  <c r="K76" i="185"/>
  <c r="S76" i="1" s="1"/>
  <c r="K75" i="185"/>
  <c r="K73" i="185"/>
  <c r="K72" i="185"/>
  <c r="K71" i="185"/>
  <c r="S71" i="1" s="1"/>
  <c r="K70" i="185"/>
  <c r="K68" i="185"/>
  <c r="K66" i="185"/>
  <c r="K65" i="185"/>
  <c r="K64" i="185"/>
  <c r="K62" i="185"/>
  <c r="K60" i="185"/>
  <c r="K59" i="185"/>
  <c r="S59" i="1" s="1"/>
  <c r="K58" i="185"/>
  <c r="K57" i="185"/>
  <c r="K55" i="185"/>
  <c r="K53" i="185"/>
  <c r="S53" i="1" s="1"/>
  <c r="K51" i="185"/>
  <c r="K50" i="185"/>
  <c r="K48" i="185"/>
  <c r="K47" i="185"/>
  <c r="S47" i="1" s="1"/>
  <c r="K45" i="185"/>
  <c r="K44" i="185"/>
  <c r="K42" i="185"/>
  <c r="K41" i="185"/>
  <c r="S41" i="1" s="1"/>
  <c r="K40" i="185"/>
  <c r="K38" i="185"/>
  <c r="K37" i="185"/>
  <c r="K35" i="185"/>
  <c r="S35" i="1" s="1"/>
  <c r="K34" i="185"/>
  <c r="K32" i="185"/>
  <c r="K31" i="185"/>
  <c r="K30" i="185"/>
  <c r="S30" i="1" s="1"/>
  <c r="K29" i="185"/>
  <c r="K28" i="185"/>
  <c r="K27" i="185"/>
  <c r="K25" i="185"/>
  <c r="S25" i="1" s="1"/>
  <c r="K24" i="185"/>
  <c r="K23" i="185"/>
  <c r="K22" i="185"/>
  <c r="K20" i="185"/>
  <c r="S20" i="1" s="1"/>
  <c r="K18" i="185"/>
  <c r="K17" i="185"/>
  <c r="K15" i="185"/>
  <c r="K14" i="185"/>
  <c r="S14" i="1" s="1"/>
  <c r="K12" i="185"/>
  <c r="K11" i="185"/>
  <c r="K10" i="185"/>
  <c r="K9" i="185"/>
  <c r="S9" i="1" s="1"/>
  <c r="K8" i="185"/>
  <c r="K88" i="184"/>
  <c r="K86" i="184"/>
  <c r="K85" i="184"/>
  <c r="R85" i="1" s="1"/>
  <c r="K84" i="184"/>
  <c r="K83" i="184"/>
  <c r="K82" i="184"/>
  <c r="K81" i="184"/>
  <c r="R81" i="1" s="1"/>
  <c r="K80" i="184"/>
  <c r="K79" i="184"/>
  <c r="K78" i="184"/>
  <c r="K76" i="184"/>
  <c r="R76" i="1" s="1"/>
  <c r="K75" i="184"/>
  <c r="K73" i="184"/>
  <c r="K72" i="184"/>
  <c r="K71" i="184"/>
  <c r="K70" i="184"/>
  <c r="K68" i="184"/>
  <c r="K66" i="184"/>
  <c r="K65" i="184"/>
  <c r="R65" i="1" s="1"/>
  <c r="K64" i="184"/>
  <c r="K62" i="184"/>
  <c r="K60" i="184"/>
  <c r="K59" i="184"/>
  <c r="R59" i="1" s="1"/>
  <c r="K58" i="184"/>
  <c r="K57" i="184"/>
  <c r="K55" i="184"/>
  <c r="K53" i="184"/>
  <c r="R53" i="1" s="1"/>
  <c r="K51" i="184"/>
  <c r="K50" i="184"/>
  <c r="K48" i="184"/>
  <c r="K47" i="184"/>
  <c r="R47" i="1" s="1"/>
  <c r="K45" i="184"/>
  <c r="K44" i="184"/>
  <c r="K42" i="184"/>
  <c r="K41" i="184"/>
  <c r="R41" i="1" s="1"/>
  <c r="K40" i="184"/>
  <c r="K38" i="184"/>
  <c r="K37" i="184"/>
  <c r="K35" i="184"/>
  <c r="R35" i="1" s="1"/>
  <c r="K34" i="184"/>
  <c r="K32" i="184"/>
  <c r="K31" i="184"/>
  <c r="K30" i="184"/>
  <c r="R30" i="1" s="1"/>
  <c r="K29" i="184"/>
  <c r="K28" i="184"/>
  <c r="K27" i="184"/>
  <c r="K25" i="184"/>
  <c r="R25" i="1" s="1"/>
  <c r="K24" i="184"/>
  <c r="K23" i="184"/>
  <c r="K22" i="184"/>
  <c r="K20" i="184"/>
  <c r="R20" i="1" s="1"/>
  <c r="K18" i="184"/>
  <c r="K17" i="184"/>
  <c r="K15" i="184"/>
  <c r="K14" i="184"/>
  <c r="R14" i="1" s="1"/>
  <c r="K12" i="184"/>
  <c r="K11" i="184"/>
  <c r="K10" i="184"/>
  <c r="K9" i="184"/>
  <c r="R9" i="1" s="1"/>
  <c r="K8" i="184"/>
  <c r="K88" i="183"/>
  <c r="K86" i="183"/>
  <c r="K85" i="183"/>
  <c r="Q85" i="1" s="1"/>
  <c r="K84" i="183"/>
  <c r="K83" i="183"/>
  <c r="K82" i="183"/>
  <c r="K81" i="183"/>
  <c r="Q81" i="1" s="1"/>
  <c r="K80" i="183"/>
  <c r="K79" i="183"/>
  <c r="K78" i="183"/>
  <c r="K76" i="183"/>
  <c r="K75" i="183"/>
  <c r="K73" i="183"/>
  <c r="K72" i="183"/>
  <c r="K71" i="183"/>
  <c r="K70" i="183"/>
  <c r="K68" i="183"/>
  <c r="K66" i="183"/>
  <c r="K65" i="183"/>
  <c r="Q65" i="1" s="1"/>
  <c r="K64" i="183"/>
  <c r="K62" i="183"/>
  <c r="K60" i="183"/>
  <c r="K59" i="183"/>
  <c r="Q59" i="1" s="1"/>
  <c r="K58" i="183"/>
  <c r="K57" i="183"/>
  <c r="K55" i="183"/>
  <c r="K53" i="183"/>
  <c r="K51" i="183"/>
  <c r="K50" i="183"/>
  <c r="K48" i="183"/>
  <c r="K47" i="183"/>
  <c r="Q47" i="1" s="1"/>
  <c r="K45" i="183"/>
  <c r="K44" i="183"/>
  <c r="K42" i="183"/>
  <c r="K41" i="183"/>
  <c r="K40" i="183"/>
  <c r="K38" i="183"/>
  <c r="K37" i="183"/>
  <c r="K35" i="183"/>
  <c r="Q35" i="1" s="1"/>
  <c r="K34" i="183"/>
  <c r="K32" i="183"/>
  <c r="K31" i="183"/>
  <c r="K30" i="183"/>
  <c r="Q30" i="1" s="1"/>
  <c r="K29" i="183"/>
  <c r="K28" i="183"/>
  <c r="K27" i="183"/>
  <c r="K25" i="183"/>
  <c r="K24" i="183"/>
  <c r="K23" i="183"/>
  <c r="K22" i="183"/>
  <c r="K20" i="183"/>
  <c r="Q20" i="1" s="1"/>
  <c r="K18" i="183"/>
  <c r="K17" i="183"/>
  <c r="K15" i="183"/>
  <c r="K14" i="183"/>
  <c r="Q14" i="1" s="1"/>
  <c r="K12" i="183"/>
  <c r="K11" i="183"/>
  <c r="K10" i="183"/>
  <c r="K9" i="183"/>
  <c r="Q9" i="1" s="1"/>
  <c r="K8" i="183"/>
  <c r="K88" i="182"/>
  <c r="K86" i="182"/>
  <c r="K85" i="182"/>
  <c r="K84" i="182"/>
  <c r="K83" i="182"/>
  <c r="K82" i="182"/>
  <c r="K81" i="182"/>
  <c r="K80" i="182"/>
  <c r="K79" i="182"/>
  <c r="K78" i="182"/>
  <c r="K76" i="182"/>
  <c r="K75" i="182"/>
  <c r="K73" i="182"/>
  <c r="K72" i="182"/>
  <c r="K71" i="182"/>
  <c r="P71" i="1" s="1"/>
  <c r="K70" i="182"/>
  <c r="K68" i="182"/>
  <c r="K66" i="182"/>
  <c r="K65" i="182"/>
  <c r="K64" i="182"/>
  <c r="K62" i="182"/>
  <c r="K60" i="182"/>
  <c r="K59" i="182"/>
  <c r="P59" i="1" s="1"/>
  <c r="K58" i="182"/>
  <c r="K57" i="182"/>
  <c r="K55" i="182"/>
  <c r="K53" i="182"/>
  <c r="P53" i="1" s="1"/>
  <c r="K51" i="182"/>
  <c r="K50" i="182"/>
  <c r="K48" i="182"/>
  <c r="K47" i="182"/>
  <c r="P47" i="1" s="1"/>
  <c r="K45" i="182"/>
  <c r="K44" i="182"/>
  <c r="K42" i="182"/>
  <c r="K41" i="182"/>
  <c r="P41" i="1" s="1"/>
  <c r="K40" i="182"/>
  <c r="K38" i="182"/>
  <c r="K37" i="182"/>
  <c r="K35" i="182"/>
  <c r="P35" i="1" s="1"/>
  <c r="K34" i="182"/>
  <c r="K32" i="182"/>
  <c r="K31" i="182"/>
  <c r="K30" i="182"/>
  <c r="K29" i="182"/>
  <c r="K28" i="182"/>
  <c r="K27" i="182"/>
  <c r="K25" i="182"/>
  <c r="P25" i="1" s="1"/>
  <c r="K24" i="182"/>
  <c r="K23" i="182"/>
  <c r="K22" i="182"/>
  <c r="K20" i="182"/>
  <c r="P20" i="1" s="1"/>
  <c r="K18" i="182"/>
  <c r="K17" i="182"/>
  <c r="K15" i="182"/>
  <c r="K14" i="182"/>
  <c r="K12" i="182"/>
  <c r="K11" i="182"/>
  <c r="K10" i="182"/>
  <c r="K9" i="182"/>
  <c r="P9" i="1" s="1"/>
  <c r="K8" i="182"/>
  <c r="K88" i="180"/>
  <c r="K86" i="180"/>
  <c r="K85" i="180"/>
  <c r="N85" i="1" s="1"/>
  <c r="K84" i="180"/>
  <c r="K83" i="180"/>
  <c r="K82" i="180"/>
  <c r="K81" i="180"/>
  <c r="N81" i="1" s="1"/>
  <c r="K80" i="180"/>
  <c r="K79" i="180"/>
  <c r="K78" i="180"/>
  <c r="K76" i="180"/>
  <c r="N76" i="1" s="1"/>
  <c r="K75" i="180"/>
  <c r="K73" i="180"/>
  <c r="K72" i="180"/>
  <c r="K71" i="180"/>
  <c r="K70" i="180"/>
  <c r="K68" i="180"/>
  <c r="K66" i="180"/>
  <c r="K65" i="180"/>
  <c r="N65" i="1" s="1"/>
  <c r="K64" i="180"/>
  <c r="K62" i="180"/>
  <c r="K60" i="180"/>
  <c r="K59" i="180"/>
  <c r="K58" i="180"/>
  <c r="K57" i="180"/>
  <c r="K55" i="180"/>
  <c r="K53" i="180"/>
  <c r="N53" i="1" s="1"/>
  <c r="K51" i="180"/>
  <c r="K50" i="180"/>
  <c r="K48" i="180"/>
  <c r="K47" i="180"/>
  <c r="K45" i="180"/>
  <c r="K44" i="180"/>
  <c r="K42" i="180"/>
  <c r="K41" i="180"/>
  <c r="N41" i="1" s="1"/>
  <c r="K40" i="180"/>
  <c r="K38" i="180"/>
  <c r="K37" i="180"/>
  <c r="K35" i="180"/>
  <c r="K34" i="180"/>
  <c r="K32" i="180"/>
  <c r="K31" i="180"/>
  <c r="K30" i="180"/>
  <c r="K29" i="180"/>
  <c r="K28" i="180"/>
  <c r="K27" i="180"/>
  <c r="K25" i="180"/>
  <c r="N25" i="1" s="1"/>
  <c r="K24" i="180"/>
  <c r="K23" i="180"/>
  <c r="K22" i="180"/>
  <c r="K20" i="180"/>
  <c r="N20" i="1" s="1"/>
  <c r="K18" i="180"/>
  <c r="K17" i="180"/>
  <c r="K15" i="180"/>
  <c r="K14" i="180"/>
  <c r="K12" i="180"/>
  <c r="K11" i="180"/>
  <c r="K10" i="180"/>
  <c r="K9" i="180"/>
  <c r="N9" i="1" s="1"/>
  <c r="K8" i="180"/>
  <c r="K88" i="178"/>
  <c r="K86" i="178"/>
  <c r="K85" i="178"/>
  <c r="L85" i="1" s="1"/>
  <c r="K84" i="178"/>
  <c r="K83" i="178"/>
  <c r="K82" i="178"/>
  <c r="K81" i="178"/>
  <c r="L81" i="1" s="1"/>
  <c r="K80" i="178"/>
  <c r="K79" i="178"/>
  <c r="K78" i="178"/>
  <c r="K76" i="178"/>
  <c r="K75" i="178"/>
  <c r="K73" i="178"/>
  <c r="K72" i="178"/>
  <c r="K71" i="178"/>
  <c r="K70" i="178"/>
  <c r="K68" i="178"/>
  <c r="K66" i="178"/>
  <c r="K65" i="178"/>
  <c r="L65" i="1" s="1"/>
  <c r="K64" i="178"/>
  <c r="K62" i="178"/>
  <c r="K60" i="178"/>
  <c r="K59" i="178"/>
  <c r="K58" i="178"/>
  <c r="K57" i="178"/>
  <c r="K55" i="178"/>
  <c r="K53" i="178"/>
  <c r="L53" i="1" s="1"/>
  <c r="K51" i="178"/>
  <c r="K50" i="178"/>
  <c r="K48" i="178"/>
  <c r="K47" i="178"/>
  <c r="K45" i="178"/>
  <c r="K44" i="178"/>
  <c r="K42" i="178"/>
  <c r="K41" i="178"/>
  <c r="L41" i="1" s="1"/>
  <c r="K40" i="178"/>
  <c r="K38" i="178"/>
  <c r="K37" i="178"/>
  <c r="K35" i="178"/>
  <c r="K34" i="178"/>
  <c r="K32" i="178"/>
  <c r="K31" i="178"/>
  <c r="K30" i="178"/>
  <c r="L30" i="1" s="1"/>
  <c r="K29" i="178"/>
  <c r="K28" i="178"/>
  <c r="K27" i="178"/>
  <c r="K25" i="178"/>
  <c r="L25" i="1" s="1"/>
  <c r="K24" i="178"/>
  <c r="K23" i="178"/>
  <c r="K22" i="178"/>
  <c r="K20" i="178"/>
  <c r="K18" i="178"/>
  <c r="K17" i="178"/>
  <c r="K15" i="178"/>
  <c r="K14" i="178"/>
  <c r="L14" i="1" s="1"/>
  <c r="K12" i="178"/>
  <c r="K11" i="178"/>
  <c r="K10" i="178"/>
  <c r="K9" i="178"/>
  <c r="L9" i="1" s="1"/>
  <c r="K8" i="178"/>
  <c r="K88" i="177"/>
  <c r="K86" i="177"/>
  <c r="K85" i="177"/>
  <c r="K85" i="1" s="1"/>
  <c r="K84" i="177"/>
  <c r="K83" i="177"/>
  <c r="K82" i="177"/>
  <c r="K81" i="177"/>
  <c r="K81" i="1" s="1"/>
  <c r="K80" i="177"/>
  <c r="K79" i="177"/>
  <c r="K78" i="177"/>
  <c r="K76" i="177"/>
  <c r="K76" i="1" s="1"/>
  <c r="K75" i="177"/>
  <c r="K73" i="177"/>
  <c r="K72" i="177"/>
  <c r="K71" i="177"/>
  <c r="K70" i="177"/>
  <c r="K68" i="177"/>
  <c r="K66" i="177"/>
  <c r="K65" i="177"/>
  <c r="K65" i="1" s="1"/>
  <c r="K64" i="177"/>
  <c r="K62" i="177"/>
  <c r="K60" i="177"/>
  <c r="K59" i="177"/>
  <c r="K58" i="177"/>
  <c r="K57" i="177"/>
  <c r="K55" i="177"/>
  <c r="K53" i="177"/>
  <c r="K53" i="1" s="1"/>
  <c r="K51" i="177"/>
  <c r="K50" i="177"/>
  <c r="K48" i="177"/>
  <c r="K47" i="177"/>
  <c r="K45" i="177"/>
  <c r="K44" i="177"/>
  <c r="K42" i="177"/>
  <c r="K41" i="177"/>
  <c r="K41" i="1" s="1"/>
  <c r="K40" i="177"/>
  <c r="K38" i="177"/>
  <c r="K37" i="177"/>
  <c r="K35" i="177"/>
  <c r="K34" i="177"/>
  <c r="K32" i="177"/>
  <c r="K31" i="177"/>
  <c r="K30" i="177"/>
  <c r="K29" i="177"/>
  <c r="K28" i="177"/>
  <c r="K27" i="177"/>
  <c r="K25" i="177"/>
  <c r="K25" i="1" s="1"/>
  <c r="K24" i="177"/>
  <c r="K23" i="177"/>
  <c r="K22" i="177"/>
  <c r="K20" i="177"/>
  <c r="K20" i="1" s="1"/>
  <c r="K18" i="177"/>
  <c r="K17" i="177"/>
  <c r="K15" i="177"/>
  <c r="K14" i="177"/>
  <c r="K12" i="177"/>
  <c r="K11" i="177"/>
  <c r="K10" i="177"/>
  <c r="K9" i="177"/>
  <c r="K9" i="1" s="1"/>
  <c r="K8" i="177"/>
  <c r="K88" i="176"/>
  <c r="K86" i="176"/>
  <c r="K85" i="176"/>
  <c r="K84" i="176"/>
  <c r="K83" i="176"/>
  <c r="K82" i="176"/>
  <c r="K81" i="176"/>
  <c r="K80" i="176"/>
  <c r="K79" i="176"/>
  <c r="K78" i="176"/>
  <c r="K76" i="176"/>
  <c r="J76" i="1" s="1"/>
  <c r="K75" i="176"/>
  <c r="K73" i="176"/>
  <c r="K72" i="176"/>
  <c r="K71" i="176"/>
  <c r="J71" i="1" s="1"/>
  <c r="K70" i="176"/>
  <c r="K68" i="176"/>
  <c r="K66" i="176"/>
  <c r="K65" i="176"/>
  <c r="K64" i="176"/>
  <c r="K62" i="176"/>
  <c r="K60" i="176"/>
  <c r="K59" i="176"/>
  <c r="J59" i="1" s="1"/>
  <c r="K58" i="176"/>
  <c r="K57" i="176"/>
  <c r="K55" i="176"/>
  <c r="K53" i="176"/>
  <c r="K51" i="176"/>
  <c r="K50" i="176"/>
  <c r="K48" i="176"/>
  <c r="K47" i="176"/>
  <c r="J47" i="1" s="1"/>
  <c r="K45" i="176"/>
  <c r="K44" i="176"/>
  <c r="K42" i="176"/>
  <c r="K41" i="176"/>
  <c r="K40" i="176"/>
  <c r="K38" i="176"/>
  <c r="K37" i="176"/>
  <c r="K35" i="176"/>
  <c r="J35" i="1" s="1"/>
  <c r="K34" i="176"/>
  <c r="K32" i="176"/>
  <c r="K31" i="176"/>
  <c r="K30" i="176"/>
  <c r="K29" i="176"/>
  <c r="K28" i="176"/>
  <c r="K27" i="176"/>
  <c r="K25" i="176"/>
  <c r="K24" i="176"/>
  <c r="K23" i="176"/>
  <c r="K22" i="176"/>
  <c r="K20" i="176"/>
  <c r="J20" i="1" s="1"/>
  <c r="K18" i="176"/>
  <c r="K17" i="176"/>
  <c r="K15" i="176"/>
  <c r="K14" i="176"/>
  <c r="K12" i="176"/>
  <c r="K11" i="176"/>
  <c r="K10" i="176"/>
  <c r="K9" i="176"/>
  <c r="K8" i="176"/>
  <c r="K88" i="174"/>
  <c r="K86" i="174"/>
  <c r="K85" i="174"/>
  <c r="K84" i="174"/>
  <c r="K83" i="174"/>
  <c r="K82" i="174"/>
  <c r="K81" i="174"/>
  <c r="K80" i="174"/>
  <c r="K79" i="174"/>
  <c r="K78" i="174"/>
  <c r="K76" i="174"/>
  <c r="K75" i="174"/>
  <c r="K73" i="174"/>
  <c r="K72" i="174"/>
  <c r="K71" i="174"/>
  <c r="H71" i="1" s="1"/>
  <c r="K70" i="174"/>
  <c r="K68" i="174"/>
  <c r="K66" i="174"/>
  <c r="K65" i="174"/>
  <c r="K64" i="174"/>
  <c r="K62" i="174"/>
  <c r="K60" i="174"/>
  <c r="K59" i="174"/>
  <c r="H59" i="1" s="1"/>
  <c r="K58" i="174"/>
  <c r="K57" i="174"/>
  <c r="K55" i="174"/>
  <c r="K53" i="174"/>
  <c r="K51" i="174"/>
  <c r="K50" i="174"/>
  <c r="K48" i="174"/>
  <c r="K47" i="174"/>
  <c r="H47" i="1" s="1"/>
  <c r="K45" i="174"/>
  <c r="K44" i="174"/>
  <c r="K42" i="174"/>
  <c r="K41" i="174"/>
  <c r="K40" i="174"/>
  <c r="K38" i="174"/>
  <c r="K37" i="174"/>
  <c r="K35" i="174"/>
  <c r="H35" i="1" s="1"/>
  <c r="K34" i="174"/>
  <c r="K32" i="174"/>
  <c r="K31" i="174"/>
  <c r="K30" i="174"/>
  <c r="H30" i="1" s="1"/>
  <c r="K29" i="174"/>
  <c r="K28" i="174"/>
  <c r="K27" i="174"/>
  <c r="K25" i="174"/>
  <c r="K24" i="174"/>
  <c r="K23" i="174"/>
  <c r="K22" i="174"/>
  <c r="K20" i="174"/>
  <c r="K18" i="174"/>
  <c r="K17" i="174"/>
  <c r="K15" i="174"/>
  <c r="K14" i="174"/>
  <c r="H14" i="1" s="1"/>
  <c r="K12" i="174"/>
  <c r="K11" i="174"/>
  <c r="K10" i="174"/>
  <c r="K9" i="174"/>
  <c r="K8" i="174"/>
  <c r="K88" i="173"/>
  <c r="K86" i="173"/>
  <c r="K85" i="173"/>
  <c r="G85" i="1" s="1"/>
  <c r="K84" i="173"/>
  <c r="K83" i="173"/>
  <c r="K82" i="173"/>
  <c r="K81" i="173"/>
  <c r="G81" i="1" s="1"/>
  <c r="K80" i="173"/>
  <c r="K79" i="173"/>
  <c r="K78" i="173"/>
  <c r="K76" i="173"/>
  <c r="K75" i="173"/>
  <c r="K73" i="173"/>
  <c r="K72" i="173"/>
  <c r="K71" i="173"/>
  <c r="K70" i="173"/>
  <c r="K68" i="173"/>
  <c r="K66" i="173"/>
  <c r="K65" i="173"/>
  <c r="G65" i="1" s="1"/>
  <c r="K64" i="173"/>
  <c r="K62" i="173"/>
  <c r="K60" i="173"/>
  <c r="K59" i="173"/>
  <c r="K58" i="173"/>
  <c r="K57" i="173"/>
  <c r="K55" i="173"/>
  <c r="K53" i="173"/>
  <c r="G53" i="1" s="1"/>
  <c r="K51" i="173"/>
  <c r="K50" i="173"/>
  <c r="K48" i="173"/>
  <c r="K47" i="173"/>
  <c r="K45" i="173"/>
  <c r="K44" i="173"/>
  <c r="K42" i="173"/>
  <c r="K41" i="173"/>
  <c r="G41" i="1" s="1"/>
  <c r="K40" i="173"/>
  <c r="K38" i="173"/>
  <c r="K37" i="173"/>
  <c r="K35" i="173"/>
  <c r="K34" i="173"/>
  <c r="K32" i="173"/>
  <c r="K31" i="173"/>
  <c r="K30" i="173"/>
  <c r="G30" i="1" s="1"/>
  <c r="K29" i="173"/>
  <c r="K28" i="173"/>
  <c r="K27" i="173"/>
  <c r="K25" i="173"/>
  <c r="G25" i="1" s="1"/>
  <c r="K24" i="173"/>
  <c r="K23" i="173"/>
  <c r="K22" i="173"/>
  <c r="K20" i="173"/>
  <c r="K18" i="173"/>
  <c r="K17" i="173"/>
  <c r="K15" i="173"/>
  <c r="K14" i="173"/>
  <c r="G14" i="1" s="1"/>
  <c r="K12" i="173"/>
  <c r="K11" i="173"/>
  <c r="K10" i="173"/>
  <c r="K9" i="173"/>
  <c r="G9" i="1" s="1"/>
  <c r="K8" i="173"/>
  <c r="K88" i="172"/>
  <c r="K86" i="172"/>
  <c r="K85" i="172"/>
  <c r="F85" i="1" s="1"/>
  <c r="K84" i="172"/>
  <c r="K83" i="172"/>
  <c r="K82" i="172"/>
  <c r="K81" i="172"/>
  <c r="F81" i="1" s="1"/>
  <c r="K80" i="172"/>
  <c r="K79" i="172"/>
  <c r="K78" i="172"/>
  <c r="K76" i="172"/>
  <c r="F76" i="1" s="1"/>
  <c r="K75" i="172"/>
  <c r="K73" i="172"/>
  <c r="K72" i="172"/>
  <c r="K71" i="172"/>
  <c r="K70" i="172"/>
  <c r="K68" i="172"/>
  <c r="K66" i="172"/>
  <c r="K65" i="172"/>
  <c r="F65" i="1" s="1"/>
  <c r="K64" i="172"/>
  <c r="K62" i="172"/>
  <c r="K60" i="172"/>
  <c r="K59" i="172"/>
  <c r="K58" i="172"/>
  <c r="K57" i="172"/>
  <c r="K55" i="172"/>
  <c r="K53" i="172"/>
  <c r="F53" i="1" s="1"/>
  <c r="K51" i="172"/>
  <c r="K50" i="172"/>
  <c r="K48" i="172"/>
  <c r="K47" i="172"/>
  <c r="K45" i="172"/>
  <c r="K44" i="172"/>
  <c r="K42" i="172"/>
  <c r="K41" i="172"/>
  <c r="F41" i="1" s="1"/>
  <c r="K40" i="172"/>
  <c r="K38" i="172"/>
  <c r="K37" i="172"/>
  <c r="K35" i="172"/>
  <c r="K34" i="172"/>
  <c r="K32" i="172"/>
  <c r="K31" i="172"/>
  <c r="K30" i="172"/>
  <c r="K29" i="172"/>
  <c r="K28" i="172"/>
  <c r="K27" i="172"/>
  <c r="K25" i="172"/>
  <c r="F25" i="1" s="1"/>
  <c r="K24" i="172"/>
  <c r="K23" i="172"/>
  <c r="K22" i="172"/>
  <c r="K20" i="172"/>
  <c r="F20" i="1" s="1"/>
  <c r="K18" i="172"/>
  <c r="K17" i="172"/>
  <c r="K15" i="172"/>
  <c r="K14" i="172"/>
  <c r="K12" i="172"/>
  <c r="K11" i="172"/>
  <c r="K10" i="172"/>
  <c r="K9" i="172"/>
  <c r="F9" i="1" s="1"/>
  <c r="K8" i="172"/>
  <c r="K88" i="171"/>
  <c r="K86" i="171"/>
  <c r="K85" i="171"/>
  <c r="E85" i="1" s="1"/>
  <c r="K84" i="171"/>
  <c r="K83" i="171"/>
  <c r="K82" i="171"/>
  <c r="K81" i="171"/>
  <c r="E81" i="1" s="1"/>
  <c r="K80" i="171"/>
  <c r="K79" i="171"/>
  <c r="K78" i="171"/>
  <c r="K76" i="171"/>
  <c r="E76" i="1" s="1"/>
  <c r="K75" i="171"/>
  <c r="K73" i="171"/>
  <c r="K72" i="171"/>
  <c r="K71" i="171"/>
  <c r="K70" i="171"/>
  <c r="K68" i="171"/>
  <c r="K66" i="171"/>
  <c r="K65" i="171"/>
  <c r="E65" i="1" s="1"/>
  <c r="K64" i="171"/>
  <c r="K62" i="171"/>
  <c r="K60" i="171"/>
  <c r="K59" i="171"/>
  <c r="K58" i="171"/>
  <c r="K57" i="171"/>
  <c r="K55" i="171"/>
  <c r="K53" i="171"/>
  <c r="E53" i="1" s="1"/>
  <c r="K51" i="171"/>
  <c r="K50" i="171"/>
  <c r="K48" i="171"/>
  <c r="K47" i="171"/>
  <c r="K45" i="171"/>
  <c r="K44" i="171"/>
  <c r="K42" i="171"/>
  <c r="K41" i="171"/>
  <c r="E41" i="1" s="1"/>
  <c r="K40" i="171"/>
  <c r="K38" i="171"/>
  <c r="K37" i="171"/>
  <c r="K35" i="171"/>
  <c r="K34" i="171"/>
  <c r="K32" i="171"/>
  <c r="K31" i="171"/>
  <c r="K30" i="171"/>
  <c r="K29" i="171"/>
  <c r="K28" i="171"/>
  <c r="K27" i="171"/>
  <c r="K25" i="171"/>
  <c r="E25" i="1" s="1"/>
  <c r="K24" i="171"/>
  <c r="K23" i="171"/>
  <c r="K22" i="171"/>
  <c r="K20" i="171"/>
  <c r="E20" i="1" s="1"/>
  <c r="K18" i="171"/>
  <c r="K17" i="171"/>
  <c r="K15" i="171"/>
  <c r="K14" i="171"/>
  <c r="K12" i="171"/>
  <c r="K11" i="171"/>
  <c r="K10" i="171"/>
  <c r="K9" i="171"/>
  <c r="E9" i="1" s="1"/>
  <c r="K8" i="171"/>
  <c r="K88" i="170"/>
  <c r="K86" i="170"/>
  <c r="K85" i="170"/>
  <c r="K84" i="170"/>
  <c r="K83" i="170"/>
  <c r="K82" i="170"/>
  <c r="K81" i="170"/>
  <c r="K80" i="170"/>
  <c r="K79" i="170"/>
  <c r="K78" i="170"/>
  <c r="K76" i="170"/>
  <c r="D76" i="1" s="1"/>
  <c r="K75" i="170"/>
  <c r="K73" i="170"/>
  <c r="K72" i="170"/>
  <c r="K71" i="170"/>
  <c r="D71" i="1" s="1"/>
  <c r="K70" i="170"/>
  <c r="K68" i="170"/>
  <c r="K66" i="170"/>
  <c r="K65" i="170"/>
  <c r="K64" i="170"/>
  <c r="K62" i="170"/>
  <c r="K60" i="170"/>
  <c r="K59" i="170"/>
  <c r="D59" i="1" s="1"/>
  <c r="K58" i="170"/>
  <c r="K57" i="170"/>
  <c r="K55" i="170"/>
  <c r="K53" i="170"/>
  <c r="K51" i="170"/>
  <c r="K50" i="170"/>
  <c r="K48" i="170"/>
  <c r="K47" i="170"/>
  <c r="D47" i="1" s="1"/>
  <c r="K45" i="170"/>
  <c r="K44" i="170"/>
  <c r="K42" i="170"/>
  <c r="K41" i="170"/>
  <c r="K40" i="170"/>
  <c r="K38" i="170"/>
  <c r="K37" i="170"/>
  <c r="K35" i="170"/>
  <c r="D35" i="1" s="1"/>
  <c r="K34" i="170"/>
  <c r="K32" i="170"/>
  <c r="K31" i="170"/>
  <c r="K30" i="170"/>
  <c r="K29" i="170"/>
  <c r="K28" i="170"/>
  <c r="K27" i="170"/>
  <c r="K25" i="170"/>
  <c r="K24" i="170"/>
  <c r="K23" i="170"/>
  <c r="K22" i="170"/>
  <c r="K20" i="170"/>
  <c r="D20" i="1" s="1"/>
  <c r="K18" i="170"/>
  <c r="K17" i="170"/>
  <c r="K15" i="170"/>
  <c r="K14" i="170"/>
  <c r="K12" i="170"/>
  <c r="K11" i="170"/>
  <c r="K10" i="170"/>
  <c r="K9" i="170"/>
  <c r="K8" i="170"/>
  <c r="K88" i="169"/>
  <c r="K86" i="169"/>
  <c r="K85" i="169"/>
  <c r="K84" i="169"/>
  <c r="K83" i="169"/>
  <c r="K82" i="169"/>
  <c r="K81" i="169"/>
  <c r="K80" i="169"/>
  <c r="K79" i="169"/>
  <c r="K78" i="169"/>
  <c r="K76" i="169"/>
  <c r="K75" i="169"/>
  <c r="K73" i="169"/>
  <c r="K72" i="169"/>
  <c r="K71" i="169"/>
  <c r="C71" i="1" s="1"/>
  <c r="K70" i="169"/>
  <c r="K68" i="169"/>
  <c r="K66" i="169"/>
  <c r="K65" i="169"/>
  <c r="K64" i="169"/>
  <c r="K62" i="169"/>
  <c r="K60" i="169"/>
  <c r="K59" i="169"/>
  <c r="C59" i="1" s="1"/>
  <c r="K58" i="169"/>
  <c r="K57" i="169"/>
  <c r="K55" i="169"/>
  <c r="K53" i="169"/>
  <c r="K51" i="169"/>
  <c r="K50" i="169"/>
  <c r="K48" i="169"/>
  <c r="K47" i="169"/>
  <c r="C47" i="1" s="1"/>
  <c r="K45" i="169"/>
  <c r="K44" i="169"/>
  <c r="K42" i="169"/>
  <c r="K41" i="169"/>
  <c r="K40" i="169"/>
  <c r="K38" i="169"/>
  <c r="K37" i="169"/>
  <c r="K35" i="169"/>
  <c r="C35" i="1" s="1"/>
  <c r="K34" i="169"/>
  <c r="K32" i="169"/>
  <c r="K31" i="169"/>
  <c r="K30" i="169"/>
  <c r="C30" i="1" s="1"/>
  <c r="K29" i="169"/>
  <c r="K28" i="169"/>
  <c r="K27" i="169"/>
  <c r="K25" i="169"/>
  <c r="K24" i="169"/>
  <c r="K23" i="169"/>
  <c r="K22" i="169"/>
  <c r="K20" i="169"/>
  <c r="K18" i="169"/>
  <c r="K17" i="169"/>
  <c r="K15" i="169"/>
  <c r="K14" i="169"/>
  <c r="C14" i="1" s="1"/>
  <c r="K12" i="169"/>
  <c r="K11" i="169"/>
  <c r="K10" i="169"/>
  <c r="K9" i="169"/>
  <c r="K8" i="169"/>
  <c r="AE10" i="1"/>
  <c r="AF10" i="1"/>
  <c r="AG10" i="1"/>
  <c r="AI10" i="1" s="1"/>
  <c r="AE11" i="1"/>
  <c r="AF11" i="1"/>
  <c r="AG11" i="1"/>
  <c r="AI11" i="1" s="1"/>
  <c r="AE12" i="1"/>
  <c r="AF12" i="1"/>
  <c r="AG12" i="1"/>
  <c r="AE13" i="1"/>
  <c r="AF13" i="1"/>
  <c r="AG13" i="1"/>
  <c r="AE15" i="1"/>
  <c r="AF15" i="1"/>
  <c r="AG15" i="1"/>
  <c r="AI15" i="1" s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I19" i="1" s="1"/>
  <c r="AE21" i="1"/>
  <c r="AF21" i="1"/>
  <c r="AG21" i="1"/>
  <c r="AI21" i="1" s="1"/>
  <c r="AE22" i="1"/>
  <c r="AF22" i="1"/>
  <c r="AG22" i="1"/>
  <c r="AI22" i="1" s="1"/>
  <c r="AE23" i="1"/>
  <c r="AF23" i="1"/>
  <c r="AG23" i="1"/>
  <c r="AE24" i="1"/>
  <c r="AF24" i="1"/>
  <c r="AG24" i="1"/>
  <c r="AE26" i="1"/>
  <c r="AF26" i="1"/>
  <c r="AG26" i="1"/>
  <c r="AE27" i="1"/>
  <c r="AF27" i="1"/>
  <c r="AG27" i="1"/>
  <c r="AI27" i="1" s="1"/>
  <c r="AE28" i="1"/>
  <c r="AF28" i="1"/>
  <c r="AG28" i="1"/>
  <c r="AE29" i="1"/>
  <c r="AF29" i="1"/>
  <c r="AG29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E36" i="1"/>
  <c r="AF36" i="1"/>
  <c r="AG36" i="1"/>
  <c r="AE37" i="1"/>
  <c r="AF37" i="1"/>
  <c r="AG37" i="1"/>
  <c r="AE38" i="1"/>
  <c r="AF38" i="1"/>
  <c r="AG38" i="1"/>
  <c r="AI38" i="1" s="1"/>
  <c r="AE39" i="1"/>
  <c r="AF39" i="1"/>
  <c r="AG39" i="1"/>
  <c r="AI39" i="1" s="1"/>
  <c r="AE40" i="1"/>
  <c r="AF40" i="1"/>
  <c r="AG40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E48" i="1"/>
  <c r="AF48" i="1"/>
  <c r="AG48" i="1"/>
  <c r="AE49" i="1"/>
  <c r="AF49" i="1"/>
  <c r="AG49" i="1"/>
  <c r="AE50" i="1"/>
  <c r="AF50" i="1"/>
  <c r="AG50" i="1"/>
  <c r="AI50" i="1" s="1"/>
  <c r="AE51" i="1"/>
  <c r="AF51" i="1"/>
  <c r="AG51" i="1"/>
  <c r="AI51" i="1" s="1"/>
  <c r="AE52" i="1"/>
  <c r="AF52" i="1"/>
  <c r="AG52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E60" i="1"/>
  <c r="AF60" i="1"/>
  <c r="AG60" i="1"/>
  <c r="AE61" i="1"/>
  <c r="AF61" i="1"/>
  <c r="AG61" i="1"/>
  <c r="AE62" i="1"/>
  <c r="AF62" i="1"/>
  <c r="AG62" i="1"/>
  <c r="AI62" i="1" s="1"/>
  <c r="AE63" i="1"/>
  <c r="AF63" i="1"/>
  <c r="AG63" i="1"/>
  <c r="AI63" i="1" s="1"/>
  <c r="AE64" i="1"/>
  <c r="AF64" i="1"/>
  <c r="AG64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E72" i="1"/>
  <c r="AF72" i="1"/>
  <c r="AG72" i="1"/>
  <c r="AE73" i="1"/>
  <c r="AF73" i="1"/>
  <c r="AG73" i="1"/>
  <c r="AE74" i="1"/>
  <c r="AF74" i="1"/>
  <c r="AG74" i="1"/>
  <c r="AI74" i="1" s="1"/>
  <c r="AE75" i="1"/>
  <c r="AF75" i="1"/>
  <c r="AG75" i="1"/>
  <c r="AI75" i="1" s="1"/>
  <c r="AF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G81" i="1"/>
  <c r="AE82" i="1"/>
  <c r="AF82" i="1"/>
  <c r="AG82" i="1"/>
  <c r="AI82" i="1" s="1"/>
  <c r="AE83" i="1"/>
  <c r="AF83" i="1"/>
  <c r="AG83" i="1"/>
  <c r="AI83" i="1" s="1"/>
  <c r="AE84" i="1"/>
  <c r="AF84" i="1"/>
  <c r="AG84" i="1"/>
  <c r="AG85" i="1"/>
  <c r="AE86" i="1"/>
  <c r="AF86" i="1"/>
  <c r="AG86" i="1"/>
  <c r="AE87" i="1"/>
  <c r="AF87" i="1"/>
  <c r="AG87" i="1"/>
  <c r="AE88" i="1"/>
  <c r="AF88" i="1"/>
  <c r="AG88" i="1"/>
  <c r="AG8" i="1"/>
  <c r="AF8" i="1"/>
  <c r="AE8" i="1"/>
  <c r="AD10" i="1"/>
  <c r="AD11" i="1"/>
  <c r="AD12" i="1"/>
  <c r="AD13" i="1"/>
  <c r="AD15" i="1"/>
  <c r="AD16" i="1"/>
  <c r="AD17" i="1"/>
  <c r="AD18" i="1"/>
  <c r="AD19" i="1"/>
  <c r="AD21" i="1"/>
  <c r="AD22" i="1"/>
  <c r="AD23" i="1"/>
  <c r="AD24" i="1"/>
  <c r="AD26" i="1"/>
  <c r="AD27" i="1"/>
  <c r="AD28" i="1"/>
  <c r="AD29" i="1"/>
  <c r="AD31" i="1"/>
  <c r="AD32" i="1"/>
  <c r="AD33" i="1"/>
  <c r="AD34" i="1"/>
  <c r="AD36" i="1"/>
  <c r="AD37" i="1"/>
  <c r="AD38" i="1"/>
  <c r="AD39" i="1"/>
  <c r="AD40" i="1"/>
  <c r="AD42" i="1"/>
  <c r="AD43" i="1"/>
  <c r="AD44" i="1"/>
  <c r="AD45" i="1"/>
  <c r="AD46" i="1"/>
  <c r="AD48" i="1"/>
  <c r="AD49" i="1"/>
  <c r="AD50" i="1"/>
  <c r="AD51" i="1"/>
  <c r="AD52" i="1"/>
  <c r="AD54" i="1"/>
  <c r="AD55" i="1"/>
  <c r="AD56" i="1"/>
  <c r="AD57" i="1"/>
  <c r="AD58" i="1"/>
  <c r="AD60" i="1"/>
  <c r="AD61" i="1"/>
  <c r="AD62" i="1"/>
  <c r="AD63" i="1"/>
  <c r="AD64" i="1"/>
  <c r="AD66" i="1"/>
  <c r="AD67" i="1"/>
  <c r="AD68" i="1"/>
  <c r="AD69" i="1"/>
  <c r="AD70" i="1"/>
  <c r="AD72" i="1"/>
  <c r="AD73" i="1"/>
  <c r="AD74" i="1"/>
  <c r="AD75" i="1"/>
  <c r="AD76" i="1"/>
  <c r="AD77" i="1"/>
  <c r="AD78" i="1"/>
  <c r="AD79" i="1"/>
  <c r="AD80" i="1"/>
  <c r="AD82" i="1"/>
  <c r="AD83" i="1"/>
  <c r="AD84" i="1"/>
  <c r="AD86" i="1"/>
  <c r="AD87" i="1"/>
  <c r="AD88" i="1"/>
  <c r="AD8" i="1"/>
  <c r="AC10" i="1"/>
  <c r="AC11" i="1"/>
  <c r="AC12" i="1"/>
  <c r="AC13" i="1"/>
  <c r="AC15" i="1"/>
  <c r="AC16" i="1"/>
  <c r="AC17" i="1"/>
  <c r="AC18" i="1"/>
  <c r="AC19" i="1"/>
  <c r="AC21" i="1"/>
  <c r="AC22" i="1"/>
  <c r="AC23" i="1"/>
  <c r="AC24" i="1"/>
  <c r="AC26" i="1"/>
  <c r="AC27" i="1"/>
  <c r="AC28" i="1"/>
  <c r="AC29" i="1"/>
  <c r="AC31" i="1"/>
  <c r="AC32" i="1"/>
  <c r="AC33" i="1"/>
  <c r="AC34" i="1"/>
  <c r="AC36" i="1"/>
  <c r="AC37" i="1"/>
  <c r="AC38" i="1"/>
  <c r="AC39" i="1"/>
  <c r="AC40" i="1"/>
  <c r="AC42" i="1"/>
  <c r="AC43" i="1"/>
  <c r="AC44" i="1"/>
  <c r="AC45" i="1"/>
  <c r="AC46" i="1"/>
  <c r="AC47" i="1"/>
  <c r="AC48" i="1"/>
  <c r="AC49" i="1"/>
  <c r="AC50" i="1"/>
  <c r="AC51" i="1"/>
  <c r="AC52" i="1"/>
  <c r="AC54" i="1"/>
  <c r="AC55" i="1"/>
  <c r="AC56" i="1"/>
  <c r="AC57" i="1"/>
  <c r="AC58" i="1"/>
  <c r="AC59" i="1"/>
  <c r="AC60" i="1"/>
  <c r="AC61" i="1"/>
  <c r="AC62" i="1"/>
  <c r="AC63" i="1"/>
  <c r="AC64" i="1"/>
  <c r="AC66" i="1"/>
  <c r="AC67" i="1"/>
  <c r="AC68" i="1"/>
  <c r="AC69" i="1"/>
  <c r="AC70" i="1"/>
  <c r="AC72" i="1"/>
  <c r="AC73" i="1"/>
  <c r="AC74" i="1"/>
  <c r="AC75" i="1"/>
  <c r="AC77" i="1"/>
  <c r="AC78" i="1"/>
  <c r="AC79" i="1"/>
  <c r="AC80" i="1"/>
  <c r="AC82" i="1"/>
  <c r="AC83" i="1"/>
  <c r="AC84" i="1"/>
  <c r="AC86" i="1"/>
  <c r="AC87" i="1"/>
  <c r="AC88" i="1"/>
  <c r="AC8" i="1"/>
  <c r="AB10" i="1"/>
  <c r="AB11" i="1"/>
  <c r="AB12" i="1"/>
  <c r="AB13" i="1"/>
  <c r="AB15" i="1"/>
  <c r="AB16" i="1"/>
  <c r="AB17" i="1"/>
  <c r="AB18" i="1"/>
  <c r="AB19" i="1"/>
  <c r="AB21" i="1"/>
  <c r="AB22" i="1"/>
  <c r="AB23" i="1"/>
  <c r="AB24" i="1"/>
  <c r="AB26" i="1"/>
  <c r="AB27" i="1"/>
  <c r="AB28" i="1"/>
  <c r="AB29" i="1"/>
  <c r="AB30" i="1"/>
  <c r="AB31" i="1"/>
  <c r="AB32" i="1"/>
  <c r="AB33" i="1"/>
  <c r="AB34" i="1"/>
  <c r="AB36" i="1"/>
  <c r="AB37" i="1"/>
  <c r="AB38" i="1"/>
  <c r="AB39" i="1"/>
  <c r="AB40" i="1"/>
  <c r="AB42" i="1"/>
  <c r="AB43" i="1"/>
  <c r="AB44" i="1"/>
  <c r="AB45" i="1"/>
  <c r="AB46" i="1"/>
  <c r="AB48" i="1"/>
  <c r="AB49" i="1"/>
  <c r="AB50" i="1"/>
  <c r="AB51" i="1"/>
  <c r="AB52" i="1"/>
  <c r="AB54" i="1"/>
  <c r="AB55" i="1"/>
  <c r="AB56" i="1"/>
  <c r="AB57" i="1"/>
  <c r="AB58" i="1"/>
  <c r="AB60" i="1"/>
  <c r="AB61" i="1"/>
  <c r="AB62" i="1"/>
  <c r="AB63" i="1"/>
  <c r="AB64" i="1"/>
  <c r="AB66" i="1"/>
  <c r="AB67" i="1"/>
  <c r="AB68" i="1"/>
  <c r="AB69" i="1"/>
  <c r="AB70" i="1"/>
  <c r="AB72" i="1"/>
  <c r="AB73" i="1"/>
  <c r="AB74" i="1"/>
  <c r="AB75" i="1"/>
  <c r="AB77" i="1"/>
  <c r="AB78" i="1"/>
  <c r="AB79" i="1"/>
  <c r="AB80" i="1"/>
  <c r="AB82" i="1"/>
  <c r="AB83" i="1"/>
  <c r="AB84" i="1"/>
  <c r="AB86" i="1"/>
  <c r="AB87" i="1"/>
  <c r="AB88" i="1"/>
  <c r="AB8" i="1"/>
  <c r="AA10" i="1"/>
  <c r="AA11" i="1"/>
  <c r="AA12" i="1"/>
  <c r="AA13" i="1"/>
  <c r="AA15" i="1"/>
  <c r="AA16" i="1"/>
  <c r="AA17" i="1"/>
  <c r="AA18" i="1"/>
  <c r="AA19" i="1"/>
  <c r="AA21" i="1"/>
  <c r="AA22" i="1"/>
  <c r="AA23" i="1"/>
  <c r="AA24" i="1"/>
  <c r="AA25" i="1"/>
  <c r="AA26" i="1"/>
  <c r="AA27" i="1"/>
  <c r="AA28" i="1"/>
  <c r="AA29" i="1"/>
  <c r="AA31" i="1"/>
  <c r="AA32" i="1"/>
  <c r="AA33" i="1"/>
  <c r="AA34" i="1"/>
  <c r="AA36" i="1"/>
  <c r="AA37" i="1"/>
  <c r="AA38" i="1"/>
  <c r="AA39" i="1"/>
  <c r="AA40" i="1"/>
  <c r="AA42" i="1"/>
  <c r="AA43" i="1"/>
  <c r="AA44" i="1"/>
  <c r="AA45" i="1"/>
  <c r="AA46" i="1"/>
  <c r="AA48" i="1"/>
  <c r="AA49" i="1"/>
  <c r="AA50" i="1"/>
  <c r="AA51" i="1"/>
  <c r="AA52" i="1"/>
  <c r="AA54" i="1"/>
  <c r="AA55" i="1"/>
  <c r="AA56" i="1"/>
  <c r="AA57" i="1"/>
  <c r="AA58" i="1"/>
  <c r="AA60" i="1"/>
  <c r="AA61" i="1"/>
  <c r="AA62" i="1"/>
  <c r="AA63" i="1"/>
  <c r="AA64" i="1"/>
  <c r="AA65" i="1"/>
  <c r="AA66" i="1"/>
  <c r="AA67" i="1"/>
  <c r="AA68" i="1"/>
  <c r="AA69" i="1"/>
  <c r="AA70" i="1"/>
  <c r="AA72" i="1"/>
  <c r="AA73" i="1"/>
  <c r="AA74" i="1"/>
  <c r="AA75" i="1"/>
  <c r="AA77" i="1"/>
  <c r="AA78" i="1"/>
  <c r="AA79" i="1"/>
  <c r="AA80" i="1"/>
  <c r="AA82" i="1"/>
  <c r="AA83" i="1"/>
  <c r="AA84" i="1"/>
  <c r="AA86" i="1"/>
  <c r="AA87" i="1"/>
  <c r="AA88" i="1"/>
  <c r="AA8" i="1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6" i="1"/>
  <c r="Z27" i="1"/>
  <c r="Z28" i="1"/>
  <c r="Z29" i="1"/>
  <c r="Z31" i="1"/>
  <c r="Z32" i="1"/>
  <c r="Z33" i="1"/>
  <c r="Z34" i="1"/>
  <c r="Z36" i="1"/>
  <c r="Z37" i="1"/>
  <c r="Z38" i="1"/>
  <c r="Z39" i="1"/>
  <c r="Z40" i="1"/>
  <c r="Z42" i="1"/>
  <c r="Z43" i="1"/>
  <c r="Z44" i="1"/>
  <c r="Z45" i="1"/>
  <c r="Z46" i="1"/>
  <c r="Z48" i="1"/>
  <c r="Z49" i="1"/>
  <c r="Z50" i="1"/>
  <c r="Z51" i="1"/>
  <c r="Z52" i="1"/>
  <c r="Z54" i="1"/>
  <c r="Z55" i="1"/>
  <c r="Z56" i="1"/>
  <c r="Z57" i="1"/>
  <c r="Z58" i="1"/>
  <c r="Z60" i="1"/>
  <c r="Z61" i="1"/>
  <c r="Z62" i="1"/>
  <c r="Z63" i="1"/>
  <c r="Z64" i="1"/>
  <c r="Z66" i="1"/>
  <c r="Z67" i="1"/>
  <c r="Z68" i="1"/>
  <c r="Z69" i="1"/>
  <c r="Z70" i="1"/>
  <c r="Z72" i="1"/>
  <c r="Z73" i="1"/>
  <c r="Z74" i="1"/>
  <c r="Z75" i="1"/>
  <c r="Z76" i="1"/>
  <c r="Z77" i="1"/>
  <c r="Z78" i="1"/>
  <c r="Z79" i="1"/>
  <c r="Z80" i="1"/>
  <c r="Z82" i="1"/>
  <c r="Z83" i="1"/>
  <c r="Z84" i="1"/>
  <c r="Z86" i="1"/>
  <c r="Z87" i="1"/>
  <c r="Z88" i="1"/>
  <c r="Z8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X19" i="1"/>
  <c r="Y19" i="1"/>
  <c r="X20" i="1"/>
  <c r="W21" i="1"/>
  <c r="X21" i="1"/>
  <c r="Y21" i="1"/>
  <c r="W22" i="1"/>
  <c r="X22" i="1"/>
  <c r="Y22" i="1"/>
  <c r="W23" i="1"/>
  <c r="X23" i="1"/>
  <c r="Y23" i="1"/>
  <c r="W24" i="1"/>
  <c r="X24" i="1"/>
  <c r="Y24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1" i="1"/>
  <c r="X31" i="1"/>
  <c r="Y31" i="1"/>
  <c r="W32" i="1"/>
  <c r="X32" i="1"/>
  <c r="Y32" i="1"/>
  <c r="W33" i="1"/>
  <c r="X33" i="1"/>
  <c r="Y33" i="1"/>
  <c r="W34" i="1"/>
  <c r="X34" i="1"/>
  <c r="Y34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6" i="1"/>
  <c r="X66" i="1"/>
  <c r="Y66" i="1"/>
  <c r="W67" i="1"/>
  <c r="X67" i="1"/>
  <c r="Y67" i="1"/>
  <c r="W68" i="1"/>
  <c r="X68" i="1"/>
  <c r="Y68" i="1"/>
  <c r="W69" i="1"/>
  <c r="X69" i="1"/>
  <c r="Y69" i="1"/>
  <c r="W70" i="1"/>
  <c r="X70" i="1"/>
  <c r="Y70" i="1"/>
  <c r="W72" i="1"/>
  <c r="X72" i="1"/>
  <c r="Y72" i="1"/>
  <c r="W73" i="1"/>
  <c r="X73" i="1"/>
  <c r="Y73" i="1"/>
  <c r="W74" i="1"/>
  <c r="X74" i="1"/>
  <c r="Y74" i="1"/>
  <c r="W75" i="1"/>
  <c r="X75" i="1"/>
  <c r="Y75" i="1"/>
  <c r="W77" i="1"/>
  <c r="X77" i="1"/>
  <c r="Y77" i="1"/>
  <c r="W78" i="1"/>
  <c r="X78" i="1"/>
  <c r="Y78" i="1"/>
  <c r="W79" i="1"/>
  <c r="X79" i="1"/>
  <c r="Y79" i="1"/>
  <c r="W80" i="1"/>
  <c r="X80" i="1"/>
  <c r="Y80" i="1"/>
  <c r="Y81" i="1"/>
  <c r="W82" i="1"/>
  <c r="X82" i="1"/>
  <c r="Y82" i="1"/>
  <c r="W83" i="1"/>
  <c r="X83" i="1"/>
  <c r="Y83" i="1"/>
  <c r="W84" i="1"/>
  <c r="X84" i="1"/>
  <c r="Y84" i="1"/>
  <c r="W86" i="1"/>
  <c r="X86" i="1"/>
  <c r="Y86" i="1"/>
  <c r="W87" i="1"/>
  <c r="X87" i="1"/>
  <c r="Y87" i="1"/>
  <c r="W88" i="1"/>
  <c r="X88" i="1"/>
  <c r="Y88" i="1"/>
  <c r="Y8" i="1"/>
  <c r="X8" i="1"/>
  <c r="W8" i="1"/>
  <c r="U10" i="1"/>
  <c r="V10" i="1"/>
  <c r="U11" i="1"/>
  <c r="V11" i="1"/>
  <c r="U12" i="1"/>
  <c r="V12" i="1"/>
  <c r="U13" i="1"/>
  <c r="V13" i="1"/>
  <c r="U15" i="1"/>
  <c r="V15" i="1"/>
  <c r="U16" i="1"/>
  <c r="V16" i="1"/>
  <c r="U17" i="1"/>
  <c r="V17" i="1"/>
  <c r="U18" i="1"/>
  <c r="V18" i="1"/>
  <c r="U19" i="1"/>
  <c r="V19" i="1"/>
  <c r="U21" i="1"/>
  <c r="V21" i="1"/>
  <c r="U22" i="1"/>
  <c r="V22" i="1"/>
  <c r="U23" i="1"/>
  <c r="V23" i="1"/>
  <c r="U24" i="1"/>
  <c r="V24" i="1"/>
  <c r="U26" i="1"/>
  <c r="V26" i="1"/>
  <c r="U27" i="1"/>
  <c r="V27" i="1"/>
  <c r="U28" i="1"/>
  <c r="V28" i="1"/>
  <c r="U29" i="1"/>
  <c r="V29" i="1"/>
  <c r="U31" i="1"/>
  <c r="V31" i="1"/>
  <c r="U32" i="1"/>
  <c r="V32" i="1"/>
  <c r="U33" i="1"/>
  <c r="V33" i="1"/>
  <c r="U34" i="1"/>
  <c r="V34" i="1"/>
  <c r="U36" i="1"/>
  <c r="V36" i="1"/>
  <c r="U37" i="1"/>
  <c r="V37" i="1"/>
  <c r="U38" i="1"/>
  <c r="V38" i="1"/>
  <c r="U39" i="1"/>
  <c r="V39" i="1"/>
  <c r="U40" i="1"/>
  <c r="V40" i="1"/>
  <c r="U42" i="1"/>
  <c r="V42" i="1"/>
  <c r="U43" i="1"/>
  <c r="V43" i="1"/>
  <c r="U44" i="1"/>
  <c r="V44" i="1"/>
  <c r="U45" i="1"/>
  <c r="V45" i="1"/>
  <c r="U46" i="1"/>
  <c r="V46" i="1"/>
  <c r="U48" i="1"/>
  <c r="V48" i="1"/>
  <c r="U49" i="1"/>
  <c r="V49" i="1"/>
  <c r="U50" i="1"/>
  <c r="V50" i="1"/>
  <c r="U51" i="1"/>
  <c r="V51" i="1"/>
  <c r="U52" i="1"/>
  <c r="V52" i="1"/>
  <c r="U54" i="1"/>
  <c r="V54" i="1"/>
  <c r="U55" i="1"/>
  <c r="V55" i="1"/>
  <c r="U56" i="1"/>
  <c r="V56" i="1"/>
  <c r="U57" i="1"/>
  <c r="V57" i="1"/>
  <c r="U58" i="1"/>
  <c r="V58" i="1"/>
  <c r="U60" i="1"/>
  <c r="V60" i="1"/>
  <c r="U61" i="1"/>
  <c r="V61" i="1"/>
  <c r="U62" i="1"/>
  <c r="V62" i="1"/>
  <c r="U63" i="1"/>
  <c r="V63" i="1"/>
  <c r="U64" i="1"/>
  <c r="V64" i="1"/>
  <c r="U66" i="1"/>
  <c r="V66" i="1"/>
  <c r="U67" i="1"/>
  <c r="V67" i="1"/>
  <c r="U68" i="1"/>
  <c r="V68" i="1"/>
  <c r="U69" i="1"/>
  <c r="V69" i="1"/>
  <c r="U70" i="1"/>
  <c r="V70" i="1"/>
  <c r="U72" i="1"/>
  <c r="V72" i="1"/>
  <c r="U73" i="1"/>
  <c r="V73" i="1"/>
  <c r="U74" i="1"/>
  <c r="V74" i="1"/>
  <c r="U75" i="1"/>
  <c r="V75" i="1"/>
  <c r="V76" i="1"/>
  <c r="U77" i="1"/>
  <c r="V77" i="1"/>
  <c r="U78" i="1"/>
  <c r="V78" i="1"/>
  <c r="U79" i="1"/>
  <c r="V79" i="1"/>
  <c r="U80" i="1"/>
  <c r="V80" i="1"/>
  <c r="U82" i="1"/>
  <c r="V82" i="1"/>
  <c r="U83" i="1"/>
  <c r="V83" i="1"/>
  <c r="U84" i="1"/>
  <c r="V84" i="1"/>
  <c r="U86" i="1"/>
  <c r="V86" i="1"/>
  <c r="U87" i="1"/>
  <c r="V87" i="1"/>
  <c r="U88" i="1"/>
  <c r="V88" i="1"/>
  <c r="V8" i="1"/>
  <c r="U8" i="1"/>
  <c r="P10" i="1"/>
  <c r="Q10" i="1"/>
  <c r="R10" i="1"/>
  <c r="S10" i="1"/>
  <c r="T10" i="1"/>
  <c r="P11" i="1"/>
  <c r="Q11" i="1"/>
  <c r="R11" i="1"/>
  <c r="S11" i="1"/>
  <c r="T11" i="1"/>
  <c r="P12" i="1"/>
  <c r="Q12" i="1"/>
  <c r="R12" i="1"/>
  <c r="S12" i="1"/>
  <c r="T12" i="1"/>
  <c r="P13" i="1"/>
  <c r="Q13" i="1"/>
  <c r="R13" i="1"/>
  <c r="S13" i="1"/>
  <c r="T13" i="1"/>
  <c r="P14" i="1"/>
  <c r="T14" i="1"/>
  <c r="P15" i="1"/>
  <c r="Q15" i="1"/>
  <c r="R15" i="1"/>
  <c r="S15" i="1"/>
  <c r="T15" i="1"/>
  <c r="P16" i="1"/>
  <c r="Q16" i="1"/>
  <c r="R16" i="1"/>
  <c r="S16" i="1"/>
  <c r="T16" i="1"/>
  <c r="P17" i="1"/>
  <c r="Q17" i="1"/>
  <c r="R17" i="1"/>
  <c r="S17" i="1"/>
  <c r="T17" i="1"/>
  <c r="P18" i="1"/>
  <c r="Q18" i="1"/>
  <c r="R18" i="1"/>
  <c r="S18" i="1"/>
  <c r="T18" i="1"/>
  <c r="P19" i="1"/>
  <c r="Q19" i="1"/>
  <c r="R19" i="1"/>
  <c r="S19" i="1"/>
  <c r="T19" i="1"/>
  <c r="P21" i="1"/>
  <c r="Q21" i="1"/>
  <c r="R21" i="1"/>
  <c r="S21" i="1"/>
  <c r="T21" i="1"/>
  <c r="P22" i="1"/>
  <c r="Q22" i="1"/>
  <c r="R22" i="1"/>
  <c r="S22" i="1"/>
  <c r="T22" i="1"/>
  <c r="P23" i="1"/>
  <c r="Q23" i="1"/>
  <c r="R23" i="1"/>
  <c r="S23" i="1"/>
  <c r="T23" i="1"/>
  <c r="P24" i="1"/>
  <c r="Q24" i="1"/>
  <c r="R24" i="1"/>
  <c r="S24" i="1"/>
  <c r="T24" i="1"/>
  <c r="Q25" i="1"/>
  <c r="P26" i="1"/>
  <c r="Q26" i="1"/>
  <c r="R26" i="1"/>
  <c r="S26" i="1"/>
  <c r="T26" i="1"/>
  <c r="P27" i="1"/>
  <c r="Q27" i="1"/>
  <c r="R27" i="1"/>
  <c r="S27" i="1"/>
  <c r="T27" i="1"/>
  <c r="P28" i="1"/>
  <c r="Q28" i="1"/>
  <c r="R28" i="1"/>
  <c r="S28" i="1"/>
  <c r="T28" i="1"/>
  <c r="P29" i="1"/>
  <c r="Q29" i="1"/>
  <c r="R29" i="1"/>
  <c r="S29" i="1"/>
  <c r="T29" i="1"/>
  <c r="P30" i="1"/>
  <c r="P31" i="1"/>
  <c r="Q31" i="1"/>
  <c r="R31" i="1"/>
  <c r="S31" i="1"/>
  <c r="T31" i="1"/>
  <c r="P32" i="1"/>
  <c r="Q32" i="1"/>
  <c r="R32" i="1"/>
  <c r="S32" i="1"/>
  <c r="T32" i="1"/>
  <c r="P33" i="1"/>
  <c r="Q33" i="1"/>
  <c r="R33" i="1"/>
  <c r="S33" i="1"/>
  <c r="T33" i="1"/>
  <c r="P34" i="1"/>
  <c r="Q34" i="1"/>
  <c r="R34" i="1"/>
  <c r="S34" i="1"/>
  <c r="T34" i="1"/>
  <c r="P36" i="1"/>
  <c r="Q36" i="1"/>
  <c r="R36" i="1"/>
  <c r="S36" i="1"/>
  <c r="T36" i="1"/>
  <c r="P37" i="1"/>
  <c r="Q37" i="1"/>
  <c r="R37" i="1"/>
  <c r="S37" i="1"/>
  <c r="T37" i="1"/>
  <c r="P38" i="1"/>
  <c r="Q38" i="1"/>
  <c r="R38" i="1"/>
  <c r="S38" i="1"/>
  <c r="T38" i="1"/>
  <c r="P39" i="1"/>
  <c r="Q39" i="1"/>
  <c r="R39" i="1"/>
  <c r="S39" i="1"/>
  <c r="T39" i="1"/>
  <c r="P40" i="1"/>
  <c r="Q40" i="1"/>
  <c r="R40" i="1"/>
  <c r="S40" i="1"/>
  <c r="T40" i="1"/>
  <c r="Q41" i="1"/>
  <c r="P42" i="1"/>
  <c r="Q42" i="1"/>
  <c r="R42" i="1"/>
  <c r="S42" i="1"/>
  <c r="T42" i="1"/>
  <c r="P43" i="1"/>
  <c r="Q43" i="1"/>
  <c r="R43" i="1"/>
  <c r="S43" i="1"/>
  <c r="T43" i="1"/>
  <c r="P44" i="1"/>
  <c r="Q44" i="1"/>
  <c r="R44" i="1"/>
  <c r="S44" i="1"/>
  <c r="T44" i="1"/>
  <c r="P45" i="1"/>
  <c r="Q45" i="1"/>
  <c r="R45" i="1"/>
  <c r="S45" i="1"/>
  <c r="T45" i="1"/>
  <c r="P46" i="1"/>
  <c r="Q46" i="1"/>
  <c r="R46" i="1"/>
  <c r="S46" i="1"/>
  <c r="T46" i="1"/>
  <c r="P48" i="1"/>
  <c r="Q48" i="1"/>
  <c r="R48" i="1"/>
  <c r="S48" i="1"/>
  <c r="T48" i="1"/>
  <c r="P49" i="1"/>
  <c r="Q49" i="1"/>
  <c r="R49" i="1"/>
  <c r="S49" i="1"/>
  <c r="T49" i="1"/>
  <c r="P50" i="1"/>
  <c r="Q50" i="1"/>
  <c r="R50" i="1"/>
  <c r="S50" i="1"/>
  <c r="T50" i="1"/>
  <c r="P51" i="1"/>
  <c r="Q51" i="1"/>
  <c r="R51" i="1"/>
  <c r="S51" i="1"/>
  <c r="T51" i="1"/>
  <c r="P52" i="1"/>
  <c r="Q52" i="1"/>
  <c r="R52" i="1"/>
  <c r="S52" i="1"/>
  <c r="T52" i="1"/>
  <c r="Q53" i="1"/>
  <c r="P54" i="1"/>
  <c r="Q54" i="1"/>
  <c r="R54" i="1"/>
  <c r="S54" i="1"/>
  <c r="T54" i="1"/>
  <c r="P55" i="1"/>
  <c r="Q55" i="1"/>
  <c r="R55" i="1"/>
  <c r="S55" i="1"/>
  <c r="T55" i="1"/>
  <c r="P56" i="1"/>
  <c r="Q56" i="1"/>
  <c r="R56" i="1"/>
  <c r="S56" i="1"/>
  <c r="T56" i="1"/>
  <c r="P57" i="1"/>
  <c r="Q57" i="1"/>
  <c r="R57" i="1"/>
  <c r="S57" i="1"/>
  <c r="T57" i="1"/>
  <c r="P58" i="1"/>
  <c r="Q58" i="1"/>
  <c r="R58" i="1"/>
  <c r="S58" i="1"/>
  <c r="T58" i="1"/>
  <c r="P60" i="1"/>
  <c r="Q60" i="1"/>
  <c r="R60" i="1"/>
  <c r="S60" i="1"/>
  <c r="T60" i="1"/>
  <c r="P61" i="1"/>
  <c r="Q61" i="1"/>
  <c r="R61" i="1"/>
  <c r="S61" i="1"/>
  <c r="T61" i="1"/>
  <c r="P62" i="1"/>
  <c r="Q62" i="1"/>
  <c r="R62" i="1"/>
  <c r="S62" i="1"/>
  <c r="T62" i="1"/>
  <c r="P63" i="1"/>
  <c r="Q63" i="1"/>
  <c r="R63" i="1"/>
  <c r="S63" i="1"/>
  <c r="T63" i="1"/>
  <c r="P64" i="1"/>
  <c r="Q64" i="1"/>
  <c r="R64" i="1"/>
  <c r="S64" i="1"/>
  <c r="T64" i="1"/>
  <c r="P65" i="1"/>
  <c r="S65" i="1"/>
  <c r="T65" i="1"/>
  <c r="P66" i="1"/>
  <c r="Q66" i="1"/>
  <c r="R66" i="1"/>
  <c r="S66" i="1"/>
  <c r="T66" i="1"/>
  <c r="P67" i="1"/>
  <c r="Q67" i="1"/>
  <c r="R67" i="1"/>
  <c r="S67" i="1"/>
  <c r="T67" i="1"/>
  <c r="P68" i="1"/>
  <c r="Q68" i="1"/>
  <c r="R68" i="1"/>
  <c r="S68" i="1"/>
  <c r="T68" i="1"/>
  <c r="P69" i="1"/>
  <c r="Q69" i="1"/>
  <c r="R69" i="1"/>
  <c r="S69" i="1"/>
  <c r="T69" i="1"/>
  <c r="P70" i="1"/>
  <c r="Q70" i="1"/>
  <c r="R70" i="1"/>
  <c r="S70" i="1"/>
  <c r="T70" i="1"/>
  <c r="Q71" i="1"/>
  <c r="R71" i="1"/>
  <c r="P72" i="1"/>
  <c r="Q72" i="1"/>
  <c r="R72" i="1"/>
  <c r="S72" i="1"/>
  <c r="T72" i="1"/>
  <c r="P73" i="1"/>
  <c r="Q73" i="1"/>
  <c r="R73" i="1"/>
  <c r="S73" i="1"/>
  <c r="T73" i="1"/>
  <c r="P74" i="1"/>
  <c r="Q74" i="1"/>
  <c r="R74" i="1"/>
  <c r="S74" i="1"/>
  <c r="T74" i="1"/>
  <c r="P75" i="1"/>
  <c r="Q75" i="1"/>
  <c r="R75" i="1"/>
  <c r="S75" i="1"/>
  <c r="T75" i="1"/>
  <c r="P76" i="1"/>
  <c r="Q76" i="1"/>
  <c r="T76" i="1"/>
  <c r="P77" i="1"/>
  <c r="Q77" i="1"/>
  <c r="R77" i="1"/>
  <c r="S77" i="1"/>
  <c r="T77" i="1"/>
  <c r="P78" i="1"/>
  <c r="Q78" i="1"/>
  <c r="R78" i="1"/>
  <c r="S78" i="1"/>
  <c r="T78" i="1"/>
  <c r="P79" i="1"/>
  <c r="Q79" i="1"/>
  <c r="R79" i="1"/>
  <c r="S79" i="1"/>
  <c r="T79" i="1"/>
  <c r="P80" i="1"/>
  <c r="Q80" i="1"/>
  <c r="R80" i="1"/>
  <c r="S80" i="1"/>
  <c r="T80" i="1"/>
  <c r="P81" i="1"/>
  <c r="S81" i="1"/>
  <c r="T81" i="1"/>
  <c r="P82" i="1"/>
  <c r="Q82" i="1"/>
  <c r="R82" i="1"/>
  <c r="S82" i="1"/>
  <c r="T82" i="1"/>
  <c r="P83" i="1"/>
  <c r="Q83" i="1"/>
  <c r="R83" i="1"/>
  <c r="S83" i="1"/>
  <c r="T83" i="1"/>
  <c r="P84" i="1"/>
  <c r="Q84" i="1"/>
  <c r="R84" i="1"/>
  <c r="S84" i="1"/>
  <c r="T84" i="1"/>
  <c r="P85" i="1"/>
  <c r="S85" i="1"/>
  <c r="T85" i="1"/>
  <c r="P86" i="1"/>
  <c r="Q86" i="1"/>
  <c r="R86" i="1"/>
  <c r="S86" i="1"/>
  <c r="T86" i="1"/>
  <c r="P87" i="1"/>
  <c r="Q87" i="1"/>
  <c r="R87" i="1"/>
  <c r="S87" i="1"/>
  <c r="T87" i="1"/>
  <c r="P88" i="1"/>
  <c r="Q88" i="1"/>
  <c r="R88" i="1"/>
  <c r="S88" i="1"/>
  <c r="T88" i="1"/>
  <c r="T8" i="1"/>
  <c r="S8" i="1"/>
  <c r="R8" i="1"/>
  <c r="Q8" i="1"/>
  <c r="P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" i="1"/>
  <c r="N10" i="1"/>
  <c r="N11" i="1"/>
  <c r="N12" i="1"/>
  <c r="N13" i="1"/>
  <c r="N14" i="1"/>
  <c r="N15" i="1"/>
  <c r="N16" i="1"/>
  <c r="N17" i="1"/>
  <c r="N18" i="1"/>
  <c r="N19" i="1"/>
  <c r="N21" i="1"/>
  <c r="N22" i="1"/>
  <c r="N23" i="1"/>
  <c r="N24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2" i="1"/>
  <c r="N43" i="1"/>
  <c r="N44" i="1"/>
  <c r="N45" i="1"/>
  <c r="N46" i="1"/>
  <c r="N47" i="1"/>
  <c r="N48" i="1"/>
  <c r="N49" i="1"/>
  <c r="N50" i="1"/>
  <c r="N51" i="1"/>
  <c r="N52" i="1"/>
  <c r="N54" i="1"/>
  <c r="N55" i="1"/>
  <c r="N56" i="1"/>
  <c r="N57" i="1"/>
  <c r="N58" i="1"/>
  <c r="N59" i="1"/>
  <c r="N60" i="1"/>
  <c r="N61" i="1"/>
  <c r="N62" i="1"/>
  <c r="N63" i="1"/>
  <c r="N64" i="1"/>
  <c r="N66" i="1"/>
  <c r="N67" i="1"/>
  <c r="N68" i="1"/>
  <c r="N69" i="1"/>
  <c r="N70" i="1"/>
  <c r="N71" i="1"/>
  <c r="N72" i="1"/>
  <c r="N73" i="1"/>
  <c r="N74" i="1"/>
  <c r="N75" i="1"/>
  <c r="N77" i="1"/>
  <c r="N78" i="1"/>
  <c r="N79" i="1"/>
  <c r="N80" i="1"/>
  <c r="N82" i="1"/>
  <c r="N83" i="1"/>
  <c r="N84" i="1"/>
  <c r="N86" i="1"/>
  <c r="N87" i="1"/>
  <c r="N88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" i="1"/>
  <c r="J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J31" i="1"/>
  <c r="K31" i="1"/>
  <c r="L31" i="1"/>
  <c r="J32" i="1"/>
  <c r="K32" i="1"/>
  <c r="L32" i="1"/>
  <c r="J33" i="1"/>
  <c r="K33" i="1"/>
  <c r="L33" i="1"/>
  <c r="J34" i="1"/>
  <c r="K34" i="1"/>
  <c r="L34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J82" i="1"/>
  <c r="K82" i="1"/>
  <c r="L82" i="1"/>
  <c r="J83" i="1"/>
  <c r="K83" i="1"/>
  <c r="L83" i="1"/>
  <c r="J84" i="1"/>
  <c r="K84" i="1"/>
  <c r="L84" i="1"/>
  <c r="J85" i="1"/>
  <c r="J86" i="1"/>
  <c r="K86" i="1"/>
  <c r="L86" i="1"/>
  <c r="J87" i="1"/>
  <c r="K87" i="1"/>
  <c r="L87" i="1"/>
  <c r="J88" i="1"/>
  <c r="K88" i="1"/>
  <c r="L88" i="1"/>
  <c r="L8" i="1"/>
  <c r="K8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2" i="1"/>
  <c r="H33" i="1"/>
  <c r="H34" i="1"/>
  <c r="H36" i="1"/>
  <c r="H37" i="1"/>
  <c r="H38" i="1"/>
  <c r="H39" i="1"/>
  <c r="H40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8" i="1"/>
  <c r="H60" i="1"/>
  <c r="H61" i="1"/>
  <c r="H62" i="1"/>
  <c r="H63" i="1"/>
  <c r="H64" i="1"/>
  <c r="H65" i="1"/>
  <c r="H66" i="1"/>
  <c r="H67" i="1"/>
  <c r="H68" i="1"/>
  <c r="H69" i="1"/>
  <c r="H70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24" i="1"/>
  <c r="G26" i="1"/>
  <c r="G27" i="1"/>
  <c r="G28" i="1"/>
  <c r="G29" i="1"/>
  <c r="G31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1" i="1"/>
  <c r="G52" i="1"/>
  <c r="G54" i="1"/>
  <c r="G55" i="1"/>
  <c r="G56" i="1"/>
  <c r="G57" i="1"/>
  <c r="G58" i="1"/>
  <c r="G59" i="1"/>
  <c r="G60" i="1"/>
  <c r="G61" i="1"/>
  <c r="G62" i="1"/>
  <c r="G63" i="1"/>
  <c r="G64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2" i="1"/>
  <c r="G83" i="1"/>
  <c r="G84" i="1"/>
  <c r="G86" i="1"/>
  <c r="G87" i="1"/>
  <c r="G88" i="1"/>
  <c r="G8" i="1"/>
  <c r="F10" i="1"/>
  <c r="F11" i="1"/>
  <c r="F12" i="1"/>
  <c r="F13" i="1"/>
  <c r="F14" i="1"/>
  <c r="F15" i="1"/>
  <c r="F16" i="1"/>
  <c r="F17" i="1"/>
  <c r="F18" i="1"/>
  <c r="F19" i="1"/>
  <c r="F21" i="1"/>
  <c r="F22" i="1"/>
  <c r="F23" i="1"/>
  <c r="F24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2" i="1"/>
  <c r="F43" i="1"/>
  <c r="F44" i="1"/>
  <c r="F45" i="1"/>
  <c r="F46" i="1"/>
  <c r="F47" i="1"/>
  <c r="F48" i="1"/>
  <c r="F49" i="1"/>
  <c r="F50" i="1"/>
  <c r="F51" i="1"/>
  <c r="F52" i="1"/>
  <c r="F54" i="1"/>
  <c r="F55" i="1"/>
  <c r="F56" i="1"/>
  <c r="F57" i="1"/>
  <c r="F58" i="1"/>
  <c r="F59" i="1"/>
  <c r="F60" i="1"/>
  <c r="F61" i="1"/>
  <c r="F62" i="1"/>
  <c r="F63" i="1"/>
  <c r="F64" i="1"/>
  <c r="F66" i="1"/>
  <c r="F67" i="1"/>
  <c r="F68" i="1"/>
  <c r="F69" i="1"/>
  <c r="F70" i="1"/>
  <c r="F71" i="1"/>
  <c r="F72" i="1"/>
  <c r="F73" i="1"/>
  <c r="F74" i="1"/>
  <c r="F75" i="1"/>
  <c r="F77" i="1"/>
  <c r="F78" i="1"/>
  <c r="F79" i="1"/>
  <c r="F80" i="1"/>
  <c r="F82" i="1"/>
  <c r="F83" i="1"/>
  <c r="F84" i="1"/>
  <c r="F86" i="1"/>
  <c r="F87" i="1"/>
  <c r="F88" i="1"/>
  <c r="F8" i="1"/>
  <c r="C9" i="1"/>
  <c r="D9" i="1"/>
  <c r="C10" i="1"/>
  <c r="D10" i="1"/>
  <c r="E10" i="1"/>
  <c r="C11" i="1"/>
  <c r="D11" i="1"/>
  <c r="E11" i="1"/>
  <c r="C12" i="1"/>
  <c r="AI12" i="1" s="1"/>
  <c r="D12" i="1"/>
  <c r="E12" i="1"/>
  <c r="C13" i="1"/>
  <c r="D13" i="1"/>
  <c r="E13" i="1"/>
  <c r="D14" i="1"/>
  <c r="E14" i="1"/>
  <c r="C15" i="1"/>
  <c r="D15" i="1"/>
  <c r="E15" i="1"/>
  <c r="C16" i="1"/>
  <c r="AI16" i="1" s="1"/>
  <c r="D16" i="1"/>
  <c r="E16" i="1"/>
  <c r="C17" i="1"/>
  <c r="D17" i="1"/>
  <c r="E17" i="1"/>
  <c r="C18" i="1"/>
  <c r="D18" i="1"/>
  <c r="E18" i="1"/>
  <c r="C19" i="1"/>
  <c r="D19" i="1"/>
  <c r="E19" i="1"/>
  <c r="C20" i="1"/>
  <c r="C21" i="1"/>
  <c r="D21" i="1"/>
  <c r="E21" i="1"/>
  <c r="C22" i="1"/>
  <c r="D22" i="1"/>
  <c r="E22" i="1"/>
  <c r="C23" i="1"/>
  <c r="D23" i="1"/>
  <c r="E23" i="1"/>
  <c r="C24" i="1"/>
  <c r="AI24" i="1" s="1"/>
  <c r="D24" i="1"/>
  <c r="E24" i="1"/>
  <c r="C25" i="1"/>
  <c r="D25" i="1"/>
  <c r="C26" i="1"/>
  <c r="D26" i="1"/>
  <c r="E26" i="1"/>
  <c r="C27" i="1"/>
  <c r="D27" i="1"/>
  <c r="E27" i="1"/>
  <c r="C28" i="1"/>
  <c r="AI28" i="1" s="1"/>
  <c r="D28" i="1"/>
  <c r="E28" i="1"/>
  <c r="C29" i="1"/>
  <c r="D29" i="1"/>
  <c r="E29" i="1"/>
  <c r="D30" i="1"/>
  <c r="E30" i="1"/>
  <c r="C31" i="1"/>
  <c r="D31" i="1"/>
  <c r="E31" i="1"/>
  <c r="C32" i="1"/>
  <c r="AI32" i="1" s="1"/>
  <c r="D32" i="1"/>
  <c r="E32" i="1"/>
  <c r="C33" i="1"/>
  <c r="D33" i="1"/>
  <c r="E33" i="1"/>
  <c r="C34" i="1"/>
  <c r="D34" i="1"/>
  <c r="E34" i="1"/>
  <c r="E35" i="1"/>
  <c r="C36" i="1"/>
  <c r="AI36" i="1" s="1"/>
  <c r="D36" i="1"/>
  <c r="E36" i="1"/>
  <c r="C37" i="1"/>
  <c r="D37" i="1"/>
  <c r="E37" i="1"/>
  <c r="C38" i="1"/>
  <c r="D38" i="1"/>
  <c r="E38" i="1"/>
  <c r="C39" i="1"/>
  <c r="D39" i="1"/>
  <c r="E39" i="1"/>
  <c r="C40" i="1"/>
  <c r="AI40" i="1" s="1"/>
  <c r="D40" i="1"/>
  <c r="E40" i="1"/>
  <c r="C41" i="1"/>
  <c r="D41" i="1"/>
  <c r="C42" i="1"/>
  <c r="D42" i="1"/>
  <c r="E42" i="1"/>
  <c r="C43" i="1"/>
  <c r="D43" i="1"/>
  <c r="E43" i="1"/>
  <c r="C44" i="1"/>
  <c r="AI44" i="1" s="1"/>
  <c r="D44" i="1"/>
  <c r="E44" i="1"/>
  <c r="C45" i="1"/>
  <c r="D45" i="1"/>
  <c r="E45" i="1"/>
  <c r="C46" i="1"/>
  <c r="D46" i="1"/>
  <c r="E46" i="1"/>
  <c r="E47" i="1"/>
  <c r="C48" i="1"/>
  <c r="AI48" i="1" s="1"/>
  <c r="D48" i="1"/>
  <c r="E48" i="1"/>
  <c r="C49" i="1"/>
  <c r="D49" i="1"/>
  <c r="E49" i="1"/>
  <c r="C50" i="1"/>
  <c r="D50" i="1"/>
  <c r="E50" i="1"/>
  <c r="C51" i="1"/>
  <c r="D51" i="1"/>
  <c r="E51" i="1"/>
  <c r="C52" i="1"/>
  <c r="AI52" i="1" s="1"/>
  <c r="D52" i="1"/>
  <c r="E52" i="1"/>
  <c r="C53" i="1"/>
  <c r="D53" i="1"/>
  <c r="C54" i="1"/>
  <c r="D54" i="1"/>
  <c r="E54" i="1"/>
  <c r="C55" i="1"/>
  <c r="D55" i="1"/>
  <c r="E55" i="1"/>
  <c r="C56" i="1"/>
  <c r="AI56" i="1" s="1"/>
  <c r="D56" i="1"/>
  <c r="E56" i="1"/>
  <c r="C57" i="1"/>
  <c r="D57" i="1"/>
  <c r="E57" i="1"/>
  <c r="C58" i="1"/>
  <c r="D58" i="1"/>
  <c r="E58" i="1"/>
  <c r="E59" i="1"/>
  <c r="C60" i="1"/>
  <c r="AI60" i="1" s="1"/>
  <c r="D60" i="1"/>
  <c r="E60" i="1"/>
  <c r="C61" i="1"/>
  <c r="D61" i="1"/>
  <c r="E61" i="1"/>
  <c r="C62" i="1"/>
  <c r="D62" i="1"/>
  <c r="E62" i="1"/>
  <c r="C63" i="1"/>
  <c r="D63" i="1"/>
  <c r="E63" i="1"/>
  <c r="C64" i="1"/>
  <c r="AI64" i="1" s="1"/>
  <c r="D64" i="1"/>
  <c r="E64" i="1"/>
  <c r="C65" i="1"/>
  <c r="D65" i="1"/>
  <c r="C66" i="1"/>
  <c r="D66" i="1"/>
  <c r="E66" i="1"/>
  <c r="C67" i="1"/>
  <c r="D67" i="1"/>
  <c r="E67" i="1"/>
  <c r="C68" i="1"/>
  <c r="AI68" i="1" s="1"/>
  <c r="D68" i="1"/>
  <c r="E68" i="1"/>
  <c r="C69" i="1"/>
  <c r="D69" i="1"/>
  <c r="E69" i="1"/>
  <c r="C70" i="1"/>
  <c r="D70" i="1"/>
  <c r="E70" i="1"/>
  <c r="E71" i="1"/>
  <c r="C72" i="1"/>
  <c r="AI72" i="1" s="1"/>
  <c r="D72" i="1"/>
  <c r="E72" i="1"/>
  <c r="C73" i="1"/>
  <c r="D73" i="1"/>
  <c r="E73" i="1"/>
  <c r="C74" i="1"/>
  <c r="D74" i="1"/>
  <c r="E74" i="1"/>
  <c r="C75" i="1"/>
  <c r="D75" i="1"/>
  <c r="E75" i="1"/>
  <c r="C76" i="1"/>
  <c r="C77" i="1"/>
  <c r="D77" i="1"/>
  <c r="E77" i="1"/>
  <c r="C78" i="1"/>
  <c r="D78" i="1"/>
  <c r="E78" i="1"/>
  <c r="C79" i="1"/>
  <c r="D79" i="1"/>
  <c r="E79" i="1"/>
  <c r="C80" i="1"/>
  <c r="AI80" i="1" s="1"/>
  <c r="D80" i="1"/>
  <c r="E80" i="1"/>
  <c r="C81" i="1"/>
  <c r="D81" i="1"/>
  <c r="C82" i="1"/>
  <c r="D82" i="1"/>
  <c r="E82" i="1"/>
  <c r="C83" i="1"/>
  <c r="D83" i="1"/>
  <c r="E83" i="1"/>
  <c r="C84" i="1"/>
  <c r="AI84" i="1" s="1"/>
  <c r="D84" i="1"/>
  <c r="E84" i="1"/>
  <c r="C85" i="1"/>
  <c r="D85" i="1"/>
  <c r="C86" i="1"/>
  <c r="D86" i="1"/>
  <c r="E86" i="1"/>
  <c r="C87" i="1"/>
  <c r="D87" i="1"/>
  <c r="E87" i="1"/>
  <c r="C88" i="1"/>
  <c r="AI88" i="1" s="1"/>
  <c r="D88" i="1"/>
  <c r="E88" i="1"/>
  <c r="E8" i="1"/>
  <c r="D8" i="1"/>
  <c r="C8" i="1"/>
  <c r="AI69" i="1" l="1"/>
  <c r="AI65" i="1"/>
  <c r="AI53" i="1"/>
  <c r="AI41" i="1"/>
  <c r="AI14" i="1"/>
  <c r="AI30" i="1"/>
  <c r="AI35" i="1"/>
  <c r="AI47" i="1"/>
  <c r="AI59" i="1"/>
  <c r="AI71" i="1"/>
  <c r="AI85" i="1"/>
  <c r="AI45" i="1"/>
  <c r="AI33" i="1"/>
  <c r="AI86" i="1"/>
  <c r="AI78" i="1"/>
  <c r="AI70" i="1"/>
  <c r="AI66" i="1"/>
  <c r="AI58" i="1"/>
  <c r="AI54" i="1"/>
  <c r="AI46" i="1"/>
  <c r="AI42" i="1"/>
  <c r="AI34" i="1"/>
  <c r="AI29" i="1"/>
  <c r="AI23" i="1"/>
  <c r="AI17" i="1"/>
  <c r="AI77" i="1"/>
  <c r="AI57" i="1"/>
  <c r="AI8" i="1"/>
  <c r="AI87" i="1"/>
  <c r="AI81" i="1"/>
  <c r="AI79" i="1"/>
  <c r="AI73" i="1"/>
  <c r="AI67" i="1"/>
  <c r="AI61" i="1"/>
  <c r="AI55" i="1"/>
  <c r="AI49" i="1"/>
  <c r="AI43" i="1"/>
  <c r="AI37" i="1"/>
  <c r="AI31" i="1"/>
  <c r="AI26" i="1"/>
  <c r="AI18" i="1"/>
  <c r="AI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B86" authorId="0" shapeId="0" xr:uid="{EF210FA6-0F67-4A8A-B104-2170E3D9194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635FE06-FFF7-4D37-8FCB-7D85B7BB5E6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299B223-C67B-43BE-9EAC-0429F51E190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04AC19F-8F39-47E0-A45F-D198539C05C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D71667B-6FF1-455F-B650-9F01ED8CE46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003A6C3-FAA2-4387-AC7F-94E0D152761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3256E29-8221-4AE9-9619-BBCD0D1EB32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31D7B5F-40E2-4416-BC97-EDAC3F56EDB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8EDC1A1-915D-4D68-9E5D-6D64EFFCF27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97C6678-EDB5-4DCD-BDB9-4B991509620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72AC0F5-7619-48E3-8AAA-04F3A013FEA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27596D6-C2CF-4920-908B-22AD30498DCA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8059C05-47AD-438A-9845-C6138A8457F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951AE1E-0A8D-4B43-A4AB-0658624E624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9C8E2EA-C4C7-4D32-9985-A788191A956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E2CAA67-85D8-44A4-ACF7-35967C5A72E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B5A18CA-EE9D-44C4-BDE7-5BCD68465E6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E9CF451-855E-46DB-B9A4-450E6E05875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B785CC5-C242-4B56-A61F-5FE29A4C226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427F831-4F43-4E08-825A-22D87708510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381D6CE-14B5-457E-975F-65C4430B1E0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EABD237F-BB48-4A92-B1AC-48F3B343A55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D3AABA6-163C-4585-96D3-CAFFC3B3D56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077DDEB-FD0B-4122-8769-6245208BCB7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AB4AAB1-67F8-43CC-98C9-F5315254D1B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AB84869-D529-433B-BC2E-47E39B28F55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7A8550D-D1F9-4B7D-A0C0-083BE2DEB24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A0506B2-7B36-4DBA-AC15-8FB042C67AF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5E776E7-BBBE-4105-A5BF-3D17E2C80E9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832527F-7566-47AE-96BB-A62A792E746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3829576F-ACF8-4DE8-8EC9-5E90DAF122E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1482C1B-A4A8-46DA-8530-83AFDF63937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232BE02-0447-4D16-B2F9-88E8A99F969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0A7DD08-D5CE-42EC-A024-DD29654F32C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EBBA0D2-4970-4274-973B-F73773F4585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EF5D19B-054C-43D4-9C34-02599BD7E99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0A7DB10-F241-47E9-971A-D4241CB4D71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FD19C92-D0D6-4DBA-B1E4-32FB308D54B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2F793B4-7366-487F-8FF5-135EBA53509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07E9598-BB9B-4687-8DDC-414A5F3D60B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79DA081-9639-4063-B1C3-38209B8554C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DB5C96B-752C-46B1-8A2E-EAB71DC5CEE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E2801D8-27B3-4E56-8EFE-CD33F1BED9F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A63B66B-F2D6-4B0D-A791-809CADDA765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3DB4F1E-1394-4EAD-80A9-E0A448BC8CE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D782AD1-3E1C-4DFF-A3EB-D7B585E128A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3826C43-6FBE-441C-867D-EE579709A36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A173ACC-8724-4C49-B830-B76CAADCF4F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53B8FBD-FE98-49DA-847F-F1FBF00D356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F2FB00BF-BFFA-46D5-AFBA-41198EC8BB4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51FB3D4-A2AD-4693-877D-A5318007D13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6089F88-060B-4668-A5B9-7466A7D9769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5D52596-B997-4910-9F8B-F480A75C956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0C424CB-DF7B-422D-B2C1-7AC5C177E98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D05E39F-06C3-494E-A2BA-D182E3E99CF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1571B40-2147-4115-B628-88D455C379C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B49D337-B663-497A-A180-3830F8B123F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252DF7B-05E9-4906-9359-0B34EEF3444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E458A38-C64B-498D-B073-8DEE443F619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C7DD3A8-E787-43BC-90A9-795D4B0B396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80BBC75-8AC5-49D8-A332-8F60A0A9977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8C4EDD3-B897-415C-B065-356C434B06E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AF637A95-F2BA-4760-BB93-2D9CEFD6CDD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13C688F-3009-4A24-B7AA-3FA53735072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01662A4-084A-4599-BCC5-CCBFCEE8826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4DA679D-EACF-45A5-8464-EE8D4CC5E1A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3A2BAD59-B35E-4373-86B0-766508F93E1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AD815A3-0DBC-4C47-B717-49240EE2C1B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286CE05-2990-4125-9DCE-AEA9455711A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CCD25E16-A0CA-47AB-A197-E68F24AF5B4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4E8D481-BDCD-41CF-8458-58D48C08837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A04DE308-7A81-48FF-920C-31EB0607DD2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16C58D0-9039-45D0-9937-77803FD4573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D9F7E3BC-7AC1-41D6-A796-52CF52E25A3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E8C8C36-628E-4401-B2D4-FD0F286DDCE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9921A59-E6D2-460F-BD37-391150A20E1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B586F06-75F3-48B0-86DA-BE48FAAEA1E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DC8C5E0-5298-40D3-9068-5C59799E5C6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FC2134D-99E2-4F1E-8912-055666471A9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8B3D8CF-C348-45B6-990A-96EA4602371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18E19110-0EC9-41CE-A555-903652F9C5D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DAACCDA-0B24-49BB-83CA-9725797BE5D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3553CD7-1F36-4DBE-855A-72C1F5C1D4C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AD2C6D1-2E05-418C-AD5C-7008CF21D37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2752A19-FEAA-4EB4-A705-48D09345ECA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BB33F87-479F-4CBB-AEC7-C8917EB09CD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038F505-340D-43F5-8689-9119016CC86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3EDB929-CD7D-411A-A62A-5558E8A503E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93BC8B0-8F2A-4420-BC4F-5E670523640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C389974-6042-499A-B54B-6F9DE02FEFF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8E21DB8-9739-4BBE-BE8C-F89A07D6ED5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D6C44F6-F033-4925-918C-7346030F3DD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E9DA562-5D18-4534-9099-42E976C1BCB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2164624-8C72-48B3-BC64-0FB46088B72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083F5C5-0E95-4369-876F-429CCEFC00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3B24C16-C51F-484F-A4EC-10CAB60F002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6AB33E6-7B0A-416C-9CD3-8BD46E14E90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0C7BDCD-2534-47C2-A516-C7411C207F9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E7A5A05-1C4B-4147-B6C4-4882367110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20718E0-BBB4-4449-9FB6-E2FB5C89BB8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08CFC08-1B15-42C9-8536-A2AA1E18640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502B5A0-3A99-4C5F-BBED-D113BE92770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615DD21-D8F5-4327-8BB3-0B87712F128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86607C63-4055-4791-BBB7-10575AB9DE8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C34017E-DDC0-4B37-8978-BC4897F7EB0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87DB638-B602-442B-94EC-A6D32CB91F1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763C70C6-9BDF-4174-88D4-A775C6882CB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FFF3A9E-739D-4E27-83F3-331EFC5E1B0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77553BA-36F4-429A-9AA7-D2C4DA2F02D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2A1B0AC-6012-48B1-B931-6C0542A23F8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A894974-4EB8-47A3-8E64-272D5EA72DA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729033B-03A2-40F3-A9C7-D1CE5388034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2DE5CB9-6A32-45B7-8D13-49F9A7851EA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A17BDB9-F9B8-406C-8293-D3CD3F5CA22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0AE270F-5A5F-4C15-A642-E19D639DE46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A3CCF4B-29D0-403B-8DBF-87342F932A5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6F29FCF-EBFE-4F48-8E90-29FF12A83B3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A33DFE4-5C8E-44EE-8D3E-6E1499992C5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D55CF262-9F69-40C3-98B8-EA1F64B1E3A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B65A335-3D16-4F84-9CF1-AA1391A420E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6355C54-A372-4389-8E48-09C3151427C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8E738850-FB67-4183-892C-E37ABD15AD2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B41D191-555E-4F2C-AFBF-42E92EC7C00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6C6037A-784D-45CF-B1DB-15A4703C99B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9157B21-1C5D-4EB2-88DA-B6FBE55AE77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33F74B6-930E-4360-BF42-3505BA3EDC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EE00E8D-602C-4C6C-9AB4-9813897B10B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8D533D9-C074-47B8-A3BC-CB3D184848B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E611E98-9D3B-4C92-84BD-1672EDA558F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1AFBC18-EBDD-405B-A3B8-FA4F2F66D65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7EB7388-B3E0-4BFF-9027-2CA2993836E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4B876CD-CD75-4607-B496-FFFBB184792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D474CD2-A043-4A8F-BD0C-F7CA92A5DD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3BE3B27-0D6C-4E8E-A30A-BE1D92EEC43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DD91F18-D78B-4B32-A910-E7C61EDC4F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DF98AF9-3E15-4E59-BA4E-158F5547093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B459007-C841-4CD5-A91E-72A3AD0E643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2C02379-D40B-4051-B302-D36E60663F4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9505B653-4714-4C2B-9E10-446A240B47B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43E90B4-C2EC-4559-90F6-D6F32A6D0D1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9FA1F25-20B7-4D1B-9C62-B142A4F1816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1B771D9-EBEC-419F-8360-438D5B5E386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FC06A7D-85A5-48CF-B15E-2D5FCF37D9A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AC0CD94D-E013-41E5-ADA5-37C47C6C893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1A24463-2770-48C5-9451-C94BE33FA02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12EFC37-4F64-4B8F-A98B-609DA8BD763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3EADA19-5E2C-4468-B218-3488C93A8429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FA3E644-E496-44C8-BB0C-3613B951855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2B89F27-95AF-4DD6-A2F4-D55B2011462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8500491-EC1B-4837-BD38-C94B9C9E09F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B91224B-A812-40A9-8B79-5AFF2AEA4F6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2AD37EA7-CD8D-4E68-A969-3581C843FDE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4159FA4-F5B1-4B21-92B5-2A4BB94CD77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AED9D32-E2D6-4BD4-A73D-BE38AB157A4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CD45502-5BCB-4666-B745-31D848F1C7E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9C32916-7A18-4534-A0C6-9833DAC1459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D0BE6A9-72C8-4DF1-AB17-6F738FAF06D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4CFDFA0-0624-4BC4-A3A4-0AC95CAAD39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E24216E-8DFB-4930-AA14-E1FFA0C35E4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9340815-26FF-4045-99A0-71748F0D6CC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719D122-481A-4124-9B01-66789FBB675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ADCD628-D48D-41AD-8875-A14C45CB5B7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0984599-81FD-41AD-9EAA-4A0CD30DF31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A16438B-440F-477A-93FB-DAEBC09D6CF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030B29E-A9F4-4F23-88E5-8B5ECC35222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B2CD523-2EF6-4633-BA96-A8AD388FDA2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46580F9-123F-4037-9337-49AF2DF063D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A5764AB-96CD-45C0-9FFF-462067B6EE5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EB465C8-EE4F-4030-BD1F-3047C6EB312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D9AA4EB-E289-4F96-A163-908BACE60B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A66AC5D7-888C-40A8-AC0C-0629EDE8878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8137960-14FC-4FE7-ACBF-7F317762875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07F1D86-0409-42D4-9494-5D6A9181DE6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98930C0C-905A-4784-9429-0D65609D7A4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9E086981-FA7F-441E-A229-24CDB589999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9185388-656E-485F-9E20-D4D0113B8DB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D54D6F2-438E-4FEA-AB1F-140DC8B341B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9CB847A-6AC6-4A0B-AAAA-6963E3423F5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FF454A0-63FA-49A9-BA5B-9218AA958B2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6FC918C-D878-4A75-A0FC-F2847D5630D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827F071-4FE5-4A90-AA02-2D1E34381FA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8A3671E-7D5E-404A-B38D-F32B2EB41ED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6DC2E6A-8CE4-4ABD-9FD2-662BE4263EF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E69678F5-9155-467E-A28E-A48A7E04B1F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AA6E998-0692-4D11-9BAF-FC71D64BFBA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A25298C-9BD5-46B9-8E6E-9E620D1488C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65E05C1-C8B1-429B-9495-2947A2B4801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47A1715-F865-4660-88A7-1BA0AC159FB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B8DDCF8-7FAE-4931-88D2-CB4743CE169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B19C9EE-12D3-49EF-8ED0-E5A36EE1B27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E2F21FF-2370-41EE-B866-197A1A6F83C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F2CFC1F-C2D5-4BD4-8B05-725C2A165DD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C435A4B-E347-4F7B-BBCC-CEC821B827C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5BE5CC1-9667-4ED4-8517-CE962649D79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C6DCE42-F473-47D2-A19E-06C69FE5CF0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9FDE5F7-A5C5-49D4-B99B-3069429EE07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E3108580-3A39-4F3D-BE43-70F207E7854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C8A25D2-FBD4-4225-8047-12DFD4406CA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D27EE14-9057-433F-A850-89AD6BF19FA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540D2CD-3FC7-4551-A5E3-3CFE8E0869E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970E011-64A6-4563-8A8E-B93CFBF1DA6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EF13054-801E-49C0-9A79-B91EB2886A1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F1FDF4C-1C3C-41FC-97C7-B2980EF5684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7AD0D1E-2AA3-4FAF-8742-EE33CE28A5E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81339149-7285-4B77-9992-29674300010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8F3FE70-D875-4504-9149-39520B44611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8CC1D8D-9D67-4C55-B17C-56AFFC398B9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6FB76ED-8FD4-40FE-9CE2-850549AD8811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AC89CC3-5887-43AD-A766-A5B3217BF88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08BB0C4-C13F-4B4D-97D6-7A2F78181CD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A6C14BEC-C6B4-44F6-866B-D37F1EA8F5C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0982A26-C57D-43E2-8079-54F30B7BAED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990ED04-B77C-495C-A08A-918C7253715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9A929CB-F07E-413F-9A0C-4AED9D1A5F6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F56E91D-9118-4FDD-B146-A75BA81DCAF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8C24B29-72CF-4F50-83EE-1BC210554D1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80B1D6E-81D9-4B8E-B081-F6F656282A9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280FC0A-EE2A-4E10-8250-044BEF181EA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9A8644FA-8BCC-46ED-BB66-5D2FE011E9B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AF440955-8628-47E2-8E5B-1D3C2E45513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08F22E9-3BB7-4B66-9EC0-94FDBF82C3A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18D4E3C-6B10-439F-91D4-6BB08E84834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D07356C-7316-4CB6-A8E6-3C53EED7191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D7CA224-F33F-4D93-9A17-85A2D6764D6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4855498-E796-4074-9A25-295B30FDB7B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19C2ED2-0E3A-4876-AA67-BE66CF1DF75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6F59245A-D6C6-437E-8CA5-27391F7EE49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CE9BCF0-5CE5-416F-80DF-2E4AA2E37CE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E0998DA-EBE6-45B2-88F2-29B80334F8F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2092643-1426-4349-B756-423B2D2B303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B21C2D3-A509-4BE7-B95E-7C4F1E1F0A2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86ED758-34FE-44FB-B0AB-DDFA26580CE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7BD38944-9868-4CDB-8FB9-60540DB5C62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9AF5768-5B65-4278-9F67-640729A9595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A32F122-9FDF-4DFB-ACE4-763656E361A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DA918351-1C29-492B-98FD-66E7CAC8150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1910EA3-B8BE-4890-9280-46A0A4AC892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DC8F596-D7A4-47CE-9CE1-976B85F09B2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B2CFC55-B3E2-4C5E-8F5F-B3F54ED0881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D9547CD-5C7A-42ED-A46C-D5AD3D2B41F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84D712C9-7CB0-4F5A-981A-617D999AF4E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29564A2-9B5B-42DB-8A2B-AE8F495C7F7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E214FB6-EDA3-4373-8579-8EF4203EA9C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B456239-ED7C-434A-8941-2138863F97F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E2D7FA8-4C54-4855-9C5F-F9A604A1341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4D64457-261E-458D-8E87-8C09A79241B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93C3D46-CFF9-4AFF-9434-27DDBB60D27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796CC2C-A41A-41DA-B819-B4EA46B187E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C1D9539-BD3E-4D88-94C4-71900A44B2F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836B693-479C-4C5D-91AF-C23452661A5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E6172D7-620F-44AD-BDF9-EB6C94929AF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7CA03BC-2CD4-4C2D-A225-23EE6678294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A43C093-BB09-48B5-BEC0-B843E6AFF92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06BC9E8-251F-44AB-958B-A05805E1A11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D344B54-6F65-4BE4-890D-2F4B6542E9E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F3A66E0-1D19-498D-8B67-E169D8110D9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BA60EE0-151A-45E0-8FA6-D406BBF18EC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04CC249-F3AD-44B1-AFE0-DA5939703DE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C544112-E371-4A4F-8448-F3CAA6BF66B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FCB32AC-5D8F-492E-B264-EDE3F817FB5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0E4BF8C-0F21-46D1-825B-5520E5160C5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C4F92D1-FAB4-4710-9FC7-E66D1072F3B6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71FE2E4-3BEF-4BF4-BD4A-0611FE33FD5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CA5010D-2796-4919-B167-FD483125732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C8722E1-8CE6-43A9-8D07-0DC2797753F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2FDDC5C-F445-4723-B49D-0F2EF2DC139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4359615-DC9C-4F8E-8296-05194369853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28B1A49-20DB-4938-9187-F80A3664635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F6C7476-2DAD-4A81-8C1D-59342821A44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1AB2752-4958-4B41-B459-CB29C650DE2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185F336-1513-4EF3-9A7E-7B6E0C8B66D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456CEF3-CFFF-47E2-8E64-D667C29D19F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A2B4B3A-E133-400D-ACA5-6AC1E14D9CA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D3EC192-4537-41CC-9A05-3999203DB57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CA65403-18E7-4391-B4F9-E861EFD5102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30F471E-BB47-42B3-942D-66F2E1A98D2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86A04F25-F279-4EE6-8E0F-43B1B2081FE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CE3CF7C-ED4E-423C-AAAF-1CE0EA49122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67EDD1D-DD75-4B2B-8E5F-626B55CEE6D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0B49B4A-71C5-480B-9ED1-DF424C7A114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<sst xmlns="http://schemas.openxmlformats.org/spreadsheetml/2006/main" count="7247" uniqueCount="162">
  <si>
    <t>LAPORAN HARGA BAHAN POKOK DI KOTA SURABAYA</t>
  </si>
  <si>
    <t xml:space="preserve"> </t>
  </si>
  <si>
    <t>NAMA BAHAN POKOK DAN PENTING LAINNYA</t>
  </si>
  <si>
    <t>BERAS</t>
  </si>
  <si>
    <t>Kg</t>
  </si>
  <si>
    <t>- Beras Jagung</t>
  </si>
  <si>
    <t>- Beras Ketan (Jenis Siyem)</t>
  </si>
  <si>
    <t>GULA</t>
  </si>
  <si>
    <t xml:space="preserve">Gula Pasir Lokal Curah 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</si>
  <si>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</si>
  <si>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</si>
  <si>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</si>
  <si>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</si>
  <si>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</si>
  <si>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</si>
  <si>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</si>
  <si>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</si>
  <si>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</si>
  <si>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</si>
  <si>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</si>
  <si>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</si>
  <si>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</si>
  <si>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</si>
  <si>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</si>
  <si>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</si>
  <si>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</si>
  <si>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</si>
  <si>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</si>
  <si>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</si>
  <si>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</si>
  <si>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</si>
  <si>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</si>
  <si>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</si>
  <si>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- Susu Bubuk "DANCOW" Full Cream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</si>
  <si>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</si>
  <si>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</si>
  <si>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</si>
  <si>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</si>
  <si>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</si>
  <si>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</si>
  <si>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</si>
  <si>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</si>
  <si>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</si>
  <si>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</si>
  <si>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</si>
  <si>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</si>
  <si>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</si>
  <si>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</si>
  <si>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</si>
  <si>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</si>
  <si>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</si>
  <si>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</si>
  <si>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</si>
  <si>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</si>
  <si>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</si>
  <si>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</si>
  <si>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</si>
  <si>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</si>
  <si>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</si>
  <si>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</si>
  <si>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</si>
  <si>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</si>
  <si>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</si>
  <si>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</si>
  <si>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</si>
  <si>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</si>
  <si>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</si>
  <si>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</si>
  <si>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</si>
  <si>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</si>
  <si>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</si>
  <si>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</si>
  <si>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</si>
  <si>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</si>
  <si>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</si>
  <si>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</si>
  <si>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</si>
  <si>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</si>
  <si>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</si>
  <si>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</si>
  <si>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</si>
  <si>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</si>
  <si>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>- Air Mineral (Aqua Galon)</t>
  </si>
  <si>
    <t>19 Ltr/Galon</t>
  </si>
  <si>
    <t xml:space="preserve">HARGA BAHAN-BAHAN POKOK </t>
  </si>
  <si>
    <t>DI PASAR TRADISIONAL KOTA SURABAYA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</si>
  <si>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</si>
  <si>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</si>
  <si>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</si>
  <si>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</si>
  <si>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</si>
  <si>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</si>
  <si>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</si>
  <si>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</si>
  <si>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</si>
  <si>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</si>
  <si>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</si>
  <si>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</t>
  </si>
  <si>
    <t xml:space="preserve">  </t>
  </si>
  <si>
    <t>- Telur Ayam Horn</t>
  </si>
  <si>
    <t>FLUKTUASI</t>
  </si>
  <si>
    <t>BAGIAN PEREKONOMIAN DAN SUMBER DAYA ALAM</t>
  </si>
  <si>
    <t>HET/HAPK (Harga Eceran Tertinggi)</t>
  </si>
  <si>
    <t>- Beras Premium</t>
  </si>
  <si>
    <t>- Beras Medium</t>
  </si>
  <si>
    <t>- Minyak Kita</t>
  </si>
  <si>
    <t>Liter</t>
  </si>
  <si>
    <t>- Beras IR.64 Medium</t>
  </si>
  <si>
    <t>- Minyak KITA</t>
  </si>
  <si>
    <t>keterangan :</t>
  </si>
  <si>
    <t>Komoditi turun harga</t>
  </si>
  <si>
    <t>Sumber dari PD Pasar Surya Surabaya</t>
  </si>
  <si>
    <t>Komoditi naik dibawah 10%</t>
  </si>
  <si>
    <t>Fluktuasi dalam 7 hari</t>
  </si>
  <si>
    <t>Komoditi naik diatas 10%</t>
  </si>
  <si>
    <t>- Beras   Premium</t>
  </si>
  <si>
    <t>- Gula pasir lokal curah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</si>
  <si>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</si>
  <si>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</si>
  <si>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</si>
  <si>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</si>
  <si>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</si>
  <si>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</si>
  <si>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</si>
  <si>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- Susu Kental Manis "BENDERA" Putih</t>
  </si>
  <si>
    <t>- Beras Medium Bulog</t>
  </si>
  <si>
    <t>- Beras IR.64 Medium Bulog</t>
  </si>
  <si>
    <t>Hari / Tanggal :  Selasa , 01 Agustus 2023</t>
  </si>
  <si>
    <t>Hari / Tanggal :  Rabu , 02  Agustus 2023</t>
  </si>
  <si>
    <t>Hari / Tanggal :  Kamis , 03  Agustus 2023</t>
  </si>
  <si>
    <t>Hari / Tanggal :  Jumat, 04  Agustus 2023</t>
  </si>
  <si>
    <t>Hari / Tanggal :  Sabtu, 05 Agustus 2023</t>
  </si>
  <si>
    <t>Hari / Tanggal :  Minggu , 06 Agustus 2023</t>
  </si>
  <si>
    <t>Hari / Tanggal :  Senin , 07 Agustus 2023</t>
  </si>
  <si>
    <t>Hari / Tanggal :  Selasa , 08 Agustus 2023</t>
  </si>
  <si>
    <t>Hari / Tanggal :  Rabu , 09 Agustus 2023</t>
  </si>
  <si>
    <t>Hari / Tanggal :  Kamis , 10 Agustus 2023</t>
  </si>
  <si>
    <t>Hari / Tanggal :  Jumat , 11 Agustus 2023</t>
  </si>
  <si>
    <t>Hari / Tanggal :  Sabtu , 12 Agustus 2023</t>
  </si>
  <si>
    <t>Hari / Tanggal :  Minggu , 13 Agustus 2023</t>
  </si>
  <si>
    <t>Hari / Tanggal :  Senin , 14 Agustus 2023</t>
  </si>
  <si>
    <t>Note :</t>
  </si>
  <si>
    <t>Ps Pabean = bawang merah (nganjuk)</t>
  </si>
  <si>
    <t>Probolinggo kosong</t>
  </si>
  <si>
    <t>Hari / Tanggal :  Selasa , 15 Agustus 2023</t>
  </si>
  <si>
    <t>Hari / Tanggal :  Rabu , 16 Agustus 2023</t>
  </si>
  <si>
    <t>Hari / Tanggal :  Kamis , 17 Agustus 2023</t>
  </si>
  <si>
    <t>Hari / Tanggal :  Jumat , 18 Agustus 2023</t>
  </si>
  <si>
    <t>Hari / Tanggal :  Sabtu , 19 Agustus 2023</t>
  </si>
  <si>
    <t>Hari / Tanggal :  Minggu , 20 Agustus 2023</t>
  </si>
  <si>
    <t>Hari / Tanggal :  Senin , 21 Agustus 2023</t>
  </si>
  <si>
    <t>Hari / Tanggal :  Selasa , 22 Agustus 2023</t>
  </si>
  <si>
    <t>Hari / Tanggal :  Rabu , 23 Agustus 2023</t>
  </si>
  <si>
    <t>Hari / Tanggal :  Kamis , 24 Agustus 2023</t>
  </si>
  <si>
    <t>Hari / Tanggal :  Jumat , 25 Agustus 2023</t>
  </si>
  <si>
    <t>Hari / Tanggal :  Sabtu , 26 Agustus 2023</t>
  </si>
  <si>
    <t>Hari / Tanggal :  Minggu , 27 Agustus 2023</t>
  </si>
  <si>
    <t>Hari / Tanggal :  Senin , 28 Agustus 2023</t>
  </si>
  <si>
    <t>Hari / Tanggal :  Selasa , 29 Agustus 2023</t>
  </si>
  <si>
    <t>Hari / Tanggal :  Rabu , 30 Agustus 2023</t>
  </si>
  <si>
    <t>Hari / Tanggal :  Kamis , 31 Agustus 2023</t>
  </si>
  <si>
    <t>PERIODE   AGUSTUS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</si>
</sst>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Arial"/>
      <family val="2"/>
    </font>
    <font>
      <b/>
      <sz val="11"/>
      <color theme="1" tint="4.9989318521683403E-2"/>
      <name val="Tahoma"/>
      <family val="2"/>
    </font>
    <font>
      <b/>
      <sz val="11"/>
      <name val="Arial"/>
      <family val="2"/>
    </font>
    <font>
      <b/>
      <sz val="11"/>
      <color theme="5" tint="-0.249977111117893"/>
      <name val="Tahoma"/>
      <family val="2"/>
    </font>
    <font>
      <sz val="11"/>
      <color theme="5" tint="-0.249977111117893"/>
      <name val="Tahoma"/>
      <family val="2"/>
    </font>
    <font>
      <sz val="11"/>
      <color theme="1" tint="4.9989318521683403E-2"/>
      <name val="Tahoma"/>
      <family val="2"/>
    </font>
    <font>
      <sz val="12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u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Tahoma"/>
      <family val="2"/>
    </font>
    <font>
      <b/>
      <u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1" fillId="0" borderId="0"/>
  </cellStyleXfs>
  <cellXfs count="133">
    <xf numFmtId="0" fontId="0" fillId="0" borderId="0" xfId="0"/>
    <xf numFmtId="164" fontId="0" fillId="0" borderId="0" xfId="0" applyNumberFormat="1"/>
    <xf numFmtId="0" fontId="11" fillId="0" borderId="0" xfId="0" applyFont="1"/>
    <xf numFmtId="164" fontId="11" fillId="0" borderId="0" xfId="0" applyNumberFormat="1" applyFont="1"/>
    <xf numFmtId="164" fontId="10" fillId="0" borderId="11" xfId="2" applyFont="1" applyFill="1" applyBorder="1" applyAlignment="1">
      <alignment horizontal="center" vertical="center"/>
    </xf>
    <xf numFmtId="164" fontId="15" fillId="0" borderId="11" xfId="2" applyFont="1" applyFill="1" applyBorder="1" applyAlignment="1">
      <alignment horizontal="center" vertical="center"/>
    </xf>
    <xf numFmtId="164" fontId="12" fillId="0" borderId="11" xfId="2" applyFont="1" applyFill="1" applyBorder="1" applyAlignment="1">
      <alignment horizontal="center" vertical="center"/>
    </xf>
    <xf numFmtId="0" fontId="11" fillId="2" borderId="0" xfId="0" applyFont="1" applyFill="1"/>
    <xf numFmtId="0" fontId="2" fillId="0" borderId="11" xfId="1" applyFont="1" applyBorder="1" applyAlignment="1">
      <alignment horizontal="center" vertical="center"/>
    </xf>
    <xf numFmtId="164" fontId="2" fillId="0" borderId="11" xfId="2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164" fontId="18" fillId="0" borderId="11" xfId="2" applyFont="1" applyFill="1" applyBorder="1" applyAlignment="1">
      <alignment horizontal="center" vertical="center"/>
    </xf>
    <xf numFmtId="0" fontId="20" fillId="0" borderId="0" xfId="0" applyFont="1"/>
    <xf numFmtId="0" fontId="12" fillId="0" borderId="0" xfId="1" applyFont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5" fillId="2" borderId="6" xfId="1" quotePrefix="1" applyFont="1" applyFill="1" applyBorder="1" applyAlignment="1">
      <alignment vertical="center"/>
    </xf>
    <xf numFmtId="164" fontId="6" fillId="2" borderId="6" xfId="2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12" fillId="2" borderId="6" xfId="1" quotePrefix="1" applyFont="1" applyFill="1" applyBorder="1" applyAlignment="1">
      <alignment vertical="center"/>
    </xf>
    <xf numFmtId="0" fontId="3" fillId="2" borderId="6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vertical="center"/>
    </xf>
    <xf numFmtId="0" fontId="6" fillId="2" borderId="5" xfId="1" applyFont="1" applyFill="1" applyBorder="1"/>
    <xf numFmtId="16" fontId="3" fillId="2" borderId="1" xfId="1" applyNumberFormat="1" applyFont="1" applyFill="1" applyBorder="1" applyAlignment="1">
      <alignment horizontal="center" vertical="center" wrapText="1"/>
    </xf>
    <xf numFmtId="16" fontId="3" fillId="2" borderId="3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12" fillId="2" borderId="2" xfId="1" applyFont="1" applyFill="1" applyBorder="1" applyAlignment="1">
      <alignment horizontal="center" vertical="top"/>
    </xf>
    <xf numFmtId="0" fontId="12" fillId="2" borderId="7" xfId="1" applyFont="1" applyFill="1" applyBorder="1" applyAlignment="1">
      <alignment horizontal="center" vertical="top"/>
    </xf>
    <xf numFmtId="0" fontId="4" fillId="2" borderId="8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5" fillId="2" borderId="0" xfId="0" applyFont="1" applyFill="1"/>
    <xf numFmtId="0" fontId="1" fillId="2" borderId="5" xfId="1" applyFill="1" applyBorder="1"/>
    <xf numFmtId="0" fontId="25" fillId="2" borderId="15" xfId="0" applyFont="1" applyFill="1" applyBorder="1"/>
    <xf numFmtId="0" fontId="25" fillId="2" borderId="10" xfId="0" applyFont="1" applyFill="1" applyBorder="1"/>
    <xf numFmtId="0" fontId="25" fillId="2" borderId="10" xfId="0" applyFont="1" applyFill="1" applyBorder="1" applyAlignment="1">
      <alignment horizontal="center"/>
    </xf>
    <xf numFmtId="0" fontId="25" fillId="2" borderId="17" xfId="0" applyFont="1" applyFill="1" applyBorder="1"/>
    <xf numFmtId="0" fontId="27" fillId="2" borderId="10" xfId="0" applyFont="1" applyFill="1" applyBorder="1" applyAlignment="1">
      <alignment horizontal="center"/>
    </xf>
    <xf numFmtId="0" fontId="25" fillId="2" borderId="18" xfId="0" applyFont="1" applyFill="1" applyBorder="1"/>
    <xf numFmtId="0" fontId="25" fillId="2" borderId="14" xfId="0" applyFont="1" applyFill="1" applyBorder="1"/>
    <xf numFmtId="0" fontId="25" fillId="2" borderId="12" xfId="0" applyFont="1" applyFill="1" applyBorder="1"/>
    <xf numFmtId="0" fontId="28" fillId="2" borderId="0" xfId="0" applyFont="1" applyFill="1"/>
    <xf numFmtId="0" fontId="12" fillId="2" borderId="14" xfId="0" applyFont="1" applyFill="1" applyBorder="1"/>
    <xf numFmtId="0" fontId="25" fillId="6" borderId="11" xfId="0" applyFont="1" applyFill="1" applyBorder="1"/>
    <xf numFmtId="0" fontId="25" fillId="8" borderId="11" xfId="0" applyFont="1" applyFill="1" applyBorder="1"/>
    <xf numFmtId="0" fontId="2" fillId="2" borderId="11" xfId="1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top"/>
    </xf>
    <xf numFmtId="0" fontId="2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0" fillId="0" borderId="11" xfId="1" applyFont="1" applyBorder="1" applyAlignment="1">
      <alignment horizontal="center" vertical="center" wrapText="1"/>
    </xf>
    <xf numFmtId="0" fontId="12" fillId="0" borderId="11" xfId="1" quotePrefix="1" applyFont="1" applyBorder="1" applyAlignment="1">
      <alignment vertical="center"/>
    </xf>
    <xf numFmtId="0" fontId="12" fillId="4" borderId="11" xfId="1" applyFont="1" applyFill="1" applyBorder="1" applyAlignment="1">
      <alignment vertical="center"/>
    </xf>
    <xf numFmtId="0" fontId="2" fillId="4" borderId="11" xfId="1" applyFont="1" applyFill="1" applyBorder="1" applyAlignment="1">
      <alignment vertical="center"/>
    </xf>
    <xf numFmtId="164" fontId="15" fillId="2" borderId="11" xfId="2" applyFont="1" applyFill="1" applyBorder="1" applyAlignment="1">
      <alignment horizontal="center" vertical="center"/>
    </xf>
    <xf numFmtId="164" fontId="12" fillId="2" borderId="11" xfId="2" applyFont="1" applyFill="1" applyBorder="1" applyAlignment="1">
      <alignment horizontal="center" vertical="center"/>
    </xf>
    <xf numFmtId="164" fontId="10" fillId="2" borderId="11" xfId="2" applyFont="1" applyFill="1" applyBorder="1" applyAlignment="1">
      <alignment horizontal="center" vertical="center"/>
    </xf>
    <xf numFmtId="164" fontId="2" fillId="2" borderId="11" xfId="2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vertical="center"/>
    </xf>
    <xf numFmtId="0" fontId="12" fillId="7" borderId="11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left" vertical="center"/>
    </xf>
    <xf numFmtId="0" fontId="12" fillId="5" borderId="11" xfId="1" applyFont="1" applyFill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2" fillId="5" borderId="11" xfId="1" quotePrefix="1" applyFont="1" applyFill="1" applyBorder="1" applyAlignment="1">
      <alignment vertical="center"/>
    </xf>
    <xf numFmtId="164" fontId="19" fillId="0" borderId="11" xfId="2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29" fillId="2" borderId="13" xfId="0" applyFont="1" applyFill="1" applyBorder="1"/>
    <xf numFmtId="0" fontId="25" fillId="2" borderId="13" xfId="0" applyFont="1" applyFill="1" applyBorder="1"/>
    <xf numFmtId="164" fontId="6" fillId="2" borderId="16" xfId="2" applyFont="1" applyFill="1" applyBorder="1" applyAlignment="1">
      <alignment vertical="center"/>
    </xf>
    <xf numFmtId="0" fontId="3" fillId="2" borderId="0" xfId="0" quotePrefix="1" applyFont="1" applyFill="1"/>
    <xf numFmtId="164" fontId="14" fillId="0" borderId="11" xfId="2" applyFont="1" applyFill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164" fontId="17" fillId="0" borderId="11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4" borderId="11" xfId="1" applyFont="1" applyFill="1" applyBorder="1" applyAlignment="1">
      <alignment horizontal="center" vertical="center"/>
    </xf>
    <xf numFmtId="164" fontId="16" fillId="0" borderId="11" xfId="2" applyFont="1" applyBorder="1" applyAlignment="1">
      <alignment horizontal="center" vertical="center"/>
    </xf>
    <xf numFmtId="164" fontId="16" fillId="4" borderId="11" xfId="2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64" fontId="16" fillId="7" borderId="11" xfId="2" applyFont="1" applyFill="1" applyBorder="1" applyAlignment="1">
      <alignment horizontal="center" vertical="center"/>
    </xf>
    <xf numFmtId="0" fontId="15" fillId="2" borderId="11" xfId="1" applyFont="1" applyFill="1" applyBorder="1" applyAlignment="1">
      <alignment horizontal="center" vertical="center"/>
    </xf>
    <xf numFmtId="164" fontId="13" fillId="0" borderId="11" xfId="2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/>
    </xf>
    <xf numFmtId="164" fontId="19" fillId="2" borderId="11" xfId="2" applyFont="1" applyFill="1" applyBorder="1" applyAlignment="1">
      <alignment horizontal="center" vertical="center"/>
    </xf>
    <xf numFmtId="0" fontId="25" fillId="15" borderId="11" xfId="0" applyFont="1" applyFill="1" applyBorder="1"/>
    <xf numFmtId="0" fontId="12" fillId="2" borderId="0" xfId="0" applyFont="1" applyFill="1"/>
    <xf numFmtId="0" fontId="21" fillId="0" borderId="0" xfId="3"/>
    <xf numFmtId="0" fontId="11" fillId="0" borderId="0" xfId="3" applyFont="1"/>
    <xf numFmtId="164" fontId="11" fillId="0" borderId="0" xfId="3" applyNumberFormat="1" applyFont="1"/>
    <xf numFmtId="0" fontId="20" fillId="0" borderId="0" xfId="3" applyFont="1"/>
    <xf numFmtId="164" fontId="21" fillId="0" borderId="0" xfId="3" applyNumberFormat="1"/>
    <xf numFmtId="0" fontId="10" fillId="16" borderId="11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0" fontId="4" fillId="2" borderId="7" xfId="1" applyFont="1" applyFill="1" applyBorder="1" applyAlignment="1">
      <alignment horizontal="center" vertical="top"/>
    </xf>
    <xf numFmtId="0" fontId="3" fillId="2" borderId="0" xfId="0" quotePrefix="1" applyFont="1" applyFill="1" applyAlignment="1">
      <alignment horizontal="left" vertical="top" wrapText="1"/>
    </xf>
    <xf numFmtId="0" fontId="3" fillId="2" borderId="17" xfId="0" quotePrefix="1" applyFont="1" applyFill="1" applyBorder="1" applyAlignment="1">
      <alignment horizontal="left" vertical="top" wrapText="1"/>
    </xf>
    <xf numFmtId="0" fontId="22" fillId="2" borderId="1" xfId="1" applyFont="1" applyFill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 wrapText="1"/>
    </xf>
    <xf numFmtId="16" fontId="22" fillId="2" borderId="1" xfId="1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top"/>
    </xf>
    <xf numFmtId="0" fontId="12" fillId="0" borderId="11" xfId="1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16" borderId="11" xfId="1" applyFont="1" applyFill="1" applyBorder="1" applyAlignment="1">
      <alignment horizontal="center" vertical="center" wrapText="1"/>
    </xf>
    <xf numFmtId="0" fontId="2" fillId="17" borderId="11" xfId="1" applyFont="1" applyFill="1" applyBorder="1" applyAlignment="1">
      <alignment horizontal="center" vertical="center"/>
    </xf>
    <xf numFmtId="0" fontId="10" fillId="12" borderId="11" xfId="1" applyFont="1" applyFill="1" applyBorder="1" applyAlignment="1">
      <alignment horizontal="center" vertical="center" wrapText="1"/>
    </xf>
    <xf numFmtId="0" fontId="10" fillId="13" borderId="11" xfId="1" applyFont="1" applyFill="1" applyBorder="1" applyAlignment="1">
      <alignment horizontal="center" vertical="center" wrapText="1"/>
    </xf>
    <xf numFmtId="0" fontId="10" fillId="9" borderId="11" xfId="1" applyFont="1" applyFill="1" applyBorder="1" applyAlignment="1">
      <alignment horizontal="center" vertical="center" wrapText="1"/>
    </xf>
    <xf numFmtId="0" fontId="10" fillId="14" borderId="11" xfId="1" applyFont="1" applyFill="1" applyBorder="1" applyAlignment="1">
      <alignment horizontal="center" vertical="center" wrapText="1"/>
    </xf>
    <xf numFmtId="0" fontId="10" fillId="11" borderId="11" xfId="1" applyFont="1" applyFill="1" applyBorder="1" applyAlignment="1">
      <alignment horizontal="center" vertical="center" wrapText="1"/>
    </xf>
    <xf numFmtId="0" fontId="10" fillId="10" borderId="11" xfId="1" applyFont="1" applyFill="1" applyBorder="1" applyAlignment="1">
      <alignment horizontal="center" vertical="center" wrapText="1"/>
    </xf>
    <xf numFmtId="0" fontId="10" fillId="8" borderId="11" xfId="1" applyFont="1" applyFill="1" applyBorder="1" applyAlignment="1">
      <alignment horizontal="center" vertical="center" wrapText="1"/>
    </xf>
    <xf numFmtId="0" fontId="2" fillId="6" borderId="11" xfId="1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/>
    </xf>
    <xf numFmtId="164" fontId="25" fillId="2" borderId="0" xfId="0" applyNumberFormat="1" applyFont="1" applyFill="1"/>
  </cellXfs>
  <cellStyles count="4">
    <cellStyle name="Comma [0] 2" xfId="2" xr:uid="{54257AA9-09FB-4CDB-BB9F-ADCA14978239}"/>
    <cellStyle name="Normal" xfId="0" builtinId="0"/>
    <cellStyle name="Normal 2" xfId="1" xr:uid="{C69555B4-32D4-43B7-87AF-B7902BB4B85A}"/>
    <cellStyle name="Normal 3" xfId="3" xr:uid="{45FC9A72-026A-4729-8A06-57B43C3E5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09F7D4-04CE-401F-8EF0-A60D48F5ADDB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BC0844-746A-44CB-B8F5-0683AA1C6697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7E334B84-916F-4469-A6D5-DCB06376C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91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ED8E46-2E07-4B04-9B8B-FE528826A01E}"/>
            </a:ext>
          </a:extLst>
        </xdr:cNvPr>
        <xdr:cNvSpPr txBox="1"/>
      </xdr:nvSpPr>
      <xdr:spPr>
        <a:xfrm>
          <a:off x="3734533" y="1589942"/>
          <a:ext cx="194454" cy="3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542DA5-1831-411E-9F53-E0250400C7E1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A3DC91EE-D94F-4239-A035-E1A72C08A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858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1E046A-3E41-4A2F-9EDA-4DD671EFA2B8}"/>
            </a:ext>
          </a:extLst>
        </xdr:cNvPr>
        <xdr:cNvSpPr txBox="1"/>
      </xdr:nvSpPr>
      <xdr:spPr>
        <a:xfrm>
          <a:off x="3734533" y="1589942"/>
          <a:ext cx="194454" cy="338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F20077-D1D8-46BB-828A-C6B4D3CD3689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EA75B6B7-DC28-448B-AB29-9CD998634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83229F-B02D-485B-9843-B2F25A3B4243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BD52A4-8847-46CB-A0EA-7B33D5DDBEF1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F72D8F8F-CBE5-4DAC-883F-14A0BA26E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42C2D2-45A6-48F0-B346-9E1A381493D6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7F8693-657E-4D33-83C2-445FCA405CF9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35B7725E-5C43-4741-99FA-B463B48C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A2DC8B-B548-46BA-8B95-EA75B3E8ED15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5515F2-23A4-4380-B335-7AC98E692B65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1D0D1237-731F-444D-923C-A0BBD66B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ECC9DA-B7D1-4164-B038-1125402D52D2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1A6483-F7E4-43E3-A38B-06C31940ADC1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3AEC41-FEB7-46C4-AE24-A5B417CAA5E2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75AE8815-236F-4E53-B0A0-94F57A70E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28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863168-B2F1-47FF-813F-C6901C070638}"/>
            </a:ext>
          </a:extLst>
        </xdr:cNvPr>
        <xdr:cNvSpPr txBox="1"/>
      </xdr:nvSpPr>
      <xdr:spPr>
        <a:xfrm>
          <a:off x="3734533" y="1589942"/>
          <a:ext cx="194454" cy="328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B20E95-5807-42CE-AA54-04C943E50B04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A4605DFB-EA7B-4D56-B69E-FB3289A38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E9A09D-E31B-4A18-87ED-EC77C162D41B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0F8A1B-36C7-4C3A-BE91-5770FC3F68F0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3D5BB137-7640-4F24-AA3E-5CD61017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EA4D0C-38AF-4F49-AE0D-6C96046DCAD3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A99952-7445-4537-8887-E632AAC107A9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E8E5B9-49E8-4327-A8DC-E3AE1DC0C0B6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4DDD735C-A135-44F3-80DA-6B086DB81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9D362C-63EA-4682-8B5D-A76F4982C82A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F27F7D-F0E8-4469-804A-95D8090778FB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3DE930-0A9C-45A7-A3FD-9FEE66766578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2053A8F6-53BD-4C76-815C-CAB3A85F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3FDD12-9BE8-462E-AC0A-DF74D2E53D91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0402BC-004F-45A9-890D-89DA739D7D9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C3F167F1-FF54-4A54-A701-4ED1FF32D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385E91-175E-4055-84F4-E097875097CB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371475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E774BEB8-8E16-4F11-A2B6-EA69A568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774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D8FC38-8CF5-47D6-8EC2-D0E880CABE15}"/>
            </a:ext>
          </a:extLst>
        </xdr:cNvPr>
        <xdr:cNvSpPr txBox="1"/>
      </xdr:nvSpPr>
      <xdr:spPr>
        <a:xfrm>
          <a:off x="3734533" y="1589942"/>
          <a:ext cx="194454" cy="287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295275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E8C22550-B9D5-4B5D-B8EA-2B2A77C1A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6C879F-CDCE-4243-9A3E-830950E9E1F4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276225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48CE8DF1-0B97-4CFC-BCD8-A352832D9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7F6F07-6728-42EF-93F8-D713FC917FDA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774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1E5243-7E25-49C8-A130-DC6323413764}"/>
            </a:ext>
          </a:extLst>
        </xdr:cNvPr>
        <xdr:cNvSpPr txBox="1"/>
      </xdr:nvSpPr>
      <xdr:spPr>
        <a:xfrm>
          <a:off x="3734533" y="1589942"/>
          <a:ext cx="194454" cy="287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43E02720-ABB6-4D9F-8F54-8312766E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5B97AC-6C88-4692-98EB-BC814FF35B35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89D3E9-9C6F-4DB5-A7D2-3A9EEC4EED35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62E38D37-D422-4076-8B1B-C262AA910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78B10A-34D6-4E12-99F7-8EFF033274E1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1DDD35EC-F062-45A7-A2ED-0CA7DB17E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DBC015-9E54-4FCD-8777-B4532EA872AC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12DD14EA-900B-4DDD-A422-F12E0BC68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111815-EEBA-4B7F-8948-F541D1B1C6D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11</xdr:col>
      <xdr:colOff>123825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7BB73CB7-08CD-4533-8F10-4143DF4E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A594ED-77BA-4BB6-85BA-ED2B829B5397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566C25-5EF2-4432-9F82-1EFEB196E1F8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F9214311-3169-4DCC-B3ED-BE6074044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46B83D-A392-41F7-B498-0AA94C4D8B5A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D2CE37-385A-4B58-B6F1-1C1B952005DA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73D9047C-DD83-4B6F-888E-FA735058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73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6D3742-4116-47A6-976A-CEE6AFE2E5FD}"/>
            </a:ext>
          </a:extLst>
        </xdr:cNvPr>
        <xdr:cNvSpPr txBox="1"/>
      </xdr:nvSpPr>
      <xdr:spPr>
        <a:xfrm>
          <a:off x="3734533" y="1589942"/>
          <a:ext cx="194454" cy="3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36F584-DEE4-4E34-BB7B-CA5B527F8957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0A1502A7-53DA-4EBA-9B35-D7442B21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0766AD-20DF-41BF-8A48-5F18EEADB248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C9C6B4-6752-4591-928F-9A18262A6A0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96ED1C09-F871-4271-A309-9D64A1D93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B7DE09-F26E-4ECD-AC7E-01234F39E6A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D89A35-952D-4DF6-B89E-ED3D22F472B3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A9A2B3B8-4271-4631-8EDF-CDF80EFD7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287B7-161F-4DE2-B21A-6C49AEDFCACF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333375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C8AD243A-CB18-4E1F-8793-DA532D8C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E069F8-B9F5-4D82-A295-4F35A7DC3D13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180975</xdr:colOff>
      <xdr:row>4</xdr:row>
      <xdr:rowOff>104775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BEF5F0FD-2E2A-466D-8F6C-F68FE48D1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B7D996-0C40-4B0D-9B93-D96B833D11F4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334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CECC3A-3D48-4613-AD15-F00FBF804C97}"/>
            </a:ext>
          </a:extLst>
        </xdr:cNvPr>
        <xdr:cNvSpPr txBox="1"/>
      </xdr:nvSpPr>
      <xdr:spPr>
        <a:xfrm>
          <a:off x="3734533" y="1589942"/>
          <a:ext cx="194454" cy="334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457200</xdr:colOff>
      <xdr:row>0</xdr:row>
      <xdr:rowOff>76200</xdr:rowOff>
    </xdr:from>
    <xdr:to>
      <xdr:col>10</xdr:col>
      <xdr:colOff>57150</xdr:colOff>
      <xdr:row>2</xdr:row>
      <xdr:rowOff>142875</xdr:rowOff>
    </xdr:to>
    <xdr:pic>
      <xdr:nvPicPr>
        <xdr:cNvPr id="4" name="Picture 2" descr="Logo PD Pasar">
          <a:extLst>
            <a:ext uri="{FF2B5EF4-FFF2-40B4-BE49-F238E27FC236}">
              <a16:creationId xmlns:a16="http://schemas.microsoft.com/office/drawing/2014/main" id="{3C1ACB26-CD40-4777-91DE-68C10F0F3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6200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3AFA-D7FB-42D2-88E0-704FBCF2DCA2}">
  <dimension ref="A1:AM143"/>
  <sheetViews>
    <sheetView tabSelected="1" zoomScale="98" zoomScaleNormal="98" workbookViewId="0">
      <pane xSplit="2" ySplit="3" topLeftCell="AE61" activePane="bottomRight" state="frozen"/>
      <selection pane="topRight" activeCell="C1" sqref="C1"/>
      <selection pane="bottomLeft" activeCell="A4" sqref="A4"/>
      <selection pane="bottomRight" activeCell="A81" sqref="A81:XFD81"/>
    </sheetView>
  </sheetViews>
  <sheetFormatPr defaultRowHeight="15" x14ac:dyDescent="0.25"/>
  <cols>
    <col min="1" max="1" width="3.375" style="35" customWidth="1"/>
    <col min="2" max="2" width="29" style="35" customWidth="1"/>
    <col min="3" max="27" width="11.375" style="35" customWidth="1"/>
    <col min="28" max="33" width="11" style="35" customWidth="1"/>
    <col min="34" max="35" width="10.25" style="35" customWidth="1"/>
    <col min="36" max="37" width="8.125" style="35" customWidth="1"/>
    <col min="38" max="252" width="9.125" style="35"/>
    <col min="253" max="253" width="3.375" style="35" customWidth="1"/>
    <col min="254" max="254" width="32.25" style="35" customWidth="1"/>
    <col min="255" max="255" width="13" style="35" customWidth="1"/>
    <col min="256" max="262" width="9.625" style="35" customWidth="1"/>
    <col min="263" max="264" width="11.375" style="35" customWidth="1"/>
    <col min="265" max="266" width="9.125" style="35"/>
    <col min="267" max="267" width="18.375" style="35" customWidth="1"/>
    <col min="268" max="508" width="9.125" style="35"/>
    <col min="509" max="509" width="3.375" style="35" customWidth="1"/>
    <col min="510" max="510" width="32.25" style="35" customWidth="1"/>
    <col min="511" max="511" width="13" style="35" customWidth="1"/>
    <col min="512" max="518" width="9.625" style="35" customWidth="1"/>
    <col min="519" max="520" width="11.375" style="35" customWidth="1"/>
    <col min="521" max="522" width="9.125" style="35"/>
    <col min="523" max="523" width="18.375" style="35" customWidth="1"/>
    <col min="524" max="764" width="9.125" style="35"/>
    <col min="765" max="765" width="3.375" style="35" customWidth="1"/>
    <col min="766" max="766" width="32.25" style="35" customWidth="1"/>
    <col min="767" max="767" width="13" style="35" customWidth="1"/>
    <col min="768" max="774" width="9.625" style="35" customWidth="1"/>
    <col min="775" max="776" width="11.375" style="35" customWidth="1"/>
    <col min="777" max="778" width="9.125" style="35"/>
    <col min="779" max="779" width="18.375" style="35" customWidth="1"/>
    <col min="780" max="1020" width="9.125" style="35"/>
    <col min="1021" max="1021" width="3.375" style="35" customWidth="1"/>
    <col min="1022" max="1022" width="32.25" style="35" customWidth="1"/>
    <col min="1023" max="1023" width="13" style="35" customWidth="1"/>
    <col min="1024" max="1030" width="9.625" style="35" customWidth="1"/>
    <col min="1031" max="1032" width="11.375" style="35" customWidth="1"/>
    <col min="1033" max="1034" width="9.125" style="35"/>
    <col min="1035" max="1035" width="18.375" style="35" customWidth="1"/>
    <col min="1036" max="1276" width="9.125" style="35"/>
    <col min="1277" max="1277" width="3.375" style="35" customWidth="1"/>
    <col min="1278" max="1278" width="32.25" style="35" customWidth="1"/>
    <col min="1279" max="1279" width="13" style="35" customWidth="1"/>
    <col min="1280" max="1286" width="9.625" style="35" customWidth="1"/>
    <col min="1287" max="1288" width="11.375" style="35" customWidth="1"/>
    <col min="1289" max="1290" width="9.125" style="35"/>
    <col min="1291" max="1291" width="18.375" style="35" customWidth="1"/>
    <col min="1292" max="1532" width="9.125" style="35"/>
    <col min="1533" max="1533" width="3.375" style="35" customWidth="1"/>
    <col min="1534" max="1534" width="32.25" style="35" customWidth="1"/>
    <col min="1535" max="1535" width="13" style="35" customWidth="1"/>
    <col min="1536" max="1542" width="9.625" style="35" customWidth="1"/>
    <col min="1543" max="1544" width="11.375" style="35" customWidth="1"/>
    <col min="1545" max="1546" width="9.125" style="35"/>
    <col min="1547" max="1547" width="18.375" style="35" customWidth="1"/>
    <col min="1548" max="1788" width="9.125" style="35"/>
    <col min="1789" max="1789" width="3.375" style="35" customWidth="1"/>
    <col min="1790" max="1790" width="32.25" style="35" customWidth="1"/>
    <col min="1791" max="1791" width="13" style="35" customWidth="1"/>
    <col min="1792" max="1798" width="9.625" style="35" customWidth="1"/>
    <col min="1799" max="1800" width="11.375" style="35" customWidth="1"/>
    <col min="1801" max="1802" width="9.125" style="35"/>
    <col min="1803" max="1803" width="18.375" style="35" customWidth="1"/>
    <col min="1804" max="2044" width="9.125" style="35"/>
    <col min="2045" max="2045" width="3.375" style="35" customWidth="1"/>
    <col min="2046" max="2046" width="32.25" style="35" customWidth="1"/>
    <col min="2047" max="2047" width="13" style="35" customWidth="1"/>
    <col min="2048" max="2054" width="9.625" style="35" customWidth="1"/>
    <col min="2055" max="2056" width="11.375" style="35" customWidth="1"/>
    <col min="2057" max="2058" width="9.125" style="35"/>
    <col min="2059" max="2059" width="18.375" style="35" customWidth="1"/>
    <col min="2060" max="2300" width="9.125" style="35"/>
    <col min="2301" max="2301" width="3.375" style="35" customWidth="1"/>
    <col min="2302" max="2302" width="32.25" style="35" customWidth="1"/>
    <col min="2303" max="2303" width="13" style="35" customWidth="1"/>
    <col min="2304" max="2310" width="9.625" style="35" customWidth="1"/>
    <col min="2311" max="2312" width="11.375" style="35" customWidth="1"/>
    <col min="2313" max="2314" width="9.125" style="35"/>
    <col min="2315" max="2315" width="18.375" style="35" customWidth="1"/>
    <col min="2316" max="2556" width="9.125" style="35"/>
    <col min="2557" max="2557" width="3.375" style="35" customWidth="1"/>
    <col min="2558" max="2558" width="32.25" style="35" customWidth="1"/>
    <col min="2559" max="2559" width="13" style="35" customWidth="1"/>
    <col min="2560" max="2566" width="9.625" style="35" customWidth="1"/>
    <col min="2567" max="2568" width="11.375" style="35" customWidth="1"/>
    <col min="2569" max="2570" width="9.125" style="35"/>
    <col min="2571" max="2571" width="18.375" style="35" customWidth="1"/>
    <col min="2572" max="2812" width="9.125" style="35"/>
    <col min="2813" max="2813" width="3.375" style="35" customWidth="1"/>
    <col min="2814" max="2814" width="32.25" style="35" customWidth="1"/>
    <col min="2815" max="2815" width="13" style="35" customWidth="1"/>
    <col min="2816" max="2822" width="9.625" style="35" customWidth="1"/>
    <col min="2823" max="2824" width="11.375" style="35" customWidth="1"/>
    <col min="2825" max="2826" width="9.125" style="35"/>
    <col min="2827" max="2827" width="18.375" style="35" customWidth="1"/>
    <col min="2828" max="3068" width="9.125" style="35"/>
    <col min="3069" max="3069" width="3.375" style="35" customWidth="1"/>
    <col min="3070" max="3070" width="32.25" style="35" customWidth="1"/>
    <col min="3071" max="3071" width="13" style="35" customWidth="1"/>
    <col min="3072" max="3078" width="9.625" style="35" customWidth="1"/>
    <col min="3079" max="3080" width="11.375" style="35" customWidth="1"/>
    <col min="3081" max="3082" width="9.125" style="35"/>
    <col min="3083" max="3083" width="18.375" style="35" customWidth="1"/>
    <col min="3084" max="3324" width="9.125" style="35"/>
    <col min="3325" max="3325" width="3.375" style="35" customWidth="1"/>
    <col min="3326" max="3326" width="32.25" style="35" customWidth="1"/>
    <col min="3327" max="3327" width="13" style="35" customWidth="1"/>
    <col min="3328" max="3334" width="9.625" style="35" customWidth="1"/>
    <col min="3335" max="3336" width="11.375" style="35" customWidth="1"/>
    <col min="3337" max="3338" width="9.125" style="35"/>
    <col min="3339" max="3339" width="18.375" style="35" customWidth="1"/>
    <col min="3340" max="3580" width="9.125" style="35"/>
    <col min="3581" max="3581" width="3.375" style="35" customWidth="1"/>
    <col min="3582" max="3582" width="32.25" style="35" customWidth="1"/>
    <col min="3583" max="3583" width="13" style="35" customWidth="1"/>
    <col min="3584" max="3590" width="9.625" style="35" customWidth="1"/>
    <col min="3591" max="3592" width="11.375" style="35" customWidth="1"/>
    <col min="3593" max="3594" width="9.125" style="35"/>
    <col min="3595" max="3595" width="18.375" style="35" customWidth="1"/>
    <col min="3596" max="3836" width="9.125" style="35"/>
    <col min="3837" max="3837" width="3.375" style="35" customWidth="1"/>
    <col min="3838" max="3838" width="32.25" style="35" customWidth="1"/>
    <col min="3839" max="3839" width="13" style="35" customWidth="1"/>
    <col min="3840" max="3846" width="9.625" style="35" customWidth="1"/>
    <col min="3847" max="3848" width="11.375" style="35" customWidth="1"/>
    <col min="3849" max="3850" width="9.125" style="35"/>
    <col min="3851" max="3851" width="18.375" style="35" customWidth="1"/>
    <col min="3852" max="4092" width="9.125" style="35"/>
    <col min="4093" max="4093" width="3.375" style="35" customWidth="1"/>
    <col min="4094" max="4094" width="32.25" style="35" customWidth="1"/>
    <col min="4095" max="4095" width="13" style="35" customWidth="1"/>
    <col min="4096" max="4102" width="9.625" style="35" customWidth="1"/>
    <col min="4103" max="4104" width="11.375" style="35" customWidth="1"/>
    <col min="4105" max="4106" width="9.125" style="35"/>
    <col min="4107" max="4107" width="18.375" style="35" customWidth="1"/>
    <col min="4108" max="4348" width="9.125" style="35"/>
    <col min="4349" max="4349" width="3.375" style="35" customWidth="1"/>
    <col min="4350" max="4350" width="32.25" style="35" customWidth="1"/>
    <col min="4351" max="4351" width="13" style="35" customWidth="1"/>
    <col min="4352" max="4358" width="9.625" style="35" customWidth="1"/>
    <col min="4359" max="4360" width="11.375" style="35" customWidth="1"/>
    <col min="4361" max="4362" width="9.125" style="35"/>
    <col min="4363" max="4363" width="18.375" style="35" customWidth="1"/>
    <col min="4364" max="4604" width="9.125" style="35"/>
    <col min="4605" max="4605" width="3.375" style="35" customWidth="1"/>
    <col min="4606" max="4606" width="32.25" style="35" customWidth="1"/>
    <col min="4607" max="4607" width="13" style="35" customWidth="1"/>
    <col min="4608" max="4614" width="9.625" style="35" customWidth="1"/>
    <col min="4615" max="4616" width="11.375" style="35" customWidth="1"/>
    <col min="4617" max="4618" width="9.125" style="35"/>
    <col min="4619" max="4619" width="18.375" style="35" customWidth="1"/>
    <col min="4620" max="4860" width="9.125" style="35"/>
    <col min="4861" max="4861" width="3.375" style="35" customWidth="1"/>
    <col min="4862" max="4862" width="32.25" style="35" customWidth="1"/>
    <col min="4863" max="4863" width="13" style="35" customWidth="1"/>
    <col min="4864" max="4870" width="9.625" style="35" customWidth="1"/>
    <col min="4871" max="4872" width="11.375" style="35" customWidth="1"/>
    <col min="4873" max="4874" width="9.125" style="35"/>
    <col min="4875" max="4875" width="18.375" style="35" customWidth="1"/>
    <col min="4876" max="5116" width="9.125" style="35"/>
    <col min="5117" max="5117" width="3.375" style="35" customWidth="1"/>
    <col min="5118" max="5118" width="32.25" style="35" customWidth="1"/>
    <col min="5119" max="5119" width="13" style="35" customWidth="1"/>
    <col min="5120" max="5126" width="9.625" style="35" customWidth="1"/>
    <col min="5127" max="5128" width="11.375" style="35" customWidth="1"/>
    <col min="5129" max="5130" width="9.125" style="35"/>
    <col min="5131" max="5131" width="18.375" style="35" customWidth="1"/>
    <col min="5132" max="5372" width="9.125" style="35"/>
    <col min="5373" max="5373" width="3.375" style="35" customWidth="1"/>
    <col min="5374" max="5374" width="32.25" style="35" customWidth="1"/>
    <col min="5375" max="5375" width="13" style="35" customWidth="1"/>
    <col min="5376" max="5382" width="9.625" style="35" customWidth="1"/>
    <col min="5383" max="5384" width="11.375" style="35" customWidth="1"/>
    <col min="5385" max="5386" width="9.125" style="35"/>
    <col min="5387" max="5387" width="18.375" style="35" customWidth="1"/>
    <col min="5388" max="5628" width="9.125" style="35"/>
    <col min="5629" max="5629" width="3.375" style="35" customWidth="1"/>
    <col min="5630" max="5630" width="32.25" style="35" customWidth="1"/>
    <col min="5631" max="5631" width="13" style="35" customWidth="1"/>
    <col min="5632" max="5638" width="9.625" style="35" customWidth="1"/>
    <col min="5639" max="5640" width="11.375" style="35" customWidth="1"/>
    <col min="5641" max="5642" width="9.125" style="35"/>
    <col min="5643" max="5643" width="18.375" style="35" customWidth="1"/>
    <col min="5644" max="5884" width="9.125" style="35"/>
    <col min="5885" max="5885" width="3.375" style="35" customWidth="1"/>
    <col min="5886" max="5886" width="32.25" style="35" customWidth="1"/>
    <col min="5887" max="5887" width="13" style="35" customWidth="1"/>
    <col min="5888" max="5894" width="9.625" style="35" customWidth="1"/>
    <col min="5895" max="5896" width="11.375" style="35" customWidth="1"/>
    <col min="5897" max="5898" width="9.125" style="35"/>
    <col min="5899" max="5899" width="18.375" style="35" customWidth="1"/>
    <col min="5900" max="6140" width="9.125" style="35"/>
    <col min="6141" max="6141" width="3.375" style="35" customWidth="1"/>
    <col min="6142" max="6142" width="32.25" style="35" customWidth="1"/>
    <col min="6143" max="6143" width="13" style="35" customWidth="1"/>
    <col min="6144" max="6150" width="9.625" style="35" customWidth="1"/>
    <col min="6151" max="6152" width="11.375" style="35" customWidth="1"/>
    <col min="6153" max="6154" width="9.125" style="35"/>
    <col min="6155" max="6155" width="18.375" style="35" customWidth="1"/>
    <col min="6156" max="6396" width="9.125" style="35"/>
    <col min="6397" max="6397" width="3.375" style="35" customWidth="1"/>
    <col min="6398" max="6398" width="32.25" style="35" customWidth="1"/>
    <col min="6399" max="6399" width="13" style="35" customWidth="1"/>
    <col min="6400" max="6406" width="9.625" style="35" customWidth="1"/>
    <col min="6407" max="6408" width="11.375" style="35" customWidth="1"/>
    <col min="6409" max="6410" width="9.125" style="35"/>
    <col min="6411" max="6411" width="18.375" style="35" customWidth="1"/>
    <col min="6412" max="6652" width="9.125" style="35"/>
    <col min="6653" max="6653" width="3.375" style="35" customWidth="1"/>
    <col min="6654" max="6654" width="32.25" style="35" customWidth="1"/>
    <col min="6655" max="6655" width="13" style="35" customWidth="1"/>
    <col min="6656" max="6662" width="9.625" style="35" customWidth="1"/>
    <col min="6663" max="6664" width="11.375" style="35" customWidth="1"/>
    <col min="6665" max="6666" width="9.125" style="35"/>
    <col min="6667" max="6667" width="18.375" style="35" customWidth="1"/>
    <col min="6668" max="6908" width="9.125" style="35"/>
    <col min="6909" max="6909" width="3.375" style="35" customWidth="1"/>
    <col min="6910" max="6910" width="32.25" style="35" customWidth="1"/>
    <col min="6911" max="6911" width="13" style="35" customWidth="1"/>
    <col min="6912" max="6918" width="9.625" style="35" customWidth="1"/>
    <col min="6919" max="6920" width="11.375" style="35" customWidth="1"/>
    <col min="6921" max="6922" width="9.125" style="35"/>
    <col min="6923" max="6923" width="18.375" style="35" customWidth="1"/>
    <col min="6924" max="7164" width="9.125" style="35"/>
    <col min="7165" max="7165" width="3.375" style="35" customWidth="1"/>
    <col min="7166" max="7166" width="32.25" style="35" customWidth="1"/>
    <col min="7167" max="7167" width="13" style="35" customWidth="1"/>
    <col min="7168" max="7174" width="9.625" style="35" customWidth="1"/>
    <col min="7175" max="7176" width="11.375" style="35" customWidth="1"/>
    <col min="7177" max="7178" width="9.125" style="35"/>
    <col min="7179" max="7179" width="18.375" style="35" customWidth="1"/>
    <col min="7180" max="7420" width="9.125" style="35"/>
    <col min="7421" max="7421" width="3.375" style="35" customWidth="1"/>
    <col min="7422" max="7422" width="32.25" style="35" customWidth="1"/>
    <col min="7423" max="7423" width="13" style="35" customWidth="1"/>
    <col min="7424" max="7430" width="9.625" style="35" customWidth="1"/>
    <col min="7431" max="7432" width="11.375" style="35" customWidth="1"/>
    <col min="7433" max="7434" width="9.125" style="35"/>
    <col min="7435" max="7435" width="18.375" style="35" customWidth="1"/>
    <col min="7436" max="7676" width="9.125" style="35"/>
    <col min="7677" max="7677" width="3.375" style="35" customWidth="1"/>
    <col min="7678" max="7678" width="32.25" style="35" customWidth="1"/>
    <col min="7679" max="7679" width="13" style="35" customWidth="1"/>
    <col min="7680" max="7686" width="9.625" style="35" customWidth="1"/>
    <col min="7687" max="7688" width="11.375" style="35" customWidth="1"/>
    <col min="7689" max="7690" width="9.125" style="35"/>
    <col min="7691" max="7691" width="18.375" style="35" customWidth="1"/>
    <col min="7692" max="7932" width="9.125" style="35"/>
    <col min="7933" max="7933" width="3.375" style="35" customWidth="1"/>
    <col min="7934" max="7934" width="32.25" style="35" customWidth="1"/>
    <col min="7935" max="7935" width="13" style="35" customWidth="1"/>
    <col min="7936" max="7942" width="9.625" style="35" customWidth="1"/>
    <col min="7943" max="7944" width="11.375" style="35" customWidth="1"/>
    <col min="7945" max="7946" width="9.125" style="35"/>
    <col min="7947" max="7947" width="18.375" style="35" customWidth="1"/>
    <col min="7948" max="8188" width="9.125" style="35"/>
    <col min="8189" max="8189" width="3.375" style="35" customWidth="1"/>
    <col min="8190" max="8190" width="32.25" style="35" customWidth="1"/>
    <col min="8191" max="8191" width="13" style="35" customWidth="1"/>
    <col min="8192" max="8198" width="9.625" style="35" customWidth="1"/>
    <col min="8199" max="8200" width="11.375" style="35" customWidth="1"/>
    <col min="8201" max="8202" width="9.125" style="35"/>
    <col min="8203" max="8203" width="18.375" style="35" customWidth="1"/>
    <col min="8204" max="8444" width="9.125" style="35"/>
    <col min="8445" max="8445" width="3.375" style="35" customWidth="1"/>
    <col min="8446" max="8446" width="32.25" style="35" customWidth="1"/>
    <col min="8447" max="8447" width="13" style="35" customWidth="1"/>
    <col min="8448" max="8454" width="9.625" style="35" customWidth="1"/>
    <col min="8455" max="8456" width="11.375" style="35" customWidth="1"/>
    <col min="8457" max="8458" width="9.125" style="35"/>
    <col min="8459" max="8459" width="18.375" style="35" customWidth="1"/>
    <col min="8460" max="8700" width="9.125" style="35"/>
    <col min="8701" max="8701" width="3.375" style="35" customWidth="1"/>
    <col min="8702" max="8702" width="32.25" style="35" customWidth="1"/>
    <col min="8703" max="8703" width="13" style="35" customWidth="1"/>
    <col min="8704" max="8710" width="9.625" style="35" customWidth="1"/>
    <col min="8711" max="8712" width="11.375" style="35" customWidth="1"/>
    <col min="8713" max="8714" width="9.125" style="35"/>
    <col min="8715" max="8715" width="18.375" style="35" customWidth="1"/>
    <col min="8716" max="8956" width="9.125" style="35"/>
    <col min="8957" max="8957" width="3.375" style="35" customWidth="1"/>
    <col min="8958" max="8958" width="32.25" style="35" customWidth="1"/>
    <col min="8959" max="8959" width="13" style="35" customWidth="1"/>
    <col min="8960" max="8966" width="9.625" style="35" customWidth="1"/>
    <col min="8967" max="8968" width="11.375" style="35" customWidth="1"/>
    <col min="8969" max="8970" width="9.125" style="35"/>
    <col min="8971" max="8971" width="18.375" style="35" customWidth="1"/>
    <col min="8972" max="9212" width="9.125" style="35"/>
    <col min="9213" max="9213" width="3.375" style="35" customWidth="1"/>
    <col min="9214" max="9214" width="32.25" style="35" customWidth="1"/>
    <col min="9215" max="9215" width="13" style="35" customWidth="1"/>
    <col min="9216" max="9222" width="9.625" style="35" customWidth="1"/>
    <col min="9223" max="9224" width="11.375" style="35" customWidth="1"/>
    <col min="9225" max="9226" width="9.125" style="35"/>
    <col min="9227" max="9227" width="18.375" style="35" customWidth="1"/>
    <col min="9228" max="9468" width="9.125" style="35"/>
    <col min="9469" max="9469" width="3.375" style="35" customWidth="1"/>
    <col min="9470" max="9470" width="32.25" style="35" customWidth="1"/>
    <col min="9471" max="9471" width="13" style="35" customWidth="1"/>
    <col min="9472" max="9478" width="9.625" style="35" customWidth="1"/>
    <col min="9479" max="9480" width="11.375" style="35" customWidth="1"/>
    <col min="9481" max="9482" width="9.125" style="35"/>
    <col min="9483" max="9483" width="18.375" style="35" customWidth="1"/>
    <col min="9484" max="9724" width="9.125" style="35"/>
    <col min="9725" max="9725" width="3.375" style="35" customWidth="1"/>
    <col min="9726" max="9726" width="32.25" style="35" customWidth="1"/>
    <col min="9727" max="9727" width="13" style="35" customWidth="1"/>
    <col min="9728" max="9734" width="9.625" style="35" customWidth="1"/>
    <col min="9735" max="9736" width="11.375" style="35" customWidth="1"/>
    <col min="9737" max="9738" width="9.125" style="35"/>
    <col min="9739" max="9739" width="18.375" style="35" customWidth="1"/>
    <col min="9740" max="9980" width="9.125" style="35"/>
    <col min="9981" max="9981" width="3.375" style="35" customWidth="1"/>
    <col min="9982" max="9982" width="32.25" style="35" customWidth="1"/>
    <col min="9983" max="9983" width="13" style="35" customWidth="1"/>
    <col min="9984" max="9990" width="9.625" style="35" customWidth="1"/>
    <col min="9991" max="9992" width="11.375" style="35" customWidth="1"/>
    <col min="9993" max="9994" width="9.125" style="35"/>
    <col min="9995" max="9995" width="18.375" style="35" customWidth="1"/>
    <col min="9996" max="10236" width="9.125" style="35"/>
    <col min="10237" max="10237" width="3.375" style="35" customWidth="1"/>
    <col min="10238" max="10238" width="32.25" style="35" customWidth="1"/>
    <col min="10239" max="10239" width="13" style="35" customWidth="1"/>
    <col min="10240" max="10246" width="9.625" style="35" customWidth="1"/>
    <col min="10247" max="10248" width="11.375" style="35" customWidth="1"/>
    <col min="10249" max="10250" width="9.125" style="35"/>
    <col min="10251" max="10251" width="18.375" style="35" customWidth="1"/>
    <col min="10252" max="10492" width="9.125" style="35"/>
    <col min="10493" max="10493" width="3.375" style="35" customWidth="1"/>
    <col min="10494" max="10494" width="32.25" style="35" customWidth="1"/>
    <col min="10495" max="10495" width="13" style="35" customWidth="1"/>
    <col min="10496" max="10502" width="9.625" style="35" customWidth="1"/>
    <col min="10503" max="10504" width="11.375" style="35" customWidth="1"/>
    <col min="10505" max="10506" width="9.125" style="35"/>
    <col min="10507" max="10507" width="18.375" style="35" customWidth="1"/>
    <col min="10508" max="10748" width="9.125" style="35"/>
    <col min="10749" max="10749" width="3.375" style="35" customWidth="1"/>
    <col min="10750" max="10750" width="32.25" style="35" customWidth="1"/>
    <col min="10751" max="10751" width="13" style="35" customWidth="1"/>
    <col min="10752" max="10758" width="9.625" style="35" customWidth="1"/>
    <col min="10759" max="10760" width="11.375" style="35" customWidth="1"/>
    <col min="10761" max="10762" width="9.125" style="35"/>
    <col min="10763" max="10763" width="18.375" style="35" customWidth="1"/>
    <col min="10764" max="11004" width="9.125" style="35"/>
    <col min="11005" max="11005" width="3.375" style="35" customWidth="1"/>
    <col min="11006" max="11006" width="32.25" style="35" customWidth="1"/>
    <col min="11007" max="11007" width="13" style="35" customWidth="1"/>
    <col min="11008" max="11014" width="9.625" style="35" customWidth="1"/>
    <col min="11015" max="11016" width="11.375" style="35" customWidth="1"/>
    <col min="11017" max="11018" width="9.125" style="35"/>
    <col min="11019" max="11019" width="18.375" style="35" customWidth="1"/>
    <col min="11020" max="11260" width="9.125" style="35"/>
    <col min="11261" max="11261" width="3.375" style="35" customWidth="1"/>
    <col min="11262" max="11262" width="32.25" style="35" customWidth="1"/>
    <col min="11263" max="11263" width="13" style="35" customWidth="1"/>
    <col min="11264" max="11270" width="9.625" style="35" customWidth="1"/>
    <col min="11271" max="11272" width="11.375" style="35" customWidth="1"/>
    <col min="11273" max="11274" width="9.125" style="35"/>
    <col min="11275" max="11275" width="18.375" style="35" customWidth="1"/>
    <col min="11276" max="11516" width="9.125" style="35"/>
    <col min="11517" max="11517" width="3.375" style="35" customWidth="1"/>
    <col min="11518" max="11518" width="32.25" style="35" customWidth="1"/>
    <col min="11519" max="11519" width="13" style="35" customWidth="1"/>
    <col min="11520" max="11526" width="9.625" style="35" customWidth="1"/>
    <col min="11527" max="11528" width="11.375" style="35" customWidth="1"/>
    <col min="11529" max="11530" width="9.125" style="35"/>
    <col min="11531" max="11531" width="18.375" style="35" customWidth="1"/>
    <col min="11532" max="11772" width="9.125" style="35"/>
    <col min="11773" max="11773" width="3.375" style="35" customWidth="1"/>
    <col min="11774" max="11774" width="32.25" style="35" customWidth="1"/>
    <col min="11775" max="11775" width="13" style="35" customWidth="1"/>
    <col min="11776" max="11782" width="9.625" style="35" customWidth="1"/>
    <col min="11783" max="11784" width="11.375" style="35" customWidth="1"/>
    <col min="11785" max="11786" width="9.125" style="35"/>
    <col min="11787" max="11787" width="18.375" style="35" customWidth="1"/>
    <col min="11788" max="12028" width="9.125" style="35"/>
    <col min="12029" max="12029" width="3.375" style="35" customWidth="1"/>
    <col min="12030" max="12030" width="32.25" style="35" customWidth="1"/>
    <col min="12031" max="12031" width="13" style="35" customWidth="1"/>
    <col min="12032" max="12038" width="9.625" style="35" customWidth="1"/>
    <col min="12039" max="12040" width="11.375" style="35" customWidth="1"/>
    <col min="12041" max="12042" width="9.125" style="35"/>
    <col min="12043" max="12043" width="18.375" style="35" customWidth="1"/>
    <col min="12044" max="12284" width="9.125" style="35"/>
    <col min="12285" max="12285" width="3.375" style="35" customWidth="1"/>
    <col min="12286" max="12286" width="32.25" style="35" customWidth="1"/>
    <col min="12287" max="12287" width="13" style="35" customWidth="1"/>
    <col min="12288" max="12294" width="9.625" style="35" customWidth="1"/>
    <col min="12295" max="12296" width="11.375" style="35" customWidth="1"/>
    <col min="12297" max="12298" width="9.125" style="35"/>
    <col min="12299" max="12299" width="18.375" style="35" customWidth="1"/>
    <col min="12300" max="12540" width="9.125" style="35"/>
    <col min="12541" max="12541" width="3.375" style="35" customWidth="1"/>
    <col min="12542" max="12542" width="32.25" style="35" customWidth="1"/>
    <col min="12543" max="12543" width="13" style="35" customWidth="1"/>
    <col min="12544" max="12550" width="9.625" style="35" customWidth="1"/>
    <col min="12551" max="12552" width="11.375" style="35" customWidth="1"/>
    <col min="12553" max="12554" width="9.125" style="35"/>
    <col min="12555" max="12555" width="18.375" style="35" customWidth="1"/>
    <col min="12556" max="12796" width="9.125" style="35"/>
    <col min="12797" max="12797" width="3.375" style="35" customWidth="1"/>
    <col min="12798" max="12798" width="32.25" style="35" customWidth="1"/>
    <col min="12799" max="12799" width="13" style="35" customWidth="1"/>
    <col min="12800" max="12806" width="9.625" style="35" customWidth="1"/>
    <col min="12807" max="12808" width="11.375" style="35" customWidth="1"/>
    <col min="12809" max="12810" width="9.125" style="35"/>
    <col min="12811" max="12811" width="18.375" style="35" customWidth="1"/>
    <col min="12812" max="13052" width="9.125" style="35"/>
    <col min="13053" max="13053" width="3.375" style="35" customWidth="1"/>
    <col min="13054" max="13054" width="32.25" style="35" customWidth="1"/>
    <col min="13055" max="13055" width="13" style="35" customWidth="1"/>
    <col min="13056" max="13062" width="9.625" style="35" customWidth="1"/>
    <col min="13063" max="13064" width="11.375" style="35" customWidth="1"/>
    <col min="13065" max="13066" width="9.125" style="35"/>
    <col min="13067" max="13067" width="18.375" style="35" customWidth="1"/>
    <col min="13068" max="13308" width="9.125" style="35"/>
    <col min="13309" max="13309" width="3.375" style="35" customWidth="1"/>
    <col min="13310" max="13310" width="32.25" style="35" customWidth="1"/>
    <col min="13311" max="13311" width="13" style="35" customWidth="1"/>
    <col min="13312" max="13318" width="9.625" style="35" customWidth="1"/>
    <col min="13319" max="13320" width="11.375" style="35" customWidth="1"/>
    <col min="13321" max="13322" width="9.125" style="35"/>
    <col min="13323" max="13323" width="18.375" style="35" customWidth="1"/>
    <col min="13324" max="13564" width="9.125" style="35"/>
    <col min="13565" max="13565" width="3.375" style="35" customWidth="1"/>
    <col min="13566" max="13566" width="32.25" style="35" customWidth="1"/>
    <col min="13567" max="13567" width="13" style="35" customWidth="1"/>
    <col min="13568" max="13574" width="9.625" style="35" customWidth="1"/>
    <col min="13575" max="13576" width="11.375" style="35" customWidth="1"/>
    <col min="13577" max="13578" width="9.125" style="35"/>
    <col min="13579" max="13579" width="18.375" style="35" customWidth="1"/>
    <col min="13580" max="13820" width="9.125" style="35"/>
    <col min="13821" max="13821" width="3.375" style="35" customWidth="1"/>
    <col min="13822" max="13822" width="32.25" style="35" customWidth="1"/>
    <col min="13823" max="13823" width="13" style="35" customWidth="1"/>
    <col min="13824" max="13830" width="9.625" style="35" customWidth="1"/>
    <col min="13831" max="13832" width="11.375" style="35" customWidth="1"/>
    <col min="13833" max="13834" width="9.125" style="35"/>
    <col min="13835" max="13835" width="18.375" style="35" customWidth="1"/>
    <col min="13836" max="14076" width="9.125" style="35"/>
    <col min="14077" max="14077" width="3.375" style="35" customWidth="1"/>
    <col min="14078" max="14078" width="32.25" style="35" customWidth="1"/>
    <col min="14079" max="14079" width="13" style="35" customWidth="1"/>
    <col min="14080" max="14086" width="9.625" style="35" customWidth="1"/>
    <col min="14087" max="14088" width="11.375" style="35" customWidth="1"/>
    <col min="14089" max="14090" width="9.125" style="35"/>
    <col min="14091" max="14091" width="18.375" style="35" customWidth="1"/>
    <col min="14092" max="14332" width="9.125" style="35"/>
    <col min="14333" max="14333" width="3.375" style="35" customWidth="1"/>
    <col min="14334" max="14334" width="32.25" style="35" customWidth="1"/>
    <col min="14335" max="14335" width="13" style="35" customWidth="1"/>
    <col min="14336" max="14342" width="9.625" style="35" customWidth="1"/>
    <col min="14343" max="14344" width="11.375" style="35" customWidth="1"/>
    <col min="14345" max="14346" width="9.125" style="35"/>
    <col min="14347" max="14347" width="18.375" style="35" customWidth="1"/>
    <col min="14348" max="14588" width="9.125" style="35"/>
    <col min="14589" max="14589" width="3.375" style="35" customWidth="1"/>
    <col min="14590" max="14590" width="32.25" style="35" customWidth="1"/>
    <col min="14591" max="14591" width="13" style="35" customWidth="1"/>
    <col min="14592" max="14598" width="9.625" style="35" customWidth="1"/>
    <col min="14599" max="14600" width="11.375" style="35" customWidth="1"/>
    <col min="14601" max="14602" width="9.125" style="35"/>
    <col min="14603" max="14603" width="18.375" style="35" customWidth="1"/>
    <col min="14604" max="14844" width="9.125" style="35"/>
    <col min="14845" max="14845" width="3.375" style="35" customWidth="1"/>
    <col min="14846" max="14846" width="32.25" style="35" customWidth="1"/>
    <col min="14847" max="14847" width="13" style="35" customWidth="1"/>
    <col min="14848" max="14854" width="9.625" style="35" customWidth="1"/>
    <col min="14855" max="14856" width="11.375" style="35" customWidth="1"/>
    <col min="14857" max="14858" width="9.125" style="35"/>
    <col min="14859" max="14859" width="18.375" style="35" customWidth="1"/>
    <col min="14860" max="15100" width="9.125" style="35"/>
    <col min="15101" max="15101" width="3.375" style="35" customWidth="1"/>
    <col min="15102" max="15102" width="32.25" style="35" customWidth="1"/>
    <col min="15103" max="15103" width="13" style="35" customWidth="1"/>
    <col min="15104" max="15110" width="9.625" style="35" customWidth="1"/>
    <col min="15111" max="15112" width="11.375" style="35" customWidth="1"/>
    <col min="15113" max="15114" width="9.125" style="35"/>
    <col min="15115" max="15115" width="18.375" style="35" customWidth="1"/>
    <col min="15116" max="15356" width="9.125" style="35"/>
    <col min="15357" max="15357" width="3.375" style="35" customWidth="1"/>
    <col min="15358" max="15358" width="32.25" style="35" customWidth="1"/>
    <col min="15359" max="15359" width="13" style="35" customWidth="1"/>
    <col min="15360" max="15366" width="9.625" style="35" customWidth="1"/>
    <col min="15367" max="15368" width="11.375" style="35" customWidth="1"/>
    <col min="15369" max="15370" width="9.125" style="35"/>
    <col min="15371" max="15371" width="18.375" style="35" customWidth="1"/>
    <col min="15372" max="15612" width="9.125" style="35"/>
    <col min="15613" max="15613" width="3.375" style="35" customWidth="1"/>
    <col min="15614" max="15614" width="32.25" style="35" customWidth="1"/>
    <col min="15615" max="15615" width="13" style="35" customWidth="1"/>
    <col min="15616" max="15622" width="9.625" style="35" customWidth="1"/>
    <col min="15623" max="15624" width="11.375" style="35" customWidth="1"/>
    <col min="15625" max="15626" width="9.125" style="35"/>
    <col min="15627" max="15627" width="18.375" style="35" customWidth="1"/>
    <col min="15628" max="15868" width="9.125" style="35"/>
    <col min="15869" max="15869" width="3.375" style="35" customWidth="1"/>
    <col min="15870" max="15870" width="32.25" style="35" customWidth="1"/>
    <col min="15871" max="15871" width="13" style="35" customWidth="1"/>
    <col min="15872" max="15878" width="9.625" style="35" customWidth="1"/>
    <col min="15879" max="15880" width="11.375" style="35" customWidth="1"/>
    <col min="15881" max="15882" width="9.125" style="35"/>
    <col min="15883" max="15883" width="18.375" style="35" customWidth="1"/>
    <col min="15884" max="16124" width="9.125" style="35"/>
    <col min="16125" max="16125" width="3.375" style="35" customWidth="1"/>
    <col min="16126" max="16126" width="32.25" style="35" customWidth="1"/>
    <col min="16127" max="16127" width="13" style="35" customWidth="1"/>
    <col min="16128" max="16134" width="9.625" style="35" customWidth="1"/>
    <col min="16135" max="16136" width="11.375" style="35" customWidth="1"/>
    <col min="16137" max="16138" width="9.125" style="35"/>
    <col min="16139" max="16139" width="18.375" style="35" customWidth="1"/>
    <col min="16140" max="16384" width="9.125" style="35"/>
  </cols>
  <sheetData>
    <row r="1" spans="1:37" ht="18.75" x14ac:dyDescent="0.3">
      <c r="A1" s="106" t="s">
        <v>101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</row>
    <row r="2" spans="1:37" ht="18.75" x14ac:dyDescent="0.3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</row>
    <row r="3" spans="1:37" ht="19.5" thickBot="1" x14ac:dyDescent="0.35">
      <c r="A3" s="108" t="s">
        <v>161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</row>
    <row r="4" spans="1:37" ht="15" customHeight="1" x14ac:dyDescent="0.25">
      <c r="A4" s="109" t="s">
        <v>1</v>
      </c>
      <c r="B4" s="112" t="s">
        <v>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102" t="s">
        <v>102</v>
      </c>
      <c r="AI4" s="105" t="s">
        <v>100</v>
      </c>
    </row>
    <row r="5" spans="1:37" x14ac:dyDescent="0.25">
      <c r="A5" s="110"/>
      <c r="B5" s="113"/>
      <c r="C5" s="15">
        <v>1</v>
      </c>
      <c r="D5" s="15">
        <v>2</v>
      </c>
      <c r="E5" s="15">
        <v>3</v>
      </c>
      <c r="F5" s="15">
        <v>4</v>
      </c>
      <c r="G5" s="15">
        <v>5</v>
      </c>
      <c r="H5" s="15">
        <v>6</v>
      </c>
      <c r="I5" s="15">
        <v>7</v>
      </c>
      <c r="J5" s="15">
        <v>8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15</v>
      </c>
      <c r="R5" s="15">
        <v>16</v>
      </c>
      <c r="S5" s="15">
        <v>17</v>
      </c>
      <c r="T5" s="15">
        <v>18</v>
      </c>
      <c r="U5" s="15">
        <v>19</v>
      </c>
      <c r="V5" s="15">
        <v>20</v>
      </c>
      <c r="W5" s="15">
        <v>21</v>
      </c>
      <c r="X5" s="15">
        <v>22</v>
      </c>
      <c r="Y5" s="15">
        <v>23</v>
      </c>
      <c r="Z5" s="15">
        <v>24</v>
      </c>
      <c r="AA5" s="15">
        <v>25</v>
      </c>
      <c r="AB5" s="15">
        <v>26</v>
      </c>
      <c r="AC5" s="15">
        <v>27</v>
      </c>
      <c r="AD5" s="15">
        <v>28</v>
      </c>
      <c r="AE5" s="15">
        <v>29</v>
      </c>
      <c r="AF5" s="15">
        <v>30</v>
      </c>
      <c r="AG5" s="15">
        <v>31</v>
      </c>
      <c r="AH5" s="103"/>
      <c r="AI5" s="103"/>
    </row>
    <row r="6" spans="1:37" ht="27" customHeight="1" thickBot="1" x14ac:dyDescent="0.3">
      <c r="A6" s="111"/>
      <c r="B6" s="114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104"/>
      <c r="AI6" s="104"/>
    </row>
    <row r="7" spans="1:37" x14ac:dyDescent="0.25">
      <c r="A7" s="115">
        <v>1</v>
      </c>
      <c r="B7" s="24" t="s">
        <v>3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25"/>
      <c r="AI7" s="36"/>
    </row>
    <row r="8" spans="1:37" x14ac:dyDescent="0.25">
      <c r="A8" s="98"/>
      <c r="B8" s="16" t="s">
        <v>115</v>
      </c>
      <c r="C8" s="17">
        <f>'01'!K8</f>
        <v>13000</v>
      </c>
      <c r="D8" s="17">
        <f>'02'!K8</f>
        <v>13000</v>
      </c>
      <c r="E8" s="17">
        <f>'03'!K8</f>
        <v>13000</v>
      </c>
      <c r="F8" s="17">
        <f>'04'!K8</f>
        <v>13000</v>
      </c>
      <c r="G8" s="17">
        <f>'05'!K8</f>
        <v>13142.857142857143</v>
      </c>
      <c r="H8" s="17">
        <f>'06'!K8</f>
        <v>13142.857142857143</v>
      </c>
      <c r="I8" s="17">
        <f>'07'!K8</f>
        <v>13142.857142857143</v>
      </c>
      <c r="J8" s="17">
        <f>'08'!K8</f>
        <v>13000</v>
      </c>
      <c r="K8" s="17">
        <f>'09'!K8</f>
        <v>13000</v>
      </c>
      <c r="L8" s="17">
        <f>'10'!K8</f>
        <v>13000</v>
      </c>
      <c r="M8" s="17">
        <f>'11'!K8</f>
        <v>13000</v>
      </c>
      <c r="N8" s="17">
        <f>'12'!K8</f>
        <v>13000</v>
      </c>
      <c r="O8" s="17">
        <f>'13'!K8</f>
        <v>13000</v>
      </c>
      <c r="P8" s="17">
        <f>'14'!K8</f>
        <v>13071.428571428571</v>
      </c>
      <c r="Q8" s="17">
        <f>'15'!K8</f>
        <v>13071.428571428571</v>
      </c>
      <c r="R8" s="17">
        <f>'16'!K8</f>
        <v>13071.428571428571</v>
      </c>
      <c r="S8" s="17">
        <f>'17'!K8</f>
        <v>13000</v>
      </c>
      <c r="T8" s="17">
        <f>'18'!K8</f>
        <v>13071.428571428571</v>
      </c>
      <c r="U8" s="17">
        <f>'19'!K8</f>
        <v>13071.428571428571</v>
      </c>
      <c r="V8" s="17">
        <f>'20'!K8</f>
        <v>13071.428571428571</v>
      </c>
      <c r="W8" s="17">
        <f>'21'!K8</f>
        <v>13071.428571428571</v>
      </c>
      <c r="X8" s="17">
        <f>'22'!K8</f>
        <v>13071.428571428571</v>
      </c>
      <c r="Y8" s="17">
        <f>'23'!K8</f>
        <v>13071.428571428571</v>
      </c>
      <c r="Z8" s="17">
        <f>'24'!K8</f>
        <v>13071.428571428571</v>
      </c>
      <c r="AA8" s="17">
        <f>'25'!K8</f>
        <v>13142.857142857143</v>
      </c>
      <c r="AB8" s="17">
        <f>'26'!K8</f>
        <v>13142.857142857143</v>
      </c>
      <c r="AC8" s="17">
        <f>'27'!K8</f>
        <v>13214.285714285714</v>
      </c>
      <c r="AD8" s="17">
        <f>'28'!K8</f>
        <v>13142.857142857143</v>
      </c>
      <c r="AE8" s="17">
        <f>'29'!K8</f>
        <v>13171.428571428571</v>
      </c>
      <c r="AF8" s="17">
        <f>'30'!K8</f>
        <v>13142.857142857143</v>
      </c>
      <c r="AG8" s="17">
        <f>'31'!K8</f>
        <v>13142.857142857143</v>
      </c>
      <c r="AH8" s="17">
        <v>12800</v>
      </c>
      <c r="AI8" s="17">
        <f>AG8-C8</f>
        <v>142.85714285714312</v>
      </c>
      <c r="AJ8" s="132">
        <f>AVERAGE(C8:AG8)</f>
        <v>13072.350230414753</v>
      </c>
    </row>
    <row r="9" spans="1:37" x14ac:dyDescent="0.25">
      <c r="A9" s="98"/>
      <c r="B9" s="16" t="s">
        <v>126</v>
      </c>
      <c r="C9" s="17">
        <f>'01'!K9</f>
        <v>9000</v>
      </c>
      <c r="D9" s="17">
        <f>'02'!K9</f>
        <v>9000</v>
      </c>
      <c r="E9" s="17">
        <f>'03'!K9</f>
        <v>9000</v>
      </c>
      <c r="F9" s="17">
        <f>'04'!K9</f>
        <v>9000</v>
      </c>
      <c r="G9" s="17">
        <f>'05'!K9</f>
        <v>9200</v>
      </c>
      <c r="H9" s="17">
        <f>'06'!K9</f>
        <v>9200</v>
      </c>
      <c r="I9" s="17">
        <f>'07'!K9</f>
        <v>9200</v>
      </c>
      <c r="J9" s="17">
        <f>'08'!K9</f>
        <v>9200</v>
      </c>
      <c r="K9" s="17">
        <f>'09'!K9</f>
        <v>9200</v>
      </c>
      <c r="L9" s="17">
        <f>'10'!K9</f>
        <v>9200</v>
      </c>
      <c r="M9" s="17">
        <f>'11'!K9</f>
        <v>9200</v>
      </c>
      <c r="N9" s="17">
        <f>'12'!K9</f>
        <v>9200</v>
      </c>
      <c r="O9" s="17">
        <f>'13'!K9</f>
        <v>9250</v>
      </c>
      <c r="P9" s="17">
        <f>'14'!K9</f>
        <v>9200</v>
      </c>
      <c r="Q9" s="17">
        <f>'15'!K9</f>
        <v>9200</v>
      </c>
      <c r="R9" s="17">
        <f>'16'!K9</f>
        <v>9200</v>
      </c>
      <c r="S9" s="17">
        <f>'17'!K9</f>
        <v>9200</v>
      </c>
      <c r="T9" s="17">
        <f>'18'!K9</f>
        <v>9200</v>
      </c>
      <c r="U9" s="17">
        <f>'19'!K9</f>
        <v>9200</v>
      </c>
      <c r="V9" s="17">
        <f>'20'!K9</f>
        <v>9200</v>
      </c>
      <c r="W9" s="17">
        <f>'21'!K9</f>
        <v>9200</v>
      </c>
      <c r="X9" s="17">
        <f>'22'!K9</f>
        <v>9200</v>
      </c>
      <c r="Y9" s="17">
        <f>'23'!K9</f>
        <v>9200</v>
      </c>
      <c r="Z9" s="17">
        <f>'24'!K9</f>
        <v>9200</v>
      </c>
      <c r="AA9" s="17">
        <f>'25'!K9</f>
        <v>9200</v>
      </c>
      <c r="AB9" s="17">
        <f>'26'!K9</f>
        <v>9000</v>
      </c>
      <c r="AC9" s="17">
        <f>'27'!K9</f>
        <v>9100</v>
      </c>
      <c r="AD9" s="17">
        <f>'28'!K9</f>
        <v>9200</v>
      </c>
      <c r="AE9" s="17">
        <f>'29'!K9</f>
        <v>9300</v>
      </c>
      <c r="AF9" s="17">
        <f>'30'!K9</f>
        <v>9300</v>
      </c>
      <c r="AG9" s="17">
        <f>'31'!K9</f>
        <v>9300</v>
      </c>
      <c r="AH9" s="17"/>
      <c r="AI9" s="17">
        <f t="shared" ref="AI9:AI72" si="0">AG9-C9</f>
        <v>300</v>
      </c>
      <c r="AJ9" s="132">
        <f t="shared" ref="AJ9:AJ72" si="1">AVERAGE(C9:AG9)</f>
        <v>9175.8064516129034</v>
      </c>
    </row>
    <row r="10" spans="1:37" x14ac:dyDescent="0.25">
      <c r="A10" s="98"/>
      <c r="B10" s="16" t="s">
        <v>107</v>
      </c>
      <c r="C10" s="17">
        <f>'01'!K10</f>
        <v>10860</v>
      </c>
      <c r="D10" s="17">
        <f>'02'!K10</f>
        <v>11300</v>
      </c>
      <c r="E10" s="17">
        <f>'03'!K10</f>
        <v>10860</v>
      </c>
      <c r="F10" s="17">
        <f>'04'!K10</f>
        <v>11160</v>
      </c>
      <c r="G10" s="17">
        <f>'05'!K10</f>
        <v>11460</v>
      </c>
      <c r="H10" s="17">
        <f>'06'!K10</f>
        <v>10960</v>
      </c>
      <c r="I10" s="17">
        <f>'07'!K10</f>
        <v>11160</v>
      </c>
      <c r="J10" s="17">
        <f>'08'!K10</f>
        <v>11160</v>
      </c>
      <c r="K10" s="17">
        <f>'09'!K10</f>
        <v>11160</v>
      </c>
      <c r="L10" s="17">
        <f>'10'!K10</f>
        <v>11160</v>
      </c>
      <c r="M10" s="17">
        <f>'11'!K10</f>
        <v>11160</v>
      </c>
      <c r="N10" s="17">
        <f>'12'!K10</f>
        <v>11160</v>
      </c>
      <c r="O10" s="17">
        <f>'13'!K10</f>
        <v>11160</v>
      </c>
      <c r="P10" s="17">
        <f>'14'!K10</f>
        <v>11660</v>
      </c>
      <c r="Q10" s="17">
        <f>'15'!K10</f>
        <v>11660</v>
      </c>
      <c r="R10" s="17">
        <f>'16'!K10</f>
        <v>11660</v>
      </c>
      <c r="S10" s="17">
        <f>'17'!K10</f>
        <v>11160</v>
      </c>
      <c r="T10" s="17">
        <f>'18'!K10</f>
        <v>11660</v>
      </c>
      <c r="U10" s="17">
        <f>'19'!K10</f>
        <v>11660</v>
      </c>
      <c r="V10" s="17">
        <f>'20'!K10</f>
        <v>11660</v>
      </c>
      <c r="W10" s="17">
        <f>'21'!K10</f>
        <v>11660</v>
      </c>
      <c r="X10" s="17">
        <f>'22'!K10</f>
        <v>11660</v>
      </c>
      <c r="Y10" s="17">
        <f>'23'!K10</f>
        <v>11660</v>
      </c>
      <c r="Z10" s="17">
        <f>'24'!K10</f>
        <v>11660</v>
      </c>
      <c r="AA10" s="17">
        <f>'25'!K10</f>
        <v>11660</v>
      </c>
      <c r="AB10" s="17">
        <f>'26'!K10</f>
        <v>11660</v>
      </c>
      <c r="AC10" s="17">
        <f>'27'!K10</f>
        <v>12160</v>
      </c>
      <c r="AD10" s="17">
        <f>'28'!K10</f>
        <v>11660</v>
      </c>
      <c r="AE10" s="17">
        <f>'29'!K10</f>
        <v>11850</v>
      </c>
      <c r="AF10" s="17">
        <f>'30'!K10</f>
        <v>11880</v>
      </c>
      <c r="AG10" s="17">
        <f>'31'!K10</f>
        <v>11880</v>
      </c>
      <c r="AH10" s="17">
        <v>9450</v>
      </c>
      <c r="AI10" s="17">
        <f t="shared" si="0"/>
        <v>1020</v>
      </c>
      <c r="AJ10" s="132">
        <f t="shared" si="1"/>
        <v>11459.032258064517</v>
      </c>
      <c r="AK10" s="35" t="s">
        <v>1</v>
      </c>
    </row>
    <row r="11" spans="1:37" x14ac:dyDescent="0.25">
      <c r="A11" s="98"/>
      <c r="B11" s="16" t="s">
        <v>5</v>
      </c>
      <c r="C11" s="17">
        <f>'01'!K11</f>
        <v>10200</v>
      </c>
      <c r="D11" s="17">
        <f>'02'!K11</f>
        <v>10750</v>
      </c>
      <c r="E11" s="17">
        <f>'03'!K11</f>
        <v>10200</v>
      </c>
      <c r="F11" s="17">
        <f>'04'!K11</f>
        <v>10200</v>
      </c>
      <c r="G11" s="17">
        <f>'05'!K11</f>
        <v>10200</v>
      </c>
      <c r="H11" s="17">
        <f>'06'!K11</f>
        <v>10200</v>
      </c>
      <c r="I11" s="17">
        <f>'07'!K11</f>
        <v>10200</v>
      </c>
      <c r="J11" s="17">
        <f>'08'!K11</f>
        <v>10200</v>
      </c>
      <c r="K11" s="17">
        <f>'09'!K11</f>
        <v>10200</v>
      </c>
      <c r="L11" s="17">
        <f>'10'!K11</f>
        <v>10200</v>
      </c>
      <c r="M11" s="17">
        <f>'11'!K11</f>
        <v>10200</v>
      </c>
      <c r="N11" s="17">
        <f>'12'!K11</f>
        <v>10200</v>
      </c>
      <c r="O11" s="17">
        <f>'13'!K11</f>
        <v>10200</v>
      </c>
      <c r="P11" s="17">
        <f>'14'!K11</f>
        <v>10000</v>
      </c>
      <c r="Q11" s="17">
        <f>'15'!K11</f>
        <v>10000</v>
      </c>
      <c r="R11" s="17">
        <f>'16'!K11</f>
        <v>10000</v>
      </c>
      <c r="S11" s="17">
        <f>'17'!K11</f>
        <v>10200</v>
      </c>
      <c r="T11" s="17">
        <f>'18'!K11</f>
        <v>10000</v>
      </c>
      <c r="U11" s="17">
        <f>'19'!K11</f>
        <v>10000</v>
      </c>
      <c r="V11" s="17">
        <f>'20'!K11</f>
        <v>10000</v>
      </c>
      <c r="W11" s="17">
        <f>'21'!K11</f>
        <v>10000</v>
      </c>
      <c r="X11" s="17">
        <f>'22'!K11</f>
        <v>10000</v>
      </c>
      <c r="Y11" s="17">
        <f>'23'!K11</f>
        <v>10000</v>
      </c>
      <c r="Z11" s="17">
        <f>'24'!K11</f>
        <v>10000</v>
      </c>
      <c r="AA11" s="17">
        <f>'25'!K11</f>
        <v>10000</v>
      </c>
      <c r="AB11" s="17">
        <f>'26'!K11</f>
        <v>10000</v>
      </c>
      <c r="AC11" s="17">
        <f>'27'!K11</f>
        <v>9800</v>
      </c>
      <c r="AD11" s="17">
        <f>'28'!K11</f>
        <v>10000</v>
      </c>
      <c r="AE11" s="17">
        <f>'29'!K11</f>
        <v>10000</v>
      </c>
      <c r="AF11" s="17">
        <f>'30'!K11</f>
        <v>10000</v>
      </c>
      <c r="AG11" s="17">
        <f>'31'!K11</f>
        <v>10000</v>
      </c>
      <c r="AH11" s="17"/>
      <c r="AI11" s="17">
        <f t="shared" si="0"/>
        <v>-200</v>
      </c>
      <c r="AJ11" s="132">
        <f t="shared" si="1"/>
        <v>10101.612903225807</v>
      </c>
    </row>
    <row r="12" spans="1:37" x14ac:dyDescent="0.25">
      <c r="A12" s="99"/>
      <c r="B12" s="16" t="s">
        <v>6</v>
      </c>
      <c r="C12" s="17">
        <f>'01'!K12</f>
        <v>18600</v>
      </c>
      <c r="D12" s="17">
        <f>'02'!K12</f>
        <v>19000</v>
      </c>
      <c r="E12" s="17">
        <f>'03'!K12</f>
        <v>18600</v>
      </c>
      <c r="F12" s="17">
        <f>'04'!K12</f>
        <v>18600</v>
      </c>
      <c r="G12" s="17">
        <f>'05'!K12</f>
        <v>18800</v>
      </c>
      <c r="H12" s="17">
        <f>'06'!K12</f>
        <v>18800</v>
      </c>
      <c r="I12" s="17">
        <f>'07'!K12</f>
        <v>18600</v>
      </c>
      <c r="J12" s="17">
        <f>'08'!K12</f>
        <v>18600</v>
      </c>
      <c r="K12" s="17">
        <f>'09'!K12</f>
        <v>18600</v>
      </c>
      <c r="L12" s="17">
        <f>'10'!K12</f>
        <v>18600</v>
      </c>
      <c r="M12" s="17">
        <f>'11'!K12</f>
        <v>18600</v>
      </c>
      <c r="N12" s="17">
        <f>'12'!K12</f>
        <v>18600</v>
      </c>
      <c r="O12" s="17">
        <f>'13'!K12</f>
        <v>18600</v>
      </c>
      <c r="P12" s="17">
        <f>'14'!K12</f>
        <v>18600</v>
      </c>
      <c r="Q12" s="17">
        <f>'15'!K12</f>
        <v>18600</v>
      </c>
      <c r="R12" s="17">
        <f>'16'!K12</f>
        <v>18600</v>
      </c>
      <c r="S12" s="17">
        <f>'17'!K12</f>
        <v>18600</v>
      </c>
      <c r="T12" s="17">
        <f>'18'!K12</f>
        <v>18600</v>
      </c>
      <c r="U12" s="17">
        <f>'19'!K12</f>
        <v>18600</v>
      </c>
      <c r="V12" s="17">
        <f>'20'!K12</f>
        <v>20000</v>
      </c>
      <c r="W12" s="17">
        <f>'21'!K12</f>
        <v>18600</v>
      </c>
      <c r="X12" s="17">
        <f>'22'!K12</f>
        <v>18600</v>
      </c>
      <c r="Y12" s="17">
        <f>'23'!K12</f>
        <v>18600</v>
      </c>
      <c r="Z12" s="17">
        <f>'24'!K12</f>
        <v>18600</v>
      </c>
      <c r="AA12" s="17">
        <f>'25'!K12</f>
        <v>18600</v>
      </c>
      <c r="AB12" s="17">
        <f>'26'!K12</f>
        <v>18600</v>
      </c>
      <c r="AC12" s="17">
        <f>'27'!K12</f>
        <v>18600</v>
      </c>
      <c r="AD12" s="17">
        <f>'28'!K12</f>
        <v>18600</v>
      </c>
      <c r="AE12" s="17">
        <f>'29'!K12</f>
        <v>18600</v>
      </c>
      <c r="AF12" s="17">
        <f>'30'!K12</f>
        <v>18600</v>
      </c>
      <c r="AG12" s="17">
        <f>'31'!K12</f>
        <v>18600</v>
      </c>
      <c r="AH12" s="17"/>
      <c r="AI12" s="17">
        <f t="shared" si="0"/>
        <v>0</v>
      </c>
      <c r="AJ12" s="132">
        <f t="shared" si="1"/>
        <v>18670.967741935485</v>
      </c>
    </row>
    <row r="13" spans="1:37" x14ac:dyDescent="0.25">
      <c r="A13" s="97">
        <v>2</v>
      </c>
      <c r="B13" s="20" t="s">
        <v>7</v>
      </c>
      <c r="C13" s="17">
        <f>'01'!K13</f>
        <v>0</v>
      </c>
      <c r="D13" s="17">
        <f>'02'!K13</f>
        <v>0</v>
      </c>
      <c r="E13" s="17">
        <f>'03'!K13</f>
        <v>0</v>
      </c>
      <c r="F13" s="17">
        <f>'04'!K13</f>
        <v>0</v>
      </c>
      <c r="G13" s="17">
        <f>'05'!K13</f>
        <v>0</v>
      </c>
      <c r="H13" s="17">
        <f>'06'!K13</f>
        <v>0</v>
      </c>
      <c r="I13" s="17">
        <f>'07'!K13</f>
        <v>0</v>
      </c>
      <c r="J13" s="17">
        <f>'08'!K13</f>
        <v>0</v>
      </c>
      <c r="K13" s="17">
        <f>'09'!K13</f>
        <v>0</v>
      </c>
      <c r="L13" s="17">
        <f>'10'!K13</f>
        <v>0</v>
      </c>
      <c r="M13" s="17">
        <f>'11'!K13</f>
        <v>0</v>
      </c>
      <c r="N13" s="17">
        <f>'12'!K13</f>
        <v>0</v>
      </c>
      <c r="O13" s="17">
        <f>'13'!K13</f>
        <v>0</v>
      </c>
      <c r="P13" s="17">
        <f>'14'!K13</f>
        <v>0</v>
      </c>
      <c r="Q13" s="17">
        <f>'15'!K13</f>
        <v>0</v>
      </c>
      <c r="R13" s="17">
        <f>'16'!K13</f>
        <v>0</v>
      </c>
      <c r="S13" s="17">
        <f>'17'!K13</f>
        <v>0</v>
      </c>
      <c r="T13" s="17">
        <f>'18'!K13</f>
        <v>0</v>
      </c>
      <c r="U13" s="17">
        <f>'19'!K13</f>
        <v>0</v>
      </c>
      <c r="V13" s="17">
        <f>'20'!K13</f>
        <v>0</v>
      </c>
      <c r="W13" s="17">
        <f>'21'!K13</f>
        <v>0</v>
      </c>
      <c r="X13" s="17">
        <f>'22'!K13</f>
        <v>0</v>
      </c>
      <c r="Y13" s="17">
        <f>'23'!K13</f>
        <v>0</v>
      </c>
      <c r="Z13" s="17">
        <f>'24'!K13</f>
        <v>0</v>
      </c>
      <c r="AA13" s="17">
        <f>'25'!K13</f>
        <v>0</v>
      </c>
      <c r="AB13" s="17">
        <f>'26'!K13</f>
        <v>0</v>
      </c>
      <c r="AC13" s="17">
        <f>'27'!K13</f>
        <v>0</v>
      </c>
      <c r="AD13" s="17">
        <f>'28'!K13</f>
        <v>0</v>
      </c>
      <c r="AE13" s="17">
        <f>'29'!K13</f>
        <v>0</v>
      </c>
      <c r="AF13" s="17">
        <f>'30'!K13</f>
        <v>0</v>
      </c>
      <c r="AG13" s="17">
        <f>'31'!K13</f>
        <v>0</v>
      </c>
      <c r="AH13" s="17"/>
      <c r="AI13" s="17">
        <f t="shared" si="0"/>
        <v>0</v>
      </c>
      <c r="AJ13" s="132">
        <f t="shared" si="1"/>
        <v>0</v>
      </c>
    </row>
    <row r="14" spans="1:37" x14ac:dyDescent="0.25">
      <c r="A14" s="98"/>
      <c r="B14" s="18" t="s">
        <v>8</v>
      </c>
      <c r="C14" s="17">
        <f>'01'!K14</f>
        <v>13357.142857142857</v>
      </c>
      <c r="D14" s="17">
        <f>'02'!K14</f>
        <v>13357.142857142857</v>
      </c>
      <c r="E14" s="17">
        <f>'03'!K14</f>
        <v>13357.142857142857</v>
      </c>
      <c r="F14" s="17">
        <f>'04'!K14</f>
        <v>13357.142857142857</v>
      </c>
      <c r="G14" s="17">
        <f>'05'!K14</f>
        <v>13357.142857142857</v>
      </c>
      <c r="H14" s="17">
        <f>'06'!K14</f>
        <v>13357.142857142857</v>
      </c>
      <c r="I14" s="17">
        <f>'07'!K14</f>
        <v>13357.142857142857</v>
      </c>
      <c r="J14" s="17">
        <f>'08'!K14</f>
        <v>13285.714285714286</v>
      </c>
      <c r="K14" s="17">
        <f>'09'!K14</f>
        <v>13285.714285714286</v>
      </c>
      <c r="L14" s="17">
        <f>'10'!K14</f>
        <v>13357.142857142857</v>
      </c>
      <c r="M14" s="17">
        <f>'11'!K14</f>
        <v>13357.142857142857</v>
      </c>
      <c r="N14" s="17">
        <f>'12'!K14</f>
        <v>13428.571428571429</v>
      </c>
      <c r="O14" s="17">
        <f>'13'!K14</f>
        <v>13428.571428571429</v>
      </c>
      <c r="P14" s="17">
        <f>'14'!K14</f>
        <v>13357.142857142857</v>
      </c>
      <c r="Q14" s="17">
        <f>'15'!K14</f>
        <v>13357.142857142857</v>
      </c>
      <c r="R14" s="17">
        <f>'16'!K14</f>
        <v>13357.142857142857</v>
      </c>
      <c r="S14" s="17">
        <f>'17'!K14</f>
        <v>13357.142857142857</v>
      </c>
      <c r="T14" s="17">
        <f>'18'!K14</f>
        <v>13357.142857142857</v>
      </c>
      <c r="U14" s="17">
        <f>'19'!K14</f>
        <v>13285.714285714286</v>
      </c>
      <c r="V14" s="17">
        <f>'20'!K14</f>
        <v>13214.285714285714</v>
      </c>
      <c r="W14" s="17">
        <f>'21'!K14</f>
        <v>13285.714285714286</v>
      </c>
      <c r="X14" s="17">
        <f>'22'!K14</f>
        <v>13285.714285714286</v>
      </c>
      <c r="Y14" s="17">
        <f>'23'!K14</f>
        <v>13285.714285714286</v>
      </c>
      <c r="Z14" s="17">
        <f>'24'!K14</f>
        <v>13285.714285714286</v>
      </c>
      <c r="AA14" s="17">
        <f>'25'!K14</f>
        <v>13285.714285714286</v>
      </c>
      <c r="AB14" s="17">
        <f>'26'!K14</f>
        <v>13285.714285714286</v>
      </c>
      <c r="AC14" s="17">
        <f>'27'!K14</f>
        <v>13285.714285714286</v>
      </c>
      <c r="AD14" s="17">
        <f>'28'!K14</f>
        <v>13285.714285714286</v>
      </c>
      <c r="AE14" s="17">
        <f>'29'!K14</f>
        <v>13285.714285714286</v>
      </c>
      <c r="AF14" s="17">
        <f>'30'!K14</f>
        <v>13285.714285714286</v>
      </c>
      <c r="AG14" s="17">
        <f>'31'!K14</f>
        <v>13285.714285714286</v>
      </c>
      <c r="AH14" s="17">
        <v>13500</v>
      </c>
      <c r="AI14" s="17">
        <f t="shared" si="0"/>
        <v>-71.428571428570649</v>
      </c>
      <c r="AJ14" s="132">
        <f t="shared" si="1"/>
        <v>13324.884792626723</v>
      </c>
    </row>
    <row r="15" spans="1:37" x14ac:dyDescent="0.25">
      <c r="A15" s="99"/>
      <c r="B15" s="19" t="s">
        <v>9</v>
      </c>
      <c r="C15" s="17">
        <f>'01'!K15</f>
        <v>15285.714285714286</v>
      </c>
      <c r="D15" s="17">
        <f>'02'!K15</f>
        <v>15142.857142857143</v>
      </c>
      <c r="E15" s="17">
        <f>'03'!K15</f>
        <v>15285.714285714286</v>
      </c>
      <c r="F15" s="17">
        <f>'04'!K15</f>
        <v>15285.714285714286</v>
      </c>
      <c r="G15" s="17">
        <f>'05'!K15</f>
        <v>15714.285714285714</v>
      </c>
      <c r="H15" s="17">
        <f>'06'!K15</f>
        <v>15714.285714285714</v>
      </c>
      <c r="I15" s="17">
        <f>'07'!K15</f>
        <v>15285.714285714286</v>
      </c>
      <c r="J15" s="17">
        <f>'08'!K15</f>
        <v>15285.714285714286</v>
      </c>
      <c r="K15" s="17">
        <f>'09'!K15</f>
        <v>15285.714285714286</v>
      </c>
      <c r="L15" s="17">
        <f>'10'!K15</f>
        <v>15285.714285714286</v>
      </c>
      <c r="M15" s="17">
        <f>'11'!K15</f>
        <v>15285.714285714286</v>
      </c>
      <c r="N15" s="17">
        <f>'12'!K15</f>
        <v>15285.714285714286</v>
      </c>
      <c r="O15" s="17">
        <f>'13'!K15</f>
        <v>15285.714285714286</v>
      </c>
      <c r="P15" s="17">
        <f>'14'!K15</f>
        <v>15142.857142857143</v>
      </c>
      <c r="Q15" s="17">
        <f>'15'!K15</f>
        <v>15142.857142857143</v>
      </c>
      <c r="R15" s="17">
        <f>'16'!K15</f>
        <v>15142.857142857143</v>
      </c>
      <c r="S15" s="17">
        <f>'17'!K15</f>
        <v>15285.714285714286</v>
      </c>
      <c r="T15" s="17">
        <f>'18'!K15</f>
        <v>15142.857142857143</v>
      </c>
      <c r="U15" s="17">
        <f>'19'!K15</f>
        <v>15142.857142857143</v>
      </c>
      <c r="V15" s="17">
        <f>'20'!K15</f>
        <v>15142.857142857143</v>
      </c>
      <c r="W15" s="17">
        <f>'21'!K15</f>
        <v>15142.857142857143</v>
      </c>
      <c r="X15" s="17">
        <f>'22'!K15</f>
        <v>15142.857142857143</v>
      </c>
      <c r="Y15" s="17">
        <f>'23'!K15</f>
        <v>15142.857142857143</v>
      </c>
      <c r="Z15" s="17">
        <f>'24'!K15</f>
        <v>15142.857142857143</v>
      </c>
      <c r="AA15" s="17">
        <f>'25'!K15</f>
        <v>15142.857142857143</v>
      </c>
      <c r="AB15" s="17">
        <f>'26'!K15</f>
        <v>15142.857142857143</v>
      </c>
      <c r="AC15" s="17">
        <f>'27'!K15</f>
        <v>15428.571428571429</v>
      </c>
      <c r="AD15" s="17">
        <f>'28'!K15</f>
        <v>15142.857142857143</v>
      </c>
      <c r="AE15" s="17">
        <f>'29'!K15</f>
        <v>15142.857142857143</v>
      </c>
      <c r="AF15" s="17">
        <f>'30'!K15</f>
        <v>15142.857142857143</v>
      </c>
      <c r="AG15" s="17">
        <f>'31'!K15</f>
        <v>15142.857142857143</v>
      </c>
      <c r="AH15" s="17"/>
      <c r="AI15" s="17">
        <f t="shared" si="0"/>
        <v>-142.85714285714312</v>
      </c>
      <c r="AJ15" s="132">
        <f t="shared" si="1"/>
        <v>15239.631336405535</v>
      </c>
    </row>
    <row r="16" spans="1:37" x14ac:dyDescent="0.25">
      <c r="A16" s="97"/>
      <c r="B16" s="20" t="s">
        <v>10</v>
      </c>
      <c r="C16" s="17">
        <f>'01'!K16</f>
        <v>0</v>
      </c>
      <c r="D16" s="17">
        <f>'02'!K16</f>
        <v>0</v>
      </c>
      <c r="E16" s="17">
        <f>'03'!K16</f>
        <v>0</v>
      </c>
      <c r="F16" s="17">
        <f>'04'!K16</f>
        <v>0</v>
      </c>
      <c r="G16" s="17">
        <f>'05'!K16</f>
        <v>0</v>
      </c>
      <c r="H16" s="17">
        <f>'06'!K16</f>
        <v>0</v>
      </c>
      <c r="I16" s="17">
        <f>'07'!K16</f>
        <v>0</v>
      </c>
      <c r="J16" s="17">
        <f>'08'!K16</f>
        <v>0</v>
      </c>
      <c r="K16" s="17">
        <f>'09'!K16</f>
        <v>0</v>
      </c>
      <c r="L16" s="17">
        <f>'10'!K16</f>
        <v>0</v>
      </c>
      <c r="M16" s="17">
        <f>'11'!K16</f>
        <v>0</v>
      </c>
      <c r="N16" s="17">
        <f>'12'!K16</f>
        <v>0</v>
      </c>
      <c r="O16" s="17">
        <f>'13'!K16</f>
        <v>0</v>
      </c>
      <c r="P16" s="17">
        <f>'14'!K16</f>
        <v>0</v>
      </c>
      <c r="Q16" s="17">
        <f>'15'!K16</f>
        <v>0</v>
      </c>
      <c r="R16" s="17">
        <f>'16'!K16</f>
        <v>0</v>
      </c>
      <c r="S16" s="17">
        <f>'17'!K16</f>
        <v>0</v>
      </c>
      <c r="T16" s="17">
        <f>'18'!K16</f>
        <v>0</v>
      </c>
      <c r="U16" s="17">
        <f>'19'!K16</f>
        <v>0</v>
      </c>
      <c r="V16" s="17">
        <f>'20'!K16</f>
        <v>0</v>
      </c>
      <c r="W16" s="17">
        <f>'21'!K16</f>
        <v>0</v>
      </c>
      <c r="X16" s="17">
        <f>'22'!K16</f>
        <v>0</v>
      </c>
      <c r="Y16" s="17">
        <f>'23'!K16</f>
        <v>0</v>
      </c>
      <c r="Z16" s="17">
        <f>'24'!K16</f>
        <v>0</v>
      </c>
      <c r="AA16" s="17">
        <f>'25'!K16</f>
        <v>0</v>
      </c>
      <c r="AB16" s="17">
        <f>'26'!K16</f>
        <v>0</v>
      </c>
      <c r="AC16" s="17">
        <f>'27'!K16</f>
        <v>0</v>
      </c>
      <c r="AD16" s="17">
        <f>'28'!K16</f>
        <v>0</v>
      </c>
      <c r="AE16" s="17">
        <f>'29'!K16</f>
        <v>0</v>
      </c>
      <c r="AF16" s="17">
        <f>'30'!K16</f>
        <v>0</v>
      </c>
      <c r="AG16" s="17">
        <f>'31'!K16</f>
        <v>0</v>
      </c>
      <c r="AH16" s="17"/>
      <c r="AI16" s="17">
        <f t="shared" si="0"/>
        <v>0</v>
      </c>
      <c r="AJ16" s="132">
        <f t="shared" si="1"/>
        <v>0</v>
      </c>
    </row>
    <row r="17" spans="1:36" x14ac:dyDescent="0.25">
      <c r="A17" s="98"/>
      <c r="B17" s="19" t="s">
        <v>11</v>
      </c>
      <c r="C17" s="17">
        <f>'01'!K17</f>
        <v>15000</v>
      </c>
      <c r="D17" s="17">
        <f>'02'!K17</f>
        <v>15000</v>
      </c>
      <c r="E17" s="17">
        <f>'03'!K17</f>
        <v>15000</v>
      </c>
      <c r="F17" s="17">
        <f>'04'!K17</f>
        <v>15000</v>
      </c>
      <c r="G17" s="17">
        <f>'05'!K17</f>
        <v>15285.714285714286</v>
      </c>
      <c r="H17" s="17">
        <f>'06'!K17</f>
        <v>15285.714285714286</v>
      </c>
      <c r="I17" s="17">
        <f>'07'!K17</f>
        <v>15000</v>
      </c>
      <c r="J17" s="17">
        <f>'08'!K17</f>
        <v>15000</v>
      </c>
      <c r="K17" s="17">
        <f>'09'!K17</f>
        <v>15000</v>
      </c>
      <c r="L17" s="17">
        <f>'10'!K17</f>
        <v>15000</v>
      </c>
      <c r="M17" s="17">
        <f>'11'!K17</f>
        <v>15000</v>
      </c>
      <c r="N17" s="17">
        <f>'12'!K17</f>
        <v>15000</v>
      </c>
      <c r="O17" s="17">
        <f>'13'!K17</f>
        <v>15000</v>
      </c>
      <c r="P17" s="17">
        <f>'14'!K17</f>
        <v>15000</v>
      </c>
      <c r="Q17" s="17">
        <f>'15'!K17</f>
        <v>15000</v>
      </c>
      <c r="R17" s="17">
        <f>'16'!K17</f>
        <v>15000</v>
      </c>
      <c r="S17" s="17">
        <f>'17'!K17</f>
        <v>15000</v>
      </c>
      <c r="T17" s="17">
        <f>'18'!K17</f>
        <v>15000</v>
      </c>
      <c r="U17" s="17">
        <f>'19'!K17</f>
        <v>15000</v>
      </c>
      <c r="V17" s="17">
        <f>'20'!K17</f>
        <v>15000</v>
      </c>
      <c r="W17" s="17">
        <f>'21'!K17</f>
        <v>15000</v>
      </c>
      <c r="X17" s="17">
        <f>'22'!K17</f>
        <v>15000</v>
      </c>
      <c r="Y17" s="17">
        <f>'23'!K17</f>
        <v>15000</v>
      </c>
      <c r="Z17" s="17">
        <f>'24'!K17</f>
        <v>15000</v>
      </c>
      <c r="AA17" s="17">
        <f>'25'!K17</f>
        <v>15000</v>
      </c>
      <c r="AB17" s="17">
        <f>'26'!K17</f>
        <v>15000</v>
      </c>
      <c r="AC17" s="17">
        <f>'27'!K17</f>
        <v>15142.857142857143</v>
      </c>
      <c r="AD17" s="17">
        <f>'28'!K17</f>
        <v>15000</v>
      </c>
      <c r="AE17" s="17">
        <f>'29'!K17</f>
        <v>15000</v>
      </c>
      <c r="AF17" s="17">
        <f>'30'!K17</f>
        <v>15000</v>
      </c>
      <c r="AG17" s="17">
        <f>'31'!K17</f>
        <v>15000</v>
      </c>
      <c r="AH17" s="17">
        <v>15500</v>
      </c>
      <c r="AI17" s="17">
        <f t="shared" si="0"/>
        <v>0</v>
      </c>
      <c r="AJ17" s="132">
        <f t="shared" si="1"/>
        <v>15023.041474654379</v>
      </c>
    </row>
    <row r="18" spans="1:36" x14ac:dyDescent="0.25">
      <c r="A18" s="99"/>
      <c r="B18" s="19" t="s">
        <v>108</v>
      </c>
      <c r="C18" s="17">
        <f>'01'!K18</f>
        <v>14000</v>
      </c>
      <c r="D18" s="17">
        <f>'02'!K18</f>
        <v>14000</v>
      </c>
      <c r="E18" s="17">
        <f>'03'!K18</f>
        <v>14000</v>
      </c>
      <c r="F18" s="17">
        <f>'04'!K18</f>
        <v>14000</v>
      </c>
      <c r="G18" s="17">
        <f>'05'!K18</f>
        <v>14000</v>
      </c>
      <c r="H18" s="17">
        <f>'06'!K18</f>
        <v>14000</v>
      </c>
      <c r="I18" s="17">
        <f>'07'!K18</f>
        <v>14000</v>
      </c>
      <c r="J18" s="17">
        <f>'08'!K18</f>
        <v>14000</v>
      </c>
      <c r="K18" s="17">
        <f>'09'!K18</f>
        <v>14000</v>
      </c>
      <c r="L18" s="17">
        <f>'10'!K18</f>
        <v>14000</v>
      </c>
      <c r="M18" s="17">
        <f>'11'!K18</f>
        <v>14000</v>
      </c>
      <c r="N18" s="17">
        <f>'12'!K18</f>
        <v>14000</v>
      </c>
      <c r="O18" s="17">
        <f>'13'!K18</f>
        <v>14000</v>
      </c>
      <c r="P18" s="17">
        <f>'14'!K18</f>
        <v>14000</v>
      </c>
      <c r="Q18" s="17">
        <f>'15'!K18</f>
        <v>14000</v>
      </c>
      <c r="R18" s="17">
        <f>'16'!K18</f>
        <v>14000</v>
      </c>
      <c r="S18" s="17">
        <f>'17'!K18</f>
        <v>14000</v>
      </c>
      <c r="T18" s="17">
        <f>'18'!K18</f>
        <v>14000</v>
      </c>
      <c r="U18" s="17">
        <f>'19'!K18</f>
        <v>14000</v>
      </c>
      <c r="V18" s="17">
        <f>'20'!K18</f>
        <v>14000</v>
      </c>
      <c r="W18" s="17">
        <f>'21'!K18</f>
        <v>14000</v>
      </c>
      <c r="X18" s="17">
        <f>'22'!K18</f>
        <v>14000</v>
      </c>
      <c r="Y18" s="17">
        <f>'23'!K18</f>
        <v>14000</v>
      </c>
      <c r="Z18" s="17">
        <f>'24'!K18</f>
        <v>14000</v>
      </c>
      <c r="AA18" s="17">
        <f>'25'!K18</f>
        <v>14000</v>
      </c>
      <c r="AB18" s="17">
        <f>'26'!K18</f>
        <v>14000</v>
      </c>
      <c r="AC18" s="17">
        <f>'27'!K18</f>
        <v>14000</v>
      </c>
      <c r="AD18" s="17">
        <f>'28'!K18</f>
        <v>14000</v>
      </c>
      <c r="AE18" s="17">
        <f>'29'!K18</f>
        <v>14000</v>
      </c>
      <c r="AF18" s="17">
        <f>'30'!K18</f>
        <v>14000</v>
      </c>
      <c r="AG18" s="17">
        <f>'31'!K18</f>
        <v>14000</v>
      </c>
      <c r="AH18" s="17">
        <v>14000</v>
      </c>
      <c r="AI18" s="17">
        <f t="shared" si="0"/>
        <v>0</v>
      </c>
      <c r="AJ18" s="132">
        <f t="shared" si="1"/>
        <v>14000</v>
      </c>
    </row>
    <row r="19" spans="1:36" x14ac:dyDescent="0.25">
      <c r="A19" s="97">
        <v>4</v>
      </c>
      <c r="B19" s="20" t="s">
        <v>12</v>
      </c>
      <c r="C19" s="17">
        <f>'01'!K19</f>
        <v>0</v>
      </c>
      <c r="D19" s="17">
        <f>'02'!K19</f>
        <v>0</v>
      </c>
      <c r="E19" s="17">
        <f>'03'!K19</f>
        <v>0</v>
      </c>
      <c r="F19" s="17">
        <f>'04'!K19</f>
        <v>0</v>
      </c>
      <c r="G19" s="17">
        <f>'05'!K19</f>
        <v>0</v>
      </c>
      <c r="H19" s="17">
        <f>'06'!K19</f>
        <v>0</v>
      </c>
      <c r="I19" s="17">
        <f>'07'!K19</f>
        <v>0</v>
      </c>
      <c r="J19" s="17">
        <f>'08'!K19</f>
        <v>0</v>
      </c>
      <c r="K19" s="17">
        <f>'09'!K19</f>
        <v>0</v>
      </c>
      <c r="L19" s="17">
        <f>'10'!K19</f>
        <v>0</v>
      </c>
      <c r="M19" s="17">
        <f>'11'!K19</f>
        <v>0</v>
      </c>
      <c r="N19" s="17">
        <f>'12'!K19</f>
        <v>0</v>
      </c>
      <c r="O19" s="17">
        <f>'13'!K19</f>
        <v>0</v>
      </c>
      <c r="P19" s="17">
        <f>'14'!K19</f>
        <v>0</v>
      </c>
      <c r="Q19" s="17">
        <f>'15'!K19</f>
        <v>0</v>
      </c>
      <c r="R19" s="17">
        <f>'16'!K19</f>
        <v>0</v>
      </c>
      <c r="S19" s="17">
        <f>'17'!K19</f>
        <v>0</v>
      </c>
      <c r="T19" s="17">
        <f>'18'!K19</f>
        <v>0</v>
      </c>
      <c r="U19" s="17">
        <f>'19'!K19</f>
        <v>0</v>
      </c>
      <c r="V19" s="17">
        <f>'20'!K19</f>
        <v>0</v>
      </c>
      <c r="W19" s="17">
        <f>'21'!K19</f>
        <v>0</v>
      </c>
      <c r="X19" s="17">
        <f>'22'!K19</f>
        <v>0</v>
      </c>
      <c r="Y19" s="17">
        <f>'23'!K19</f>
        <v>0</v>
      </c>
      <c r="Z19" s="17">
        <f>'24'!K19</f>
        <v>0</v>
      </c>
      <c r="AA19" s="17">
        <f>'25'!K19</f>
        <v>0</v>
      </c>
      <c r="AB19" s="17">
        <f>'26'!K19</f>
        <v>0</v>
      </c>
      <c r="AC19" s="17">
        <f>'27'!K19</f>
        <v>0</v>
      </c>
      <c r="AD19" s="17">
        <f>'28'!K19</f>
        <v>0</v>
      </c>
      <c r="AE19" s="17">
        <f>'29'!K19</f>
        <v>0</v>
      </c>
      <c r="AF19" s="17">
        <f>'30'!K19</f>
        <v>0</v>
      </c>
      <c r="AG19" s="17">
        <f>'31'!K19</f>
        <v>0</v>
      </c>
      <c r="AH19" s="17"/>
      <c r="AI19" s="17">
        <f t="shared" si="0"/>
        <v>0</v>
      </c>
      <c r="AJ19" s="132">
        <f t="shared" si="1"/>
        <v>0</v>
      </c>
    </row>
    <row r="20" spans="1:36" x14ac:dyDescent="0.25">
      <c r="A20" s="99"/>
      <c r="B20" s="19" t="s">
        <v>13</v>
      </c>
      <c r="C20" s="17">
        <f>'01'!K20</f>
        <v>21500</v>
      </c>
      <c r="D20" s="17">
        <f>'02'!K20</f>
        <v>21500</v>
      </c>
      <c r="E20" s="17">
        <f>'03'!K20</f>
        <v>21500</v>
      </c>
      <c r="F20" s="17">
        <f>'04'!K20</f>
        <v>21500</v>
      </c>
      <c r="G20" s="17">
        <f>'05'!K20</f>
        <v>21500</v>
      </c>
      <c r="H20" s="17">
        <f>'06'!K20</f>
        <v>21500</v>
      </c>
      <c r="I20" s="17">
        <f>'07'!K20</f>
        <v>21500</v>
      </c>
      <c r="J20" s="17">
        <f>'08'!K20</f>
        <v>21500</v>
      </c>
      <c r="K20" s="17">
        <f>'09'!K20</f>
        <v>21500</v>
      </c>
      <c r="L20" s="17">
        <f>'10'!K20</f>
        <v>21500</v>
      </c>
      <c r="M20" s="17">
        <f>'11'!K20</f>
        <v>21500</v>
      </c>
      <c r="N20" s="17">
        <f>'12'!K20</f>
        <v>21500</v>
      </c>
      <c r="O20" s="17">
        <f>'13'!K20</f>
        <v>21750</v>
      </c>
      <c r="P20" s="17">
        <f>'14'!K20</f>
        <v>21375</v>
      </c>
      <c r="Q20" s="17">
        <f>'15'!K20</f>
        <v>21375</v>
      </c>
      <c r="R20" s="17">
        <f>'16'!K20</f>
        <v>21375</v>
      </c>
      <c r="S20" s="17">
        <f>'17'!K20</f>
        <v>21500</v>
      </c>
      <c r="T20" s="17">
        <f>'18'!K20</f>
        <v>21375</v>
      </c>
      <c r="U20" s="17">
        <f>'19'!K20</f>
        <v>21375</v>
      </c>
      <c r="V20" s="17">
        <f>'20'!K20</f>
        <v>21125</v>
      </c>
      <c r="W20" s="17">
        <f>'21'!K20</f>
        <v>21375</v>
      </c>
      <c r="X20" s="17">
        <f>'22'!K20</f>
        <v>21375</v>
      </c>
      <c r="Y20" s="17">
        <f>'23'!K20</f>
        <v>21375</v>
      </c>
      <c r="Z20" s="17">
        <f>'24'!K20</f>
        <v>21375</v>
      </c>
      <c r="AA20" s="17">
        <f>'25'!K20</f>
        <v>21375</v>
      </c>
      <c r="AB20" s="17">
        <f>'26'!K20</f>
        <v>21375</v>
      </c>
      <c r="AC20" s="17">
        <f>'27'!K20</f>
        <v>21375</v>
      </c>
      <c r="AD20" s="17">
        <f>'28'!K20</f>
        <v>21375</v>
      </c>
      <c r="AE20" s="17">
        <f>'29'!K20</f>
        <v>21375</v>
      </c>
      <c r="AF20" s="17">
        <f>'30'!K20</f>
        <v>21375</v>
      </c>
      <c r="AG20" s="17">
        <f>'31'!K20</f>
        <v>21375</v>
      </c>
      <c r="AH20" s="17"/>
      <c r="AI20" s="17">
        <f t="shared" si="0"/>
        <v>-125</v>
      </c>
      <c r="AJ20" s="132">
        <f t="shared" si="1"/>
        <v>21431.451612903227</v>
      </c>
    </row>
    <row r="21" spans="1:36" x14ac:dyDescent="0.25">
      <c r="A21" s="97">
        <v>5</v>
      </c>
      <c r="B21" s="20" t="s">
        <v>14</v>
      </c>
      <c r="C21" s="17">
        <f>'01'!K21</f>
        <v>0</v>
      </c>
      <c r="D21" s="17">
        <f>'02'!K21</f>
        <v>0</v>
      </c>
      <c r="E21" s="17">
        <f>'03'!K21</f>
        <v>0</v>
      </c>
      <c r="F21" s="17">
        <f>'04'!K21</f>
        <v>0</v>
      </c>
      <c r="G21" s="17">
        <f>'05'!K21</f>
        <v>0</v>
      </c>
      <c r="H21" s="17">
        <f>'06'!K21</f>
        <v>0</v>
      </c>
      <c r="I21" s="17">
        <f>'07'!K21</f>
        <v>0</v>
      </c>
      <c r="J21" s="17">
        <f>'08'!K21</f>
        <v>0</v>
      </c>
      <c r="K21" s="17">
        <f>'09'!K21</f>
        <v>0</v>
      </c>
      <c r="L21" s="17">
        <f>'10'!K21</f>
        <v>0</v>
      </c>
      <c r="M21" s="17">
        <f>'11'!K21</f>
        <v>0</v>
      </c>
      <c r="N21" s="17">
        <f>'12'!K21</f>
        <v>0</v>
      </c>
      <c r="O21" s="17">
        <f>'13'!K21</f>
        <v>0</v>
      </c>
      <c r="P21" s="17">
        <f>'14'!K21</f>
        <v>0</v>
      </c>
      <c r="Q21" s="17">
        <f>'15'!K21</f>
        <v>0</v>
      </c>
      <c r="R21" s="17">
        <f>'16'!K21</f>
        <v>0</v>
      </c>
      <c r="S21" s="17">
        <f>'17'!K21</f>
        <v>0</v>
      </c>
      <c r="T21" s="17">
        <f>'18'!K21</f>
        <v>0</v>
      </c>
      <c r="U21" s="17">
        <f>'19'!K21</f>
        <v>0</v>
      </c>
      <c r="V21" s="17">
        <f>'20'!K21</f>
        <v>0</v>
      </c>
      <c r="W21" s="17">
        <f>'21'!K21</f>
        <v>0</v>
      </c>
      <c r="X21" s="17">
        <f>'22'!K21</f>
        <v>0</v>
      </c>
      <c r="Y21" s="17">
        <f>'23'!K21</f>
        <v>0</v>
      </c>
      <c r="Z21" s="17">
        <f>'24'!K21</f>
        <v>0</v>
      </c>
      <c r="AA21" s="17">
        <f>'25'!K21</f>
        <v>0</v>
      </c>
      <c r="AB21" s="17">
        <f>'26'!K21</f>
        <v>0</v>
      </c>
      <c r="AC21" s="17">
        <f>'27'!K21</f>
        <v>0</v>
      </c>
      <c r="AD21" s="17">
        <f>'28'!K21</f>
        <v>0</v>
      </c>
      <c r="AE21" s="17">
        <f>'29'!K21</f>
        <v>0</v>
      </c>
      <c r="AF21" s="17">
        <f>'30'!K21</f>
        <v>0</v>
      </c>
      <c r="AG21" s="17">
        <f>'31'!K21</f>
        <v>0</v>
      </c>
      <c r="AH21" s="17"/>
      <c r="AI21" s="17">
        <f t="shared" si="0"/>
        <v>0</v>
      </c>
      <c r="AJ21" s="132">
        <f t="shared" si="1"/>
        <v>0</v>
      </c>
    </row>
    <row r="22" spans="1:36" x14ac:dyDescent="0.25">
      <c r="A22" s="98"/>
      <c r="B22" s="19" t="s">
        <v>15</v>
      </c>
      <c r="C22" s="17">
        <f>'01'!K22</f>
        <v>120000</v>
      </c>
      <c r="D22" s="17">
        <f>'02'!K22</f>
        <v>120000</v>
      </c>
      <c r="E22" s="17">
        <f>'03'!K22</f>
        <v>120000</v>
      </c>
      <c r="F22" s="17">
        <f>'04'!K22</f>
        <v>120000</v>
      </c>
      <c r="G22" s="17">
        <f>'05'!K22</f>
        <v>119166.66666666667</v>
      </c>
      <c r="H22" s="17">
        <f>'06'!K22</f>
        <v>119166.66666666667</v>
      </c>
      <c r="I22" s="17">
        <f>'07'!K22</f>
        <v>120000</v>
      </c>
      <c r="J22" s="17">
        <f>'08'!K22</f>
        <v>120000</v>
      </c>
      <c r="K22" s="17">
        <f>'09'!K22</f>
        <v>120000</v>
      </c>
      <c r="L22" s="17">
        <f>'10'!K22</f>
        <v>120000</v>
      </c>
      <c r="M22" s="17">
        <f>'11'!K22</f>
        <v>120000</v>
      </c>
      <c r="N22" s="17">
        <f>'12'!K22</f>
        <v>120000</v>
      </c>
      <c r="O22" s="17">
        <f>'13'!K22</f>
        <v>120000</v>
      </c>
      <c r="P22" s="17">
        <f>'14'!K22</f>
        <v>120000</v>
      </c>
      <c r="Q22" s="17">
        <f>'15'!K22</f>
        <v>120000</v>
      </c>
      <c r="R22" s="17">
        <f>'16'!K22</f>
        <v>120000</v>
      </c>
      <c r="S22" s="17">
        <f>'17'!K22</f>
        <v>120000</v>
      </c>
      <c r="T22" s="17">
        <f>'18'!K22</f>
        <v>120000</v>
      </c>
      <c r="U22" s="17">
        <f>'19'!K22</f>
        <v>120000</v>
      </c>
      <c r="V22" s="17">
        <f>'20'!K22</f>
        <v>120000</v>
      </c>
      <c r="W22" s="17">
        <f>'21'!K22</f>
        <v>120000</v>
      </c>
      <c r="X22" s="17">
        <f>'22'!K22</f>
        <v>120000</v>
      </c>
      <c r="Y22" s="17">
        <f>'23'!K22</f>
        <v>120000</v>
      </c>
      <c r="Z22" s="17">
        <f>'24'!K22</f>
        <v>120000</v>
      </c>
      <c r="AA22" s="17">
        <f>'25'!K22</f>
        <v>120000</v>
      </c>
      <c r="AB22" s="17">
        <f>'26'!K22</f>
        <v>120000</v>
      </c>
      <c r="AC22" s="17">
        <f>'27'!K22</f>
        <v>120000</v>
      </c>
      <c r="AD22" s="17">
        <f>'28'!K22</f>
        <v>120000</v>
      </c>
      <c r="AE22" s="17">
        <f>'29'!K22</f>
        <v>120000</v>
      </c>
      <c r="AF22" s="17">
        <f>'30'!K22</f>
        <v>120000</v>
      </c>
      <c r="AG22" s="17">
        <f>'31'!K22</f>
        <v>120000</v>
      </c>
      <c r="AH22" s="17">
        <v>105000</v>
      </c>
      <c r="AI22" s="17">
        <f t="shared" si="0"/>
        <v>0</v>
      </c>
      <c r="AJ22" s="132">
        <f t="shared" si="1"/>
        <v>119946.23655913977</v>
      </c>
    </row>
    <row r="23" spans="1:36" x14ac:dyDescent="0.25">
      <c r="A23" s="98"/>
      <c r="B23" s="19" t="s">
        <v>16</v>
      </c>
      <c r="C23" s="17">
        <f>'01'!K23</f>
        <v>111428.57142857143</v>
      </c>
      <c r="D23" s="17">
        <f>'02'!K23</f>
        <v>110714.28571428571</v>
      </c>
      <c r="E23" s="17">
        <f>'03'!K23</f>
        <v>110714.28571428571</v>
      </c>
      <c r="F23" s="17">
        <f>'04'!K23</f>
        <v>110714.28571428571</v>
      </c>
      <c r="G23" s="17">
        <f>'05'!K23</f>
        <v>110714.28571428571</v>
      </c>
      <c r="H23" s="17">
        <f>'06'!K23</f>
        <v>110714.28571428571</v>
      </c>
      <c r="I23" s="17">
        <f>'07'!K23</f>
        <v>110714.28571428571</v>
      </c>
      <c r="J23" s="17">
        <f>'08'!K23</f>
        <v>110714.28571428571</v>
      </c>
      <c r="K23" s="17">
        <f>'09'!K23</f>
        <v>110714.28571428571</v>
      </c>
      <c r="L23" s="17">
        <f>'10'!K23</f>
        <v>110714.28571428571</v>
      </c>
      <c r="M23" s="17">
        <f>'11'!K23</f>
        <v>110714.28571428571</v>
      </c>
      <c r="N23" s="17">
        <f>'12'!K23</f>
        <v>110714.28571428571</v>
      </c>
      <c r="O23" s="17">
        <f>'13'!K23</f>
        <v>110714.28571428571</v>
      </c>
      <c r="P23" s="17">
        <f>'14'!K23</f>
        <v>110714.28571428571</v>
      </c>
      <c r="Q23" s="17">
        <f>'15'!K23</f>
        <v>110714.28571428571</v>
      </c>
      <c r="R23" s="17">
        <f>'16'!K23</f>
        <v>110714.28571428571</v>
      </c>
      <c r="S23" s="17">
        <f>'17'!K23</f>
        <v>110714.28571428571</v>
      </c>
      <c r="T23" s="17">
        <f>'18'!K23</f>
        <v>110714.28571428571</v>
      </c>
      <c r="U23" s="17">
        <f>'19'!K23</f>
        <v>110714.28571428571</v>
      </c>
      <c r="V23" s="17">
        <f>'20'!K23</f>
        <v>110714.28571428571</v>
      </c>
      <c r="W23" s="17">
        <f>'21'!K23</f>
        <v>110714.28571428571</v>
      </c>
      <c r="X23" s="17">
        <f>'22'!K23</f>
        <v>110714.28571428571</v>
      </c>
      <c r="Y23" s="17">
        <f>'23'!K23</f>
        <v>110714.28571428571</v>
      </c>
      <c r="Z23" s="17">
        <f>'24'!K23</f>
        <v>110714.28571428571</v>
      </c>
      <c r="AA23" s="17">
        <f>'25'!K23</f>
        <v>110714.28571428571</v>
      </c>
      <c r="AB23" s="17">
        <f>'26'!K23</f>
        <v>110714.28571428571</v>
      </c>
      <c r="AC23" s="17">
        <f>'27'!K23</f>
        <v>110714.28571428571</v>
      </c>
      <c r="AD23" s="17">
        <f>'28'!K23</f>
        <v>110714.28571428571</v>
      </c>
      <c r="AE23" s="17">
        <f>'29'!K23</f>
        <v>110714.28571428571</v>
      </c>
      <c r="AF23" s="17">
        <f>'30'!K23</f>
        <v>110714.28571428571</v>
      </c>
      <c r="AG23" s="17">
        <f>'31'!K23</f>
        <v>110714.28571428571</v>
      </c>
      <c r="AH23" s="17">
        <v>80000</v>
      </c>
      <c r="AI23" s="17">
        <f t="shared" si="0"/>
        <v>-714.28571428572468</v>
      </c>
      <c r="AJ23" s="132">
        <f t="shared" si="1"/>
        <v>110737.32718894017</v>
      </c>
    </row>
    <row r="24" spans="1:36" x14ac:dyDescent="0.25">
      <c r="A24" s="98"/>
      <c r="B24" s="19" t="s">
        <v>17</v>
      </c>
      <c r="C24" s="17">
        <f>'01'!K24</f>
        <v>100000</v>
      </c>
      <c r="D24" s="17">
        <f>'02'!K24</f>
        <v>99285.71428571429</v>
      </c>
      <c r="E24" s="17">
        <f>'03'!K24</f>
        <v>99285.71428571429</v>
      </c>
      <c r="F24" s="17">
        <f>'04'!K24</f>
        <v>99285.71428571429</v>
      </c>
      <c r="G24" s="17">
        <f>'05'!K24</f>
        <v>98571.428571428565</v>
      </c>
      <c r="H24" s="17">
        <f>'06'!K24</f>
        <v>98571.428571428565</v>
      </c>
      <c r="I24" s="17">
        <f>'07'!K24</f>
        <v>99285.71428571429</v>
      </c>
      <c r="J24" s="17">
        <f>'08'!K24</f>
        <v>99285.71428571429</v>
      </c>
      <c r="K24" s="17">
        <f>'09'!K24</f>
        <v>99285.71428571429</v>
      </c>
      <c r="L24" s="17">
        <f>'10'!K24</f>
        <v>99285.71428571429</v>
      </c>
      <c r="M24" s="17">
        <f>'11'!K24</f>
        <v>99285.71428571429</v>
      </c>
      <c r="N24" s="17">
        <f>'12'!K24</f>
        <v>99285.71428571429</v>
      </c>
      <c r="O24" s="17">
        <f>'13'!K24</f>
        <v>99285.71428571429</v>
      </c>
      <c r="P24" s="17">
        <f>'14'!K24</f>
        <v>99285.71428571429</v>
      </c>
      <c r="Q24" s="17">
        <f>'15'!K24</f>
        <v>99285.71428571429</v>
      </c>
      <c r="R24" s="17">
        <f>'16'!K24</f>
        <v>99285.71428571429</v>
      </c>
      <c r="S24" s="17">
        <f>'17'!K24</f>
        <v>99285.71428571429</v>
      </c>
      <c r="T24" s="17">
        <f>'18'!K24</f>
        <v>99285.71428571429</v>
      </c>
      <c r="U24" s="17">
        <f>'19'!K24</f>
        <v>98571.428571428565</v>
      </c>
      <c r="V24" s="17">
        <f>'20'!K24</f>
        <v>98571.428571428565</v>
      </c>
      <c r="W24" s="17">
        <f>'21'!K24</f>
        <v>98571.428571428565</v>
      </c>
      <c r="X24" s="17">
        <f>'22'!K24</f>
        <v>98571.428571428565</v>
      </c>
      <c r="Y24" s="17">
        <f>'23'!K24</f>
        <v>98571.428571428565</v>
      </c>
      <c r="Z24" s="17">
        <f>'24'!K24</f>
        <v>98571.428571428565</v>
      </c>
      <c r="AA24" s="17">
        <f>'25'!K24</f>
        <v>98571.428571428565</v>
      </c>
      <c r="AB24" s="17">
        <f>'26'!K24</f>
        <v>98571.428571428565</v>
      </c>
      <c r="AC24" s="17">
        <f>'27'!K24</f>
        <v>98571.428571428565</v>
      </c>
      <c r="AD24" s="17">
        <f>'28'!K24</f>
        <v>98571.428571428565</v>
      </c>
      <c r="AE24" s="17">
        <f>'29'!K24</f>
        <v>98571.428571428565</v>
      </c>
      <c r="AF24" s="17">
        <f>'30'!K24</f>
        <v>98571.428571428565</v>
      </c>
      <c r="AG24" s="17">
        <f>'31'!K24</f>
        <v>98571.428571428565</v>
      </c>
      <c r="AH24" s="17">
        <v>80000</v>
      </c>
      <c r="AI24" s="17">
        <f t="shared" si="0"/>
        <v>-1428.5714285714348</v>
      </c>
      <c r="AJ24" s="132">
        <f t="shared" si="1"/>
        <v>98963.133640553031</v>
      </c>
    </row>
    <row r="25" spans="1:36" x14ac:dyDescent="0.25">
      <c r="A25" s="99"/>
      <c r="B25" s="19" t="s">
        <v>18</v>
      </c>
      <c r="C25" s="17">
        <f>'01'!K25</f>
        <v>34571.428571428572</v>
      </c>
      <c r="D25" s="17">
        <f>'02'!K25</f>
        <v>34571.428571428572</v>
      </c>
      <c r="E25" s="17">
        <f>'03'!K25</f>
        <v>33857.142857142855</v>
      </c>
      <c r="F25" s="17">
        <f>'04'!K25</f>
        <v>33714.285714285717</v>
      </c>
      <c r="G25" s="17">
        <f>'05'!K25</f>
        <v>33714.285714285717</v>
      </c>
      <c r="H25" s="17">
        <f>'06'!K25</f>
        <v>33714.285714285717</v>
      </c>
      <c r="I25" s="17">
        <f>'07'!K25</f>
        <v>34000</v>
      </c>
      <c r="J25" s="17">
        <f>'08'!K25</f>
        <v>33714.285714285717</v>
      </c>
      <c r="K25" s="17">
        <f>'09'!K25</f>
        <v>34857.142857142855</v>
      </c>
      <c r="L25" s="17">
        <f>'10'!K25</f>
        <v>35142.857142857145</v>
      </c>
      <c r="M25" s="17">
        <f>'11'!K25</f>
        <v>35428.571428571428</v>
      </c>
      <c r="N25" s="17">
        <f>'12'!K25</f>
        <v>35714.285714285717</v>
      </c>
      <c r="O25" s="17">
        <f>'13'!K25</f>
        <v>35571.428571428572</v>
      </c>
      <c r="P25" s="17">
        <f>'14'!K25</f>
        <v>35714.285714285717</v>
      </c>
      <c r="Q25" s="17">
        <f>'15'!K25</f>
        <v>35571.428571428572</v>
      </c>
      <c r="R25" s="17">
        <f>'16'!K25</f>
        <v>35571.428571428572</v>
      </c>
      <c r="S25" s="17">
        <f>'17'!K25</f>
        <v>35714.285714285717</v>
      </c>
      <c r="T25" s="17">
        <f>'18'!K25</f>
        <v>35857.142857142855</v>
      </c>
      <c r="U25" s="17">
        <f>'19'!K25</f>
        <v>35714.285714285717</v>
      </c>
      <c r="V25" s="17">
        <f>'20'!K25</f>
        <v>35285.714285714283</v>
      </c>
      <c r="W25" s="17">
        <f>'21'!K25</f>
        <v>35285.714285714283</v>
      </c>
      <c r="X25" s="17">
        <f>'22'!K25</f>
        <v>35142.857142857145</v>
      </c>
      <c r="Y25" s="17">
        <f>'23'!K25</f>
        <v>35142.857142857145</v>
      </c>
      <c r="Z25" s="17">
        <f>'24'!K25</f>
        <v>35285.714285714283</v>
      </c>
      <c r="AA25" s="17">
        <f>'25'!K25</f>
        <v>35285.714285714283</v>
      </c>
      <c r="AB25" s="17">
        <f>'26'!K25</f>
        <v>35285.714285714283</v>
      </c>
      <c r="AC25" s="17">
        <f>'27'!K25</f>
        <v>35571.428571428572</v>
      </c>
      <c r="AD25" s="17">
        <f>'28'!K25</f>
        <v>35428.571428571428</v>
      </c>
      <c r="AE25" s="17">
        <f>'29'!K25</f>
        <v>35428.571428571428</v>
      </c>
      <c r="AF25" s="17">
        <f>'30'!K25</f>
        <v>35285.714285714283</v>
      </c>
      <c r="AG25" s="17">
        <f>'31'!K25</f>
        <v>35285.714285714283</v>
      </c>
      <c r="AH25" s="17">
        <v>36750</v>
      </c>
      <c r="AI25" s="17">
        <f t="shared" si="0"/>
        <v>714.28571428571013</v>
      </c>
      <c r="AJ25" s="132">
        <f t="shared" si="1"/>
        <v>35046.082949308759</v>
      </c>
    </row>
    <row r="26" spans="1:36" x14ac:dyDescent="0.25">
      <c r="A26" s="97">
        <v>6</v>
      </c>
      <c r="B26" s="20" t="s">
        <v>19</v>
      </c>
      <c r="C26" s="17">
        <f>'01'!K26</f>
        <v>0</v>
      </c>
      <c r="D26" s="17">
        <f>'02'!K26</f>
        <v>0</v>
      </c>
      <c r="E26" s="17">
        <f>'03'!K26</f>
        <v>0</v>
      </c>
      <c r="F26" s="17">
        <f>'04'!K26</f>
        <v>0</v>
      </c>
      <c r="G26" s="17">
        <f>'05'!K26</f>
        <v>0</v>
      </c>
      <c r="H26" s="17">
        <f>'06'!K26</f>
        <v>0</v>
      </c>
      <c r="I26" s="17">
        <f>'07'!K26</f>
        <v>0</v>
      </c>
      <c r="J26" s="17">
        <f>'08'!K26</f>
        <v>0</v>
      </c>
      <c r="K26" s="17">
        <f>'09'!K26</f>
        <v>0</v>
      </c>
      <c r="L26" s="17">
        <f>'10'!K26</f>
        <v>0</v>
      </c>
      <c r="M26" s="17">
        <f>'11'!K26</f>
        <v>0</v>
      </c>
      <c r="N26" s="17">
        <f>'12'!K26</f>
        <v>0</v>
      </c>
      <c r="O26" s="17">
        <f>'13'!K26</f>
        <v>0</v>
      </c>
      <c r="P26" s="17">
        <f>'14'!K26</f>
        <v>0</v>
      </c>
      <c r="Q26" s="17">
        <f>'15'!K26</f>
        <v>0</v>
      </c>
      <c r="R26" s="17">
        <f>'16'!K26</f>
        <v>0</v>
      </c>
      <c r="S26" s="17">
        <f>'17'!K26</f>
        <v>0</v>
      </c>
      <c r="T26" s="17">
        <f>'18'!K26</f>
        <v>0</v>
      </c>
      <c r="U26" s="17">
        <f>'19'!K26</f>
        <v>0</v>
      </c>
      <c r="V26" s="17">
        <f>'20'!K26</f>
        <v>0</v>
      </c>
      <c r="W26" s="17">
        <f>'21'!K26</f>
        <v>0</v>
      </c>
      <c r="X26" s="17">
        <f>'22'!K26</f>
        <v>0</v>
      </c>
      <c r="Y26" s="17">
        <f>'23'!K26</f>
        <v>0</v>
      </c>
      <c r="Z26" s="17">
        <f>'24'!K26</f>
        <v>0</v>
      </c>
      <c r="AA26" s="17">
        <f>'25'!K26</f>
        <v>0</v>
      </c>
      <c r="AB26" s="17">
        <f>'26'!K26</f>
        <v>0</v>
      </c>
      <c r="AC26" s="17">
        <f>'27'!K26</f>
        <v>0</v>
      </c>
      <c r="AD26" s="17">
        <f>'28'!K26</f>
        <v>0</v>
      </c>
      <c r="AE26" s="17">
        <f>'29'!K26</f>
        <v>0</v>
      </c>
      <c r="AF26" s="17">
        <f>'30'!K26</f>
        <v>0</v>
      </c>
      <c r="AG26" s="17">
        <f>'31'!K26</f>
        <v>0</v>
      </c>
      <c r="AH26" s="17"/>
      <c r="AI26" s="17">
        <f t="shared" si="0"/>
        <v>0</v>
      </c>
      <c r="AJ26" s="132">
        <f t="shared" si="1"/>
        <v>0</v>
      </c>
    </row>
    <row r="27" spans="1:36" x14ac:dyDescent="0.25">
      <c r="A27" s="98"/>
      <c r="B27" s="19" t="s">
        <v>20</v>
      </c>
      <c r="C27" s="17">
        <f>'01'!K27</f>
        <v>36000</v>
      </c>
      <c r="D27" s="17">
        <f>'02'!K27</f>
        <v>35166.666666666664</v>
      </c>
      <c r="E27" s="17">
        <f>'03'!K27</f>
        <v>36000</v>
      </c>
      <c r="F27" s="17">
        <f>'04'!K27</f>
        <v>36000</v>
      </c>
      <c r="G27" s="17">
        <f>'05'!K27</f>
        <v>36000</v>
      </c>
      <c r="H27" s="17">
        <f>'06'!K27</f>
        <v>36000</v>
      </c>
      <c r="I27" s="17">
        <f>'07'!K27</f>
        <v>36000</v>
      </c>
      <c r="J27" s="17">
        <f>'08'!K27</f>
        <v>36000</v>
      </c>
      <c r="K27" s="17">
        <f>'09'!K27</f>
        <v>36000</v>
      </c>
      <c r="L27" s="17">
        <f>'10'!K27</f>
        <v>36000</v>
      </c>
      <c r="M27" s="17">
        <f>'11'!K27</f>
        <v>36000</v>
      </c>
      <c r="N27" s="17">
        <f>'12'!K27</f>
        <v>36000</v>
      </c>
      <c r="O27" s="17">
        <f>'13'!K27</f>
        <v>36000</v>
      </c>
      <c r="P27" s="17">
        <f>'14'!K27</f>
        <v>36500</v>
      </c>
      <c r="Q27" s="17">
        <f>'15'!K27</f>
        <v>36500</v>
      </c>
      <c r="R27" s="17">
        <f>'16'!K27</f>
        <v>36500</v>
      </c>
      <c r="S27" s="17">
        <f>'17'!K27</f>
        <v>36000</v>
      </c>
      <c r="T27" s="17">
        <f>'18'!K27</f>
        <v>36500</v>
      </c>
      <c r="U27" s="17">
        <f>'19'!K27</f>
        <v>36500</v>
      </c>
      <c r="V27" s="17">
        <f>'20'!K27</f>
        <v>35666.666666666664</v>
      </c>
      <c r="W27" s="17">
        <f>'21'!K27</f>
        <v>35666.666666666664</v>
      </c>
      <c r="X27" s="17">
        <f>'22'!K27</f>
        <v>35666.666666666664</v>
      </c>
      <c r="Y27" s="17">
        <f>'23'!K27</f>
        <v>35666.666666666664</v>
      </c>
      <c r="Z27" s="17">
        <f>'24'!K27</f>
        <v>35666.666666666664</v>
      </c>
      <c r="AA27" s="17">
        <f>'25'!K27</f>
        <v>35666.666666666664</v>
      </c>
      <c r="AB27" s="17">
        <f>'26'!K27</f>
        <v>35666.666666666664</v>
      </c>
      <c r="AC27" s="17">
        <f>'27'!K27</f>
        <v>35666.666666666664</v>
      </c>
      <c r="AD27" s="17">
        <f>'28'!K27</f>
        <v>35666.666666666664</v>
      </c>
      <c r="AE27" s="17">
        <f>'29'!K27</f>
        <v>35666.666666666664</v>
      </c>
      <c r="AF27" s="17">
        <f>'30'!K27</f>
        <v>36500</v>
      </c>
      <c r="AG27" s="17">
        <f>'31'!K27</f>
        <v>36500</v>
      </c>
      <c r="AH27" s="17"/>
      <c r="AI27" s="17">
        <f t="shared" si="0"/>
        <v>500</v>
      </c>
      <c r="AJ27" s="132">
        <f t="shared" si="1"/>
        <v>35978.494623655904</v>
      </c>
    </row>
    <row r="28" spans="1:36" x14ac:dyDescent="0.25">
      <c r="A28" s="98"/>
      <c r="B28" s="19" t="s">
        <v>21</v>
      </c>
      <c r="C28" s="17">
        <f>'01'!K28</f>
        <v>26714.285714285714</v>
      </c>
      <c r="D28" s="17">
        <f>'02'!K28</f>
        <v>26428.571428571428</v>
      </c>
      <c r="E28" s="17">
        <f>'03'!K28</f>
        <v>26714.285714285714</v>
      </c>
      <c r="F28" s="17">
        <f>'04'!K28</f>
        <v>27000</v>
      </c>
      <c r="G28" s="17">
        <f>'05'!K28</f>
        <v>27000</v>
      </c>
      <c r="H28" s="17">
        <f>'06'!K28</f>
        <v>27000</v>
      </c>
      <c r="I28" s="17">
        <f>'07'!K28</f>
        <v>27000</v>
      </c>
      <c r="J28" s="17">
        <f>'08'!K28</f>
        <v>27000</v>
      </c>
      <c r="K28" s="17">
        <f>'09'!K28</f>
        <v>27000</v>
      </c>
      <c r="L28" s="17">
        <f>'10'!K28</f>
        <v>26714.285714285714</v>
      </c>
      <c r="M28" s="17">
        <f>'11'!K28</f>
        <v>26714.285714285714</v>
      </c>
      <c r="N28" s="17">
        <f>'12'!K28</f>
        <v>26714.285714285714</v>
      </c>
      <c r="O28" s="17">
        <f>'13'!K28</f>
        <v>26714.285714285714</v>
      </c>
      <c r="P28" s="17">
        <f>'14'!K28</f>
        <v>27142.857142857141</v>
      </c>
      <c r="Q28" s="17">
        <f>'15'!K28</f>
        <v>27142.857142857141</v>
      </c>
      <c r="R28" s="17">
        <f>'16'!K28</f>
        <v>27142.857142857141</v>
      </c>
      <c r="S28" s="17">
        <f>'17'!K28</f>
        <v>26714.285714285714</v>
      </c>
      <c r="T28" s="17">
        <f>'18'!K28</f>
        <v>27142.857142857141</v>
      </c>
      <c r="U28" s="17">
        <f>'19'!K28</f>
        <v>27142.857142857141</v>
      </c>
      <c r="V28" s="17">
        <f>'20'!K28</f>
        <v>27142.857142857141</v>
      </c>
      <c r="W28" s="17">
        <f>'21'!K28</f>
        <v>27142.857142857141</v>
      </c>
      <c r="X28" s="17">
        <f>'22'!K28</f>
        <v>27142.857142857141</v>
      </c>
      <c r="Y28" s="17">
        <f>'23'!K28</f>
        <v>27142.857142857141</v>
      </c>
      <c r="Z28" s="17">
        <f>'24'!K28</f>
        <v>27142.857142857141</v>
      </c>
      <c r="AA28" s="17">
        <f>'25'!K28</f>
        <v>27142.857142857141</v>
      </c>
      <c r="AB28" s="17">
        <f>'26'!K28</f>
        <v>27142.857142857141</v>
      </c>
      <c r="AC28" s="17">
        <f>'27'!K28</f>
        <v>27142.857142857141</v>
      </c>
      <c r="AD28" s="17">
        <f>'28'!K28</f>
        <v>27142.857142857141</v>
      </c>
      <c r="AE28" s="17">
        <f>'29'!K28</f>
        <v>27142.857142857141</v>
      </c>
      <c r="AF28" s="17">
        <f>'30'!K28</f>
        <v>27142.857142857141</v>
      </c>
      <c r="AG28" s="17">
        <f>'31'!K28</f>
        <v>27142.857142857141</v>
      </c>
      <c r="AH28" s="17"/>
      <c r="AI28" s="17">
        <f t="shared" si="0"/>
        <v>428.57142857142753</v>
      </c>
      <c r="AJ28" s="132">
        <f t="shared" si="1"/>
        <v>26995.391705069134</v>
      </c>
    </row>
    <row r="29" spans="1:36" x14ac:dyDescent="0.25">
      <c r="A29" s="98"/>
      <c r="B29" s="19" t="s">
        <v>22</v>
      </c>
      <c r="C29" s="17">
        <f>'01'!K29</f>
        <v>63285.714285714283</v>
      </c>
      <c r="D29" s="17">
        <f>'02'!K29</f>
        <v>63714.285714285717</v>
      </c>
      <c r="E29" s="17">
        <f>'03'!K29</f>
        <v>63285.714285714283</v>
      </c>
      <c r="F29" s="17">
        <f>'04'!K29</f>
        <v>64714.285714285717</v>
      </c>
      <c r="G29" s="17">
        <f>'05'!K29</f>
        <v>64714.285714285717</v>
      </c>
      <c r="H29" s="17">
        <f>'06'!K29</f>
        <v>64714.285714285717</v>
      </c>
      <c r="I29" s="17">
        <f>'07'!K29</f>
        <v>64714.285714285717</v>
      </c>
      <c r="J29" s="17">
        <f>'08'!K29</f>
        <v>63285.714285714283</v>
      </c>
      <c r="K29" s="17">
        <f>'09'!K29</f>
        <v>64714.285714285717</v>
      </c>
      <c r="L29" s="17">
        <f>'10'!K29</f>
        <v>64714.285714285717</v>
      </c>
      <c r="M29" s="17">
        <f>'11'!K29</f>
        <v>64714.285714285717</v>
      </c>
      <c r="N29" s="17">
        <f>'12'!K29</f>
        <v>64714.285714285717</v>
      </c>
      <c r="O29" s="17">
        <f>'13'!K29</f>
        <v>64714.285714285717</v>
      </c>
      <c r="P29" s="17">
        <f>'14'!K29</f>
        <v>64714.285714285717</v>
      </c>
      <c r="Q29" s="17">
        <f>'15'!K29</f>
        <v>64714.285714285717</v>
      </c>
      <c r="R29" s="17">
        <f>'16'!K29</f>
        <v>64714.285714285717</v>
      </c>
      <c r="S29" s="17">
        <f>'17'!K29</f>
        <v>64714.285714285717</v>
      </c>
      <c r="T29" s="17">
        <f>'18'!K29</f>
        <v>64000</v>
      </c>
      <c r="U29" s="17">
        <f>'19'!K29</f>
        <v>64000</v>
      </c>
      <c r="V29" s="17">
        <f>'20'!K29</f>
        <v>64714.285714285717</v>
      </c>
      <c r="W29" s="17">
        <f>'21'!K29</f>
        <v>64000</v>
      </c>
      <c r="X29" s="17">
        <f>'22'!K29</f>
        <v>64000</v>
      </c>
      <c r="Y29" s="17">
        <f>'23'!K29</f>
        <v>64000</v>
      </c>
      <c r="Z29" s="17">
        <f>'24'!K29</f>
        <v>64000</v>
      </c>
      <c r="AA29" s="17">
        <f>'25'!K29</f>
        <v>64000</v>
      </c>
      <c r="AB29" s="17">
        <f>'26'!K29</f>
        <v>64000</v>
      </c>
      <c r="AC29" s="17">
        <f>'27'!K29</f>
        <v>64000</v>
      </c>
      <c r="AD29" s="17">
        <f>'28'!K29</f>
        <v>64000</v>
      </c>
      <c r="AE29" s="17">
        <f>'29'!K29</f>
        <v>64000</v>
      </c>
      <c r="AF29" s="17">
        <f>'30'!K29</f>
        <v>64000</v>
      </c>
      <c r="AG29" s="17">
        <f>'31'!K29</f>
        <v>64000</v>
      </c>
      <c r="AH29" s="17"/>
      <c r="AI29" s="17">
        <f t="shared" si="0"/>
        <v>714.2857142857174</v>
      </c>
      <c r="AJ29" s="132">
        <f t="shared" si="1"/>
        <v>64244.239631336401</v>
      </c>
    </row>
    <row r="30" spans="1:36" x14ac:dyDescent="0.25">
      <c r="A30" s="98"/>
      <c r="B30" s="19" t="s">
        <v>23</v>
      </c>
      <c r="C30" s="17">
        <f>'01'!K30</f>
        <v>24000</v>
      </c>
      <c r="D30" s="17">
        <f>'02'!K30</f>
        <v>23400</v>
      </c>
      <c r="E30" s="17">
        <f>'03'!K30</f>
        <v>24000</v>
      </c>
      <c r="F30" s="17">
        <f>'04'!K30</f>
        <v>24000</v>
      </c>
      <c r="G30" s="17">
        <f>'05'!K30</f>
        <v>24000</v>
      </c>
      <c r="H30" s="17">
        <f>'06'!K30</f>
        <v>24000</v>
      </c>
      <c r="I30" s="17">
        <f>'07'!K30</f>
        <v>24000</v>
      </c>
      <c r="J30" s="17">
        <f>'08'!K30</f>
        <v>24000</v>
      </c>
      <c r="K30" s="17">
        <f>'09'!K30</f>
        <v>24000</v>
      </c>
      <c r="L30" s="17">
        <f>'10'!K30</f>
        <v>24000</v>
      </c>
      <c r="M30" s="17">
        <f>'11'!K30</f>
        <v>24000</v>
      </c>
      <c r="N30" s="17">
        <f>'12'!K30</f>
        <v>24000</v>
      </c>
      <c r="O30" s="17">
        <f>'13'!K30</f>
        <v>24000</v>
      </c>
      <c r="P30" s="17">
        <f>'14'!K30</f>
        <v>24000</v>
      </c>
      <c r="Q30" s="17">
        <f>'15'!K30</f>
        <v>24000</v>
      </c>
      <c r="R30" s="17">
        <f>'16'!K30</f>
        <v>24000</v>
      </c>
      <c r="S30" s="17">
        <f>'17'!K30</f>
        <v>24000</v>
      </c>
      <c r="T30" s="17">
        <f>'18'!K30</f>
        <v>24000</v>
      </c>
      <c r="U30" s="17">
        <f>'19'!K30</f>
        <v>24000</v>
      </c>
      <c r="V30" s="17">
        <f>'20'!K30</f>
        <v>24000</v>
      </c>
      <c r="W30" s="17">
        <f>'21'!K30</f>
        <v>24000</v>
      </c>
      <c r="X30" s="17">
        <f>'22'!K30</f>
        <v>24000</v>
      </c>
      <c r="Y30" s="17">
        <f>'23'!K30</f>
        <v>24000</v>
      </c>
      <c r="Z30" s="17">
        <f>'24'!K30</f>
        <v>24000</v>
      </c>
      <c r="AA30" s="17">
        <f>'25'!K30</f>
        <v>24000</v>
      </c>
      <c r="AB30" s="17">
        <f>'26'!K30</f>
        <v>24000</v>
      </c>
      <c r="AC30" s="17">
        <f>'27'!K30</f>
        <v>24000</v>
      </c>
      <c r="AD30" s="17">
        <f>'28'!K30</f>
        <v>24000</v>
      </c>
      <c r="AE30" s="17">
        <f>'29'!K30</f>
        <v>24000</v>
      </c>
      <c r="AF30" s="17">
        <f>'30'!K30</f>
        <v>24000</v>
      </c>
      <c r="AG30" s="17">
        <f>'31'!K30</f>
        <v>24000</v>
      </c>
      <c r="AH30" s="17"/>
      <c r="AI30" s="17">
        <f t="shared" si="0"/>
        <v>0</v>
      </c>
      <c r="AJ30" s="132">
        <f t="shared" si="1"/>
        <v>23980.645161290322</v>
      </c>
    </row>
    <row r="31" spans="1:36" x14ac:dyDescent="0.25">
      <c r="A31" s="98"/>
      <c r="B31" s="19" t="s">
        <v>24</v>
      </c>
      <c r="C31" s="17">
        <f>'01'!K31</f>
        <v>34000</v>
      </c>
      <c r="D31" s="17">
        <f>'02'!K31</f>
        <v>33714.285714285717</v>
      </c>
      <c r="E31" s="17">
        <f>'03'!K31</f>
        <v>34000</v>
      </c>
      <c r="F31" s="17">
        <f>'04'!K31</f>
        <v>34428.571428571428</v>
      </c>
      <c r="G31" s="17">
        <f>'05'!K31</f>
        <v>34428.571428571428</v>
      </c>
      <c r="H31" s="17">
        <f>'06'!K31</f>
        <v>34428.571428571428</v>
      </c>
      <c r="I31" s="17">
        <f>'07'!K31</f>
        <v>34428.571428571428</v>
      </c>
      <c r="J31" s="17">
        <f>'08'!K31</f>
        <v>34428.571428571428</v>
      </c>
      <c r="K31" s="17">
        <f>'09'!K31</f>
        <v>34428.571428571428</v>
      </c>
      <c r="L31" s="17">
        <f>'10'!K31</f>
        <v>34428.571428571428</v>
      </c>
      <c r="M31" s="17">
        <f>'11'!K31</f>
        <v>34428.571428571428</v>
      </c>
      <c r="N31" s="17">
        <f>'12'!K31</f>
        <v>34428.571428571428</v>
      </c>
      <c r="O31" s="17">
        <f>'13'!K31</f>
        <v>34428.571428571428</v>
      </c>
      <c r="P31" s="17">
        <f>'14'!K31</f>
        <v>35285.714285714283</v>
      </c>
      <c r="Q31" s="17">
        <f>'15'!K31</f>
        <v>35285.714285714283</v>
      </c>
      <c r="R31" s="17">
        <f>'16'!K31</f>
        <v>35285.714285714283</v>
      </c>
      <c r="S31" s="17">
        <f>'17'!K31</f>
        <v>35142.857142857145</v>
      </c>
      <c r="T31" s="17">
        <f>'18'!K31</f>
        <v>34571.428571428572</v>
      </c>
      <c r="U31" s="17">
        <f>'19'!K31</f>
        <v>35285.714285714283</v>
      </c>
      <c r="V31" s="17">
        <f>'20'!K31</f>
        <v>35285.714285714283</v>
      </c>
      <c r="W31" s="17">
        <f>'21'!K31</f>
        <v>34571.428571428572</v>
      </c>
      <c r="X31" s="17">
        <f>'22'!K31</f>
        <v>34571.428571428572</v>
      </c>
      <c r="Y31" s="17">
        <f>'23'!K31</f>
        <v>34571.428571428572</v>
      </c>
      <c r="Z31" s="17">
        <f>'24'!K31</f>
        <v>34571.428571428572</v>
      </c>
      <c r="AA31" s="17">
        <f>'25'!K31</f>
        <v>34571.428571428572</v>
      </c>
      <c r="AB31" s="17">
        <f>'26'!K31</f>
        <v>34571.428571428572</v>
      </c>
      <c r="AC31" s="17">
        <f>'27'!K31</f>
        <v>35000</v>
      </c>
      <c r="AD31" s="17">
        <f>'28'!K31</f>
        <v>34571.428571428572</v>
      </c>
      <c r="AE31" s="17">
        <f>'29'!K31</f>
        <v>34571.428571428572</v>
      </c>
      <c r="AF31" s="17">
        <f>'30'!K31</f>
        <v>34571.428571428572</v>
      </c>
      <c r="AG31" s="17">
        <f>'31'!K31</f>
        <v>34571.428571428572</v>
      </c>
      <c r="AH31" s="17"/>
      <c r="AI31" s="17">
        <f t="shared" si="0"/>
        <v>571.42857142857247</v>
      </c>
      <c r="AJ31" s="132">
        <f t="shared" si="1"/>
        <v>34608.294930875556</v>
      </c>
    </row>
    <row r="32" spans="1:36" x14ac:dyDescent="0.25">
      <c r="A32" s="99"/>
      <c r="B32" s="19" t="s">
        <v>25</v>
      </c>
      <c r="C32" s="17">
        <f>'01'!K32</f>
        <v>82500</v>
      </c>
      <c r="D32" s="17">
        <f>'02'!K32</f>
        <v>85000</v>
      </c>
      <c r="E32" s="17">
        <f>'03'!K32</f>
        <v>82500</v>
      </c>
      <c r="F32" s="17">
        <f>'04'!K32</f>
        <v>82500</v>
      </c>
      <c r="G32" s="17">
        <f>'05'!K32</f>
        <v>82500</v>
      </c>
      <c r="H32" s="17">
        <f>'06'!K32</f>
        <v>92500</v>
      </c>
      <c r="I32" s="17">
        <f>'07'!K32</f>
        <v>87500</v>
      </c>
      <c r="J32" s="17">
        <f>'08'!K32</f>
        <v>87500</v>
      </c>
      <c r="K32" s="17">
        <f>'09'!K32</f>
        <v>87500</v>
      </c>
      <c r="L32" s="17">
        <f>'10'!K32</f>
        <v>87500</v>
      </c>
      <c r="M32" s="17">
        <f>'11'!K32</f>
        <v>87500</v>
      </c>
      <c r="N32" s="17">
        <f>'12'!K32</f>
        <v>87500</v>
      </c>
      <c r="O32" s="17">
        <f>'13'!K32</f>
        <v>87500</v>
      </c>
      <c r="P32" s="17">
        <f>'14'!K32</f>
        <v>87500</v>
      </c>
      <c r="Q32" s="17">
        <f>'15'!K32</f>
        <v>87500</v>
      </c>
      <c r="R32" s="17">
        <f>'16'!K32</f>
        <v>87500</v>
      </c>
      <c r="S32" s="17">
        <f>'17'!K32</f>
        <v>87500</v>
      </c>
      <c r="T32" s="17">
        <f>'18'!K32</f>
        <v>87500</v>
      </c>
      <c r="U32" s="17">
        <f>'19'!K32</f>
        <v>87500</v>
      </c>
      <c r="V32" s="17">
        <f>'20'!K32</f>
        <v>87500</v>
      </c>
      <c r="W32" s="17">
        <f>'21'!K32</f>
        <v>87500</v>
      </c>
      <c r="X32" s="17">
        <f>'22'!K32</f>
        <v>87500</v>
      </c>
      <c r="Y32" s="17">
        <f>'23'!K32</f>
        <v>87500</v>
      </c>
      <c r="Z32" s="17">
        <f>'24'!K32</f>
        <v>87500</v>
      </c>
      <c r="AA32" s="17">
        <f>'25'!K32</f>
        <v>87500</v>
      </c>
      <c r="AB32" s="17">
        <f>'26'!K32</f>
        <v>87500</v>
      </c>
      <c r="AC32" s="17">
        <f>'27'!K32</f>
        <v>97500</v>
      </c>
      <c r="AD32" s="17">
        <f>'28'!K32</f>
        <v>87500</v>
      </c>
      <c r="AE32" s="17">
        <f>'29'!K32</f>
        <v>87500</v>
      </c>
      <c r="AF32" s="17">
        <f>'30'!K32</f>
        <v>87500</v>
      </c>
      <c r="AG32" s="17">
        <f>'31'!K32</f>
        <v>87500</v>
      </c>
      <c r="AH32" s="17"/>
      <c r="AI32" s="17">
        <f t="shared" si="0"/>
        <v>5000</v>
      </c>
      <c r="AJ32" s="132">
        <f t="shared" si="1"/>
        <v>87258.06451612903</v>
      </c>
    </row>
    <row r="33" spans="1:36" x14ac:dyDescent="0.25">
      <c r="A33" s="97">
        <v>7</v>
      </c>
      <c r="B33" s="20" t="s">
        <v>26</v>
      </c>
      <c r="C33" s="17">
        <f>'01'!K33</f>
        <v>0</v>
      </c>
      <c r="D33" s="17">
        <f>'02'!K33</f>
        <v>0</v>
      </c>
      <c r="E33" s="17">
        <f>'03'!K33</f>
        <v>0</v>
      </c>
      <c r="F33" s="17">
        <f>'04'!K33</f>
        <v>0</v>
      </c>
      <c r="G33" s="17">
        <f>'05'!K33</f>
        <v>0</v>
      </c>
      <c r="H33" s="17">
        <f>'06'!K33</f>
        <v>0</v>
      </c>
      <c r="I33" s="17">
        <f>'07'!K33</f>
        <v>0</v>
      </c>
      <c r="J33" s="17">
        <f>'08'!K33</f>
        <v>0</v>
      </c>
      <c r="K33" s="17">
        <f>'09'!K33</f>
        <v>0</v>
      </c>
      <c r="L33" s="17">
        <f>'10'!K33</f>
        <v>0</v>
      </c>
      <c r="M33" s="17">
        <f>'11'!K33</f>
        <v>0</v>
      </c>
      <c r="N33" s="17">
        <f>'12'!K33</f>
        <v>0</v>
      </c>
      <c r="O33" s="17">
        <f>'13'!K33</f>
        <v>0</v>
      </c>
      <c r="P33" s="17">
        <f>'14'!K33</f>
        <v>0</v>
      </c>
      <c r="Q33" s="17">
        <f>'15'!K33</f>
        <v>0</v>
      </c>
      <c r="R33" s="17">
        <f>'16'!K33</f>
        <v>0</v>
      </c>
      <c r="S33" s="17">
        <f>'17'!K33</f>
        <v>0</v>
      </c>
      <c r="T33" s="17">
        <f>'18'!K33</f>
        <v>0</v>
      </c>
      <c r="U33" s="17">
        <f>'19'!K33</f>
        <v>0</v>
      </c>
      <c r="V33" s="17">
        <f>'20'!K33</f>
        <v>0</v>
      </c>
      <c r="W33" s="17">
        <f>'21'!K33</f>
        <v>0</v>
      </c>
      <c r="X33" s="17">
        <f>'22'!K33</f>
        <v>0</v>
      </c>
      <c r="Y33" s="17">
        <f>'23'!K33</f>
        <v>0</v>
      </c>
      <c r="Z33" s="17">
        <f>'24'!K33</f>
        <v>0</v>
      </c>
      <c r="AA33" s="17">
        <f>'25'!K33</f>
        <v>0</v>
      </c>
      <c r="AB33" s="17">
        <f>'26'!K33</f>
        <v>0</v>
      </c>
      <c r="AC33" s="17">
        <f>'27'!K33</f>
        <v>0</v>
      </c>
      <c r="AD33" s="17">
        <f>'28'!K33</f>
        <v>0</v>
      </c>
      <c r="AE33" s="17">
        <f>'29'!K33</f>
        <v>0</v>
      </c>
      <c r="AF33" s="17">
        <f>'30'!K33</f>
        <v>0</v>
      </c>
      <c r="AG33" s="17">
        <f>'31'!K33</f>
        <v>0</v>
      </c>
      <c r="AH33" s="17"/>
      <c r="AI33" s="17">
        <f t="shared" si="0"/>
        <v>0</v>
      </c>
      <c r="AJ33" s="132">
        <f t="shared" si="1"/>
        <v>0</v>
      </c>
    </row>
    <row r="34" spans="1:36" x14ac:dyDescent="0.25">
      <c r="A34" s="98"/>
      <c r="B34" s="19" t="s">
        <v>99</v>
      </c>
      <c r="C34" s="17">
        <f>'01'!K34</f>
        <v>29428.571428571428</v>
      </c>
      <c r="D34" s="17">
        <f>'02'!K34</f>
        <v>29857.142857142859</v>
      </c>
      <c r="E34" s="17">
        <f>'03'!K34</f>
        <v>29857.142857142859</v>
      </c>
      <c r="F34" s="17">
        <f>'04'!K34</f>
        <v>29857.142857142859</v>
      </c>
      <c r="G34" s="17">
        <f>'05'!K34</f>
        <v>30000</v>
      </c>
      <c r="H34" s="17">
        <f>'06'!K34</f>
        <v>30000</v>
      </c>
      <c r="I34" s="17">
        <f>'07'!K34</f>
        <v>29571.428571428572</v>
      </c>
      <c r="J34" s="17">
        <f>'08'!K34</f>
        <v>29428.571428571428</v>
      </c>
      <c r="K34" s="17">
        <f>'09'!K34</f>
        <v>29571.428571428572</v>
      </c>
      <c r="L34" s="17">
        <f>'10'!K34</f>
        <v>29571.428571428572</v>
      </c>
      <c r="M34" s="17">
        <f>'11'!K34</f>
        <v>29285.714285714286</v>
      </c>
      <c r="N34" s="17">
        <f>'12'!K34</f>
        <v>29571.428571428572</v>
      </c>
      <c r="O34" s="17">
        <f>'13'!K34</f>
        <v>29857.142857142859</v>
      </c>
      <c r="P34" s="17">
        <f>'14'!K34</f>
        <v>29571.428571428572</v>
      </c>
      <c r="Q34" s="17">
        <f>'15'!K34</f>
        <v>29428.571428571428</v>
      </c>
      <c r="R34" s="17">
        <f>'16'!K34</f>
        <v>29142.857142857141</v>
      </c>
      <c r="S34" s="17">
        <f>'17'!K34</f>
        <v>29142.857142857141</v>
      </c>
      <c r="T34" s="17">
        <f>'18'!K34</f>
        <v>28785.714285714286</v>
      </c>
      <c r="U34" s="17">
        <f>'19'!K34</f>
        <v>28214.285714285714</v>
      </c>
      <c r="V34" s="17">
        <f>'20'!K34</f>
        <v>27857.142857142859</v>
      </c>
      <c r="W34" s="17">
        <f>'21'!K34</f>
        <v>27285.714285714286</v>
      </c>
      <c r="X34" s="17">
        <f>'22'!K34</f>
        <v>27285.714285714286</v>
      </c>
      <c r="Y34" s="17">
        <f>'23'!K34</f>
        <v>27000</v>
      </c>
      <c r="Z34" s="17">
        <f>'24'!K34</f>
        <v>27000</v>
      </c>
      <c r="AA34" s="17">
        <f>'25'!K34</f>
        <v>26857.142857142859</v>
      </c>
      <c r="AB34" s="17">
        <f>'26'!K34</f>
        <v>26857.142857142859</v>
      </c>
      <c r="AC34" s="17">
        <f>'27'!K34</f>
        <v>26857.142857142859</v>
      </c>
      <c r="AD34" s="17">
        <f>'28'!K34</f>
        <v>26571.428571428572</v>
      </c>
      <c r="AE34" s="17">
        <f>'29'!K34</f>
        <v>26285.714285714286</v>
      </c>
      <c r="AF34" s="17">
        <f>'30'!K34</f>
        <v>25857.142857142859</v>
      </c>
      <c r="AG34" s="17">
        <f>'31'!K34</f>
        <v>25428.571428571428</v>
      </c>
      <c r="AH34" s="17">
        <v>27000</v>
      </c>
      <c r="AI34" s="17">
        <f t="shared" si="0"/>
        <v>-4000</v>
      </c>
      <c r="AJ34" s="132">
        <f t="shared" si="1"/>
        <v>28428.571428571431</v>
      </c>
    </row>
    <row r="35" spans="1:36" x14ac:dyDescent="0.25">
      <c r="A35" s="99"/>
      <c r="B35" s="19" t="s">
        <v>28</v>
      </c>
      <c r="C35" s="17">
        <f>'01'!K35</f>
        <v>2785.7142857142858</v>
      </c>
      <c r="D35" s="17">
        <f>'02'!K35</f>
        <v>2714.2857142857142</v>
      </c>
      <c r="E35" s="17">
        <f>'03'!K35</f>
        <v>2785.7142857142858</v>
      </c>
      <c r="F35" s="17">
        <f>'04'!K35</f>
        <v>2785.7142857142858</v>
      </c>
      <c r="G35" s="17">
        <f>'05'!K35</f>
        <v>2785.7142857142858</v>
      </c>
      <c r="H35" s="17">
        <f>'06'!K35</f>
        <v>2785.7142857142858</v>
      </c>
      <c r="I35" s="17">
        <f>'07'!K35</f>
        <v>2714.2857142857142</v>
      </c>
      <c r="J35" s="17">
        <f>'08'!K35</f>
        <v>2714.2857142857142</v>
      </c>
      <c r="K35" s="17">
        <f>'09'!K35</f>
        <v>2714.2857142857142</v>
      </c>
      <c r="L35" s="17">
        <f>'10'!K35</f>
        <v>2714.2857142857142</v>
      </c>
      <c r="M35" s="17">
        <f>'11'!K35</f>
        <v>2714.2857142857142</v>
      </c>
      <c r="N35" s="17">
        <f>'12'!K35</f>
        <v>2714.2857142857142</v>
      </c>
      <c r="O35" s="17">
        <f>'13'!K35</f>
        <v>2714.2857142857142</v>
      </c>
      <c r="P35" s="17">
        <f>'14'!K35</f>
        <v>2714.2857142857142</v>
      </c>
      <c r="Q35" s="17">
        <f>'15'!K35</f>
        <v>2714.2857142857142</v>
      </c>
      <c r="R35" s="17">
        <f>'16'!K35</f>
        <v>2714.2857142857142</v>
      </c>
      <c r="S35" s="17">
        <f>'17'!K35</f>
        <v>2714.2857142857142</v>
      </c>
      <c r="T35" s="17">
        <f>'18'!K35</f>
        <v>2714.2857142857142</v>
      </c>
      <c r="U35" s="17">
        <f>'19'!K35</f>
        <v>2714.2857142857142</v>
      </c>
      <c r="V35" s="17">
        <f>'20'!K35</f>
        <v>2714.2857142857142</v>
      </c>
      <c r="W35" s="17">
        <f>'21'!K35</f>
        <v>2714.2857142857142</v>
      </c>
      <c r="X35" s="17">
        <f>'22'!K35</f>
        <v>2714.2857142857142</v>
      </c>
      <c r="Y35" s="17">
        <f>'23'!K35</f>
        <v>2714.2857142857142</v>
      </c>
      <c r="Z35" s="17">
        <f>'24'!K35</f>
        <v>2714.2857142857142</v>
      </c>
      <c r="AA35" s="17">
        <f>'25'!K35</f>
        <v>2714.2857142857142</v>
      </c>
      <c r="AB35" s="17">
        <f>'26'!K35</f>
        <v>2714.2857142857142</v>
      </c>
      <c r="AC35" s="17">
        <f>'27'!K35</f>
        <v>2714.2857142857142</v>
      </c>
      <c r="AD35" s="17">
        <f>'28'!K35</f>
        <v>2714.2857142857142</v>
      </c>
      <c r="AE35" s="17">
        <f>'29'!K35</f>
        <v>2714.2857142857142</v>
      </c>
      <c r="AF35" s="17">
        <f>'30'!K35</f>
        <v>2714.2857142857142</v>
      </c>
      <c r="AG35" s="17">
        <f>'31'!K35</f>
        <v>2714.2857142857142</v>
      </c>
      <c r="AH35" s="17"/>
      <c r="AI35" s="17">
        <f t="shared" si="0"/>
        <v>-71.428571428571558</v>
      </c>
      <c r="AJ35" s="132">
        <f t="shared" si="1"/>
        <v>2725.8064516129039</v>
      </c>
    </row>
    <row r="36" spans="1:36" x14ac:dyDescent="0.25">
      <c r="A36" s="30">
        <v>8</v>
      </c>
      <c r="B36" s="21" t="s">
        <v>117</v>
      </c>
      <c r="C36" s="17">
        <f>'01'!K36</f>
        <v>0</v>
      </c>
      <c r="D36" s="17">
        <f>'02'!K36</f>
        <v>0</v>
      </c>
      <c r="E36" s="17">
        <f>'03'!K36</f>
        <v>0</v>
      </c>
      <c r="F36" s="17">
        <f>'04'!K36</f>
        <v>0</v>
      </c>
      <c r="G36" s="17">
        <f>'05'!K36</f>
        <v>0</v>
      </c>
      <c r="H36" s="17">
        <f>'06'!K36</f>
        <v>0</v>
      </c>
      <c r="I36" s="17">
        <f>'07'!K36</f>
        <v>0</v>
      </c>
      <c r="J36" s="17">
        <f>'08'!K36</f>
        <v>0</v>
      </c>
      <c r="K36" s="17">
        <f>'09'!K36</f>
        <v>0</v>
      </c>
      <c r="L36" s="17">
        <f>'10'!K36</f>
        <v>0</v>
      </c>
      <c r="M36" s="17">
        <f>'11'!K36</f>
        <v>0</v>
      </c>
      <c r="N36" s="17">
        <f>'12'!K36</f>
        <v>0</v>
      </c>
      <c r="O36" s="17">
        <f>'13'!K36</f>
        <v>0</v>
      </c>
      <c r="P36" s="17">
        <f>'14'!K36</f>
        <v>0</v>
      </c>
      <c r="Q36" s="17">
        <f>'15'!K36</f>
        <v>0</v>
      </c>
      <c r="R36" s="17">
        <f>'16'!K36</f>
        <v>0</v>
      </c>
      <c r="S36" s="17">
        <f>'17'!K36</f>
        <v>0</v>
      </c>
      <c r="T36" s="17">
        <f>'18'!K36</f>
        <v>0</v>
      </c>
      <c r="U36" s="17">
        <f>'19'!K36</f>
        <v>0</v>
      </c>
      <c r="V36" s="17">
        <f>'20'!K36</f>
        <v>0</v>
      </c>
      <c r="W36" s="17">
        <f>'21'!K36</f>
        <v>0</v>
      </c>
      <c r="X36" s="17">
        <f>'22'!K36</f>
        <v>0</v>
      </c>
      <c r="Y36" s="17">
        <f>'23'!K36</f>
        <v>0</v>
      </c>
      <c r="Z36" s="17">
        <f>'24'!K36</f>
        <v>0</v>
      </c>
      <c r="AA36" s="17">
        <f>'25'!K36</f>
        <v>0</v>
      </c>
      <c r="AB36" s="17">
        <f>'26'!K36</f>
        <v>0</v>
      </c>
      <c r="AC36" s="17">
        <f>'27'!K36</f>
        <v>0</v>
      </c>
      <c r="AD36" s="17">
        <f>'28'!K36</f>
        <v>0</v>
      </c>
      <c r="AE36" s="17">
        <f>'29'!K36</f>
        <v>0</v>
      </c>
      <c r="AF36" s="17">
        <f>'30'!K36</f>
        <v>0</v>
      </c>
      <c r="AG36" s="17">
        <f>'31'!K36</f>
        <v>0</v>
      </c>
      <c r="AH36" s="17"/>
      <c r="AI36" s="17">
        <f t="shared" si="0"/>
        <v>0</v>
      </c>
      <c r="AJ36" s="132">
        <f t="shared" si="1"/>
        <v>0</v>
      </c>
    </row>
    <row r="37" spans="1:36" x14ac:dyDescent="0.25">
      <c r="A37" s="30"/>
      <c r="B37" s="22" t="s">
        <v>118</v>
      </c>
      <c r="C37" s="17">
        <f>'01'!K37</f>
        <v>10000</v>
      </c>
      <c r="D37" s="17">
        <f>'02'!K37</f>
        <v>10000</v>
      </c>
      <c r="E37" s="17">
        <f>'03'!K37</f>
        <v>10000</v>
      </c>
      <c r="F37" s="17">
        <f>'04'!K37</f>
        <v>10000</v>
      </c>
      <c r="G37" s="17">
        <f>'05'!K37</f>
        <v>10000</v>
      </c>
      <c r="H37" s="17">
        <f>'06'!K37</f>
        <v>10000</v>
      </c>
      <c r="I37" s="17">
        <f>'07'!K37</f>
        <v>10000</v>
      </c>
      <c r="J37" s="17">
        <f>'08'!K37</f>
        <v>10000</v>
      </c>
      <c r="K37" s="17">
        <f>'09'!K37</f>
        <v>10000</v>
      </c>
      <c r="L37" s="17">
        <f>'10'!K37</f>
        <v>10000</v>
      </c>
      <c r="M37" s="17">
        <f>'11'!K37</f>
        <v>9857.1428571428569</v>
      </c>
      <c r="N37" s="17">
        <f>'12'!K37</f>
        <v>9857.1428571428569</v>
      </c>
      <c r="O37" s="17">
        <f>'13'!K37</f>
        <v>9857.1428571428569</v>
      </c>
      <c r="P37" s="17">
        <f>'14'!K37</f>
        <v>9857.1428571428569</v>
      </c>
      <c r="Q37" s="17">
        <f>'15'!K37</f>
        <v>9857.1428571428569</v>
      </c>
      <c r="R37" s="17">
        <f>'16'!K37</f>
        <v>9857.1428571428569</v>
      </c>
      <c r="S37" s="17">
        <f>'17'!K37</f>
        <v>9857.1428571428569</v>
      </c>
      <c r="T37" s="17">
        <f>'18'!K37</f>
        <v>9857.1428571428569</v>
      </c>
      <c r="U37" s="17">
        <f>'19'!K37</f>
        <v>9857.1428571428569</v>
      </c>
      <c r="V37" s="17">
        <f>'20'!K37</f>
        <v>9857.1428571428569</v>
      </c>
      <c r="W37" s="17">
        <f>'21'!K37</f>
        <v>9857.1428571428569</v>
      </c>
      <c r="X37" s="17">
        <f>'22'!K37</f>
        <v>9857.1428571428569</v>
      </c>
      <c r="Y37" s="17">
        <f>'23'!K37</f>
        <v>9857.1428571428569</v>
      </c>
      <c r="Z37" s="17">
        <f>'24'!K37</f>
        <v>9857.1428571428569</v>
      </c>
      <c r="AA37" s="17">
        <f>'25'!K37</f>
        <v>9857.1428571428569</v>
      </c>
      <c r="AB37" s="17">
        <f>'26'!K37</f>
        <v>9857.1428571428569</v>
      </c>
      <c r="AC37" s="17">
        <f>'27'!K37</f>
        <v>9857.1428571428569</v>
      </c>
      <c r="AD37" s="17">
        <f>'28'!K37</f>
        <v>9857.1428571428569</v>
      </c>
      <c r="AE37" s="17">
        <f>'29'!K37</f>
        <v>9857.1428571428569</v>
      </c>
      <c r="AF37" s="17">
        <f>'30'!K37</f>
        <v>9857.1428571428569</v>
      </c>
      <c r="AG37" s="17">
        <f>'31'!K37</f>
        <v>9857.1428571428569</v>
      </c>
      <c r="AH37" s="17"/>
      <c r="AI37" s="17">
        <f t="shared" si="0"/>
        <v>-142.85714285714312</v>
      </c>
      <c r="AJ37" s="132">
        <f t="shared" si="1"/>
        <v>9903.2258064516154</v>
      </c>
    </row>
    <row r="38" spans="1:36" x14ac:dyDescent="0.25">
      <c r="A38" s="31"/>
      <c r="B38" s="22" t="s">
        <v>119</v>
      </c>
      <c r="C38" s="17">
        <f>'01'!K38</f>
        <v>12600</v>
      </c>
      <c r="D38" s="17">
        <f>'02'!K38</f>
        <v>13400</v>
      </c>
      <c r="E38" s="17">
        <f>'03'!K38</f>
        <v>12600</v>
      </c>
      <c r="F38" s="17">
        <f>'04'!K38</f>
        <v>12600</v>
      </c>
      <c r="G38" s="17">
        <f>'05'!K38</f>
        <v>12600</v>
      </c>
      <c r="H38" s="17">
        <f>'06'!K38</f>
        <v>12600</v>
      </c>
      <c r="I38" s="17">
        <f>'07'!K38</f>
        <v>12600</v>
      </c>
      <c r="J38" s="17">
        <f>'08'!K38</f>
        <v>12600</v>
      </c>
      <c r="K38" s="17">
        <f>'09'!K38</f>
        <v>12600</v>
      </c>
      <c r="L38" s="17">
        <f>'10'!K38</f>
        <v>12600</v>
      </c>
      <c r="M38" s="17">
        <f>'11'!K38</f>
        <v>13000</v>
      </c>
      <c r="N38" s="17">
        <f>'12'!K38</f>
        <v>12600</v>
      </c>
      <c r="O38" s="17">
        <f>'13'!K38</f>
        <v>12600</v>
      </c>
      <c r="P38" s="17">
        <f>'14'!K38</f>
        <v>12600</v>
      </c>
      <c r="Q38" s="17">
        <f>'15'!K38</f>
        <v>12600</v>
      </c>
      <c r="R38" s="17">
        <f>'16'!K38</f>
        <v>12600</v>
      </c>
      <c r="S38" s="17">
        <f>'17'!K38</f>
        <v>12600</v>
      </c>
      <c r="T38" s="17">
        <f>'18'!K38</f>
        <v>12600</v>
      </c>
      <c r="U38" s="17">
        <f>'19'!K38</f>
        <v>12600</v>
      </c>
      <c r="V38" s="17">
        <f>'20'!K38</f>
        <v>12600</v>
      </c>
      <c r="W38" s="17">
        <f>'21'!K38</f>
        <v>12600</v>
      </c>
      <c r="X38" s="17">
        <f>'22'!K38</f>
        <v>12600</v>
      </c>
      <c r="Y38" s="17">
        <f>'23'!K38</f>
        <v>12600</v>
      </c>
      <c r="Z38" s="17">
        <f>'24'!K38</f>
        <v>12600</v>
      </c>
      <c r="AA38" s="17">
        <f>'25'!K38</f>
        <v>12600</v>
      </c>
      <c r="AB38" s="17">
        <f>'26'!K38</f>
        <v>12600</v>
      </c>
      <c r="AC38" s="17">
        <f>'27'!K38</f>
        <v>12600</v>
      </c>
      <c r="AD38" s="17">
        <f>'28'!K38</f>
        <v>12600</v>
      </c>
      <c r="AE38" s="17">
        <f>'29'!K38</f>
        <v>12600</v>
      </c>
      <c r="AF38" s="17">
        <f>'30'!K38</f>
        <v>12600</v>
      </c>
      <c r="AG38" s="17">
        <f>'31'!K38</f>
        <v>12600</v>
      </c>
      <c r="AH38" s="17"/>
      <c r="AI38" s="17">
        <f t="shared" si="0"/>
        <v>0</v>
      </c>
      <c r="AJ38" s="132">
        <f t="shared" si="1"/>
        <v>12638.709677419354</v>
      </c>
    </row>
    <row r="39" spans="1:36" x14ac:dyDescent="0.25">
      <c r="A39" s="30">
        <v>9</v>
      </c>
      <c r="B39" s="21" t="s">
        <v>120</v>
      </c>
      <c r="C39" s="17">
        <f>'01'!K39</f>
        <v>0</v>
      </c>
      <c r="D39" s="17">
        <f>'02'!K39</f>
        <v>0</v>
      </c>
      <c r="E39" s="17">
        <f>'03'!K39</f>
        <v>0</v>
      </c>
      <c r="F39" s="17">
        <f>'04'!K39</f>
        <v>0</v>
      </c>
      <c r="G39" s="17">
        <f>'05'!K39</f>
        <v>0</v>
      </c>
      <c r="H39" s="17">
        <f>'06'!K39</f>
        <v>0</v>
      </c>
      <c r="I39" s="17">
        <f>'07'!K39</f>
        <v>0</v>
      </c>
      <c r="J39" s="17">
        <f>'08'!K39</f>
        <v>0</v>
      </c>
      <c r="K39" s="17">
        <f>'09'!K39</f>
        <v>0</v>
      </c>
      <c r="L39" s="17">
        <f>'10'!K39</f>
        <v>0</v>
      </c>
      <c r="M39" s="17">
        <f>'11'!K39</f>
        <v>0</v>
      </c>
      <c r="N39" s="17">
        <f>'12'!K39</f>
        <v>0</v>
      </c>
      <c r="O39" s="17">
        <f>'13'!K39</f>
        <v>0</v>
      </c>
      <c r="P39" s="17">
        <f>'14'!K39</f>
        <v>0</v>
      </c>
      <c r="Q39" s="17">
        <f>'15'!K39</f>
        <v>0</v>
      </c>
      <c r="R39" s="17">
        <f>'16'!K39</f>
        <v>0</v>
      </c>
      <c r="S39" s="17">
        <f>'17'!K39</f>
        <v>0</v>
      </c>
      <c r="T39" s="17">
        <f>'18'!K39</f>
        <v>0</v>
      </c>
      <c r="U39" s="17">
        <f>'19'!K39</f>
        <v>0</v>
      </c>
      <c r="V39" s="17">
        <f>'20'!K39</f>
        <v>0</v>
      </c>
      <c r="W39" s="17">
        <f>'21'!K39</f>
        <v>0</v>
      </c>
      <c r="X39" s="17">
        <f>'22'!K39</f>
        <v>0</v>
      </c>
      <c r="Y39" s="17">
        <f>'23'!K39</f>
        <v>0</v>
      </c>
      <c r="Z39" s="17">
        <f>'24'!K39</f>
        <v>0</v>
      </c>
      <c r="AA39" s="17">
        <f>'25'!K39</f>
        <v>0</v>
      </c>
      <c r="AB39" s="17">
        <f>'26'!K39</f>
        <v>0</v>
      </c>
      <c r="AC39" s="17">
        <f>'27'!K39</f>
        <v>0</v>
      </c>
      <c r="AD39" s="17">
        <f>'28'!K39</f>
        <v>0</v>
      </c>
      <c r="AE39" s="17">
        <f>'29'!K39</f>
        <v>0</v>
      </c>
      <c r="AF39" s="17">
        <f>'30'!K39</f>
        <v>0</v>
      </c>
      <c r="AG39" s="17">
        <f>'31'!K39</f>
        <v>0</v>
      </c>
      <c r="AH39" s="17"/>
      <c r="AI39" s="17">
        <f t="shared" si="0"/>
        <v>0</v>
      </c>
      <c r="AJ39" s="132">
        <f t="shared" si="1"/>
        <v>0</v>
      </c>
    </row>
    <row r="40" spans="1:36" x14ac:dyDescent="0.25">
      <c r="A40" s="30"/>
      <c r="B40" s="22" t="s">
        <v>121</v>
      </c>
      <c r="C40" s="17">
        <f>'01'!K40</f>
        <v>13000</v>
      </c>
      <c r="D40" s="17">
        <f>'02'!K40</f>
        <v>12750</v>
      </c>
      <c r="E40" s="17">
        <f>'03'!K40</f>
        <v>13000</v>
      </c>
      <c r="F40" s="17">
        <f>'04'!K40</f>
        <v>13000</v>
      </c>
      <c r="G40" s="17">
        <f>'05'!K40</f>
        <v>13000</v>
      </c>
      <c r="H40" s="17">
        <f>'06'!K40</f>
        <v>13000</v>
      </c>
      <c r="I40" s="17">
        <f>'07'!K40</f>
        <v>13000</v>
      </c>
      <c r="J40" s="17">
        <f>'08'!K40</f>
        <v>13000</v>
      </c>
      <c r="K40" s="17">
        <f>'09'!K40</f>
        <v>13000</v>
      </c>
      <c r="L40" s="17">
        <f>'10'!K40</f>
        <v>13000</v>
      </c>
      <c r="M40" s="17">
        <f>'11'!K40</f>
        <v>13000</v>
      </c>
      <c r="N40" s="17">
        <f>'12'!K40</f>
        <v>13000</v>
      </c>
      <c r="O40" s="17">
        <f>'13'!K40</f>
        <v>13000</v>
      </c>
      <c r="P40" s="17">
        <f>'14'!K40</f>
        <v>13000</v>
      </c>
      <c r="Q40" s="17">
        <f>'15'!K40</f>
        <v>13000</v>
      </c>
      <c r="R40" s="17">
        <f>'16'!K40</f>
        <v>13000</v>
      </c>
      <c r="S40" s="17">
        <f>'17'!K40</f>
        <v>13000</v>
      </c>
      <c r="T40" s="17">
        <f>'18'!K40</f>
        <v>13000</v>
      </c>
      <c r="U40" s="17">
        <f>'19'!K40</f>
        <v>13000</v>
      </c>
      <c r="V40" s="17">
        <f>'20'!K40</f>
        <v>13000</v>
      </c>
      <c r="W40" s="17">
        <f>'21'!K40</f>
        <v>13000</v>
      </c>
      <c r="X40" s="17">
        <f>'22'!K40</f>
        <v>13000</v>
      </c>
      <c r="Y40" s="17">
        <f>'23'!K40</f>
        <v>13000</v>
      </c>
      <c r="Z40" s="17">
        <f>'24'!K40</f>
        <v>13000</v>
      </c>
      <c r="AA40" s="17">
        <f>'25'!K40</f>
        <v>13000</v>
      </c>
      <c r="AB40" s="17">
        <f>'26'!K40</f>
        <v>13000</v>
      </c>
      <c r="AC40" s="17">
        <f>'27'!K40</f>
        <v>13000</v>
      </c>
      <c r="AD40" s="17">
        <f>'28'!K40</f>
        <v>13000</v>
      </c>
      <c r="AE40" s="17">
        <f>'29'!K40</f>
        <v>13000</v>
      </c>
      <c r="AF40" s="17">
        <f>'30'!K40</f>
        <v>13000</v>
      </c>
      <c r="AG40" s="17">
        <f>'31'!K40</f>
        <v>13000</v>
      </c>
      <c r="AH40" s="17"/>
      <c r="AI40" s="17">
        <f t="shared" si="0"/>
        <v>0</v>
      </c>
      <c r="AJ40" s="132">
        <f t="shared" si="1"/>
        <v>12991.935483870968</v>
      </c>
    </row>
    <row r="41" spans="1:36" x14ac:dyDescent="0.25">
      <c r="A41" s="30"/>
      <c r="B41" s="22" t="s">
        <v>122</v>
      </c>
      <c r="C41" s="17">
        <f>'01'!K41</f>
        <v>4250</v>
      </c>
      <c r="D41" s="17">
        <f>'02'!K41</f>
        <v>4250</v>
      </c>
      <c r="E41" s="17">
        <f>'03'!K41</f>
        <v>4250</v>
      </c>
      <c r="F41" s="17">
        <f>'04'!K41</f>
        <v>4250</v>
      </c>
      <c r="G41" s="17">
        <f>'05'!K41</f>
        <v>4250</v>
      </c>
      <c r="H41" s="17">
        <f>'06'!K41</f>
        <v>4250</v>
      </c>
      <c r="I41" s="17">
        <f>'07'!K41</f>
        <v>4250</v>
      </c>
      <c r="J41" s="17">
        <f>'08'!K41</f>
        <v>4250</v>
      </c>
      <c r="K41" s="17">
        <f>'09'!K41</f>
        <v>4250</v>
      </c>
      <c r="L41" s="17">
        <f>'10'!K41</f>
        <v>4250</v>
      </c>
      <c r="M41" s="17">
        <f>'11'!K41</f>
        <v>4250</v>
      </c>
      <c r="N41" s="17">
        <f>'12'!K41</f>
        <v>4250</v>
      </c>
      <c r="O41" s="17">
        <f>'13'!K41</f>
        <v>4250</v>
      </c>
      <c r="P41" s="17">
        <f>'14'!K41</f>
        <v>4250</v>
      </c>
      <c r="Q41" s="17">
        <f>'15'!K41</f>
        <v>4250</v>
      </c>
      <c r="R41" s="17">
        <f>'16'!K41</f>
        <v>4250</v>
      </c>
      <c r="S41" s="17">
        <f>'17'!K41</f>
        <v>4250</v>
      </c>
      <c r="T41" s="17">
        <f>'18'!K41</f>
        <v>4250</v>
      </c>
      <c r="U41" s="17">
        <f>'19'!K41</f>
        <v>4250</v>
      </c>
      <c r="V41" s="17">
        <f>'20'!K41</f>
        <v>4250</v>
      </c>
      <c r="W41" s="17">
        <f>'21'!K41</f>
        <v>4250</v>
      </c>
      <c r="X41" s="17">
        <f>'22'!K41</f>
        <v>4250</v>
      </c>
      <c r="Y41" s="17">
        <f>'23'!K41</f>
        <v>4250</v>
      </c>
      <c r="Z41" s="17">
        <f>'24'!K41</f>
        <v>4250</v>
      </c>
      <c r="AA41" s="17">
        <f>'25'!K41</f>
        <v>4250</v>
      </c>
      <c r="AB41" s="17">
        <f>'26'!K41</f>
        <v>4250</v>
      </c>
      <c r="AC41" s="17">
        <f>'27'!K41</f>
        <v>4250</v>
      </c>
      <c r="AD41" s="17">
        <f>'28'!K41</f>
        <v>4250</v>
      </c>
      <c r="AE41" s="17">
        <f>'29'!K41</f>
        <v>4250</v>
      </c>
      <c r="AF41" s="17">
        <f>'30'!K41</f>
        <v>4250</v>
      </c>
      <c r="AG41" s="17">
        <f>'31'!K41</f>
        <v>4250</v>
      </c>
      <c r="AH41" s="17"/>
      <c r="AI41" s="17">
        <f t="shared" si="0"/>
        <v>0</v>
      </c>
      <c r="AJ41" s="132">
        <f t="shared" si="1"/>
        <v>4250</v>
      </c>
    </row>
    <row r="42" spans="1:36" x14ac:dyDescent="0.25">
      <c r="A42" s="30"/>
      <c r="B42" s="22" t="s">
        <v>123</v>
      </c>
      <c r="C42" s="17">
        <f>'01'!K42</f>
        <v>2500</v>
      </c>
      <c r="D42" s="17">
        <f>'02'!K42</f>
        <v>2500</v>
      </c>
      <c r="E42" s="17">
        <f>'03'!K42</f>
        <v>2500</v>
      </c>
      <c r="F42" s="17">
        <f>'04'!K42</f>
        <v>2500</v>
      </c>
      <c r="G42" s="17">
        <f>'05'!K42</f>
        <v>2500</v>
      </c>
      <c r="H42" s="17">
        <f>'06'!K42</f>
        <v>2500</v>
      </c>
      <c r="I42" s="17">
        <f>'07'!K42</f>
        <v>2500</v>
      </c>
      <c r="J42" s="17">
        <f>'08'!K42</f>
        <v>2500</v>
      </c>
      <c r="K42" s="17">
        <f>'09'!K42</f>
        <v>2500</v>
      </c>
      <c r="L42" s="17">
        <f>'10'!K42</f>
        <v>2500</v>
      </c>
      <c r="M42" s="17">
        <f>'11'!K42</f>
        <v>6000</v>
      </c>
      <c r="N42" s="17">
        <f>'12'!K42</f>
        <v>2500</v>
      </c>
      <c r="O42" s="17">
        <f>'13'!K42</f>
        <v>2500</v>
      </c>
      <c r="P42" s="17">
        <f>'14'!K42</f>
        <v>2500</v>
      </c>
      <c r="Q42" s="17">
        <f>'15'!K42</f>
        <v>2500</v>
      </c>
      <c r="R42" s="17">
        <f>'16'!K42</f>
        <v>2500</v>
      </c>
      <c r="S42" s="17">
        <f>'17'!K42</f>
        <v>2500</v>
      </c>
      <c r="T42" s="17">
        <f>'18'!K42</f>
        <v>2500</v>
      </c>
      <c r="U42" s="17">
        <f>'19'!K42</f>
        <v>2500</v>
      </c>
      <c r="V42" s="17">
        <f>'20'!K42</f>
        <v>2500</v>
      </c>
      <c r="W42" s="17">
        <f>'21'!K42</f>
        <v>2500</v>
      </c>
      <c r="X42" s="17">
        <f>'22'!K42</f>
        <v>2500</v>
      </c>
      <c r="Y42" s="17">
        <f>'23'!K42</f>
        <v>2500</v>
      </c>
      <c r="Z42" s="17">
        <f>'24'!K42</f>
        <v>2500</v>
      </c>
      <c r="AA42" s="17">
        <f>'25'!K42</f>
        <v>2500</v>
      </c>
      <c r="AB42" s="17">
        <f>'26'!K42</f>
        <v>2500</v>
      </c>
      <c r="AC42" s="17">
        <f>'27'!K42</f>
        <v>2500</v>
      </c>
      <c r="AD42" s="17">
        <f>'28'!K42</f>
        <v>2500</v>
      </c>
      <c r="AE42" s="17">
        <f>'29'!K42</f>
        <v>2500</v>
      </c>
      <c r="AF42" s="17">
        <f>'30'!K42</f>
        <v>2500</v>
      </c>
      <c r="AG42" s="17">
        <f>'31'!K42</f>
        <v>2500</v>
      </c>
      <c r="AH42" s="17"/>
      <c r="AI42" s="17">
        <f t="shared" si="0"/>
        <v>0</v>
      </c>
      <c r="AJ42" s="132">
        <f t="shared" si="1"/>
        <v>2612.9032258064517</v>
      </c>
    </row>
    <row r="43" spans="1:36" x14ac:dyDescent="0.25">
      <c r="A43" s="97">
        <v>10</v>
      </c>
      <c r="B43" s="20" t="s">
        <v>30</v>
      </c>
      <c r="C43" s="17">
        <f>'01'!K43</f>
        <v>0</v>
      </c>
      <c r="D43" s="17">
        <f>'02'!K43</f>
        <v>0</v>
      </c>
      <c r="E43" s="17">
        <f>'03'!K43</f>
        <v>0</v>
      </c>
      <c r="F43" s="17">
        <f>'04'!K43</f>
        <v>0</v>
      </c>
      <c r="G43" s="17">
        <f>'05'!K43</f>
        <v>0</v>
      </c>
      <c r="H43" s="17">
        <f>'06'!K43</f>
        <v>0</v>
      </c>
      <c r="I43" s="17">
        <f>'07'!K43</f>
        <v>0</v>
      </c>
      <c r="J43" s="17">
        <f>'08'!K43</f>
        <v>0</v>
      </c>
      <c r="K43" s="17">
        <f>'09'!K43</f>
        <v>0</v>
      </c>
      <c r="L43" s="17">
        <f>'10'!K43</f>
        <v>0</v>
      </c>
      <c r="M43" s="17">
        <f>'11'!K43</f>
        <v>0</v>
      </c>
      <c r="N43" s="17">
        <f>'12'!K43</f>
        <v>0</v>
      </c>
      <c r="O43" s="17">
        <f>'13'!K43</f>
        <v>0</v>
      </c>
      <c r="P43" s="17">
        <f>'14'!K43</f>
        <v>0</v>
      </c>
      <c r="Q43" s="17">
        <f>'15'!K43</f>
        <v>0</v>
      </c>
      <c r="R43" s="17">
        <f>'16'!K43</f>
        <v>0</v>
      </c>
      <c r="S43" s="17">
        <f>'17'!K43</f>
        <v>0</v>
      </c>
      <c r="T43" s="17">
        <f>'18'!K43</f>
        <v>0</v>
      </c>
      <c r="U43" s="17">
        <f>'19'!K43</f>
        <v>0</v>
      </c>
      <c r="V43" s="17">
        <f>'20'!K43</f>
        <v>0</v>
      </c>
      <c r="W43" s="17">
        <f>'21'!K43</f>
        <v>0</v>
      </c>
      <c r="X43" s="17">
        <f>'22'!K43</f>
        <v>0</v>
      </c>
      <c r="Y43" s="17">
        <f>'23'!K43</f>
        <v>0</v>
      </c>
      <c r="Z43" s="17">
        <f>'24'!K43</f>
        <v>0</v>
      </c>
      <c r="AA43" s="17">
        <f>'25'!K43</f>
        <v>0</v>
      </c>
      <c r="AB43" s="17">
        <f>'26'!K43</f>
        <v>0</v>
      </c>
      <c r="AC43" s="17">
        <f>'27'!K43</f>
        <v>0</v>
      </c>
      <c r="AD43" s="17">
        <f>'28'!K43</f>
        <v>0</v>
      </c>
      <c r="AE43" s="17">
        <f>'29'!K43</f>
        <v>0</v>
      </c>
      <c r="AF43" s="17">
        <f>'30'!K43</f>
        <v>0</v>
      </c>
      <c r="AG43" s="17">
        <f>'31'!K43</f>
        <v>0</v>
      </c>
      <c r="AH43" s="17"/>
      <c r="AI43" s="17">
        <f t="shared" si="0"/>
        <v>0</v>
      </c>
      <c r="AJ43" s="132">
        <f t="shared" si="1"/>
        <v>0</v>
      </c>
    </row>
    <row r="44" spans="1:36" x14ac:dyDescent="0.25">
      <c r="A44" s="98"/>
      <c r="B44" s="19" t="s">
        <v>31</v>
      </c>
      <c r="C44" s="17">
        <f>'01'!K44</f>
        <v>12416.666666666666</v>
      </c>
      <c r="D44" s="17">
        <f>'02'!K44</f>
        <v>12416.666666666666</v>
      </c>
      <c r="E44" s="17">
        <f>'03'!K44</f>
        <v>12416.666666666666</v>
      </c>
      <c r="F44" s="17">
        <f>'04'!K44</f>
        <v>12416.666666666666</v>
      </c>
      <c r="G44" s="17">
        <f>'05'!K44</f>
        <v>12500</v>
      </c>
      <c r="H44" s="17">
        <f>'06'!K44</f>
        <v>12500</v>
      </c>
      <c r="I44" s="17">
        <f>'07'!K44</f>
        <v>12416.666666666666</v>
      </c>
      <c r="J44" s="17">
        <f>'08'!K44</f>
        <v>12333.333333333334</v>
      </c>
      <c r="K44" s="17">
        <f>'09'!K44</f>
        <v>12333.333333333334</v>
      </c>
      <c r="L44" s="17">
        <f>'10'!K44</f>
        <v>12333.333333333334</v>
      </c>
      <c r="M44" s="17">
        <f>'11'!K44</f>
        <v>12333.333333333334</v>
      </c>
      <c r="N44" s="17">
        <f>'12'!K44</f>
        <v>12333.333333333334</v>
      </c>
      <c r="O44" s="17">
        <f>'13'!K44</f>
        <v>12333.333333333334</v>
      </c>
      <c r="P44" s="17">
        <f>'14'!K44</f>
        <v>12333.333333333334</v>
      </c>
      <c r="Q44" s="17">
        <f>'15'!K44</f>
        <v>12333.333333333334</v>
      </c>
      <c r="R44" s="17">
        <f>'16'!K44</f>
        <v>12333.333333333334</v>
      </c>
      <c r="S44" s="17">
        <f>'17'!K44</f>
        <v>12416.666666666666</v>
      </c>
      <c r="T44" s="17">
        <f>'18'!K44</f>
        <v>12333.333333333334</v>
      </c>
      <c r="U44" s="17">
        <f>'19'!K44</f>
        <v>12333.333333333334</v>
      </c>
      <c r="V44" s="17">
        <f>'20'!K44</f>
        <v>12333.333333333334</v>
      </c>
      <c r="W44" s="17">
        <f>'21'!K44</f>
        <v>12333.333333333334</v>
      </c>
      <c r="X44" s="17">
        <f>'22'!K44</f>
        <v>12333.333333333334</v>
      </c>
      <c r="Y44" s="17">
        <f>'23'!K44</f>
        <v>12333.333333333334</v>
      </c>
      <c r="Z44" s="17">
        <f>'24'!K44</f>
        <v>12333.333333333334</v>
      </c>
      <c r="AA44" s="17">
        <f>'25'!K44</f>
        <v>12333.333333333334</v>
      </c>
      <c r="AB44" s="17">
        <f>'26'!K44</f>
        <v>12333.333333333334</v>
      </c>
      <c r="AC44" s="17">
        <f>'27'!K44</f>
        <v>12333.333333333334</v>
      </c>
      <c r="AD44" s="17">
        <f>'28'!K44</f>
        <v>12333.333333333334</v>
      </c>
      <c r="AE44" s="17">
        <f>'29'!K44</f>
        <v>12333.333333333334</v>
      </c>
      <c r="AF44" s="17">
        <f>'30'!K44</f>
        <v>12333.333333333334</v>
      </c>
      <c r="AG44" s="17">
        <f>'31'!K44</f>
        <v>12333.333333333334</v>
      </c>
      <c r="AH44" s="17"/>
      <c r="AI44" s="17">
        <f t="shared" si="0"/>
        <v>-83.333333333332121</v>
      </c>
      <c r="AJ44" s="132">
        <f t="shared" si="1"/>
        <v>12360.215053763437</v>
      </c>
    </row>
    <row r="45" spans="1:36" x14ac:dyDescent="0.25">
      <c r="A45" s="99"/>
      <c r="B45" s="19" t="s">
        <v>33</v>
      </c>
      <c r="C45" s="17">
        <f>'01'!K45</f>
        <v>12583.333333333334</v>
      </c>
      <c r="D45" s="17">
        <f>'02'!K45</f>
        <v>12583.333333333334</v>
      </c>
      <c r="E45" s="17">
        <f>'03'!K45</f>
        <v>12583.333333333334</v>
      </c>
      <c r="F45" s="17">
        <f>'04'!K45</f>
        <v>12583.333333333334</v>
      </c>
      <c r="G45" s="17">
        <f>'05'!K45</f>
        <v>12666.666666666666</v>
      </c>
      <c r="H45" s="17">
        <f>'06'!K45</f>
        <v>12666.666666666666</v>
      </c>
      <c r="I45" s="17">
        <f>'07'!K45</f>
        <v>12583.333333333334</v>
      </c>
      <c r="J45" s="17">
        <f>'08'!K45</f>
        <v>12500</v>
      </c>
      <c r="K45" s="17">
        <f>'09'!K45</f>
        <v>12500</v>
      </c>
      <c r="L45" s="17">
        <f>'10'!K45</f>
        <v>12500</v>
      </c>
      <c r="M45" s="17">
        <f>'11'!K45</f>
        <v>12500</v>
      </c>
      <c r="N45" s="17">
        <f>'12'!K45</f>
        <v>12666.666666666666</v>
      </c>
      <c r="O45" s="17">
        <f>'13'!K45</f>
        <v>12666.666666666666</v>
      </c>
      <c r="P45" s="17">
        <f>'14'!K45</f>
        <v>12500</v>
      </c>
      <c r="Q45" s="17">
        <f>'15'!K45</f>
        <v>12500</v>
      </c>
      <c r="R45" s="17">
        <f>'16'!K45</f>
        <v>12500</v>
      </c>
      <c r="S45" s="17">
        <f>'17'!K45</f>
        <v>12583.333333333334</v>
      </c>
      <c r="T45" s="17">
        <f>'18'!K45</f>
        <v>12500</v>
      </c>
      <c r="U45" s="17">
        <f>'19'!K45</f>
        <v>12500</v>
      </c>
      <c r="V45" s="17">
        <f>'20'!K45</f>
        <v>12500</v>
      </c>
      <c r="W45" s="17">
        <f>'21'!K45</f>
        <v>12500</v>
      </c>
      <c r="X45" s="17">
        <f>'22'!K45</f>
        <v>12500</v>
      </c>
      <c r="Y45" s="17">
        <f>'23'!K45</f>
        <v>12500</v>
      </c>
      <c r="Z45" s="17">
        <f>'24'!K45</f>
        <v>12500</v>
      </c>
      <c r="AA45" s="17">
        <f>'25'!K45</f>
        <v>12500</v>
      </c>
      <c r="AB45" s="17">
        <f>'26'!K45</f>
        <v>12500</v>
      </c>
      <c r="AC45" s="17">
        <f>'27'!K45</f>
        <v>12500</v>
      </c>
      <c r="AD45" s="17">
        <f>'28'!K45</f>
        <v>12500</v>
      </c>
      <c r="AE45" s="17">
        <f>'29'!K45</f>
        <v>12500</v>
      </c>
      <c r="AF45" s="17">
        <f>'30'!K45</f>
        <v>12500</v>
      </c>
      <c r="AG45" s="17">
        <f>'31'!K45</f>
        <v>12500</v>
      </c>
      <c r="AH45" s="17"/>
      <c r="AI45" s="17">
        <f t="shared" si="0"/>
        <v>-83.33333333333394</v>
      </c>
      <c r="AJ45" s="132">
        <f t="shared" si="1"/>
        <v>12537.634408602149</v>
      </c>
    </row>
    <row r="46" spans="1:36" x14ac:dyDescent="0.25">
      <c r="A46" s="97">
        <v>11</v>
      </c>
      <c r="B46" s="20" t="s">
        <v>34</v>
      </c>
      <c r="C46" s="17">
        <f>'01'!K46</f>
        <v>0</v>
      </c>
      <c r="D46" s="17">
        <f>'02'!K46</f>
        <v>0</v>
      </c>
      <c r="E46" s="17">
        <f>'03'!K46</f>
        <v>0</v>
      </c>
      <c r="F46" s="17">
        <f>'04'!K46</f>
        <v>0</v>
      </c>
      <c r="G46" s="17">
        <f>'05'!K46</f>
        <v>0</v>
      </c>
      <c r="H46" s="17">
        <f>'06'!K46</f>
        <v>0</v>
      </c>
      <c r="I46" s="17">
        <f>'07'!K46</f>
        <v>0</v>
      </c>
      <c r="J46" s="17">
        <f>'08'!K46</f>
        <v>0</v>
      </c>
      <c r="K46" s="17">
        <f>'09'!K46</f>
        <v>0</v>
      </c>
      <c r="L46" s="17">
        <f>'10'!K46</f>
        <v>0</v>
      </c>
      <c r="M46" s="17">
        <f>'11'!K46</f>
        <v>0</v>
      </c>
      <c r="N46" s="17">
        <f>'12'!K46</f>
        <v>0</v>
      </c>
      <c r="O46" s="17">
        <f>'13'!K46</f>
        <v>0</v>
      </c>
      <c r="P46" s="17">
        <f>'14'!K46</f>
        <v>0</v>
      </c>
      <c r="Q46" s="17">
        <f>'15'!K46</f>
        <v>0</v>
      </c>
      <c r="R46" s="17">
        <f>'16'!K46</f>
        <v>0</v>
      </c>
      <c r="S46" s="17">
        <f>'17'!K46</f>
        <v>0</v>
      </c>
      <c r="T46" s="17">
        <f>'18'!K46</f>
        <v>0</v>
      </c>
      <c r="U46" s="17">
        <f>'19'!K46</f>
        <v>0</v>
      </c>
      <c r="V46" s="17">
        <f>'20'!K46</f>
        <v>0</v>
      </c>
      <c r="W46" s="17">
        <f>'21'!K46</f>
        <v>0</v>
      </c>
      <c r="X46" s="17">
        <f>'22'!K46</f>
        <v>0</v>
      </c>
      <c r="Y46" s="17">
        <f>'23'!K46</f>
        <v>0</v>
      </c>
      <c r="Z46" s="17">
        <f>'24'!K46</f>
        <v>0</v>
      </c>
      <c r="AA46" s="17">
        <f>'25'!K46</f>
        <v>0</v>
      </c>
      <c r="AB46" s="17">
        <f>'26'!K46</f>
        <v>0</v>
      </c>
      <c r="AC46" s="17">
        <f>'27'!K46</f>
        <v>0</v>
      </c>
      <c r="AD46" s="17">
        <f>'28'!K46</f>
        <v>0</v>
      </c>
      <c r="AE46" s="17">
        <f>'29'!K46</f>
        <v>0</v>
      </c>
      <c r="AF46" s="17">
        <f>'30'!K46</f>
        <v>0</v>
      </c>
      <c r="AG46" s="17">
        <f>'31'!K46</f>
        <v>0</v>
      </c>
      <c r="AH46" s="17"/>
      <c r="AI46" s="17">
        <f t="shared" si="0"/>
        <v>0</v>
      </c>
      <c r="AJ46" s="132">
        <f t="shared" si="1"/>
        <v>0</v>
      </c>
    </row>
    <row r="47" spans="1:36" x14ac:dyDescent="0.25">
      <c r="A47" s="98"/>
      <c r="B47" s="19" t="s">
        <v>35</v>
      </c>
      <c r="C47" s="17">
        <f>'01'!K47</f>
        <v>17500</v>
      </c>
      <c r="D47" s="17">
        <f>'02'!K47</f>
        <v>17500</v>
      </c>
      <c r="E47" s="17">
        <f>'03'!K47</f>
        <v>17500</v>
      </c>
      <c r="F47" s="17">
        <f>'04'!K47</f>
        <v>17500</v>
      </c>
      <c r="G47" s="17">
        <f>'05'!K47</f>
        <v>17500</v>
      </c>
      <c r="H47" s="17">
        <f>'06'!K47</f>
        <v>17500</v>
      </c>
      <c r="I47" s="17">
        <f>'07'!K47</f>
        <v>17500</v>
      </c>
      <c r="J47" s="17">
        <f>'08'!K47</f>
        <v>17500</v>
      </c>
      <c r="K47" s="17">
        <f>'09'!K47</f>
        <v>17500</v>
      </c>
      <c r="L47" s="17">
        <f>'10'!K47</f>
        <v>17500</v>
      </c>
      <c r="M47" s="17">
        <f>'11'!K47</f>
        <v>17500</v>
      </c>
      <c r="N47" s="17">
        <f>'12'!K47</f>
        <v>17500</v>
      </c>
      <c r="O47" s="17">
        <f>'13'!K47</f>
        <v>17500</v>
      </c>
      <c r="P47" s="17">
        <f>'14'!K47</f>
        <v>17500</v>
      </c>
      <c r="Q47" s="17">
        <f>'15'!K47</f>
        <v>17500</v>
      </c>
      <c r="R47" s="17">
        <f>'16'!K47</f>
        <v>17500</v>
      </c>
      <c r="S47" s="17">
        <f>'17'!K47</f>
        <v>17500</v>
      </c>
      <c r="T47" s="17">
        <f>'18'!K47</f>
        <v>17500</v>
      </c>
      <c r="U47" s="17">
        <f>'19'!K47</f>
        <v>17500</v>
      </c>
      <c r="V47" s="17">
        <f>'20'!K47</f>
        <v>17500</v>
      </c>
      <c r="W47" s="17">
        <f>'21'!K47</f>
        <v>17500</v>
      </c>
      <c r="X47" s="17">
        <f>'22'!K47</f>
        <v>17500</v>
      </c>
      <c r="Y47" s="17">
        <f>'23'!K47</f>
        <v>17500</v>
      </c>
      <c r="Z47" s="17">
        <f>'24'!K47</f>
        <v>17500</v>
      </c>
      <c r="AA47" s="17">
        <f>'25'!K47</f>
        <v>17500</v>
      </c>
      <c r="AB47" s="17">
        <f>'26'!K47</f>
        <v>17500</v>
      </c>
      <c r="AC47" s="17">
        <f>'27'!K47</f>
        <v>17500</v>
      </c>
      <c r="AD47" s="17">
        <f>'28'!K47</f>
        <v>17500</v>
      </c>
      <c r="AE47" s="17">
        <f>'29'!K47</f>
        <v>17500</v>
      </c>
      <c r="AF47" s="17">
        <f>'30'!K47</f>
        <v>17500</v>
      </c>
      <c r="AG47" s="17">
        <f>'31'!K47</f>
        <v>17500</v>
      </c>
      <c r="AH47" s="17"/>
      <c r="AI47" s="17">
        <f t="shared" si="0"/>
        <v>0</v>
      </c>
      <c r="AJ47" s="132">
        <f t="shared" si="1"/>
        <v>17500</v>
      </c>
    </row>
    <row r="48" spans="1:36" x14ac:dyDescent="0.25">
      <c r="A48" s="99"/>
      <c r="B48" s="19" t="s">
        <v>37</v>
      </c>
      <c r="C48" s="17">
        <f>'01'!K48</f>
        <v>2000</v>
      </c>
      <c r="D48" s="17">
        <f>'02'!K48</f>
        <v>2000</v>
      </c>
      <c r="E48" s="17">
        <f>'03'!K48</f>
        <v>2000</v>
      </c>
      <c r="F48" s="17">
        <f>'04'!K48</f>
        <v>2000</v>
      </c>
      <c r="G48" s="17">
        <f>'05'!K48</f>
        <v>2000</v>
      </c>
      <c r="H48" s="17">
        <f>'06'!K48</f>
        <v>2000</v>
      </c>
      <c r="I48" s="17">
        <f>'07'!K48</f>
        <v>2000</v>
      </c>
      <c r="J48" s="17">
        <f>'08'!K48</f>
        <v>2000</v>
      </c>
      <c r="K48" s="17">
        <f>'09'!K48</f>
        <v>2000</v>
      </c>
      <c r="L48" s="17">
        <f>'10'!K48</f>
        <v>2000</v>
      </c>
      <c r="M48" s="17">
        <f>'11'!K48</f>
        <v>2000</v>
      </c>
      <c r="N48" s="17">
        <f>'12'!K48</f>
        <v>2000</v>
      </c>
      <c r="O48" s="17">
        <f>'13'!K48</f>
        <v>2000</v>
      </c>
      <c r="P48" s="17">
        <f>'14'!K48</f>
        <v>2000</v>
      </c>
      <c r="Q48" s="17">
        <f>'15'!K48</f>
        <v>2000</v>
      </c>
      <c r="R48" s="17">
        <f>'16'!K48</f>
        <v>2000</v>
      </c>
      <c r="S48" s="17">
        <f>'17'!K48</f>
        <v>2000</v>
      </c>
      <c r="T48" s="17">
        <f>'18'!K48</f>
        <v>2000</v>
      </c>
      <c r="U48" s="17">
        <f>'19'!K48</f>
        <v>2000</v>
      </c>
      <c r="V48" s="17">
        <f>'20'!K48</f>
        <v>2000</v>
      </c>
      <c r="W48" s="17">
        <f>'21'!K48</f>
        <v>2000</v>
      </c>
      <c r="X48" s="17">
        <f>'22'!K48</f>
        <v>2000</v>
      </c>
      <c r="Y48" s="17">
        <f>'23'!K48</f>
        <v>2000</v>
      </c>
      <c r="Z48" s="17">
        <f>'24'!K48</f>
        <v>2000</v>
      </c>
      <c r="AA48" s="17">
        <f>'25'!K48</f>
        <v>2000</v>
      </c>
      <c r="AB48" s="17">
        <f>'26'!K48</f>
        <v>2000</v>
      </c>
      <c r="AC48" s="17">
        <f>'27'!K48</f>
        <v>2000</v>
      </c>
      <c r="AD48" s="17">
        <f>'28'!K48</f>
        <v>2000</v>
      </c>
      <c r="AE48" s="17">
        <f>'29'!K48</f>
        <v>2000</v>
      </c>
      <c r="AF48" s="17">
        <f>'30'!K48</f>
        <v>2000</v>
      </c>
      <c r="AG48" s="17">
        <f>'31'!K48</f>
        <v>2000</v>
      </c>
      <c r="AH48" s="17"/>
      <c r="AI48" s="17">
        <f t="shared" si="0"/>
        <v>0</v>
      </c>
      <c r="AJ48" s="132">
        <f t="shared" si="1"/>
        <v>2000</v>
      </c>
    </row>
    <row r="49" spans="1:36" x14ac:dyDescent="0.25">
      <c r="A49" s="28">
        <v>12</v>
      </c>
      <c r="B49" s="23" t="s">
        <v>39</v>
      </c>
      <c r="C49" s="17">
        <f>'01'!K49</f>
        <v>0</v>
      </c>
      <c r="D49" s="17">
        <f>'02'!K49</f>
        <v>0</v>
      </c>
      <c r="E49" s="17">
        <f>'03'!K49</f>
        <v>0</v>
      </c>
      <c r="F49" s="17">
        <f>'04'!K49</f>
        <v>0</v>
      </c>
      <c r="G49" s="17">
        <f>'05'!K49</f>
        <v>0</v>
      </c>
      <c r="H49" s="17">
        <f>'06'!K49</f>
        <v>0</v>
      </c>
      <c r="I49" s="17">
        <f>'07'!K49</f>
        <v>0</v>
      </c>
      <c r="J49" s="17">
        <f>'08'!K49</f>
        <v>0</v>
      </c>
      <c r="K49" s="17">
        <f>'09'!K49</f>
        <v>0</v>
      </c>
      <c r="L49" s="17">
        <f>'10'!K49</f>
        <v>0</v>
      </c>
      <c r="M49" s="17">
        <f>'11'!K49</f>
        <v>0</v>
      </c>
      <c r="N49" s="17">
        <f>'12'!K49</f>
        <v>0</v>
      </c>
      <c r="O49" s="17">
        <f>'13'!K49</f>
        <v>0</v>
      </c>
      <c r="P49" s="17">
        <f>'14'!K49</f>
        <v>0</v>
      </c>
      <c r="Q49" s="17">
        <f>'15'!K49</f>
        <v>0</v>
      </c>
      <c r="R49" s="17">
        <f>'16'!K49</f>
        <v>0</v>
      </c>
      <c r="S49" s="17">
        <f>'17'!K49</f>
        <v>0</v>
      </c>
      <c r="T49" s="17">
        <f>'18'!K49</f>
        <v>0</v>
      </c>
      <c r="U49" s="17">
        <f>'19'!K49</f>
        <v>0</v>
      </c>
      <c r="V49" s="17">
        <f>'20'!K49</f>
        <v>0</v>
      </c>
      <c r="W49" s="17">
        <f>'21'!K49</f>
        <v>0</v>
      </c>
      <c r="X49" s="17">
        <f>'22'!K49</f>
        <v>0</v>
      </c>
      <c r="Y49" s="17">
        <f>'23'!K49</f>
        <v>0</v>
      </c>
      <c r="Z49" s="17">
        <f>'24'!K49</f>
        <v>0</v>
      </c>
      <c r="AA49" s="17">
        <f>'25'!K49</f>
        <v>0</v>
      </c>
      <c r="AB49" s="17">
        <f>'26'!K49</f>
        <v>0</v>
      </c>
      <c r="AC49" s="17">
        <f>'27'!K49</f>
        <v>0</v>
      </c>
      <c r="AD49" s="17">
        <f>'28'!K49</f>
        <v>0</v>
      </c>
      <c r="AE49" s="17">
        <f>'29'!K49</f>
        <v>0</v>
      </c>
      <c r="AF49" s="17">
        <f>'30'!K49</f>
        <v>0</v>
      </c>
      <c r="AG49" s="17">
        <f>'31'!K49</f>
        <v>0</v>
      </c>
      <c r="AH49" s="17"/>
      <c r="AI49" s="17">
        <f t="shared" si="0"/>
        <v>0</v>
      </c>
      <c r="AJ49" s="132">
        <f t="shared" si="1"/>
        <v>0</v>
      </c>
    </row>
    <row r="50" spans="1:36" x14ac:dyDescent="0.25">
      <c r="A50" s="28"/>
      <c r="B50" s="19" t="s">
        <v>40</v>
      </c>
      <c r="C50" s="17">
        <f>'01'!K50</f>
        <v>9285.7142857142862</v>
      </c>
      <c r="D50" s="17">
        <f>'02'!K50</f>
        <v>9428.5714285714294</v>
      </c>
      <c r="E50" s="17">
        <f>'03'!K50</f>
        <v>9285.7142857142862</v>
      </c>
      <c r="F50" s="17">
        <f>'04'!K50</f>
        <v>9285.7142857142862</v>
      </c>
      <c r="G50" s="17">
        <f>'05'!K50</f>
        <v>9285.7142857142862</v>
      </c>
      <c r="H50" s="17">
        <f>'06'!K50</f>
        <v>9285.7142857142862</v>
      </c>
      <c r="I50" s="17">
        <f>'07'!K50</f>
        <v>9285.7142857142862</v>
      </c>
      <c r="J50" s="17">
        <f>'08'!K50</f>
        <v>9285.7142857142862</v>
      </c>
      <c r="K50" s="17">
        <f>'09'!K50</f>
        <v>9285.7142857142862</v>
      </c>
      <c r="L50" s="17">
        <f>'10'!K50</f>
        <v>9285.7142857142862</v>
      </c>
      <c r="M50" s="17">
        <f>'11'!K50</f>
        <v>9285.7142857142862</v>
      </c>
      <c r="N50" s="17">
        <f>'12'!K50</f>
        <v>9571.4285714285706</v>
      </c>
      <c r="O50" s="17">
        <f>'13'!K50</f>
        <v>9571.4285714285706</v>
      </c>
      <c r="P50" s="17">
        <f>'14'!K50</f>
        <v>9285.7142857142862</v>
      </c>
      <c r="Q50" s="17">
        <f>'15'!K50</f>
        <v>9285.7142857142862</v>
      </c>
      <c r="R50" s="17">
        <f>'16'!K50</f>
        <v>9285.7142857142862</v>
      </c>
      <c r="S50" s="17">
        <f>'17'!K50</f>
        <v>9285.7142857142862</v>
      </c>
      <c r="T50" s="17">
        <f>'18'!K50</f>
        <v>9285.7142857142862</v>
      </c>
      <c r="U50" s="17">
        <f>'19'!K50</f>
        <v>9285.7142857142862</v>
      </c>
      <c r="V50" s="17">
        <f>'20'!K50</f>
        <v>9428.5714285714294</v>
      </c>
      <c r="W50" s="17">
        <f>'21'!K50</f>
        <v>9285.7142857142862</v>
      </c>
      <c r="X50" s="17">
        <f>'22'!K50</f>
        <v>9285.7142857142862</v>
      </c>
      <c r="Y50" s="17">
        <f>'23'!K50</f>
        <v>9285.7142857142862</v>
      </c>
      <c r="Z50" s="17">
        <f>'24'!K50</f>
        <v>9285.7142857142862</v>
      </c>
      <c r="AA50" s="17">
        <f>'25'!K50</f>
        <v>9285.7142857142862</v>
      </c>
      <c r="AB50" s="17">
        <f>'26'!K50</f>
        <v>9285.7142857142862</v>
      </c>
      <c r="AC50" s="17">
        <f>'27'!K50</f>
        <v>9285.7142857142862</v>
      </c>
      <c r="AD50" s="17">
        <f>'28'!K50</f>
        <v>9285.7142857142862</v>
      </c>
      <c r="AE50" s="17">
        <f>'29'!K50</f>
        <v>9285.7142857142862</v>
      </c>
      <c r="AF50" s="17">
        <f>'30'!K50</f>
        <v>9285.7142857142862</v>
      </c>
      <c r="AG50" s="17">
        <f>'31'!K50</f>
        <v>9285.7142857142862</v>
      </c>
      <c r="AH50" s="17"/>
      <c r="AI50" s="17">
        <f t="shared" si="0"/>
        <v>0</v>
      </c>
      <c r="AJ50" s="132">
        <f t="shared" si="1"/>
        <v>9313.3640552995403</v>
      </c>
    </row>
    <row r="51" spans="1:36" x14ac:dyDescent="0.25">
      <c r="A51" s="29"/>
      <c r="B51" s="19" t="s">
        <v>41</v>
      </c>
      <c r="C51" s="17">
        <f>'01'!K51</f>
        <v>8333.3333333333339</v>
      </c>
      <c r="D51" s="17">
        <f>'02'!K51</f>
        <v>8333.3333333333339</v>
      </c>
      <c r="E51" s="17">
        <f>'03'!K51</f>
        <v>8333.3333333333339</v>
      </c>
      <c r="F51" s="17">
        <f>'04'!K51</f>
        <v>8333.3333333333339</v>
      </c>
      <c r="G51" s="17">
        <f>'05'!K51</f>
        <v>8333.3333333333339</v>
      </c>
      <c r="H51" s="17">
        <f>'06'!K51</f>
        <v>8333.3333333333339</v>
      </c>
      <c r="I51" s="17">
        <f>'07'!K51</f>
        <v>8333.3333333333339</v>
      </c>
      <c r="J51" s="17">
        <f>'08'!K51</f>
        <v>8333.3333333333339</v>
      </c>
      <c r="K51" s="17">
        <f>'09'!K51</f>
        <v>8333.3333333333339</v>
      </c>
      <c r="L51" s="17">
        <f>'10'!K51</f>
        <v>8333.3333333333339</v>
      </c>
      <c r="M51" s="17">
        <f>'11'!K51</f>
        <v>8333.3333333333339</v>
      </c>
      <c r="N51" s="17">
        <f>'12'!K51</f>
        <v>8500</v>
      </c>
      <c r="O51" s="17">
        <f>'13'!K51</f>
        <v>8500</v>
      </c>
      <c r="P51" s="17">
        <f>'14'!K51</f>
        <v>8333.3333333333339</v>
      </c>
      <c r="Q51" s="17">
        <f>'15'!K51</f>
        <v>8333.3333333333339</v>
      </c>
      <c r="R51" s="17">
        <f>'16'!K51</f>
        <v>8333.3333333333339</v>
      </c>
      <c r="S51" s="17">
        <f>'17'!K51</f>
        <v>8333.3333333333339</v>
      </c>
      <c r="T51" s="17">
        <f>'18'!K51</f>
        <v>8333.3333333333339</v>
      </c>
      <c r="U51" s="17">
        <f>'19'!K51</f>
        <v>8333.3333333333339</v>
      </c>
      <c r="V51" s="17">
        <f>'20'!K51</f>
        <v>8500</v>
      </c>
      <c r="W51" s="17">
        <f>'21'!K51</f>
        <v>8333.3333333333339</v>
      </c>
      <c r="X51" s="17">
        <f>'22'!K51</f>
        <v>8333.3333333333339</v>
      </c>
      <c r="Y51" s="17">
        <f>'23'!K51</f>
        <v>8333.3333333333339</v>
      </c>
      <c r="Z51" s="17">
        <f>'24'!K51</f>
        <v>8333.3333333333339</v>
      </c>
      <c r="AA51" s="17">
        <f>'25'!K51</f>
        <v>8333.3333333333339</v>
      </c>
      <c r="AB51" s="17">
        <f>'26'!K51</f>
        <v>8333.3333333333339</v>
      </c>
      <c r="AC51" s="17">
        <f>'27'!K51</f>
        <v>8333.3333333333339</v>
      </c>
      <c r="AD51" s="17">
        <f>'28'!K51</f>
        <v>8333.3333333333339</v>
      </c>
      <c r="AE51" s="17">
        <f>'29'!K51</f>
        <v>8333.3333333333339</v>
      </c>
      <c r="AF51" s="17">
        <f>'30'!K51</f>
        <v>8333.3333333333339</v>
      </c>
      <c r="AG51" s="17">
        <f>'31'!K51</f>
        <v>8333.3333333333339</v>
      </c>
      <c r="AH51" s="17"/>
      <c r="AI51" s="17">
        <f t="shared" si="0"/>
        <v>0</v>
      </c>
      <c r="AJ51" s="132">
        <f t="shared" si="1"/>
        <v>8349.462365591402</v>
      </c>
    </row>
    <row r="52" spans="1:36" x14ac:dyDescent="0.25">
      <c r="A52" s="97">
        <v>13</v>
      </c>
      <c r="B52" s="20" t="s">
        <v>42</v>
      </c>
      <c r="C52" s="17">
        <f>'01'!K52</f>
        <v>0</v>
      </c>
      <c r="D52" s="17">
        <f>'02'!K52</f>
        <v>0</v>
      </c>
      <c r="E52" s="17">
        <f>'03'!K52</f>
        <v>0</v>
      </c>
      <c r="F52" s="17">
        <f>'04'!K52</f>
        <v>0</v>
      </c>
      <c r="G52" s="17">
        <f>'05'!K52</f>
        <v>0</v>
      </c>
      <c r="H52" s="17">
        <f>'06'!K52</f>
        <v>0</v>
      </c>
      <c r="I52" s="17">
        <f>'07'!K52</f>
        <v>0</v>
      </c>
      <c r="J52" s="17">
        <f>'08'!K52</f>
        <v>0</v>
      </c>
      <c r="K52" s="17">
        <f>'09'!K52</f>
        <v>0</v>
      </c>
      <c r="L52" s="17">
        <f>'10'!K52</f>
        <v>0</v>
      </c>
      <c r="M52" s="17">
        <f>'11'!K52</f>
        <v>0</v>
      </c>
      <c r="N52" s="17">
        <f>'12'!K52</f>
        <v>0</v>
      </c>
      <c r="O52" s="17">
        <f>'13'!K52</f>
        <v>0</v>
      </c>
      <c r="P52" s="17">
        <f>'14'!K52</f>
        <v>0</v>
      </c>
      <c r="Q52" s="17">
        <f>'15'!K52</f>
        <v>0</v>
      </c>
      <c r="R52" s="17">
        <f>'16'!K52</f>
        <v>0</v>
      </c>
      <c r="S52" s="17">
        <f>'17'!K52</f>
        <v>0</v>
      </c>
      <c r="T52" s="17">
        <f>'18'!K52</f>
        <v>0</v>
      </c>
      <c r="U52" s="17">
        <f>'19'!K52</f>
        <v>0</v>
      </c>
      <c r="V52" s="17">
        <f>'20'!K52</f>
        <v>0</v>
      </c>
      <c r="W52" s="17">
        <f>'21'!K52</f>
        <v>0</v>
      </c>
      <c r="X52" s="17">
        <f>'22'!K52</f>
        <v>0</v>
      </c>
      <c r="Y52" s="17">
        <f>'23'!K52</f>
        <v>0</v>
      </c>
      <c r="Z52" s="17">
        <f>'24'!K52</f>
        <v>0</v>
      </c>
      <c r="AA52" s="17">
        <f>'25'!K52</f>
        <v>0</v>
      </c>
      <c r="AB52" s="17">
        <f>'26'!K52</f>
        <v>0</v>
      </c>
      <c r="AC52" s="17">
        <f>'27'!K52</f>
        <v>0</v>
      </c>
      <c r="AD52" s="17">
        <f>'28'!K52</f>
        <v>0</v>
      </c>
      <c r="AE52" s="17">
        <f>'29'!K52</f>
        <v>0</v>
      </c>
      <c r="AF52" s="17">
        <f>'30'!K52</f>
        <v>0</v>
      </c>
      <c r="AG52" s="17">
        <f>'31'!K52</f>
        <v>0</v>
      </c>
      <c r="AH52" s="17"/>
      <c r="AI52" s="17">
        <f t="shared" si="0"/>
        <v>0</v>
      </c>
      <c r="AJ52" s="132">
        <f t="shared" si="1"/>
        <v>0</v>
      </c>
    </row>
    <row r="53" spans="1:36" x14ac:dyDescent="0.25">
      <c r="A53" s="99"/>
      <c r="B53" s="19" t="s">
        <v>43</v>
      </c>
      <c r="C53" s="17">
        <f>'01'!K53</f>
        <v>4000</v>
      </c>
      <c r="D53" s="17">
        <f>'02'!K53</f>
        <v>4000</v>
      </c>
      <c r="E53" s="17">
        <f>'03'!K53</f>
        <v>4000</v>
      </c>
      <c r="F53" s="17">
        <f>'04'!K53</f>
        <v>4000</v>
      </c>
      <c r="G53" s="17">
        <f>'05'!K53</f>
        <v>4000</v>
      </c>
      <c r="H53" s="17">
        <f>'06'!K53</f>
        <v>4000</v>
      </c>
      <c r="I53" s="17">
        <f>'07'!K53</f>
        <v>4000</v>
      </c>
      <c r="J53" s="17">
        <f>'08'!K53</f>
        <v>4000</v>
      </c>
      <c r="K53" s="17">
        <f>'09'!K53</f>
        <v>4000</v>
      </c>
      <c r="L53" s="17">
        <f>'10'!K53</f>
        <v>4000</v>
      </c>
      <c r="M53" s="17">
        <f>'11'!K53</f>
        <v>4000</v>
      </c>
      <c r="N53" s="17">
        <f>'12'!K53</f>
        <v>4000</v>
      </c>
      <c r="O53" s="17">
        <f>'13'!K53</f>
        <v>4000</v>
      </c>
      <c r="P53" s="17">
        <f>'14'!K53</f>
        <v>4000</v>
      </c>
      <c r="Q53" s="17">
        <f>'15'!K53</f>
        <v>4000</v>
      </c>
      <c r="R53" s="17">
        <f>'16'!K53</f>
        <v>4000</v>
      </c>
      <c r="S53" s="17">
        <f>'17'!K53</f>
        <v>4000</v>
      </c>
      <c r="T53" s="17">
        <f>'18'!K53</f>
        <v>4000</v>
      </c>
      <c r="U53" s="17">
        <f>'19'!K53</f>
        <v>4000</v>
      </c>
      <c r="V53" s="17">
        <f>'20'!K53</f>
        <v>4000</v>
      </c>
      <c r="W53" s="17">
        <f>'21'!K53</f>
        <v>4000</v>
      </c>
      <c r="X53" s="17">
        <f>'22'!K53</f>
        <v>4000</v>
      </c>
      <c r="Y53" s="17">
        <f>'23'!K53</f>
        <v>4000</v>
      </c>
      <c r="Z53" s="17">
        <f>'24'!K53</f>
        <v>4000</v>
      </c>
      <c r="AA53" s="17">
        <f>'25'!K53</f>
        <v>4000</v>
      </c>
      <c r="AB53" s="17">
        <f>'26'!K53</f>
        <v>4000</v>
      </c>
      <c r="AC53" s="17">
        <f>'27'!K53</f>
        <v>4000</v>
      </c>
      <c r="AD53" s="17">
        <f>'28'!K53</f>
        <v>4000</v>
      </c>
      <c r="AE53" s="17">
        <f>'29'!K53</f>
        <v>4000</v>
      </c>
      <c r="AF53" s="17">
        <f>'30'!K53</f>
        <v>4000</v>
      </c>
      <c r="AG53" s="17">
        <f>'31'!K53</f>
        <v>4000</v>
      </c>
      <c r="AH53" s="17"/>
      <c r="AI53" s="17">
        <f t="shared" si="0"/>
        <v>0</v>
      </c>
      <c r="AJ53" s="132">
        <f t="shared" si="1"/>
        <v>4000</v>
      </c>
    </row>
    <row r="54" spans="1:36" x14ac:dyDescent="0.25">
      <c r="A54" s="97">
        <v>14</v>
      </c>
      <c r="B54" s="20" t="s">
        <v>45</v>
      </c>
      <c r="C54" s="17">
        <f>'01'!K54</f>
        <v>0</v>
      </c>
      <c r="D54" s="17">
        <f>'02'!K54</f>
        <v>0</v>
      </c>
      <c r="E54" s="17">
        <f>'03'!K54</f>
        <v>0</v>
      </c>
      <c r="F54" s="17">
        <f>'04'!K54</f>
        <v>0</v>
      </c>
      <c r="G54" s="17">
        <f>'05'!K54</f>
        <v>0</v>
      </c>
      <c r="H54" s="17">
        <f>'06'!K54</f>
        <v>0</v>
      </c>
      <c r="I54" s="17">
        <f>'07'!K54</f>
        <v>0</v>
      </c>
      <c r="J54" s="17">
        <f>'08'!K54</f>
        <v>0</v>
      </c>
      <c r="K54" s="17">
        <f>'09'!K54</f>
        <v>0</v>
      </c>
      <c r="L54" s="17">
        <f>'10'!K54</f>
        <v>0</v>
      </c>
      <c r="M54" s="17">
        <f>'11'!K54</f>
        <v>0</v>
      </c>
      <c r="N54" s="17">
        <f>'12'!K54</f>
        <v>0</v>
      </c>
      <c r="O54" s="17">
        <f>'13'!K54</f>
        <v>0</v>
      </c>
      <c r="P54" s="17">
        <f>'14'!K54</f>
        <v>0</v>
      </c>
      <c r="Q54" s="17">
        <f>'15'!K54</f>
        <v>0</v>
      </c>
      <c r="R54" s="17">
        <f>'16'!K54</f>
        <v>0</v>
      </c>
      <c r="S54" s="17">
        <f>'17'!K54</f>
        <v>0</v>
      </c>
      <c r="T54" s="17">
        <f>'18'!K54</f>
        <v>0</v>
      </c>
      <c r="U54" s="17">
        <f>'19'!K54</f>
        <v>0</v>
      </c>
      <c r="V54" s="17">
        <f>'20'!K54</f>
        <v>0</v>
      </c>
      <c r="W54" s="17">
        <f>'21'!K54</f>
        <v>0</v>
      </c>
      <c r="X54" s="17">
        <f>'22'!K54</f>
        <v>0</v>
      </c>
      <c r="Y54" s="17">
        <f>'23'!K54</f>
        <v>0</v>
      </c>
      <c r="Z54" s="17">
        <f>'24'!K54</f>
        <v>0</v>
      </c>
      <c r="AA54" s="17">
        <f>'25'!K54</f>
        <v>0</v>
      </c>
      <c r="AB54" s="17">
        <f>'26'!K54</f>
        <v>0</v>
      </c>
      <c r="AC54" s="17">
        <f>'27'!K54</f>
        <v>0</v>
      </c>
      <c r="AD54" s="17">
        <f>'28'!K54</f>
        <v>0</v>
      </c>
      <c r="AE54" s="17">
        <f>'29'!K54</f>
        <v>0</v>
      </c>
      <c r="AF54" s="17">
        <f>'30'!K54</f>
        <v>0</v>
      </c>
      <c r="AG54" s="17">
        <f>'31'!K54</f>
        <v>0</v>
      </c>
      <c r="AH54" s="17"/>
      <c r="AI54" s="17">
        <f t="shared" si="0"/>
        <v>0</v>
      </c>
      <c r="AJ54" s="132">
        <f t="shared" si="1"/>
        <v>0</v>
      </c>
    </row>
    <row r="55" spans="1:36" x14ac:dyDescent="0.25">
      <c r="A55" s="99"/>
      <c r="B55" s="19" t="s">
        <v>46</v>
      </c>
      <c r="C55" s="17">
        <f>'01'!K55</f>
        <v>10500</v>
      </c>
      <c r="D55" s="17">
        <f>'02'!K55</f>
        <v>10785.714285714286</v>
      </c>
      <c r="E55" s="17">
        <f>'03'!K55</f>
        <v>10500</v>
      </c>
      <c r="F55" s="17">
        <f>'04'!K55</f>
        <v>10500</v>
      </c>
      <c r="G55" s="17">
        <f>'05'!K55</f>
        <v>10500</v>
      </c>
      <c r="H55" s="17">
        <f>'06'!K55</f>
        <v>10500</v>
      </c>
      <c r="I55" s="17">
        <f>'07'!K55</f>
        <v>10500</v>
      </c>
      <c r="J55" s="17">
        <f>'08'!K55</f>
        <v>10500</v>
      </c>
      <c r="K55" s="17">
        <f>'09'!K55</f>
        <v>10500</v>
      </c>
      <c r="L55" s="17">
        <f>'10'!K55</f>
        <v>10500</v>
      </c>
      <c r="M55" s="17">
        <f>'11'!K55</f>
        <v>10500</v>
      </c>
      <c r="N55" s="17">
        <f>'12'!K55</f>
        <v>10714.285714285714</v>
      </c>
      <c r="O55" s="17">
        <f>'13'!K55</f>
        <v>10642.857142857143</v>
      </c>
      <c r="P55" s="17">
        <f>'14'!K55</f>
        <v>10500</v>
      </c>
      <c r="Q55" s="17">
        <f>'15'!K55</f>
        <v>10500</v>
      </c>
      <c r="R55" s="17">
        <f>'16'!K55</f>
        <v>10500</v>
      </c>
      <c r="S55" s="17">
        <f>'17'!K55</f>
        <v>10500</v>
      </c>
      <c r="T55" s="17">
        <f>'18'!K55</f>
        <v>10500</v>
      </c>
      <c r="U55" s="17">
        <f>'19'!K55</f>
        <v>10500</v>
      </c>
      <c r="V55" s="17">
        <f>'20'!K55</f>
        <v>10500</v>
      </c>
      <c r="W55" s="17">
        <f>'21'!K55</f>
        <v>10500</v>
      </c>
      <c r="X55" s="17">
        <f>'22'!K55</f>
        <v>10500</v>
      </c>
      <c r="Y55" s="17">
        <f>'23'!K55</f>
        <v>10500</v>
      </c>
      <c r="Z55" s="17">
        <f>'24'!K55</f>
        <v>10500</v>
      </c>
      <c r="AA55" s="17">
        <f>'25'!K55</f>
        <v>10500</v>
      </c>
      <c r="AB55" s="17">
        <f>'26'!K55</f>
        <v>10500</v>
      </c>
      <c r="AC55" s="17">
        <f>'27'!K55</f>
        <v>10500</v>
      </c>
      <c r="AD55" s="17">
        <f>'28'!K55</f>
        <v>10500</v>
      </c>
      <c r="AE55" s="17">
        <f>'29'!K55</f>
        <v>10500</v>
      </c>
      <c r="AF55" s="17">
        <f>'30'!K55</f>
        <v>10500</v>
      </c>
      <c r="AG55" s="17">
        <f>'31'!K55</f>
        <v>10500</v>
      </c>
      <c r="AH55" s="17"/>
      <c r="AI55" s="17">
        <f t="shared" si="0"/>
        <v>0</v>
      </c>
      <c r="AJ55" s="132">
        <f t="shared" si="1"/>
        <v>10520.737327188941</v>
      </c>
    </row>
    <row r="56" spans="1:36" x14ac:dyDescent="0.25">
      <c r="A56" s="97">
        <v>15</v>
      </c>
      <c r="B56" s="20" t="s">
        <v>47</v>
      </c>
      <c r="C56" s="17">
        <f>'01'!K56</f>
        <v>0</v>
      </c>
      <c r="D56" s="17">
        <f>'02'!K56</f>
        <v>0</v>
      </c>
      <c r="E56" s="17">
        <f>'03'!K56</f>
        <v>0</v>
      </c>
      <c r="F56" s="17">
        <f>'04'!K56</f>
        <v>0</v>
      </c>
      <c r="G56" s="17">
        <f>'05'!K56</f>
        <v>0</v>
      </c>
      <c r="H56" s="17">
        <f>'06'!K56</f>
        <v>0</v>
      </c>
      <c r="I56" s="17">
        <f>'07'!K56</f>
        <v>0</v>
      </c>
      <c r="J56" s="17">
        <f>'08'!K56</f>
        <v>0</v>
      </c>
      <c r="K56" s="17">
        <f>'09'!K56</f>
        <v>0</v>
      </c>
      <c r="L56" s="17">
        <f>'10'!K56</f>
        <v>0</v>
      </c>
      <c r="M56" s="17">
        <f>'11'!K56</f>
        <v>0</v>
      </c>
      <c r="N56" s="17">
        <f>'12'!K56</f>
        <v>0</v>
      </c>
      <c r="O56" s="17">
        <f>'13'!K56</f>
        <v>0</v>
      </c>
      <c r="P56" s="17">
        <f>'14'!K56</f>
        <v>0</v>
      </c>
      <c r="Q56" s="17">
        <f>'15'!K56</f>
        <v>0</v>
      </c>
      <c r="R56" s="17">
        <f>'16'!K56</f>
        <v>0</v>
      </c>
      <c r="S56" s="17">
        <f>'17'!K56</f>
        <v>0</v>
      </c>
      <c r="T56" s="17">
        <f>'18'!K56</f>
        <v>0</v>
      </c>
      <c r="U56" s="17">
        <f>'19'!K56</f>
        <v>0</v>
      </c>
      <c r="V56" s="17">
        <f>'20'!K56</f>
        <v>0</v>
      </c>
      <c r="W56" s="17">
        <f>'21'!K56</f>
        <v>0</v>
      </c>
      <c r="X56" s="17">
        <f>'22'!K56</f>
        <v>0</v>
      </c>
      <c r="Y56" s="17">
        <f>'23'!K56</f>
        <v>0</v>
      </c>
      <c r="Z56" s="17">
        <f>'24'!K56</f>
        <v>0</v>
      </c>
      <c r="AA56" s="17">
        <f>'25'!K56</f>
        <v>0</v>
      </c>
      <c r="AB56" s="17">
        <f>'26'!K56</f>
        <v>0</v>
      </c>
      <c r="AC56" s="17">
        <f>'27'!K56</f>
        <v>0</v>
      </c>
      <c r="AD56" s="17">
        <f>'28'!K56</f>
        <v>0</v>
      </c>
      <c r="AE56" s="17">
        <f>'29'!K56</f>
        <v>0</v>
      </c>
      <c r="AF56" s="17">
        <f>'30'!K56</f>
        <v>0</v>
      </c>
      <c r="AG56" s="17">
        <f>'31'!K56</f>
        <v>0</v>
      </c>
      <c r="AH56" s="17"/>
      <c r="AI56" s="17">
        <f t="shared" si="0"/>
        <v>0</v>
      </c>
      <c r="AJ56" s="132">
        <f t="shared" si="1"/>
        <v>0</v>
      </c>
    </row>
    <row r="57" spans="1:36" x14ac:dyDescent="0.25">
      <c r="A57" s="98"/>
      <c r="B57" s="19" t="s">
        <v>48</v>
      </c>
      <c r="C57" s="17">
        <f>'01'!K57</f>
        <v>13500</v>
      </c>
      <c r="D57" s="17">
        <f>'02'!K57</f>
        <v>13500</v>
      </c>
      <c r="E57" s="17">
        <f>'03'!K57</f>
        <v>13666.666666666666</v>
      </c>
      <c r="F57" s="17">
        <f>'04'!K57</f>
        <v>13666.666666666666</v>
      </c>
      <c r="G57" s="17">
        <f>'05'!K57</f>
        <v>13666.666666666666</v>
      </c>
      <c r="H57" s="17">
        <f>'06'!K57</f>
        <v>13666.666666666666</v>
      </c>
      <c r="I57" s="17">
        <f>'07'!K57</f>
        <v>13666.666666666666</v>
      </c>
      <c r="J57" s="17">
        <f>'08'!K57</f>
        <v>13666.666666666666</v>
      </c>
      <c r="K57" s="17">
        <f>'09'!K57</f>
        <v>13666.666666666666</v>
      </c>
      <c r="L57" s="17">
        <f>'10'!K57</f>
        <v>13666.666666666666</v>
      </c>
      <c r="M57" s="17">
        <f>'11'!K57</f>
        <v>13666.666666666666</v>
      </c>
      <c r="N57" s="17">
        <f>'12'!K57</f>
        <v>13666.666666666666</v>
      </c>
      <c r="O57" s="17">
        <f>'13'!K57</f>
        <v>13666.666666666666</v>
      </c>
      <c r="P57" s="17">
        <f>'14'!K57</f>
        <v>13666.666666666666</v>
      </c>
      <c r="Q57" s="17">
        <f>'15'!K57</f>
        <v>13666.666666666666</v>
      </c>
      <c r="R57" s="17">
        <f>'16'!K57</f>
        <v>13666.666666666666</v>
      </c>
      <c r="S57" s="17">
        <f>'17'!K57</f>
        <v>13666.666666666666</v>
      </c>
      <c r="T57" s="17">
        <f>'18'!K57</f>
        <v>13666.666666666666</v>
      </c>
      <c r="U57" s="17">
        <f>'19'!K57</f>
        <v>13666.666666666666</v>
      </c>
      <c r="V57" s="17">
        <f>'20'!K57</f>
        <v>13666.666666666666</v>
      </c>
      <c r="W57" s="17">
        <f>'21'!K57</f>
        <v>13666.666666666666</v>
      </c>
      <c r="X57" s="17">
        <f>'22'!K57</f>
        <v>13666.666666666666</v>
      </c>
      <c r="Y57" s="17">
        <f>'23'!K57</f>
        <v>13666.666666666666</v>
      </c>
      <c r="Z57" s="17">
        <f>'24'!K57</f>
        <v>13666.666666666666</v>
      </c>
      <c r="AA57" s="17">
        <f>'25'!K57</f>
        <v>13666.666666666666</v>
      </c>
      <c r="AB57" s="17">
        <f>'26'!K57</f>
        <v>13666.666666666666</v>
      </c>
      <c r="AC57" s="17">
        <f>'27'!K57</f>
        <v>13666.666666666666</v>
      </c>
      <c r="AD57" s="17">
        <f>'28'!K57</f>
        <v>13666.666666666666</v>
      </c>
      <c r="AE57" s="17">
        <f>'29'!K57</f>
        <v>13666.666666666666</v>
      </c>
      <c r="AF57" s="17">
        <f>'30'!K57</f>
        <v>13666.666666666666</v>
      </c>
      <c r="AG57" s="17">
        <f>'31'!K57</f>
        <v>13666.666666666666</v>
      </c>
      <c r="AH57" s="17">
        <v>6800</v>
      </c>
      <c r="AI57" s="17">
        <f t="shared" si="0"/>
        <v>166.66666666666606</v>
      </c>
      <c r="AJ57" s="132">
        <f t="shared" si="1"/>
        <v>13655.913978494629</v>
      </c>
    </row>
    <row r="58" spans="1:36" x14ac:dyDescent="0.25">
      <c r="A58" s="98"/>
      <c r="B58" s="19" t="s">
        <v>49</v>
      </c>
      <c r="C58" s="17">
        <f>'01'!K58</f>
        <v>13000</v>
      </c>
      <c r="D58" s="17">
        <f>'02'!K58</f>
        <v>12500</v>
      </c>
      <c r="E58" s="17">
        <f>'03'!K58</f>
        <v>13000</v>
      </c>
      <c r="F58" s="17">
        <f>'04'!K58</f>
        <v>13000</v>
      </c>
      <c r="G58" s="17">
        <f>'05'!K58</f>
        <v>13000</v>
      </c>
      <c r="H58" s="17">
        <f>'06'!K58</f>
        <v>13000</v>
      </c>
      <c r="I58" s="17">
        <f>'07'!K58</f>
        <v>13000</v>
      </c>
      <c r="J58" s="17">
        <f>'08'!K58</f>
        <v>13000</v>
      </c>
      <c r="K58" s="17">
        <f>'09'!K58</f>
        <v>13000</v>
      </c>
      <c r="L58" s="17">
        <f>'10'!K58</f>
        <v>13000</v>
      </c>
      <c r="M58" s="17">
        <f>'11'!K58</f>
        <v>13000</v>
      </c>
      <c r="N58" s="17">
        <f>'12'!K58</f>
        <v>13000</v>
      </c>
      <c r="O58" s="17">
        <f>'13'!K58</f>
        <v>13000</v>
      </c>
      <c r="P58" s="17">
        <f>'14'!K58</f>
        <v>13000</v>
      </c>
      <c r="Q58" s="17">
        <f>'15'!K58</f>
        <v>13000</v>
      </c>
      <c r="R58" s="17">
        <f>'16'!K58</f>
        <v>13000</v>
      </c>
      <c r="S58" s="17">
        <f>'17'!K58</f>
        <v>13000</v>
      </c>
      <c r="T58" s="17">
        <f>'18'!K58</f>
        <v>13000</v>
      </c>
      <c r="U58" s="17">
        <f>'19'!K58</f>
        <v>13000</v>
      </c>
      <c r="V58" s="17">
        <f>'20'!K58</f>
        <v>13000</v>
      </c>
      <c r="W58" s="17">
        <f>'21'!K58</f>
        <v>13000</v>
      </c>
      <c r="X58" s="17">
        <f>'22'!K58</f>
        <v>13000</v>
      </c>
      <c r="Y58" s="17">
        <f>'23'!K58</f>
        <v>13000</v>
      </c>
      <c r="Z58" s="17">
        <f>'24'!K58</f>
        <v>13000</v>
      </c>
      <c r="AA58" s="17">
        <f>'25'!K58</f>
        <v>13000</v>
      </c>
      <c r="AB58" s="17">
        <f>'26'!K58</f>
        <v>13000</v>
      </c>
      <c r="AC58" s="17">
        <f>'27'!K58</f>
        <v>13000</v>
      </c>
      <c r="AD58" s="17">
        <f>'28'!K58</f>
        <v>13000</v>
      </c>
      <c r="AE58" s="17">
        <f>'29'!K58</f>
        <v>13000</v>
      </c>
      <c r="AF58" s="17">
        <f>'30'!K58</f>
        <v>13000</v>
      </c>
      <c r="AG58" s="17">
        <f>'31'!K58</f>
        <v>13000</v>
      </c>
      <c r="AH58" s="17">
        <v>9200</v>
      </c>
      <c r="AI58" s="17">
        <f t="shared" si="0"/>
        <v>0</v>
      </c>
      <c r="AJ58" s="132">
        <f t="shared" si="1"/>
        <v>12983.870967741936</v>
      </c>
    </row>
    <row r="59" spans="1:36" x14ac:dyDescent="0.25">
      <c r="A59" s="98"/>
      <c r="B59" s="19" t="s">
        <v>50</v>
      </c>
      <c r="C59" s="17">
        <f>'01'!K59</f>
        <v>23142.857142857141</v>
      </c>
      <c r="D59" s="17">
        <f>'02'!K59</f>
        <v>23142.857142857141</v>
      </c>
      <c r="E59" s="17">
        <f>'03'!K59</f>
        <v>23142.857142857141</v>
      </c>
      <c r="F59" s="17">
        <f>'04'!K59</f>
        <v>23142.857142857141</v>
      </c>
      <c r="G59" s="17">
        <f>'05'!K59</f>
        <v>22714.285714285714</v>
      </c>
      <c r="H59" s="17">
        <f>'06'!K59</f>
        <v>22714.285714285714</v>
      </c>
      <c r="I59" s="17">
        <f>'07'!K59</f>
        <v>23142.857142857141</v>
      </c>
      <c r="J59" s="17">
        <f>'08'!K59</f>
        <v>23142.857142857141</v>
      </c>
      <c r="K59" s="17">
        <f>'09'!K59</f>
        <v>23142.857142857141</v>
      </c>
      <c r="L59" s="17">
        <f>'10'!K59</f>
        <v>23142.857142857141</v>
      </c>
      <c r="M59" s="17">
        <f>'11'!K59</f>
        <v>23142.857142857141</v>
      </c>
      <c r="N59" s="17">
        <f>'12'!K59</f>
        <v>23571.428571428572</v>
      </c>
      <c r="O59" s="17">
        <f>'13'!K59</f>
        <v>23428.571428571428</v>
      </c>
      <c r="P59" s="17">
        <f>'14'!K59</f>
        <v>23142.857142857141</v>
      </c>
      <c r="Q59" s="17">
        <f>'15'!K59</f>
        <v>23142.857142857141</v>
      </c>
      <c r="R59" s="17">
        <f>'16'!K59</f>
        <v>23000</v>
      </c>
      <c r="S59" s="17">
        <f>'17'!K59</f>
        <v>23000</v>
      </c>
      <c r="T59" s="17">
        <f>'18'!K59</f>
        <v>23142.857142857141</v>
      </c>
      <c r="U59" s="17">
        <f>'19'!K59</f>
        <v>23142.857142857141</v>
      </c>
      <c r="V59" s="17">
        <f>'20'!K59</f>
        <v>23428.571428571428</v>
      </c>
      <c r="W59" s="17">
        <f>'21'!K59</f>
        <v>23142.857142857141</v>
      </c>
      <c r="X59" s="17">
        <f>'22'!K59</f>
        <v>23142.857142857141</v>
      </c>
      <c r="Y59" s="17">
        <f>'23'!K59</f>
        <v>23142.857142857141</v>
      </c>
      <c r="Z59" s="17">
        <f>'24'!K59</f>
        <v>23142.857142857141</v>
      </c>
      <c r="AA59" s="17">
        <f>'25'!K59</f>
        <v>23142.857142857141</v>
      </c>
      <c r="AB59" s="17">
        <f>'26'!K59</f>
        <v>23142.857142857141</v>
      </c>
      <c r="AC59" s="17">
        <f>'27'!K59</f>
        <v>23142.857142857141</v>
      </c>
      <c r="AD59" s="17">
        <f>'28'!K59</f>
        <v>23142.857142857141</v>
      </c>
      <c r="AE59" s="17">
        <f>'29'!K59</f>
        <v>23142.857142857141</v>
      </c>
      <c r="AF59" s="17">
        <f>'30'!K59</f>
        <v>23142.857142857141</v>
      </c>
      <c r="AG59" s="17">
        <f>'31'!K59</f>
        <v>23142.857142857141</v>
      </c>
      <c r="AH59" s="17"/>
      <c r="AI59" s="17">
        <f t="shared" si="0"/>
        <v>0</v>
      </c>
      <c r="AJ59" s="132">
        <f t="shared" si="1"/>
        <v>23138.248847926272</v>
      </c>
    </row>
    <row r="60" spans="1:36" x14ac:dyDescent="0.25">
      <c r="A60" s="99"/>
      <c r="B60" s="19" t="s">
        <v>51</v>
      </c>
      <c r="C60" s="17">
        <f>'01'!K60</f>
        <v>28571.428571428572</v>
      </c>
      <c r="D60" s="17">
        <f>'02'!K60</f>
        <v>28714.285714285714</v>
      </c>
      <c r="E60" s="17">
        <f>'03'!K60</f>
        <v>28714.285714285714</v>
      </c>
      <c r="F60" s="17">
        <f>'04'!K60</f>
        <v>28714.285714285714</v>
      </c>
      <c r="G60" s="17">
        <f>'05'!K60</f>
        <v>29000</v>
      </c>
      <c r="H60" s="17">
        <f>'06'!K60</f>
        <v>29000</v>
      </c>
      <c r="I60" s="17">
        <f>'07'!K60</f>
        <v>28714.285714285714</v>
      </c>
      <c r="J60" s="17">
        <f>'08'!K60</f>
        <v>28714.285714285714</v>
      </c>
      <c r="K60" s="17">
        <f>'09'!K60</f>
        <v>28714.285714285714</v>
      </c>
      <c r="L60" s="17">
        <f>'10'!K60</f>
        <v>28714.285714285714</v>
      </c>
      <c r="M60" s="17">
        <f>'11'!K60</f>
        <v>28714.285714285714</v>
      </c>
      <c r="N60" s="17">
        <f>'12'!K60</f>
        <v>28714.285714285714</v>
      </c>
      <c r="O60" s="17">
        <f>'13'!K60</f>
        <v>28571.428571428572</v>
      </c>
      <c r="P60" s="17">
        <f>'14'!K60</f>
        <v>28714.285714285714</v>
      </c>
      <c r="Q60" s="17">
        <f>'15'!K60</f>
        <v>28714.285714285714</v>
      </c>
      <c r="R60" s="17">
        <f>'16'!K60</f>
        <v>28714.285714285714</v>
      </c>
      <c r="S60" s="17">
        <f>'17'!K60</f>
        <v>28714.285714285714</v>
      </c>
      <c r="T60" s="17">
        <f>'18'!K60</f>
        <v>28714.285714285714</v>
      </c>
      <c r="U60" s="17">
        <f>'19'!K60</f>
        <v>28714.285714285714</v>
      </c>
      <c r="V60" s="17">
        <f>'20'!K60</f>
        <v>28714.285714285714</v>
      </c>
      <c r="W60" s="17">
        <f>'21'!K60</f>
        <v>28714.285714285714</v>
      </c>
      <c r="X60" s="17">
        <f>'22'!K60</f>
        <v>28714.285714285714</v>
      </c>
      <c r="Y60" s="17">
        <f>'23'!K60</f>
        <v>28714.285714285714</v>
      </c>
      <c r="Z60" s="17">
        <f>'24'!K60</f>
        <v>28714.285714285714</v>
      </c>
      <c r="AA60" s="17">
        <f>'25'!K60</f>
        <v>28714.285714285714</v>
      </c>
      <c r="AB60" s="17">
        <f>'26'!K60</f>
        <v>28714.285714285714</v>
      </c>
      <c r="AC60" s="17">
        <f>'27'!K60</f>
        <v>28714.285714285714</v>
      </c>
      <c r="AD60" s="17">
        <f>'28'!K60</f>
        <v>28714.285714285714</v>
      </c>
      <c r="AE60" s="17">
        <f>'29'!K60</f>
        <v>28714.285714285714</v>
      </c>
      <c r="AF60" s="17">
        <f>'30'!K60</f>
        <v>28714.285714285714</v>
      </c>
      <c r="AG60" s="17">
        <f>'31'!K60</f>
        <v>28714.285714285714</v>
      </c>
      <c r="AH60" s="17"/>
      <c r="AI60" s="17">
        <f t="shared" si="0"/>
        <v>142.8571428571413</v>
      </c>
      <c r="AJ60" s="132">
        <f t="shared" si="1"/>
        <v>28723.50230414746</v>
      </c>
    </row>
    <row r="61" spans="1:36" x14ac:dyDescent="0.25">
      <c r="A61" s="32">
        <v>16</v>
      </c>
      <c r="B61" s="20" t="s">
        <v>52</v>
      </c>
      <c r="C61" s="17">
        <f>'01'!K61</f>
        <v>0</v>
      </c>
      <c r="D61" s="17">
        <f>'02'!K61</f>
        <v>0</v>
      </c>
      <c r="E61" s="17">
        <f>'03'!K61</f>
        <v>0</v>
      </c>
      <c r="F61" s="17">
        <f>'04'!K61</f>
        <v>0</v>
      </c>
      <c r="G61" s="17">
        <f>'05'!K61</f>
        <v>0</v>
      </c>
      <c r="H61" s="17">
        <f>'06'!K61</f>
        <v>0</v>
      </c>
      <c r="I61" s="17">
        <f>'07'!K61</f>
        <v>0</v>
      </c>
      <c r="J61" s="17">
        <f>'08'!K61</f>
        <v>0</v>
      </c>
      <c r="K61" s="17">
        <f>'09'!K61</f>
        <v>0</v>
      </c>
      <c r="L61" s="17">
        <f>'10'!K61</f>
        <v>0</v>
      </c>
      <c r="M61" s="17">
        <f>'11'!K61</f>
        <v>0</v>
      </c>
      <c r="N61" s="17">
        <f>'12'!K61</f>
        <v>0</v>
      </c>
      <c r="O61" s="17">
        <f>'13'!K61</f>
        <v>0</v>
      </c>
      <c r="P61" s="17">
        <f>'14'!K61</f>
        <v>0</v>
      </c>
      <c r="Q61" s="17">
        <f>'15'!K61</f>
        <v>0</v>
      </c>
      <c r="R61" s="17">
        <f>'16'!K61</f>
        <v>0</v>
      </c>
      <c r="S61" s="17">
        <f>'17'!K61</f>
        <v>0</v>
      </c>
      <c r="T61" s="17">
        <f>'18'!K61</f>
        <v>0</v>
      </c>
      <c r="U61" s="17">
        <f>'19'!K61</f>
        <v>0</v>
      </c>
      <c r="V61" s="17">
        <f>'20'!K61</f>
        <v>0</v>
      </c>
      <c r="W61" s="17">
        <f>'21'!K61</f>
        <v>0</v>
      </c>
      <c r="X61" s="17">
        <f>'22'!K61</f>
        <v>0</v>
      </c>
      <c r="Y61" s="17">
        <f>'23'!K61</f>
        <v>0</v>
      </c>
      <c r="Z61" s="17">
        <f>'24'!K61</f>
        <v>0</v>
      </c>
      <c r="AA61" s="17">
        <f>'25'!K61</f>
        <v>0</v>
      </c>
      <c r="AB61" s="17">
        <f>'26'!K61</f>
        <v>0</v>
      </c>
      <c r="AC61" s="17">
        <f>'27'!K61</f>
        <v>0</v>
      </c>
      <c r="AD61" s="17">
        <f>'28'!K61</f>
        <v>0</v>
      </c>
      <c r="AE61" s="17">
        <f>'29'!K61</f>
        <v>0</v>
      </c>
      <c r="AF61" s="17">
        <f>'30'!K61</f>
        <v>0</v>
      </c>
      <c r="AG61" s="17">
        <f>'31'!K61</f>
        <v>0</v>
      </c>
      <c r="AH61" s="17"/>
      <c r="AI61" s="17">
        <f t="shared" si="0"/>
        <v>0</v>
      </c>
      <c r="AJ61" s="132">
        <f t="shared" si="1"/>
        <v>0</v>
      </c>
    </row>
    <row r="62" spans="1:36" x14ac:dyDescent="0.25">
      <c r="A62" s="33"/>
      <c r="B62" s="19" t="s">
        <v>53</v>
      </c>
      <c r="C62" s="17">
        <f>'01'!K62</f>
        <v>3200</v>
      </c>
      <c r="D62" s="17">
        <f>'02'!K62</f>
        <v>3200</v>
      </c>
      <c r="E62" s="17">
        <f>'03'!K62</f>
        <v>3200</v>
      </c>
      <c r="F62" s="17">
        <f>'04'!K62</f>
        <v>3200</v>
      </c>
      <c r="G62" s="17">
        <f>'05'!K62</f>
        <v>3200</v>
      </c>
      <c r="H62" s="17">
        <f>'06'!K62</f>
        <v>3200</v>
      </c>
      <c r="I62" s="17">
        <f>'07'!K62</f>
        <v>3200</v>
      </c>
      <c r="J62" s="17">
        <f>'08'!K62</f>
        <v>3200</v>
      </c>
      <c r="K62" s="17">
        <f>'09'!K62</f>
        <v>3200</v>
      </c>
      <c r="L62" s="17">
        <f>'10'!K62</f>
        <v>3200</v>
      </c>
      <c r="M62" s="17">
        <f>'11'!K62</f>
        <v>3166.6666666666665</v>
      </c>
      <c r="N62" s="17">
        <f>'12'!K62</f>
        <v>3200</v>
      </c>
      <c r="O62" s="17">
        <f>'13'!K62</f>
        <v>3200</v>
      </c>
      <c r="P62" s="17">
        <f>'14'!K62</f>
        <v>3200</v>
      </c>
      <c r="Q62" s="17">
        <f>'15'!K62</f>
        <v>3200</v>
      </c>
      <c r="R62" s="17">
        <f>'16'!K62</f>
        <v>3200</v>
      </c>
      <c r="S62" s="17">
        <f>'17'!K62</f>
        <v>3200</v>
      </c>
      <c r="T62" s="17">
        <f>'18'!K62</f>
        <v>3200</v>
      </c>
      <c r="U62" s="17">
        <f>'19'!K62</f>
        <v>3200</v>
      </c>
      <c r="V62" s="17">
        <f>'20'!K62</f>
        <v>3200</v>
      </c>
      <c r="W62" s="17">
        <f>'21'!K62</f>
        <v>3200</v>
      </c>
      <c r="X62" s="17">
        <f>'22'!K62</f>
        <v>3200</v>
      </c>
      <c r="Y62" s="17">
        <f>'23'!K62</f>
        <v>3200</v>
      </c>
      <c r="Z62" s="17">
        <f>'24'!K62</f>
        <v>3200</v>
      </c>
      <c r="AA62" s="17">
        <f>'25'!K62</f>
        <v>3200</v>
      </c>
      <c r="AB62" s="17">
        <f>'26'!K62</f>
        <v>3200</v>
      </c>
      <c r="AC62" s="17">
        <f>'27'!K62</f>
        <v>3200</v>
      </c>
      <c r="AD62" s="17">
        <f>'28'!K62</f>
        <v>3200</v>
      </c>
      <c r="AE62" s="17">
        <f>'29'!K62</f>
        <v>3200</v>
      </c>
      <c r="AF62" s="17">
        <f>'30'!K62</f>
        <v>3200</v>
      </c>
      <c r="AG62" s="17">
        <f>'31'!K62</f>
        <v>3200</v>
      </c>
      <c r="AH62" s="17"/>
      <c r="AI62" s="17">
        <f t="shared" si="0"/>
        <v>0</v>
      </c>
      <c r="AJ62" s="132">
        <f t="shared" si="1"/>
        <v>3198.9247311827953</v>
      </c>
    </row>
    <row r="63" spans="1:36" x14ac:dyDescent="0.25">
      <c r="A63" s="97">
        <v>17</v>
      </c>
      <c r="B63" s="20" t="s">
        <v>55</v>
      </c>
      <c r="C63" s="17">
        <f>'01'!K63</f>
        <v>0</v>
      </c>
      <c r="D63" s="17">
        <f>'02'!K63</f>
        <v>0</v>
      </c>
      <c r="E63" s="17">
        <f>'03'!K63</f>
        <v>0</v>
      </c>
      <c r="F63" s="17">
        <f>'04'!K63</f>
        <v>0</v>
      </c>
      <c r="G63" s="17">
        <f>'05'!K63</f>
        <v>0</v>
      </c>
      <c r="H63" s="17">
        <f>'06'!K63</f>
        <v>0</v>
      </c>
      <c r="I63" s="17">
        <f>'07'!K63</f>
        <v>0</v>
      </c>
      <c r="J63" s="17">
        <f>'08'!K63</f>
        <v>0</v>
      </c>
      <c r="K63" s="17">
        <f>'09'!K63</f>
        <v>0</v>
      </c>
      <c r="L63" s="17">
        <f>'10'!K63</f>
        <v>0</v>
      </c>
      <c r="M63" s="17">
        <f>'11'!K63</f>
        <v>0</v>
      </c>
      <c r="N63" s="17">
        <f>'12'!K63</f>
        <v>0</v>
      </c>
      <c r="O63" s="17">
        <f>'13'!K63</f>
        <v>0</v>
      </c>
      <c r="P63" s="17">
        <f>'14'!K63</f>
        <v>0</v>
      </c>
      <c r="Q63" s="17">
        <f>'15'!K63</f>
        <v>0</v>
      </c>
      <c r="R63" s="17">
        <f>'16'!K63</f>
        <v>0</v>
      </c>
      <c r="S63" s="17">
        <f>'17'!K63</f>
        <v>0</v>
      </c>
      <c r="T63" s="17">
        <f>'18'!K63</f>
        <v>0</v>
      </c>
      <c r="U63" s="17">
        <f>'19'!K63</f>
        <v>0</v>
      </c>
      <c r="V63" s="17">
        <f>'20'!K63</f>
        <v>0</v>
      </c>
      <c r="W63" s="17">
        <f>'21'!K63</f>
        <v>0</v>
      </c>
      <c r="X63" s="17">
        <f>'22'!K63</f>
        <v>0</v>
      </c>
      <c r="Y63" s="17">
        <f>'23'!K63</f>
        <v>0</v>
      </c>
      <c r="Z63" s="17">
        <f>'24'!K63</f>
        <v>0</v>
      </c>
      <c r="AA63" s="17">
        <f>'25'!K63</f>
        <v>0</v>
      </c>
      <c r="AB63" s="17">
        <f>'26'!K63</f>
        <v>0</v>
      </c>
      <c r="AC63" s="17">
        <f>'27'!K63</f>
        <v>0</v>
      </c>
      <c r="AD63" s="17">
        <f>'28'!K63</f>
        <v>0</v>
      </c>
      <c r="AE63" s="17">
        <f>'29'!K63</f>
        <v>0</v>
      </c>
      <c r="AF63" s="17">
        <f>'30'!K63</f>
        <v>0</v>
      </c>
      <c r="AG63" s="17">
        <f>'31'!K63</f>
        <v>0</v>
      </c>
      <c r="AH63" s="17"/>
      <c r="AI63" s="17">
        <f t="shared" si="0"/>
        <v>0</v>
      </c>
      <c r="AJ63" s="132">
        <f t="shared" si="1"/>
        <v>0</v>
      </c>
    </row>
    <row r="64" spans="1:36" x14ac:dyDescent="0.25">
      <c r="A64" s="98"/>
      <c r="B64" s="19" t="s">
        <v>56</v>
      </c>
      <c r="C64" s="17">
        <f>'01'!K64</f>
        <v>24285.714285714286</v>
      </c>
      <c r="D64" s="17">
        <f>'02'!K64</f>
        <v>26285.714285714286</v>
      </c>
      <c r="E64" s="17">
        <f>'03'!K64</f>
        <v>28571.428571428572</v>
      </c>
      <c r="F64" s="17">
        <f>'04'!K64</f>
        <v>28000</v>
      </c>
      <c r="G64" s="17">
        <f>'05'!K64</f>
        <v>28285.714285714286</v>
      </c>
      <c r="H64" s="17">
        <f>'06'!K64</f>
        <v>28571.428571428572</v>
      </c>
      <c r="I64" s="17">
        <f>'07'!K64</f>
        <v>28285.714285714286</v>
      </c>
      <c r="J64" s="17">
        <f>'08'!K64</f>
        <v>28000</v>
      </c>
      <c r="K64" s="17">
        <f>'09'!K64</f>
        <v>28714.285714285714</v>
      </c>
      <c r="L64" s="17">
        <f>'10'!K64</f>
        <v>28714.285714285714</v>
      </c>
      <c r="M64" s="17">
        <f>'11'!K64</f>
        <v>29142.857142857141</v>
      </c>
      <c r="N64" s="17">
        <f>'12'!K64</f>
        <v>29142.857142857141</v>
      </c>
      <c r="O64" s="17">
        <f>'13'!K64</f>
        <v>28571.428571428572</v>
      </c>
      <c r="P64" s="17">
        <f>'14'!K64</f>
        <v>27571.428571428572</v>
      </c>
      <c r="Q64" s="17">
        <f>'15'!K64</f>
        <v>29285.714285714286</v>
      </c>
      <c r="R64" s="17">
        <f>'16'!K64</f>
        <v>28571.428571428572</v>
      </c>
      <c r="S64" s="17">
        <f>'17'!K64</f>
        <v>28857.142857142859</v>
      </c>
      <c r="T64" s="17">
        <f>'18'!K64</f>
        <v>30142.857142857141</v>
      </c>
      <c r="U64" s="17">
        <f>'19'!K64</f>
        <v>30142.857142857141</v>
      </c>
      <c r="V64" s="17">
        <f>'20'!K64</f>
        <v>32285.714285714286</v>
      </c>
      <c r="W64" s="17">
        <f>'21'!K64</f>
        <v>31285.714285714286</v>
      </c>
      <c r="X64" s="17">
        <f>'22'!K64</f>
        <v>31857.142857142859</v>
      </c>
      <c r="Y64" s="17">
        <f>'23'!K64</f>
        <v>31428.571428571428</v>
      </c>
      <c r="Z64" s="17">
        <f>'24'!K64</f>
        <v>30857.142857142859</v>
      </c>
      <c r="AA64" s="17">
        <f>'25'!K64</f>
        <v>33142.857142857145</v>
      </c>
      <c r="AB64" s="17">
        <f>'26'!K64</f>
        <v>33142.857142857145</v>
      </c>
      <c r="AC64" s="17">
        <f>'27'!K64</f>
        <v>32857.142857142855</v>
      </c>
      <c r="AD64" s="17">
        <f>'28'!K64</f>
        <v>32285.714285714286</v>
      </c>
      <c r="AE64" s="17">
        <f>'29'!K64</f>
        <v>35000</v>
      </c>
      <c r="AF64" s="17">
        <f>'30'!K64</f>
        <v>35285.714285714283</v>
      </c>
      <c r="AG64" s="17">
        <f>'31'!K64</f>
        <v>34571.428571428572</v>
      </c>
      <c r="AH64" s="17"/>
      <c r="AI64" s="17">
        <f t="shared" si="0"/>
        <v>10285.714285714286</v>
      </c>
      <c r="AJ64" s="132">
        <f t="shared" si="1"/>
        <v>30101.382488479267</v>
      </c>
    </row>
    <row r="65" spans="1:36" x14ac:dyDescent="0.25">
      <c r="A65" s="98"/>
      <c r="B65" s="19" t="s">
        <v>57</v>
      </c>
      <c r="C65" s="17">
        <f>'01'!K65</f>
        <v>24000</v>
      </c>
      <c r="D65" s="17">
        <f>'02'!K65</f>
        <v>26200</v>
      </c>
      <c r="E65" s="17">
        <f>'03'!K65</f>
        <v>26400</v>
      </c>
      <c r="F65" s="17">
        <f>'04'!K65</f>
        <v>27600</v>
      </c>
      <c r="G65" s="17">
        <f>'05'!K65</f>
        <v>27600</v>
      </c>
      <c r="H65" s="17">
        <f>'06'!K65</f>
        <v>27600</v>
      </c>
      <c r="I65" s="17">
        <f>'07'!K65</f>
        <v>26000</v>
      </c>
      <c r="J65" s="17">
        <f>'08'!K65</f>
        <v>28600</v>
      </c>
      <c r="K65" s="17">
        <f>'09'!K65</f>
        <v>29200</v>
      </c>
      <c r="L65" s="17">
        <f>'10'!K65</f>
        <v>29200</v>
      </c>
      <c r="M65" s="17">
        <f>'11'!K65</f>
        <v>29200</v>
      </c>
      <c r="N65" s="17">
        <f>'12'!K65</f>
        <v>29200</v>
      </c>
      <c r="O65" s="17">
        <f>'13'!K65</f>
        <v>29200</v>
      </c>
      <c r="P65" s="17">
        <f>'14'!K65</f>
        <v>31200</v>
      </c>
      <c r="Q65" s="17">
        <f>'15'!K65</f>
        <v>31600</v>
      </c>
      <c r="R65" s="17">
        <f>'16'!K65</f>
        <v>31600</v>
      </c>
      <c r="S65" s="17">
        <f>'17'!K65</f>
        <v>29200</v>
      </c>
      <c r="T65" s="17">
        <f>'18'!K65</f>
        <v>30000</v>
      </c>
      <c r="U65" s="17">
        <f>'19'!K65</f>
        <v>28600</v>
      </c>
      <c r="V65" s="17">
        <f>'20'!K65</f>
        <v>31200</v>
      </c>
      <c r="W65" s="17">
        <f>'21'!K65</f>
        <v>29800</v>
      </c>
      <c r="X65" s="17">
        <f>'22'!K65</f>
        <v>30200</v>
      </c>
      <c r="Y65" s="17">
        <f>'23'!K65</f>
        <v>32600</v>
      </c>
      <c r="Z65" s="17">
        <f>'24'!K65</f>
        <v>30600</v>
      </c>
      <c r="AA65" s="17">
        <f>'25'!K65</f>
        <v>31400</v>
      </c>
      <c r="AB65" s="17">
        <f>'26'!K65</f>
        <v>31000</v>
      </c>
      <c r="AC65" s="17">
        <f>'27'!K65</f>
        <v>32000</v>
      </c>
      <c r="AD65" s="17">
        <f>'28'!K65</f>
        <v>29600</v>
      </c>
      <c r="AE65" s="17">
        <f>'29'!K65</f>
        <v>31600</v>
      </c>
      <c r="AF65" s="17">
        <f>'30'!K65</f>
        <v>31600</v>
      </c>
      <c r="AG65" s="17">
        <f>'31'!K65</f>
        <v>30600</v>
      </c>
      <c r="AH65" s="17"/>
      <c r="AI65" s="17">
        <f t="shared" si="0"/>
        <v>6600</v>
      </c>
      <c r="AJ65" s="132">
        <f t="shared" si="1"/>
        <v>29496.774193548386</v>
      </c>
    </row>
    <row r="66" spans="1:36" x14ac:dyDescent="0.25">
      <c r="A66" s="99"/>
      <c r="B66" s="19" t="s">
        <v>58</v>
      </c>
      <c r="C66" s="17">
        <f>'01'!K66</f>
        <v>33142.857142857145</v>
      </c>
      <c r="D66" s="17">
        <f>'02'!K66</f>
        <v>34571.428571428572</v>
      </c>
      <c r="E66" s="17">
        <f>'03'!K66</f>
        <v>35000</v>
      </c>
      <c r="F66" s="17">
        <f>'04'!K66</f>
        <v>35000</v>
      </c>
      <c r="G66" s="17">
        <f>'05'!K66</f>
        <v>35714.285714285717</v>
      </c>
      <c r="H66" s="17">
        <f>'06'!K66</f>
        <v>35714.285714285717</v>
      </c>
      <c r="I66" s="17">
        <f>'07'!K66</f>
        <v>37571.428571428572</v>
      </c>
      <c r="J66" s="17">
        <f>'08'!K66</f>
        <v>38714.285714285717</v>
      </c>
      <c r="K66" s="17">
        <f>'09'!K66</f>
        <v>36142.857142857145</v>
      </c>
      <c r="L66" s="17">
        <f>'10'!K66</f>
        <v>36000</v>
      </c>
      <c r="M66" s="17">
        <f>'11'!K66</f>
        <v>36000</v>
      </c>
      <c r="N66" s="17">
        <f>'12'!K66</f>
        <v>36857.142857142855</v>
      </c>
      <c r="O66" s="17">
        <f>'13'!K66</f>
        <v>36571.428571428572</v>
      </c>
      <c r="P66" s="17">
        <f>'14'!K66</f>
        <v>38142.857142857145</v>
      </c>
      <c r="Q66" s="17">
        <f>'15'!K66</f>
        <v>39000</v>
      </c>
      <c r="R66" s="17">
        <f>'16'!K66</f>
        <v>39142.857142857145</v>
      </c>
      <c r="S66" s="17">
        <f>'17'!K66</f>
        <v>38142.857142857145</v>
      </c>
      <c r="T66" s="17">
        <f>'18'!K66</f>
        <v>37571.428571428572</v>
      </c>
      <c r="U66" s="17">
        <f>'19'!K66</f>
        <v>37428.571428571428</v>
      </c>
      <c r="V66" s="17">
        <f>'20'!K66</f>
        <v>36285.714285714283</v>
      </c>
      <c r="W66" s="17">
        <f>'21'!K66</f>
        <v>35714.285714285717</v>
      </c>
      <c r="X66" s="17">
        <f>'22'!K66</f>
        <v>35857.142857142855</v>
      </c>
      <c r="Y66" s="17">
        <f>'23'!K66</f>
        <v>34857.142857142855</v>
      </c>
      <c r="Z66" s="17">
        <f>'24'!K66</f>
        <v>35857.142857142855</v>
      </c>
      <c r="AA66" s="17">
        <f>'25'!K66</f>
        <v>33285.714285714283</v>
      </c>
      <c r="AB66" s="17">
        <f>'26'!K66</f>
        <v>32857.142857142855</v>
      </c>
      <c r="AC66" s="17">
        <f>'27'!K66</f>
        <v>28857.142857142859</v>
      </c>
      <c r="AD66" s="17">
        <f>'28'!K66</f>
        <v>29285.714285714286</v>
      </c>
      <c r="AE66" s="17">
        <f>'29'!K66</f>
        <v>26285.714285714286</v>
      </c>
      <c r="AF66" s="17">
        <f>'30'!K66</f>
        <v>25571.428571428572</v>
      </c>
      <c r="AG66" s="17">
        <f>'31'!K66</f>
        <v>25571.428571428572</v>
      </c>
      <c r="AH66" s="17"/>
      <c r="AI66" s="17">
        <f t="shared" si="0"/>
        <v>-7571.4285714285725</v>
      </c>
      <c r="AJ66" s="132">
        <f t="shared" si="1"/>
        <v>34732.718894009224</v>
      </c>
    </row>
    <row r="67" spans="1:36" x14ac:dyDescent="0.25">
      <c r="A67" s="32">
        <v>18</v>
      </c>
      <c r="B67" s="20" t="s">
        <v>59</v>
      </c>
      <c r="C67" s="17">
        <f>'01'!K67</f>
        <v>0</v>
      </c>
      <c r="D67" s="17">
        <f>'02'!K67</f>
        <v>0</v>
      </c>
      <c r="E67" s="17">
        <f>'03'!K67</f>
        <v>0</v>
      </c>
      <c r="F67" s="17">
        <f>'04'!K67</f>
        <v>0</v>
      </c>
      <c r="G67" s="17">
        <f>'05'!K67</f>
        <v>0</v>
      </c>
      <c r="H67" s="17">
        <f>'06'!K67</f>
        <v>0</v>
      </c>
      <c r="I67" s="17">
        <f>'07'!K67</f>
        <v>0</v>
      </c>
      <c r="J67" s="17">
        <f>'08'!K67</f>
        <v>0</v>
      </c>
      <c r="K67" s="17">
        <f>'09'!K67</f>
        <v>0</v>
      </c>
      <c r="L67" s="17">
        <f>'10'!K67</f>
        <v>0</v>
      </c>
      <c r="M67" s="17">
        <f>'11'!K67</f>
        <v>0</v>
      </c>
      <c r="N67" s="17">
        <f>'12'!K67</f>
        <v>0</v>
      </c>
      <c r="O67" s="17">
        <f>'13'!K67</f>
        <v>0</v>
      </c>
      <c r="P67" s="17">
        <f>'14'!K67</f>
        <v>0</v>
      </c>
      <c r="Q67" s="17">
        <f>'15'!K67</f>
        <v>0</v>
      </c>
      <c r="R67" s="17">
        <f>'16'!K67</f>
        <v>0</v>
      </c>
      <c r="S67" s="17">
        <f>'17'!K67</f>
        <v>0</v>
      </c>
      <c r="T67" s="17">
        <f>'18'!K67</f>
        <v>0</v>
      </c>
      <c r="U67" s="17">
        <f>'19'!K67</f>
        <v>0</v>
      </c>
      <c r="V67" s="17">
        <f>'20'!K67</f>
        <v>0</v>
      </c>
      <c r="W67" s="17">
        <f>'21'!K67</f>
        <v>0</v>
      </c>
      <c r="X67" s="17">
        <f>'22'!K67</f>
        <v>0</v>
      </c>
      <c r="Y67" s="17">
        <f>'23'!K67</f>
        <v>0</v>
      </c>
      <c r="Z67" s="17">
        <f>'24'!K67</f>
        <v>0</v>
      </c>
      <c r="AA67" s="17">
        <f>'25'!K67</f>
        <v>0</v>
      </c>
      <c r="AB67" s="17">
        <f>'26'!K67</f>
        <v>0</v>
      </c>
      <c r="AC67" s="17">
        <f>'27'!K67</f>
        <v>0</v>
      </c>
      <c r="AD67" s="17">
        <f>'28'!K67</f>
        <v>0</v>
      </c>
      <c r="AE67" s="17">
        <f>'29'!K67</f>
        <v>0</v>
      </c>
      <c r="AF67" s="17">
        <f>'30'!K67</f>
        <v>0</v>
      </c>
      <c r="AG67" s="17">
        <f>'31'!K67</f>
        <v>0</v>
      </c>
      <c r="AH67" s="17"/>
      <c r="AI67" s="17">
        <f t="shared" si="0"/>
        <v>0</v>
      </c>
      <c r="AJ67" s="132">
        <f t="shared" si="1"/>
        <v>0</v>
      </c>
    </row>
    <row r="68" spans="1:36" x14ac:dyDescent="0.25">
      <c r="A68" s="33"/>
      <c r="B68" s="19" t="s">
        <v>60</v>
      </c>
      <c r="C68" s="17">
        <f>'01'!K68</f>
        <v>18333.333333333332</v>
      </c>
      <c r="D68" s="17">
        <f>'02'!K68</f>
        <v>18333.333333333332</v>
      </c>
      <c r="E68" s="17">
        <f>'03'!K68</f>
        <v>18333.333333333332</v>
      </c>
      <c r="F68" s="17">
        <f>'04'!K68</f>
        <v>18333.333333333332</v>
      </c>
      <c r="G68" s="17">
        <f>'05'!K68</f>
        <v>18333.333333333332</v>
      </c>
      <c r="H68" s="17">
        <f>'06'!K68</f>
        <v>18333.333333333332</v>
      </c>
      <c r="I68" s="17">
        <f>'07'!K68</f>
        <v>18333.333333333332</v>
      </c>
      <c r="J68" s="17">
        <f>'08'!K68</f>
        <v>18333.333333333332</v>
      </c>
      <c r="K68" s="17">
        <f>'09'!K68</f>
        <v>18333.333333333332</v>
      </c>
      <c r="L68" s="17">
        <f>'10'!K68</f>
        <v>18333.333333333332</v>
      </c>
      <c r="M68" s="17">
        <f>'11'!K68</f>
        <v>18333.333333333332</v>
      </c>
      <c r="N68" s="17">
        <f>'12'!K68</f>
        <v>18333.333333333332</v>
      </c>
      <c r="O68" s="17">
        <f>'13'!K68</f>
        <v>18333.333333333332</v>
      </c>
      <c r="P68" s="17">
        <f>'14'!K68</f>
        <v>18333.333333333332</v>
      </c>
      <c r="Q68" s="17">
        <f>'15'!K68</f>
        <v>18333.333333333332</v>
      </c>
      <c r="R68" s="17">
        <f>'16'!K68</f>
        <v>18333.333333333332</v>
      </c>
      <c r="S68" s="17">
        <f>'17'!K68</f>
        <v>18333.333333333332</v>
      </c>
      <c r="T68" s="17">
        <f>'18'!K68</f>
        <v>18333.333333333332</v>
      </c>
      <c r="U68" s="17">
        <f>'19'!K68</f>
        <v>18333.333333333332</v>
      </c>
      <c r="V68" s="17">
        <f>'20'!K68</f>
        <v>18333.333333333332</v>
      </c>
      <c r="W68" s="17">
        <f>'21'!K68</f>
        <v>18333.333333333332</v>
      </c>
      <c r="X68" s="17">
        <f>'22'!K68</f>
        <v>18333.333333333332</v>
      </c>
      <c r="Y68" s="17">
        <f>'23'!K68</f>
        <v>18333.333333333332</v>
      </c>
      <c r="Z68" s="17">
        <f>'24'!K68</f>
        <v>18333.333333333332</v>
      </c>
      <c r="AA68" s="17">
        <f>'25'!K68</f>
        <v>18333.333333333332</v>
      </c>
      <c r="AB68" s="17">
        <f>'26'!K68</f>
        <v>18333.333333333332</v>
      </c>
      <c r="AC68" s="17">
        <f>'27'!K68</f>
        <v>18666.666666666668</v>
      </c>
      <c r="AD68" s="17">
        <f>'28'!K68</f>
        <v>18666.666666666668</v>
      </c>
      <c r="AE68" s="17">
        <f>'29'!K68</f>
        <v>18666.666666666668</v>
      </c>
      <c r="AF68" s="17">
        <f>'30'!K68</f>
        <v>18666.666666666668</v>
      </c>
      <c r="AG68" s="17">
        <f>'31'!K68</f>
        <v>18666.666666666668</v>
      </c>
      <c r="AH68" s="17"/>
      <c r="AI68" s="17">
        <f t="shared" si="0"/>
        <v>333.33333333333576</v>
      </c>
      <c r="AJ68" s="132">
        <f t="shared" si="1"/>
        <v>18387.096774193542</v>
      </c>
    </row>
    <row r="69" spans="1:36" x14ac:dyDescent="0.25">
      <c r="A69" s="97">
        <v>19</v>
      </c>
      <c r="B69" s="20" t="s">
        <v>62</v>
      </c>
      <c r="C69" s="17">
        <f>'01'!K69</f>
        <v>0</v>
      </c>
      <c r="D69" s="17">
        <f>'02'!K69</f>
        <v>0</v>
      </c>
      <c r="E69" s="17">
        <f>'03'!K69</f>
        <v>0</v>
      </c>
      <c r="F69" s="17">
        <f>'04'!K69</f>
        <v>0</v>
      </c>
      <c r="G69" s="17">
        <f>'05'!K69</f>
        <v>0</v>
      </c>
      <c r="H69" s="17">
        <f>'06'!K69</f>
        <v>0</v>
      </c>
      <c r="I69" s="17">
        <f>'07'!K69</f>
        <v>0</v>
      </c>
      <c r="J69" s="17">
        <f>'08'!K69</f>
        <v>0</v>
      </c>
      <c r="K69" s="17">
        <f>'09'!K69</f>
        <v>0</v>
      </c>
      <c r="L69" s="17">
        <f>'10'!K69</f>
        <v>0</v>
      </c>
      <c r="M69" s="17">
        <f>'11'!K69</f>
        <v>0</v>
      </c>
      <c r="N69" s="17">
        <f>'12'!K69</f>
        <v>0</v>
      </c>
      <c r="O69" s="17">
        <f>'13'!K69</f>
        <v>0</v>
      </c>
      <c r="P69" s="17">
        <f>'14'!K69</f>
        <v>0</v>
      </c>
      <c r="Q69" s="17">
        <f>'15'!K69</f>
        <v>0</v>
      </c>
      <c r="R69" s="17">
        <f>'16'!K69</f>
        <v>0</v>
      </c>
      <c r="S69" s="17">
        <f>'17'!K69</f>
        <v>0</v>
      </c>
      <c r="T69" s="17">
        <f>'18'!K69</f>
        <v>0</v>
      </c>
      <c r="U69" s="17">
        <f>'19'!K69</f>
        <v>0</v>
      </c>
      <c r="V69" s="17">
        <f>'20'!K69</f>
        <v>0</v>
      </c>
      <c r="W69" s="17">
        <f>'21'!K69</f>
        <v>0</v>
      </c>
      <c r="X69" s="17">
        <f>'22'!K69</f>
        <v>0</v>
      </c>
      <c r="Y69" s="17">
        <f>'23'!K69</f>
        <v>0</v>
      </c>
      <c r="Z69" s="17">
        <f>'24'!K69</f>
        <v>0</v>
      </c>
      <c r="AA69" s="17">
        <f>'25'!K69</f>
        <v>0</v>
      </c>
      <c r="AB69" s="17">
        <f>'26'!K69</f>
        <v>0</v>
      </c>
      <c r="AC69" s="17">
        <f>'27'!K69</f>
        <v>0</v>
      </c>
      <c r="AD69" s="17">
        <f>'28'!K69</f>
        <v>0</v>
      </c>
      <c r="AE69" s="17">
        <f>'29'!K69</f>
        <v>0</v>
      </c>
      <c r="AF69" s="17">
        <f>'30'!K69</f>
        <v>0</v>
      </c>
      <c r="AG69" s="17">
        <f>'31'!K69</f>
        <v>0</v>
      </c>
      <c r="AH69" s="17"/>
      <c r="AI69" s="17">
        <f t="shared" si="0"/>
        <v>0</v>
      </c>
      <c r="AJ69" s="132">
        <f t="shared" si="1"/>
        <v>0</v>
      </c>
    </row>
    <row r="70" spans="1:36" x14ac:dyDescent="0.25">
      <c r="A70" s="98"/>
      <c r="B70" s="19" t="s">
        <v>63</v>
      </c>
      <c r="C70" s="17">
        <f>'01'!K70</f>
        <v>36428.571428571428</v>
      </c>
      <c r="D70" s="17">
        <f>'02'!K70</f>
        <v>36285.714285714283</v>
      </c>
      <c r="E70" s="17">
        <f>'03'!K70</f>
        <v>36571.428571428572</v>
      </c>
      <c r="F70" s="17">
        <f>'04'!K70</f>
        <v>36571.428571428572</v>
      </c>
      <c r="G70" s="17">
        <f>'05'!K70</f>
        <v>36714.285714285717</v>
      </c>
      <c r="H70" s="17">
        <f>'06'!K70</f>
        <v>37000</v>
      </c>
      <c r="I70" s="17">
        <f>'07'!K70</f>
        <v>37285.714285714283</v>
      </c>
      <c r="J70" s="17">
        <f>'08'!K70</f>
        <v>36571.428571428572</v>
      </c>
      <c r="K70" s="17">
        <f>'09'!K70</f>
        <v>36000</v>
      </c>
      <c r="L70" s="17">
        <f>'10'!K70</f>
        <v>35714.285714285717</v>
      </c>
      <c r="M70" s="17">
        <f>'11'!K70</f>
        <v>35714.285714285717</v>
      </c>
      <c r="N70" s="17">
        <f>'12'!K70</f>
        <v>36285.714285714283</v>
      </c>
      <c r="O70" s="17">
        <f>'13'!K70</f>
        <v>35857.142857142855</v>
      </c>
      <c r="P70" s="17">
        <f>'14'!K70</f>
        <v>36142.857142857145</v>
      </c>
      <c r="Q70" s="17">
        <f>'15'!K70</f>
        <v>36000</v>
      </c>
      <c r="R70" s="17">
        <f>'16'!K70</f>
        <v>35714.285714285717</v>
      </c>
      <c r="S70" s="17">
        <f>'17'!K70</f>
        <v>35571.428571428572</v>
      </c>
      <c r="T70" s="17">
        <f>'18'!K70</f>
        <v>36000</v>
      </c>
      <c r="U70" s="17">
        <f>'19'!K70</f>
        <v>36000</v>
      </c>
      <c r="V70" s="17">
        <f>'20'!K70</f>
        <v>35857.142857142855</v>
      </c>
      <c r="W70" s="17">
        <f>'21'!K70</f>
        <v>34857.142857142855</v>
      </c>
      <c r="X70" s="17">
        <f>'22'!K70</f>
        <v>34571.428571428572</v>
      </c>
      <c r="Y70" s="17">
        <f>'23'!K70</f>
        <v>34857.142857142855</v>
      </c>
      <c r="Z70" s="17">
        <f>'24'!K70</f>
        <v>35142.857142857145</v>
      </c>
      <c r="AA70" s="17">
        <f>'25'!K70</f>
        <v>35285.714285714283</v>
      </c>
      <c r="AB70" s="17">
        <f>'26'!K70</f>
        <v>35000</v>
      </c>
      <c r="AC70" s="17">
        <f>'27'!K70</f>
        <v>35000</v>
      </c>
      <c r="AD70" s="17">
        <f>'28'!K70</f>
        <v>35142.857142857145</v>
      </c>
      <c r="AE70" s="17">
        <f>'29'!K70</f>
        <v>34571.428571428572</v>
      </c>
      <c r="AF70" s="17">
        <f>'30'!K70</f>
        <v>34857.142857142855</v>
      </c>
      <c r="AG70" s="17">
        <f>'31'!K70</f>
        <v>34714.285714285717</v>
      </c>
      <c r="AH70" s="17"/>
      <c r="AI70" s="17">
        <f t="shared" si="0"/>
        <v>-1714.2857142857101</v>
      </c>
      <c r="AJ70" s="132">
        <f t="shared" si="1"/>
        <v>35751.152073732716</v>
      </c>
    </row>
    <row r="71" spans="1:36" x14ac:dyDescent="0.25">
      <c r="A71" s="98"/>
      <c r="B71" s="19" t="s">
        <v>64</v>
      </c>
      <c r="C71" s="17">
        <f>'01'!K71</f>
        <v>35285.714285714283</v>
      </c>
      <c r="D71" s="17">
        <f>'02'!K71</f>
        <v>34428.571428571428</v>
      </c>
      <c r="E71" s="17">
        <f>'03'!K71</f>
        <v>35142.857142857145</v>
      </c>
      <c r="F71" s="17">
        <f>'04'!K71</f>
        <v>35142.857142857145</v>
      </c>
      <c r="G71" s="17">
        <f>'05'!K71</f>
        <v>35000</v>
      </c>
      <c r="H71" s="17">
        <f>'06'!K71</f>
        <v>35142.857142857145</v>
      </c>
      <c r="I71" s="17">
        <f>'07'!K71</f>
        <v>34857.142857142855</v>
      </c>
      <c r="J71" s="17">
        <f>'08'!K71</f>
        <v>33714.285714285717</v>
      </c>
      <c r="K71" s="17">
        <f>'09'!K71</f>
        <v>33571.428571428572</v>
      </c>
      <c r="L71" s="17">
        <f>'10'!K71</f>
        <v>33571.428571428572</v>
      </c>
      <c r="M71" s="17">
        <f>'11'!K71</f>
        <v>33571.428571428572</v>
      </c>
      <c r="N71" s="17">
        <f>'12'!K71</f>
        <v>33857.142857142855</v>
      </c>
      <c r="O71" s="17">
        <f>'13'!K71</f>
        <v>33714.285714285717</v>
      </c>
      <c r="P71" s="17">
        <f>'14'!K71</f>
        <v>33857.142857142855</v>
      </c>
      <c r="Q71" s="17">
        <f>'15'!K71</f>
        <v>33857.142857142855</v>
      </c>
      <c r="R71" s="17">
        <f>'16'!K71</f>
        <v>33428.571428571428</v>
      </c>
      <c r="S71" s="17">
        <f>'17'!K71</f>
        <v>33857.142857142855</v>
      </c>
      <c r="T71" s="17">
        <f>'18'!K71</f>
        <v>33428.571428571428</v>
      </c>
      <c r="U71" s="17">
        <f>'19'!K71</f>
        <v>33285.714285714283</v>
      </c>
      <c r="V71" s="17">
        <f>'20'!K71</f>
        <v>33428.571428571428</v>
      </c>
      <c r="W71" s="17">
        <f>'21'!K71</f>
        <v>31857.142857142859</v>
      </c>
      <c r="X71" s="17">
        <f>'22'!K71</f>
        <v>31571.428571428572</v>
      </c>
      <c r="Y71" s="17">
        <f>'23'!K71</f>
        <v>31714.285714285714</v>
      </c>
      <c r="Z71" s="17">
        <f>'24'!K71</f>
        <v>32142.857142857141</v>
      </c>
      <c r="AA71" s="17">
        <f>'25'!K71</f>
        <v>33142.857142857145</v>
      </c>
      <c r="AB71" s="17">
        <f>'26'!K71</f>
        <v>32857.142857142855</v>
      </c>
      <c r="AC71" s="17">
        <f>'27'!K71</f>
        <v>33142.857142857145</v>
      </c>
      <c r="AD71" s="17">
        <f>'28'!K71</f>
        <v>33142.857142857145</v>
      </c>
      <c r="AE71" s="17">
        <f>'29'!K71</f>
        <v>33000</v>
      </c>
      <c r="AF71" s="17">
        <f>'30'!K71</f>
        <v>32857.142857142855</v>
      </c>
      <c r="AG71" s="17">
        <f>'31'!K71</f>
        <v>32285.714285714286</v>
      </c>
      <c r="AH71" s="17"/>
      <c r="AI71" s="17">
        <f t="shared" si="0"/>
        <v>-2999.9999999999964</v>
      </c>
      <c r="AJ71" s="132">
        <f t="shared" si="1"/>
        <v>33543.77880184332</v>
      </c>
    </row>
    <row r="72" spans="1:36" x14ac:dyDescent="0.25">
      <c r="A72" s="98"/>
      <c r="B72" s="19" t="s">
        <v>65</v>
      </c>
      <c r="C72" s="17">
        <f>'01'!K72</f>
        <v>24571.428571428572</v>
      </c>
      <c r="D72" s="17">
        <f>'02'!K72</f>
        <v>24285.714285714286</v>
      </c>
      <c r="E72" s="17">
        <f>'03'!K72</f>
        <v>25142.857142857141</v>
      </c>
      <c r="F72" s="17">
        <f>'04'!K72</f>
        <v>25285.714285714286</v>
      </c>
      <c r="G72" s="17">
        <f>'05'!K72</f>
        <v>25571.428571428572</v>
      </c>
      <c r="H72" s="17">
        <f>'06'!K72</f>
        <v>25285.714285714286</v>
      </c>
      <c r="I72" s="17">
        <f>'07'!K72</f>
        <v>25571.428571428572</v>
      </c>
      <c r="J72" s="17">
        <f>'08'!K72</f>
        <v>25000</v>
      </c>
      <c r="K72" s="17">
        <f>'09'!K72</f>
        <v>23714.285714285714</v>
      </c>
      <c r="L72" s="17">
        <f>'10'!K72</f>
        <v>24000</v>
      </c>
      <c r="M72" s="17">
        <f>'11'!K72</f>
        <v>23714.285714285714</v>
      </c>
      <c r="N72" s="17">
        <f>'12'!K72</f>
        <v>24428.571428571428</v>
      </c>
      <c r="O72" s="17">
        <f>'13'!K72</f>
        <v>24428.571428571428</v>
      </c>
      <c r="P72" s="17">
        <f>'14'!K72</f>
        <v>23428.571428571428</v>
      </c>
      <c r="Q72" s="17">
        <f>'15'!K72</f>
        <v>24000</v>
      </c>
      <c r="R72" s="17">
        <f>'16'!K72</f>
        <v>23714.285714285714</v>
      </c>
      <c r="S72" s="17">
        <f>'17'!K72</f>
        <v>23571.428571428572</v>
      </c>
      <c r="T72" s="17">
        <f>'18'!K72</f>
        <v>23000</v>
      </c>
      <c r="U72" s="17">
        <f>'19'!K72</f>
        <v>22714.285714285714</v>
      </c>
      <c r="V72" s="17">
        <f>'20'!K72</f>
        <v>21857.142857142859</v>
      </c>
      <c r="W72" s="17">
        <f>'21'!K72</f>
        <v>20285.714285714286</v>
      </c>
      <c r="X72" s="17">
        <f>'22'!K72</f>
        <v>20428.571428571428</v>
      </c>
      <c r="Y72" s="17">
        <f>'23'!K72</f>
        <v>20285.714285714286</v>
      </c>
      <c r="Z72" s="17">
        <f>'24'!K72</f>
        <v>20857.142857142859</v>
      </c>
      <c r="AA72" s="17">
        <f>'25'!K72</f>
        <v>20571.428571428572</v>
      </c>
      <c r="AB72" s="17">
        <f>'26'!K72</f>
        <v>20571.428571428572</v>
      </c>
      <c r="AC72" s="17">
        <f>'27'!K72</f>
        <v>20571.428571428572</v>
      </c>
      <c r="AD72" s="17">
        <f>'28'!K72</f>
        <v>22000</v>
      </c>
      <c r="AE72" s="17">
        <f>'29'!K72</f>
        <v>21571.428571428572</v>
      </c>
      <c r="AF72" s="17">
        <f>'30'!K72</f>
        <v>21285.714285714286</v>
      </c>
      <c r="AG72" s="17">
        <f>'31'!K72</f>
        <v>21571.428571428572</v>
      </c>
      <c r="AH72" s="17"/>
      <c r="AI72" s="17">
        <f t="shared" si="0"/>
        <v>-3000</v>
      </c>
      <c r="AJ72" s="132">
        <f t="shared" si="1"/>
        <v>23009.216589861746</v>
      </c>
    </row>
    <row r="73" spans="1:36" x14ac:dyDescent="0.25">
      <c r="A73" s="99"/>
      <c r="B73" s="19" t="s">
        <v>66</v>
      </c>
      <c r="C73" s="17">
        <f>'01'!K73</f>
        <v>28714.285714285714</v>
      </c>
      <c r="D73" s="17">
        <f>'02'!K73</f>
        <v>28714.285714285714</v>
      </c>
      <c r="E73" s="17">
        <f>'03'!K73</f>
        <v>28714.285714285714</v>
      </c>
      <c r="F73" s="17">
        <f>'04'!K73</f>
        <v>28714.285714285714</v>
      </c>
      <c r="G73" s="17">
        <f>'05'!K73</f>
        <v>28714.285714285714</v>
      </c>
      <c r="H73" s="17">
        <f>'06'!K73</f>
        <v>28714.285714285714</v>
      </c>
      <c r="I73" s="17">
        <f>'07'!K73</f>
        <v>29428.571428571428</v>
      </c>
      <c r="J73" s="17">
        <f>'08'!K73</f>
        <v>31571.428571428572</v>
      </c>
      <c r="K73" s="17">
        <f>'09'!K73</f>
        <v>31571.428571428572</v>
      </c>
      <c r="L73" s="17">
        <f>'10'!K73</f>
        <v>31142.857142857141</v>
      </c>
      <c r="M73" s="17">
        <f>'11'!K73</f>
        <v>29000</v>
      </c>
      <c r="N73" s="17">
        <f>'12'!K73</f>
        <v>28285.714285714286</v>
      </c>
      <c r="O73" s="17">
        <f>'13'!K73</f>
        <v>28428.571428571428</v>
      </c>
      <c r="P73" s="17">
        <f>'14'!K73</f>
        <v>28714.285714285714</v>
      </c>
      <c r="Q73" s="17">
        <f>'15'!K73</f>
        <v>28714.285714285714</v>
      </c>
      <c r="R73" s="17">
        <f>'16'!K73</f>
        <v>28714.285714285714</v>
      </c>
      <c r="S73" s="17">
        <f>'17'!K73</f>
        <v>28000</v>
      </c>
      <c r="T73" s="17">
        <f>'18'!K73</f>
        <v>28714.285714285714</v>
      </c>
      <c r="U73" s="17">
        <f>'19'!K73</f>
        <v>28714.285714285714</v>
      </c>
      <c r="V73" s="17">
        <f>'20'!K73</f>
        <v>28428.571428571428</v>
      </c>
      <c r="W73" s="17">
        <f>'21'!K73</f>
        <v>28428.571428571428</v>
      </c>
      <c r="X73" s="17">
        <f>'22'!K73</f>
        <v>28428.571428571428</v>
      </c>
      <c r="Y73" s="17">
        <f>'23'!K73</f>
        <v>28428.571428571428</v>
      </c>
      <c r="Z73" s="17">
        <f>'24'!K73</f>
        <v>28428.571428571428</v>
      </c>
      <c r="AA73" s="17">
        <f>'25'!K73</f>
        <v>27428.571428571428</v>
      </c>
      <c r="AB73" s="17">
        <f>'26'!K73</f>
        <v>27428.571428571428</v>
      </c>
      <c r="AC73" s="17">
        <f>'27'!K73</f>
        <v>26000</v>
      </c>
      <c r="AD73" s="17">
        <f>'28'!K73</f>
        <v>27428.571428571428</v>
      </c>
      <c r="AE73" s="17">
        <f>'29'!K73</f>
        <v>27428.571428571428</v>
      </c>
      <c r="AF73" s="17">
        <f>'30'!K73</f>
        <v>27285.714285714286</v>
      </c>
      <c r="AG73" s="17">
        <f>'31'!K73</f>
        <v>27285.714285714286</v>
      </c>
      <c r="AH73" s="17"/>
      <c r="AI73" s="17">
        <f t="shared" ref="AI73:AI88" si="2">AG73-C73</f>
        <v>-1428.5714285714275</v>
      </c>
      <c r="AJ73" s="132">
        <f t="shared" ref="AJ73:AJ88" si="3">AVERAGE(C73:AG73)</f>
        <v>28571.428571428591</v>
      </c>
    </row>
    <row r="74" spans="1:36" x14ac:dyDescent="0.25">
      <c r="A74" s="32">
        <v>20</v>
      </c>
      <c r="B74" s="20" t="s">
        <v>67</v>
      </c>
      <c r="C74" s="17">
        <f>'01'!K74</f>
        <v>0</v>
      </c>
      <c r="D74" s="17">
        <f>'02'!K74</f>
        <v>0</v>
      </c>
      <c r="E74" s="17">
        <f>'03'!K74</f>
        <v>0</v>
      </c>
      <c r="F74" s="17">
        <f>'04'!K74</f>
        <v>0</v>
      </c>
      <c r="G74" s="17">
        <f>'05'!K74</f>
        <v>0</v>
      </c>
      <c r="H74" s="17">
        <f>'06'!K74</f>
        <v>0</v>
      </c>
      <c r="I74" s="17">
        <f>'07'!K74</f>
        <v>0</v>
      </c>
      <c r="J74" s="17">
        <f>'08'!K74</f>
        <v>0</v>
      </c>
      <c r="K74" s="17">
        <f>'09'!K74</f>
        <v>0</v>
      </c>
      <c r="L74" s="17">
        <f>'10'!K74</f>
        <v>0</v>
      </c>
      <c r="M74" s="17">
        <f>'11'!K74</f>
        <v>0</v>
      </c>
      <c r="N74" s="17">
        <f>'12'!K74</f>
        <v>0</v>
      </c>
      <c r="O74" s="17">
        <f>'13'!K74</f>
        <v>0</v>
      </c>
      <c r="P74" s="17">
        <f>'14'!K74</f>
        <v>0</v>
      </c>
      <c r="Q74" s="17">
        <f>'15'!K74</f>
        <v>0</v>
      </c>
      <c r="R74" s="17">
        <f>'16'!K74</f>
        <v>0</v>
      </c>
      <c r="S74" s="17">
        <f>'17'!K74</f>
        <v>0</v>
      </c>
      <c r="T74" s="17">
        <f>'18'!K74</f>
        <v>0</v>
      </c>
      <c r="U74" s="17">
        <f>'19'!K74</f>
        <v>0</v>
      </c>
      <c r="V74" s="17">
        <f>'20'!K74</f>
        <v>0</v>
      </c>
      <c r="W74" s="17">
        <f>'21'!K74</f>
        <v>0</v>
      </c>
      <c r="X74" s="17">
        <f>'22'!K74</f>
        <v>0</v>
      </c>
      <c r="Y74" s="17">
        <f>'23'!K74</f>
        <v>0</v>
      </c>
      <c r="Z74" s="17">
        <f>'24'!K74</f>
        <v>0</v>
      </c>
      <c r="AA74" s="17">
        <f>'25'!K74</f>
        <v>0</v>
      </c>
      <c r="AB74" s="17">
        <f>'26'!K74</f>
        <v>0</v>
      </c>
      <c r="AC74" s="17">
        <f>'27'!K74</f>
        <v>0</v>
      </c>
      <c r="AD74" s="17">
        <f>'28'!K74</f>
        <v>0</v>
      </c>
      <c r="AE74" s="17">
        <f>'29'!K74</f>
        <v>0</v>
      </c>
      <c r="AF74" s="17">
        <f>'30'!K74</f>
        <v>0</v>
      </c>
      <c r="AG74" s="17">
        <f>'31'!K74</f>
        <v>0</v>
      </c>
      <c r="AH74" s="17"/>
      <c r="AI74" s="17">
        <f t="shared" si="2"/>
        <v>0</v>
      </c>
      <c r="AJ74" s="132">
        <f t="shared" si="3"/>
        <v>0</v>
      </c>
    </row>
    <row r="75" spans="1:36" x14ac:dyDescent="0.25">
      <c r="A75" s="34"/>
      <c r="B75" s="19" t="s">
        <v>68</v>
      </c>
      <c r="C75" s="17">
        <f>'01'!K75</f>
        <v>5428.5714285714284</v>
      </c>
      <c r="D75" s="17">
        <f>'02'!K75</f>
        <v>5142.8571428571431</v>
      </c>
      <c r="E75" s="17">
        <f>'03'!K75</f>
        <v>5142.8571428571431</v>
      </c>
      <c r="F75" s="17">
        <f>'04'!K75</f>
        <v>5142.8571428571431</v>
      </c>
      <c r="G75" s="17">
        <f>'05'!K75</f>
        <v>5142.8571428571431</v>
      </c>
      <c r="H75" s="17">
        <f>'06'!K75</f>
        <v>5142.8571428571431</v>
      </c>
      <c r="I75" s="17">
        <f>'07'!K75</f>
        <v>5142.8571428571431</v>
      </c>
      <c r="J75" s="17">
        <f>'08'!K75</f>
        <v>5285.7142857142853</v>
      </c>
      <c r="K75" s="17">
        <f>'09'!K75</f>
        <v>5285.7142857142853</v>
      </c>
      <c r="L75" s="17">
        <f>'10'!K75</f>
        <v>5428.5714285714284</v>
      </c>
      <c r="M75" s="17">
        <f>'11'!K75</f>
        <v>5428.5714285714284</v>
      </c>
      <c r="N75" s="17">
        <f>'12'!K75</f>
        <v>5428.5714285714284</v>
      </c>
      <c r="O75" s="17">
        <f>'13'!K75</f>
        <v>5428.5714285714284</v>
      </c>
      <c r="P75" s="17">
        <f>'14'!K75</f>
        <v>5428.5714285714284</v>
      </c>
      <c r="Q75" s="17">
        <f>'15'!K75</f>
        <v>5428.5714285714284</v>
      </c>
      <c r="R75" s="17">
        <f>'16'!K75</f>
        <v>5428.5714285714284</v>
      </c>
      <c r="S75" s="17">
        <f>'17'!K75</f>
        <v>5428.5714285714284</v>
      </c>
      <c r="T75" s="17">
        <f>'18'!K75</f>
        <v>5428.5714285714284</v>
      </c>
      <c r="U75" s="17">
        <f>'19'!K75</f>
        <v>5428.5714285714284</v>
      </c>
      <c r="V75" s="17">
        <f>'20'!K75</f>
        <v>5428.5714285714284</v>
      </c>
      <c r="W75" s="17">
        <f>'21'!K75</f>
        <v>5428.5714285714284</v>
      </c>
      <c r="X75" s="17">
        <f>'22'!K75</f>
        <v>5428.5714285714284</v>
      </c>
      <c r="Y75" s="17">
        <f>'23'!K75</f>
        <v>5428.5714285714284</v>
      </c>
      <c r="Z75" s="17">
        <f>'24'!K75</f>
        <v>5428.5714285714284</v>
      </c>
      <c r="AA75" s="17">
        <f>'25'!K75</f>
        <v>5428.5714285714284</v>
      </c>
      <c r="AB75" s="17">
        <f>'26'!K75</f>
        <v>5428.5714285714284</v>
      </c>
      <c r="AC75" s="17">
        <f>'27'!K75</f>
        <v>5428.5714285714284</v>
      </c>
      <c r="AD75" s="17">
        <f>'28'!K75</f>
        <v>5428.5714285714284</v>
      </c>
      <c r="AE75" s="17">
        <f>'29'!K75</f>
        <v>5428.5714285714284</v>
      </c>
      <c r="AF75" s="17">
        <f>'30'!K75</f>
        <v>5428.5714285714284</v>
      </c>
      <c r="AG75" s="17">
        <f>'31'!K75</f>
        <v>5428.5714285714284</v>
      </c>
      <c r="AH75" s="17"/>
      <c r="AI75" s="17">
        <f t="shared" si="2"/>
        <v>0</v>
      </c>
      <c r="AJ75" s="132">
        <f t="shared" si="3"/>
        <v>5364.0552995391708</v>
      </c>
    </row>
    <row r="76" spans="1:36" x14ac:dyDescent="0.25">
      <c r="A76" s="33"/>
      <c r="B76" s="19" t="s">
        <v>69</v>
      </c>
      <c r="C76" s="17">
        <f>'01'!K76</f>
        <v>5666.666666666667</v>
      </c>
      <c r="D76" s="17">
        <f>'02'!K76</f>
        <v>5500</v>
      </c>
      <c r="E76" s="17">
        <f>'03'!K76</f>
        <v>5500</v>
      </c>
      <c r="F76" s="17">
        <f>'04'!K76</f>
        <v>5500</v>
      </c>
      <c r="G76" s="17">
        <f>'05'!K76</f>
        <v>5571.4285714285716</v>
      </c>
      <c r="H76" s="17">
        <f>'06'!K76</f>
        <v>5571.4285714285716</v>
      </c>
      <c r="I76" s="17">
        <f>'07'!K76</f>
        <v>5571.4285714285716</v>
      </c>
      <c r="J76" s="17">
        <f>'08'!K76</f>
        <v>5714.2857142857147</v>
      </c>
      <c r="K76" s="17">
        <f>'09'!K76</f>
        <v>5714.2857142857147</v>
      </c>
      <c r="L76" s="17">
        <f>'10'!K76</f>
        <v>5714.2857142857147</v>
      </c>
      <c r="M76" s="17">
        <f>'11'!K76</f>
        <v>5714.2857142857147</v>
      </c>
      <c r="N76" s="17">
        <f>'12'!K76</f>
        <v>5714.2857142857147</v>
      </c>
      <c r="O76" s="17">
        <f>'13'!K76</f>
        <v>5714.2857142857147</v>
      </c>
      <c r="P76" s="17">
        <f>'14'!K76</f>
        <v>5714.2857142857147</v>
      </c>
      <c r="Q76" s="17">
        <f>'15'!K76</f>
        <v>5714.2857142857147</v>
      </c>
      <c r="R76" s="17">
        <f>'16'!K76</f>
        <v>5714.2857142857147</v>
      </c>
      <c r="S76" s="17">
        <f>'17'!K76</f>
        <v>5714.2857142857147</v>
      </c>
      <c r="T76" s="17">
        <f>'18'!K76</f>
        <v>5714.2857142857147</v>
      </c>
      <c r="U76" s="17">
        <f>'19'!K76</f>
        <v>5714.2857142857147</v>
      </c>
      <c r="V76" s="17">
        <f>'20'!K76</f>
        <v>5714.2857142857147</v>
      </c>
      <c r="W76" s="17">
        <f>'21'!K76</f>
        <v>5714.2857142857147</v>
      </c>
      <c r="X76" s="17">
        <f>'22'!K76</f>
        <v>5714.2857142857147</v>
      </c>
      <c r="Y76" s="17">
        <f>'23'!K76</f>
        <v>5714.2857142857147</v>
      </c>
      <c r="Z76" s="17">
        <f>'24'!K76</f>
        <v>5714.2857142857147</v>
      </c>
      <c r="AA76" s="17">
        <f>'25'!K76</f>
        <v>5714.2857142857147</v>
      </c>
      <c r="AB76" s="17">
        <f>'26'!K76</f>
        <v>5714.2857142857147</v>
      </c>
      <c r="AC76" s="17">
        <f>'27'!K76</f>
        <v>5714.2857142857147</v>
      </c>
      <c r="AD76" s="17">
        <f>'28'!K76</f>
        <v>5714.2857142857147</v>
      </c>
      <c r="AE76" s="17">
        <f>'29'!K76</f>
        <v>5714.2857142857147</v>
      </c>
      <c r="AF76" s="17">
        <f>'30'!K76</f>
        <v>5714.2857142857147</v>
      </c>
      <c r="AG76" s="17">
        <f>'31'!K76</f>
        <v>5714.2857142857147</v>
      </c>
      <c r="AH76" s="17"/>
      <c r="AI76" s="17">
        <f t="shared" si="2"/>
        <v>47.619047619047706</v>
      </c>
      <c r="AJ76" s="132">
        <f t="shared" si="3"/>
        <v>5678.1874039938539</v>
      </c>
    </row>
    <row r="77" spans="1:36" x14ac:dyDescent="0.25">
      <c r="A77" s="32">
        <v>21</v>
      </c>
      <c r="B77" s="20" t="s">
        <v>70</v>
      </c>
      <c r="C77" s="17">
        <f>'01'!K77</f>
        <v>0</v>
      </c>
      <c r="D77" s="17">
        <f>'02'!K77</f>
        <v>0</v>
      </c>
      <c r="E77" s="17">
        <f>'03'!K77</f>
        <v>0</v>
      </c>
      <c r="F77" s="17">
        <f>'04'!K77</f>
        <v>0</v>
      </c>
      <c r="G77" s="17">
        <f>'05'!K77</f>
        <v>0</v>
      </c>
      <c r="H77" s="17">
        <f>'06'!K77</f>
        <v>0</v>
      </c>
      <c r="I77" s="17">
        <f>'07'!K77</f>
        <v>0</v>
      </c>
      <c r="J77" s="17">
        <f>'08'!K77</f>
        <v>0</v>
      </c>
      <c r="K77" s="17">
        <f>'09'!K77</f>
        <v>0</v>
      </c>
      <c r="L77" s="17">
        <f>'10'!K77</f>
        <v>0</v>
      </c>
      <c r="M77" s="17">
        <f>'11'!K77</f>
        <v>0</v>
      </c>
      <c r="N77" s="17">
        <f>'12'!K77</f>
        <v>0</v>
      </c>
      <c r="O77" s="17">
        <f>'13'!K77</f>
        <v>0</v>
      </c>
      <c r="P77" s="17">
        <f>'14'!K77</f>
        <v>0</v>
      </c>
      <c r="Q77" s="17">
        <f>'15'!K77</f>
        <v>0</v>
      </c>
      <c r="R77" s="17">
        <f>'16'!K77</f>
        <v>0</v>
      </c>
      <c r="S77" s="17">
        <f>'17'!K77</f>
        <v>0</v>
      </c>
      <c r="T77" s="17">
        <f>'18'!K77</f>
        <v>0</v>
      </c>
      <c r="U77" s="17">
        <f>'19'!K77</f>
        <v>0</v>
      </c>
      <c r="V77" s="17">
        <f>'20'!K77</f>
        <v>0</v>
      </c>
      <c r="W77" s="17">
        <f>'21'!K77</f>
        <v>0</v>
      </c>
      <c r="X77" s="17">
        <f>'22'!K77</f>
        <v>0</v>
      </c>
      <c r="Y77" s="17">
        <f>'23'!K77</f>
        <v>0</v>
      </c>
      <c r="Z77" s="17">
        <f>'24'!K77</f>
        <v>0</v>
      </c>
      <c r="AA77" s="17">
        <f>'25'!K77</f>
        <v>0</v>
      </c>
      <c r="AB77" s="17">
        <f>'26'!K77</f>
        <v>0</v>
      </c>
      <c r="AC77" s="17">
        <f>'27'!K77</f>
        <v>0</v>
      </c>
      <c r="AD77" s="17">
        <f>'28'!K77</f>
        <v>0</v>
      </c>
      <c r="AE77" s="17">
        <f>'29'!K77</f>
        <v>0</v>
      </c>
      <c r="AF77" s="17">
        <f>'30'!K77</f>
        <v>0</v>
      </c>
      <c r="AG77" s="17">
        <f>'31'!K77</f>
        <v>0</v>
      </c>
      <c r="AH77" s="17"/>
      <c r="AI77" s="17">
        <f t="shared" si="2"/>
        <v>0</v>
      </c>
      <c r="AJ77" s="132">
        <f t="shared" si="3"/>
        <v>0</v>
      </c>
    </row>
    <row r="78" spans="1:36" x14ac:dyDescent="0.25">
      <c r="A78" s="34"/>
      <c r="B78" s="19" t="s">
        <v>71</v>
      </c>
      <c r="C78" s="17">
        <f>'01'!K78</f>
        <v>7285.7142857142853</v>
      </c>
      <c r="D78" s="17">
        <f>'02'!K78</f>
        <v>7857.1428571428569</v>
      </c>
      <c r="E78" s="17">
        <f>'03'!K78</f>
        <v>7571.4285714285716</v>
      </c>
      <c r="F78" s="17">
        <f>'04'!K78</f>
        <v>7571.4285714285716</v>
      </c>
      <c r="G78" s="17">
        <f>'05'!K78</f>
        <v>7428.5714285714284</v>
      </c>
      <c r="H78" s="17">
        <f>'06'!K78</f>
        <v>7428.5714285714284</v>
      </c>
      <c r="I78" s="17">
        <f>'07'!K78</f>
        <v>7571.4285714285716</v>
      </c>
      <c r="J78" s="17">
        <f>'08'!K78</f>
        <v>7571.4285714285716</v>
      </c>
      <c r="K78" s="17">
        <f>'09'!K78</f>
        <v>7428.5714285714284</v>
      </c>
      <c r="L78" s="17">
        <f>'10'!K78</f>
        <v>7428.5714285714284</v>
      </c>
      <c r="M78" s="17">
        <f>'11'!K78</f>
        <v>7428.5714285714284</v>
      </c>
      <c r="N78" s="17">
        <f>'12'!K78</f>
        <v>7428.5714285714284</v>
      </c>
      <c r="O78" s="17">
        <f>'13'!K78</f>
        <v>7428.5714285714284</v>
      </c>
      <c r="P78" s="17">
        <f>'14'!K78</f>
        <v>7285.7142857142853</v>
      </c>
      <c r="Q78" s="17">
        <f>'15'!K78</f>
        <v>7285.7142857142853</v>
      </c>
      <c r="R78" s="17">
        <f>'16'!K78</f>
        <v>7285.7142857142853</v>
      </c>
      <c r="S78" s="17">
        <f>'17'!K78</f>
        <v>7428.5714285714284</v>
      </c>
      <c r="T78" s="17">
        <f>'18'!K78</f>
        <v>7285.7142857142853</v>
      </c>
      <c r="U78" s="17">
        <f>'19'!K78</f>
        <v>7285.7142857142853</v>
      </c>
      <c r="V78" s="17">
        <f>'20'!K78</f>
        <v>7428.5714285714284</v>
      </c>
      <c r="W78" s="17">
        <f>'21'!K78</f>
        <v>7000</v>
      </c>
      <c r="X78" s="17">
        <f>'22'!K78</f>
        <v>7000</v>
      </c>
      <c r="Y78" s="17">
        <f>'23'!K78</f>
        <v>7000</v>
      </c>
      <c r="Z78" s="17">
        <f>'24'!K78</f>
        <v>7000</v>
      </c>
      <c r="AA78" s="17">
        <f>'25'!K78</f>
        <v>7000</v>
      </c>
      <c r="AB78" s="17">
        <f>'26'!K78</f>
        <v>7000</v>
      </c>
      <c r="AC78" s="17">
        <f>'27'!K78</f>
        <v>7000</v>
      </c>
      <c r="AD78" s="17">
        <f>'28'!K78</f>
        <v>7000</v>
      </c>
      <c r="AE78" s="17">
        <f>'29'!K78</f>
        <v>7142.8571428571431</v>
      </c>
      <c r="AF78" s="17">
        <f>'30'!K78</f>
        <v>7142.8571428571431</v>
      </c>
      <c r="AG78" s="17">
        <f>'31'!K78</f>
        <v>7142.8571428571431</v>
      </c>
      <c r="AH78" s="17"/>
      <c r="AI78" s="17">
        <f t="shared" si="2"/>
        <v>-142.85714285714221</v>
      </c>
      <c r="AJ78" s="132">
        <f t="shared" si="3"/>
        <v>7294.9308755760376</v>
      </c>
    </row>
    <row r="79" spans="1:36" x14ac:dyDescent="0.25">
      <c r="A79" s="34"/>
      <c r="B79" s="19" t="s">
        <v>72</v>
      </c>
      <c r="C79" s="17">
        <f>'01'!K79</f>
        <v>11142.857142857143</v>
      </c>
      <c r="D79" s="17">
        <f>'02'!K79</f>
        <v>11000</v>
      </c>
      <c r="E79" s="17">
        <f>'03'!K79</f>
        <v>11000</v>
      </c>
      <c r="F79" s="17">
        <f>'04'!K79</f>
        <v>11000</v>
      </c>
      <c r="G79" s="17">
        <f>'05'!K79</f>
        <v>11000</v>
      </c>
      <c r="H79" s="17">
        <f>'06'!K79</f>
        <v>11000</v>
      </c>
      <c r="I79" s="17">
        <f>'07'!K79</f>
        <v>11000</v>
      </c>
      <c r="J79" s="17">
        <f>'08'!K79</f>
        <v>10428.571428571429</v>
      </c>
      <c r="K79" s="17">
        <f>'09'!K79</f>
        <v>9857.1428571428569</v>
      </c>
      <c r="L79" s="17">
        <f>'10'!K79</f>
        <v>9857.1428571428569</v>
      </c>
      <c r="M79" s="17">
        <f>'11'!K79</f>
        <v>9857.1428571428569</v>
      </c>
      <c r="N79" s="17">
        <f>'12'!K79</f>
        <v>9857.1428571428569</v>
      </c>
      <c r="O79" s="17">
        <f>'13'!K79</f>
        <v>9857.1428571428569</v>
      </c>
      <c r="P79" s="17">
        <f>'14'!K79</f>
        <v>9857.1428571428569</v>
      </c>
      <c r="Q79" s="17">
        <f>'15'!K79</f>
        <v>9857.1428571428569</v>
      </c>
      <c r="R79" s="17">
        <f>'16'!K79</f>
        <v>9857.1428571428569</v>
      </c>
      <c r="S79" s="17">
        <f>'17'!K79</f>
        <v>10142.857142857143</v>
      </c>
      <c r="T79" s="17">
        <f>'18'!K79</f>
        <v>10142.857142857143</v>
      </c>
      <c r="U79" s="17">
        <f>'19'!K79</f>
        <v>10571.428571428571</v>
      </c>
      <c r="V79" s="17">
        <f>'20'!K79</f>
        <v>10857.142857142857</v>
      </c>
      <c r="W79" s="17">
        <f>'21'!K79</f>
        <v>10571.428571428571</v>
      </c>
      <c r="X79" s="17">
        <f>'22'!K79</f>
        <v>10571.428571428571</v>
      </c>
      <c r="Y79" s="17">
        <f>'23'!K79</f>
        <v>10571.428571428571</v>
      </c>
      <c r="Z79" s="17">
        <f>'24'!K79</f>
        <v>10571.428571428571</v>
      </c>
      <c r="AA79" s="17">
        <f>'25'!K79</f>
        <v>11571.428571428571</v>
      </c>
      <c r="AB79" s="17">
        <f>'26'!K79</f>
        <v>11571.428571428571</v>
      </c>
      <c r="AC79" s="17">
        <f>'27'!K79</f>
        <v>11571.428571428571</v>
      </c>
      <c r="AD79" s="17">
        <f>'28'!K79</f>
        <v>12000</v>
      </c>
      <c r="AE79" s="17">
        <f>'29'!K79</f>
        <v>12000</v>
      </c>
      <c r="AF79" s="17">
        <f>'30'!K79</f>
        <v>12000</v>
      </c>
      <c r="AG79" s="17">
        <f>'31'!K79</f>
        <v>12000</v>
      </c>
      <c r="AH79" s="17"/>
      <c r="AI79" s="17">
        <f t="shared" si="2"/>
        <v>857.14285714285688</v>
      </c>
      <c r="AJ79" s="132">
        <f t="shared" si="3"/>
        <v>10746.543778801846</v>
      </c>
    </row>
    <row r="80" spans="1:36" x14ac:dyDescent="0.25">
      <c r="A80" s="34"/>
      <c r="B80" s="19" t="s">
        <v>73</v>
      </c>
      <c r="C80" s="17">
        <f>'01'!K80</f>
        <v>15142.857142857143</v>
      </c>
      <c r="D80" s="17">
        <f>'02'!K80</f>
        <v>15428.571428571429</v>
      </c>
      <c r="E80" s="17">
        <f>'03'!K80</f>
        <v>15428.571428571429</v>
      </c>
      <c r="F80" s="17">
        <f>'04'!K80</f>
        <v>15428.571428571429</v>
      </c>
      <c r="G80" s="17">
        <f>'05'!K80</f>
        <v>15714.285714285714</v>
      </c>
      <c r="H80" s="17">
        <f>'06'!K80</f>
        <v>15714.285714285714</v>
      </c>
      <c r="I80" s="17">
        <f>'07'!K80</f>
        <v>15428.571428571429</v>
      </c>
      <c r="J80" s="17">
        <f>'08'!K80</f>
        <v>15714.285714285714</v>
      </c>
      <c r="K80" s="17">
        <f>'09'!K80</f>
        <v>15714.285714285714</v>
      </c>
      <c r="L80" s="17">
        <f>'10'!K80</f>
        <v>15857.142857142857</v>
      </c>
      <c r="M80" s="17">
        <f>'11'!K80</f>
        <v>15857.142857142857</v>
      </c>
      <c r="N80" s="17">
        <f>'12'!K80</f>
        <v>16142.857142857143</v>
      </c>
      <c r="O80" s="17">
        <f>'13'!K80</f>
        <v>16571.428571428572</v>
      </c>
      <c r="P80" s="17">
        <f>'14'!K80</f>
        <v>16142.857142857143</v>
      </c>
      <c r="Q80" s="17">
        <f>'15'!K80</f>
        <v>16142.857142857143</v>
      </c>
      <c r="R80" s="17">
        <f>'16'!K80</f>
        <v>16142.857142857143</v>
      </c>
      <c r="S80" s="17">
        <f>'17'!K80</f>
        <v>16000</v>
      </c>
      <c r="T80" s="17">
        <f>'18'!K80</f>
        <v>16142.857142857143</v>
      </c>
      <c r="U80" s="17">
        <f>'19'!K80</f>
        <v>16142.857142857143</v>
      </c>
      <c r="V80" s="17">
        <f>'20'!K80</f>
        <v>16428.571428571428</v>
      </c>
      <c r="W80" s="17">
        <f>'21'!K80</f>
        <v>16142.857142857143</v>
      </c>
      <c r="X80" s="17">
        <f>'22'!K80</f>
        <v>15857.142857142857</v>
      </c>
      <c r="Y80" s="17">
        <f>'23'!K80</f>
        <v>15857.142857142857</v>
      </c>
      <c r="Z80" s="17">
        <f>'24'!K80</f>
        <v>16142.857142857143</v>
      </c>
      <c r="AA80" s="17">
        <f>'25'!K80</f>
        <v>16571.428571428572</v>
      </c>
      <c r="AB80" s="17">
        <f>'26'!K80</f>
        <v>16571.428571428572</v>
      </c>
      <c r="AC80" s="17">
        <f>'27'!K80</f>
        <v>16571.428571428572</v>
      </c>
      <c r="AD80" s="17">
        <f>'28'!K80</f>
        <v>16428.571428571428</v>
      </c>
      <c r="AE80" s="17">
        <f>'29'!K80</f>
        <v>16571.428571428572</v>
      </c>
      <c r="AF80" s="17">
        <f>'30'!K80</f>
        <v>16571.428571428572</v>
      </c>
      <c r="AG80" s="17">
        <f>'31'!K80</f>
        <v>16285.714285714286</v>
      </c>
      <c r="AH80" s="17"/>
      <c r="AI80" s="17">
        <f t="shared" si="2"/>
        <v>1142.8571428571431</v>
      </c>
      <c r="AJ80" s="132">
        <f t="shared" si="3"/>
        <v>16027.649769585252</v>
      </c>
    </row>
    <row r="81" spans="1:39" x14ac:dyDescent="0.25">
      <c r="A81" s="34"/>
      <c r="B81" s="19" t="s">
        <v>74</v>
      </c>
      <c r="C81" s="17">
        <f>'01'!K81</f>
        <v>8428.5714285714294</v>
      </c>
      <c r="D81" s="17">
        <f>'02'!K81</f>
        <v>8142.8571428571431</v>
      </c>
      <c r="E81" s="17">
        <f>'03'!K81</f>
        <v>8571.4285714285706</v>
      </c>
      <c r="F81" s="17">
        <f>'04'!K81</f>
        <v>8571.4285714285706</v>
      </c>
      <c r="G81" s="17">
        <f>'05'!K81</f>
        <v>9000</v>
      </c>
      <c r="H81" s="17">
        <f>'06'!K81</f>
        <v>8857.1428571428569</v>
      </c>
      <c r="I81" s="17">
        <f>'07'!K81</f>
        <v>8571.4285714285706</v>
      </c>
      <c r="J81" s="17">
        <f>'08'!K81</f>
        <v>8857.1428571428569</v>
      </c>
      <c r="K81" s="17">
        <f>'09'!K81</f>
        <v>8857.1428571428569</v>
      </c>
      <c r="L81" s="17">
        <f>'10'!K81</f>
        <v>8857.1428571428569</v>
      </c>
      <c r="M81" s="17">
        <f>'11'!K81</f>
        <v>8857.1428571428569</v>
      </c>
      <c r="N81" s="17">
        <f>'12'!K81</f>
        <v>9285.7142857142862</v>
      </c>
      <c r="O81" s="17">
        <f>'13'!K81</f>
        <v>9285.7142857142862</v>
      </c>
      <c r="P81" s="17">
        <f>'14'!K81</f>
        <v>8285.7142857142862</v>
      </c>
      <c r="Q81" s="17">
        <f>'15'!K81</f>
        <v>8285.7142857142862</v>
      </c>
      <c r="R81" s="17">
        <f>'16'!K81</f>
        <v>8285.7142857142862</v>
      </c>
      <c r="S81" s="17">
        <f>'17'!K81</f>
        <v>8142.8571428571431</v>
      </c>
      <c r="T81" s="17">
        <f>'18'!K81</f>
        <v>8285.7142857142862</v>
      </c>
      <c r="U81" s="17">
        <f>'19'!K81</f>
        <v>8571.4285714285706</v>
      </c>
      <c r="V81" s="17">
        <f>'20'!K81</f>
        <v>9142.8571428571431</v>
      </c>
      <c r="W81" s="17">
        <f>'21'!K81</f>
        <v>8714.2857142857138</v>
      </c>
      <c r="X81" s="17">
        <f>'22'!K81</f>
        <v>8428.5714285714294</v>
      </c>
      <c r="Y81" s="17">
        <f>'23'!K81</f>
        <v>8428.5714285714294</v>
      </c>
      <c r="Z81" s="17">
        <f>'24'!K81</f>
        <v>8428.5714285714294</v>
      </c>
      <c r="AA81" s="17">
        <f>'25'!K81</f>
        <v>8142.8571428571431</v>
      </c>
      <c r="AB81" s="17">
        <f>'26'!K81</f>
        <v>8142.8571428571431</v>
      </c>
      <c r="AC81" s="17">
        <f>'27'!K81</f>
        <v>8142.8571428571431</v>
      </c>
      <c r="AD81" s="17">
        <f>'28'!K81</f>
        <v>8142.8571428571431</v>
      </c>
      <c r="AE81" s="17">
        <f>'29'!K81</f>
        <v>8714.2857142857138</v>
      </c>
      <c r="AF81" s="17">
        <f>'30'!K81</f>
        <v>8714.2857142857138</v>
      </c>
      <c r="AG81" s="17">
        <f>'31'!K81</f>
        <v>8428.5714285714294</v>
      </c>
      <c r="AH81" s="17"/>
      <c r="AI81" s="17">
        <f t="shared" si="2"/>
        <v>0</v>
      </c>
      <c r="AJ81" s="132">
        <f t="shared" si="3"/>
        <v>8566.8202764976922</v>
      </c>
    </row>
    <row r="82" spans="1:39" x14ac:dyDescent="0.25">
      <c r="A82" s="34"/>
      <c r="B82" s="19" t="s">
        <v>75</v>
      </c>
      <c r="C82" s="17">
        <f>'01'!K82</f>
        <v>11000</v>
      </c>
      <c r="D82" s="17">
        <f>'02'!K82</f>
        <v>12000</v>
      </c>
      <c r="E82" s="17">
        <f>'03'!K82</f>
        <v>11571.428571428571</v>
      </c>
      <c r="F82" s="17">
        <f>'04'!K82</f>
        <v>11571.428571428571</v>
      </c>
      <c r="G82" s="17">
        <f>'05'!K82</f>
        <v>11857.142857142857</v>
      </c>
      <c r="H82" s="17">
        <f>'06'!K82</f>
        <v>11857.142857142857</v>
      </c>
      <c r="I82" s="17">
        <f>'07'!K82</f>
        <v>11571.428571428571</v>
      </c>
      <c r="J82" s="17">
        <f>'08'!K82</f>
        <v>11285.714285714286</v>
      </c>
      <c r="K82" s="17">
        <f>'09'!K82</f>
        <v>11285.714285714286</v>
      </c>
      <c r="L82" s="17">
        <f>'10'!K82</f>
        <v>11285.714285714286</v>
      </c>
      <c r="M82" s="17">
        <f>'11'!K82</f>
        <v>11285.714285714286</v>
      </c>
      <c r="N82" s="17">
        <f>'12'!K82</f>
        <v>11571.428571428571</v>
      </c>
      <c r="O82" s="17">
        <f>'13'!K82</f>
        <v>11857.142857142857</v>
      </c>
      <c r="P82" s="17">
        <f>'14'!K82</f>
        <v>11142.857142857143</v>
      </c>
      <c r="Q82" s="17">
        <f>'15'!K82</f>
        <v>11142.857142857143</v>
      </c>
      <c r="R82" s="17">
        <f>'16'!K82</f>
        <v>11142.857142857143</v>
      </c>
      <c r="S82" s="17">
        <f>'17'!K82</f>
        <v>11571.428571428571</v>
      </c>
      <c r="T82" s="17">
        <f>'18'!K82</f>
        <v>11571.428571428571</v>
      </c>
      <c r="U82" s="17">
        <f>'19'!K82</f>
        <v>11571.428571428571</v>
      </c>
      <c r="V82" s="17">
        <f>'20'!K82</f>
        <v>11428.571428571429</v>
      </c>
      <c r="W82" s="17">
        <f>'21'!K82</f>
        <v>11571.428571428571</v>
      </c>
      <c r="X82" s="17">
        <f>'22'!K82</f>
        <v>11285.714285714286</v>
      </c>
      <c r="Y82" s="17">
        <f>'23'!K82</f>
        <v>11285.714285714286</v>
      </c>
      <c r="Z82" s="17">
        <f>'24'!K82</f>
        <v>11714.285714285714</v>
      </c>
      <c r="AA82" s="17">
        <f>'25'!K82</f>
        <v>11714.285714285714</v>
      </c>
      <c r="AB82" s="17">
        <f>'26'!K82</f>
        <v>11714.285714285714</v>
      </c>
      <c r="AC82" s="17">
        <f>'27'!K82</f>
        <v>11714.285714285714</v>
      </c>
      <c r="AD82" s="17">
        <f>'28'!K82</f>
        <v>11428.571428571429</v>
      </c>
      <c r="AE82" s="17">
        <f>'29'!K82</f>
        <v>11571.428571428571</v>
      </c>
      <c r="AF82" s="17">
        <f>'30'!K82</f>
        <v>11571.428571428571</v>
      </c>
      <c r="AG82" s="17">
        <f>'31'!K82</f>
        <v>11428.571428571429</v>
      </c>
      <c r="AH82" s="17"/>
      <c r="AI82" s="17">
        <f t="shared" si="2"/>
        <v>428.57142857142935</v>
      </c>
      <c r="AJ82" s="132">
        <f t="shared" si="3"/>
        <v>11502.304147465442</v>
      </c>
    </row>
    <row r="83" spans="1:39" x14ac:dyDescent="0.25">
      <c r="A83" s="34"/>
      <c r="B83" s="19" t="s">
        <v>76</v>
      </c>
      <c r="C83" s="17">
        <f>'01'!K83</f>
        <v>8857.1428571428569</v>
      </c>
      <c r="D83" s="17">
        <f>'02'!K83</f>
        <v>9142.8571428571431</v>
      </c>
      <c r="E83" s="17">
        <f>'03'!K83</f>
        <v>9000</v>
      </c>
      <c r="F83" s="17">
        <f>'04'!K83</f>
        <v>9000</v>
      </c>
      <c r="G83" s="17">
        <f>'05'!K83</f>
        <v>9000</v>
      </c>
      <c r="H83" s="17">
        <f>'06'!K83</f>
        <v>9000</v>
      </c>
      <c r="I83" s="17">
        <f>'07'!K83</f>
        <v>9000</v>
      </c>
      <c r="J83" s="17">
        <f>'08'!K83</f>
        <v>9000</v>
      </c>
      <c r="K83" s="17">
        <f>'09'!K83</f>
        <v>9000</v>
      </c>
      <c r="L83" s="17">
        <f>'10'!K83</f>
        <v>9285.7142857142862</v>
      </c>
      <c r="M83" s="17">
        <f>'11'!K83</f>
        <v>9285.7142857142862</v>
      </c>
      <c r="N83" s="17">
        <f>'12'!K83</f>
        <v>9428.5714285714294</v>
      </c>
      <c r="O83" s="17">
        <f>'13'!K83</f>
        <v>9428.5714285714294</v>
      </c>
      <c r="P83" s="17">
        <f>'14'!K83</f>
        <v>9285.7142857142862</v>
      </c>
      <c r="Q83" s="17">
        <f>'15'!K83</f>
        <v>9285.7142857142862</v>
      </c>
      <c r="R83" s="17">
        <f>'16'!K83</f>
        <v>9285.7142857142862</v>
      </c>
      <c r="S83" s="17">
        <f>'17'!K83</f>
        <v>9285.7142857142862</v>
      </c>
      <c r="T83" s="17">
        <f>'18'!K83</f>
        <v>9285.7142857142862</v>
      </c>
      <c r="U83" s="17">
        <f>'19'!K83</f>
        <v>9285.7142857142862</v>
      </c>
      <c r="V83" s="17">
        <f>'20'!K83</f>
        <v>9428.5714285714294</v>
      </c>
      <c r="W83" s="17">
        <f>'21'!K83</f>
        <v>9285.7142857142862</v>
      </c>
      <c r="X83" s="17">
        <f>'22'!K83</f>
        <v>9285.7142857142862</v>
      </c>
      <c r="Y83" s="17">
        <f>'23'!K83</f>
        <v>9285.7142857142862</v>
      </c>
      <c r="Z83" s="17">
        <f>'24'!K83</f>
        <v>9285.7142857142862</v>
      </c>
      <c r="AA83" s="17">
        <f>'25'!K83</f>
        <v>8428.5714285714294</v>
      </c>
      <c r="AB83" s="17">
        <f>'26'!K83</f>
        <v>8428.5714285714294</v>
      </c>
      <c r="AC83" s="17">
        <f>'27'!K83</f>
        <v>8428.5714285714294</v>
      </c>
      <c r="AD83" s="17">
        <f>'28'!K83</f>
        <v>8428.5714285714294</v>
      </c>
      <c r="AE83" s="17">
        <f>'29'!K83</f>
        <v>8428.5714285714294</v>
      </c>
      <c r="AF83" s="17">
        <f>'30'!K83</f>
        <v>8428.5714285714294</v>
      </c>
      <c r="AG83" s="17">
        <f>'31'!K83</f>
        <v>8428.5714285714294</v>
      </c>
      <c r="AH83" s="17"/>
      <c r="AI83" s="17">
        <f t="shared" si="2"/>
        <v>-428.57142857142753</v>
      </c>
      <c r="AJ83" s="132">
        <f t="shared" si="3"/>
        <v>9023.0414746543793</v>
      </c>
    </row>
    <row r="84" spans="1:39" x14ac:dyDescent="0.25">
      <c r="A84" s="34"/>
      <c r="B84" s="19" t="s">
        <v>77</v>
      </c>
      <c r="C84" s="17">
        <f>'01'!K84</f>
        <v>1583.3333333333333</v>
      </c>
      <c r="D84" s="17">
        <f>'02'!K84</f>
        <v>1583.3333333333333</v>
      </c>
      <c r="E84" s="17">
        <f>'03'!K84</f>
        <v>1583.3333333333333</v>
      </c>
      <c r="F84" s="17">
        <f>'04'!K84</f>
        <v>1583.3333333333333</v>
      </c>
      <c r="G84" s="17">
        <f>'05'!K84</f>
        <v>1571.4285714285713</v>
      </c>
      <c r="H84" s="17">
        <f>'06'!K84</f>
        <v>1571.4285714285713</v>
      </c>
      <c r="I84" s="17">
        <f>'07'!K84</f>
        <v>1571.4285714285713</v>
      </c>
      <c r="J84" s="17">
        <f>'08'!K84</f>
        <v>1642.8571428571429</v>
      </c>
      <c r="K84" s="17">
        <f>'09'!K84</f>
        <v>1642.8571428571429</v>
      </c>
      <c r="L84" s="17">
        <f>'10'!K84</f>
        <v>1642.8571428571429</v>
      </c>
      <c r="M84" s="17">
        <f>'11'!K84</f>
        <v>1642.8571428571429</v>
      </c>
      <c r="N84" s="17">
        <f>'12'!K84</f>
        <v>1571.4285714285713</v>
      </c>
      <c r="O84" s="17">
        <f>'13'!K84</f>
        <v>1571.4285714285713</v>
      </c>
      <c r="P84" s="17">
        <f>'14'!K84</f>
        <v>1642.8571428571429</v>
      </c>
      <c r="Q84" s="17">
        <f>'15'!K84</f>
        <v>1642.8571428571429</v>
      </c>
      <c r="R84" s="17">
        <f>'16'!K84</f>
        <v>1642.8571428571429</v>
      </c>
      <c r="S84" s="17">
        <f>'17'!K84</f>
        <v>1571.4285714285713</v>
      </c>
      <c r="T84" s="17">
        <f>'18'!K84</f>
        <v>1642.8571428571429</v>
      </c>
      <c r="U84" s="17">
        <f>'19'!K84</f>
        <v>1642.8571428571429</v>
      </c>
      <c r="V84" s="17">
        <f>'20'!K84</f>
        <v>1571.4285714285713</v>
      </c>
      <c r="W84" s="17">
        <f>'21'!K84</f>
        <v>1642.8571428571429</v>
      </c>
      <c r="X84" s="17">
        <f>'22'!K84</f>
        <v>1642.8571428571429</v>
      </c>
      <c r="Y84" s="17">
        <f>'23'!K84</f>
        <v>1642.8571428571429</v>
      </c>
      <c r="Z84" s="17">
        <f>'24'!K84</f>
        <v>1642.8571428571429</v>
      </c>
      <c r="AA84" s="17">
        <f>'25'!K84</f>
        <v>1642.8571428571429</v>
      </c>
      <c r="AB84" s="17">
        <f>'26'!K84</f>
        <v>1642.8571428571429</v>
      </c>
      <c r="AC84" s="17">
        <f>'27'!K84</f>
        <v>1642.8571428571429</v>
      </c>
      <c r="AD84" s="17">
        <f>'28'!K84</f>
        <v>1642.8571428571429</v>
      </c>
      <c r="AE84" s="17">
        <f>'29'!K84</f>
        <v>1642.8571428571429</v>
      </c>
      <c r="AF84" s="17">
        <f>'30'!K84</f>
        <v>1642.8571428571429</v>
      </c>
      <c r="AG84" s="17">
        <f>'31'!K84</f>
        <v>1642.8571428571429</v>
      </c>
      <c r="AH84" s="17"/>
      <c r="AI84" s="17">
        <f t="shared" si="2"/>
        <v>59.523809523809632</v>
      </c>
      <c r="AJ84" s="132">
        <f t="shared" si="3"/>
        <v>1619.0476190476195</v>
      </c>
    </row>
    <row r="85" spans="1:39" x14ac:dyDescent="0.25">
      <c r="A85" s="34"/>
      <c r="B85" s="19" t="s">
        <v>79</v>
      </c>
      <c r="C85" s="17">
        <f>'01'!K85</f>
        <v>1416.6666666666667</v>
      </c>
      <c r="D85" s="17">
        <f>'02'!K85</f>
        <v>1583.3333333333333</v>
      </c>
      <c r="E85" s="17">
        <f>'03'!K85</f>
        <v>1583.3333333333333</v>
      </c>
      <c r="F85" s="17">
        <f>'04'!K85</f>
        <v>1583.3333333333333</v>
      </c>
      <c r="G85" s="17">
        <f>'05'!K85</f>
        <v>1571.4285714285713</v>
      </c>
      <c r="H85" s="17">
        <f>'06'!K85</f>
        <v>1571.4285714285713</v>
      </c>
      <c r="I85" s="17">
        <f>'07'!K85</f>
        <v>1571.4285714285713</v>
      </c>
      <c r="J85" s="17">
        <f>'08'!K85</f>
        <v>1571.4285714285713</v>
      </c>
      <c r="K85" s="17">
        <f>'09'!K85</f>
        <v>1571.4285714285713</v>
      </c>
      <c r="L85" s="17">
        <f>'10'!K85</f>
        <v>1571.4285714285713</v>
      </c>
      <c r="M85" s="17">
        <f>'11'!K85</f>
        <v>1500</v>
      </c>
      <c r="N85" s="17">
        <f>'12'!K85</f>
        <v>1500</v>
      </c>
      <c r="O85" s="17">
        <f>'13'!K85</f>
        <v>1500</v>
      </c>
      <c r="P85" s="17">
        <f>'14'!K85</f>
        <v>1500</v>
      </c>
      <c r="Q85" s="17">
        <f>'15'!K85</f>
        <v>1500</v>
      </c>
      <c r="R85" s="17">
        <f>'16'!K85</f>
        <v>1500</v>
      </c>
      <c r="S85" s="17">
        <f>'17'!K85</f>
        <v>1500</v>
      </c>
      <c r="T85" s="17">
        <f>'18'!K85</f>
        <v>1500</v>
      </c>
      <c r="U85" s="17">
        <f>'19'!K85</f>
        <v>1500</v>
      </c>
      <c r="V85" s="17">
        <f>'20'!K85</f>
        <v>1500</v>
      </c>
      <c r="W85" s="17">
        <f>'21'!K85</f>
        <v>1500</v>
      </c>
      <c r="X85" s="17">
        <f>'22'!K85</f>
        <v>1500</v>
      </c>
      <c r="Y85" s="17">
        <f>'23'!K85</f>
        <v>1500</v>
      </c>
      <c r="Z85" s="17">
        <f>'24'!K85</f>
        <v>1500</v>
      </c>
      <c r="AA85" s="17">
        <f>'25'!K85</f>
        <v>1500</v>
      </c>
      <c r="AB85" s="17">
        <f>'26'!K85</f>
        <v>1500</v>
      </c>
      <c r="AC85" s="17">
        <f>'27'!K85</f>
        <v>1500</v>
      </c>
      <c r="AD85" s="17">
        <f>'28'!K85</f>
        <v>1500</v>
      </c>
      <c r="AE85" s="17">
        <f>'29'!K85</f>
        <v>1500</v>
      </c>
      <c r="AF85" s="17">
        <f>'30'!K85</f>
        <v>1500</v>
      </c>
      <c r="AG85" s="17">
        <f>'31'!K85</f>
        <v>1500</v>
      </c>
      <c r="AH85" s="17"/>
      <c r="AI85" s="17">
        <f t="shared" si="2"/>
        <v>83.333333333333258</v>
      </c>
      <c r="AJ85" s="132">
        <f t="shared" si="3"/>
        <v>1519.2012288786482</v>
      </c>
    </row>
    <row r="86" spans="1:39" x14ac:dyDescent="0.25">
      <c r="A86" s="33"/>
      <c r="B86" s="19" t="s">
        <v>80</v>
      </c>
      <c r="C86" s="17">
        <f>'01'!K86</f>
        <v>1750</v>
      </c>
      <c r="D86" s="17">
        <f>'02'!K86</f>
        <v>2000</v>
      </c>
      <c r="E86" s="17">
        <f>'03'!K86</f>
        <v>2000</v>
      </c>
      <c r="F86" s="17">
        <f>'04'!K86</f>
        <v>2000</v>
      </c>
      <c r="G86" s="17">
        <f>'05'!K86</f>
        <v>2000</v>
      </c>
      <c r="H86" s="17">
        <f>'06'!K86</f>
        <v>2000</v>
      </c>
      <c r="I86" s="17">
        <f>'07'!K86</f>
        <v>2000</v>
      </c>
      <c r="J86" s="17">
        <f>'08'!K86</f>
        <v>2000</v>
      </c>
      <c r="K86" s="17">
        <f>'09'!K86</f>
        <v>2000</v>
      </c>
      <c r="L86" s="17">
        <f>'10'!K86</f>
        <v>2000</v>
      </c>
      <c r="M86" s="17">
        <f>'11'!K86</f>
        <v>1750</v>
      </c>
      <c r="N86" s="17">
        <f>'12'!K86</f>
        <v>2000</v>
      </c>
      <c r="O86" s="17">
        <f>'13'!K86</f>
        <v>2000</v>
      </c>
      <c r="P86" s="17">
        <f>'14'!K86</f>
        <v>2000</v>
      </c>
      <c r="Q86" s="17">
        <f>'15'!K86</f>
        <v>2000</v>
      </c>
      <c r="R86" s="17">
        <f>'16'!K86</f>
        <v>2000</v>
      </c>
      <c r="S86" s="17">
        <f>'17'!K86</f>
        <v>2000</v>
      </c>
      <c r="T86" s="17">
        <f>'18'!K86</f>
        <v>2000</v>
      </c>
      <c r="U86" s="17">
        <f>'19'!K86</f>
        <v>2000</v>
      </c>
      <c r="V86" s="17">
        <f>'20'!K86</f>
        <v>2000</v>
      </c>
      <c r="W86" s="17">
        <f>'21'!K86</f>
        <v>2000</v>
      </c>
      <c r="X86" s="17">
        <f>'22'!K86</f>
        <v>2000</v>
      </c>
      <c r="Y86" s="17">
        <f>'23'!K86</f>
        <v>2000</v>
      </c>
      <c r="Z86" s="17">
        <f>'24'!K86</f>
        <v>2000</v>
      </c>
      <c r="AA86" s="17">
        <f>'25'!K86</f>
        <v>2000</v>
      </c>
      <c r="AB86" s="17">
        <f>'26'!K86</f>
        <v>2000</v>
      </c>
      <c r="AC86" s="17">
        <f>'27'!K86</f>
        <v>2000</v>
      </c>
      <c r="AD86" s="17">
        <f>'28'!K86</f>
        <v>2000</v>
      </c>
      <c r="AE86" s="17">
        <f>'29'!K86</f>
        <v>2000</v>
      </c>
      <c r="AF86" s="17">
        <f>'30'!K86</f>
        <v>2000</v>
      </c>
      <c r="AG86" s="17">
        <f>'31'!K86</f>
        <v>2000</v>
      </c>
      <c r="AH86" s="17"/>
      <c r="AI86" s="17">
        <f t="shared" si="2"/>
        <v>250</v>
      </c>
      <c r="AJ86" s="132">
        <f t="shared" si="3"/>
        <v>1983.8709677419354</v>
      </c>
    </row>
    <row r="87" spans="1:39" x14ac:dyDescent="0.25">
      <c r="A87" s="32">
        <v>22</v>
      </c>
      <c r="B87" s="20" t="s">
        <v>81</v>
      </c>
      <c r="C87" s="17">
        <f>'01'!K87</f>
        <v>0</v>
      </c>
      <c r="D87" s="17">
        <f>'02'!K87</f>
        <v>0</v>
      </c>
      <c r="E87" s="17">
        <f>'03'!K87</f>
        <v>0</v>
      </c>
      <c r="F87" s="17">
        <f>'04'!K87</f>
        <v>0</v>
      </c>
      <c r="G87" s="17">
        <f>'05'!K87</f>
        <v>0</v>
      </c>
      <c r="H87" s="17">
        <f>'06'!K87</f>
        <v>0</v>
      </c>
      <c r="I87" s="17">
        <f>'07'!K87</f>
        <v>0</v>
      </c>
      <c r="J87" s="17">
        <f>'08'!K87</f>
        <v>0</v>
      </c>
      <c r="K87" s="17">
        <f>'09'!K87</f>
        <v>0</v>
      </c>
      <c r="L87" s="17">
        <f>'10'!K87</f>
        <v>0</v>
      </c>
      <c r="M87" s="17">
        <f>'11'!K87</f>
        <v>0</v>
      </c>
      <c r="N87" s="17">
        <f>'12'!K87</f>
        <v>0</v>
      </c>
      <c r="O87" s="17">
        <f>'13'!K87</f>
        <v>0</v>
      </c>
      <c r="P87" s="17">
        <f>'14'!K87</f>
        <v>0</v>
      </c>
      <c r="Q87" s="17">
        <f>'15'!K87</f>
        <v>0</v>
      </c>
      <c r="R87" s="17">
        <f>'16'!K87</f>
        <v>0</v>
      </c>
      <c r="S87" s="17">
        <f>'17'!K87</f>
        <v>0</v>
      </c>
      <c r="T87" s="17">
        <f>'18'!K87</f>
        <v>0</v>
      </c>
      <c r="U87" s="17">
        <f>'19'!K87</f>
        <v>0</v>
      </c>
      <c r="V87" s="17">
        <f>'20'!K87</f>
        <v>0</v>
      </c>
      <c r="W87" s="17">
        <f>'21'!K87</f>
        <v>0</v>
      </c>
      <c r="X87" s="17">
        <f>'22'!K87</f>
        <v>0</v>
      </c>
      <c r="Y87" s="17">
        <f>'23'!K87</f>
        <v>0</v>
      </c>
      <c r="Z87" s="17">
        <f>'24'!K87</f>
        <v>0</v>
      </c>
      <c r="AA87" s="17">
        <f>'25'!K87</f>
        <v>0</v>
      </c>
      <c r="AB87" s="17">
        <f>'26'!K87</f>
        <v>0</v>
      </c>
      <c r="AC87" s="17">
        <f>'27'!K87</f>
        <v>0</v>
      </c>
      <c r="AD87" s="17">
        <f>'28'!K87</f>
        <v>0</v>
      </c>
      <c r="AE87" s="17">
        <f>'29'!K87</f>
        <v>0</v>
      </c>
      <c r="AF87" s="17">
        <f>'30'!K87</f>
        <v>0</v>
      </c>
      <c r="AG87" s="17">
        <f>'31'!K87</f>
        <v>0</v>
      </c>
      <c r="AH87" s="17"/>
      <c r="AI87" s="17">
        <f t="shared" si="2"/>
        <v>0</v>
      </c>
      <c r="AJ87" s="132">
        <f t="shared" si="3"/>
        <v>0</v>
      </c>
    </row>
    <row r="88" spans="1:39" ht="14.25" customHeight="1" x14ac:dyDescent="0.25">
      <c r="A88" s="33"/>
      <c r="B88" s="19" t="s">
        <v>82</v>
      </c>
      <c r="C88" s="17">
        <f>'01'!K88</f>
        <v>18000</v>
      </c>
      <c r="D88" s="17">
        <f>'02'!K88</f>
        <v>18000</v>
      </c>
      <c r="E88" s="17">
        <f>'03'!K88</f>
        <v>18000</v>
      </c>
      <c r="F88" s="17">
        <f>'04'!K88</f>
        <v>18000</v>
      </c>
      <c r="G88" s="17">
        <f>'05'!K88</f>
        <v>18000</v>
      </c>
      <c r="H88" s="17">
        <f>'06'!K88</f>
        <v>18000</v>
      </c>
      <c r="I88" s="17">
        <f>'07'!K88</f>
        <v>18000</v>
      </c>
      <c r="J88" s="17">
        <f>'08'!K88</f>
        <v>18000</v>
      </c>
      <c r="K88" s="17">
        <f>'09'!K88</f>
        <v>18000</v>
      </c>
      <c r="L88" s="17">
        <f>'10'!K88</f>
        <v>18000</v>
      </c>
      <c r="M88" s="17">
        <f>'11'!K88</f>
        <v>18000</v>
      </c>
      <c r="N88" s="17">
        <f>'12'!K88</f>
        <v>18000</v>
      </c>
      <c r="O88" s="17">
        <f>'13'!K88</f>
        <v>18000</v>
      </c>
      <c r="P88" s="17">
        <f>'14'!K88</f>
        <v>18000</v>
      </c>
      <c r="Q88" s="17">
        <f>'15'!K88</f>
        <v>18000</v>
      </c>
      <c r="R88" s="17">
        <f>'16'!K88</f>
        <v>18000</v>
      </c>
      <c r="S88" s="17">
        <f>'17'!K88</f>
        <v>18000</v>
      </c>
      <c r="T88" s="17">
        <f>'18'!K88</f>
        <v>18000</v>
      </c>
      <c r="U88" s="17">
        <f>'19'!K88</f>
        <v>18000</v>
      </c>
      <c r="V88" s="17">
        <f>'20'!K88</f>
        <v>18000</v>
      </c>
      <c r="W88" s="17">
        <f>'21'!K88</f>
        <v>18000</v>
      </c>
      <c r="X88" s="17">
        <f>'22'!K88</f>
        <v>18000</v>
      </c>
      <c r="Y88" s="17">
        <f>'23'!K88</f>
        <v>18000</v>
      </c>
      <c r="Z88" s="17">
        <f>'24'!K88</f>
        <v>18000</v>
      </c>
      <c r="AA88" s="17">
        <f>'25'!K88</f>
        <v>18000</v>
      </c>
      <c r="AB88" s="17">
        <f>'26'!K88</f>
        <v>18000</v>
      </c>
      <c r="AC88" s="17">
        <f>'27'!K88</f>
        <v>18000</v>
      </c>
      <c r="AD88" s="17">
        <f>'28'!K88</f>
        <v>18000</v>
      </c>
      <c r="AE88" s="17">
        <f>'29'!K88</f>
        <v>18000</v>
      </c>
      <c r="AF88" s="17">
        <f>'30'!K88</f>
        <v>18000</v>
      </c>
      <c r="AG88" s="17">
        <f>'31'!K88</f>
        <v>18000</v>
      </c>
      <c r="AH88" s="17"/>
      <c r="AI88" s="17">
        <f t="shared" si="2"/>
        <v>0</v>
      </c>
      <c r="AJ88" s="132">
        <f t="shared" si="3"/>
        <v>18000</v>
      </c>
      <c r="AM88" s="35" t="s">
        <v>98</v>
      </c>
    </row>
    <row r="89" spans="1:39" ht="14.25" customHeight="1" x14ac:dyDescent="0.25">
      <c r="A89" s="37"/>
      <c r="B89" s="70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2"/>
    </row>
    <row r="90" spans="1:39" ht="12.75" customHeight="1" x14ac:dyDescent="0.25">
      <c r="A90" s="39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1"/>
    </row>
    <row r="91" spans="1:39" ht="3" customHeight="1" x14ac:dyDescent="0.25">
      <c r="A91" s="39"/>
      <c r="B91" s="73"/>
      <c r="AI91" s="40"/>
    </row>
    <row r="92" spans="1:39" ht="14.25" hidden="1" customHeight="1" x14ac:dyDescent="0.25">
      <c r="A92" s="39"/>
      <c r="AI92" s="40"/>
    </row>
    <row r="93" spans="1:39" ht="14.25" customHeight="1" x14ac:dyDescent="0.25">
      <c r="A93" s="41" t="s">
        <v>98</v>
      </c>
      <c r="B93" s="45" t="s">
        <v>109</v>
      </c>
      <c r="AC93" s="48"/>
      <c r="AD93" s="38" t="s">
        <v>110</v>
      </c>
      <c r="AI93" s="40"/>
    </row>
    <row r="94" spans="1:39" ht="15.75" customHeight="1" x14ac:dyDescent="0.25">
      <c r="A94" s="39"/>
      <c r="B94" s="90" t="s">
        <v>111</v>
      </c>
      <c r="AC94" s="47"/>
      <c r="AD94" s="38" t="s">
        <v>112</v>
      </c>
      <c r="AI94" s="40"/>
    </row>
    <row r="95" spans="1:39" ht="15.75" customHeight="1" x14ac:dyDescent="0.25">
      <c r="A95" s="42"/>
      <c r="B95" s="46" t="s">
        <v>113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89"/>
      <c r="AD95" s="42" t="s">
        <v>114</v>
      </c>
      <c r="AE95" s="43"/>
      <c r="AF95" s="43"/>
      <c r="AG95" s="43"/>
      <c r="AH95" s="43"/>
      <c r="AI95" s="44"/>
    </row>
    <row r="97" s="35" customFormat="1" x14ac:dyDescent="0.25"/>
    <row r="98" s="35" customFormat="1" x14ac:dyDescent="0.25"/>
    <row r="99" s="35" customFormat="1" x14ac:dyDescent="0.25"/>
    <row r="100" s="35" customFormat="1" x14ac:dyDescent="0.25"/>
    <row r="101" s="35" customFormat="1" x14ac:dyDescent="0.25"/>
    <row r="102" s="35" customFormat="1" x14ac:dyDescent="0.25"/>
    <row r="103" s="35" customFormat="1" x14ac:dyDescent="0.25"/>
    <row r="104" s="35" customFormat="1" x14ac:dyDescent="0.25"/>
    <row r="105" s="35" customFormat="1" x14ac:dyDescent="0.25"/>
    <row r="106" s="35" customFormat="1" x14ac:dyDescent="0.25"/>
    <row r="107" s="35" customFormat="1" x14ac:dyDescent="0.25"/>
    <row r="108" s="35" customFormat="1" x14ac:dyDescent="0.25"/>
    <row r="109" s="35" customFormat="1" x14ac:dyDescent="0.25"/>
    <row r="110" s="35" customFormat="1" x14ac:dyDescent="0.25"/>
    <row r="111" s="35" customFormat="1" x14ac:dyDescent="0.25"/>
    <row r="112" s="35" customFormat="1" x14ac:dyDescent="0.25"/>
    <row r="113" s="35" customFormat="1" x14ac:dyDescent="0.25"/>
    <row r="114" s="35" customFormat="1" x14ac:dyDescent="0.25"/>
    <row r="115" s="35" customFormat="1" x14ac:dyDescent="0.25"/>
    <row r="116" s="35" customFormat="1" x14ac:dyDescent="0.25"/>
    <row r="117" s="35" customFormat="1" x14ac:dyDescent="0.25"/>
    <row r="118" s="35" customFormat="1" x14ac:dyDescent="0.25"/>
    <row r="119" s="35" customFormat="1" x14ac:dyDescent="0.25"/>
    <row r="120" s="35" customFormat="1" x14ac:dyDescent="0.25"/>
    <row r="121" s="35" customFormat="1" x14ac:dyDescent="0.25"/>
    <row r="122" s="35" customFormat="1" x14ac:dyDescent="0.25"/>
    <row r="123" s="35" customFormat="1" x14ac:dyDescent="0.25"/>
    <row r="124" s="35" customFormat="1" x14ac:dyDescent="0.25"/>
    <row r="125" s="35" customFormat="1" x14ac:dyDescent="0.25"/>
    <row r="126" s="35" customFormat="1" x14ac:dyDescent="0.25"/>
    <row r="127" s="35" customFormat="1" x14ac:dyDescent="0.25"/>
    <row r="128" s="35" customFormat="1" x14ac:dyDescent="0.25"/>
    <row r="129" s="35" customFormat="1" x14ac:dyDescent="0.25"/>
    <row r="130" s="35" customFormat="1" x14ac:dyDescent="0.25"/>
    <row r="131" s="35" customFormat="1" x14ac:dyDescent="0.25"/>
    <row r="132" s="35" customFormat="1" x14ac:dyDescent="0.25"/>
    <row r="133" s="35" customFormat="1" x14ac:dyDescent="0.25"/>
    <row r="134" s="35" customFormat="1" x14ac:dyDescent="0.25"/>
    <row r="135" s="35" customFormat="1" x14ac:dyDescent="0.25"/>
    <row r="136" s="35" customFormat="1" x14ac:dyDescent="0.25"/>
    <row r="137" s="35" customFormat="1" x14ac:dyDescent="0.25"/>
    <row r="138" s="35" customFormat="1" x14ac:dyDescent="0.25"/>
    <row r="139" s="35" customFormat="1" x14ac:dyDescent="0.25"/>
    <row r="140" s="35" customFormat="1" x14ac:dyDescent="0.25"/>
    <row r="141" s="35" customFormat="1" x14ac:dyDescent="0.25"/>
    <row r="142" s="35" customFormat="1" x14ac:dyDescent="0.25"/>
    <row r="143" s="35" customFormat="1" x14ac:dyDescent="0.25"/>
  </sheetData>
  <mergeCells count="22">
    <mergeCell ref="B90:AI90"/>
    <mergeCell ref="AH4:AH6"/>
    <mergeCell ref="AI4:AI6"/>
    <mergeCell ref="A1:AI1"/>
    <mergeCell ref="A2:AI2"/>
    <mergeCell ref="A3:AI3"/>
    <mergeCell ref="A33:A35"/>
    <mergeCell ref="A4:A6"/>
    <mergeCell ref="B4:B6"/>
    <mergeCell ref="A7:A12"/>
    <mergeCell ref="A13:A15"/>
    <mergeCell ref="A16:A18"/>
    <mergeCell ref="A19:A20"/>
    <mergeCell ref="A21:A25"/>
    <mergeCell ref="A26:A32"/>
    <mergeCell ref="A69:A73"/>
    <mergeCell ref="A63:A66"/>
    <mergeCell ref="A43:A45"/>
    <mergeCell ref="A46:A48"/>
    <mergeCell ref="A52:A53"/>
    <mergeCell ref="A54:A55"/>
    <mergeCell ref="A56:A60"/>
  </mergeCells>
  <pageMargins left="0.7" right="0.7" top="0.25" bottom="0.25" header="0.3" footer="0.3"/>
  <pageSetup paperSize="5" scale="6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E963-F545-4DF8-9222-E66734316C91}">
  <dimension ref="A1:N94"/>
  <sheetViews>
    <sheetView workbookViewId="0">
      <selection activeCell="I10" sqref="I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M1" s="2"/>
      <c r="N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M2" s="2"/>
      <c r="N2" s="2"/>
    </row>
    <row r="3" spans="1:14" ht="27.75" customHeight="1" x14ac:dyDescent="0.25">
      <c r="A3" s="119" t="s">
        <v>127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M3" s="2"/>
      <c r="N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13000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9000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10500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10860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7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7">
        <v>13500</v>
      </c>
      <c r="K14" s="81">
        <f t="shared" si="0"/>
        <v>13357.142857142857</v>
      </c>
      <c r="M14" s="2"/>
      <c r="N14" s="2" t="s">
        <v>1</v>
      </c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15285.714285714286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115000</v>
      </c>
      <c r="K23" s="81">
        <f t="shared" si="0"/>
        <v>111428.57142857143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105000</v>
      </c>
      <c r="K24" s="81">
        <f t="shared" si="0"/>
        <v>100000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33000</v>
      </c>
      <c r="F25" s="5">
        <v>35000</v>
      </c>
      <c r="G25" s="5">
        <v>34000</v>
      </c>
      <c r="H25" s="57">
        <v>35000</v>
      </c>
      <c r="I25" s="5">
        <v>35000</v>
      </c>
      <c r="J25" s="57">
        <v>35000</v>
      </c>
      <c r="K25" s="81">
        <f t="shared" si="0"/>
        <v>34571.428571428572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30000</v>
      </c>
      <c r="F28" s="5">
        <v>28000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26714.285714285714</v>
      </c>
      <c r="L28" t="s">
        <v>96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63285.714285714283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35000</v>
      </c>
      <c r="F31" s="5">
        <v>38000</v>
      </c>
      <c r="G31" s="5">
        <v>35000</v>
      </c>
      <c r="H31" s="5">
        <v>28000</v>
      </c>
      <c r="I31" s="5">
        <v>35000</v>
      </c>
      <c r="J31" s="57">
        <v>30000</v>
      </c>
      <c r="K31" s="81">
        <f t="shared" si="0"/>
        <v>34000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82500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27000</v>
      </c>
      <c r="G34" s="5">
        <v>30000</v>
      </c>
      <c r="H34" s="5">
        <v>30000</v>
      </c>
      <c r="I34" s="5">
        <v>29000</v>
      </c>
      <c r="J34" s="57">
        <v>30000</v>
      </c>
      <c r="K34" s="81">
        <f t="shared" si="0"/>
        <v>29428.571428571428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2785.7142857142858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10000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7">
        <v>12500</v>
      </c>
      <c r="K44" s="81">
        <f t="shared" si="0"/>
        <v>12416.666666666666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0">
        <v>12500</v>
      </c>
      <c r="K45" s="81">
        <f>AVERAGE(D45:J45)</f>
        <v>12583.333333333334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/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2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7" t="s">
        <v>95</v>
      </c>
      <c r="K57" s="81">
        <f t="shared" si="0"/>
        <v>13500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 t="s">
        <v>97</v>
      </c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13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29000</v>
      </c>
      <c r="H60" s="5">
        <v>26000</v>
      </c>
      <c r="I60" s="5">
        <v>29000</v>
      </c>
      <c r="J60" s="57">
        <v>28000</v>
      </c>
      <c r="K60" s="81">
        <f t="shared" si="0"/>
        <v>28571.428571428572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24000</v>
      </c>
      <c r="E64" s="5">
        <v>20000</v>
      </c>
      <c r="F64" s="5">
        <v>23000</v>
      </c>
      <c r="G64" s="5">
        <v>25000</v>
      </c>
      <c r="H64" s="5">
        <v>20000</v>
      </c>
      <c r="I64" s="5">
        <v>28000</v>
      </c>
      <c r="J64" s="57">
        <v>30000</v>
      </c>
      <c r="K64" s="81">
        <f t="shared" si="0"/>
        <v>24285.714285714286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20000</v>
      </c>
      <c r="F65" s="5">
        <v>22000</v>
      </c>
      <c r="G65" s="5">
        <v>25000</v>
      </c>
      <c r="H65" s="68" t="s">
        <v>95</v>
      </c>
      <c r="I65" s="4">
        <v>25000</v>
      </c>
      <c r="J65" s="57" t="s">
        <v>95</v>
      </c>
      <c r="K65" s="81">
        <f t="shared" si="0"/>
        <v>24000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35000</v>
      </c>
      <c r="E66" s="5">
        <v>30000</v>
      </c>
      <c r="F66" s="5">
        <v>32000</v>
      </c>
      <c r="G66" s="5">
        <v>30000</v>
      </c>
      <c r="H66" s="5">
        <v>35000</v>
      </c>
      <c r="I66" s="5">
        <v>35000</v>
      </c>
      <c r="J66" s="57">
        <v>35000</v>
      </c>
      <c r="K66" s="81">
        <f t="shared" si="0"/>
        <v>33142.857142857145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35000</v>
      </c>
      <c r="G70" s="5">
        <v>35000</v>
      </c>
      <c r="H70" s="5">
        <v>36000</v>
      </c>
      <c r="I70" s="5">
        <v>38000</v>
      </c>
      <c r="J70" s="57">
        <v>40000</v>
      </c>
      <c r="K70" s="81">
        <f t="shared" si="0"/>
        <v>36428.571428571428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36000</v>
      </c>
      <c r="G71" s="5">
        <v>35000</v>
      </c>
      <c r="H71" s="5">
        <v>35000</v>
      </c>
      <c r="I71" s="5">
        <v>33000</v>
      </c>
      <c r="J71" s="57">
        <v>40000</v>
      </c>
      <c r="K71" s="81">
        <f t="shared" si="0"/>
        <v>35285.714285714283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25000</v>
      </c>
      <c r="F72" s="5">
        <v>22000</v>
      </c>
      <c r="G72" s="5">
        <v>28000</v>
      </c>
      <c r="H72" s="5">
        <v>20000</v>
      </c>
      <c r="I72" s="5">
        <v>28000</v>
      </c>
      <c r="J72" s="57">
        <v>25000</v>
      </c>
      <c r="K72" s="81">
        <f t="shared" si="0"/>
        <v>24571.428571428572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6000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5666.666666666667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6000</v>
      </c>
      <c r="F78" s="5">
        <v>7000</v>
      </c>
      <c r="G78" s="5">
        <v>8000</v>
      </c>
      <c r="H78" s="5">
        <v>9000</v>
      </c>
      <c r="I78" s="9">
        <v>8000</v>
      </c>
      <c r="J78" s="57">
        <v>7000</v>
      </c>
      <c r="K78" s="81">
        <f t="shared" si="0"/>
        <v>7285.7142857142853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8000</v>
      </c>
      <c r="F79" s="5">
        <v>12000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11142.857142857143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15000</v>
      </c>
      <c r="F80" s="5">
        <v>15000</v>
      </c>
      <c r="G80" s="5">
        <v>15000</v>
      </c>
      <c r="H80" s="5">
        <v>15000</v>
      </c>
      <c r="I80" s="5">
        <v>15000</v>
      </c>
      <c r="J80" s="57">
        <v>15000</v>
      </c>
      <c r="K80" s="81">
        <f t="shared" si="0"/>
        <v>15142.857142857143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8000</v>
      </c>
      <c r="G81" s="5">
        <v>12000</v>
      </c>
      <c r="H81" s="5">
        <v>5000</v>
      </c>
      <c r="I81" s="4">
        <v>8000</v>
      </c>
      <c r="J81" s="57">
        <v>8000</v>
      </c>
      <c r="K81" s="81">
        <f t="shared" ref="K81:K88" si="1">AVERAGE(D81:J81)</f>
        <v>8428.5714285714294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10000</v>
      </c>
      <c r="E82" s="5">
        <v>13000</v>
      </c>
      <c r="F82" s="5">
        <v>10000</v>
      </c>
      <c r="G82" s="5">
        <v>12000</v>
      </c>
      <c r="H82" s="5">
        <v>10000</v>
      </c>
      <c r="I82" s="5">
        <v>15000</v>
      </c>
      <c r="J82" s="57">
        <v>7000</v>
      </c>
      <c r="K82" s="81">
        <f t="shared" si="1"/>
        <v>11000</v>
      </c>
      <c r="M82" s="2"/>
      <c r="N82" s="2"/>
    </row>
    <row r="83" spans="1:14" ht="15.75" x14ac:dyDescent="0.25">
      <c r="A83" s="10"/>
      <c r="B83" s="54" t="s">
        <v>76</v>
      </c>
      <c r="C83" s="65" t="s">
        <v>4</v>
      </c>
      <c r="D83" s="5">
        <v>8000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8857.1428571428569</v>
      </c>
      <c r="M83" s="2"/>
      <c r="N83" s="2"/>
    </row>
    <row r="84" spans="1:14" ht="15.75" x14ac:dyDescent="0.25">
      <c r="A84" s="10"/>
      <c r="B84" s="54" t="s">
        <v>77</v>
      </c>
      <c r="C84" s="65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0">
        <v>1500</v>
      </c>
      <c r="K84" s="81">
        <f t="shared" si="1"/>
        <v>1583.3333333333333</v>
      </c>
      <c r="M84" s="2"/>
      <c r="N84" s="2"/>
    </row>
    <row r="85" spans="1:14" ht="15.75" x14ac:dyDescent="0.25">
      <c r="A85" s="10"/>
      <c r="B85" s="54" t="s">
        <v>79</v>
      </c>
      <c r="C85" s="65" t="s">
        <v>78</v>
      </c>
      <c r="D85" s="5">
        <v>1000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1416.6666666666667</v>
      </c>
      <c r="M85" s="2"/>
      <c r="N85" s="2"/>
    </row>
    <row r="86" spans="1:14" ht="15.75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1500</v>
      </c>
      <c r="K86" s="81">
        <f t="shared" si="1"/>
        <v>1750</v>
      </c>
      <c r="M86" s="2"/>
      <c r="N86" s="2"/>
    </row>
    <row r="87" spans="1:14" ht="15.75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  <c r="M87" s="2"/>
      <c r="N87" s="2"/>
    </row>
    <row r="88" spans="1:14" ht="15.75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B4E4-A6A0-426E-92ED-7DB70BBFE345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M1" s="2"/>
      <c r="N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M2" s="2"/>
      <c r="N2" s="2"/>
    </row>
    <row r="3" spans="1:14" ht="27.75" customHeight="1" x14ac:dyDescent="0.25">
      <c r="A3" s="119" t="s">
        <v>128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M3" s="2"/>
      <c r="N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13000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9000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>
        <v>12000</v>
      </c>
      <c r="K10" s="81">
        <f t="shared" si="0"/>
        <v>11300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 t="s">
        <v>95</v>
      </c>
      <c r="K11" s="81">
        <f>AVERAGE(D11:J11)</f>
        <v>10750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 t="s">
        <v>95</v>
      </c>
      <c r="K12" s="81">
        <f t="shared" si="0"/>
        <v>19000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7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7">
        <v>13500</v>
      </c>
      <c r="K14" s="81">
        <f t="shared" si="0"/>
        <v>13357.142857142857</v>
      </c>
      <c r="M14" s="2"/>
      <c r="N14" s="2" t="s">
        <v>1</v>
      </c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15000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 t="s">
        <v>95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33000</v>
      </c>
      <c r="F25" s="5">
        <v>35000</v>
      </c>
      <c r="G25" s="5">
        <v>34000</v>
      </c>
      <c r="H25" s="57">
        <v>35000</v>
      </c>
      <c r="I25" s="5">
        <v>35000</v>
      </c>
      <c r="J25" s="57">
        <v>35000</v>
      </c>
      <c r="K25" s="81">
        <f t="shared" si="0"/>
        <v>34571.428571428572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35000</v>
      </c>
      <c r="K27" s="81">
        <f t="shared" si="0"/>
        <v>35166.666666666664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30000</v>
      </c>
      <c r="F28" s="5">
        <v>28000</v>
      </c>
      <c r="G28" s="4">
        <v>30000</v>
      </c>
      <c r="H28" s="5">
        <v>23000</v>
      </c>
      <c r="I28" s="5">
        <v>25000</v>
      </c>
      <c r="J28" s="59">
        <v>23000</v>
      </c>
      <c r="K28" s="81">
        <f t="shared" si="0"/>
        <v>26428.571428571428</v>
      </c>
      <c r="L28" t="s">
        <v>96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68000</v>
      </c>
      <c r="I29" s="5">
        <v>60000</v>
      </c>
      <c r="J29" s="60">
        <v>68000</v>
      </c>
      <c r="K29" s="81">
        <f t="shared" si="0"/>
        <v>63714.285714285717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23000</v>
      </c>
      <c r="K30" s="81">
        <f t="shared" si="0"/>
        <v>23400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35000</v>
      </c>
      <c r="F31" s="5">
        <v>38000</v>
      </c>
      <c r="G31" s="5">
        <v>35000</v>
      </c>
      <c r="H31" s="5">
        <v>28000</v>
      </c>
      <c r="I31" s="5">
        <v>35000</v>
      </c>
      <c r="J31" s="57">
        <v>28000</v>
      </c>
      <c r="K31" s="81">
        <f t="shared" si="0"/>
        <v>33714.285714285717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0">
        <v>80000</v>
      </c>
      <c r="K32" s="81">
        <f t="shared" si="0"/>
        <v>85000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30000</v>
      </c>
      <c r="H34" s="5">
        <v>30000</v>
      </c>
      <c r="I34" s="5">
        <v>29000</v>
      </c>
      <c r="J34" s="57">
        <v>30000</v>
      </c>
      <c r="K34" s="81">
        <f t="shared" si="0"/>
        <v>29857.142857142859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7">
        <v>2500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10000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16000</v>
      </c>
      <c r="K38" s="81">
        <f>AVERAGE(D38:J38)</f>
        <v>13400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14000</v>
      </c>
      <c r="K40" s="81">
        <f t="shared" si="0"/>
        <v>12750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7">
        <v>12500</v>
      </c>
      <c r="K44" s="81">
        <f t="shared" si="0"/>
        <v>12416.666666666666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0">
        <v>12500</v>
      </c>
      <c r="K45" s="81">
        <f>AVERAGE(D45:J45)</f>
        <v>12583.333333333334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9000</v>
      </c>
      <c r="K50" s="81">
        <f t="shared" si="0"/>
        <v>9428.5714285714294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/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2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12000</v>
      </c>
      <c r="K55" s="81">
        <f t="shared" si="0"/>
        <v>10785.714285714286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12000</v>
      </c>
      <c r="I57" s="5">
        <v>14000</v>
      </c>
      <c r="J57" s="57" t="s">
        <v>95</v>
      </c>
      <c r="K57" s="81">
        <f t="shared" si="0"/>
        <v>13500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12000</v>
      </c>
      <c r="K58" s="81">
        <f t="shared" si="0"/>
        <v>12500</v>
      </c>
      <c r="M58" s="2" t="s">
        <v>97</v>
      </c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13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30000</v>
      </c>
      <c r="G64" s="5">
        <v>28000</v>
      </c>
      <c r="H64" s="5">
        <v>25000</v>
      </c>
      <c r="I64" s="5">
        <v>28000</v>
      </c>
      <c r="J64" s="57">
        <v>20000</v>
      </c>
      <c r="K64" s="81">
        <f t="shared" si="0"/>
        <v>26285.714285714286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25000</v>
      </c>
      <c r="F65" s="5">
        <v>25000</v>
      </c>
      <c r="G65" s="5">
        <v>28000</v>
      </c>
      <c r="H65" s="68" t="s">
        <v>95</v>
      </c>
      <c r="I65" s="4">
        <v>25000</v>
      </c>
      <c r="J65" s="57" t="s">
        <v>95</v>
      </c>
      <c r="K65" s="81">
        <f t="shared" si="0"/>
        <v>26200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35000</v>
      </c>
      <c r="E66" s="5">
        <v>35000</v>
      </c>
      <c r="F66" s="5">
        <v>32000</v>
      </c>
      <c r="G66" s="5">
        <v>35000</v>
      </c>
      <c r="H66" s="5">
        <v>35000</v>
      </c>
      <c r="I66" s="5">
        <v>35000</v>
      </c>
      <c r="J66" s="57">
        <v>35000</v>
      </c>
      <c r="K66" s="81">
        <f t="shared" si="0"/>
        <v>34571.428571428572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38000</v>
      </c>
      <c r="G70" s="5">
        <v>35000</v>
      </c>
      <c r="H70" s="5">
        <v>36000</v>
      </c>
      <c r="I70" s="5">
        <v>38000</v>
      </c>
      <c r="J70" s="57">
        <v>36000</v>
      </c>
      <c r="K70" s="81">
        <f t="shared" si="0"/>
        <v>36285.714285714283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35000</v>
      </c>
      <c r="G71" s="5">
        <v>35000</v>
      </c>
      <c r="H71" s="5">
        <v>35000</v>
      </c>
      <c r="I71" s="5">
        <v>33000</v>
      </c>
      <c r="J71" s="57">
        <v>35000</v>
      </c>
      <c r="K71" s="81">
        <f t="shared" si="0"/>
        <v>34428.571428571428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25000</v>
      </c>
      <c r="F72" s="5">
        <v>24000</v>
      </c>
      <c r="G72" s="5">
        <v>28000</v>
      </c>
      <c r="H72" s="5">
        <v>21000</v>
      </c>
      <c r="I72" s="5">
        <v>28000</v>
      </c>
      <c r="J72" s="57">
        <v>20000</v>
      </c>
      <c r="K72" s="81">
        <f t="shared" si="0"/>
        <v>24285.714285714286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7">
        <v>4000</v>
      </c>
      <c r="K75" s="81">
        <f t="shared" si="0"/>
        <v>5142.8571428571431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0">
        <v>5000</v>
      </c>
      <c r="K76" s="81">
        <f t="shared" si="0"/>
        <v>5500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7000</v>
      </c>
      <c r="E78" s="5">
        <v>7000</v>
      </c>
      <c r="F78" s="5">
        <v>7000</v>
      </c>
      <c r="G78" s="5">
        <v>8000</v>
      </c>
      <c r="H78" s="5">
        <v>9000</v>
      </c>
      <c r="I78" s="9">
        <v>8000</v>
      </c>
      <c r="J78" s="57">
        <v>9000</v>
      </c>
      <c r="K78" s="81">
        <f t="shared" si="0"/>
        <v>7857.1428571428569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7000</v>
      </c>
      <c r="F79" s="5">
        <v>12000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11000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16000</v>
      </c>
      <c r="F80" s="5">
        <v>16000</v>
      </c>
      <c r="G80" s="5">
        <v>15000</v>
      </c>
      <c r="H80" s="5">
        <v>15000</v>
      </c>
      <c r="I80" s="5">
        <v>15000</v>
      </c>
      <c r="J80" s="57">
        <v>15000</v>
      </c>
      <c r="K80" s="81">
        <f t="shared" si="0"/>
        <v>15428.571428571429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7000</v>
      </c>
      <c r="G81" s="5">
        <v>12000</v>
      </c>
      <c r="H81" s="5">
        <v>7000</v>
      </c>
      <c r="I81" s="4">
        <v>8000</v>
      </c>
      <c r="J81" s="57">
        <v>5000</v>
      </c>
      <c r="K81" s="81">
        <f t="shared" ref="K81:K88" si="1">AVERAGE(D81:J81)</f>
        <v>8142.8571428571431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12000</v>
      </c>
      <c r="H82" s="5">
        <v>10000</v>
      </c>
      <c r="I82" s="5">
        <v>15000</v>
      </c>
      <c r="J82" s="57">
        <v>10000</v>
      </c>
      <c r="K82" s="81">
        <f t="shared" si="1"/>
        <v>12000</v>
      </c>
      <c r="M82" s="2"/>
      <c r="N82" s="2"/>
    </row>
    <row r="83" spans="1:14" ht="15.75" x14ac:dyDescent="0.25">
      <c r="A83" s="10"/>
      <c r="B83" s="54" t="s">
        <v>76</v>
      </c>
      <c r="C83" s="65" t="s">
        <v>4</v>
      </c>
      <c r="D83" s="5">
        <v>9000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7">
        <v>9000</v>
      </c>
      <c r="K83" s="81">
        <f t="shared" si="1"/>
        <v>9142.8571428571431</v>
      </c>
      <c r="M83" s="2"/>
      <c r="N83" s="2"/>
    </row>
    <row r="84" spans="1:14" ht="15.75" x14ac:dyDescent="0.25">
      <c r="A84" s="10"/>
      <c r="B84" s="54" t="s">
        <v>77</v>
      </c>
      <c r="C84" s="65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0">
        <v>1500</v>
      </c>
      <c r="K84" s="81">
        <f t="shared" si="1"/>
        <v>1583.3333333333333</v>
      </c>
      <c r="M84" s="2"/>
      <c r="N84" s="2"/>
    </row>
    <row r="85" spans="1:14" ht="15.75" x14ac:dyDescent="0.25">
      <c r="A85" s="10"/>
      <c r="B85" s="54" t="s">
        <v>79</v>
      </c>
      <c r="C85" s="65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0">
        <v>1500</v>
      </c>
      <c r="K85" s="81">
        <f t="shared" si="1"/>
        <v>1583.3333333333333</v>
      </c>
      <c r="M85" s="2"/>
      <c r="N85" s="2"/>
    </row>
    <row r="86" spans="1:14" ht="15.75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2000</v>
      </c>
      <c r="K86" s="81">
        <f t="shared" si="1"/>
        <v>2000</v>
      </c>
      <c r="M86" s="2"/>
      <c r="N86" s="2"/>
    </row>
    <row r="87" spans="1:14" ht="15.75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  <c r="M87" s="2"/>
      <c r="N87" s="2"/>
    </row>
    <row r="88" spans="1:14" ht="15.75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6FB2-6043-429E-9FDD-FBA869FBBDE4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M1" s="2"/>
      <c r="N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M2" s="2"/>
      <c r="N2" s="2"/>
    </row>
    <row r="3" spans="1:14" ht="27.75" customHeight="1" x14ac:dyDescent="0.25">
      <c r="A3" s="119" t="s">
        <v>129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M3" s="2"/>
      <c r="N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13000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9000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9000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10500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10860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7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7">
        <v>13500</v>
      </c>
      <c r="K14" s="81">
        <f t="shared" si="0"/>
        <v>13357.142857142857</v>
      </c>
      <c r="M14" s="2"/>
      <c r="N14" s="2" t="s">
        <v>1</v>
      </c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15285.714285714286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31000</v>
      </c>
      <c r="E25" s="5">
        <v>33000</v>
      </c>
      <c r="F25" s="5">
        <v>35000</v>
      </c>
      <c r="G25" s="5">
        <v>34000</v>
      </c>
      <c r="H25" s="57">
        <v>35000</v>
      </c>
      <c r="I25" s="5">
        <v>34000</v>
      </c>
      <c r="J25" s="57">
        <v>35000</v>
      </c>
      <c r="K25" s="81">
        <f t="shared" si="0"/>
        <v>33857.142857142855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30000</v>
      </c>
      <c r="F28" s="5">
        <v>28000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26714.285714285714</v>
      </c>
      <c r="L28" t="s">
        <v>96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63285.714285714283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35000</v>
      </c>
      <c r="F31" s="5">
        <v>38000</v>
      </c>
      <c r="G31" s="5">
        <v>35000</v>
      </c>
      <c r="H31" s="5">
        <v>28000</v>
      </c>
      <c r="I31" s="5">
        <v>35000</v>
      </c>
      <c r="J31" s="57">
        <v>30000</v>
      </c>
      <c r="K31" s="81">
        <f t="shared" si="0"/>
        <v>34000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82500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30000</v>
      </c>
      <c r="H34" s="5">
        <v>30000</v>
      </c>
      <c r="I34" s="5">
        <v>29000</v>
      </c>
      <c r="J34" s="57">
        <v>30000</v>
      </c>
      <c r="K34" s="81">
        <f t="shared" si="0"/>
        <v>29857.142857142859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2785.7142857142858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10000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7">
        <v>12500</v>
      </c>
      <c r="K44" s="81">
        <f t="shared" si="0"/>
        <v>12416.666666666666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0">
        <v>12500</v>
      </c>
      <c r="K45" s="81">
        <f>AVERAGE(D45:J45)</f>
        <v>12583.333333333334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/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2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 t="s">
        <v>97</v>
      </c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13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30000</v>
      </c>
      <c r="G64" s="5">
        <v>30000</v>
      </c>
      <c r="H64" s="5">
        <v>27000</v>
      </c>
      <c r="I64" s="5">
        <v>30000</v>
      </c>
      <c r="J64" s="57">
        <v>30000</v>
      </c>
      <c r="K64" s="81">
        <f t="shared" si="0"/>
        <v>28571.428571428572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25000</v>
      </c>
      <c r="F65" s="5">
        <v>24000</v>
      </c>
      <c r="G65" s="5">
        <v>30000</v>
      </c>
      <c r="H65" s="68" t="s">
        <v>95</v>
      </c>
      <c r="I65" s="4">
        <v>25000</v>
      </c>
      <c r="J65" s="57" t="s">
        <v>95</v>
      </c>
      <c r="K65" s="81">
        <f t="shared" si="0"/>
        <v>26400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35000</v>
      </c>
      <c r="E66" s="5">
        <v>35000</v>
      </c>
      <c r="F66" s="5">
        <v>35000</v>
      </c>
      <c r="G66" s="5">
        <v>35000</v>
      </c>
      <c r="H66" s="5">
        <v>35000</v>
      </c>
      <c r="I66" s="5">
        <v>35000</v>
      </c>
      <c r="J66" s="57">
        <v>35000</v>
      </c>
      <c r="K66" s="81">
        <f t="shared" si="0"/>
        <v>35000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36000</v>
      </c>
      <c r="G70" s="5">
        <v>35000</v>
      </c>
      <c r="H70" s="5">
        <v>35000</v>
      </c>
      <c r="I70" s="5">
        <v>39000</v>
      </c>
      <c r="J70" s="57">
        <v>40000</v>
      </c>
      <c r="K70" s="81">
        <f t="shared" si="0"/>
        <v>36571.428571428572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35000</v>
      </c>
      <c r="G71" s="5">
        <v>35000</v>
      </c>
      <c r="H71" s="5">
        <v>35000</v>
      </c>
      <c r="I71" s="5">
        <v>33000</v>
      </c>
      <c r="J71" s="57">
        <v>40000</v>
      </c>
      <c r="K71" s="81">
        <f t="shared" si="0"/>
        <v>35142.857142857145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25000</v>
      </c>
      <c r="F72" s="5">
        <v>24000</v>
      </c>
      <c r="G72" s="5">
        <v>28000</v>
      </c>
      <c r="H72" s="5">
        <v>20000</v>
      </c>
      <c r="I72" s="5">
        <v>30000</v>
      </c>
      <c r="J72" s="57">
        <v>25000</v>
      </c>
      <c r="K72" s="81">
        <f t="shared" si="0"/>
        <v>25142.857142857141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7">
        <v>4000</v>
      </c>
      <c r="K75" s="81">
        <f t="shared" si="0"/>
        <v>5142.8571428571431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0">
        <v>5000</v>
      </c>
      <c r="K76" s="81">
        <f t="shared" si="0"/>
        <v>5500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7000</v>
      </c>
      <c r="E78" s="5">
        <v>7000</v>
      </c>
      <c r="F78" s="5">
        <v>7000</v>
      </c>
      <c r="G78" s="5">
        <v>8000</v>
      </c>
      <c r="H78" s="5">
        <v>9000</v>
      </c>
      <c r="I78" s="9">
        <v>8000</v>
      </c>
      <c r="J78" s="57">
        <v>7000</v>
      </c>
      <c r="K78" s="81">
        <f t="shared" si="0"/>
        <v>7571.4285714285716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7000</v>
      </c>
      <c r="F79" s="5">
        <v>12000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11000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16000</v>
      </c>
      <c r="F80" s="5">
        <v>16000</v>
      </c>
      <c r="G80" s="5">
        <v>15000</v>
      </c>
      <c r="H80" s="5">
        <v>15000</v>
      </c>
      <c r="I80" s="5">
        <v>15000</v>
      </c>
      <c r="J80" s="57">
        <v>15000</v>
      </c>
      <c r="K80" s="81">
        <f t="shared" si="0"/>
        <v>15428.571428571429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7000</v>
      </c>
      <c r="G81" s="5">
        <v>12000</v>
      </c>
      <c r="H81" s="5">
        <v>7000</v>
      </c>
      <c r="I81" s="4">
        <v>8000</v>
      </c>
      <c r="J81" s="57">
        <v>8000</v>
      </c>
      <c r="K81" s="81">
        <f t="shared" ref="K81:K88" si="1">AVERAGE(D81:J81)</f>
        <v>8571.4285714285706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12000</v>
      </c>
      <c r="H82" s="5">
        <v>10000</v>
      </c>
      <c r="I82" s="5">
        <v>15000</v>
      </c>
      <c r="J82" s="57">
        <v>7000</v>
      </c>
      <c r="K82" s="81">
        <f t="shared" si="1"/>
        <v>11571.428571428571</v>
      </c>
      <c r="M82" s="2"/>
      <c r="N82" s="2"/>
    </row>
    <row r="83" spans="1:14" ht="15.75" x14ac:dyDescent="0.25">
      <c r="A83" s="10"/>
      <c r="B83" s="54" t="s">
        <v>76</v>
      </c>
      <c r="C83" s="65" t="s">
        <v>4</v>
      </c>
      <c r="D83" s="5">
        <v>9000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9000</v>
      </c>
      <c r="M83" s="2"/>
      <c r="N83" s="2"/>
    </row>
    <row r="84" spans="1:14" ht="15.75" x14ac:dyDescent="0.25">
      <c r="A84" s="10"/>
      <c r="B84" s="54" t="s">
        <v>77</v>
      </c>
      <c r="C84" s="65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0">
        <v>1500</v>
      </c>
      <c r="K84" s="81">
        <f t="shared" si="1"/>
        <v>1583.3333333333333</v>
      </c>
      <c r="M84" s="2"/>
      <c r="N84" s="2"/>
    </row>
    <row r="85" spans="1:14" ht="15.75" x14ac:dyDescent="0.25">
      <c r="A85" s="10"/>
      <c r="B85" s="54" t="s">
        <v>79</v>
      </c>
      <c r="C85" s="65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0">
        <v>1500</v>
      </c>
      <c r="K85" s="81">
        <f t="shared" si="1"/>
        <v>1583.3333333333333</v>
      </c>
      <c r="M85" s="2"/>
      <c r="N85" s="2"/>
    </row>
    <row r="86" spans="1:14" ht="15.75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2000</v>
      </c>
      <c r="K86" s="81">
        <f t="shared" si="1"/>
        <v>2000</v>
      </c>
      <c r="M86" s="2"/>
      <c r="N86" s="2"/>
    </row>
    <row r="87" spans="1:14" ht="15.75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  <c r="M87" s="2"/>
      <c r="N87" s="2"/>
    </row>
    <row r="88" spans="1:14" ht="15.75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E939-B88C-4A96-94D3-F2A1C1208D05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M1" s="2"/>
      <c r="N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M2" s="2"/>
      <c r="N2" s="2"/>
    </row>
    <row r="3" spans="1:14" ht="27.75" customHeight="1" x14ac:dyDescent="0.25">
      <c r="A3" s="119" t="s">
        <v>130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M3" s="2"/>
      <c r="N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13000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9000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9000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11160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7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7">
        <v>13500</v>
      </c>
      <c r="K14" s="81">
        <f t="shared" si="0"/>
        <v>13357.142857142857</v>
      </c>
      <c r="M14" s="2"/>
      <c r="N14" s="2" t="s">
        <v>1</v>
      </c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15285.714285714286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31000</v>
      </c>
      <c r="E25" s="5">
        <v>33000</v>
      </c>
      <c r="F25" s="5">
        <v>34000</v>
      </c>
      <c r="G25" s="5">
        <v>34000</v>
      </c>
      <c r="H25" s="57">
        <v>35000</v>
      </c>
      <c r="I25" s="5">
        <v>34000</v>
      </c>
      <c r="J25" s="57">
        <v>35000</v>
      </c>
      <c r="K25" s="81">
        <f t="shared" si="0"/>
        <v>33714.285714285717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27000</v>
      </c>
      <c r="L28" t="s">
        <v>96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f t="shared" si="0"/>
        <v>34428.571428571428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82500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30000</v>
      </c>
      <c r="H34" s="5">
        <v>30000</v>
      </c>
      <c r="I34" s="5">
        <v>29000</v>
      </c>
      <c r="J34" s="57">
        <v>30000</v>
      </c>
      <c r="K34" s="81">
        <f t="shared" si="0"/>
        <v>29857.142857142859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2785.7142857142858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10000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7">
        <v>12500</v>
      </c>
      <c r="K44" s="81">
        <f t="shared" si="0"/>
        <v>12416.666666666666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0">
        <v>12500</v>
      </c>
      <c r="K45" s="81">
        <f>AVERAGE(D45:J45)</f>
        <v>12583.333333333334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/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2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 t="s">
        <v>97</v>
      </c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13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28000</v>
      </c>
      <c r="G64" s="5">
        <v>30000</v>
      </c>
      <c r="H64" s="5">
        <v>25000</v>
      </c>
      <c r="I64" s="5">
        <v>30000</v>
      </c>
      <c r="J64" s="57">
        <v>30000</v>
      </c>
      <c r="K64" s="81">
        <f t="shared" si="0"/>
        <v>28000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25000</v>
      </c>
      <c r="F65" s="5">
        <v>30000</v>
      </c>
      <c r="G65" s="5">
        <v>30000</v>
      </c>
      <c r="H65" s="68" t="s">
        <v>95</v>
      </c>
      <c r="I65" s="4">
        <v>25000</v>
      </c>
      <c r="J65" s="57" t="s">
        <v>95</v>
      </c>
      <c r="K65" s="81">
        <f t="shared" si="0"/>
        <v>27600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35000</v>
      </c>
      <c r="E66" s="5">
        <v>35000</v>
      </c>
      <c r="F66" s="5">
        <v>35000</v>
      </c>
      <c r="G66" s="5">
        <v>35000</v>
      </c>
      <c r="H66" s="5">
        <v>35000</v>
      </c>
      <c r="I66" s="5">
        <v>35000</v>
      </c>
      <c r="J66" s="57">
        <v>35000</v>
      </c>
      <c r="K66" s="81">
        <f t="shared" si="0"/>
        <v>35000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36000</v>
      </c>
      <c r="G70" s="5">
        <v>35000</v>
      </c>
      <c r="H70" s="5">
        <v>35000</v>
      </c>
      <c r="I70" s="5">
        <v>39000</v>
      </c>
      <c r="J70" s="57">
        <v>40000</v>
      </c>
      <c r="K70" s="81">
        <f t="shared" si="0"/>
        <v>36571.428571428572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35000</v>
      </c>
      <c r="G71" s="5">
        <v>35000</v>
      </c>
      <c r="H71" s="5">
        <v>35000</v>
      </c>
      <c r="I71" s="5">
        <v>33000</v>
      </c>
      <c r="J71" s="57">
        <v>40000</v>
      </c>
      <c r="K71" s="81">
        <f t="shared" si="0"/>
        <v>35142.857142857145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27000</v>
      </c>
      <c r="E72" s="5">
        <v>25000</v>
      </c>
      <c r="F72" s="5">
        <v>22000</v>
      </c>
      <c r="G72" s="5">
        <v>28000</v>
      </c>
      <c r="H72" s="5">
        <v>20000</v>
      </c>
      <c r="I72" s="5">
        <v>30000</v>
      </c>
      <c r="J72" s="57">
        <v>25000</v>
      </c>
      <c r="K72" s="81">
        <f t="shared" si="0"/>
        <v>25285.714285714286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7">
        <v>4000</v>
      </c>
      <c r="K75" s="81">
        <f t="shared" si="0"/>
        <v>5142.8571428571431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 t="s">
        <v>95</v>
      </c>
      <c r="F76" s="9">
        <v>6000</v>
      </c>
      <c r="G76" s="4">
        <v>6000</v>
      </c>
      <c r="H76" s="5">
        <v>5000</v>
      </c>
      <c r="I76" s="5">
        <v>5000</v>
      </c>
      <c r="J76" s="60">
        <v>5000</v>
      </c>
      <c r="K76" s="81">
        <f t="shared" si="0"/>
        <v>5500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7000</v>
      </c>
      <c r="E78" s="5">
        <v>7000</v>
      </c>
      <c r="F78" s="5">
        <v>7000</v>
      </c>
      <c r="G78" s="5">
        <v>8000</v>
      </c>
      <c r="H78" s="5">
        <v>9000</v>
      </c>
      <c r="I78" s="9">
        <v>8000</v>
      </c>
      <c r="J78" s="57">
        <v>7000</v>
      </c>
      <c r="K78" s="81">
        <f t="shared" si="0"/>
        <v>7571.4285714285716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7000</v>
      </c>
      <c r="F79" s="5">
        <v>12000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11000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16000</v>
      </c>
      <c r="F80" s="5">
        <v>16000</v>
      </c>
      <c r="G80" s="5">
        <v>15000</v>
      </c>
      <c r="H80" s="5">
        <v>15000</v>
      </c>
      <c r="I80" s="5">
        <v>15000</v>
      </c>
      <c r="J80" s="57">
        <v>15000</v>
      </c>
      <c r="K80" s="81">
        <f t="shared" si="0"/>
        <v>15428.571428571429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7000</v>
      </c>
      <c r="G81" s="5">
        <v>12000</v>
      </c>
      <c r="H81" s="5">
        <v>7000</v>
      </c>
      <c r="I81" s="4">
        <v>8000</v>
      </c>
      <c r="J81" s="57">
        <v>8000</v>
      </c>
      <c r="K81" s="81">
        <f t="shared" ref="K81:K88" si="1">AVERAGE(D81:J81)</f>
        <v>8571.4285714285706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12000</v>
      </c>
      <c r="H82" s="5">
        <v>10000</v>
      </c>
      <c r="I82" s="5">
        <v>15000</v>
      </c>
      <c r="J82" s="57">
        <v>7000</v>
      </c>
      <c r="K82" s="81">
        <f t="shared" si="1"/>
        <v>11571.428571428571</v>
      </c>
      <c r="M82" s="2"/>
      <c r="N82" s="2"/>
    </row>
    <row r="83" spans="1:14" ht="15.75" x14ac:dyDescent="0.25">
      <c r="A83" s="10"/>
      <c r="B83" s="54" t="s">
        <v>76</v>
      </c>
      <c r="C83" s="65" t="s">
        <v>4</v>
      </c>
      <c r="D83" s="5">
        <v>9000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9000</v>
      </c>
      <c r="M83" s="2"/>
      <c r="N83" s="2"/>
    </row>
    <row r="84" spans="1:14" ht="15.75" x14ac:dyDescent="0.25">
      <c r="A84" s="10"/>
      <c r="B84" s="54" t="s">
        <v>77</v>
      </c>
      <c r="C84" s="65" t="s">
        <v>78</v>
      </c>
      <c r="D84" s="5">
        <v>1500</v>
      </c>
      <c r="E84" s="5" t="s">
        <v>95</v>
      </c>
      <c r="F84" s="5">
        <v>2000</v>
      </c>
      <c r="G84" s="4">
        <v>2000</v>
      </c>
      <c r="H84" s="5">
        <v>1500</v>
      </c>
      <c r="I84" s="5">
        <v>1000</v>
      </c>
      <c r="J84" s="60">
        <v>1500</v>
      </c>
      <c r="K84" s="81">
        <f t="shared" si="1"/>
        <v>1583.3333333333333</v>
      </c>
      <c r="M84" s="2"/>
      <c r="N84" s="2"/>
    </row>
    <row r="85" spans="1:14" ht="15.75" x14ac:dyDescent="0.25">
      <c r="A85" s="10"/>
      <c r="B85" s="54" t="s">
        <v>79</v>
      </c>
      <c r="C85" s="65" t="s">
        <v>78</v>
      </c>
      <c r="D85" s="5">
        <v>1500</v>
      </c>
      <c r="E85" s="5" t="s">
        <v>95</v>
      </c>
      <c r="F85" s="5">
        <v>1500</v>
      </c>
      <c r="G85" s="4">
        <v>2000</v>
      </c>
      <c r="H85" s="5">
        <v>1500</v>
      </c>
      <c r="I85" s="5">
        <v>1500</v>
      </c>
      <c r="J85" s="60">
        <v>1500</v>
      </c>
      <c r="K85" s="81">
        <f t="shared" si="1"/>
        <v>1583.3333333333333</v>
      </c>
      <c r="M85" s="2"/>
      <c r="N85" s="2"/>
    </row>
    <row r="86" spans="1:14" ht="15.75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2000</v>
      </c>
      <c r="K86" s="81">
        <f t="shared" si="1"/>
        <v>2000</v>
      </c>
      <c r="M86" s="2"/>
      <c r="N86" s="2"/>
    </row>
    <row r="87" spans="1:14" ht="15.75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  <c r="M87" s="2"/>
      <c r="N87" s="2"/>
    </row>
    <row r="88" spans="1:14" ht="15.75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  <c r="M88" s="2"/>
      <c r="N88" s="2"/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13B2-F311-4DD6-92CE-147978800542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131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14000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13142.857142857143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13500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11460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18000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18800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7">
        <v>13500</v>
      </c>
      <c r="K14" s="81">
        <f t="shared" si="0"/>
        <v>13357.142857142857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18000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15714.285714285714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17000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15285.714285714286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115000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119166.66666666667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31000</v>
      </c>
      <c r="E25" s="5">
        <v>33000</v>
      </c>
      <c r="F25" s="5">
        <v>34000</v>
      </c>
      <c r="G25" s="5">
        <v>33000</v>
      </c>
      <c r="H25" s="57">
        <v>35000</v>
      </c>
      <c r="I25" s="5">
        <v>35000</v>
      </c>
      <c r="J25" s="57">
        <v>35000</v>
      </c>
      <c r="K25" s="81">
        <f t="shared" si="0"/>
        <v>33714.285714285717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27000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f t="shared" si="0"/>
        <v>34428.571428571428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80000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82500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31000</v>
      </c>
      <c r="G34" s="5">
        <v>30000</v>
      </c>
      <c r="H34" s="5">
        <v>30000</v>
      </c>
      <c r="I34" s="5">
        <v>29000</v>
      </c>
      <c r="J34" s="57">
        <v>30000</v>
      </c>
      <c r="K34" s="81">
        <f t="shared" si="0"/>
        <v>30000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2785.7142857142858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10000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13000</v>
      </c>
      <c r="G44" s="5">
        <v>12500</v>
      </c>
      <c r="H44" s="6" t="s">
        <v>95</v>
      </c>
      <c r="I44" s="9">
        <v>12500</v>
      </c>
      <c r="J44" s="57">
        <v>12500</v>
      </c>
      <c r="K44" s="81">
        <f t="shared" si="0"/>
        <v>12500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13000</v>
      </c>
      <c r="G45" s="5">
        <v>12500</v>
      </c>
      <c r="H45" s="6" t="s">
        <v>95</v>
      </c>
      <c r="I45" s="9">
        <v>12500</v>
      </c>
      <c r="J45" s="60">
        <v>12500</v>
      </c>
      <c r="K45" s="81">
        <f>AVERAGE(D45:J45)</f>
        <v>12666.666666666666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20000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22714.285714285714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29000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32000</v>
      </c>
      <c r="G64" s="5">
        <v>28000</v>
      </c>
      <c r="H64" s="5">
        <v>25000</v>
      </c>
      <c r="I64" s="5">
        <v>30000</v>
      </c>
      <c r="J64" s="57">
        <v>30000</v>
      </c>
      <c r="K64" s="81">
        <f t="shared" si="0"/>
        <v>28285.714285714286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25000</v>
      </c>
      <c r="F65" s="5">
        <v>30000</v>
      </c>
      <c r="G65" s="5">
        <v>30000</v>
      </c>
      <c r="H65" s="68" t="s">
        <v>95</v>
      </c>
      <c r="I65" s="4">
        <v>25000</v>
      </c>
      <c r="J65" s="57" t="s">
        <v>95</v>
      </c>
      <c r="K65" s="81">
        <f t="shared" si="0"/>
        <v>27600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35000</v>
      </c>
      <c r="E66" s="5">
        <v>35000</v>
      </c>
      <c r="F66" s="5">
        <v>40000</v>
      </c>
      <c r="G66" s="5">
        <v>35000</v>
      </c>
      <c r="H66" s="5">
        <v>35000</v>
      </c>
      <c r="I66" s="5">
        <v>35000</v>
      </c>
      <c r="J66" s="57">
        <v>35000</v>
      </c>
      <c r="K66" s="81">
        <f t="shared" si="0"/>
        <v>35714.285714285717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37000</v>
      </c>
      <c r="G70" s="5">
        <v>35000</v>
      </c>
      <c r="H70" s="5">
        <v>35000</v>
      </c>
      <c r="I70" s="5">
        <v>39000</v>
      </c>
      <c r="J70" s="57">
        <v>40000</v>
      </c>
      <c r="K70" s="81">
        <f t="shared" si="0"/>
        <v>36714.285714285717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35000</v>
      </c>
      <c r="G71" s="5">
        <v>34000</v>
      </c>
      <c r="H71" s="5">
        <v>35000</v>
      </c>
      <c r="I71" s="5">
        <v>33000</v>
      </c>
      <c r="J71" s="57">
        <v>40000</v>
      </c>
      <c r="K71" s="81">
        <f t="shared" si="0"/>
        <v>35000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27000</v>
      </c>
      <c r="E72" s="5">
        <v>25000</v>
      </c>
      <c r="F72" s="5">
        <v>24000</v>
      </c>
      <c r="G72" s="5">
        <v>28000</v>
      </c>
      <c r="H72" s="5">
        <v>20000</v>
      </c>
      <c r="I72" s="5">
        <v>30000</v>
      </c>
      <c r="J72" s="57">
        <v>25000</v>
      </c>
      <c r="K72" s="81">
        <f t="shared" si="0"/>
        <v>25571.428571428572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7">
        <v>4000</v>
      </c>
      <c r="K75" s="81">
        <f t="shared" si="0"/>
        <v>5142.8571428571431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5000</v>
      </c>
      <c r="K76" s="81">
        <f t="shared" si="0"/>
        <v>5571.4285714285716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7000</v>
      </c>
      <c r="E78" s="5">
        <v>7000</v>
      </c>
      <c r="F78" s="5">
        <v>6000</v>
      </c>
      <c r="G78" s="5">
        <v>8000</v>
      </c>
      <c r="H78" s="5">
        <v>9000</v>
      </c>
      <c r="I78" s="9">
        <v>8000</v>
      </c>
      <c r="J78" s="57">
        <v>7000</v>
      </c>
      <c r="K78" s="81">
        <f t="shared" si="0"/>
        <v>7428.5714285714284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7000</v>
      </c>
      <c r="F79" s="5">
        <v>12000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11000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16000</v>
      </c>
      <c r="F80" s="5">
        <v>18000</v>
      </c>
      <c r="G80" s="5">
        <v>15000</v>
      </c>
      <c r="H80" s="5">
        <v>15000</v>
      </c>
      <c r="I80" s="5">
        <v>15000</v>
      </c>
      <c r="J80" s="57">
        <v>15000</v>
      </c>
      <c r="K80" s="81">
        <f t="shared" si="0"/>
        <v>15714.285714285714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10000</v>
      </c>
      <c r="G81" s="5">
        <v>12000</v>
      </c>
      <c r="H81" s="5">
        <v>7000</v>
      </c>
      <c r="I81" s="4">
        <v>8000</v>
      </c>
      <c r="J81" s="57">
        <v>8000</v>
      </c>
      <c r="K81" s="81">
        <f t="shared" ref="K81:K88" si="1">AVERAGE(D81:J81)</f>
        <v>9000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14000</v>
      </c>
      <c r="G82" s="5">
        <v>12000</v>
      </c>
      <c r="H82" s="5">
        <v>10000</v>
      </c>
      <c r="I82" s="5">
        <v>15000</v>
      </c>
      <c r="J82" s="57">
        <v>7000</v>
      </c>
      <c r="K82" s="81">
        <f t="shared" si="1"/>
        <v>11857.142857142857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9000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1000</v>
      </c>
      <c r="J84" s="60">
        <v>1500</v>
      </c>
      <c r="K84" s="81">
        <f t="shared" si="1"/>
        <v>1571.4285714285713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1500</v>
      </c>
      <c r="K85" s="81">
        <f t="shared" si="1"/>
        <v>1571.4285714285713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2000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63DC-1405-4817-96FD-20FE13D19E95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132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14000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13142.857142857143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11000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10960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18000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18800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7">
        <v>13500</v>
      </c>
      <c r="K14" s="81">
        <f t="shared" si="0"/>
        <v>13357.142857142857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18000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15714.285714285714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17000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15285.714285714286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115000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119166.66666666667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31000</v>
      </c>
      <c r="E25" s="5">
        <v>33000</v>
      </c>
      <c r="F25" s="5">
        <v>34000</v>
      </c>
      <c r="G25" s="5">
        <v>33000</v>
      </c>
      <c r="H25" s="57">
        <v>35000</v>
      </c>
      <c r="I25" s="5">
        <v>35000</v>
      </c>
      <c r="J25" s="57">
        <v>35000</v>
      </c>
      <c r="K25" s="81">
        <f t="shared" si="0"/>
        <v>33714.285714285717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27000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f t="shared" si="0"/>
        <v>34428.571428571428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120000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92500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31000</v>
      </c>
      <c r="G34" s="5">
        <v>30000</v>
      </c>
      <c r="H34" s="5">
        <v>30000</v>
      </c>
      <c r="I34" s="5">
        <v>29000</v>
      </c>
      <c r="J34" s="57">
        <v>30000</v>
      </c>
      <c r="K34" s="81">
        <f t="shared" si="0"/>
        <v>30000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3000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2785.7142857142858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10000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13000</v>
      </c>
      <c r="G44" s="5">
        <v>12500</v>
      </c>
      <c r="H44" s="6" t="s">
        <v>95</v>
      </c>
      <c r="I44" s="9">
        <v>12500</v>
      </c>
      <c r="J44" s="57">
        <v>12500</v>
      </c>
      <c r="K44" s="81">
        <f t="shared" si="0"/>
        <v>12500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13000</v>
      </c>
      <c r="G45" s="5">
        <v>12500</v>
      </c>
      <c r="H45" s="6" t="s">
        <v>95</v>
      </c>
      <c r="I45" s="9">
        <v>12500</v>
      </c>
      <c r="J45" s="60">
        <v>12500</v>
      </c>
      <c r="K45" s="81">
        <f>AVERAGE(D45:J45)</f>
        <v>12666.666666666666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20000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22714.285714285714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30000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29000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32000</v>
      </c>
      <c r="G64" s="5">
        <v>30000</v>
      </c>
      <c r="H64" s="5">
        <v>25000</v>
      </c>
      <c r="I64" s="5">
        <v>30000</v>
      </c>
      <c r="J64" s="57">
        <v>30000</v>
      </c>
      <c r="K64" s="81">
        <f t="shared" si="0"/>
        <v>28571.428571428572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25000</v>
      </c>
      <c r="F65" s="5">
        <v>30000</v>
      </c>
      <c r="G65" s="5">
        <v>30000</v>
      </c>
      <c r="H65" s="68" t="s">
        <v>95</v>
      </c>
      <c r="I65" s="4">
        <v>25000</v>
      </c>
      <c r="J65" s="57" t="s">
        <v>95</v>
      </c>
      <c r="K65" s="81">
        <f t="shared" si="0"/>
        <v>27600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35000</v>
      </c>
      <c r="E66" s="5">
        <v>35000</v>
      </c>
      <c r="F66" s="5">
        <v>40000</v>
      </c>
      <c r="G66" s="5">
        <v>35000</v>
      </c>
      <c r="H66" s="5">
        <v>35000</v>
      </c>
      <c r="I66" s="5">
        <v>35000</v>
      </c>
      <c r="J66" s="57">
        <v>35000</v>
      </c>
      <c r="K66" s="81">
        <f t="shared" si="0"/>
        <v>35714.285714285717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37000</v>
      </c>
      <c r="G70" s="5">
        <v>37000</v>
      </c>
      <c r="H70" s="5">
        <v>35000</v>
      </c>
      <c r="I70" s="5">
        <v>39000</v>
      </c>
      <c r="J70" s="57">
        <v>40000</v>
      </c>
      <c r="K70" s="81">
        <f t="shared" si="0"/>
        <v>37000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35000</v>
      </c>
      <c r="G71" s="5">
        <v>35000</v>
      </c>
      <c r="H71" s="5">
        <v>35000</v>
      </c>
      <c r="I71" s="5">
        <v>33000</v>
      </c>
      <c r="J71" s="57">
        <v>40000</v>
      </c>
      <c r="K71" s="81">
        <f t="shared" si="0"/>
        <v>35142.857142857145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27000</v>
      </c>
      <c r="E72" s="5">
        <v>25000</v>
      </c>
      <c r="F72" s="5">
        <v>24000</v>
      </c>
      <c r="G72" s="5">
        <v>26000</v>
      </c>
      <c r="H72" s="5">
        <v>20000</v>
      </c>
      <c r="I72" s="5">
        <v>30000</v>
      </c>
      <c r="J72" s="57">
        <v>25000</v>
      </c>
      <c r="K72" s="81">
        <f t="shared" si="0"/>
        <v>25285.714285714286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30000</v>
      </c>
      <c r="I73" s="5">
        <v>30000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7">
        <v>4000</v>
      </c>
      <c r="K75" s="81">
        <f t="shared" si="0"/>
        <v>5142.8571428571431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5000</v>
      </c>
      <c r="K76" s="81">
        <f t="shared" si="0"/>
        <v>5571.4285714285716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7000</v>
      </c>
      <c r="E78" s="5">
        <v>7000</v>
      </c>
      <c r="F78" s="5">
        <v>6000</v>
      </c>
      <c r="G78" s="5">
        <v>8000</v>
      </c>
      <c r="H78" s="5">
        <v>9000</v>
      </c>
      <c r="I78" s="9">
        <v>8000</v>
      </c>
      <c r="J78" s="57">
        <v>7000</v>
      </c>
      <c r="K78" s="81">
        <f t="shared" si="0"/>
        <v>7428.5714285714284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7000</v>
      </c>
      <c r="F79" s="5">
        <v>12000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11000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16000</v>
      </c>
      <c r="F80" s="5">
        <v>18000</v>
      </c>
      <c r="G80" s="5">
        <v>15000</v>
      </c>
      <c r="H80" s="5">
        <v>15000</v>
      </c>
      <c r="I80" s="5">
        <v>15000</v>
      </c>
      <c r="J80" s="57">
        <v>15000</v>
      </c>
      <c r="K80" s="81">
        <f t="shared" si="0"/>
        <v>15714.285714285714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10000</v>
      </c>
      <c r="G81" s="5">
        <v>12000</v>
      </c>
      <c r="H81" s="5">
        <v>6000</v>
      </c>
      <c r="I81" s="4">
        <v>8000</v>
      </c>
      <c r="J81" s="57">
        <v>8000</v>
      </c>
      <c r="K81" s="81">
        <f t="shared" ref="K81:K88" si="1">AVERAGE(D81:J81)</f>
        <v>8857.1428571428569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14000</v>
      </c>
      <c r="G82" s="5">
        <v>12000</v>
      </c>
      <c r="H82" s="5">
        <v>10000</v>
      </c>
      <c r="I82" s="5">
        <v>15000</v>
      </c>
      <c r="J82" s="57">
        <v>7000</v>
      </c>
      <c r="K82" s="81">
        <f t="shared" si="1"/>
        <v>11857.142857142857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9000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1000</v>
      </c>
      <c r="J84" s="60">
        <v>1500</v>
      </c>
      <c r="K84" s="81">
        <f t="shared" si="1"/>
        <v>1571.4285714285713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1500</v>
      </c>
      <c r="K85" s="81">
        <f t="shared" si="1"/>
        <v>1571.4285714285713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2000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876C-E9D8-46D5-B23A-7800ECB62E0C}">
  <dimension ref="A1:W94"/>
  <sheetViews>
    <sheetView workbookViewId="0">
      <selection activeCell="G11" sqref="G11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131" t="s">
        <v>84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92"/>
      <c r="M1" s="92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92"/>
      <c r="M2" s="92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27.75" customHeight="1" x14ac:dyDescent="0.25">
      <c r="A3" s="119" t="s">
        <v>133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92"/>
      <c r="M3" s="92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L4" s="91"/>
      <c r="M4" s="92"/>
      <c r="N4" s="92"/>
      <c r="O4" s="91"/>
      <c r="P4" s="91"/>
      <c r="Q4" s="91"/>
      <c r="R4" s="91"/>
      <c r="S4" s="91"/>
      <c r="T4" s="91"/>
      <c r="U4" s="91"/>
      <c r="V4" s="91"/>
      <c r="W4" s="91"/>
    </row>
    <row r="5" spans="1:23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L5" s="91"/>
      <c r="M5" s="92"/>
      <c r="N5" s="92"/>
      <c r="O5" s="91"/>
      <c r="P5" s="91"/>
      <c r="Q5" s="91"/>
      <c r="R5" s="91"/>
      <c r="S5" s="91"/>
      <c r="T5" s="91"/>
      <c r="U5" s="91"/>
      <c r="V5" s="91"/>
      <c r="W5" s="91"/>
    </row>
    <row r="6" spans="1:23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L6" s="91"/>
      <c r="M6" s="92"/>
      <c r="N6" s="92"/>
      <c r="O6" s="91"/>
      <c r="P6" s="91"/>
      <c r="Q6" s="91"/>
      <c r="R6" s="91"/>
      <c r="S6" s="91"/>
      <c r="T6" s="91"/>
      <c r="U6" s="91"/>
      <c r="V6" s="91"/>
      <c r="W6" s="91"/>
    </row>
    <row r="7" spans="1:23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96"/>
      <c r="J7" s="79"/>
      <c r="K7" s="80"/>
      <c r="L7" s="91"/>
      <c r="M7" s="92"/>
      <c r="N7" s="92"/>
      <c r="O7" s="91"/>
      <c r="P7" s="91"/>
      <c r="Q7" s="91"/>
      <c r="R7" s="91"/>
      <c r="S7" s="91"/>
      <c r="T7" s="91"/>
      <c r="U7" s="91"/>
      <c r="V7" s="91"/>
      <c r="W7" s="91"/>
    </row>
    <row r="8" spans="1:23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14000</v>
      </c>
      <c r="G8" s="5">
        <v>13000</v>
      </c>
      <c r="H8" s="5">
        <v>13000</v>
      </c>
      <c r="I8" s="5">
        <v>13000</v>
      </c>
      <c r="J8" s="9">
        <v>13000</v>
      </c>
      <c r="K8" s="81">
        <v>13142.857142857143</v>
      </c>
      <c r="L8" s="95"/>
      <c r="M8" s="93"/>
      <c r="N8" s="92"/>
      <c r="O8" s="91"/>
      <c r="P8" s="91"/>
      <c r="Q8" s="91"/>
      <c r="R8" s="91"/>
      <c r="S8" s="91"/>
      <c r="T8" s="91"/>
      <c r="U8" s="91"/>
      <c r="V8" s="91"/>
      <c r="W8" s="91"/>
    </row>
    <row r="9" spans="1:23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v>9200</v>
      </c>
      <c r="L9" s="91"/>
      <c r="M9" s="92"/>
      <c r="N9" s="92"/>
      <c r="O9" s="91"/>
      <c r="P9" s="91"/>
      <c r="Q9" s="91"/>
      <c r="R9" s="91"/>
      <c r="S9" s="91"/>
      <c r="T9" s="91"/>
      <c r="U9" s="91"/>
      <c r="V9" s="91"/>
      <c r="W9" s="91"/>
    </row>
    <row r="10" spans="1:23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v>11160</v>
      </c>
      <c r="L10" s="91"/>
      <c r="M10" s="92"/>
      <c r="N10" s="92"/>
      <c r="O10" s="91"/>
      <c r="P10" s="91"/>
      <c r="Q10" s="91"/>
      <c r="R10" s="91"/>
      <c r="S10" s="91"/>
      <c r="T10" s="91"/>
      <c r="U10" s="91"/>
      <c r="V10" s="91"/>
      <c r="W10" s="91"/>
    </row>
    <row r="11" spans="1:23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v>10200</v>
      </c>
      <c r="L11" s="91"/>
      <c r="M11" s="92"/>
      <c r="N11" s="92"/>
      <c r="O11" s="91"/>
      <c r="P11" s="91"/>
      <c r="Q11" s="91"/>
      <c r="R11" s="91"/>
      <c r="S11" s="91"/>
      <c r="T11" s="91"/>
      <c r="U11" s="91"/>
      <c r="V11" s="91"/>
      <c r="W11" s="91"/>
    </row>
    <row r="12" spans="1:23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v>18600</v>
      </c>
      <c r="L12" s="91"/>
      <c r="M12" s="92"/>
      <c r="N12" s="92"/>
      <c r="O12" s="91"/>
      <c r="P12" s="91"/>
      <c r="Q12" s="91"/>
      <c r="R12" s="91"/>
      <c r="S12" s="91"/>
      <c r="T12" s="91"/>
      <c r="U12" s="91"/>
      <c r="V12" s="91"/>
      <c r="W12" s="91"/>
    </row>
    <row r="13" spans="1:23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L13" s="91"/>
      <c r="M13" s="92"/>
      <c r="N13" s="92"/>
      <c r="O13" s="91"/>
      <c r="P13" s="91"/>
      <c r="Q13" s="91"/>
      <c r="R13" s="91"/>
      <c r="S13" s="91"/>
      <c r="T13" s="91"/>
      <c r="U13" s="91"/>
      <c r="V13" s="91"/>
      <c r="W13" s="91"/>
    </row>
    <row r="14" spans="1:23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13500</v>
      </c>
      <c r="J14" s="57">
        <v>13500</v>
      </c>
      <c r="K14" s="81">
        <v>13357.142857142857</v>
      </c>
      <c r="L14" s="91"/>
      <c r="M14" s="92"/>
      <c r="N14" s="92"/>
      <c r="O14" s="91"/>
      <c r="P14" s="91"/>
      <c r="Q14" s="91"/>
      <c r="R14" s="91"/>
      <c r="S14" s="91"/>
      <c r="T14" s="91"/>
      <c r="U14" s="91"/>
      <c r="V14" s="91"/>
      <c r="W14" s="91"/>
    </row>
    <row r="15" spans="1:23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v>15285.714285714286</v>
      </c>
      <c r="L15" s="91"/>
      <c r="M15" s="92"/>
      <c r="N15" s="92"/>
      <c r="O15" s="91"/>
      <c r="P15" s="91"/>
      <c r="Q15" s="91"/>
      <c r="R15" s="91"/>
      <c r="S15" s="91"/>
      <c r="T15" s="91"/>
      <c r="U15" s="91"/>
      <c r="V15" s="91"/>
      <c r="W15" s="91"/>
    </row>
    <row r="16" spans="1:23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L16" s="91"/>
      <c r="M16" s="92"/>
      <c r="N16" s="92"/>
      <c r="O16" s="91"/>
      <c r="P16" s="91"/>
      <c r="Q16" s="91"/>
      <c r="R16" s="91"/>
      <c r="S16" s="91"/>
      <c r="T16" s="91"/>
      <c r="U16" s="91"/>
      <c r="V16" s="91"/>
      <c r="W16" s="91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v>15000</v>
      </c>
      <c r="L17" s="91"/>
      <c r="M17" s="92"/>
      <c r="N17" s="9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v>14000</v>
      </c>
      <c r="L18" s="91"/>
      <c r="M18" s="92"/>
      <c r="N18" s="9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L19" s="91"/>
      <c r="M19" s="92"/>
      <c r="N19" s="9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v>21500</v>
      </c>
      <c r="L20" s="91"/>
      <c r="M20" s="92"/>
      <c r="N20" s="9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L21" s="91"/>
      <c r="M21" s="92"/>
      <c r="N21" s="9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v>120000</v>
      </c>
      <c r="L22" s="91"/>
      <c r="M22" s="92"/>
      <c r="N22" s="9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v>110714.28571428571</v>
      </c>
      <c r="L23" s="91"/>
      <c r="M23" s="92"/>
      <c r="N23" s="9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v>99285.71428571429</v>
      </c>
      <c r="L24" s="91"/>
      <c r="M24" s="92"/>
      <c r="N24" s="92"/>
    </row>
    <row r="25" spans="1:14" ht="15.75" x14ac:dyDescent="0.25">
      <c r="A25" s="116"/>
      <c r="B25" s="54" t="s">
        <v>18</v>
      </c>
      <c r="C25" s="10" t="s">
        <v>4</v>
      </c>
      <c r="D25" s="5">
        <v>32000</v>
      </c>
      <c r="E25" s="5">
        <v>34000</v>
      </c>
      <c r="F25" s="5">
        <v>34000</v>
      </c>
      <c r="G25" s="5">
        <v>33000</v>
      </c>
      <c r="H25" s="57">
        <v>35000</v>
      </c>
      <c r="I25" s="5">
        <v>35000</v>
      </c>
      <c r="J25" s="57">
        <v>35000</v>
      </c>
      <c r="K25" s="81">
        <v>34000</v>
      </c>
      <c r="L25" s="91"/>
      <c r="M25" s="92"/>
      <c r="N25" s="9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L26" s="91"/>
      <c r="M26" s="92"/>
      <c r="N26" s="9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v>36000</v>
      </c>
      <c r="L27" s="91"/>
      <c r="M27" s="92"/>
      <c r="N27" s="9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v>27000</v>
      </c>
      <c r="L28" s="91"/>
      <c r="M28" s="92"/>
      <c r="N28" s="9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v>64714.285714285717</v>
      </c>
      <c r="L29" s="91"/>
      <c r="M29" s="92"/>
      <c r="N29" s="9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v>24000</v>
      </c>
      <c r="L30" s="91"/>
      <c r="M30" s="92"/>
      <c r="N30" s="9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v>34428.571428571428</v>
      </c>
      <c r="L31" s="91"/>
      <c r="M31" s="92"/>
      <c r="N31" s="9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v>87500</v>
      </c>
      <c r="L32" s="91"/>
      <c r="M32" s="92"/>
      <c r="N32" s="9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L33" s="91"/>
      <c r="M33" s="92"/>
      <c r="N33" s="9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29000</v>
      </c>
      <c r="G34" s="5">
        <v>30000</v>
      </c>
      <c r="H34" s="5">
        <v>29000</v>
      </c>
      <c r="I34" s="5">
        <v>29000</v>
      </c>
      <c r="J34" s="57">
        <v>30000</v>
      </c>
      <c r="K34" s="81">
        <v>29571.428571428572</v>
      </c>
      <c r="L34" s="91"/>
      <c r="M34" s="92"/>
      <c r="N34" s="9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v>2714.2857142857142</v>
      </c>
      <c r="L35" s="91"/>
      <c r="M35" s="92"/>
      <c r="N35" s="9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L36" s="91"/>
      <c r="M36" s="92"/>
      <c r="N36" s="9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v>10000</v>
      </c>
      <c r="L37" s="91"/>
      <c r="M37" s="92"/>
      <c r="N37" s="9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v>12600</v>
      </c>
      <c r="L38" s="91"/>
      <c r="M38" s="92"/>
      <c r="N38" s="9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L39" s="91"/>
      <c r="M39" s="92"/>
      <c r="N39" s="9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v>13000</v>
      </c>
      <c r="L40" s="91"/>
      <c r="M40" s="92"/>
      <c r="N40" s="9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v>4250</v>
      </c>
      <c r="L41" s="91"/>
      <c r="M41" s="92"/>
      <c r="N41" s="9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v>2500</v>
      </c>
      <c r="L42" s="91"/>
      <c r="M42" s="92"/>
      <c r="N42" s="9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L43" s="91"/>
      <c r="M43" s="92"/>
      <c r="N43" s="9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7">
        <v>12500</v>
      </c>
      <c r="K44" s="81">
        <v>12416.666666666666</v>
      </c>
      <c r="L44" s="91"/>
      <c r="M44" s="92"/>
      <c r="N44" s="9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0">
        <v>12500</v>
      </c>
      <c r="K45" s="81">
        <v>12583.333333333334</v>
      </c>
      <c r="L45" s="91"/>
      <c r="M45" s="92"/>
      <c r="N45" s="9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L46" s="91"/>
      <c r="M46" s="92"/>
      <c r="N46" s="9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v>17500</v>
      </c>
      <c r="L47" s="91"/>
      <c r="M47" s="92"/>
      <c r="N47" s="9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v>2000</v>
      </c>
      <c r="L48" s="91"/>
      <c r="M48" s="92"/>
      <c r="N48" s="9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L49" s="91"/>
      <c r="M49" s="92"/>
      <c r="N49" s="9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v>9285.7142857142862</v>
      </c>
      <c r="L50" s="91"/>
      <c r="M50" s="92"/>
      <c r="N50" s="9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v>8333.3333333333339</v>
      </c>
      <c r="L51" s="91"/>
      <c r="M51" s="92"/>
      <c r="N51" s="9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L52" s="91"/>
      <c r="M52" s="92" t="s">
        <v>97</v>
      </c>
      <c r="N52" s="9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v>4000</v>
      </c>
      <c r="L53" s="91"/>
      <c r="M53" s="92"/>
      <c r="N53" s="94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L54" s="91"/>
      <c r="M54" s="92"/>
      <c r="N54" s="9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v>10500</v>
      </c>
      <c r="L55" s="91"/>
      <c r="M55" s="92"/>
      <c r="N55" s="9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L56" s="91"/>
      <c r="M56" s="92"/>
      <c r="N56" s="9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v>13666.666666666666</v>
      </c>
      <c r="L57" s="91"/>
      <c r="M57" s="92"/>
      <c r="N57" s="9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v>13000</v>
      </c>
      <c r="L58" s="91"/>
      <c r="M58" s="92"/>
      <c r="N58" s="9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v>23142.857142857141</v>
      </c>
      <c r="L59" s="91"/>
      <c r="M59" s="92"/>
      <c r="N59" s="9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v>28714.285714285714</v>
      </c>
      <c r="L60" s="91"/>
      <c r="M60" s="92"/>
      <c r="N60" s="9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L61" s="91"/>
      <c r="M61" s="92"/>
      <c r="N61" s="9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v>3200</v>
      </c>
      <c r="L62" s="91"/>
      <c r="M62" s="92"/>
      <c r="N62" s="9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L63" s="91"/>
      <c r="M63" s="92"/>
      <c r="N63" s="9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30000</v>
      </c>
      <c r="F64" s="5">
        <v>25000</v>
      </c>
      <c r="G64" s="5">
        <v>30000</v>
      </c>
      <c r="H64" s="5">
        <v>25000</v>
      </c>
      <c r="I64" s="5">
        <v>30000</v>
      </c>
      <c r="J64" s="57">
        <v>30000</v>
      </c>
      <c r="K64" s="81">
        <v>28285.714285714286</v>
      </c>
      <c r="L64" s="91"/>
      <c r="M64" s="92"/>
      <c r="N64" s="9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25000</v>
      </c>
      <c r="F65" s="5">
        <v>22000</v>
      </c>
      <c r="G65" s="5">
        <v>30000</v>
      </c>
      <c r="H65" s="68" t="s">
        <v>95</v>
      </c>
      <c r="I65" s="4">
        <v>25000</v>
      </c>
      <c r="J65" s="57" t="s">
        <v>95</v>
      </c>
      <c r="K65" s="81">
        <v>26000</v>
      </c>
      <c r="L65" s="91"/>
      <c r="M65" s="92"/>
      <c r="N65" s="9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38000</v>
      </c>
      <c r="G66" s="5">
        <v>35000</v>
      </c>
      <c r="H66" s="5">
        <v>40000</v>
      </c>
      <c r="I66" s="5">
        <v>35000</v>
      </c>
      <c r="J66" s="57">
        <v>40000</v>
      </c>
      <c r="K66" s="81">
        <v>37571.428571428572</v>
      </c>
      <c r="L66" s="91"/>
      <c r="M66" s="92"/>
      <c r="N66" s="9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L67" s="91"/>
      <c r="M67" s="92"/>
      <c r="N67" s="9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v>18333.333333333332</v>
      </c>
      <c r="L68" s="91"/>
      <c r="M68" s="92"/>
      <c r="N68" s="9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L69" s="91"/>
      <c r="M69" s="92"/>
      <c r="N69" s="9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37000</v>
      </c>
      <c r="F70" s="5">
        <v>38000</v>
      </c>
      <c r="G70" s="5">
        <v>37000</v>
      </c>
      <c r="H70" s="5">
        <v>35000</v>
      </c>
      <c r="I70" s="5">
        <v>39000</v>
      </c>
      <c r="J70" s="57">
        <v>40000</v>
      </c>
      <c r="K70" s="81">
        <v>37285.714285714283</v>
      </c>
      <c r="L70" s="91"/>
      <c r="M70" s="92"/>
      <c r="N70" s="9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35000</v>
      </c>
      <c r="F71" s="5">
        <v>35000</v>
      </c>
      <c r="G71" s="5">
        <v>35000</v>
      </c>
      <c r="H71" s="5">
        <v>35000</v>
      </c>
      <c r="I71" s="5">
        <v>33000</v>
      </c>
      <c r="J71" s="57">
        <v>37000</v>
      </c>
      <c r="K71" s="81">
        <v>34857.142857142855</v>
      </c>
      <c r="L71" s="91"/>
      <c r="M71" s="92"/>
      <c r="N71" s="92"/>
    </row>
    <row r="72" spans="1:14" ht="15.75" x14ac:dyDescent="0.25">
      <c r="A72" s="116"/>
      <c r="B72" s="54" t="s">
        <v>65</v>
      </c>
      <c r="C72" s="10" t="s">
        <v>4</v>
      </c>
      <c r="D72" s="5">
        <v>22000</v>
      </c>
      <c r="E72" s="5">
        <v>28000</v>
      </c>
      <c r="F72" s="5">
        <v>25000</v>
      </c>
      <c r="G72" s="5">
        <v>26000</v>
      </c>
      <c r="H72" s="5">
        <v>20000</v>
      </c>
      <c r="I72" s="5">
        <v>30000</v>
      </c>
      <c r="J72" s="57">
        <v>28000</v>
      </c>
      <c r="K72" s="81">
        <v>25571.428571428572</v>
      </c>
      <c r="L72" s="91"/>
      <c r="M72" s="92"/>
      <c r="N72" s="9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30000</v>
      </c>
      <c r="F73" s="9">
        <v>30000</v>
      </c>
      <c r="G73" s="4">
        <v>30000</v>
      </c>
      <c r="H73" s="5">
        <v>30000</v>
      </c>
      <c r="I73" s="5">
        <v>30000</v>
      </c>
      <c r="J73" s="57">
        <v>30000</v>
      </c>
      <c r="K73" s="81">
        <v>29428.571428571428</v>
      </c>
      <c r="L73" s="91"/>
      <c r="M73" s="92"/>
      <c r="N73" s="9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L74" s="91"/>
      <c r="M74" s="92"/>
      <c r="N74" s="9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7">
        <v>4000</v>
      </c>
      <c r="K75" s="81">
        <v>5142.8571428571431</v>
      </c>
      <c r="L75" s="91"/>
      <c r="M75" s="92"/>
      <c r="N75" s="9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5000</v>
      </c>
      <c r="K76" s="81">
        <v>5571.4285714285716</v>
      </c>
      <c r="L76" s="91"/>
      <c r="M76" s="92"/>
      <c r="N76" s="9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L77" s="91"/>
      <c r="M77" s="92"/>
      <c r="N77" s="92"/>
    </row>
    <row r="78" spans="1:14" ht="15.75" x14ac:dyDescent="0.25">
      <c r="A78" s="10"/>
      <c r="B78" s="54" t="s">
        <v>71</v>
      </c>
      <c r="C78" s="65" t="s">
        <v>4</v>
      </c>
      <c r="D78" s="5">
        <v>7000</v>
      </c>
      <c r="E78" s="5">
        <v>7000</v>
      </c>
      <c r="F78" s="5">
        <v>7000</v>
      </c>
      <c r="G78" s="5">
        <v>8000</v>
      </c>
      <c r="H78" s="5">
        <v>9000</v>
      </c>
      <c r="I78" s="9">
        <v>8000</v>
      </c>
      <c r="J78" s="57">
        <v>7000</v>
      </c>
      <c r="K78" s="81">
        <v>7571.4285714285716</v>
      </c>
      <c r="L78" s="91"/>
      <c r="M78" s="92"/>
      <c r="N78" s="9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7000</v>
      </c>
      <c r="F79" s="5">
        <v>12000</v>
      </c>
      <c r="G79" s="5">
        <v>12000</v>
      </c>
      <c r="H79" s="5">
        <v>10000</v>
      </c>
      <c r="I79" s="9">
        <v>14000</v>
      </c>
      <c r="J79" s="57">
        <v>10000</v>
      </c>
      <c r="K79" s="81">
        <v>11000</v>
      </c>
      <c r="L79" s="91"/>
      <c r="M79" s="92"/>
      <c r="N79" s="9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16000</v>
      </c>
      <c r="F80" s="5">
        <v>16000</v>
      </c>
      <c r="G80" s="5">
        <v>15000</v>
      </c>
      <c r="H80" s="5">
        <v>15000</v>
      </c>
      <c r="I80" s="5">
        <v>15000</v>
      </c>
      <c r="J80" s="57">
        <v>15000</v>
      </c>
      <c r="K80" s="81">
        <v>15428.571428571429</v>
      </c>
      <c r="L80" s="91"/>
      <c r="M80" s="92"/>
      <c r="N80" s="9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7000</v>
      </c>
      <c r="G81" s="5">
        <v>12000</v>
      </c>
      <c r="H81" s="5">
        <v>7000</v>
      </c>
      <c r="I81" s="4">
        <v>8000</v>
      </c>
      <c r="J81" s="57">
        <v>8000</v>
      </c>
      <c r="K81" s="81">
        <v>8571.4285714285706</v>
      </c>
      <c r="L81" s="91"/>
      <c r="M81" s="92"/>
      <c r="N81" s="9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12000</v>
      </c>
      <c r="H82" s="5">
        <v>10000</v>
      </c>
      <c r="I82" s="5">
        <v>15000</v>
      </c>
      <c r="J82" s="57">
        <v>7000</v>
      </c>
      <c r="K82" s="81">
        <v>11571.428571428571</v>
      </c>
      <c r="L82" s="91"/>
      <c r="M82" s="92"/>
      <c r="N82" s="9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v>9000</v>
      </c>
      <c r="L83" s="91"/>
      <c r="M83" s="91"/>
      <c r="N83" s="91"/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1000</v>
      </c>
      <c r="J84" s="60">
        <v>1500</v>
      </c>
      <c r="K84" s="81">
        <v>1571.4285714285713</v>
      </c>
      <c r="L84" s="91"/>
      <c r="M84" s="91"/>
      <c r="N84" s="91"/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1500</v>
      </c>
      <c r="K85" s="81">
        <v>1571.4285714285713</v>
      </c>
      <c r="L85" s="91"/>
      <c r="M85" s="91"/>
      <c r="N85" s="91"/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2000</v>
      </c>
      <c r="K86" s="81">
        <v>2000</v>
      </c>
      <c r="L86" s="91"/>
      <c r="M86" s="91"/>
      <c r="N86" s="91"/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  <c r="L87" s="91"/>
      <c r="M87" s="91"/>
      <c r="N87" s="91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v>18000</v>
      </c>
      <c r="L88" s="91"/>
      <c r="M88" s="91"/>
      <c r="N88" s="91"/>
    </row>
    <row r="89" spans="1:14" ht="15.75" x14ac:dyDescent="0.25">
      <c r="A89" s="91"/>
      <c r="B89" s="91"/>
      <c r="C89" s="91"/>
      <c r="D89" s="92"/>
      <c r="E89" s="92"/>
      <c r="F89" s="91"/>
      <c r="G89" s="91"/>
      <c r="H89" s="91"/>
      <c r="I89" s="91"/>
      <c r="J89" s="91"/>
      <c r="K89" s="91"/>
      <c r="L89" s="91"/>
      <c r="M89" s="91"/>
      <c r="N89" s="91"/>
    </row>
    <row r="90" spans="1:14" ht="15.75" x14ac:dyDescent="0.25">
      <c r="A90" s="91"/>
      <c r="B90" s="14"/>
      <c r="C90" s="91"/>
      <c r="D90" s="92"/>
      <c r="E90" s="92"/>
      <c r="F90" s="91"/>
      <c r="G90" s="91"/>
      <c r="H90" s="91"/>
      <c r="I90" s="91"/>
      <c r="J90" s="91"/>
      <c r="K90" s="91"/>
      <c r="L90" s="91"/>
      <c r="M90" s="91"/>
      <c r="N90" s="91"/>
    </row>
    <row r="91" spans="1:14" ht="15.75" x14ac:dyDescent="0.25">
      <c r="A91" s="91"/>
      <c r="B91" s="91"/>
      <c r="C91" s="91"/>
      <c r="D91" s="92"/>
      <c r="E91" s="92"/>
      <c r="F91" s="91"/>
      <c r="G91" s="91"/>
      <c r="H91" s="91"/>
      <c r="I91" s="91"/>
      <c r="J91" s="91"/>
      <c r="K91" s="91"/>
      <c r="L91" s="91"/>
      <c r="M91" s="91"/>
      <c r="N91" s="91"/>
    </row>
    <row r="92" spans="1:14" ht="15.75" x14ac:dyDescent="0.25">
      <c r="A92" s="92"/>
      <c r="B92" s="92"/>
      <c r="C92" s="92"/>
      <c r="D92" s="92"/>
      <c r="E92" s="92"/>
      <c r="F92" s="91"/>
      <c r="G92" s="91"/>
      <c r="H92" s="91"/>
      <c r="I92" s="91"/>
      <c r="J92" s="91"/>
      <c r="K92" s="91"/>
      <c r="L92" s="91"/>
      <c r="M92" s="91"/>
      <c r="N92" s="91"/>
    </row>
    <row r="93" spans="1:14" x14ac:dyDescent="0.2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</row>
    <row r="94" spans="1:14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</row>
  </sheetData>
  <mergeCells count="28">
    <mergeCell ref="A63:A66"/>
    <mergeCell ref="A69:A73"/>
    <mergeCell ref="A26:A32"/>
    <mergeCell ref="A33:A35"/>
    <mergeCell ref="A43:A45"/>
    <mergeCell ref="A46:A48"/>
    <mergeCell ref="A52:A53"/>
    <mergeCell ref="A54:A55"/>
    <mergeCell ref="D4:D6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16:A17"/>
    <mergeCell ref="A19:A20"/>
    <mergeCell ref="A21:A25"/>
    <mergeCell ref="A56:A60"/>
    <mergeCell ref="A7:A12"/>
    <mergeCell ref="A13:A15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ED59-CBEC-4FAD-BCCF-7B5EF3850420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134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13000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11160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15285.714285714286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32000</v>
      </c>
      <c r="E25" s="5">
        <v>34000</v>
      </c>
      <c r="F25" s="5">
        <v>32000</v>
      </c>
      <c r="G25" s="5">
        <v>33000</v>
      </c>
      <c r="H25" s="57">
        <v>35000</v>
      </c>
      <c r="I25" s="5">
        <v>35000</v>
      </c>
      <c r="J25" s="57">
        <v>35000</v>
      </c>
      <c r="K25" s="81">
        <f t="shared" si="0"/>
        <v>33714.285714285717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27000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58000</v>
      </c>
      <c r="I29" s="5">
        <v>60000</v>
      </c>
      <c r="J29" s="60">
        <v>65000</v>
      </c>
      <c r="K29" s="81">
        <f t="shared" si="0"/>
        <v>63285.714285714283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f t="shared" si="0"/>
        <v>34428.571428571428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28000</v>
      </c>
      <c r="G34" s="5">
        <v>30000</v>
      </c>
      <c r="H34" s="5">
        <v>29000</v>
      </c>
      <c r="I34" s="5">
        <v>29000</v>
      </c>
      <c r="J34" s="57">
        <v>30000</v>
      </c>
      <c r="K34" s="81">
        <f t="shared" si="0"/>
        <v>29428.571428571428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10000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30000</v>
      </c>
      <c r="F64" s="5">
        <v>25000</v>
      </c>
      <c r="G64" s="5">
        <v>25000</v>
      </c>
      <c r="H64" s="5">
        <v>25000</v>
      </c>
      <c r="I64" s="5">
        <v>35000</v>
      </c>
      <c r="J64" s="57">
        <v>28000</v>
      </c>
      <c r="K64" s="81">
        <f t="shared" si="0"/>
        <v>28000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25000</v>
      </c>
      <c r="F65" s="5">
        <v>22000</v>
      </c>
      <c r="G65" s="5">
        <v>28000</v>
      </c>
      <c r="H65" s="68" t="s">
        <v>95</v>
      </c>
      <c r="I65" s="4">
        <v>40000</v>
      </c>
      <c r="J65" s="57" t="s">
        <v>95</v>
      </c>
      <c r="K65" s="81">
        <f t="shared" si="0"/>
        <v>28600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38000</v>
      </c>
      <c r="G66" s="5">
        <v>38000</v>
      </c>
      <c r="H66" s="5">
        <v>35000</v>
      </c>
      <c r="I66" s="5">
        <v>50000</v>
      </c>
      <c r="J66" s="57">
        <v>35000</v>
      </c>
      <c r="K66" s="81">
        <f t="shared" si="0"/>
        <v>38714.285714285717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37000</v>
      </c>
      <c r="F70" s="5">
        <v>38000</v>
      </c>
      <c r="G70" s="5">
        <v>37000</v>
      </c>
      <c r="H70" s="5">
        <v>34000</v>
      </c>
      <c r="I70" s="5">
        <v>40000</v>
      </c>
      <c r="J70" s="57">
        <v>35000</v>
      </c>
      <c r="K70" s="81">
        <f t="shared" si="0"/>
        <v>36571.428571428572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35000</v>
      </c>
      <c r="F71" s="5">
        <v>35000</v>
      </c>
      <c r="G71" s="5">
        <v>35000</v>
      </c>
      <c r="H71" s="5">
        <v>34000</v>
      </c>
      <c r="I71" s="5">
        <v>33000</v>
      </c>
      <c r="J71" s="57">
        <v>30000</v>
      </c>
      <c r="K71" s="81">
        <f t="shared" si="0"/>
        <v>33714.285714285717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22000</v>
      </c>
      <c r="E72" s="5">
        <v>25000</v>
      </c>
      <c r="F72" s="5">
        <v>25000</v>
      </c>
      <c r="G72" s="5">
        <v>26000</v>
      </c>
      <c r="H72" s="5">
        <v>20000</v>
      </c>
      <c r="I72" s="5">
        <v>32000</v>
      </c>
      <c r="J72" s="57">
        <v>25000</v>
      </c>
      <c r="K72" s="81">
        <f t="shared" si="0"/>
        <v>25000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30000</v>
      </c>
      <c r="F73" s="9">
        <v>30000</v>
      </c>
      <c r="G73" s="4">
        <v>30000</v>
      </c>
      <c r="H73" s="5">
        <v>40000</v>
      </c>
      <c r="I73" s="5">
        <v>35000</v>
      </c>
      <c r="J73" s="57">
        <v>30000</v>
      </c>
      <c r="K73" s="81">
        <f t="shared" si="0"/>
        <v>31571.428571428572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7">
        <v>5000</v>
      </c>
      <c r="K75" s="81">
        <f t="shared" si="0"/>
        <v>5285.7142857142853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7000</v>
      </c>
      <c r="E78" s="5">
        <v>7000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7571.4285714285716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7000</v>
      </c>
      <c r="F79" s="5">
        <v>12000</v>
      </c>
      <c r="G79" s="5">
        <v>12000</v>
      </c>
      <c r="H79" s="5">
        <v>10000</v>
      </c>
      <c r="I79" s="9">
        <v>10000</v>
      </c>
      <c r="J79" s="57">
        <v>10000</v>
      </c>
      <c r="K79" s="81">
        <f t="shared" si="0"/>
        <v>10428.571428571429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16000</v>
      </c>
      <c r="F80" s="5">
        <v>16000</v>
      </c>
      <c r="G80" s="5">
        <v>15000</v>
      </c>
      <c r="H80" s="5">
        <v>15000</v>
      </c>
      <c r="I80" s="5">
        <v>17000</v>
      </c>
      <c r="J80" s="57">
        <v>15000</v>
      </c>
      <c r="K80" s="81">
        <f t="shared" si="0"/>
        <v>15714.285714285714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7000</v>
      </c>
      <c r="G81" s="5">
        <v>10000</v>
      </c>
      <c r="H81" s="5">
        <v>7000</v>
      </c>
      <c r="I81" s="4">
        <v>12000</v>
      </c>
      <c r="J81" s="57">
        <v>8000</v>
      </c>
      <c r="K81" s="81">
        <f t="shared" ref="K81:K88" si="1">AVERAGE(D81:J81)</f>
        <v>8857.1428571428569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10000</v>
      </c>
      <c r="H82" s="5">
        <v>10000</v>
      </c>
      <c r="I82" s="5">
        <v>15000</v>
      </c>
      <c r="J82" s="57">
        <v>7000</v>
      </c>
      <c r="K82" s="81">
        <f t="shared" si="1"/>
        <v>11285.714285714286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9000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1500</v>
      </c>
      <c r="K85" s="81">
        <f t="shared" si="1"/>
        <v>1571.4285714285713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2000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0BF0-D9FF-475A-8467-4CEBD086C04E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135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13000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11160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13000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15285.714285714286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34000</v>
      </c>
      <c r="G25" s="5">
        <v>33000</v>
      </c>
      <c r="H25" s="57">
        <v>36000</v>
      </c>
      <c r="I25" s="5">
        <v>35000</v>
      </c>
      <c r="J25" s="57">
        <v>35000</v>
      </c>
      <c r="K25" s="81">
        <f t="shared" si="0"/>
        <v>34857.142857142855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30000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27000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f t="shared" si="0"/>
        <v>34428.571428571428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29000</v>
      </c>
      <c r="G34" s="5">
        <v>30000</v>
      </c>
      <c r="H34" s="5">
        <v>29000</v>
      </c>
      <c r="I34" s="5">
        <v>29000</v>
      </c>
      <c r="J34" s="57">
        <v>30000</v>
      </c>
      <c r="K34" s="81">
        <f t="shared" si="0"/>
        <v>29571.428571428572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10000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30000</v>
      </c>
      <c r="F64" s="5">
        <v>30000</v>
      </c>
      <c r="G64" s="5">
        <v>25000</v>
      </c>
      <c r="H64" s="5">
        <v>25000</v>
      </c>
      <c r="I64" s="5">
        <v>35000</v>
      </c>
      <c r="J64" s="57">
        <v>28000</v>
      </c>
      <c r="K64" s="81">
        <f t="shared" si="0"/>
        <v>28714.285714285714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38000</v>
      </c>
      <c r="E65" s="5">
        <v>25000</v>
      </c>
      <c r="F65" s="5">
        <v>25000</v>
      </c>
      <c r="G65" s="5">
        <v>28000</v>
      </c>
      <c r="H65" s="68" t="s">
        <v>95</v>
      </c>
      <c r="I65" s="4">
        <v>30000</v>
      </c>
      <c r="J65" s="57" t="s">
        <v>95</v>
      </c>
      <c r="K65" s="81">
        <f t="shared" si="0"/>
        <v>29200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35000</v>
      </c>
      <c r="G66" s="5">
        <v>38000</v>
      </c>
      <c r="H66" s="5">
        <v>35000</v>
      </c>
      <c r="I66" s="5">
        <v>35000</v>
      </c>
      <c r="J66" s="57">
        <v>35000</v>
      </c>
      <c r="K66" s="81">
        <f t="shared" si="0"/>
        <v>36142.857142857145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37000</v>
      </c>
      <c r="F70" s="5">
        <v>35000</v>
      </c>
      <c r="G70" s="5">
        <v>37000</v>
      </c>
      <c r="H70" s="5">
        <v>34000</v>
      </c>
      <c r="I70" s="5">
        <v>39000</v>
      </c>
      <c r="J70" s="57">
        <v>35000</v>
      </c>
      <c r="K70" s="81">
        <f t="shared" si="0"/>
        <v>36000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35000</v>
      </c>
      <c r="F71" s="5">
        <v>34000</v>
      </c>
      <c r="G71" s="5">
        <v>35000</v>
      </c>
      <c r="H71" s="5">
        <v>34000</v>
      </c>
      <c r="I71" s="5">
        <v>33000</v>
      </c>
      <c r="J71" s="57">
        <v>30000</v>
      </c>
      <c r="K71" s="81">
        <f t="shared" si="0"/>
        <v>33571.428571428572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22000</v>
      </c>
      <c r="E72" s="5">
        <v>25000</v>
      </c>
      <c r="F72" s="5">
        <v>20000</v>
      </c>
      <c r="G72" s="5">
        <v>26000</v>
      </c>
      <c r="H72" s="5">
        <v>18000</v>
      </c>
      <c r="I72" s="5">
        <v>30000</v>
      </c>
      <c r="J72" s="57">
        <v>25000</v>
      </c>
      <c r="K72" s="81">
        <f t="shared" si="0"/>
        <v>23714.285714285714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30000</v>
      </c>
      <c r="F73" s="9">
        <v>30000</v>
      </c>
      <c r="G73" s="4">
        <v>30000</v>
      </c>
      <c r="H73" s="5">
        <v>40000</v>
      </c>
      <c r="I73" s="5">
        <v>35000</v>
      </c>
      <c r="J73" s="57">
        <v>30000</v>
      </c>
      <c r="K73" s="81">
        <f t="shared" si="0"/>
        <v>31571.428571428572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4000</v>
      </c>
      <c r="I75" s="5">
        <v>5000</v>
      </c>
      <c r="J75" s="57">
        <v>5000</v>
      </c>
      <c r="K75" s="81">
        <f t="shared" si="0"/>
        <v>5285.7142857142853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7428.5714285714284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12000</v>
      </c>
      <c r="G79" s="5">
        <v>12000</v>
      </c>
      <c r="H79" s="5">
        <v>10000</v>
      </c>
      <c r="I79" s="9">
        <v>10000</v>
      </c>
      <c r="J79" s="57">
        <v>10000</v>
      </c>
      <c r="K79" s="81">
        <f t="shared" si="0"/>
        <v>9857.1428571428569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16000</v>
      </c>
      <c r="F80" s="5">
        <v>16000</v>
      </c>
      <c r="G80" s="5">
        <v>15000</v>
      </c>
      <c r="H80" s="5">
        <v>15000</v>
      </c>
      <c r="I80" s="5">
        <v>17000</v>
      </c>
      <c r="J80" s="57">
        <v>15000</v>
      </c>
      <c r="K80" s="81">
        <f t="shared" si="0"/>
        <v>15714.285714285714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7000</v>
      </c>
      <c r="G81" s="5">
        <v>10000</v>
      </c>
      <c r="H81" s="5">
        <v>7000</v>
      </c>
      <c r="I81" s="4">
        <v>12000</v>
      </c>
      <c r="J81" s="57">
        <v>8000</v>
      </c>
      <c r="K81" s="81">
        <f t="shared" ref="K81:K88" si="1">AVERAGE(D81:J81)</f>
        <v>8857.1428571428569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10000</v>
      </c>
      <c r="H82" s="5">
        <v>10000</v>
      </c>
      <c r="I82" s="5">
        <v>15000</v>
      </c>
      <c r="J82" s="57">
        <v>7000</v>
      </c>
      <c r="K82" s="81">
        <f t="shared" si="1"/>
        <v>11285.714285714286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10000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9000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1500</v>
      </c>
      <c r="K85" s="81">
        <f t="shared" si="1"/>
        <v>1571.4285714285713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2000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8CE8-6657-4DB8-8684-DC765C7DF8BC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136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13000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11160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13357.142857142857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15285.714285714286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33000</v>
      </c>
      <c r="G25" s="5">
        <v>35000</v>
      </c>
      <c r="H25" s="57">
        <v>36000</v>
      </c>
      <c r="I25" s="5">
        <v>35000</v>
      </c>
      <c r="J25" s="57">
        <v>36000</v>
      </c>
      <c r="K25" s="81">
        <f t="shared" si="0"/>
        <v>35142.857142857145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26714.285714285714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f t="shared" si="0"/>
        <v>34428.571428571428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29000</v>
      </c>
      <c r="G34" s="5">
        <v>30000</v>
      </c>
      <c r="H34" s="5">
        <v>29000</v>
      </c>
      <c r="I34" s="5">
        <v>29000</v>
      </c>
      <c r="J34" s="57">
        <v>30000</v>
      </c>
      <c r="K34" s="81">
        <f t="shared" si="0"/>
        <v>29571.428571428572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10000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10000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30000</v>
      </c>
      <c r="F64" s="5">
        <v>30000</v>
      </c>
      <c r="G64" s="5">
        <v>25000</v>
      </c>
      <c r="H64" s="5">
        <v>25000</v>
      </c>
      <c r="I64" s="5">
        <v>35000</v>
      </c>
      <c r="J64" s="57">
        <v>28000</v>
      </c>
      <c r="K64" s="81">
        <f t="shared" si="0"/>
        <v>28714.285714285714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38000</v>
      </c>
      <c r="E65" s="5">
        <v>25000</v>
      </c>
      <c r="F65" s="5">
        <v>25000</v>
      </c>
      <c r="G65" s="5">
        <v>28000</v>
      </c>
      <c r="H65" s="68" t="s">
        <v>95</v>
      </c>
      <c r="I65" s="4">
        <v>30000</v>
      </c>
      <c r="J65" s="57" t="s">
        <v>95</v>
      </c>
      <c r="K65" s="81">
        <f t="shared" si="0"/>
        <v>29200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35000</v>
      </c>
      <c r="G66" s="5">
        <v>37000</v>
      </c>
      <c r="H66" s="5">
        <v>35000</v>
      </c>
      <c r="I66" s="5">
        <v>35000</v>
      </c>
      <c r="J66" s="57">
        <v>35000</v>
      </c>
      <c r="K66" s="81">
        <f t="shared" si="0"/>
        <v>36000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35000</v>
      </c>
      <c r="G70" s="5">
        <v>36000</v>
      </c>
      <c r="H70" s="5">
        <v>34000</v>
      </c>
      <c r="I70" s="5">
        <v>39000</v>
      </c>
      <c r="J70" s="57">
        <v>35000</v>
      </c>
      <c r="K70" s="81">
        <f t="shared" si="0"/>
        <v>35714.285714285717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35000</v>
      </c>
      <c r="F71" s="5">
        <v>34000</v>
      </c>
      <c r="G71" s="5">
        <v>35000</v>
      </c>
      <c r="H71" s="5">
        <v>34000</v>
      </c>
      <c r="I71" s="5">
        <v>33000</v>
      </c>
      <c r="J71" s="57">
        <v>30000</v>
      </c>
      <c r="K71" s="81">
        <f t="shared" si="0"/>
        <v>33571.428571428572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25000</v>
      </c>
      <c r="F72" s="5">
        <v>20000</v>
      </c>
      <c r="G72" s="5">
        <v>26000</v>
      </c>
      <c r="H72" s="5">
        <v>18000</v>
      </c>
      <c r="I72" s="5">
        <v>30000</v>
      </c>
      <c r="J72" s="57">
        <v>25000</v>
      </c>
      <c r="K72" s="81">
        <f t="shared" si="0"/>
        <v>24000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27000</v>
      </c>
      <c r="F73" s="9">
        <v>30000</v>
      </c>
      <c r="G73" s="4">
        <v>30000</v>
      </c>
      <c r="H73" s="5">
        <v>40000</v>
      </c>
      <c r="I73" s="5">
        <v>35000</v>
      </c>
      <c r="J73" s="57">
        <v>30000</v>
      </c>
      <c r="K73" s="81">
        <f t="shared" si="0"/>
        <v>31142.857142857141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7428.5714285714284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12000</v>
      </c>
      <c r="G79" s="5">
        <v>12000</v>
      </c>
      <c r="H79" s="5">
        <v>10000</v>
      </c>
      <c r="I79" s="9">
        <v>10000</v>
      </c>
      <c r="J79" s="57">
        <v>10000</v>
      </c>
      <c r="K79" s="81">
        <f t="shared" si="0"/>
        <v>9857.1428571428569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15000</v>
      </c>
      <c r="H80" s="5">
        <v>15000</v>
      </c>
      <c r="I80" s="5">
        <v>17000</v>
      </c>
      <c r="J80" s="57">
        <v>15000</v>
      </c>
      <c r="K80" s="81">
        <f t="shared" si="0"/>
        <v>15857.142857142857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7000</v>
      </c>
      <c r="G81" s="5">
        <v>10000</v>
      </c>
      <c r="H81" s="5">
        <v>7000</v>
      </c>
      <c r="I81" s="4">
        <v>12000</v>
      </c>
      <c r="J81" s="57">
        <v>8000</v>
      </c>
      <c r="K81" s="81">
        <f t="shared" ref="K81:K88" si="1">AVERAGE(D81:J81)</f>
        <v>8857.1428571428569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10000</v>
      </c>
      <c r="H82" s="5">
        <v>10000</v>
      </c>
      <c r="I82" s="5">
        <v>15000</v>
      </c>
      <c r="J82" s="57">
        <v>7000</v>
      </c>
      <c r="K82" s="81">
        <f t="shared" si="1"/>
        <v>11285.714285714286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1500</v>
      </c>
      <c r="K85" s="81">
        <f t="shared" si="1"/>
        <v>1571.4285714285713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2000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2A62-A19F-4632-ADFC-14238581B244}">
  <dimension ref="A1:W94"/>
  <sheetViews>
    <sheetView workbookViewId="0">
      <selection sqref="A1:W94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131" t="s">
        <v>84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92"/>
      <c r="M1" s="92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92"/>
      <c r="M2" s="92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27.75" customHeight="1" x14ac:dyDescent="0.25">
      <c r="A3" s="119" t="s">
        <v>137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92"/>
      <c r="M3" s="92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L4" s="91"/>
      <c r="M4" s="92"/>
      <c r="N4" s="92"/>
      <c r="O4" s="91"/>
      <c r="P4" s="91"/>
      <c r="Q4" s="91"/>
      <c r="R4" s="91"/>
      <c r="S4" s="91"/>
      <c r="T4" s="91"/>
      <c r="U4" s="91"/>
      <c r="V4" s="91"/>
      <c r="W4" s="91"/>
    </row>
    <row r="5" spans="1:23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L5" s="91"/>
      <c r="M5" s="92"/>
      <c r="N5" s="92"/>
      <c r="O5" s="91"/>
      <c r="P5" s="91"/>
      <c r="Q5" s="91"/>
      <c r="R5" s="91"/>
      <c r="S5" s="91"/>
      <c r="T5" s="91"/>
      <c r="U5" s="91"/>
      <c r="V5" s="91"/>
      <c r="W5" s="91"/>
    </row>
    <row r="6" spans="1:23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L6" s="91"/>
      <c r="M6" s="92"/>
      <c r="N6" s="92"/>
      <c r="O6" s="91"/>
      <c r="P6" s="91"/>
      <c r="Q6" s="91"/>
      <c r="R6" s="91"/>
      <c r="S6" s="91"/>
      <c r="T6" s="91"/>
      <c r="U6" s="91"/>
      <c r="V6" s="91"/>
      <c r="W6" s="91"/>
    </row>
    <row r="7" spans="1:23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L7" s="91"/>
      <c r="M7" s="92"/>
      <c r="N7" s="92"/>
      <c r="O7" s="91"/>
      <c r="P7" s="91"/>
      <c r="Q7" s="91"/>
      <c r="R7" s="91"/>
      <c r="S7" s="91"/>
      <c r="T7" s="91"/>
      <c r="U7" s="91"/>
      <c r="V7" s="91"/>
      <c r="W7" s="91"/>
    </row>
    <row r="8" spans="1:23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v>13000</v>
      </c>
      <c r="L8" s="95"/>
      <c r="M8" s="93"/>
      <c r="N8" s="92"/>
      <c r="O8" s="91"/>
      <c r="P8" s="91"/>
      <c r="Q8" s="91"/>
      <c r="R8" s="91"/>
      <c r="S8" s="91"/>
      <c r="T8" s="91"/>
      <c r="U8" s="91"/>
      <c r="V8" s="91"/>
      <c r="W8" s="91"/>
    </row>
    <row r="9" spans="1:23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v>9200</v>
      </c>
      <c r="L9" s="91"/>
      <c r="M9" s="92"/>
      <c r="N9" s="92"/>
      <c r="O9" s="91"/>
      <c r="P9" s="91"/>
      <c r="Q9" s="91"/>
      <c r="R9" s="91"/>
      <c r="S9" s="91"/>
      <c r="T9" s="91"/>
      <c r="U9" s="91"/>
      <c r="V9" s="91"/>
      <c r="W9" s="91"/>
    </row>
    <row r="10" spans="1:23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v>11160</v>
      </c>
      <c r="L10" s="91"/>
      <c r="M10" s="92"/>
      <c r="N10" s="92"/>
      <c r="O10" s="91"/>
      <c r="P10" s="91"/>
      <c r="Q10" s="91"/>
      <c r="R10" s="91"/>
      <c r="S10" s="91"/>
      <c r="T10" s="91"/>
      <c r="U10" s="91"/>
      <c r="V10" s="91"/>
      <c r="W10" s="91"/>
    </row>
    <row r="11" spans="1:23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v>10200</v>
      </c>
      <c r="L11" s="91"/>
      <c r="M11" s="92"/>
      <c r="N11" s="92"/>
      <c r="O11" s="91"/>
      <c r="P11" s="91"/>
      <c r="Q11" s="91"/>
      <c r="R11" s="91"/>
      <c r="S11" s="91"/>
      <c r="T11" s="91"/>
      <c r="U11" s="91"/>
      <c r="V11" s="91"/>
      <c r="W11" s="91"/>
    </row>
    <row r="12" spans="1:23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v>18600</v>
      </c>
      <c r="L12" s="91"/>
      <c r="M12" s="92"/>
      <c r="N12" s="92"/>
      <c r="O12" s="91"/>
      <c r="P12" s="91"/>
      <c r="Q12" s="91"/>
      <c r="R12" s="91"/>
      <c r="S12" s="91"/>
      <c r="T12" s="91"/>
      <c r="U12" s="91"/>
      <c r="V12" s="91"/>
      <c r="W12" s="91"/>
    </row>
    <row r="13" spans="1:23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L13" s="91"/>
      <c r="M13" s="92"/>
      <c r="N13" s="92"/>
      <c r="O13" s="91"/>
      <c r="P13" s="91"/>
      <c r="Q13" s="91"/>
      <c r="R13" s="91"/>
      <c r="S13" s="91"/>
      <c r="T13" s="91"/>
      <c r="U13" s="91"/>
      <c r="V13" s="91"/>
      <c r="W13" s="91"/>
    </row>
    <row r="14" spans="1:23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v>13357.142857142857</v>
      </c>
      <c r="L14" s="91"/>
      <c r="M14" s="92"/>
      <c r="N14" s="92"/>
      <c r="O14" s="91"/>
      <c r="P14" s="91"/>
      <c r="Q14" s="91"/>
      <c r="R14" s="91"/>
      <c r="S14" s="91"/>
      <c r="T14" s="91"/>
      <c r="U14" s="91"/>
      <c r="V14" s="91"/>
      <c r="W14" s="91"/>
    </row>
    <row r="15" spans="1:23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v>15285.714285714286</v>
      </c>
      <c r="L15" s="91"/>
      <c r="M15" s="92"/>
      <c r="N15" s="92"/>
      <c r="O15" s="91"/>
      <c r="P15" s="91"/>
      <c r="Q15" s="91"/>
      <c r="R15" s="91"/>
      <c r="S15" s="91"/>
      <c r="T15" s="91"/>
      <c r="U15" s="91"/>
      <c r="V15" s="91"/>
      <c r="W15" s="91"/>
    </row>
    <row r="16" spans="1:23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L16" s="91"/>
      <c r="M16" s="92"/>
      <c r="N16" s="92"/>
      <c r="O16" s="91"/>
      <c r="P16" s="91"/>
      <c r="Q16" s="91"/>
      <c r="R16" s="91"/>
      <c r="S16" s="91"/>
      <c r="T16" s="91"/>
      <c r="U16" s="91"/>
      <c r="V16" s="91"/>
      <c r="W16" s="91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v>15000</v>
      </c>
      <c r="L17" s="91"/>
      <c r="M17" s="92"/>
      <c r="N17" s="9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v>14000</v>
      </c>
      <c r="L18" s="91"/>
      <c r="M18" s="92"/>
      <c r="N18" s="9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L19" s="91"/>
      <c r="M19" s="92"/>
      <c r="N19" s="9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v>21500</v>
      </c>
      <c r="L20" s="91"/>
      <c r="M20" s="92"/>
      <c r="N20" s="9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L21" s="91"/>
      <c r="M21" s="92"/>
      <c r="N21" s="9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v>120000</v>
      </c>
      <c r="L22" s="91"/>
      <c r="M22" s="92"/>
      <c r="N22" s="9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v>110714.28571428571</v>
      </c>
      <c r="L23" s="91"/>
      <c r="M23" s="92"/>
      <c r="N23" s="9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v>99285.71428571429</v>
      </c>
      <c r="L24" s="91"/>
      <c r="M24" s="92"/>
      <c r="N24" s="9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33000</v>
      </c>
      <c r="G25" s="5">
        <v>35000</v>
      </c>
      <c r="H25" s="57">
        <v>36000</v>
      </c>
      <c r="I25" s="5">
        <v>35000</v>
      </c>
      <c r="J25" s="57">
        <v>38000</v>
      </c>
      <c r="K25" s="81">
        <v>35428.571428571428</v>
      </c>
      <c r="L25" s="91"/>
      <c r="M25" s="92"/>
      <c r="N25" s="9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L26" s="91"/>
      <c r="M26" s="92"/>
      <c r="N26" s="9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v>36000</v>
      </c>
      <c r="L27" s="91"/>
      <c r="M27" s="92"/>
      <c r="N27" s="9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v>26714.285714285714</v>
      </c>
      <c r="L28" s="91"/>
      <c r="M28" s="92"/>
      <c r="N28" s="9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v>64714.285714285717</v>
      </c>
      <c r="L29" s="91"/>
      <c r="M29" s="92"/>
      <c r="N29" s="9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v>24000</v>
      </c>
      <c r="L30" s="91"/>
      <c r="M30" s="92"/>
      <c r="N30" s="9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v>34428.571428571428</v>
      </c>
      <c r="L31" s="91"/>
      <c r="M31" s="92"/>
      <c r="N31" s="9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v>87500</v>
      </c>
      <c r="L32" s="91"/>
      <c r="M32" s="92"/>
      <c r="N32" s="9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L33" s="91"/>
      <c r="M33" s="92"/>
      <c r="N33" s="9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28000</v>
      </c>
      <c r="G34" s="5">
        <v>29000</v>
      </c>
      <c r="H34" s="5">
        <v>29000</v>
      </c>
      <c r="I34" s="5">
        <v>29000</v>
      </c>
      <c r="J34" s="57">
        <v>30000</v>
      </c>
      <c r="K34" s="81">
        <v>29285.714285714286</v>
      </c>
      <c r="L34" s="91"/>
      <c r="M34" s="92"/>
      <c r="N34" s="9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v>2714.2857142857142</v>
      </c>
      <c r="L35" s="91"/>
      <c r="M35" s="92"/>
      <c r="N35" s="9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L36" s="91"/>
      <c r="M36" s="92"/>
      <c r="N36" s="9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v>9857.1428571428569</v>
      </c>
      <c r="L37" s="91"/>
      <c r="M37" s="92"/>
      <c r="N37" s="9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12000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v>13000</v>
      </c>
      <c r="L38" s="91"/>
      <c r="M38" s="92"/>
      <c r="N38" s="9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L39" s="91"/>
      <c r="M39" s="92"/>
      <c r="N39" s="9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v>13000</v>
      </c>
      <c r="L40" s="91"/>
      <c r="M40" s="92"/>
      <c r="N40" s="9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v>4250</v>
      </c>
      <c r="L41" s="91"/>
      <c r="M41" s="92"/>
      <c r="N41" s="9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6000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v>6000</v>
      </c>
      <c r="L42" s="91"/>
      <c r="M42" s="92"/>
      <c r="N42" s="9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L43" s="91"/>
      <c r="M43" s="92"/>
      <c r="N43" s="9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v>12333.333333333334</v>
      </c>
      <c r="L44" s="91"/>
      <c r="M44" s="92"/>
      <c r="N44" s="9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v>12500</v>
      </c>
      <c r="L45" s="91"/>
      <c r="M45" s="92"/>
      <c r="N45" s="9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L46" s="91"/>
      <c r="M46" s="92"/>
      <c r="N46" s="9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v>17500</v>
      </c>
      <c r="L47" s="91"/>
      <c r="M47" s="92"/>
      <c r="N47" s="9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v>2000</v>
      </c>
      <c r="L48" s="91"/>
      <c r="M48" s="92"/>
      <c r="N48" s="9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L49" s="91"/>
      <c r="M49" s="92"/>
      <c r="N49" s="9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v>9285.7142857142862</v>
      </c>
      <c r="L50" s="91"/>
      <c r="M50" s="92"/>
      <c r="N50" s="9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v>8333.3333333333339</v>
      </c>
      <c r="L51" s="91"/>
      <c r="M51" s="92"/>
      <c r="N51" s="9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L52" s="91"/>
      <c r="M52" s="92" t="s">
        <v>97</v>
      </c>
      <c r="N52" s="9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v>4000</v>
      </c>
      <c r="L53" s="91"/>
      <c r="M53" s="92"/>
      <c r="N53" s="94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L54" s="91"/>
      <c r="M54" s="92"/>
      <c r="N54" s="9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v>10500</v>
      </c>
      <c r="L55" s="91"/>
      <c r="M55" s="92"/>
      <c r="N55" s="9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L56" s="91"/>
      <c r="M56" s="92"/>
      <c r="N56" s="9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v>13666.666666666666</v>
      </c>
      <c r="L57" s="91"/>
      <c r="M57" s="92"/>
      <c r="N57" s="9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v>13000</v>
      </c>
      <c r="L58" s="91"/>
      <c r="M58" s="92"/>
      <c r="N58" s="9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v>23142.857142857141</v>
      </c>
      <c r="L59" s="91"/>
      <c r="M59" s="92"/>
      <c r="N59" s="9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v>28714.285714285714</v>
      </c>
      <c r="L60" s="91"/>
      <c r="M60" s="92"/>
      <c r="N60" s="9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L61" s="91"/>
      <c r="M61" s="92"/>
      <c r="N61" s="9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3000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v>3166.6666666666665</v>
      </c>
      <c r="L62" s="91"/>
      <c r="M62" s="92"/>
      <c r="N62" s="9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L63" s="91"/>
      <c r="M63" s="92"/>
      <c r="N63" s="9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30000</v>
      </c>
      <c r="F64" s="5">
        <v>30000</v>
      </c>
      <c r="G64" s="5">
        <v>28000</v>
      </c>
      <c r="H64" s="5">
        <v>25000</v>
      </c>
      <c r="I64" s="5">
        <v>35000</v>
      </c>
      <c r="J64" s="57">
        <v>28000</v>
      </c>
      <c r="K64" s="81">
        <v>29142.857142857141</v>
      </c>
      <c r="L64" s="91"/>
      <c r="M64" s="92"/>
      <c r="N64" s="92"/>
    </row>
    <row r="65" spans="1:14" ht="15.75" x14ac:dyDescent="0.25">
      <c r="A65" s="116"/>
      <c r="B65" s="54" t="s">
        <v>57</v>
      </c>
      <c r="C65" s="10" t="s">
        <v>4</v>
      </c>
      <c r="D65" s="5">
        <v>38000</v>
      </c>
      <c r="E65" s="5">
        <v>25000</v>
      </c>
      <c r="F65" s="5">
        <v>25000</v>
      </c>
      <c r="G65" s="5">
        <v>28000</v>
      </c>
      <c r="H65" s="68" t="s">
        <v>95</v>
      </c>
      <c r="I65" s="4">
        <v>30000</v>
      </c>
      <c r="J65" s="57" t="s">
        <v>95</v>
      </c>
      <c r="K65" s="81">
        <v>29200</v>
      </c>
      <c r="L65" s="91"/>
      <c r="M65" s="92"/>
      <c r="N65" s="9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35000</v>
      </c>
      <c r="G66" s="5">
        <v>37000</v>
      </c>
      <c r="H66" s="5">
        <v>35000</v>
      </c>
      <c r="I66" s="5">
        <v>35000</v>
      </c>
      <c r="J66" s="57">
        <v>35000</v>
      </c>
      <c r="K66" s="81">
        <v>36000</v>
      </c>
      <c r="L66" s="91"/>
      <c r="M66" s="92"/>
      <c r="N66" s="9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L67" s="91"/>
      <c r="M67" s="92"/>
      <c r="N67" s="9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v>18333.333333333332</v>
      </c>
      <c r="L68" s="91"/>
      <c r="M68" s="92"/>
      <c r="N68" s="9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L69" s="91"/>
      <c r="M69" s="92"/>
      <c r="N69" s="9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35000</v>
      </c>
      <c r="G70" s="5">
        <v>36000</v>
      </c>
      <c r="H70" s="5">
        <v>34000</v>
      </c>
      <c r="I70" s="5">
        <v>39000</v>
      </c>
      <c r="J70" s="57">
        <v>35000</v>
      </c>
      <c r="K70" s="81">
        <v>35714.285714285717</v>
      </c>
      <c r="L70" s="91"/>
      <c r="M70" s="92"/>
      <c r="N70" s="9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35000</v>
      </c>
      <c r="F71" s="5">
        <v>34000</v>
      </c>
      <c r="G71" s="5">
        <v>35000</v>
      </c>
      <c r="H71" s="5">
        <v>34000</v>
      </c>
      <c r="I71" s="5">
        <v>33000</v>
      </c>
      <c r="J71" s="57">
        <v>30000</v>
      </c>
      <c r="K71" s="81">
        <v>33571.428571428572</v>
      </c>
      <c r="L71" s="91"/>
      <c r="M71" s="92"/>
      <c r="N71" s="9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25000</v>
      </c>
      <c r="F72" s="5">
        <v>20000</v>
      </c>
      <c r="G72" s="5">
        <v>26000</v>
      </c>
      <c r="H72" s="5">
        <v>16000</v>
      </c>
      <c r="I72" s="5">
        <v>30000</v>
      </c>
      <c r="J72" s="57">
        <v>25000</v>
      </c>
      <c r="K72" s="81">
        <v>23714.285714285714</v>
      </c>
      <c r="L72" s="91"/>
      <c r="M72" s="92"/>
      <c r="N72" s="9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27000</v>
      </c>
      <c r="F73" s="9">
        <v>30000</v>
      </c>
      <c r="G73" s="4">
        <v>30000</v>
      </c>
      <c r="H73" s="5">
        <v>25000</v>
      </c>
      <c r="I73" s="5">
        <v>35000</v>
      </c>
      <c r="J73" s="57">
        <v>30000</v>
      </c>
      <c r="K73" s="81">
        <v>29000</v>
      </c>
      <c r="L73" s="91"/>
      <c r="M73" s="92"/>
      <c r="N73" s="9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L74" s="91"/>
      <c r="M74" s="92"/>
      <c r="N74" s="9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v>5428.5714285714284</v>
      </c>
      <c r="L75" s="91"/>
      <c r="M75" s="92"/>
      <c r="N75" s="9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v>5714.2857142857147</v>
      </c>
      <c r="L76" s="91"/>
      <c r="M76" s="92"/>
      <c r="N76" s="9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L77" s="91"/>
      <c r="M77" s="92"/>
      <c r="N77" s="9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v>7428.5714285714284</v>
      </c>
      <c r="L78" s="91"/>
      <c r="M78" s="92"/>
      <c r="N78" s="9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12000</v>
      </c>
      <c r="G79" s="5">
        <v>12000</v>
      </c>
      <c r="H79" s="5">
        <v>10000</v>
      </c>
      <c r="I79" s="9">
        <v>10000</v>
      </c>
      <c r="J79" s="57">
        <v>10000</v>
      </c>
      <c r="K79" s="81">
        <v>9857.1428571428569</v>
      </c>
      <c r="L79" s="91"/>
      <c r="M79" s="92"/>
      <c r="N79" s="9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15000</v>
      </c>
      <c r="H80" s="5">
        <v>15000</v>
      </c>
      <c r="I80" s="5">
        <v>17000</v>
      </c>
      <c r="J80" s="57">
        <v>15000</v>
      </c>
      <c r="K80" s="81">
        <v>15857.142857142857</v>
      </c>
      <c r="L80" s="91"/>
      <c r="M80" s="92"/>
      <c r="N80" s="9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7000</v>
      </c>
      <c r="G81" s="5">
        <v>10000</v>
      </c>
      <c r="H81" s="5">
        <v>7000</v>
      </c>
      <c r="I81" s="4">
        <v>12000</v>
      </c>
      <c r="J81" s="57">
        <v>8000</v>
      </c>
      <c r="K81" s="81">
        <v>8857.1428571428569</v>
      </c>
      <c r="L81" s="91"/>
      <c r="M81" s="92"/>
      <c r="N81" s="9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10000</v>
      </c>
      <c r="H82" s="5">
        <v>10000</v>
      </c>
      <c r="I82" s="5">
        <v>15000</v>
      </c>
      <c r="J82" s="57">
        <v>7000</v>
      </c>
      <c r="K82" s="81">
        <v>11285.714285714286</v>
      </c>
      <c r="L82" s="91"/>
      <c r="M82" s="92"/>
      <c r="N82" s="9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v>9285.7142857142862</v>
      </c>
      <c r="L83" s="91"/>
      <c r="M83" s="91"/>
      <c r="N83" s="91"/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v>1642.8571428571429</v>
      </c>
      <c r="L84" s="91"/>
      <c r="M84" s="91"/>
      <c r="N84" s="91"/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v>1500</v>
      </c>
      <c r="L85" s="91"/>
      <c r="M85" s="91"/>
      <c r="N85" s="91"/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2000</v>
      </c>
      <c r="I86" s="5" t="s">
        <v>95</v>
      </c>
      <c r="J86" s="60">
        <v>1500</v>
      </c>
      <c r="K86" s="81">
        <v>1750</v>
      </c>
      <c r="L86" s="91"/>
      <c r="M86" s="91"/>
      <c r="N86" s="91"/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  <c r="L87" s="91"/>
      <c r="M87" s="91"/>
      <c r="N87" s="91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v>18000</v>
      </c>
      <c r="L88" s="91"/>
      <c r="M88" s="91"/>
      <c r="N88" s="91"/>
    </row>
    <row r="89" spans="1:14" ht="15.75" x14ac:dyDescent="0.25">
      <c r="A89" s="91"/>
      <c r="B89" s="91"/>
      <c r="C89" s="91"/>
      <c r="D89" s="92"/>
      <c r="E89" s="92"/>
      <c r="F89" s="91"/>
      <c r="G89" s="91"/>
      <c r="H89" s="91"/>
      <c r="I89" s="91"/>
      <c r="J89" s="91"/>
      <c r="K89" s="91"/>
      <c r="L89" s="91"/>
      <c r="M89" s="91"/>
      <c r="N89" s="91"/>
    </row>
    <row r="90" spans="1:14" ht="15.75" x14ac:dyDescent="0.25">
      <c r="A90" s="91"/>
      <c r="B90" s="14"/>
      <c r="C90" s="91"/>
      <c r="D90" s="92"/>
      <c r="E90" s="92"/>
      <c r="F90" s="91"/>
      <c r="G90" s="91"/>
      <c r="H90" s="91"/>
      <c r="I90" s="91"/>
      <c r="J90" s="91"/>
      <c r="K90" s="91"/>
      <c r="L90" s="91"/>
      <c r="M90" s="91"/>
      <c r="N90" s="91"/>
    </row>
    <row r="91" spans="1:14" ht="15.75" x14ac:dyDescent="0.25">
      <c r="A91" s="91"/>
      <c r="B91" s="91"/>
      <c r="C91" s="91"/>
      <c r="D91" s="92"/>
      <c r="E91" s="92"/>
      <c r="F91" s="91"/>
      <c r="G91" s="91"/>
      <c r="H91" s="91"/>
      <c r="I91" s="91"/>
      <c r="J91" s="91"/>
      <c r="K91" s="91"/>
      <c r="L91" s="91"/>
      <c r="M91" s="91"/>
      <c r="N91" s="91"/>
    </row>
    <row r="92" spans="1:14" ht="15.75" x14ac:dyDescent="0.25">
      <c r="A92" s="92"/>
      <c r="B92" s="92"/>
      <c r="C92" s="92"/>
      <c r="D92" s="92"/>
      <c r="E92" s="92"/>
      <c r="F92" s="91"/>
      <c r="G92" s="91"/>
      <c r="H92" s="91"/>
      <c r="I92" s="91"/>
      <c r="J92" s="91"/>
      <c r="K92" s="91"/>
      <c r="L92" s="91"/>
      <c r="M92" s="91"/>
      <c r="N92" s="91"/>
    </row>
    <row r="93" spans="1:14" x14ac:dyDescent="0.2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</row>
    <row r="94" spans="1:14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</row>
  </sheetData>
  <mergeCells count="28">
    <mergeCell ref="A16:A17"/>
    <mergeCell ref="A19:A20"/>
    <mergeCell ref="A21:A25"/>
    <mergeCell ref="A56:A60"/>
    <mergeCell ref="A7:A12"/>
    <mergeCell ref="A13:A15"/>
    <mergeCell ref="D4:D6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63:A66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65CE-64A7-457C-B0C0-726522C0B16A}">
  <dimension ref="A1:N94"/>
  <sheetViews>
    <sheetView topLeftCell="A4" workbookViewId="0">
      <selection activeCell="A4"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138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13000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11160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14000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13428.571428571429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15285.714285714286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35000</v>
      </c>
      <c r="G25" s="5">
        <v>35000</v>
      </c>
      <c r="H25" s="57">
        <v>36000</v>
      </c>
      <c r="I25" s="5">
        <v>35000</v>
      </c>
      <c r="J25" s="57">
        <v>38000</v>
      </c>
      <c r="K25" s="81">
        <f t="shared" si="0"/>
        <v>35714.285714285717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26714.285714285714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f t="shared" si="0"/>
        <v>34428.571428571428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29000</v>
      </c>
      <c r="I34" s="5">
        <v>29000</v>
      </c>
      <c r="J34" s="57">
        <v>30000</v>
      </c>
      <c r="K34" s="81">
        <f t="shared" si="0"/>
        <v>29571.428571428572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13500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12666.666666666666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12000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9571.4285714285706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10000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8500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11500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10714.285714285714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26000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23571.428571428572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30000</v>
      </c>
      <c r="F64" s="5">
        <v>30000</v>
      </c>
      <c r="G64" s="5">
        <v>30000</v>
      </c>
      <c r="H64" s="5">
        <v>23000</v>
      </c>
      <c r="I64" s="5">
        <v>35000</v>
      </c>
      <c r="J64" s="57">
        <v>28000</v>
      </c>
      <c r="K64" s="81">
        <f t="shared" si="0"/>
        <v>29142.857142857141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38000</v>
      </c>
      <c r="E65" s="5">
        <v>25000</v>
      </c>
      <c r="F65" s="5">
        <v>25000</v>
      </c>
      <c r="G65" s="5">
        <v>28000</v>
      </c>
      <c r="H65" s="68" t="s">
        <v>95</v>
      </c>
      <c r="I65" s="4">
        <v>30000</v>
      </c>
      <c r="J65" s="57" t="s">
        <v>95</v>
      </c>
      <c r="K65" s="81">
        <f t="shared" si="0"/>
        <v>29200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40000</v>
      </c>
      <c r="G66" s="5">
        <v>38000</v>
      </c>
      <c r="H66" s="5">
        <v>35000</v>
      </c>
      <c r="I66" s="5">
        <v>35000</v>
      </c>
      <c r="J66" s="57">
        <v>35000</v>
      </c>
      <c r="K66" s="81">
        <f t="shared" si="0"/>
        <v>36857.142857142855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38000</v>
      </c>
      <c r="G70" s="5">
        <v>37000</v>
      </c>
      <c r="H70" s="5">
        <v>34000</v>
      </c>
      <c r="I70" s="5">
        <v>39000</v>
      </c>
      <c r="J70" s="57">
        <v>35000</v>
      </c>
      <c r="K70" s="81">
        <f t="shared" si="0"/>
        <v>36285.714285714283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35000</v>
      </c>
      <c r="F71" s="5">
        <v>36000</v>
      </c>
      <c r="G71" s="5">
        <v>35000</v>
      </c>
      <c r="H71" s="5">
        <v>34000</v>
      </c>
      <c r="I71" s="5">
        <v>33000</v>
      </c>
      <c r="J71" s="57">
        <v>30000</v>
      </c>
      <c r="K71" s="81">
        <f t="shared" si="0"/>
        <v>33857.142857142855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25000</v>
      </c>
      <c r="F72" s="5">
        <v>25000</v>
      </c>
      <c r="G72" s="5">
        <v>26000</v>
      </c>
      <c r="H72" s="5">
        <v>16000</v>
      </c>
      <c r="I72" s="5">
        <v>30000</v>
      </c>
      <c r="J72" s="57">
        <v>25000</v>
      </c>
      <c r="K72" s="81">
        <f t="shared" si="0"/>
        <v>24428.571428571428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27000</v>
      </c>
      <c r="F73" s="9">
        <v>25000</v>
      </c>
      <c r="G73" s="4">
        <v>30000</v>
      </c>
      <c r="H73" s="5">
        <v>25000</v>
      </c>
      <c r="I73" s="5">
        <v>35000</v>
      </c>
      <c r="J73" s="57">
        <v>30000</v>
      </c>
      <c r="K73" s="81">
        <f t="shared" si="0"/>
        <v>28285.714285714286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7428.5714285714284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12000</v>
      </c>
      <c r="G79" s="5">
        <v>12000</v>
      </c>
      <c r="H79" s="5">
        <v>10000</v>
      </c>
      <c r="I79" s="9">
        <v>10000</v>
      </c>
      <c r="J79" s="57">
        <v>10000</v>
      </c>
      <c r="K79" s="81">
        <f t="shared" si="0"/>
        <v>9857.1428571428569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18000</v>
      </c>
      <c r="G80" s="5">
        <v>15000</v>
      </c>
      <c r="H80" s="5">
        <v>15000</v>
      </c>
      <c r="I80" s="5">
        <v>17000</v>
      </c>
      <c r="J80" s="57">
        <v>15000</v>
      </c>
      <c r="K80" s="81">
        <f t="shared" si="0"/>
        <v>16142.857142857143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10000</v>
      </c>
      <c r="G81" s="5">
        <v>10000</v>
      </c>
      <c r="H81" s="5">
        <v>7000</v>
      </c>
      <c r="I81" s="4">
        <v>12000</v>
      </c>
      <c r="J81" s="57">
        <v>8000</v>
      </c>
      <c r="K81" s="81">
        <f t="shared" ref="K81:K88" si="1">AVERAGE(D81:J81)</f>
        <v>9285.7142857142862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14000</v>
      </c>
      <c r="G82" s="5">
        <v>10000</v>
      </c>
      <c r="H82" s="5">
        <v>10000</v>
      </c>
      <c r="I82" s="5">
        <v>15000</v>
      </c>
      <c r="J82" s="57">
        <v>7000</v>
      </c>
      <c r="K82" s="81">
        <f t="shared" si="1"/>
        <v>11571.428571428571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10000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9428.5714285714294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1500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1571.4285714285713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470C-11B2-47BF-9B22-15C11A93D99A}">
  <dimension ref="A1:W94"/>
  <sheetViews>
    <sheetView workbookViewId="0">
      <selection sqref="A1:W94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131" t="s">
        <v>84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92"/>
      <c r="M1" s="92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92"/>
      <c r="M2" s="92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27.75" customHeight="1" x14ac:dyDescent="0.25">
      <c r="A3" s="119" t="s">
        <v>139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92"/>
      <c r="M3" s="92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L4" s="91"/>
      <c r="M4" s="92"/>
      <c r="N4" s="92"/>
      <c r="O4" s="91"/>
      <c r="P4" s="91"/>
      <c r="Q4" s="91"/>
      <c r="R4" s="91"/>
      <c r="S4" s="91"/>
      <c r="T4" s="91"/>
      <c r="U4" s="91"/>
      <c r="V4" s="91"/>
      <c r="W4" s="91"/>
    </row>
    <row r="5" spans="1:23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L5" s="91"/>
      <c r="M5" s="92"/>
      <c r="N5" s="92"/>
      <c r="O5" s="91"/>
      <c r="P5" s="91"/>
      <c r="Q5" s="91"/>
      <c r="R5" s="91"/>
      <c r="S5" s="91"/>
      <c r="T5" s="91"/>
      <c r="U5" s="91"/>
      <c r="V5" s="91"/>
      <c r="W5" s="91"/>
    </row>
    <row r="6" spans="1:23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L6" s="91"/>
      <c r="M6" s="92"/>
      <c r="N6" s="92"/>
      <c r="O6" s="91"/>
      <c r="P6" s="91"/>
      <c r="Q6" s="91"/>
      <c r="R6" s="91"/>
      <c r="S6" s="91"/>
      <c r="T6" s="91"/>
      <c r="U6" s="91"/>
      <c r="V6" s="91"/>
      <c r="W6" s="91"/>
    </row>
    <row r="7" spans="1:23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L7" s="91"/>
      <c r="M7" s="92"/>
      <c r="N7" s="92"/>
      <c r="O7" s="91"/>
      <c r="P7" s="91"/>
      <c r="Q7" s="91"/>
      <c r="R7" s="91"/>
      <c r="S7" s="91"/>
      <c r="T7" s="91"/>
      <c r="U7" s="91"/>
      <c r="V7" s="91"/>
      <c r="W7" s="91"/>
    </row>
    <row r="8" spans="1:23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v>13000</v>
      </c>
      <c r="L8" s="95"/>
      <c r="M8" s="93"/>
      <c r="N8" s="92"/>
      <c r="O8" s="91"/>
      <c r="P8" s="91"/>
      <c r="Q8" s="91"/>
      <c r="R8" s="91"/>
      <c r="S8" s="91"/>
      <c r="T8" s="91"/>
      <c r="U8" s="91"/>
      <c r="V8" s="91"/>
      <c r="W8" s="91"/>
    </row>
    <row r="9" spans="1:23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9500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v>9250</v>
      </c>
      <c r="L9" s="91"/>
      <c r="M9" s="92"/>
      <c r="N9" s="92"/>
      <c r="O9" s="91"/>
      <c r="P9" s="91"/>
      <c r="Q9" s="91"/>
      <c r="R9" s="91"/>
      <c r="S9" s="91"/>
      <c r="T9" s="91"/>
      <c r="U9" s="91"/>
      <c r="V9" s="91"/>
      <c r="W9" s="91"/>
    </row>
    <row r="10" spans="1:23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v>11160</v>
      </c>
      <c r="L10" s="91"/>
      <c r="M10" s="92"/>
      <c r="N10" s="92"/>
      <c r="O10" s="91"/>
      <c r="P10" s="91"/>
      <c r="Q10" s="91"/>
      <c r="R10" s="91"/>
      <c r="S10" s="91"/>
      <c r="T10" s="91"/>
      <c r="U10" s="91"/>
      <c r="V10" s="91"/>
      <c r="W10" s="91"/>
    </row>
    <row r="11" spans="1:23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v>10200</v>
      </c>
      <c r="L11" s="91"/>
      <c r="M11" s="92"/>
      <c r="N11" s="92"/>
      <c r="O11" s="91"/>
      <c r="P11" s="91"/>
      <c r="Q11" s="91"/>
      <c r="R11" s="91"/>
      <c r="S11" s="91"/>
      <c r="T11" s="91"/>
      <c r="U11" s="91"/>
      <c r="V11" s="91"/>
      <c r="W11" s="91"/>
    </row>
    <row r="12" spans="1:23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v>18600</v>
      </c>
      <c r="L12" s="91"/>
      <c r="M12" s="92"/>
      <c r="N12" s="92"/>
      <c r="O12" s="91"/>
      <c r="P12" s="91"/>
      <c r="Q12" s="91"/>
      <c r="R12" s="91"/>
      <c r="S12" s="91"/>
      <c r="T12" s="91"/>
      <c r="U12" s="91"/>
      <c r="V12" s="91"/>
      <c r="W12" s="91"/>
    </row>
    <row r="13" spans="1:23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L13" s="91"/>
      <c r="M13" s="92"/>
      <c r="N13" s="92"/>
      <c r="O13" s="91"/>
      <c r="P13" s="91"/>
      <c r="Q13" s="91"/>
      <c r="R13" s="91"/>
      <c r="S13" s="91"/>
      <c r="T13" s="91"/>
      <c r="U13" s="91"/>
      <c r="V13" s="91"/>
      <c r="W13" s="91"/>
    </row>
    <row r="14" spans="1:23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14000</v>
      </c>
      <c r="G14" s="5">
        <v>13500</v>
      </c>
      <c r="H14" s="5">
        <v>13500</v>
      </c>
      <c r="I14" s="5">
        <v>13000</v>
      </c>
      <c r="J14" s="57">
        <v>13500</v>
      </c>
      <c r="K14" s="81">
        <v>13428.571428571429</v>
      </c>
      <c r="L14" s="91"/>
      <c r="M14" s="92"/>
      <c r="N14" s="92"/>
      <c r="O14" s="91"/>
      <c r="P14" s="91"/>
      <c r="Q14" s="91"/>
      <c r="R14" s="91"/>
      <c r="S14" s="91"/>
      <c r="T14" s="91"/>
      <c r="U14" s="91"/>
      <c r="V14" s="91"/>
      <c r="W14" s="91"/>
    </row>
    <row r="15" spans="1:23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v>15285.714285714286</v>
      </c>
      <c r="L15" s="91"/>
      <c r="M15" s="92"/>
      <c r="N15" s="92"/>
      <c r="O15" s="91"/>
      <c r="P15" s="91"/>
      <c r="Q15" s="91"/>
      <c r="R15" s="91"/>
      <c r="S15" s="91"/>
      <c r="T15" s="91"/>
      <c r="U15" s="91"/>
      <c r="V15" s="91"/>
      <c r="W15" s="91"/>
    </row>
    <row r="16" spans="1:23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L16" s="91"/>
      <c r="M16" s="92"/>
      <c r="N16" s="92"/>
      <c r="O16" s="91"/>
      <c r="P16" s="91"/>
      <c r="Q16" s="91"/>
      <c r="R16" s="91"/>
      <c r="S16" s="91"/>
      <c r="T16" s="91"/>
      <c r="U16" s="91"/>
      <c r="V16" s="91"/>
      <c r="W16" s="91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v>15000</v>
      </c>
      <c r="L17" s="91"/>
      <c r="M17" s="92"/>
      <c r="N17" s="9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v>14000</v>
      </c>
      <c r="L18" s="91"/>
      <c r="M18" s="92"/>
      <c r="N18" s="9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L19" s="91"/>
      <c r="M19" s="92"/>
      <c r="N19" s="9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21000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v>21750</v>
      </c>
      <c r="L20" s="91"/>
      <c r="M20" s="92"/>
      <c r="N20" s="9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L21" s="91"/>
      <c r="M21" s="92"/>
      <c r="N21" s="9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v>120000</v>
      </c>
      <c r="L22" s="91"/>
      <c r="M22" s="92"/>
      <c r="N22" s="9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v>110714.28571428571</v>
      </c>
      <c r="L23" s="91"/>
      <c r="M23" s="92"/>
      <c r="N23" s="9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v>99285.71428571429</v>
      </c>
      <c r="L24" s="91"/>
      <c r="M24" s="92"/>
      <c r="N24" s="9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34000</v>
      </c>
      <c r="G25" s="5">
        <v>35000</v>
      </c>
      <c r="H25" s="57">
        <v>36000</v>
      </c>
      <c r="I25" s="5">
        <v>35000</v>
      </c>
      <c r="J25" s="57">
        <v>38000</v>
      </c>
      <c r="K25" s="81">
        <v>35571.428571428572</v>
      </c>
      <c r="L25" s="91"/>
      <c r="M25" s="92"/>
      <c r="N25" s="9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L26" s="91"/>
      <c r="M26" s="92"/>
      <c r="N26" s="9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v>36000</v>
      </c>
      <c r="L27" s="91"/>
      <c r="M27" s="92"/>
      <c r="N27" s="9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v>26714.285714285714</v>
      </c>
      <c r="L28" s="91"/>
      <c r="M28" s="92"/>
      <c r="N28" s="9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v>64714.285714285717</v>
      </c>
      <c r="L29" s="91"/>
      <c r="M29" s="92"/>
      <c r="N29" s="9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v>24000</v>
      </c>
      <c r="L30" s="91"/>
      <c r="M30" s="92"/>
      <c r="N30" s="9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30000</v>
      </c>
      <c r="K31" s="81">
        <v>34428.571428571428</v>
      </c>
      <c r="L31" s="91"/>
      <c r="M31" s="92"/>
      <c r="N31" s="9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v>87500</v>
      </c>
      <c r="L32" s="91"/>
      <c r="M32" s="92"/>
      <c r="N32" s="9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L33" s="91"/>
      <c r="M33" s="92"/>
      <c r="N33" s="9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31000</v>
      </c>
      <c r="G34" s="5">
        <v>30000</v>
      </c>
      <c r="H34" s="5">
        <v>29000</v>
      </c>
      <c r="I34" s="5">
        <v>29000</v>
      </c>
      <c r="J34" s="57">
        <v>30000</v>
      </c>
      <c r="K34" s="81">
        <v>29857.142857142859</v>
      </c>
      <c r="L34" s="91"/>
      <c r="M34" s="92"/>
      <c r="N34" s="9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v>2714.2857142857142</v>
      </c>
      <c r="L35" s="91"/>
      <c r="M35" s="92"/>
      <c r="N35" s="9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L36" s="91"/>
      <c r="M36" s="92"/>
      <c r="N36" s="9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v>9857.1428571428569</v>
      </c>
      <c r="L37" s="91"/>
      <c r="M37" s="92"/>
      <c r="N37" s="9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v>12600</v>
      </c>
      <c r="L38" s="91"/>
      <c r="M38" s="92"/>
      <c r="N38" s="9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L39" s="91"/>
      <c r="M39" s="92"/>
      <c r="N39" s="9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v>13000</v>
      </c>
      <c r="L40" s="91"/>
      <c r="M40" s="92"/>
      <c r="N40" s="9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v>4250</v>
      </c>
      <c r="L41" s="91"/>
      <c r="M41" s="92"/>
      <c r="N41" s="9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v>2500</v>
      </c>
      <c r="L42" s="91"/>
      <c r="M42" s="92"/>
      <c r="N42" s="9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L43" s="91"/>
      <c r="M43" s="92"/>
      <c r="N43" s="9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v>12333.333333333334</v>
      </c>
      <c r="L44" s="91"/>
      <c r="M44" s="92"/>
      <c r="N44" s="9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13500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v>12666.666666666666</v>
      </c>
      <c r="L45" s="91"/>
      <c r="M45" s="92"/>
      <c r="N45" s="9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L46" s="91"/>
      <c r="M46" s="92"/>
      <c r="N46" s="9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v>17500</v>
      </c>
      <c r="L47" s="91"/>
      <c r="M47" s="92"/>
      <c r="N47" s="9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v>2000</v>
      </c>
      <c r="L48" s="91"/>
      <c r="M48" s="92"/>
      <c r="N48" s="9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L49" s="91"/>
      <c r="M49" s="92"/>
      <c r="N49" s="9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12000</v>
      </c>
      <c r="G50" s="5">
        <v>10000</v>
      </c>
      <c r="H50" s="5">
        <v>9000</v>
      </c>
      <c r="I50" s="4">
        <v>10000</v>
      </c>
      <c r="J50" s="57">
        <v>8000</v>
      </c>
      <c r="K50" s="81">
        <v>9571.4285714285706</v>
      </c>
      <c r="L50" s="91"/>
      <c r="M50" s="92"/>
      <c r="N50" s="9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10000</v>
      </c>
      <c r="G51" s="5">
        <v>10000</v>
      </c>
      <c r="H51" s="5">
        <v>6000</v>
      </c>
      <c r="I51" s="5" t="s">
        <v>95</v>
      </c>
      <c r="J51" s="57">
        <v>6000</v>
      </c>
      <c r="K51" s="81">
        <v>8500</v>
      </c>
      <c r="L51" s="91"/>
      <c r="M51" s="92"/>
      <c r="N51" s="9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L52" s="91"/>
      <c r="M52" s="92" t="s">
        <v>97</v>
      </c>
      <c r="N52" s="9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v>4000</v>
      </c>
      <c r="L53" s="91"/>
      <c r="M53" s="92"/>
      <c r="N53" s="94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L54" s="91"/>
      <c r="M54" s="92"/>
      <c r="N54" s="9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11000</v>
      </c>
      <c r="G55" s="5">
        <v>11000</v>
      </c>
      <c r="H55" s="5">
        <v>12000</v>
      </c>
      <c r="I55" s="5">
        <v>10000</v>
      </c>
      <c r="J55" s="57">
        <v>10000</v>
      </c>
      <c r="K55" s="81">
        <v>10642.857142857143</v>
      </c>
      <c r="L55" s="91"/>
      <c r="M55" s="92"/>
      <c r="N55" s="9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L56" s="91"/>
      <c r="M56" s="92"/>
      <c r="N56" s="9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v>13666.666666666666</v>
      </c>
      <c r="L57" s="91"/>
      <c r="M57" s="92"/>
      <c r="N57" s="9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v>13000</v>
      </c>
      <c r="L58" s="91"/>
      <c r="M58" s="92"/>
      <c r="N58" s="9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25000</v>
      </c>
      <c r="G59" s="5">
        <v>22000</v>
      </c>
      <c r="H59" s="5">
        <v>22000</v>
      </c>
      <c r="I59" s="5">
        <v>25000</v>
      </c>
      <c r="J59" s="57">
        <v>22000</v>
      </c>
      <c r="K59" s="81">
        <v>23428.571428571428</v>
      </c>
      <c r="L59" s="91"/>
      <c r="M59" s="92"/>
      <c r="N59" s="9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27000</v>
      </c>
      <c r="G60" s="5">
        <v>30000</v>
      </c>
      <c r="H60" s="5">
        <v>26000</v>
      </c>
      <c r="I60" s="5">
        <v>29000</v>
      </c>
      <c r="J60" s="57">
        <v>28000</v>
      </c>
      <c r="K60" s="81">
        <v>28571.428571428572</v>
      </c>
      <c r="L60" s="91"/>
      <c r="M60" s="92"/>
      <c r="N60" s="9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L61" s="91"/>
      <c r="M61" s="92"/>
      <c r="N61" s="9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v>3200</v>
      </c>
      <c r="L62" s="91"/>
      <c r="M62" s="92"/>
      <c r="N62" s="9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L63" s="91"/>
      <c r="M63" s="92"/>
      <c r="N63" s="9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30000</v>
      </c>
      <c r="F64" s="5">
        <v>28000</v>
      </c>
      <c r="G64" s="5">
        <v>28000</v>
      </c>
      <c r="H64" s="5">
        <v>23000</v>
      </c>
      <c r="I64" s="5">
        <v>35000</v>
      </c>
      <c r="J64" s="57">
        <v>28000</v>
      </c>
      <c r="K64" s="81">
        <v>28571.428571428572</v>
      </c>
      <c r="L64" s="91"/>
      <c r="M64" s="92"/>
      <c r="N64" s="92"/>
    </row>
    <row r="65" spans="1:14" ht="15.75" x14ac:dyDescent="0.25">
      <c r="A65" s="116"/>
      <c r="B65" s="54" t="s">
        <v>57</v>
      </c>
      <c r="C65" s="10" t="s">
        <v>4</v>
      </c>
      <c r="D65" s="5">
        <v>38000</v>
      </c>
      <c r="E65" s="5">
        <v>25000</v>
      </c>
      <c r="F65" s="5">
        <v>25000</v>
      </c>
      <c r="G65" s="5">
        <v>28000</v>
      </c>
      <c r="H65" s="68" t="s">
        <v>95</v>
      </c>
      <c r="I65" s="4">
        <v>30000</v>
      </c>
      <c r="J65" s="57" t="s">
        <v>95</v>
      </c>
      <c r="K65" s="81">
        <v>29200</v>
      </c>
      <c r="L65" s="91"/>
      <c r="M65" s="92"/>
      <c r="N65" s="9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38000</v>
      </c>
      <c r="G66" s="5">
        <v>38000</v>
      </c>
      <c r="H66" s="5">
        <v>35000</v>
      </c>
      <c r="I66" s="5">
        <v>35000</v>
      </c>
      <c r="J66" s="57">
        <v>35000</v>
      </c>
      <c r="K66" s="81">
        <v>36571.428571428572</v>
      </c>
      <c r="L66" s="91"/>
      <c r="M66" s="92"/>
      <c r="N66" s="9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L67" s="91"/>
      <c r="M67" s="92"/>
      <c r="N67" s="9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v>18333.333333333332</v>
      </c>
      <c r="L68" s="91"/>
      <c r="M68" s="92"/>
      <c r="N68" s="9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L69" s="91"/>
      <c r="M69" s="92"/>
      <c r="N69" s="9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36000</v>
      </c>
      <c r="G70" s="5">
        <v>36000</v>
      </c>
      <c r="H70" s="5">
        <v>34000</v>
      </c>
      <c r="I70" s="5">
        <v>39000</v>
      </c>
      <c r="J70" s="57">
        <v>35000</v>
      </c>
      <c r="K70" s="81">
        <v>35857.142857142855</v>
      </c>
      <c r="L70" s="91"/>
      <c r="M70" s="92"/>
      <c r="N70" s="9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35000</v>
      </c>
      <c r="F71" s="5">
        <v>35000</v>
      </c>
      <c r="G71" s="5">
        <v>35000</v>
      </c>
      <c r="H71" s="5">
        <v>34000</v>
      </c>
      <c r="I71" s="5">
        <v>33000</v>
      </c>
      <c r="J71" s="57">
        <v>30000</v>
      </c>
      <c r="K71" s="81">
        <v>33714.285714285717</v>
      </c>
      <c r="L71" s="91"/>
      <c r="M71" s="92"/>
      <c r="N71" s="9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25000</v>
      </c>
      <c r="F72" s="5">
        <v>25000</v>
      </c>
      <c r="G72" s="5">
        <v>26000</v>
      </c>
      <c r="H72" s="5">
        <v>16000</v>
      </c>
      <c r="I72" s="5">
        <v>30000</v>
      </c>
      <c r="J72" s="57">
        <v>25000</v>
      </c>
      <c r="K72" s="81">
        <v>24428.571428571428</v>
      </c>
      <c r="L72" s="91"/>
      <c r="M72" s="92"/>
      <c r="N72" s="9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27000</v>
      </c>
      <c r="F73" s="9">
        <v>26000</v>
      </c>
      <c r="G73" s="4">
        <v>30000</v>
      </c>
      <c r="H73" s="5">
        <v>25000</v>
      </c>
      <c r="I73" s="5">
        <v>35000</v>
      </c>
      <c r="J73" s="57">
        <v>30000</v>
      </c>
      <c r="K73" s="81">
        <v>28428.571428571428</v>
      </c>
      <c r="L73" s="91"/>
      <c r="M73" s="92"/>
      <c r="N73" s="9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L74" s="91"/>
      <c r="M74" s="92"/>
      <c r="N74" s="9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v>5428.5714285714284</v>
      </c>
      <c r="L75" s="91"/>
      <c r="M75" s="92"/>
      <c r="N75" s="9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v>5714.2857142857147</v>
      </c>
      <c r="L76" s="91"/>
      <c r="M76" s="92"/>
      <c r="N76" s="9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L77" s="91"/>
      <c r="M77" s="92"/>
      <c r="N77" s="9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v>7428.5714285714284</v>
      </c>
      <c r="L78" s="91"/>
      <c r="M78" s="92"/>
      <c r="N78" s="9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12000</v>
      </c>
      <c r="G79" s="5">
        <v>12000</v>
      </c>
      <c r="H79" s="5">
        <v>10000</v>
      </c>
      <c r="I79" s="9">
        <v>10000</v>
      </c>
      <c r="J79" s="57">
        <v>10000</v>
      </c>
      <c r="K79" s="81">
        <v>9857.1428571428569</v>
      </c>
      <c r="L79" s="91"/>
      <c r="M79" s="92"/>
      <c r="N79" s="9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18000</v>
      </c>
      <c r="G80" s="5">
        <v>18000</v>
      </c>
      <c r="H80" s="5">
        <v>15000</v>
      </c>
      <c r="I80" s="5">
        <v>17000</v>
      </c>
      <c r="J80" s="57">
        <v>15000</v>
      </c>
      <c r="K80" s="81">
        <v>16571.428571428572</v>
      </c>
      <c r="L80" s="91"/>
      <c r="M80" s="92"/>
      <c r="N80" s="9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10000</v>
      </c>
      <c r="G81" s="5">
        <v>10000</v>
      </c>
      <c r="H81" s="5">
        <v>7000</v>
      </c>
      <c r="I81" s="4">
        <v>12000</v>
      </c>
      <c r="J81" s="57">
        <v>8000</v>
      </c>
      <c r="K81" s="81">
        <v>9285.7142857142862</v>
      </c>
      <c r="L81" s="91"/>
      <c r="M81" s="92"/>
      <c r="N81" s="9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14000</v>
      </c>
      <c r="G82" s="5">
        <v>12000</v>
      </c>
      <c r="H82" s="5">
        <v>10000</v>
      </c>
      <c r="I82" s="5">
        <v>15000</v>
      </c>
      <c r="J82" s="57">
        <v>7000</v>
      </c>
      <c r="K82" s="81">
        <v>11857.142857142857</v>
      </c>
      <c r="L82" s="91"/>
      <c r="M82" s="92"/>
      <c r="N82" s="9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10000</v>
      </c>
      <c r="G83" s="4">
        <v>8000</v>
      </c>
      <c r="H83" s="5">
        <v>9000</v>
      </c>
      <c r="I83" s="9">
        <v>10000</v>
      </c>
      <c r="J83" s="57">
        <v>8000</v>
      </c>
      <c r="K83" s="81">
        <v>9428.5714285714294</v>
      </c>
      <c r="L83" s="91"/>
      <c r="M83" s="91"/>
      <c r="N83" s="91"/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1500</v>
      </c>
      <c r="G84" s="4">
        <v>2000</v>
      </c>
      <c r="H84" s="5">
        <v>1500</v>
      </c>
      <c r="I84" s="5">
        <v>1500</v>
      </c>
      <c r="J84" s="60">
        <v>1500</v>
      </c>
      <c r="K84" s="81">
        <v>1571.4285714285713</v>
      </c>
      <c r="L84" s="91"/>
      <c r="M84" s="91"/>
      <c r="N84" s="91"/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v>1500</v>
      </c>
      <c r="L85" s="91"/>
      <c r="M85" s="91"/>
      <c r="N85" s="91"/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v>2000</v>
      </c>
      <c r="L86" s="91"/>
      <c r="M86" s="91"/>
      <c r="N86" s="91"/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  <c r="L87" s="91"/>
      <c r="M87" s="91"/>
      <c r="N87" s="91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v>18000</v>
      </c>
      <c r="L88" s="91"/>
      <c r="M88" s="91"/>
      <c r="N88" s="91"/>
    </row>
    <row r="89" spans="1:14" ht="15.75" x14ac:dyDescent="0.25">
      <c r="A89" s="91"/>
      <c r="B89" s="91"/>
      <c r="C89" s="91"/>
      <c r="D89" s="92"/>
      <c r="E89" s="92"/>
      <c r="F89" s="91"/>
      <c r="G89" s="91"/>
      <c r="H89" s="91"/>
      <c r="I89" s="91"/>
      <c r="J89" s="91"/>
      <c r="K89" s="91"/>
      <c r="L89" s="91"/>
      <c r="M89" s="91"/>
      <c r="N89" s="91"/>
    </row>
    <row r="90" spans="1:14" ht="15.75" x14ac:dyDescent="0.25">
      <c r="A90" s="91"/>
      <c r="B90" s="14"/>
      <c r="C90" s="91"/>
      <c r="D90" s="92"/>
      <c r="E90" s="92"/>
      <c r="F90" s="91"/>
      <c r="G90" s="91"/>
      <c r="H90" s="91"/>
      <c r="I90" s="91"/>
      <c r="J90" s="91"/>
      <c r="K90" s="91"/>
      <c r="L90" s="91"/>
      <c r="M90" s="91"/>
      <c r="N90" s="91"/>
    </row>
    <row r="91" spans="1:14" ht="15.75" x14ac:dyDescent="0.25">
      <c r="A91" s="91"/>
      <c r="B91" s="91"/>
      <c r="C91" s="91"/>
      <c r="D91" s="92"/>
      <c r="E91" s="92"/>
      <c r="F91" s="91"/>
      <c r="G91" s="91"/>
      <c r="H91" s="91"/>
      <c r="I91" s="91"/>
      <c r="J91" s="91"/>
      <c r="K91" s="91"/>
      <c r="L91" s="91"/>
      <c r="M91" s="91"/>
      <c r="N91" s="91"/>
    </row>
    <row r="92" spans="1:14" ht="15.75" x14ac:dyDescent="0.25">
      <c r="A92" s="92"/>
      <c r="B92" s="92"/>
      <c r="C92" s="92"/>
      <c r="D92" s="92"/>
      <c r="E92" s="92"/>
      <c r="F92" s="91"/>
      <c r="G92" s="91"/>
      <c r="H92" s="91"/>
      <c r="I92" s="91"/>
      <c r="J92" s="91"/>
      <c r="K92" s="91"/>
      <c r="L92" s="91"/>
      <c r="M92" s="91"/>
      <c r="N92" s="91"/>
    </row>
    <row r="93" spans="1:14" x14ac:dyDescent="0.2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</row>
    <row r="94" spans="1:14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</row>
  </sheetData>
  <mergeCells count="28">
    <mergeCell ref="A16:A17"/>
    <mergeCell ref="A19:A20"/>
    <mergeCell ref="A21:A25"/>
    <mergeCell ref="A56:A60"/>
    <mergeCell ref="A7:A12"/>
    <mergeCell ref="A13:A15"/>
    <mergeCell ref="D4:D6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63:A66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4667-8614-410A-A44F-1877B603EB15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140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13357.142857142857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35000</v>
      </c>
      <c r="G25" s="5">
        <v>35000</v>
      </c>
      <c r="H25" s="57">
        <v>36000</v>
      </c>
      <c r="I25" s="5">
        <v>35000</v>
      </c>
      <c r="J25" s="57">
        <v>38000</v>
      </c>
      <c r="K25" s="81">
        <f t="shared" si="0"/>
        <v>35714.285714285717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40000</v>
      </c>
      <c r="K27" s="81">
        <f t="shared" si="0"/>
        <v>36500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35285.714285714283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30000</v>
      </c>
      <c r="H34" s="5">
        <v>29000</v>
      </c>
      <c r="I34" s="5">
        <v>29000</v>
      </c>
      <c r="J34" s="57">
        <v>29000</v>
      </c>
      <c r="K34" s="81">
        <f t="shared" si="0"/>
        <v>29571.428571428572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28000</v>
      </c>
      <c r="G64" s="5">
        <v>28000</v>
      </c>
      <c r="H64" s="5">
        <v>25000</v>
      </c>
      <c r="I64" s="5">
        <v>35000</v>
      </c>
      <c r="J64" s="57">
        <v>24000</v>
      </c>
      <c r="K64" s="81">
        <f t="shared" si="0"/>
        <v>27571.428571428572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38000</v>
      </c>
      <c r="E65" s="5">
        <v>25000</v>
      </c>
      <c r="F65" s="5">
        <v>30000</v>
      </c>
      <c r="G65" s="5">
        <v>28000</v>
      </c>
      <c r="H65" s="68" t="s">
        <v>95</v>
      </c>
      <c r="I65" s="4">
        <v>35000</v>
      </c>
      <c r="J65" s="57" t="s">
        <v>95</v>
      </c>
      <c r="K65" s="81">
        <f t="shared" si="0"/>
        <v>31200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40000</v>
      </c>
      <c r="G66" s="5">
        <v>37000</v>
      </c>
      <c r="H66" s="5">
        <v>35000</v>
      </c>
      <c r="I66" s="5">
        <v>40000</v>
      </c>
      <c r="J66" s="57">
        <v>40000</v>
      </c>
      <c r="K66" s="81">
        <f t="shared" si="0"/>
        <v>38142.857142857145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36000</v>
      </c>
      <c r="F70" s="5">
        <v>37000</v>
      </c>
      <c r="G70" s="5">
        <v>36000</v>
      </c>
      <c r="H70" s="5">
        <v>34000</v>
      </c>
      <c r="I70" s="5">
        <v>40000</v>
      </c>
      <c r="J70" s="57">
        <v>35000</v>
      </c>
      <c r="K70" s="81">
        <f t="shared" si="0"/>
        <v>36142.857142857145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35000</v>
      </c>
      <c r="G71" s="5">
        <v>35000</v>
      </c>
      <c r="H71" s="5">
        <v>34000</v>
      </c>
      <c r="I71" s="5">
        <v>30000</v>
      </c>
      <c r="J71" s="57">
        <v>35000</v>
      </c>
      <c r="K71" s="81">
        <f t="shared" si="0"/>
        <v>33857.142857142855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25000</v>
      </c>
      <c r="E72" s="5">
        <v>25000</v>
      </c>
      <c r="F72" s="5">
        <v>24000</v>
      </c>
      <c r="G72" s="5">
        <v>26000</v>
      </c>
      <c r="H72" s="5">
        <v>14000</v>
      </c>
      <c r="I72" s="5">
        <v>30000</v>
      </c>
      <c r="J72" s="57">
        <v>20000</v>
      </c>
      <c r="K72" s="81">
        <f t="shared" si="0"/>
        <v>23428.571428571428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7285.7142857142853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10000</v>
      </c>
      <c r="G79" s="5">
        <v>12000</v>
      </c>
      <c r="H79" s="5">
        <v>10000</v>
      </c>
      <c r="I79" s="9">
        <v>12000</v>
      </c>
      <c r="J79" s="57">
        <v>10000</v>
      </c>
      <c r="K79" s="81">
        <f t="shared" si="0"/>
        <v>9857.1428571428569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18000</v>
      </c>
      <c r="H80" s="5">
        <v>15000</v>
      </c>
      <c r="I80" s="5">
        <v>16000</v>
      </c>
      <c r="J80" s="57">
        <v>15000</v>
      </c>
      <c r="K80" s="81">
        <f t="shared" si="0"/>
        <v>16142.857142857143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8000</v>
      </c>
      <c r="G81" s="5">
        <v>10000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8285.7142857142862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12000</v>
      </c>
      <c r="H82" s="5">
        <v>10000</v>
      </c>
      <c r="I82" s="5">
        <v>12000</v>
      </c>
      <c r="J82" s="57">
        <v>7000</v>
      </c>
      <c r="K82" s="81">
        <f t="shared" si="1"/>
        <v>11142.857142857143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 t="s">
        <v>141</v>
      </c>
      <c r="D90" s="2"/>
      <c r="E90" s="2"/>
      <c r="F90"/>
      <c r="G90"/>
      <c r="H90"/>
      <c r="I90"/>
      <c r="J90"/>
      <c r="K90"/>
    </row>
    <row r="91" spans="1:14" ht="15.75" x14ac:dyDescent="0.25">
      <c r="B91" t="s">
        <v>142</v>
      </c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 t="s">
        <v>143</v>
      </c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C763-F367-4A77-8AF3-AC22967964D7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144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13357.142857142857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/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35000</v>
      </c>
      <c r="G25" s="5">
        <v>34000</v>
      </c>
      <c r="H25" s="57">
        <v>36000</v>
      </c>
      <c r="I25" s="5">
        <v>35000</v>
      </c>
      <c r="J25" s="57">
        <v>38000</v>
      </c>
      <c r="K25" s="81">
        <f t="shared" si="0"/>
        <v>35571.428571428572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40000</v>
      </c>
      <c r="K27" s="81">
        <f t="shared" si="0"/>
        <v>36500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35285.714285714283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30000</v>
      </c>
      <c r="F34" s="5">
        <v>30000</v>
      </c>
      <c r="G34" s="5">
        <v>29000</v>
      </c>
      <c r="H34" s="5">
        <v>29000</v>
      </c>
      <c r="I34" s="5">
        <v>29000</v>
      </c>
      <c r="J34" s="57">
        <v>29000</v>
      </c>
      <c r="K34" s="81">
        <f t="shared" si="0"/>
        <v>29428.571428571428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28000</v>
      </c>
      <c r="G64" s="5">
        <v>30000</v>
      </c>
      <c r="H64" s="5">
        <v>35000</v>
      </c>
      <c r="I64" s="5">
        <v>35000</v>
      </c>
      <c r="J64" s="57">
        <v>24000</v>
      </c>
      <c r="K64" s="81">
        <f t="shared" si="0"/>
        <v>29285.714285714286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38000</v>
      </c>
      <c r="E65" s="5">
        <v>25000</v>
      </c>
      <c r="F65" s="5">
        <v>30000</v>
      </c>
      <c r="G65" s="5">
        <v>30000</v>
      </c>
      <c r="H65" s="68" t="s">
        <v>95</v>
      </c>
      <c r="I65" s="4">
        <v>35000</v>
      </c>
      <c r="J65" s="57" t="s">
        <v>95</v>
      </c>
      <c r="K65" s="81">
        <f t="shared" si="0"/>
        <v>31600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39000</v>
      </c>
      <c r="G66" s="5">
        <v>39000</v>
      </c>
      <c r="H66" s="5">
        <v>40000</v>
      </c>
      <c r="I66" s="5">
        <v>40000</v>
      </c>
      <c r="J66" s="57">
        <v>40000</v>
      </c>
      <c r="K66" s="81">
        <f t="shared" si="0"/>
        <v>39000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35000</v>
      </c>
      <c r="F70" s="5">
        <v>37000</v>
      </c>
      <c r="G70" s="5">
        <v>36000</v>
      </c>
      <c r="H70" s="5">
        <v>34000</v>
      </c>
      <c r="I70" s="5">
        <v>40000</v>
      </c>
      <c r="J70" s="57">
        <v>35000</v>
      </c>
      <c r="K70" s="81">
        <f t="shared" si="0"/>
        <v>36000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35000</v>
      </c>
      <c r="G71" s="5">
        <v>35000</v>
      </c>
      <c r="H71" s="5">
        <v>34000</v>
      </c>
      <c r="I71" s="5">
        <v>30000</v>
      </c>
      <c r="J71" s="57">
        <v>35000</v>
      </c>
      <c r="K71" s="81">
        <f t="shared" si="0"/>
        <v>33857.142857142855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25000</v>
      </c>
      <c r="E72" s="5">
        <v>25000</v>
      </c>
      <c r="F72" s="5">
        <v>24000</v>
      </c>
      <c r="G72" s="5">
        <v>26000</v>
      </c>
      <c r="H72" s="5">
        <v>18000</v>
      </c>
      <c r="I72" s="5">
        <v>30000</v>
      </c>
      <c r="J72" s="57">
        <v>20000</v>
      </c>
      <c r="K72" s="81">
        <f t="shared" si="0"/>
        <v>24000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7285.7142857142853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10000</v>
      </c>
      <c r="G79" s="5">
        <v>12000</v>
      </c>
      <c r="H79" s="5">
        <v>10000</v>
      </c>
      <c r="I79" s="9">
        <v>12000</v>
      </c>
      <c r="J79" s="57">
        <v>10000</v>
      </c>
      <c r="K79" s="81">
        <f t="shared" si="0"/>
        <v>9857.1428571428569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18000</v>
      </c>
      <c r="H80" s="5">
        <v>15000</v>
      </c>
      <c r="I80" s="5">
        <v>16000</v>
      </c>
      <c r="J80" s="57">
        <v>15000</v>
      </c>
      <c r="K80" s="81">
        <f t="shared" si="0"/>
        <v>16142.857142857143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8000</v>
      </c>
      <c r="G81" s="5">
        <v>10000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8285.7142857142862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12000</v>
      </c>
      <c r="H82" s="5">
        <v>10000</v>
      </c>
      <c r="I82" s="5">
        <v>12000</v>
      </c>
      <c r="J82" s="57">
        <v>7000</v>
      </c>
      <c r="K82" s="81">
        <f t="shared" si="1"/>
        <v>11142.857142857143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 t="s">
        <v>141</v>
      </c>
      <c r="D90" s="2"/>
      <c r="E90" s="2"/>
      <c r="F90"/>
      <c r="G90"/>
      <c r="H90"/>
      <c r="I90"/>
      <c r="J90"/>
      <c r="K90"/>
    </row>
    <row r="91" spans="1:14" ht="15.75" x14ac:dyDescent="0.25">
      <c r="B91" t="s">
        <v>142</v>
      </c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 t="s">
        <v>143</v>
      </c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3551-CCD0-46DB-AE2C-BD04CE16ED26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145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13357.142857142857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35000</v>
      </c>
      <c r="G25" s="5">
        <v>34000</v>
      </c>
      <c r="H25" s="57">
        <v>36000</v>
      </c>
      <c r="I25" s="5">
        <v>35000</v>
      </c>
      <c r="J25" s="57">
        <v>38000</v>
      </c>
      <c r="K25" s="81">
        <f t="shared" si="0"/>
        <v>35571.428571428572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40000</v>
      </c>
      <c r="K27" s="81">
        <f t="shared" si="0"/>
        <v>36500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35285.714285714283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29000</v>
      </c>
      <c r="F34" s="5">
        <v>29000</v>
      </c>
      <c r="G34" s="5">
        <v>29000</v>
      </c>
      <c r="H34" s="5">
        <v>29000</v>
      </c>
      <c r="I34" s="5">
        <v>29000</v>
      </c>
      <c r="J34" s="57">
        <v>29000</v>
      </c>
      <c r="K34" s="81">
        <f t="shared" si="0"/>
        <v>29142.857142857141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22000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23000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28000</v>
      </c>
      <c r="G64" s="5">
        <v>30000</v>
      </c>
      <c r="H64" s="5">
        <v>30000</v>
      </c>
      <c r="I64" s="5">
        <v>35000</v>
      </c>
      <c r="J64" s="57">
        <v>24000</v>
      </c>
      <c r="K64" s="81">
        <f t="shared" si="0"/>
        <v>28571.428571428572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38000</v>
      </c>
      <c r="E65" s="5">
        <v>25000</v>
      </c>
      <c r="F65" s="5">
        <v>30000</v>
      </c>
      <c r="G65" s="5">
        <v>30000</v>
      </c>
      <c r="H65" s="68" t="s">
        <v>95</v>
      </c>
      <c r="I65" s="4">
        <v>35000</v>
      </c>
      <c r="J65" s="57" t="s">
        <v>95</v>
      </c>
      <c r="K65" s="81">
        <f t="shared" si="0"/>
        <v>31600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40000</v>
      </c>
      <c r="G66" s="5">
        <v>39000</v>
      </c>
      <c r="H66" s="5">
        <v>40000</v>
      </c>
      <c r="I66" s="5">
        <v>40000</v>
      </c>
      <c r="J66" s="57">
        <v>40000</v>
      </c>
      <c r="K66" s="81">
        <f t="shared" si="0"/>
        <v>39142.857142857145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35000</v>
      </c>
      <c r="F70" s="5">
        <v>35000</v>
      </c>
      <c r="G70" s="5">
        <v>36000</v>
      </c>
      <c r="H70" s="5">
        <v>34000</v>
      </c>
      <c r="I70" s="5">
        <v>40000</v>
      </c>
      <c r="J70" s="57">
        <v>35000</v>
      </c>
      <c r="K70" s="81">
        <f t="shared" si="0"/>
        <v>35714.285714285717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32000</v>
      </c>
      <c r="G71" s="5">
        <v>35000</v>
      </c>
      <c r="H71" s="5">
        <v>34000</v>
      </c>
      <c r="I71" s="5">
        <v>30000</v>
      </c>
      <c r="J71" s="57">
        <v>35000</v>
      </c>
      <c r="K71" s="81">
        <f t="shared" si="0"/>
        <v>33428.571428571428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25000</v>
      </c>
      <c r="E72" s="5">
        <v>25000</v>
      </c>
      <c r="F72" s="5">
        <v>22000</v>
      </c>
      <c r="G72" s="5">
        <v>26000</v>
      </c>
      <c r="H72" s="5">
        <v>18000</v>
      </c>
      <c r="I72" s="5">
        <v>30000</v>
      </c>
      <c r="J72" s="57">
        <v>20000</v>
      </c>
      <c r="K72" s="81">
        <f t="shared" si="0"/>
        <v>23714.285714285714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7285.7142857142853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10000</v>
      </c>
      <c r="G79" s="5">
        <v>12000</v>
      </c>
      <c r="H79" s="5">
        <v>10000</v>
      </c>
      <c r="I79" s="9">
        <v>12000</v>
      </c>
      <c r="J79" s="57">
        <v>10000</v>
      </c>
      <c r="K79" s="81">
        <f t="shared" si="0"/>
        <v>9857.1428571428569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18000</v>
      </c>
      <c r="H80" s="5">
        <v>15000</v>
      </c>
      <c r="I80" s="5">
        <v>16000</v>
      </c>
      <c r="J80" s="57">
        <v>15000</v>
      </c>
      <c r="K80" s="81">
        <f t="shared" si="0"/>
        <v>16142.857142857143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8000</v>
      </c>
      <c r="G81" s="5">
        <v>10000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8285.7142857142862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12000</v>
      </c>
      <c r="H82" s="5">
        <v>10000</v>
      </c>
      <c r="I82" s="5">
        <v>12000</v>
      </c>
      <c r="J82" s="57">
        <v>7000</v>
      </c>
      <c r="K82" s="81">
        <f t="shared" si="1"/>
        <v>11142.857142857143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  <mergeCell ref="A19:A20"/>
    <mergeCell ref="E4:E6"/>
    <mergeCell ref="F4:F6"/>
    <mergeCell ref="A69:A73"/>
    <mergeCell ref="A56:A60"/>
    <mergeCell ref="A63:A66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7ED0-2B2B-4FD0-94FA-90EAA1F5CAD0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146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13000</v>
      </c>
      <c r="J8" s="9">
        <v>13000</v>
      </c>
      <c r="K8" s="81">
        <f>AVERAGE(D8:J8)</f>
        <v>13000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10000</v>
      </c>
      <c r="J10" s="9" t="s">
        <v>95</v>
      </c>
      <c r="K10" s="81">
        <f t="shared" si="0"/>
        <v>11160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11000</v>
      </c>
      <c r="J11" s="9">
        <v>8000</v>
      </c>
      <c r="K11" s="81">
        <f>AVERAGE(D11:J11)</f>
        <v>10200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13357.142857142857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16000</v>
      </c>
      <c r="J15" s="57">
        <v>16000</v>
      </c>
      <c r="K15" s="81">
        <f t="shared" si="0"/>
        <v>15285.714285714286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24000</v>
      </c>
      <c r="J20" s="58" t="s">
        <v>95</v>
      </c>
      <c r="K20" s="81">
        <f t="shared" si="0"/>
        <v>21500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35000</v>
      </c>
      <c r="G25" s="5">
        <v>35000</v>
      </c>
      <c r="H25" s="57">
        <v>36000</v>
      </c>
      <c r="I25" s="5">
        <v>35000</v>
      </c>
      <c r="J25" s="57">
        <v>38000</v>
      </c>
      <c r="K25" s="81">
        <f t="shared" si="0"/>
        <v>35714.285714285717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35000</v>
      </c>
      <c r="J27" s="57">
        <v>40000</v>
      </c>
      <c r="K27" s="81">
        <f t="shared" si="0"/>
        <v>36000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25000</v>
      </c>
      <c r="J28" s="59">
        <v>25000</v>
      </c>
      <c r="K28" s="81">
        <f t="shared" si="0"/>
        <v>26714.285714285714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35000</v>
      </c>
      <c r="J31" s="57">
        <v>35000</v>
      </c>
      <c r="K31" s="81">
        <f t="shared" si="0"/>
        <v>35142.857142857145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30000</v>
      </c>
      <c r="E34" s="5">
        <v>29000</v>
      </c>
      <c r="F34" s="5">
        <v>29000</v>
      </c>
      <c r="G34" s="5">
        <v>29000</v>
      </c>
      <c r="H34" s="5">
        <v>29000</v>
      </c>
      <c r="I34" s="5">
        <v>29000</v>
      </c>
      <c r="J34" s="57">
        <v>29000</v>
      </c>
      <c r="K34" s="81">
        <f t="shared" si="0"/>
        <v>29142.857142857141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12500</v>
      </c>
      <c r="J44" s="57">
        <v>12500</v>
      </c>
      <c r="K44" s="81">
        <f t="shared" si="0"/>
        <v>12416.666666666666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12500</v>
      </c>
      <c r="J45" s="60">
        <v>12500</v>
      </c>
      <c r="K45" s="81">
        <f>AVERAGE(D45:J45)</f>
        <v>12583.333333333334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22000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23000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30000</v>
      </c>
      <c r="G64" s="5">
        <v>30000</v>
      </c>
      <c r="H64" s="5">
        <v>35000</v>
      </c>
      <c r="I64" s="5">
        <v>30000</v>
      </c>
      <c r="J64" s="57">
        <v>24000</v>
      </c>
      <c r="K64" s="81">
        <f t="shared" si="0"/>
        <v>28857.142857142859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38000</v>
      </c>
      <c r="E65" s="5">
        <v>25000</v>
      </c>
      <c r="F65" s="5">
        <v>28000</v>
      </c>
      <c r="G65" s="5">
        <v>30000</v>
      </c>
      <c r="H65" s="68" t="s">
        <v>95</v>
      </c>
      <c r="I65" s="4">
        <v>25000</v>
      </c>
      <c r="J65" s="57" t="s">
        <v>95</v>
      </c>
      <c r="K65" s="81">
        <f t="shared" si="0"/>
        <v>29200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40000</v>
      </c>
      <c r="E66" s="5">
        <v>35000</v>
      </c>
      <c r="F66" s="5">
        <v>40000</v>
      </c>
      <c r="G66" s="5">
        <v>39000</v>
      </c>
      <c r="H66" s="5">
        <v>38000</v>
      </c>
      <c r="I66" s="5">
        <v>35000</v>
      </c>
      <c r="J66" s="57">
        <v>40000</v>
      </c>
      <c r="K66" s="81">
        <f t="shared" si="0"/>
        <v>38142.857142857145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35000</v>
      </c>
      <c r="F70" s="5">
        <v>35000</v>
      </c>
      <c r="G70" s="5">
        <v>36000</v>
      </c>
      <c r="H70" s="5">
        <v>34000</v>
      </c>
      <c r="I70" s="5">
        <v>39000</v>
      </c>
      <c r="J70" s="57">
        <v>35000</v>
      </c>
      <c r="K70" s="81">
        <f t="shared" si="0"/>
        <v>35571.428571428572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34000</v>
      </c>
      <c r="F71" s="5">
        <v>32000</v>
      </c>
      <c r="G71" s="5">
        <v>35000</v>
      </c>
      <c r="H71" s="5">
        <v>34000</v>
      </c>
      <c r="I71" s="5">
        <v>33000</v>
      </c>
      <c r="J71" s="57">
        <v>35000</v>
      </c>
      <c r="K71" s="81">
        <f t="shared" si="0"/>
        <v>33857.142857142855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25000</v>
      </c>
      <c r="E72" s="5">
        <v>25000</v>
      </c>
      <c r="F72" s="5">
        <v>22000</v>
      </c>
      <c r="G72" s="5">
        <v>25000</v>
      </c>
      <c r="H72" s="5">
        <v>18000</v>
      </c>
      <c r="I72" s="5">
        <v>30000</v>
      </c>
      <c r="J72" s="57">
        <v>20000</v>
      </c>
      <c r="K72" s="81">
        <f t="shared" si="0"/>
        <v>23571.428571428572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30000</v>
      </c>
      <c r="J73" s="57">
        <v>30000</v>
      </c>
      <c r="K73" s="81">
        <f t="shared" si="0"/>
        <v>28000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6000</v>
      </c>
      <c r="G78" s="5">
        <v>8000</v>
      </c>
      <c r="H78" s="5">
        <v>10000</v>
      </c>
      <c r="I78" s="9">
        <v>8000</v>
      </c>
      <c r="J78" s="57">
        <v>7000</v>
      </c>
      <c r="K78" s="81">
        <f t="shared" si="0"/>
        <v>7428.5714285714284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10000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10142.857142857143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18000</v>
      </c>
      <c r="H80" s="5">
        <v>15000</v>
      </c>
      <c r="I80" s="5">
        <v>15000</v>
      </c>
      <c r="J80" s="57">
        <v>15000</v>
      </c>
      <c r="K80" s="81">
        <f t="shared" si="0"/>
        <v>16000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8000</v>
      </c>
      <c r="G81" s="5">
        <v>10000</v>
      </c>
      <c r="H81" s="5">
        <v>5000</v>
      </c>
      <c r="I81" s="4">
        <v>8000</v>
      </c>
      <c r="J81" s="57">
        <v>8000</v>
      </c>
      <c r="K81" s="81">
        <f t="shared" ref="K81:K88" si="1">AVERAGE(D81:J81)</f>
        <v>8142.8571428571431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12000</v>
      </c>
      <c r="H82" s="5">
        <v>10000</v>
      </c>
      <c r="I82" s="5">
        <v>15000</v>
      </c>
      <c r="J82" s="57">
        <v>7000</v>
      </c>
      <c r="K82" s="81">
        <f t="shared" si="1"/>
        <v>11571.428571428571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1000</v>
      </c>
      <c r="J84" s="60">
        <v>1500</v>
      </c>
      <c r="K84" s="81">
        <f t="shared" si="1"/>
        <v>1571.4285714285713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1FDF-D60A-41E5-AC8B-9379B329B099}">
  <dimension ref="A1:N94"/>
  <sheetViews>
    <sheetView topLeftCell="A16" workbookViewId="0">
      <selection activeCell="A26"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147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13357.142857142857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105000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99285.71428571429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36000</v>
      </c>
      <c r="F25" s="5">
        <v>35000</v>
      </c>
      <c r="G25" s="5">
        <v>35000</v>
      </c>
      <c r="H25" s="57">
        <v>36000</v>
      </c>
      <c r="I25" s="5">
        <v>35000</v>
      </c>
      <c r="J25" s="57">
        <v>38000</v>
      </c>
      <c r="K25" s="81">
        <f t="shared" si="0"/>
        <v>35857.142857142855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40000</v>
      </c>
      <c r="K27" s="81">
        <f t="shared" si="0"/>
        <v>36500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29000</v>
      </c>
      <c r="E34" s="5">
        <v>29000</v>
      </c>
      <c r="F34" s="5">
        <v>29000</v>
      </c>
      <c r="G34" s="5">
        <v>29000</v>
      </c>
      <c r="H34" s="5">
        <v>29000</v>
      </c>
      <c r="I34" s="5">
        <v>29000</v>
      </c>
      <c r="J34" s="57">
        <v>27500</v>
      </c>
      <c r="K34" s="81">
        <f t="shared" si="0"/>
        <v>28785.714285714286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28000</v>
      </c>
      <c r="G64" s="5">
        <v>30000</v>
      </c>
      <c r="H64" s="5">
        <v>30000</v>
      </c>
      <c r="I64" s="5">
        <v>35000</v>
      </c>
      <c r="J64" s="57">
        <v>35000</v>
      </c>
      <c r="K64" s="81">
        <f t="shared" si="0"/>
        <v>30142.857142857141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30000</v>
      </c>
      <c r="E65" s="5">
        <v>25000</v>
      </c>
      <c r="F65" s="5">
        <v>30000</v>
      </c>
      <c r="G65" s="5">
        <v>30000</v>
      </c>
      <c r="H65" s="68" t="s">
        <v>95</v>
      </c>
      <c r="I65" s="4">
        <v>35000</v>
      </c>
      <c r="J65" s="57" t="s">
        <v>95</v>
      </c>
      <c r="K65" s="81">
        <f t="shared" si="0"/>
        <v>30000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38000</v>
      </c>
      <c r="E66" s="5">
        <v>35000</v>
      </c>
      <c r="F66" s="5">
        <v>35000</v>
      </c>
      <c r="G66" s="5">
        <v>37000</v>
      </c>
      <c r="H66" s="5">
        <v>40000</v>
      </c>
      <c r="I66" s="5">
        <v>40000</v>
      </c>
      <c r="J66" s="57">
        <v>38000</v>
      </c>
      <c r="K66" s="81">
        <f t="shared" si="0"/>
        <v>37571.428571428572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33000</v>
      </c>
      <c r="E70" s="5">
        <v>35000</v>
      </c>
      <c r="F70" s="5">
        <v>36000</v>
      </c>
      <c r="G70" s="5">
        <v>36000</v>
      </c>
      <c r="H70" s="5">
        <v>35000</v>
      </c>
      <c r="I70" s="5">
        <v>40000</v>
      </c>
      <c r="J70" s="57">
        <v>37000</v>
      </c>
      <c r="K70" s="81">
        <f t="shared" si="0"/>
        <v>36000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32000</v>
      </c>
      <c r="E71" s="5">
        <v>34000</v>
      </c>
      <c r="F71" s="5">
        <v>34000</v>
      </c>
      <c r="G71" s="5">
        <v>35000</v>
      </c>
      <c r="H71" s="5">
        <v>34000</v>
      </c>
      <c r="I71" s="5">
        <v>30000</v>
      </c>
      <c r="J71" s="57">
        <v>35000</v>
      </c>
      <c r="K71" s="81">
        <f t="shared" si="0"/>
        <v>33428.571428571428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23000</v>
      </c>
      <c r="E72" s="5">
        <v>20000</v>
      </c>
      <c r="F72" s="5">
        <v>22000</v>
      </c>
      <c r="G72" s="5">
        <v>25000</v>
      </c>
      <c r="H72" s="5">
        <v>18000</v>
      </c>
      <c r="I72" s="5">
        <v>28000</v>
      </c>
      <c r="J72" s="57">
        <v>25000</v>
      </c>
      <c r="K72" s="81">
        <f t="shared" si="0"/>
        <v>23000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7285.7142857142853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7000</v>
      </c>
      <c r="F79" s="5">
        <v>10000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10142.857142857143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18000</v>
      </c>
      <c r="H80" s="5">
        <v>15000</v>
      </c>
      <c r="I80" s="5">
        <v>16000</v>
      </c>
      <c r="J80" s="57">
        <v>15000</v>
      </c>
      <c r="K80" s="81">
        <f t="shared" si="0"/>
        <v>16142.857142857143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10000</v>
      </c>
      <c r="F81" s="5">
        <v>8000</v>
      </c>
      <c r="G81" s="5">
        <v>10000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8285.7142857142862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13000</v>
      </c>
      <c r="G82" s="5">
        <v>12000</v>
      </c>
      <c r="H82" s="5">
        <v>10000</v>
      </c>
      <c r="I82" s="5">
        <v>14000</v>
      </c>
      <c r="J82" s="57">
        <v>7000</v>
      </c>
      <c r="K82" s="81">
        <f t="shared" si="1"/>
        <v>11571.428571428571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  <mergeCell ref="A19:A20"/>
    <mergeCell ref="E4:E6"/>
    <mergeCell ref="F4:F6"/>
    <mergeCell ref="A69:A73"/>
    <mergeCell ref="A56:A60"/>
    <mergeCell ref="A63:A66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B7BF-7634-4847-A596-77BF80A21EEC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148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13500</v>
      </c>
      <c r="E14" s="5">
        <v>13000</v>
      </c>
      <c r="F14" s="5">
        <v>13000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35000</v>
      </c>
      <c r="G25" s="5">
        <v>35000</v>
      </c>
      <c r="H25" s="57">
        <v>36000</v>
      </c>
      <c r="I25" s="5">
        <v>35000</v>
      </c>
      <c r="J25" s="57">
        <v>38000</v>
      </c>
      <c r="K25" s="81">
        <f t="shared" si="0"/>
        <v>35714.285714285717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40000</v>
      </c>
      <c r="K27" s="81">
        <f t="shared" si="0"/>
        <v>36500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35285.714285714283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29000</v>
      </c>
      <c r="E34" s="5">
        <v>28000</v>
      </c>
      <c r="F34" s="5">
        <v>28000</v>
      </c>
      <c r="G34" s="5">
        <v>28000</v>
      </c>
      <c r="H34" s="5">
        <v>28000</v>
      </c>
      <c r="I34" s="5">
        <v>29000</v>
      </c>
      <c r="J34" s="57">
        <v>27500</v>
      </c>
      <c r="K34" s="81">
        <f t="shared" si="0"/>
        <v>28214.285714285714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30000</v>
      </c>
      <c r="G64" s="5">
        <v>28000</v>
      </c>
      <c r="H64" s="5">
        <v>30000</v>
      </c>
      <c r="I64" s="5">
        <v>35000</v>
      </c>
      <c r="J64" s="57">
        <v>35000</v>
      </c>
      <c r="K64" s="81">
        <f t="shared" si="0"/>
        <v>30142.857142857141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30000</v>
      </c>
      <c r="E65" s="5">
        <v>25000</v>
      </c>
      <c r="F65" s="5">
        <v>25000</v>
      </c>
      <c r="G65" s="5">
        <v>28000</v>
      </c>
      <c r="H65" s="68" t="s">
        <v>95</v>
      </c>
      <c r="I65" s="4">
        <v>35000</v>
      </c>
      <c r="J65" s="57" t="s">
        <v>95</v>
      </c>
      <c r="K65" s="81">
        <f t="shared" si="0"/>
        <v>28600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38000</v>
      </c>
      <c r="E66" s="5">
        <v>35000</v>
      </c>
      <c r="F66" s="5">
        <v>35000</v>
      </c>
      <c r="G66" s="5">
        <v>36000</v>
      </c>
      <c r="H66" s="5">
        <v>40000</v>
      </c>
      <c r="I66" s="5">
        <v>40000</v>
      </c>
      <c r="J66" s="57">
        <v>38000</v>
      </c>
      <c r="K66" s="81">
        <f t="shared" si="0"/>
        <v>37428.571428571428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33000</v>
      </c>
      <c r="E70" s="5">
        <v>35000</v>
      </c>
      <c r="F70" s="5">
        <v>36000</v>
      </c>
      <c r="G70" s="5">
        <v>36000</v>
      </c>
      <c r="H70" s="5">
        <v>35000</v>
      </c>
      <c r="I70" s="5">
        <v>40000</v>
      </c>
      <c r="J70" s="57">
        <v>37000</v>
      </c>
      <c r="K70" s="81">
        <f t="shared" si="0"/>
        <v>36000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32000</v>
      </c>
      <c r="E71" s="5">
        <v>34000</v>
      </c>
      <c r="F71" s="5">
        <v>34000</v>
      </c>
      <c r="G71" s="5">
        <v>34000</v>
      </c>
      <c r="H71" s="5">
        <v>34000</v>
      </c>
      <c r="I71" s="5">
        <v>30000</v>
      </c>
      <c r="J71" s="57">
        <v>35000</v>
      </c>
      <c r="K71" s="81">
        <f t="shared" si="0"/>
        <v>33285.714285714283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23000</v>
      </c>
      <c r="E72" s="5">
        <v>20000</v>
      </c>
      <c r="F72" s="5">
        <v>22000</v>
      </c>
      <c r="G72" s="5">
        <v>23000</v>
      </c>
      <c r="H72" s="5">
        <v>18000</v>
      </c>
      <c r="I72" s="5">
        <v>28000</v>
      </c>
      <c r="J72" s="57">
        <v>25000</v>
      </c>
      <c r="K72" s="81">
        <f t="shared" si="0"/>
        <v>22714.285714285714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30000</v>
      </c>
      <c r="K73" s="81">
        <f t="shared" si="0"/>
        <v>28714.285714285714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7285.7142857142853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10000</v>
      </c>
      <c r="F79" s="5">
        <v>10000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10571.428571428571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18000</v>
      </c>
      <c r="H80" s="5">
        <v>15000</v>
      </c>
      <c r="I80" s="5">
        <v>16000</v>
      </c>
      <c r="J80" s="57">
        <v>15000</v>
      </c>
      <c r="K80" s="81">
        <f t="shared" si="0"/>
        <v>16142.857142857143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8000</v>
      </c>
      <c r="G81" s="5">
        <v>10000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8571.4285714285706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13000</v>
      </c>
      <c r="G82" s="5">
        <v>12000</v>
      </c>
      <c r="H82" s="5">
        <v>10000</v>
      </c>
      <c r="I82" s="5">
        <v>14000</v>
      </c>
      <c r="J82" s="57">
        <v>7000</v>
      </c>
      <c r="K82" s="81">
        <f t="shared" si="1"/>
        <v>11571.428571428571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1C8D-8581-42B0-BDD8-0909C0A911DD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149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24000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20000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13000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13214.285714285714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19000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21125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35000</v>
      </c>
      <c r="G25" s="5">
        <v>35000</v>
      </c>
      <c r="H25" s="57">
        <v>36000</v>
      </c>
      <c r="I25" s="5">
        <v>35000</v>
      </c>
      <c r="J25" s="57">
        <v>36000</v>
      </c>
      <c r="K25" s="81">
        <f t="shared" si="0"/>
        <v>35285.714285714283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70000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64714.285714285717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40000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35285.714285714283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28000</v>
      </c>
      <c r="E34" s="5">
        <v>28000</v>
      </c>
      <c r="F34" s="5">
        <v>29000</v>
      </c>
      <c r="G34" s="5">
        <v>28000</v>
      </c>
      <c r="H34" s="5">
        <v>27000</v>
      </c>
      <c r="I34" s="5">
        <v>29000</v>
      </c>
      <c r="J34" s="57">
        <v>26000</v>
      </c>
      <c r="K34" s="81">
        <f t="shared" si="0"/>
        <v>27857.142857142859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11000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9428.5714285714294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10000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8500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25000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23428.571428571428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40000</v>
      </c>
      <c r="G64" s="5">
        <v>28000</v>
      </c>
      <c r="H64" s="5">
        <v>35000</v>
      </c>
      <c r="I64" s="5">
        <v>35000</v>
      </c>
      <c r="J64" s="57">
        <v>35000</v>
      </c>
      <c r="K64" s="81">
        <f t="shared" si="0"/>
        <v>32285.714285714286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25000</v>
      </c>
      <c r="F65" s="5">
        <v>40000</v>
      </c>
      <c r="G65" s="5">
        <v>28000</v>
      </c>
      <c r="H65" s="68" t="s">
        <v>95</v>
      </c>
      <c r="I65" s="4">
        <v>35000</v>
      </c>
      <c r="J65" s="57" t="s">
        <v>95</v>
      </c>
      <c r="K65" s="81">
        <f t="shared" si="0"/>
        <v>31200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38000</v>
      </c>
      <c r="E66" s="5">
        <v>35000</v>
      </c>
      <c r="F66" s="5">
        <v>35000</v>
      </c>
      <c r="G66" s="5">
        <v>36000</v>
      </c>
      <c r="H66" s="5">
        <v>35000</v>
      </c>
      <c r="I66" s="5">
        <v>40000</v>
      </c>
      <c r="J66" s="57">
        <v>35000</v>
      </c>
      <c r="K66" s="81">
        <f t="shared" si="0"/>
        <v>36285.714285714283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33000</v>
      </c>
      <c r="E70" s="5">
        <v>35000</v>
      </c>
      <c r="F70" s="5">
        <v>38000</v>
      </c>
      <c r="G70" s="5">
        <v>36000</v>
      </c>
      <c r="H70" s="5">
        <v>35000</v>
      </c>
      <c r="I70" s="5">
        <v>39000</v>
      </c>
      <c r="J70" s="57">
        <v>35000</v>
      </c>
      <c r="K70" s="81">
        <f t="shared" si="0"/>
        <v>35857.142857142855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32000</v>
      </c>
      <c r="E71" s="5">
        <v>34000</v>
      </c>
      <c r="F71" s="5">
        <v>35000</v>
      </c>
      <c r="G71" s="5">
        <v>34000</v>
      </c>
      <c r="H71" s="5">
        <v>34000</v>
      </c>
      <c r="I71" s="5">
        <v>30000</v>
      </c>
      <c r="J71" s="57">
        <v>35000</v>
      </c>
      <c r="K71" s="81">
        <f t="shared" si="0"/>
        <v>33428.571428571428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23000</v>
      </c>
      <c r="E72" s="5">
        <v>20000</v>
      </c>
      <c r="F72" s="5">
        <v>24000</v>
      </c>
      <c r="G72" s="5">
        <v>23000</v>
      </c>
      <c r="H72" s="5">
        <v>17000</v>
      </c>
      <c r="I72" s="5">
        <v>28000</v>
      </c>
      <c r="J72" s="57">
        <v>18000</v>
      </c>
      <c r="K72" s="81">
        <f t="shared" si="0"/>
        <v>21857.142857142859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28000</v>
      </c>
      <c r="K73" s="81">
        <f t="shared" si="0"/>
        <v>28428.571428571428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7000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7428.5714285714284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10000</v>
      </c>
      <c r="F79" s="5">
        <v>12000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10857.142857142857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18000</v>
      </c>
      <c r="G80" s="5">
        <v>18000</v>
      </c>
      <c r="H80" s="5">
        <v>15000</v>
      </c>
      <c r="I80" s="5">
        <v>16000</v>
      </c>
      <c r="J80" s="57">
        <v>15000</v>
      </c>
      <c r="K80" s="81">
        <f t="shared" si="0"/>
        <v>16428.571428571428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10000</v>
      </c>
      <c r="G81" s="5">
        <v>10000</v>
      </c>
      <c r="H81" s="5">
        <v>7000</v>
      </c>
      <c r="I81" s="4">
        <v>9000</v>
      </c>
      <c r="J81" s="57">
        <v>8000</v>
      </c>
      <c r="K81" s="81">
        <f t="shared" ref="K81:K88" si="1">AVERAGE(D81:J81)</f>
        <v>9142.8571428571431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12000</v>
      </c>
      <c r="G82" s="5">
        <v>12000</v>
      </c>
      <c r="H82" s="5">
        <v>10000</v>
      </c>
      <c r="I82" s="5">
        <v>14000</v>
      </c>
      <c r="J82" s="57">
        <v>7000</v>
      </c>
      <c r="K82" s="81">
        <f t="shared" si="1"/>
        <v>11428.571428571429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10000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9428.5714285714294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1500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1571.4285714285713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AA42-76A4-496B-ADC2-88FF5BF14D2B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35000</v>
      </c>
      <c r="G25" s="5">
        <v>35000</v>
      </c>
      <c r="H25" s="57">
        <v>36000</v>
      </c>
      <c r="I25" s="5">
        <v>35000</v>
      </c>
      <c r="J25" s="57">
        <v>36000</v>
      </c>
      <c r="K25" s="81">
        <f t="shared" si="0"/>
        <v>35285.714285714283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28000</v>
      </c>
      <c r="E34" s="5">
        <v>28000</v>
      </c>
      <c r="F34" s="5">
        <v>27000</v>
      </c>
      <c r="G34" s="5">
        <v>28000</v>
      </c>
      <c r="H34" s="5">
        <v>27000</v>
      </c>
      <c r="I34" s="5">
        <v>27000</v>
      </c>
      <c r="J34" s="57">
        <v>26000</v>
      </c>
      <c r="K34" s="81">
        <f t="shared" si="0"/>
        <v>27285.714285714286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33000</v>
      </c>
      <c r="G64" s="5">
        <v>28000</v>
      </c>
      <c r="H64" s="5">
        <v>35000</v>
      </c>
      <c r="I64" s="5">
        <v>35000</v>
      </c>
      <c r="J64" s="57">
        <v>35000</v>
      </c>
      <c r="K64" s="81">
        <f t="shared" si="0"/>
        <v>31285.714285714286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30000</v>
      </c>
      <c r="F65" s="5">
        <v>30000</v>
      </c>
      <c r="G65" s="5">
        <v>28000</v>
      </c>
      <c r="H65" s="68" t="s">
        <v>95</v>
      </c>
      <c r="I65" s="4">
        <v>33000</v>
      </c>
      <c r="J65" s="57" t="s">
        <v>95</v>
      </c>
      <c r="K65" s="81">
        <f t="shared" si="0"/>
        <v>29800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38000</v>
      </c>
      <c r="E66" s="5">
        <v>35000</v>
      </c>
      <c r="F66" s="5">
        <v>35000</v>
      </c>
      <c r="G66" s="5">
        <v>37000</v>
      </c>
      <c r="H66" s="5">
        <v>35000</v>
      </c>
      <c r="I66" s="5">
        <v>35000</v>
      </c>
      <c r="J66" s="57">
        <v>35000</v>
      </c>
      <c r="K66" s="81">
        <f t="shared" si="0"/>
        <v>35714.285714285717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33000</v>
      </c>
      <c r="E70" s="5">
        <v>35000</v>
      </c>
      <c r="F70" s="5">
        <v>35000</v>
      </c>
      <c r="G70" s="5">
        <v>36000</v>
      </c>
      <c r="H70" s="5">
        <v>35000</v>
      </c>
      <c r="I70" s="5">
        <v>35000</v>
      </c>
      <c r="J70" s="57">
        <v>35000</v>
      </c>
      <c r="K70" s="81">
        <f t="shared" si="0"/>
        <v>34857.142857142855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32000</v>
      </c>
      <c r="E71" s="5">
        <v>25000</v>
      </c>
      <c r="F71" s="5">
        <v>33000</v>
      </c>
      <c r="G71" s="5">
        <v>34000</v>
      </c>
      <c r="H71" s="5">
        <v>34000</v>
      </c>
      <c r="I71" s="5">
        <v>30000</v>
      </c>
      <c r="J71" s="57">
        <v>35000</v>
      </c>
      <c r="K71" s="81">
        <f t="shared" si="0"/>
        <v>31857.142857142859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23000</v>
      </c>
      <c r="E72" s="5">
        <v>20000</v>
      </c>
      <c r="F72" s="5">
        <v>18000</v>
      </c>
      <c r="G72" s="5">
        <v>23000</v>
      </c>
      <c r="H72" s="5">
        <v>16000</v>
      </c>
      <c r="I72" s="5">
        <v>24000</v>
      </c>
      <c r="J72" s="57">
        <v>18000</v>
      </c>
      <c r="K72" s="81">
        <f t="shared" si="0"/>
        <v>20285.714285714286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28000</v>
      </c>
      <c r="K73" s="81">
        <f t="shared" si="0"/>
        <v>28428.571428571428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7000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10000</v>
      </c>
      <c r="F79" s="5">
        <v>10000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10571.428571428571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18000</v>
      </c>
      <c r="H80" s="5">
        <v>15000</v>
      </c>
      <c r="I80" s="5">
        <v>16000</v>
      </c>
      <c r="J80" s="57">
        <v>15000</v>
      </c>
      <c r="K80" s="81">
        <f t="shared" si="0"/>
        <v>16142.857142857143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10000</v>
      </c>
      <c r="H81" s="5">
        <v>7000</v>
      </c>
      <c r="I81" s="4">
        <v>9000</v>
      </c>
      <c r="J81" s="57">
        <v>8000</v>
      </c>
      <c r="K81" s="81">
        <f t="shared" ref="K81:K88" si="1">AVERAGE(D81:J81)</f>
        <v>8714.2857142857138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13000</v>
      </c>
      <c r="G82" s="5">
        <v>12000</v>
      </c>
      <c r="H82" s="5">
        <v>10000</v>
      </c>
      <c r="I82" s="5">
        <v>14000</v>
      </c>
      <c r="J82" s="57">
        <v>7000</v>
      </c>
      <c r="K82" s="81">
        <f t="shared" si="1"/>
        <v>11571.428571428571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0424-884C-427A-8A27-A0B42C48F4B8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35000</v>
      </c>
      <c r="G25" s="5">
        <v>34000</v>
      </c>
      <c r="H25" s="57">
        <v>36000</v>
      </c>
      <c r="I25" s="5">
        <v>35000</v>
      </c>
      <c r="J25" s="57">
        <v>36000</v>
      </c>
      <c r="K25" s="81">
        <f t="shared" si="0"/>
        <v>35142.857142857145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28000</v>
      </c>
      <c r="E34" s="5">
        <v>28000</v>
      </c>
      <c r="F34" s="5">
        <v>27000</v>
      </c>
      <c r="G34" s="5">
        <v>27000</v>
      </c>
      <c r="H34" s="5">
        <v>27000</v>
      </c>
      <c r="I34" s="5">
        <v>27000</v>
      </c>
      <c r="J34" s="57">
        <v>27000</v>
      </c>
      <c r="K34" s="81">
        <f t="shared" si="0"/>
        <v>27285.714285714286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28000</v>
      </c>
      <c r="E64" s="5">
        <v>25000</v>
      </c>
      <c r="F64" s="5">
        <v>35000</v>
      </c>
      <c r="G64" s="5">
        <v>30000</v>
      </c>
      <c r="H64" s="5">
        <v>35000</v>
      </c>
      <c r="I64" s="5">
        <v>35000</v>
      </c>
      <c r="J64" s="57">
        <v>35000</v>
      </c>
      <c r="K64" s="81">
        <f t="shared" si="0"/>
        <v>31857.142857142859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28000</v>
      </c>
      <c r="E65" s="5">
        <v>30000</v>
      </c>
      <c r="F65" s="5">
        <v>32000</v>
      </c>
      <c r="G65" s="5">
        <v>28000</v>
      </c>
      <c r="H65" s="68" t="s">
        <v>95</v>
      </c>
      <c r="I65" s="4">
        <v>33000</v>
      </c>
      <c r="J65" s="57" t="s">
        <v>95</v>
      </c>
      <c r="K65" s="81">
        <f t="shared" si="0"/>
        <v>30200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38000</v>
      </c>
      <c r="E66" s="5">
        <v>35000</v>
      </c>
      <c r="F66" s="5">
        <v>38000</v>
      </c>
      <c r="G66" s="5">
        <v>35000</v>
      </c>
      <c r="H66" s="5">
        <v>35000</v>
      </c>
      <c r="I66" s="5">
        <v>35000</v>
      </c>
      <c r="J66" s="57">
        <v>35000</v>
      </c>
      <c r="K66" s="81">
        <f t="shared" si="0"/>
        <v>35857.142857142855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33000</v>
      </c>
      <c r="E70" s="5">
        <v>35000</v>
      </c>
      <c r="F70" s="5">
        <v>35000</v>
      </c>
      <c r="G70" s="5">
        <v>34000</v>
      </c>
      <c r="H70" s="5">
        <v>35000</v>
      </c>
      <c r="I70" s="5">
        <v>35000</v>
      </c>
      <c r="J70" s="57">
        <v>35000</v>
      </c>
      <c r="K70" s="81">
        <f t="shared" si="0"/>
        <v>34571.428571428572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32000</v>
      </c>
      <c r="E71" s="5">
        <v>25000</v>
      </c>
      <c r="F71" s="5">
        <v>33000</v>
      </c>
      <c r="G71" s="5">
        <v>32000</v>
      </c>
      <c r="H71" s="5">
        <v>34000</v>
      </c>
      <c r="I71" s="5">
        <v>30000</v>
      </c>
      <c r="J71" s="57">
        <v>35000</v>
      </c>
      <c r="K71" s="81">
        <f t="shared" si="0"/>
        <v>31571.428571428572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23000</v>
      </c>
      <c r="E72" s="5">
        <v>20000</v>
      </c>
      <c r="F72" s="5">
        <v>20000</v>
      </c>
      <c r="G72" s="5">
        <v>22000</v>
      </c>
      <c r="H72" s="5">
        <v>16000</v>
      </c>
      <c r="I72" s="5">
        <v>24000</v>
      </c>
      <c r="J72" s="57">
        <v>18000</v>
      </c>
      <c r="K72" s="81">
        <f t="shared" si="0"/>
        <v>20428.571428571428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28000</v>
      </c>
      <c r="K73" s="81">
        <f t="shared" si="0"/>
        <v>28428.571428571428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7000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10000</v>
      </c>
      <c r="F79" s="5">
        <v>10000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10571.428571428571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16000</v>
      </c>
      <c r="H80" s="5">
        <v>15000</v>
      </c>
      <c r="I80" s="5">
        <v>16000</v>
      </c>
      <c r="J80" s="57">
        <v>15000</v>
      </c>
      <c r="K80" s="81">
        <f t="shared" si="0"/>
        <v>15857.142857142857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8000</v>
      </c>
      <c r="H81" s="5">
        <v>7000</v>
      </c>
      <c r="I81" s="4">
        <v>9000</v>
      </c>
      <c r="J81" s="57">
        <v>8000</v>
      </c>
      <c r="K81" s="81">
        <f t="shared" ref="K81:K88" si="1">AVERAGE(D81:J81)</f>
        <v>8428.5714285714294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13000</v>
      </c>
      <c r="G82" s="5">
        <v>10000</v>
      </c>
      <c r="H82" s="5">
        <v>10000</v>
      </c>
      <c r="I82" s="5">
        <v>14000</v>
      </c>
      <c r="J82" s="57">
        <v>7000</v>
      </c>
      <c r="K82" s="81">
        <f t="shared" si="1"/>
        <v>11285.714285714286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  <mergeCell ref="E4:E6"/>
    <mergeCell ref="F4:F6"/>
    <mergeCell ref="A56:A60"/>
    <mergeCell ref="A63:A66"/>
    <mergeCell ref="A19:A20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37CE-E940-4D06-B123-43AF76A68B53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34000</v>
      </c>
      <c r="G25" s="5">
        <v>34000</v>
      </c>
      <c r="H25" s="57">
        <v>36000</v>
      </c>
      <c r="I25" s="5">
        <v>35000</v>
      </c>
      <c r="J25" s="57">
        <v>36000</v>
      </c>
      <c r="K25" s="81">
        <f t="shared" si="0"/>
        <v>35142.857142857145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28000</v>
      </c>
      <c r="E34" s="5">
        <v>27000</v>
      </c>
      <c r="F34" s="5">
        <v>26000</v>
      </c>
      <c r="G34" s="5">
        <v>27000</v>
      </c>
      <c r="H34" s="5">
        <v>27000</v>
      </c>
      <c r="I34" s="5">
        <v>27000</v>
      </c>
      <c r="J34" s="57">
        <v>27000</v>
      </c>
      <c r="K34" s="81">
        <f t="shared" si="0"/>
        <v>27000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30000</v>
      </c>
      <c r="E64" s="5">
        <v>25000</v>
      </c>
      <c r="F64" s="5">
        <v>35000</v>
      </c>
      <c r="G64" s="5">
        <v>30000</v>
      </c>
      <c r="H64" s="5">
        <v>30000</v>
      </c>
      <c r="I64" s="5">
        <v>35000</v>
      </c>
      <c r="J64" s="57">
        <v>35000</v>
      </c>
      <c r="K64" s="81">
        <f t="shared" si="0"/>
        <v>31428.571428571428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40000</v>
      </c>
      <c r="E65" s="5">
        <v>30000</v>
      </c>
      <c r="F65" s="5">
        <v>32000</v>
      </c>
      <c r="G65" s="5">
        <v>28000</v>
      </c>
      <c r="H65" s="68" t="s">
        <v>95</v>
      </c>
      <c r="I65" s="4">
        <v>33000</v>
      </c>
      <c r="J65" s="57" t="s">
        <v>95</v>
      </c>
      <c r="K65" s="81">
        <f t="shared" si="0"/>
        <v>32600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36000</v>
      </c>
      <c r="E66" s="5">
        <v>35000</v>
      </c>
      <c r="F66" s="5">
        <v>38000</v>
      </c>
      <c r="G66" s="5">
        <v>30000</v>
      </c>
      <c r="H66" s="5">
        <v>35000</v>
      </c>
      <c r="I66" s="5">
        <v>35000</v>
      </c>
      <c r="J66" s="57">
        <v>35000</v>
      </c>
      <c r="K66" s="81">
        <f t="shared" si="0"/>
        <v>34857.142857142855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35000</v>
      </c>
      <c r="F70" s="5">
        <v>35000</v>
      </c>
      <c r="G70" s="5">
        <v>34000</v>
      </c>
      <c r="H70" s="5">
        <v>35000</v>
      </c>
      <c r="I70" s="5">
        <v>35000</v>
      </c>
      <c r="J70" s="57">
        <v>35000</v>
      </c>
      <c r="K70" s="81">
        <f t="shared" si="0"/>
        <v>34857.142857142855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33000</v>
      </c>
      <c r="E71" s="5">
        <v>25000</v>
      </c>
      <c r="F71" s="5">
        <v>33000</v>
      </c>
      <c r="G71" s="5">
        <v>32000</v>
      </c>
      <c r="H71" s="5">
        <v>34000</v>
      </c>
      <c r="I71" s="5">
        <v>30000</v>
      </c>
      <c r="J71" s="57">
        <v>35000</v>
      </c>
      <c r="K71" s="81">
        <f t="shared" si="0"/>
        <v>31714.285714285714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22000</v>
      </c>
      <c r="E72" s="5">
        <v>20000</v>
      </c>
      <c r="F72" s="5">
        <v>20000</v>
      </c>
      <c r="G72" s="5">
        <v>22000</v>
      </c>
      <c r="H72" s="5">
        <v>16000</v>
      </c>
      <c r="I72" s="5">
        <v>24000</v>
      </c>
      <c r="J72" s="57">
        <v>18000</v>
      </c>
      <c r="K72" s="81">
        <f t="shared" si="0"/>
        <v>20285.714285714286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28000</v>
      </c>
      <c r="K73" s="81">
        <f t="shared" si="0"/>
        <v>28428.571428571428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7000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10000</v>
      </c>
      <c r="F79" s="5">
        <v>10000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10571.428571428571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16000</v>
      </c>
      <c r="H80" s="5">
        <v>15000</v>
      </c>
      <c r="I80" s="5">
        <v>16000</v>
      </c>
      <c r="J80" s="57">
        <v>15000</v>
      </c>
      <c r="K80" s="81">
        <f t="shared" si="0"/>
        <v>15857.142857142857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8000</v>
      </c>
      <c r="H81" s="5">
        <v>7000</v>
      </c>
      <c r="I81" s="4">
        <v>9000</v>
      </c>
      <c r="J81" s="57">
        <v>8000</v>
      </c>
      <c r="K81" s="81">
        <f t="shared" ref="K81:K88" si="1">AVERAGE(D81:J81)</f>
        <v>8428.5714285714294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13000</v>
      </c>
      <c r="G82" s="5">
        <v>10000</v>
      </c>
      <c r="H82" s="5">
        <v>10000</v>
      </c>
      <c r="I82" s="5">
        <v>14000</v>
      </c>
      <c r="J82" s="57">
        <v>7000</v>
      </c>
      <c r="K82" s="81">
        <f t="shared" si="1"/>
        <v>11285.714285714286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B32C-35F4-4868-9EF0-12FF909DB615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13000</v>
      </c>
      <c r="I8" s="5">
        <v>13500</v>
      </c>
      <c r="J8" s="9">
        <v>13000</v>
      </c>
      <c r="K8" s="81">
        <f>AVERAGE(D8:J8)</f>
        <v>13071.428571428571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36000</v>
      </c>
      <c r="E25" s="5">
        <v>35000</v>
      </c>
      <c r="F25" s="5">
        <v>34000</v>
      </c>
      <c r="G25" s="5">
        <v>34000</v>
      </c>
      <c r="H25" s="57">
        <v>36000</v>
      </c>
      <c r="I25" s="5">
        <v>35000</v>
      </c>
      <c r="J25" s="57">
        <v>37000</v>
      </c>
      <c r="K25" s="81">
        <f t="shared" si="0"/>
        <v>35285.714285714283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28000</v>
      </c>
      <c r="E34" s="5">
        <v>27000</v>
      </c>
      <c r="F34" s="5">
        <v>26000</v>
      </c>
      <c r="G34" s="5">
        <v>27000</v>
      </c>
      <c r="H34" s="5">
        <v>27000</v>
      </c>
      <c r="I34" s="5">
        <v>27000</v>
      </c>
      <c r="J34" s="57">
        <v>27000</v>
      </c>
      <c r="K34" s="81">
        <f t="shared" si="0"/>
        <v>27000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26000</v>
      </c>
      <c r="E64" s="5">
        <v>25000</v>
      </c>
      <c r="F64" s="5">
        <v>35000</v>
      </c>
      <c r="G64" s="5">
        <v>30000</v>
      </c>
      <c r="H64" s="5">
        <v>30000</v>
      </c>
      <c r="I64" s="5">
        <v>35000</v>
      </c>
      <c r="J64" s="57">
        <v>35000</v>
      </c>
      <c r="K64" s="81">
        <f t="shared" si="0"/>
        <v>30857.142857142859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30000</v>
      </c>
      <c r="E65" s="5">
        <v>30000</v>
      </c>
      <c r="F65" s="5">
        <v>32000</v>
      </c>
      <c r="G65" s="5">
        <v>28000</v>
      </c>
      <c r="H65" s="68" t="s">
        <v>95</v>
      </c>
      <c r="I65" s="4">
        <v>33000</v>
      </c>
      <c r="J65" s="57" t="s">
        <v>95</v>
      </c>
      <c r="K65" s="81">
        <f t="shared" si="0"/>
        <v>30600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38000</v>
      </c>
      <c r="E66" s="5">
        <v>35000</v>
      </c>
      <c r="F66" s="5">
        <v>38000</v>
      </c>
      <c r="G66" s="5">
        <v>35000</v>
      </c>
      <c r="H66" s="5">
        <v>35000</v>
      </c>
      <c r="I66" s="5">
        <v>35000</v>
      </c>
      <c r="J66" s="57">
        <v>35000</v>
      </c>
      <c r="K66" s="81">
        <f t="shared" si="0"/>
        <v>35857.142857142855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35000</v>
      </c>
      <c r="F70" s="5">
        <v>35000</v>
      </c>
      <c r="G70" s="5">
        <v>34000</v>
      </c>
      <c r="H70" s="5">
        <v>35000</v>
      </c>
      <c r="I70" s="5">
        <v>35000</v>
      </c>
      <c r="J70" s="57">
        <v>37000</v>
      </c>
      <c r="K70" s="81">
        <f t="shared" si="0"/>
        <v>35142.857142857145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25000</v>
      </c>
      <c r="F71" s="5">
        <v>33000</v>
      </c>
      <c r="G71" s="5">
        <v>32000</v>
      </c>
      <c r="H71" s="5">
        <v>34000</v>
      </c>
      <c r="I71" s="5">
        <v>30000</v>
      </c>
      <c r="J71" s="57">
        <v>37000</v>
      </c>
      <c r="K71" s="81">
        <f t="shared" si="0"/>
        <v>32142.857142857141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22000</v>
      </c>
      <c r="E72" s="5">
        <v>20000</v>
      </c>
      <c r="F72" s="5">
        <v>20000</v>
      </c>
      <c r="G72" s="5">
        <v>22000</v>
      </c>
      <c r="H72" s="5">
        <v>18000</v>
      </c>
      <c r="I72" s="5">
        <v>24000</v>
      </c>
      <c r="J72" s="57">
        <v>20000</v>
      </c>
      <c r="K72" s="81">
        <f t="shared" si="0"/>
        <v>20857.142857142859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26000</v>
      </c>
      <c r="E73" s="5">
        <v>25000</v>
      </c>
      <c r="F73" s="9">
        <v>30000</v>
      </c>
      <c r="G73" s="4">
        <v>30000</v>
      </c>
      <c r="H73" s="5">
        <v>25000</v>
      </c>
      <c r="I73" s="5">
        <v>35000</v>
      </c>
      <c r="J73" s="57">
        <v>28000</v>
      </c>
      <c r="K73" s="81">
        <f t="shared" si="0"/>
        <v>28428.571428571428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7000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8000</v>
      </c>
      <c r="E79" s="5">
        <v>10000</v>
      </c>
      <c r="F79" s="5">
        <v>10000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10571.428571428571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16000</v>
      </c>
      <c r="E80" s="5">
        <v>17000</v>
      </c>
      <c r="F80" s="5">
        <v>16000</v>
      </c>
      <c r="G80" s="5">
        <v>16000</v>
      </c>
      <c r="H80" s="5">
        <v>15000</v>
      </c>
      <c r="I80" s="5">
        <v>16000</v>
      </c>
      <c r="J80" s="57">
        <v>17000</v>
      </c>
      <c r="K80" s="81">
        <f t="shared" si="0"/>
        <v>16142.857142857143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8000</v>
      </c>
      <c r="H81" s="5">
        <v>7000</v>
      </c>
      <c r="I81" s="4">
        <v>9000</v>
      </c>
      <c r="J81" s="57">
        <v>8000</v>
      </c>
      <c r="K81" s="81">
        <f t="shared" ref="K81:K88" si="1">AVERAGE(D81:J81)</f>
        <v>8428.5714285714294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13000</v>
      </c>
      <c r="F82" s="5">
        <v>13000</v>
      </c>
      <c r="G82" s="5">
        <v>10000</v>
      </c>
      <c r="H82" s="5">
        <v>10000</v>
      </c>
      <c r="I82" s="5">
        <v>14000</v>
      </c>
      <c r="J82" s="57">
        <v>10000</v>
      </c>
      <c r="K82" s="81">
        <f t="shared" si="1"/>
        <v>11714.285714285714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9000</v>
      </c>
      <c r="E83" s="5">
        <v>12000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9285.7142857142862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D586-DEDB-4D1D-938F-17E0C3BF643F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154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13500</v>
      </c>
      <c r="I8" s="5">
        <v>13500</v>
      </c>
      <c r="J8" s="9">
        <v>13000</v>
      </c>
      <c r="K8" s="81">
        <f>AVERAGE(D8:J8)</f>
        <v>13142.857142857143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 t="s">
        <v>95</v>
      </c>
      <c r="F9" s="5">
        <v>9400</v>
      </c>
      <c r="G9" s="4" t="s">
        <v>95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M16" s="2" t="s">
        <v>1</v>
      </c>
      <c r="N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35000</v>
      </c>
      <c r="G25" s="5">
        <v>34000</v>
      </c>
      <c r="H25" s="57">
        <v>36000</v>
      </c>
      <c r="I25" s="5">
        <v>35000</v>
      </c>
      <c r="J25" s="57">
        <v>37000</v>
      </c>
      <c r="K25" s="81">
        <f t="shared" si="0"/>
        <v>35285.714285714283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26000</v>
      </c>
      <c r="E34" s="5">
        <v>27000</v>
      </c>
      <c r="F34" s="5">
        <v>27000</v>
      </c>
      <c r="G34" s="5">
        <v>27000</v>
      </c>
      <c r="H34" s="5">
        <v>27000</v>
      </c>
      <c r="I34" s="5">
        <v>27000</v>
      </c>
      <c r="J34" s="57">
        <v>27000</v>
      </c>
      <c r="K34" s="81">
        <f t="shared" si="0"/>
        <v>26857.142857142859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M52" s="2" t="s">
        <v>97</v>
      </c>
      <c r="N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36000</v>
      </c>
      <c r="E64" s="5">
        <v>30000</v>
      </c>
      <c r="F64" s="5">
        <v>36000</v>
      </c>
      <c r="G64" s="5">
        <v>30000</v>
      </c>
      <c r="H64" s="5">
        <v>35000</v>
      </c>
      <c r="I64" s="5">
        <v>30000</v>
      </c>
      <c r="J64" s="57">
        <v>35000</v>
      </c>
      <c r="K64" s="81">
        <f t="shared" si="0"/>
        <v>33142.857142857145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40000</v>
      </c>
      <c r="E65" s="5">
        <v>30000</v>
      </c>
      <c r="F65" s="5">
        <v>34000</v>
      </c>
      <c r="G65" s="5">
        <v>28000</v>
      </c>
      <c r="H65" s="68" t="s">
        <v>95</v>
      </c>
      <c r="I65" s="4">
        <v>25000</v>
      </c>
      <c r="J65" s="57" t="s">
        <v>95</v>
      </c>
      <c r="K65" s="81">
        <f t="shared" si="0"/>
        <v>31400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30000</v>
      </c>
      <c r="E66" s="5">
        <v>35000</v>
      </c>
      <c r="F66" s="5">
        <v>28000</v>
      </c>
      <c r="G66" s="5">
        <v>35000</v>
      </c>
      <c r="H66" s="5">
        <v>25000</v>
      </c>
      <c r="I66" s="5">
        <v>45000</v>
      </c>
      <c r="J66" s="57">
        <v>35000</v>
      </c>
      <c r="K66" s="81">
        <f t="shared" si="0"/>
        <v>33285.714285714283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35000</v>
      </c>
      <c r="F70" s="5">
        <v>36000</v>
      </c>
      <c r="G70" s="5">
        <v>34000</v>
      </c>
      <c r="H70" s="5">
        <v>35000</v>
      </c>
      <c r="I70" s="5">
        <v>35000</v>
      </c>
      <c r="J70" s="57">
        <v>37000</v>
      </c>
      <c r="K70" s="81">
        <f t="shared" si="0"/>
        <v>35285.714285714283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32000</v>
      </c>
      <c r="F71" s="5">
        <v>33000</v>
      </c>
      <c r="G71" s="5">
        <v>32000</v>
      </c>
      <c r="H71" s="5">
        <v>34000</v>
      </c>
      <c r="I71" s="5">
        <v>30000</v>
      </c>
      <c r="J71" s="57">
        <v>37000</v>
      </c>
      <c r="K71" s="81">
        <f t="shared" si="0"/>
        <v>33142.857142857145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20000</v>
      </c>
      <c r="F72" s="5">
        <v>20000</v>
      </c>
      <c r="G72" s="5">
        <v>22000</v>
      </c>
      <c r="H72" s="5">
        <v>18000</v>
      </c>
      <c r="I72" s="5">
        <v>20000</v>
      </c>
      <c r="J72" s="57">
        <v>20000</v>
      </c>
      <c r="K72" s="81">
        <f t="shared" si="0"/>
        <v>20571.428571428572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24000</v>
      </c>
      <c r="E73" s="5">
        <v>25000</v>
      </c>
      <c r="F73" s="9">
        <v>30000</v>
      </c>
      <c r="G73" s="4">
        <v>30000</v>
      </c>
      <c r="H73" s="5">
        <v>25000</v>
      </c>
      <c r="I73" s="5">
        <v>30000</v>
      </c>
      <c r="J73" s="57">
        <v>28000</v>
      </c>
      <c r="K73" s="81">
        <f t="shared" si="0"/>
        <v>27428.571428571428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7000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10000</v>
      </c>
      <c r="F79" s="5">
        <v>13000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11571.428571428571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18000</v>
      </c>
      <c r="E80" s="5">
        <v>17000</v>
      </c>
      <c r="F80" s="5">
        <v>17000</v>
      </c>
      <c r="G80" s="5">
        <v>16000</v>
      </c>
      <c r="H80" s="5">
        <v>15000</v>
      </c>
      <c r="I80" s="5">
        <v>16000</v>
      </c>
      <c r="J80" s="57">
        <v>17000</v>
      </c>
      <c r="K80" s="81">
        <f t="shared" si="0"/>
        <v>16571.428571428572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8000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8142.8571428571431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12000</v>
      </c>
      <c r="F82" s="5">
        <v>14000</v>
      </c>
      <c r="G82" s="5">
        <v>10000</v>
      </c>
      <c r="H82" s="5">
        <v>10000</v>
      </c>
      <c r="I82" s="5">
        <v>14000</v>
      </c>
      <c r="J82" s="57">
        <v>10000</v>
      </c>
      <c r="K82" s="81">
        <f t="shared" si="1"/>
        <v>11714.285714285714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8000</v>
      </c>
      <c r="E83" s="5">
        <v>7000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8428.5714285714294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2E92-1C30-4F97-BA38-EC7C02996CA2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13500</v>
      </c>
      <c r="I8" s="5">
        <v>13500</v>
      </c>
      <c r="J8" s="9">
        <v>13000</v>
      </c>
      <c r="K8" s="81">
        <f>AVERAGE(D8:J8)</f>
        <v>13142.857142857143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>
        <v>9000</v>
      </c>
      <c r="F9" s="5">
        <v>9000</v>
      </c>
      <c r="G9" s="4">
        <v>9000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9000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L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35000</v>
      </c>
      <c r="G25" s="5">
        <v>34000</v>
      </c>
      <c r="H25" s="57">
        <v>36000</v>
      </c>
      <c r="I25" s="5">
        <v>35000</v>
      </c>
      <c r="J25" s="57">
        <v>37000</v>
      </c>
      <c r="K25" s="81">
        <f t="shared" si="0"/>
        <v>35285.714285714283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26000</v>
      </c>
      <c r="E34" s="5">
        <v>27000</v>
      </c>
      <c r="F34" s="5">
        <v>27000</v>
      </c>
      <c r="G34" s="5">
        <v>27000</v>
      </c>
      <c r="H34" s="5">
        <v>27000</v>
      </c>
      <c r="I34" s="5">
        <v>27000</v>
      </c>
      <c r="J34" s="57">
        <v>27000</v>
      </c>
      <c r="K34" s="81">
        <f t="shared" si="0"/>
        <v>26857.142857142859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L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36000</v>
      </c>
      <c r="E64" s="5">
        <v>30000</v>
      </c>
      <c r="F64" s="5">
        <v>34000</v>
      </c>
      <c r="G64" s="5">
        <v>30000</v>
      </c>
      <c r="H64" s="5">
        <v>37000</v>
      </c>
      <c r="I64" s="5">
        <v>30000</v>
      </c>
      <c r="J64" s="57">
        <v>35000</v>
      </c>
      <c r="K64" s="81">
        <f t="shared" si="0"/>
        <v>33142.857142857145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40000</v>
      </c>
      <c r="E65" s="5">
        <v>30000</v>
      </c>
      <c r="F65" s="5">
        <v>32000</v>
      </c>
      <c r="G65" s="5">
        <v>28000</v>
      </c>
      <c r="H65" s="68" t="s">
        <v>95</v>
      </c>
      <c r="I65" s="4">
        <v>25000</v>
      </c>
      <c r="J65" s="57" t="s">
        <v>95</v>
      </c>
      <c r="K65" s="81">
        <f t="shared" si="0"/>
        <v>31000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30000</v>
      </c>
      <c r="E66" s="5">
        <v>35000</v>
      </c>
      <c r="F66" s="5">
        <v>30000</v>
      </c>
      <c r="G66" s="5">
        <v>35000</v>
      </c>
      <c r="H66" s="5">
        <v>25000</v>
      </c>
      <c r="I66" s="5">
        <v>45000</v>
      </c>
      <c r="J66" s="57">
        <v>30000</v>
      </c>
      <c r="K66" s="81">
        <f t="shared" si="0"/>
        <v>32857.142857142855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18000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18333.333333333332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35000</v>
      </c>
      <c r="F70" s="5">
        <v>35000</v>
      </c>
      <c r="G70" s="5">
        <v>34000</v>
      </c>
      <c r="H70" s="5">
        <v>34000</v>
      </c>
      <c r="I70" s="5">
        <v>35000</v>
      </c>
      <c r="J70" s="57">
        <v>37000</v>
      </c>
      <c r="K70" s="81">
        <f t="shared" si="0"/>
        <v>35000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32000</v>
      </c>
      <c r="F71" s="5">
        <v>33000</v>
      </c>
      <c r="G71" s="5">
        <v>32000</v>
      </c>
      <c r="H71" s="5">
        <v>33000</v>
      </c>
      <c r="I71" s="5">
        <v>30000</v>
      </c>
      <c r="J71" s="57">
        <v>36000</v>
      </c>
      <c r="K71" s="81">
        <f t="shared" si="0"/>
        <v>32857.142857142855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20000</v>
      </c>
      <c r="F72" s="5">
        <v>20000</v>
      </c>
      <c r="G72" s="5">
        <v>22000</v>
      </c>
      <c r="H72" s="5">
        <v>18000</v>
      </c>
      <c r="I72" s="5">
        <v>20000</v>
      </c>
      <c r="J72" s="57">
        <v>20000</v>
      </c>
      <c r="K72" s="81">
        <f t="shared" si="0"/>
        <v>20571.428571428572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24000</v>
      </c>
      <c r="E73" s="5">
        <v>25000</v>
      </c>
      <c r="F73" s="9">
        <v>30000</v>
      </c>
      <c r="G73" s="4">
        <v>30000</v>
      </c>
      <c r="H73" s="5">
        <v>25000</v>
      </c>
      <c r="I73" s="5">
        <v>30000</v>
      </c>
      <c r="J73" s="57">
        <v>28000</v>
      </c>
      <c r="K73" s="81">
        <f t="shared" si="0"/>
        <v>27428.571428571428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7000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10000</v>
      </c>
      <c r="F79" s="5">
        <v>13000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11571.428571428571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18000</v>
      </c>
      <c r="E80" s="5">
        <v>17000</v>
      </c>
      <c r="F80" s="5">
        <v>17000</v>
      </c>
      <c r="G80" s="5">
        <v>16000</v>
      </c>
      <c r="H80" s="5">
        <v>15000</v>
      </c>
      <c r="I80" s="5">
        <v>16000</v>
      </c>
      <c r="J80" s="57">
        <v>17000</v>
      </c>
      <c r="K80" s="81">
        <f t="shared" si="0"/>
        <v>16571.428571428572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8000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8142.8571428571431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12000</v>
      </c>
      <c r="F82" s="5">
        <v>14000</v>
      </c>
      <c r="G82" s="5">
        <v>10000</v>
      </c>
      <c r="H82" s="5">
        <v>10000</v>
      </c>
      <c r="I82" s="5">
        <v>14000</v>
      </c>
      <c r="J82" s="57">
        <v>10000</v>
      </c>
      <c r="K82" s="81">
        <f t="shared" si="1"/>
        <v>11714.285714285714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8000</v>
      </c>
      <c r="E83" s="5">
        <v>7000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8428.5714285714294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BED3-DA7F-4F50-B148-865C661740FB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156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13500</v>
      </c>
      <c r="G8" s="5">
        <v>13000</v>
      </c>
      <c r="H8" s="5">
        <v>13500</v>
      </c>
      <c r="I8" s="5">
        <v>13500</v>
      </c>
      <c r="J8" s="9">
        <v>13000</v>
      </c>
      <c r="K8" s="81">
        <f>AVERAGE(D8:J8)</f>
        <v>13214.285714285714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9000</v>
      </c>
      <c r="E9" s="5">
        <v>9000</v>
      </c>
      <c r="F9" s="5">
        <v>9400</v>
      </c>
      <c r="G9" s="4">
        <v>9000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9100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14500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12160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11000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9800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17000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15428.571428571429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L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16000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15142.857142857143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37000</v>
      </c>
      <c r="G25" s="5">
        <v>34000</v>
      </c>
      <c r="H25" s="57">
        <v>36000</v>
      </c>
      <c r="I25" s="5">
        <v>35000</v>
      </c>
      <c r="J25" s="57">
        <v>37000</v>
      </c>
      <c r="K25" s="81">
        <f t="shared" si="0"/>
        <v>35571.428571428572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38000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35000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140000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97500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26000</v>
      </c>
      <c r="E34" s="5">
        <v>27000</v>
      </c>
      <c r="F34" s="5">
        <v>27000</v>
      </c>
      <c r="G34" s="5">
        <v>27000</v>
      </c>
      <c r="H34" s="5">
        <v>27000</v>
      </c>
      <c r="I34" s="5">
        <v>27000</v>
      </c>
      <c r="J34" s="57">
        <v>27000</v>
      </c>
      <c r="K34" s="81">
        <f t="shared" si="0"/>
        <v>26857.142857142859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L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36000</v>
      </c>
      <c r="E64" s="5">
        <v>30000</v>
      </c>
      <c r="F64" s="5">
        <v>37000</v>
      </c>
      <c r="G64" s="5">
        <v>30000</v>
      </c>
      <c r="H64" s="5">
        <v>37000</v>
      </c>
      <c r="I64" s="5">
        <v>25000</v>
      </c>
      <c r="J64" s="57">
        <v>35000</v>
      </c>
      <c r="K64" s="81">
        <f t="shared" si="0"/>
        <v>32857.142857142855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40000</v>
      </c>
      <c r="E65" s="5">
        <v>30000</v>
      </c>
      <c r="F65" s="5">
        <v>37000</v>
      </c>
      <c r="G65" s="5">
        <v>28000</v>
      </c>
      <c r="H65" s="68" t="s">
        <v>95</v>
      </c>
      <c r="I65" s="4">
        <v>25000</v>
      </c>
      <c r="J65" s="57" t="s">
        <v>95</v>
      </c>
      <c r="K65" s="81">
        <f t="shared" si="0"/>
        <v>32000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30000</v>
      </c>
      <c r="E66" s="5">
        <v>35000</v>
      </c>
      <c r="F66" s="5">
        <v>22000</v>
      </c>
      <c r="G66" s="5">
        <v>35000</v>
      </c>
      <c r="H66" s="5">
        <v>25000</v>
      </c>
      <c r="I66" s="5">
        <v>25000</v>
      </c>
      <c r="J66" s="57">
        <v>30000</v>
      </c>
      <c r="K66" s="81">
        <f t="shared" si="0"/>
        <v>28857.142857142859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20000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18666.666666666668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35000</v>
      </c>
      <c r="F70" s="5">
        <v>35000</v>
      </c>
      <c r="G70" s="5">
        <v>34000</v>
      </c>
      <c r="H70" s="5">
        <v>34000</v>
      </c>
      <c r="I70" s="5">
        <v>35000</v>
      </c>
      <c r="J70" s="57">
        <v>37000</v>
      </c>
      <c r="K70" s="81">
        <f t="shared" si="0"/>
        <v>35000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32000</v>
      </c>
      <c r="F71" s="5">
        <v>35000</v>
      </c>
      <c r="G71" s="5">
        <v>32000</v>
      </c>
      <c r="H71" s="5">
        <v>33000</v>
      </c>
      <c r="I71" s="5">
        <v>30000</v>
      </c>
      <c r="J71" s="57">
        <v>36000</v>
      </c>
      <c r="K71" s="81">
        <f t="shared" si="0"/>
        <v>33142.857142857145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20000</v>
      </c>
      <c r="F72" s="5">
        <v>20000</v>
      </c>
      <c r="G72" s="5">
        <v>22000</v>
      </c>
      <c r="H72" s="5">
        <v>18000</v>
      </c>
      <c r="I72" s="5">
        <v>20000</v>
      </c>
      <c r="J72" s="57">
        <v>20000</v>
      </c>
      <c r="K72" s="81">
        <f t="shared" si="0"/>
        <v>20571.428571428572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24000</v>
      </c>
      <c r="E73" s="5">
        <v>25000</v>
      </c>
      <c r="F73" s="9">
        <v>20000</v>
      </c>
      <c r="G73" s="4">
        <v>30000</v>
      </c>
      <c r="H73" s="5">
        <v>25000</v>
      </c>
      <c r="I73" s="5">
        <v>30000</v>
      </c>
      <c r="J73" s="57">
        <v>28000</v>
      </c>
      <c r="K73" s="81">
        <f t="shared" si="0"/>
        <v>26000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7000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10000</v>
      </c>
      <c r="F79" s="5">
        <v>13000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11571.428571428571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18000</v>
      </c>
      <c r="E80" s="5">
        <v>17000</v>
      </c>
      <c r="F80" s="5">
        <v>17000</v>
      </c>
      <c r="G80" s="5">
        <v>16000</v>
      </c>
      <c r="H80" s="5">
        <v>15000</v>
      </c>
      <c r="I80" s="5">
        <v>16000</v>
      </c>
      <c r="J80" s="57">
        <v>17000</v>
      </c>
      <c r="K80" s="81">
        <f t="shared" si="0"/>
        <v>16571.428571428572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8000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8142.8571428571431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12000</v>
      </c>
      <c r="F82" s="5">
        <v>14000</v>
      </c>
      <c r="G82" s="5">
        <v>10000</v>
      </c>
      <c r="H82" s="5">
        <v>10000</v>
      </c>
      <c r="I82" s="5">
        <v>14000</v>
      </c>
      <c r="J82" s="57">
        <v>10000</v>
      </c>
      <c r="K82" s="81">
        <f t="shared" si="1"/>
        <v>11714.285714285714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8000</v>
      </c>
      <c r="E83" s="5">
        <v>7000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8428.5714285714294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EA65-ED1A-413E-8498-84DC2101CA52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13500</v>
      </c>
      <c r="I8" s="5">
        <v>13500</v>
      </c>
      <c r="J8" s="9">
        <v>13000</v>
      </c>
      <c r="K8" s="81">
        <f>AVERAGE(D8:J8)</f>
        <v>13142.857142857143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9400</v>
      </c>
      <c r="E9" s="5">
        <v>9000</v>
      </c>
      <c r="F9" s="5">
        <v>9400</v>
      </c>
      <c r="G9" s="4">
        <v>9000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9200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10900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11660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L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35000</v>
      </c>
      <c r="G25" s="5">
        <v>35000</v>
      </c>
      <c r="H25" s="57">
        <v>36000</v>
      </c>
      <c r="I25" s="5">
        <v>35000</v>
      </c>
      <c r="J25" s="57">
        <v>37000</v>
      </c>
      <c r="K25" s="81">
        <f t="shared" si="0"/>
        <v>35428.571428571428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26000</v>
      </c>
      <c r="E34" s="5">
        <v>27000</v>
      </c>
      <c r="F34" s="5">
        <v>27000</v>
      </c>
      <c r="G34" s="5">
        <v>27000</v>
      </c>
      <c r="H34" s="5">
        <v>26000</v>
      </c>
      <c r="I34" s="5">
        <v>26000</v>
      </c>
      <c r="J34" s="57">
        <v>27000</v>
      </c>
      <c r="K34" s="81">
        <f t="shared" si="0"/>
        <v>26571.428571428572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L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36000</v>
      </c>
      <c r="E64" s="5">
        <v>30000</v>
      </c>
      <c r="F64" s="5">
        <v>35000</v>
      </c>
      <c r="G64" s="5">
        <v>30000</v>
      </c>
      <c r="H64" s="5">
        <v>35000</v>
      </c>
      <c r="I64" s="5">
        <v>25000</v>
      </c>
      <c r="J64" s="57">
        <v>35000</v>
      </c>
      <c r="K64" s="81">
        <f t="shared" si="0"/>
        <v>32285.714285714286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40000</v>
      </c>
      <c r="E65" s="5">
        <v>30000</v>
      </c>
      <c r="F65" s="5">
        <v>25000</v>
      </c>
      <c r="G65" s="5">
        <v>28000</v>
      </c>
      <c r="H65" s="68" t="s">
        <v>95</v>
      </c>
      <c r="I65" s="4">
        <v>25000</v>
      </c>
      <c r="J65" s="57" t="s">
        <v>95</v>
      </c>
      <c r="K65" s="81">
        <f t="shared" si="0"/>
        <v>29600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30000</v>
      </c>
      <c r="E66" s="5">
        <v>30000</v>
      </c>
      <c r="F66" s="5">
        <v>30000</v>
      </c>
      <c r="G66" s="5">
        <v>35000</v>
      </c>
      <c r="H66" s="5">
        <v>25000</v>
      </c>
      <c r="I66" s="5">
        <v>25000</v>
      </c>
      <c r="J66" s="57">
        <v>30000</v>
      </c>
      <c r="K66" s="81">
        <f t="shared" si="0"/>
        <v>29285.714285714286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20000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18666.666666666668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34000</v>
      </c>
      <c r="F70" s="5">
        <v>36000</v>
      </c>
      <c r="G70" s="5">
        <v>35000</v>
      </c>
      <c r="H70" s="5">
        <v>34000</v>
      </c>
      <c r="I70" s="5">
        <v>35000</v>
      </c>
      <c r="J70" s="57">
        <v>37000</v>
      </c>
      <c r="K70" s="81">
        <f t="shared" si="0"/>
        <v>35142.857142857145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32000</v>
      </c>
      <c r="F71" s="5">
        <v>35000</v>
      </c>
      <c r="G71" s="5">
        <v>32000</v>
      </c>
      <c r="H71" s="5">
        <v>33000</v>
      </c>
      <c r="I71" s="5">
        <v>30000</v>
      </c>
      <c r="J71" s="57">
        <v>36000</v>
      </c>
      <c r="K71" s="81">
        <f t="shared" si="0"/>
        <v>33142.857142857145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20000</v>
      </c>
      <c r="F72" s="5">
        <v>25000</v>
      </c>
      <c r="G72" s="5">
        <v>22000</v>
      </c>
      <c r="H72" s="5">
        <v>18000</v>
      </c>
      <c r="I72" s="5">
        <v>25000</v>
      </c>
      <c r="J72" s="57">
        <v>20000</v>
      </c>
      <c r="K72" s="81">
        <f t="shared" si="0"/>
        <v>22000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24000</v>
      </c>
      <c r="E73" s="5">
        <v>25000</v>
      </c>
      <c r="F73" s="9">
        <v>30000</v>
      </c>
      <c r="G73" s="4">
        <v>30000</v>
      </c>
      <c r="H73" s="5">
        <v>25000</v>
      </c>
      <c r="I73" s="5">
        <v>30000</v>
      </c>
      <c r="J73" s="57">
        <v>28000</v>
      </c>
      <c r="K73" s="81">
        <f t="shared" si="0"/>
        <v>27428.571428571428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6000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7000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13000</v>
      </c>
      <c r="F79" s="5">
        <v>13000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12000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18000</v>
      </c>
      <c r="E80" s="5">
        <v>17000</v>
      </c>
      <c r="F80" s="5">
        <v>16000</v>
      </c>
      <c r="G80" s="5">
        <v>16000</v>
      </c>
      <c r="H80" s="5">
        <v>15000</v>
      </c>
      <c r="I80" s="5">
        <v>16000</v>
      </c>
      <c r="J80" s="57">
        <v>17000</v>
      </c>
      <c r="K80" s="81">
        <f t="shared" si="0"/>
        <v>16428.571428571428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8000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8142.8571428571431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12000</v>
      </c>
      <c r="F82" s="5">
        <v>12000</v>
      </c>
      <c r="G82" s="5">
        <v>10000</v>
      </c>
      <c r="H82" s="5">
        <v>10000</v>
      </c>
      <c r="I82" s="5">
        <v>14000</v>
      </c>
      <c r="J82" s="57">
        <v>10000</v>
      </c>
      <c r="K82" s="81">
        <f t="shared" si="1"/>
        <v>11428.571428571429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8000</v>
      </c>
      <c r="E83" s="5">
        <v>7000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8428.5714285714294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6199-7731-4C9C-9B53-310ED4937676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13200</v>
      </c>
      <c r="F8" s="5">
        <v>13000</v>
      </c>
      <c r="G8" s="5">
        <v>13000</v>
      </c>
      <c r="H8" s="5">
        <v>13500</v>
      </c>
      <c r="I8" s="5">
        <v>13500</v>
      </c>
      <c r="J8" s="9">
        <v>13000</v>
      </c>
      <c r="K8" s="81">
        <f>AVERAGE(D8:J8)</f>
        <v>13171.428571428571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9400</v>
      </c>
      <c r="E9" s="5">
        <v>9400</v>
      </c>
      <c r="F9" s="5">
        <v>9400</v>
      </c>
      <c r="G9" s="4">
        <v>9000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9300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 t="s">
        <v>95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11850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L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35000</v>
      </c>
      <c r="G25" s="5">
        <v>35000</v>
      </c>
      <c r="H25" s="57">
        <v>36000</v>
      </c>
      <c r="I25" s="5">
        <v>35000</v>
      </c>
      <c r="J25" s="57">
        <v>37000</v>
      </c>
      <c r="K25" s="81">
        <f t="shared" si="0"/>
        <v>35428.571428571428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35000</v>
      </c>
      <c r="K27" s="81">
        <f t="shared" si="0"/>
        <v>35666.666666666664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26000</v>
      </c>
      <c r="E34" s="5">
        <v>26000</v>
      </c>
      <c r="F34" s="5">
        <v>26000</v>
      </c>
      <c r="G34" s="5">
        <v>27000</v>
      </c>
      <c r="H34" s="5">
        <v>26000</v>
      </c>
      <c r="I34" s="5">
        <v>26000</v>
      </c>
      <c r="J34" s="57">
        <v>27000</v>
      </c>
      <c r="K34" s="81">
        <f t="shared" si="0"/>
        <v>26285.714285714286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L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36000</v>
      </c>
      <c r="E64" s="5">
        <v>38000</v>
      </c>
      <c r="F64" s="5">
        <v>38000</v>
      </c>
      <c r="G64" s="5">
        <v>38000</v>
      </c>
      <c r="H64" s="5">
        <v>35000</v>
      </c>
      <c r="I64" s="5">
        <v>25000</v>
      </c>
      <c r="J64" s="57">
        <v>35000</v>
      </c>
      <c r="K64" s="81">
        <f t="shared" si="0"/>
        <v>35000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40000</v>
      </c>
      <c r="E65" s="5">
        <v>35000</v>
      </c>
      <c r="F65" s="5">
        <v>30000</v>
      </c>
      <c r="G65" s="5">
        <v>28000</v>
      </c>
      <c r="H65" s="68" t="s">
        <v>95</v>
      </c>
      <c r="I65" s="4">
        <v>25000</v>
      </c>
      <c r="J65" s="57" t="s">
        <v>95</v>
      </c>
      <c r="K65" s="81">
        <f t="shared" si="0"/>
        <v>31600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30000</v>
      </c>
      <c r="E66" s="5">
        <v>25000</v>
      </c>
      <c r="F66" s="5">
        <v>24000</v>
      </c>
      <c r="G66" s="5">
        <v>25000</v>
      </c>
      <c r="H66" s="5">
        <v>25000</v>
      </c>
      <c r="I66" s="5">
        <v>25000</v>
      </c>
      <c r="J66" s="57">
        <v>30000</v>
      </c>
      <c r="K66" s="81">
        <f t="shared" si="0"/>
        <v>26285.714285714286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20000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18666.666666666668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33000</v>
      </c>
      <c r="F70" s="5">
        <v>36000</v>
      </c>
      <c r="G70" s="5">
        <v>32000</v>
      </c>
      <c r="H70" s="5">
        <v>34000</v>
      </c>
      <c r="I70" s="5">
        <v>35000</v>
      </c>
      <c r="J70" s="57">
        <v>37000</v>
      </c>
      <c r="K70" s="81">
        <f t="shared" si="0"/>
        <v>34571.428571428572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32000</v>
      </c>
      <c r="F71" s="5">
        <v>34000</v>
      </c>
      <c r="G71" s="5">
        <v>32000</v>
      </c>
      <c r="H71" s="5">
        <v>33000</v>
      </c>
      <c r="I71" s="5">
        <v>30000</v>
      </c>
      <c r="J71" s="57">
        <v>36000</v>
      </c>
      <c r="K71" s="81">
        <f t="shared" si="0"/>
        <v>33000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20000</v>
      </c>
      <c r="F72" s="5">
        <v>22000</v>
      </c>
      <c r="G72" s="5">
        <v>22000</v>
      </c>
      <c r="H72" s="5">
        <v>18000</v>
      </c>
      <c r="I72" s="5">
        <v>25000</v>
      </c>
      <c r="J72" s="57">
        <v>20000</v>
      </c>
      <c r="K72" s="81">
        <f t="shared" si="0"/>
        <v>21571.428571428572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24000</v>
      </c>
      <c r="E73" s="5">
        <v>25000</v>
      </c>
      <c r="F73" s="9">
        <v>30000</v>
      </c>
      <c r="G73" s="4">
        <v>30000</v>
      </c>
      <c r="H73" s="5">
        <v>25000</v>
      </c>
      <c r="I73" s="5">
        <v>30000</v>
      </c>
      <c r="J73" s="57">
        <v>28000</v>
      </c>
      <c r="K73" s="81">
        <f t="shared" si="0"/>
        <v>27428.571428571428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7142.8571428571431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13000</v>
      </c>
      <c r="F79" s="5">
        <v>13000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12000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18000</v>
      </c>
      <c r="E80" s="5">
        <v>17000</v>
      </c>
      <c r="F80" s="5">
        <v>17000</v>
      </c>
      <c r="G80" s="5">
        <v>16000</v>
      </c>
      <c r="H80" s="5">
        <v>15000</v>
      </c>
      <c r="I80" s="5">
        <v>16000</v>
      </c>
      <c r="J80" s="57">
        <v>17000</v>
      </c>
      <c r="K80" s="81">
        <f t="shared" si="0"/>
        <v>16571.428571428572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12000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8714.2857142857138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12000</v>
      </c>
      <c r="F82" s="5">
        <v>13000</v>
      </c>
      <c r="G82" s="5">
        <v>10000</v>
      </c>
      <c r="H82" s="5">
        <v>10000</v>
      </c>
      <c r="I82" s="5">
        <v>14000</v>
      </c>
      <c r="J82" s="57">
        <v>10000</v>
      </c>
      <c r="K82" s="81">
        <f t="shared" si="1"/>
        <v>11571.428571428571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8000</v>
      </c>
      <c r="E83" s="5">
        <v>7000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8428.5714285714294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69:A73"/>
    <mergeCell ref="A26:A32"/>
    <mergeCell ref="A33:A35"/>
    <mergeCell ref="A43:A45"/>
    <mergeCell ref="A46:A48"/>
    <mergeCell ref="A52:A53"/>
    <mergeCell ref="A54:A55"/>
    <mergeCell ref="E4:E6"/>
    <mergeCell ref="F4:F6"/>
    <mergeCell ref="A56:A60"/>
    <mergeCell ref="A63:A66"/>
    <mergeCell ref="A19:A20"/>
    <mergeCell ref="J4:J6"/>
    <mergeCell ref="H4:H6"/>
    <mergeCell ref="A21:A25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A7:A12"/>
    <mergeCell ref="A13:A15"/>
    <mergeCell ref="A16:A17"/>
    <mergeCell ref="D4:D6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7285-E3AD-4469-8013-FB8DE84D1DCE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159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13500</v>
      </c>
      <c r="I8" s="5">
        <v>13500</v>
      </c>
      <c r="J8" s="9">
        <v>13000</v>
      </c>
      <c r="K8" s="81">
        <f>AVERAGE(D8:J8)</f>
        <v>13142.857142857143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9400</v>
      </c>
      <c r="E9" s="5">
        <v>9400</v>
      </c>
      <c r="F9" s="5">
        <v>9400</v>
      </c>
      <c r="G9" s="4">
        <v>9000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9300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12000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11880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L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35000</v>
      </c>
      <c r="G25" s="5">
        <v>34000</v>
      </c>
      <c r="H25" s="57">
        <v>36000</v>
      </c>
      <c r="I25" s="5">
        <v>35000</v>
      </c>
      <c r="J25" s="57">
        <v>37000</v>
      </c>
      <c r="K25" s="81">
        <f t="shared" si="0"/>
        <v>35285.714285714283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40000</v>
      </c>
      <c r="K27" s="81">
        <f t="shared" si="0"/>
        <v>36500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26000</v>
      </c>
      <c r="E34" s="5">
        <v>25000</v>
      </c>
      <c r="F34" s="5">
        <v>26000</v>
      </c>
      <c r="G34" s="5">
        <v>25000</v>
      </c>
      <c r="H34" s="5">
        <v>26000</v>
      </c>
      <c r="I34" s="5">
        <v>26000</v>
      </c>
      <c r="J34" s="57">
        <v>27000</v>
      </c>
      <c r="K34" s="81">
        <f t="shared" si="0"/>
        <v>25857.142857142859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L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36000</v>
      </c>
      <c r="E64" s="5">
        <v>38000</v>
      </c>
      <c r="F64" s="5">
        <v>38000</v>
      </c>
      <c r="G64" s="5">
        <v>37000</v>
      </c>
      <c r="H64" s="5">
        <v>38000</v>
      </c>
      <c r="I64" s="5">
        <v>25000</v>
      </c>
      <c r="J64" s="57">
        <v>35000</v>
      </c>
      <c r="K64" s="81">
        <f t="shared" si="0"/>
        <v>35285.714285714283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40000</v>
      </c>
      <c r="E65" s="5">
        <v>35000</v>
      </c>
      <c r="F65" s="5">
        <v>30000</v>
      </c>
      <c r="G65" s="5">
        <v>28000</v>
      </c>
      <c r="H65" s="68" t="s">
        <v>95</v>
      </c>
      <c r="I65" s="4">
        <v>25000</v>
      </c>
      <c r="J65" s="57" t="s">
        <v>95</v>
      </c>
      <c r="K65" s="81">
        <f t="shared" si="0"/>
        <v>31600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30000</v>
      </c>
      <c r="E66" s="5">
        <v>25000</v>
      </c>
      <c r="F66" s="5">
        <v>24000</v>
      </c>
      <c r="G66" s="5">
        <v>25000</v>
      </c>
      <c r="H66" s="5">
        <v>25000</v>
      </c>
      <c r="I66" s="5">
        <v>25000</v>
      </c>
      <c r="J66" s="57">
        <v>25000</v>
      </c>
      <c r="K66" s="81">
        <f t="shared" si="0"/>
        <v>25571.428571428572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20000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18666.666666666668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33000</v>
      </c>
      <c r="F70" s="5">
        <v>35000</v>
      </c>
      <c r="G70" s="5">
        <v>35000</v>
      </c>
      <c r="H70" s="5">
        <v>34000</v>
      </c>
      <c r="I70" s="5">
        <v>35000</v>
      </c>
      <c r="J70" s="57">
        <v>37000</v>
      </c>
      <c r="K70" s="81">
        <f t="shared" si="0"/>
        <v>34857.142857142855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32000</v>
      </c>
      <c r="F71" s="5">
        <v>34000</v>
      </c>
      <c r="G71" s="5">
        <v>32000</v>
      </c>
      <c r="H71" s="5">
        <v>32000</v>
      </c>
      <c r="I71" s="5">
        <v>30000</v>
      </c>
      <c r="J71" s="57">
        <v>36000</v>
      </c>
      <c r="K71" s="81">
        <f t="shared" si="0"/>
        <v>32857.142857142855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20000</v>
      </c>
      <c r="F72" s="5">
        <v>20000</v>
      </c>
      <c r="G72" s="5">
        <v>22000</v>
      </c>
      <c r="H72" s="5">
        <v>18000</v>
      </c>
      <c r="I72" s="5">
        <v>25000</v>
      </c>
      <c r="J72" s="57">
        <v>20000</v>
      </c>
      <c r="K72" s="81">
        <f t="shared" si="0"/>
        <v>21285.714285714286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24000</v>
      </c>
      <c r="E73" s="5">
        <v>25000</v>
      </c>
      <c r="F73" s="9">
        <v>29000</v>
      </c>
      <c r="G73" s="4">
        <v>30000</v>
      </c>
      <c r="H73" s="5">
        <v>25000</v>
      </c>
      <c r="I73" s="5">
        <v>30000</v>
      </c>
      <c r="J73" s="57">
        <v>28000</v>
      </c>
      <c r="K73" s="81">
        <f t="shared" si="0"/>
        <v>27285.714285714286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7142.8571428571431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13000</v>
      </c>
      <c r="F79" s="5">
        <v>13000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12000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18000</v>
      </c>
      <c r="E80" s="5">
        <v>17000</v>
      </c>
      <c r="F80" s="5">
        <v>17000</v>
      </c>
      <c r="G80" s="5">
        <v>16000</v>
      </c>
      <c r="H80" s="5">
        <v>15000</v>
      </c>
      <c r="I80" s="5">
        <v>16000</v>
      </c>
      <c r="J80" s="57">
        <v>17000</v>
      </c>
      <c r="K80" s="81">
        <f t="shared" si="0"/>
        <v>16571.428571428572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12000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8714.2857142857138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12000</v>
      </c>
      <c r="F82" s="5">
        <v>13000</v>
      </c>
      <c r="G82" s="5">
        <v>10000</v>
      </c>
      <c r="H82" s="5">
        <v>10000</v>
      </c>
      <c r="I82" s="5">
        <v>14000</v>
      </c>
      <c r="J82" s="57">
        <v>10000</v>
      </c>
      <c r="K82" s="81">
        <f t="shared" si="1"/>
        <v>11571.428571428571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8000</v>
      </c>
      <c r="E83" s="5">
        <v>7000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8428.5714285714294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I4:I6"/>
    <mergeCell ref="G4:G6"/>
    <mergeCell ref="K4:K6"/>
    <mergeCell ref="A7:A12"/>
    <mergeCell ref="A56:A60"/>
    <mergeCell ref="A63:A66"/>
    <mergeCell ref="A13:A15"/>
    <mergeCell ref="J4:J6"/>
    <mergeCell ref="H4:H6"/>
    <mergeCell ref="A21:A25"/>
    <mergeCell ref="A16:A17"/>
    <mergeCell ref="A19:A20"/>
    <mergeCell ref="A69:A73"/>
    <mergeCell ref="A26:A32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63DA-5920-4202-BC48-90675A8408B3}">
  <dimension ref="A1:N94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77" customWidth="1"/>
    <col min="5" max="5" width="15.125" style="78" customWidth="1"/>
    <col min="6" max="6" width="15.375" style="78" customWidth="1"/>
    <col min="7" max="7" width="14.625" style="78" customWidth="1"/>
    <col min="8" max="8" width="14.75" style="78" customWidth="1"/>
    <col min="9" max="9" width="14.25" style="78" customWidth="1"/>
    <col min="10" max="10" width="14.125" style="78" customWidth="1"/>
    <col min="11" max="11" width="13" style="78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17" t="s">
        <v>84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2"/>
    </row>
    <row r="2" spans="1:14" ht="27.75" customHeight="1" x14ac:dyDescent="0.25">
      <c r="A2" s="118" t="s">
        <v>85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2"/>
      <c r="M2" s="2"/>
    </row>
    <row r="3" spans="1:14" ht="27.75" customHeight="1" x14ac:dyDescent="0.25">
      <c r="A3" s="119" t="s">
        <v>160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2"/>
      <c r="M3" s="2"/>
    </row>
    <row r="4" spans="1:14" ht="25.5" customHeight="1" x14ac:dyDescent="0.25">
      <c r="A4" s="120" t="s">
        <v>1</v>
      </c>
      <c r="B4" s="121" t="s">
        <v>2</v>
      </c>
      <c r="C4" s="122" t="s">
        <v>86</v>
      </c>
      <c r="D4" s="123" t="s">
        <v>87</v>
      </c>
      <c r="E4" s="124" t="s">
        <v>88</v>
      </c>
      <c r="F4" s="125" t="s">
        <v>89</v>
      </c>
      <c r="G4" s="126" t="s">
        <v>90</v>
      </c>
      <c r="H4" s="127" t="s">
        <v>91</v>
      </c>
      <c r="I4" s="128" t="s">
        <v>92</v>
      </c>
      <c r="J4" s="129" t="s">
        <v>93</v>
      </c>
      <c r="K4" s="130" t="s">
        <v>94</v>
      </c>
      <c r="M4" s="2"/>
      <c r="N4" s="2"/>
    </row>
    <row r="5" spans="1:14" ht="15" customHeight="1" x14ac:dyDescent="0.25">
      <c r="A5" s="120"/>
      <c r="B5" s="121"/>
      <c r="C5" s="122"/>
      <c r="D5" s="123"/>
      <c r="E5" s="124"/>
      <c r="F5" s="125"/>
      <c r="G5" s="126"/>
      <c r="H5" s="127"/>
      <c r="I5" s="128"/>
      <c r="J5" s="129"/>
      <c r="K5" s="130"/>
      <c r="M5" s="2"/>
      <c r="N5" s="2"/>
    </row>
    <row r="6" spans="1:14" ht="15.75" x14ac:dyDescent="0.25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30"/>
      <c r="M6" s="2"/>
      <c r="N6" s="2"/>
    </row>
    <row r="7" spans="1:14" ht="15.75" x14ac:dyDescent="0.25">
      <c r="A7" s="116">
        <v>1</v>
      </c>
      <c r="B7" s="51" t="s">
        <v>3</v>
      </c>
      <c r="C7" s="52"/>
      <c r="D7" s="66"/>
      <c r="E7" s="10" t="s">
        <v>98</v>
      </c>
      <c r="F7" s="10"/>
      <c r="G7" s="79"/>
      <c r="H7" s="79" t="s">
        <v>1</v>
      </c>
      <c r="I7" s="53"/>
      <c r="J7" s="79"/>
      <c r="K7" s="80"/>
      <c r="M7" s="2"/>
      <c r="N7" s="2"/>
    </row>
    <row r="8" spans="1:14" ht="15.75" x14ac:dyDescent="0.25">
      <c r="A8" s="116"/>
      <c r="B8" s="54" t="s">
        <v>103</v>
      </c>
      <c r="C8" s="10" t="s">
        <v>4</v>
      </c>
      <c r="D8" s="5">
        <v>13000</v>
      </c>
      <c r="E8" s="5">
        <v>13000</v>
      </c>
      <c r="F8" s="5">
        <v>13000</v>
      </c>
      <c r="G8" s="5">
        <v>13000</v>
      </c>
      <c r="H8" s="5">
        <v>13500</v>
      </c>
      <c r="I8" s="5">
        <v>13500</v>
      </c>
      <c r="J8" s="9">
        <v>13000</v>
      </c>
      <c r="K8" s="81">
        <f>AVERAGE(D8:J8)</f>
        <v>13142.857142857143</v>
      </c>
      <c r="L8" s="1"/>
      <c r="M8" s="3"/>
      <c r="N8" s="2"/>
    </row>
    <row r="9" spans="1:14" ht="15.75" x14ac:dyDescent="0.25">
      <c r="A9" s="116"/>
      <c r="B9" s="54" t="s">
        <v>125</v>
      </c>
      <c r="C9" s="10" t="s">
        <v>4</v>
      </c>
      <c r="D9" s="5">
        <v>9400</v>
      </c>
      <c r="E9" s="5">
        <v>9400</v>
      </c>
      <c r="F9" s="5">
        <v>9400</v>
      </c>
      <c r="G9" s="4">
        <v>9000</v>
      </c>
      <c r="H9" s="5" t="s">
        <v>95</v>
      </c>
      <c r="I9" s="5" t="s">
        <v>95</v>
      </c>
      <c r="J9" s="9" t="s">
        <v>95</v>
      </c>
      <c r="K9" s="81">
        <f t="shared" ref="K9:K80" si="0">AVERAGE(D9:J9)</f>
        <v>9300</v>
      </c>
      <c r="M9" s="2"/>
      <c r="N9" s="2"/>
    </row>
    <row r="10" spans="1:14" ht="15.75" x14ac:dyDescent="0.25">
      <c r="A10" s="116"/>
      <c r="B10" s="54" t="s">
        <v>104</v>
      </c>
      <c r="C10" s="10" t="s">
        <v>4</v>
      </c>
      <c r="D10" s="5" t="s">
        <v>95</v>
      </c>
      <c r="E10" s="5">
        <v>12000</v>
      </c>
      <c r="F10" s="5">
        <v>12000</v>
      </c>
      <c r="G10" s="4">
        <v>10900</v>
      </c>
      <c r="H10" s="5">
        <v>12000</v>
      </c>
      <c r="I10" s="5">
        <v>12500</v>
      </c>
      <c r="J10" s="9" t="s">
        <v>95</v>
      </c>
      <c r="K10" s="81">
        <f t="shared" si="0"/>
        <v>11880</v>
      </c>
      <c r="M10" s="2"/>
      <c r="N10" s="2"/>
    </row>
    <row r="11" spans="1:14" ht="15.75" x14ac:dyDescent="0.25">
      <c r="A11" s="116"/>
      <c r="B11" s="54" t="s">
        <v>5</v>
      </c>
      <c r="C11" s="10" t="s">
        <v>4</v>
      </c>
      <c r="D11" s="5" t="s">
        <v>95</v>
      </c>
      <c r="E11" s="5">
        <v>10000</v>
      </c>
      <c r="F11" s="9">
        <v>12000</v>
      </c>
      <c r="G11" s="4">
        <v>10000</v>
      </c>
      <c r="H11" s="5" t="s">
        <v>95</v>
      </c>
      <c r="I11" s="9">
        <v>10000</v>
      </c>
      <c r="J11" s="9">
        <v>8000</v>
      </c>
      <c r="K11" s="81">
        <f>AVERAGE(D11:J11)</f>
        <v>10000</v>
      </c>
      <c r="M11" s="2"/>
      <c r="N11" s="2"/>
    </row>
    <row r="12" spans="1:14" ht="15.75" x14ac:dyDescent="0.25">
      <c r="A12" s="116"/>
      <c r="B12" s="54" t="s">
        <v>6</v>
      </c>
      <c r="C12" s="10" t="s">
        <v>4</v>
      </c>
      <c r="D12" s="5" t="s">
        <v>95</v>
      </c>
      <c r="E12" s="5">
        <v>21000</v>
      </c>
      <c r="F12" s="9">
        <v>17000</v>
      </c>
      <c r="G12" s="4">
        <v>20000</v>
      </c>
      <c r="H12" s="5" t="s">
        <v>95</v>
      </c>
      <c r="I12" s="9">
        <v>18000</v>
      </c>
      <c r="J12" s="9">
        <v>17000</v>
      </c>
      <c r="K12" s="81">
        <f t="shared" si="0"/>
        <v>18600</v>
      </c>
      <c r="M12" s="2"/>
      <c r="N12" s="2"/>
    </row>
    <row r="13" spans="1:14" ht="15.75" x14ac:dyDescent="0.25">
      <c r="A13" s="116">
        <v>2</v>
      </c>
      <c r="B13" s="51" t="s">
        <v>7</v>
      </c>
      <c r="C13" s="55"/>
      <c r="D13" s="66"/>
      <c r="E13" s="6"/>
      <c r="F13" s="10"/>
      <c r="G13" s="74"/>
      <c r="H13" s="74"/>
      <c r="I13" s="74"/>
      <c r="J13" s="74"/>
      <c r="K13" s="82"/>
      <c r="M13" s="2"/>
      <c r="N13" s="2"/>
    </row>
    <row r="14" spans="1:14" ht="15.75" x14ac:dyDescent="0.25">
      <c r="A14" s="116"/>
      <c r="B14" s="54" t="s">
        <v>116</v>
      </c>
      <c r="C14" s="10" t="s">
        <v>4</v>
      </c>
      <c r="D14" s="5">
        <v>13000</v>
      </c>
      <c r="E14" s="5">
        <v>13000</v>
      </c>
      <c r="F14" s="5">
        <v>13500</v>
      </c>
      <c r="G14" s="5">
        <v>13500</v>
      </c>
      <c r="H14" s="5">
        <v>13500</v>
      </c>
      <c r="I14" s="5">
        <v>13000</v>
      </c>
      <c r="J14" s="57">
        <v>13500</v>
      </c>
      <c r="K14" s="81">
        <f t="shared" si="0"/>
        <v>13285.714285714286</v>
      </c>
      <c r="M14" s="2"/>
      <c r="N14" s="2"/>
    </row>
    <row r="15" spans="1:14" ht="15.75" x14ac:dyDescent="0.25">
      <c r="A15" s="116"/>
      <c r="B15" s="54" t="s">
        <v>9</v>
      </c>
      <c r="C15" s="10" t="s">
        <v>4</v>
      </c>
      <c r="D15" s="5">
        <v>15000</v>
      </c>
      <c r="E15" s="5">
        <v>16000</v>
      </c>
      <c r="F15" s="9">
        <v>15000</v>
      </c>
      <c r="G15" s="4">
        <v>14000</v>
      </c>
      <c r="H15" s="5">
        <v>15000</v>
      </c>
      <c r="I15" s="5">
        <v>15000</v>
      </c>
      <c r="J15" s="57">
        <v>16000</v>
      </c>
      <c r="K15" s="81">
        <f t="shared" si="0"/>
        <v>15142.857142857143</v>
      </c>
      <c r="M15" s="2"/>
      <c r="N15" s="2"/>
    </row>
    <row r="16" spans="1:14" ht="15.75" x14ac:dyDescent="0.25">
      <c r="A16" s="116">
        <v>3</v>
      </c>
      <c r="B16" s="51" t="s">
        <v>10</v>
      </c>
      <c r="C16" s="56"/>
      <c r="D16" s="83"/>
      <c r="E16" s="8"/>
      <c r="F16" s="8"/>
      <c r="G16" s="8"/>
      <c r="H16" s="8"/>
      <c r="I16" s="8"/>
      <c r="J16" s="49"/>
      <c r="K16" s="82"/>
      <c r="L16" s="2"/>
    </row>
    <row r="17" spans="1:14" ht="15.75" x14ac:dyDescent="0.25">
      <c r="A17" s="116"/>
      <c r="B17" s="54" t="s">
        <v>11</v>
      </c>
      <c r="C17" s="10" t="s">
        <v>4</v>
      </c>
      <c r="D17" s="5">
        <v>15000</v>
      </c>
      <c r="E17" s="5">
        <v>15000</v>
      </c>
      <c r="F17" s="5">
        <v>15000</v>
      </c>
      <c r="G17" s="5">
        <v>15000</v>
      </c>
      <c r="H17" s="5">
        <v>15000</v>
      </c>
      <c r="I17" s="5">
        <v>15000</v>
      </c>
      <c r="J17" s="57">
        <v>15000</v>
      </c>
      <c r="K17" s="81">
        <f t="shared" si="0"/>
        <v>15000</v>
      </c>
      <c r="M17" s="2"/>
      <c r="N17" s="2"/>
    </row>
    <row r="18" spans="1:14" ht="15.75" x14ac:dyDescent="0.25">
      <c r="A18" s="50"/>
      <c r="B18" s="54" t="s">
        <v>105</v>
      </c>
      <c r="C18" s="10" t="s">
        <v>106</v>
      </c>
      <c r="D18" s="5">
        <v>14000</v>
      </c>
      <c r="E18" s="5">
        <v>14000</v>
      </c>
      <c r="F18" s="5">
        <v>14000</v>
      </c>
      <c r="G18" s="5">
        <v>14000</v>
      </c>
      <c r="H18" s="5" t="s">
        <v>95</v>
      </c>
      <c r="I18" s="5">
        <v>14000</v>
      </c>
      <c r="J18" s="57">
        <v>14000</v>
      </c>
      <c r="K18" s="81">
        <f t="shared" si="0"/>
        <v>14000</v>
      </c>
      <c r="M18" s="2"/>
      <c r="N18" s="2"/>
    </row>
    <row r="19" spans="1:14" ht="15.75" x14ac:dyDescent="0.25">
      <c r="A19" s="116">
        <v>4</v>
      </c>
      <c r="B19" s="51" t="s">
        <v>12</v>
      </c>
      <c r="C19" s="56"/>
      <c r="D19" s="83"/>
      <c r="E19" s="8"/>
      <c r="F19" s="8"/>
      <c r="G19" s="75"/>
      <c r="H19" s="8"/>
      <c r="I19" s="8"/>
      <c r="J19" s="49"/>
      <c r="K19" s="82"/>
      <c r="M19" s="2"/>
      <c r="N19" s="2"/>
    </row>
    <row r="20" spans="1:14" ht="17.25" customHeight="1" x14ac:dyDescent="0.25">
      <c r="A20" s="116"/>
      <c r="B20" s="54" t="s">
        <v>13</v>
      </c>
      <c r="C20" s="10" t="s">
        <v>4</v>
      </c>
      <c r="D20" s="5">
        <v>20000</v>
      </c>
      <c r="E20" s="5" t="s">
        <v>95</v>
      </c>
      <c r="F20" s="9">
        <v>20000</v>
      </c>
      <c r="G20" s="4">
        <v>22000</v>
      </c>
      <c r="H20" s="6" t="s">
        <v>95</v>
      </c>
      <c r="I20" s="9">
        <v>23500</v>
      </c>
      <c r="J20" s="58" t="s">
        <v>95</v>
      </c>
      <c r="K20" s="81">
        <f t="shared" si="0"/>
        <v>21375</v>
      </c>
      <c r="M20" s="2"/>
      <c r="N20" s="2"/>
    </row>
    <row r="21" spans="1:14" ht="15.75" x14ac:dyDescent="0.25">
      <c r="A21" s="116">
        <v>5</v>
      </c>
      <c r="B21" s="51" t="s">
        <v>14</v>
      </c>
      <c r="C21" s="56"/>
      <c r="D21" s="83"/>
      <c r="E21" s="10"/>
      <c r="F21" s="8"/>
      <c r="G21" s="75"/>
      <c r="H21" s="8"/>
      <c r="I21" s="8"/>
      <c r="J21" s="49"/>
      <c r="K21" s="82"/>
      <c r="M21" s="2"/>
      <c r="N21" s="2"/>
    </row>
    <row r="22" spans="1:14" ht="15.75" x14ac:dyDescent="0.25">
      <c r="A22" s="116"/>
      <c r="B22" s="54" t="s">
        <v>15</v>
      </c>
      <c r="C22" s="10" t="s">
        <v>4</v>
      </c>
      <c r="D22" s="5">
        <v>120000</v>
      </c>
      <c r="E22" s="5">
        <v>120000</v>
      </c>
      <c r="F22" s="5">
        <v>120000</v>
      </c>
      <c r="G22" s="5">
        <v>120000</v>
      </c>
      <c r="H22" s="5">
        <v>120000</v>
      </c>
      <c r="I22" s="4">
        <v>120000</v>
      </c>
      <c r="J22" s="57" t="s">
        <v>95</v>
      </c>
      <c r="K22" s="81">
        <f t="shared" si="0"/>
        <v>120000</v>
      </c>
      <c r="M22" s="2"/>
      <c r="N22" s="2"/>
    </row>
    <row r="23" spans="1:14" ht="15.75" x14ac:dyDescent="0.25">
      <c r="A23" s="116"/>
      <c r="B23" s="54" t="s">
        <v>16</v>
      </c>
      <c r="C23" s="10" t="s">
        <v>4</v>
      </c>
      <c r="D23" s="5">
        <v>110000</v>
      </c>
      <c r="E23" s="5">
        <v>110000</v>
      </c>
      <c r="F23" s="5">
        <v>110000</v>
      </c>
      <c r="G23" s="5">
        <v>110000</v>
      </c>
      <c r="H23" s="5">
        <v>110000</v>
      </c>
      <c r="I23" s="5">
        <v>115000</v>
      </c>
      <c r="J23" s="57">
        <v>110000</v>
      </c>
      <c r="K23" s="81">
        <f t="shared" si="0"/>
        <v>110714.28571428571</v>
      </c>
      <c r="M23" s="2"/>
      <c r="N23" s="2"/>
    </row>
    <row r="24" spans="1:14" ht="15.75" x14ac:dyDescent="0.25">
      <c r="A24" s="116"/>
      <c r="B24" s="54" t="s">
        <v>17</v>
      </c>
      <c r="C24" s="10" t="s">
        <v>4</v>
      </c>
      <c r="D24" s="5">
        <v>90000</v>
      </c>
      <c r="E24" s="5">
        <v>95000</v>
      </c>
      <c r="F24" s="5">
        <v>100000</v>
      </c>
      <c r="G24" s="5">
        <v>105000</v>
      </c>
      <c r="H24" s="5">
        <v>100000</v>
      </c>
      <c r="I24" s="4">
        <v>100000</v>
      </c>
      <c r="J24" s="57">
        <v>100000</v>
      </c>
      <c r="K24" s="81">
        <f t="shared" si="0"/>
        <v>98571.428571428565</v>
      </c>
      <c r="M24" s="2"/>
      <c r="N24" s="2"/>
    </row>
    <row r="25" spans="1:14" ht="15.75" x14ac:dyDescent="0.25">
      <c r="A25" s="116"/>
      <c r="B25" s="54" t="s">
        <v>18</v>
      </c>
      <c r="C25" s="10" t="s">
        <v>4</v>
      </c>
      <c r="D25" s="5">
        <v>35000</v>
      </c>
      <c r="E25" s="5">
        <v>35000</v>
      </c>
      <c r="F25" s="5">
        <v>35000</v>
      </c>
      <c r="G25" s="5">
        <v>34000</v>
      </c>
      <c r="H25" s="57">
        <v>36000</v>
      </c>
      <c r="I25" s="5">
        <v>35000</v>
      </c>
      <c r="J25" s="57">
        <v>37000</v>
      </c>
      <c r="K25" s="81">
        <f t="shared" si="0"/>
        <v>35285.714285714283</v>
      </c>
      <c r="M25" s="2"/>
      <c r="N25" s="2"/>
    </row>
    <row r="26" spans="1:14" ht="15.75" x14ac:dyDescent="0.25">
      <c r="A26" s="116">
        <v>6</v>
      </c>
      <c r="B26" s="51" t="s">
        <v>19</v>
      </c>
      <c r="C26" s="56"/>
      <c r="D26" s="83"/>
      <c r="E26" s="10"/>
      <c r="F26" s="75"/>
      <c r="G26" s="8"/>
      <c r="H26" s="49"/>
      <c r="I26" s="8"/>
      <c r="J26" s="49"/>
      <c r="K26" s="82"/>
      <c r="M26" s="2"/>
      <c r="N26" s="2"/>
    </row>
    <row r="27" spans="1:14" ht="15.75" x14ac:dyDescent="0.25">
      <c r="A27" s="116"/>
      <c r="B27" s="54" t="s">
        <v>20</v>
      </c>
      <c r="C27" s="10" t="s">
        <v>4</v>
      </c>
      <c r="D27" s="5">
        <v>35000</v>
      </c>
      <c r="E27" s="5">
        <v>36000</v>
      </c>
      <c r="F27" s="5" t="s">
        <v>95</v>
      </c>
      <c r="G27" s="5">
        <v>35000</v>
      </c>
      <c r="H27" s="5">
        <v>35000</v>
      </c>
      <c r="I27" s="5">
        <v>38000</v>
      </c>
      <c r="J27" s="57">
        <v>40000</v>
      </c>
      <c r="K27" s="81">
        <f t="shared" si="0"/>
        <v>36500</v>
      </c>
      <c r="M27" s="2"/>
      <c r="N27" s="2"/>
    </row>
    <row r="28" spans="1:14" ht="15.75" x14ac:dyDescent="0.25">
      <c r="A28" s="116"/>
      <c r="B28" s="54" t="s">
        <v>21</v>
      </c>
      <c r="C28" s="10" t="s">
        <v>4</v>
      </c>
      <c r="D28" s="5">
        <v>26000</v>
      </c>
      <c r="E28" s="5">
        <v>28000</v>
      </c>
      <c r="F28" s="5">
        <v>30000</v>
      </c>
      <c r="G28" s="4">
        <v>30000</v>
      </c>
      <c r="H28" s="5">
        <v>23000</v>
      </c>
      <c r="I28" s="5">
        <v>28000</v>
      </c>
      <c r="J28" s="59">
        <v>25000</v>
      </c>
      <c r="K28" s="81">
        <f t="shared" si="0"/>
        <v>27142.857142857141</v>
      </c>
      <c r="M28" s="2"/>
      <c r="N28" s="2"/>
    </row>
    <row r="29" spans="1:14" ht="15.75" x14ac:dyDescent="0.25">
      <c r="A29" s="116"/>
      <c r="B29" s="54" t="s">
        <v>22</v>
      </c>
      <c r="C29" s="10" t="s">
        <v>4</v>
      </c>
      <c r="D29" s="5">
        <v>60000</v>
      </c>
      <c r="E29" s="5">
        <v>60000</v>
      </c>
      <c r="F29" s="9">
        <v>65000</v>
      </c>
      <c r="G29" s="4">
        <v>70000</v>
      </c>
      <c r="H29" s="5">
        <v>68000</v>
      </c>
      <c r="I29" s="5">
        <v>60000</v>
      </c>
      <c r="J29" s="60">
        <v>65000</v>
      </c>
      <c r="K29" s="81">
        <f t="shared" si="0"/>
        <v>64000</v>
      </c>
      <c r="M29" s="2"/>
      <c r="N29" s="2"/>
    </row>
    <row r="30" spans="1:14" ht="15.75" x14ac:dyDescent="0.25">
      <c r="A30" s="116"/>
      <c r="B30" s="54" t="s">
        <v>23</v>
      </c>
      <c r="C30" s="10" t="s">
        <v>4</v>
      </c>
      <c r="D30" s="5">
        <v>25000</v>
      </c>
      <c r="E30" s="5" t="s">
        <v>95</v>
      </c>
      <c r="F30" s="6" t="s">
        <v>95</v>
      </c>
      <c r="G30" s="4">
        <v>25000</v>
      </c>
      <c r="H30" s="5">
        <v>23000</v>
      </c>
      <c r="I30" s="5">
        <v>21000</v>
      </c>
      <c r="J30" s="60">
        <v>26000</v>
      </c>
      <c r="K30" s="81">
        <f t="shared" si="0"/>
        <v>24000</v>
      </c>
      <c r="M30" s="2"/>
      <c r="N30" s="2"/>
    </row>
    <row r="31" spans="1:14" ht="15.75" x14ac:dyDescent="0.25">
      <c r="A31" s="116"/>
      <c r="B31" s="54" t="s">
        <v>24</v>
      </c>
      <c r="C31" s="10" t="s">
        <v>4</v>
      </c>
      <c r="D31" s="5">
        <v>37000</v>
      </c>
      <c r="E31" s="5">
        <v>36000</v>
      </c>
      <c r="F31" s="5">
        <v>35000</v>
      </c>
      <c r="G31" s="5">
        <v>35000</v>
      </c>
      <c r="H31" s="5">
        <v>28000</v>
      </c>
      <c r="I31" s="5">
        <v>36000</v>
      </c>
      <c r="J31" s="57">
        <v>35000</v>
      </c>
      <c r="K31" s="81">
        <f t="shared" si="0"/>
        <v>34571.428571428572</v>
      </c>
      <c r="M31" s="2"/>
      <c r="N31" s="2"/>
    </row>
    <row r="32" spans="1:14" ht="15.75" x14ac:dyDescent="0.25">
      <c r="A32" s="116"/>
      <c r="B32" s="54" t="s">
        <v>25</v>
      </c>
      <c r="C32" s="10" t="s">
        <v>4</v>
      </c>
      <c r="D32" s="5" t="s">
        <v>95</v>
      </c>
      <c r="E32" s="5">
        <v>100000</v>
      </c>
      <c r="F32" s="5">
        <v>100000</v>
      </c>
      <c r="G32" s="5" t="s">
        <v>95</v>
      </c>
      <c r="H32" s="5">
        <v>80000</v>
      </c>
      <c r="I32" s="5" t="s">
        <v>95</v>
      </c>
      <c r="J32" s="60">
        <v>70000</v>
      </c>
      <c r="K32" s="81">
        <f t="shared" si="0"/>
        <v>87500</v>
      </c>
      <c r="M32" s="2"/>
      <c r="N32" s="2"/>
    </row>
    <row r="33" spans="1:14" ht="15.75" x14ac:dyDescent="0.25">
      <c r="A33" s="116">
        <v>7</v>
      </c>
      <c r="B33" s="51" t="s">
        <v>26</v>
      </c>
      <c r="C33" s="56"/>
      <c r="D33" s="83"/>
      <c r="E33" s="10"/>
      <c r="F33" s="75"/>
      <c r="G33" s="75"/>
      <c r="H33" s="8"/>
      <c r="I33" s="8"/>
      <c r="J33" s="49"/>
      <c r="K33" s="82"/>
      <c r="M33" s="2"/>
      <c r="N33" s="2"/>
    </row>
    <row r="34" spans="1:14" ht="15.75" x14ac:dyDescent="0.25">
      <c r="A34" s="116"/>
      <c r="B34" s="54" t="s">
        <v>27</v>
      </c>
      <c r="C34" s="10" t="s">
        <v>4</v>
      </c>
      <c r="D34" s="5">
        <v>26000</v>
      </c>
      <c r="E34" s="5">
        <v>25000</v>
      </c>
      <c r="F34" s="5">
        <v>26000</v>
      </c>
      <c r="G34" s="5">
        <v>24000</v>
      </c>
      <c r="H34" s="5">
        <v>26000</v>
      </c>
      <c r="I34" s="5">
        <v>26000</v>
      </c>
      <c r="J34" s="57">
        <v>25000</v>
      </c>
      <c r="K34" s="81">
        <f t="shared" si="0"/>
        <v>25428.571428571428</v>
      </c>
      <c r="M34" s="2"/>
      <c r="N34" s="2"/>
    </row>
    <row r="35" spans="1:14" ht="15.75" x14ac:dyDescent="0.25">
      <c r="A35" s="116"/>
      <c r="B35" s="54" t="s">
        <v>28</v>
      </c>
      <c r="C35" s="10" t="s">
        <v>29</v>
      </c>
      <c r="D35" s="5">
        <v>3000</v>
      </c>
      <c r="E35" s="5">
        <v>2500</v>
      </c>
      <c r="F35" s="5">
        <v>2500</v>
      </c>
      <c r="G35" s="5">
        <v>2500</v>
      </c>
      <c r="H35" s="5">
        <v>2500</v>
      </c>
      <c r="I35" s="5">
        <v>3000</v>
      </c>
      <c r="J35" s="57">
        <v>3000</v>
      </c>
      <c r="K35" s="81">
        <f t="shared" si="0"/>
        <v>2714.2857142857142</v>
      </c>
      <c r="M35" s="2"/>
      <c r="N35" s="2"/>
    </row>
    <row r="36" spans="1:14" ht="15.75" x14ac:dyDescent="0.25">
      <c r="A36" s="50">
        <v>8</v>
      </c>
      <c r="B36" s="56" t="s">
        <v>117</v>
      </c>
      <c r="C36" s="61"/>
      <c r="D36" s="5"/>
      <c r="E36" s="5"/>
      <c r="F36" s="5"/>
      <c r="G36" s="5"/>
      <c r="H36" s="5"/>
      <c r="I36" s="5"/>
      <c r="J36" s="57"/>
      <c r="K36" s="84"/>
      <c r="M36" s="2"/>
      <c r="N36" s="2"/>
    </row>
    <row r="37" spans="1:14" ht="15.75" x14ac:dyDescent="0.25">
      <c r="A37" s="50"/>
      <c r="B37" s="54" t="s">
        <v>118</v>
      </c>
      <c r="C37" s="10" t="s">
        <v>4</v>
      </c>
      <c r="D37" s="5">
        <v>10000</v>
      </c>
      <c r="E37" s="5">
        <v>9000</v>
      </c>
      <c r="F37" s="5">
        <v>9000</v>
      </c>
      <c r="G37" s="5">
        <v>9000</v>
      </c>
      <c r="H37" s="5">
        <v>16000</v>
      </c>
      <c r="I37" s="5">
        <v>7000</v>
      </c>
      <c r="J37" s="57">
        <v>9000</v>
      </c>
      <c r="K37" s="81">
        <f t="shared" si="0"/>
        <v>9857.1428571428569</v>
      </c>
      <c r="M37" s="2"/>
      <c r="N37" s="2"/>
    </row>
    <row r="38" spans="1:14" ht="15.75" x14ac:dyDescent="0.25">
      <c r="A38" s="50"/>
      <c r="B38" s="54" t="s">
        <v>119</v>
      </c>
      <c r="C38" s="10" t="s">
        <v>4</v>
      </c>
      <c r="D38" s="5" t="s">
        <v>95</v>
      </c>
      <c r="E38" s="5">
        <v>10000</v>
      </c>
      <c r="F38" s="5">
        <v>12000</v>
      </c>
      <c r="G38" s="5">
        <v>14000</v>
      </c>
      <c r="H38" s="5" t="s">
        <v>95</v>
      </c>
      <c r="I38" s="5">
        <v>15000</v>
      </c>
      <c r="J38" s="57">
        <v>12000</v>
      </c>
      <c r="K38" s="81">
        <f>AVERAGE(D38:J38)</f>
        <v>12600</v>
      </c>
      <c r="M38" s="2"/>
      <c r="N38" s="2"/>
    </row>
    <row r="39" spans="1:14" ht="15.75" x14ac:dyDescent="0.25">
      <c r="A39" s="50">
        <v>9</v>
      </c>
      <c r="B39" s="62" t="s">
        <v>120</v>
      </c>
      <c r="C39" s="63"/>
      <c r="D39" s="5"/>
      <c r="E39" s="5"/>
      <c r="F39" s="5"/>
      <c r="G39" s="5"/>
      <c r="H39" s="5"/>
      <c r="I39" s="5"/>
      <c r="J39" s="57"/>
      <c r="K39" s="84"/>
      <c r="M39" s="2"/>
      <c r="N39" s="2"/>
    </row>
    <row r="40" spans="1:14" ht="15.75" x14ac:dyDescent="0.25">
      <c r="A40" s="50"/>
      <c r="B40" s="54" t="s">
        <v>121</v>
      </c>
      <c r="C40" s="10" t="s">
        <v>4</v>
      </c>
      <c r="D40" s="5" t="s">
        <v>95</v>
      </c>
      <c r="E40" s="5" t="s">
        <v>95</v>
      </c>
      <c r="F40" s="5" t="s">
        <v>95</v>
      </c>
      <c r="G40" s="5">
        <v>16000</v>
      </c>
      <c r="H40" s="5">
        <v>14000</v>
      </c>
      <c r="I40" s="5">
        <v>7000</v>
      </c>
      <c r="J40" s="57">
        <v>15000</v>
      </c>
      <c r="K40" s="81">
        <f t="shared" si="0"/>
        <v>13000</v>
      </c>
      <c r="M40" s="2"/>
      <c r="N40" s="2"/>
    </row>
    <row r="41" spans="1:14" ht="15.75" x14ac:dyDescent="0.25">
      <c r="A41" s="50"/>
      <c r="B41" s="54" t="s">
        <v>122</v>
      </c>
      <c r="C41" s="10" t="s">
        <v>4</v>
      </c>
      <c r="D41" s="5">
        <v>2500</v>
      </c>
      <c r="E41" s="5" t="s">
        <v>95</v>
      </c>
      <c r="F41" s="5">
        <v>6000</v>
      </c>
      <c r="G41" s="5" t="s">
        <v>95</v>
      </c>
      <c r="H41" s="5" t="s">
        <v>95</v>
      </c>
      <c r="I41" s="5" t="s">
        <v>95</v>
      </c>
      <c r="J41" s="57" t="s">
        <v>95</v>
      </c>
      <c r="K41" s="81">
        <f t="shared" si="0"/>
        <v>4250</v>
      </c>
      <c r="M41" s="2"/>
      <c r="N41" s="2"/>
    </row>
    <row r="42" spans="1:14" ht="15.75" x14ac:dyDescent="0.25">
      <c r="A42" s="50"/>
      <c r="B42" s="54" t="s">
        <v>123</v>
      </c>
      <c r="C42" s="10" t="s">
        <v>4</v>
      </c>
      <c r="D42" s="5" t="s">
        <v>95</v>
      </c>
      <c r="E42" s="5">
        <v>2500</v>
      </c>
      <c r="F42" s="5" t="s">
        <v>95</v>
      </c>
      <c r="G42" s="5" t="s">
        <v>95</v>
      </c>
      <c r="H42" s="5" t="s">
        <v>95</v>
      </c>
      <c r="I42" s="5" t="s">
        <v>95</v>
      </c>
      <c r="J42" s="57" t="s">
        <v>95</v>
      </c>
      <c r="K42" s="81">
        <f t="shared" si="0"/>
        <v>2500</v>
      </c>
      <c r="M42" s="2"/>
      <c r="N42" s="2"/>
    </row>
    <row r="43" spans="1:14" ht="15.75" x14ac:dyDescent="0.25">
      <c r="A43" s="116">
        <v>10</v>
      </c>
      <c r="B43" s="51" t="s">
        <v>30</v>
      </c>
      <c r="C43" s="56"/>
      <c r="D43" s="83"/>
      <c r="E43" s="10"/>
      <c r="F43" s="75"/>
      <c r="G43" s="8"/>
      <c r="H43" s="8"/>
      <c r="I43" s="8"/>
      <c r="J43" s="85"/>
      <c r="K43" s="82"/>
      <c r="M43" s="2"/>
      <c r="N43" s="2"/>
    </row>
    <row r="44" spans="1:14" ht="15.75" x14ac:dyDescent="0.25">
      <c r="A44" s="116"/>
      <c r="B44" s="54" t="s">
        <v>31</v>
      </c>
      <c r="C44" s="10" t="s">
        <v>32</v>
      </c>
      <c r="D44" s="5">
        <v>12500</v>
      </c>
      <c r="E44" s="5">
        <v>12000</v>
      </c>
      <c r="F44" s="5">
        <v>12500</v>
      </c>
      <c r="G44" s="5">
        <v>12500</v>
      </c>
      <c r="H44" s="6" t="s">
        <v>95</v>
      </c>
      <c r="I44" s="9">
        <v>12000</v>
      </c>
      <c r="J44" s="57">
        <v>12500</v>
      </c>
      <c r="K44" s="81">
        <f t="shared" si="0"/>
        <v>12333.333333333334</v>
      </c>
      <c r="M44" s="2"/>
      <c r="N44" s="2"/>
    </row>
    <row r="45" spans="1:14" ht="15.75" x14ac:dyDescent="0.25">
      <c r="A45" s="116"/>
      <c r="B45" s="54" t="s">
        <v>124</v>
      </c>
      <c r="C45" s="10" t="s">
        <v>32</v>
      </c>
      <c r="D45" s="5">
        <v>12500</v>
      </c>
      <c r="E45" s="5">
        <v>13000</v>
      </c>
      <c r="F45" s="9">
        <v>12500</v>
      </c>
      <c r="G45" s="5">
        <v>12500</v>
      </c>
      <c r="H45" s="6" t="s">
        <v>95</v>
      </c>
      <c r="I45" s="9">
        <v>12000</v>
      </c>
      <c r="J45" s="60">
        <v>12500</v>
      </c>
      <c r="K45" s="81">
        <f>AVERAGE(D45:J45)</f>
        <v>12500</v>
      </c>
      <c r="M45" s="2"/>
      <c r="N45" s="2"/>
    </row>
    <row r="46" spans="1:14" ht="15.75" x14ac:dyDescent="0.25">
      <c r="A46" s="116">
        <v>11</v>
      </c>
      <c r="B46" s="51" t="s">
        <v>34</v>
      </c>
      <c r="C46" s="56"/>
      <c r="D46" s="83"/>
      <c r="E46" s="10"/>
      <c r="F46" s="8"/>
      <c r="G46" s="75"/>
      <c r="H46" s="8"/>
      <c r="I46" s="8"/>
      <c r="J46" s="49"/>
      <c r="K46" s="82"/>
      <c r="M46" s="2"/>
      <c r="N46" s="2"/>
    </row>
    <row r="47" spans="1:14" ht="15.75" x14ac:dyDescent="0.25">
      <c r="A47" s="116"/>
      <c r="B47" s="54" t="s">
        <v>35</v>
      </c>
      <c r="C47" s="10" t="s">
        <v>36</v>
      </c>
      <c r="D47" s="5" t="s">
        <v>95</v>
      </c>
      <c r="E47" s="5" t="s">
        <v>95</v>
      </c>
      <c r="F47" s="6" t="s">
        <v>95</v>
      </c>
      <c r="G47" s="4" t="s">
        <v>95</v>
      </c>
      <c r="H47" s="5">
        <v>17500</v>
      </c>
      <c r="I47" s="9" t="s">
        <v>95</v>
      </c>
      <c r="J47" s="60" t="s">
        <v>95</v>
      </c>
      <c r="K47" s="81">
        <f t="shared" si="0"/>
        <v>17500</v>
      </c>
      <c r="M47" s="2"/>
      <c r="N47" s="2"/>
    </row>
    <row r="48" spans="1:14" ht="15.75" x14ac:dyDescent="0.25">
      <c r="A48" s="116"/>
      <c r="B48" s="54" t="s">
        <v>37</v>
      </c>
      <c r="C48" s="10" t="s">
        <v>38</v>
      </c>
      <c r="D48" s="5" t="s">
        <v>95</v>
      </c>
      <c r="E48" s="5" t="s">
        <v>95</v>
      </c>
      <c r="F48" s="6" t="s">
        <v>95</v>
      </c>
      <c r="G48" s="4" t="s">
        <v>95</v>
      </c>
      <c r="H48" s="5">
        <v>2000</v>
      </c>
      <c r="I48" s="9" t="s">
        <v>95</v>
      </c>
      <c r="J48" s="60" t="s">
        <v>95</v>
      </c>
      <c r="K48" s="81">
        <f t="shared" si="0"/>
        <v>2000</v>
      </c>
      <c r="M48" s="2"/>
      <c r="N48" s="2"/>
    </row>
    <row r="49" spans="1:14" ht="15.75" x14ac:dyDescent="0.25">
      <c r="A49" s="50">
        <v>12</v>
      </c>
      <c r="B49" s="64" t="s">
        <v>39</v>
      </c>
      <c r="C49" s="61"/>
      <c r="D49" s="86"/>
      <c r="E49" s="6"/>
      <c r="F49" s="6"/>
      <c r="G49" s="12"/>
      <c r="H49" s="6"/>
      <c r="I49" s="6"/>
      <c r="J49" s="58"/>
      <c r="K49" s="82"/>
      <c r="M49" s="2"/>
      <c r="N49" s="2"/>
    </row>
    <row r="50" spans="1:14" ht="15.75" x14ac:dyDescent="0.25">
      <c r="A50" s="50"/>
      <c r="B50" s="54" t="s">
        <v>40</v>
      </c>
      <c r="C50" s="65" t="s">
        <v>4</v>
      </c>
      <c r="D50" s="5">
        <v>10000</v>
      </c>
      <c r="E50" s="5">
        <v>8000</v>
      </c>
      <c r="F50" s="5">
        <v>10000</v>
      </c>
      <c r="G50" s="5">
        <v>10000</v>
      </c>
      <c r="H50" s="5">
        <v>9000</v>
      </c>
      <c r="I50" s="4">
        <v>10000</v>
      </c>
      <c r="J50" s="57">
        <v>8000</v>
      </c>
      <c r="K50" s="81">
        <f t="shared" si="0"/>
        <v>9285.7142857142862</v>
      </c>
      <c r="M50" s="2"/>
      <c r="N50" s="2"/>
    </row>
    <row r="51" spans="1:14" ht="15.75" x14ac:dyDescent="0.25">
      <c r="A51" s="50"/>
      <c r="B51" s="54" t="s">
        <v>41</v>
      </c>
      <c r="C51" s="65" t="s">
        <v>4</v>
      </c>
      <c r="D51" s="5">
        <v>9000</v>
      </c>
      <c r="E51" s="5">
        <v>10000</v>
      </c>
      <c r="F51" s="4">
        <v>9000</v>
      </c>
      <c r="G51" s="5">
        <v>10000</v>
      </c>
      <c r="H51" s="5">
        <v>6000</v>
      </c>
      <c r="I51" s="5" t="s">
        <v>95</v>
      </c>
      <c r="J51" s="57">
        <v>6000</v>
      </c>
      <c r="K51" s="81">
        <f t="shared" si="0"/>
        <v>8333.3333333333339</v>
      </c>
      <c r="M51" s="2"/>
      <c r="N51" s="2"/>
    </row>
    <row r="52" spans="1:14" ht="15.75" x14ac:dyDescent="0.25">
      <c r="A52" s="116">
        <v>13</v>
      </c>
      <c r="B52" s="51" t="s">
        <v>42</v>
      </c>
      <c r="C52" s="56"/>
      <c r="D52" s="83"/>
      <c r="E52" s="10"/>
      <c r="F52" s="75"/>
      <c r="G52" s="75"/>
      <c r="H52" s="8"/>
      <c r="I52" s="8"/>
      <c r="J52" s="85"/>
      <c r="K52" s="82"/>
      <c r="L52" s="2"/>
    </row>
    <row r="53" spans="1:14" ht="15.75" x14ac:dyDescent="0.25">
      <c r="A53" s="116"/>
      <c r="B53" s="54" t="s">
        <v>43</v>
      </c>
      <c r="C53" s="10" t="s">
        <v>44</v>
      </c>
      <c r="D53" s="5">
        <v>3000</v>
      </c>
      <c r="E53" s="5">
        <v>8000</v>
      </c>
      <c r="F53" s="5">
        <v>5000</v>
      </c>
      <c r="G53" s="5">
        <v>5000</v>
      </c>
      <c r="H53" s="5">
        <v>2500</v>
      </c>
      <c r="I53" s="9">
        <v>2000</v>
      </c>
      <c r="J53" s="57">
        <v>2500</v>
      </c>
      <c r="K53" s="81">
        <f t="shared" si="0"/>
        <v>4000</v>
      </c>
      <c r="M53" s="2"/>
      <c r="N53" s="13"/>
    </row>
    <row r="54" spans="1:14" ht="15.75" x14ac:dyDescent="0.25">
      <c r="A54" s="116">
        <v>14</v>
      </c>
      <c r="B54" s="51" t="s">
        <v>45</v>
      </c>
      <c r="C54" s="61"/>
      <c r="D54" s="66"/>
      <c r="E54" s="10"/>
      <c r="F54" s="11"/>
      <c r="G54" s="11"/>
      <c r="H54" s="10"/>
      <c r="I54" s="10"/>
      <c r="J54" s="87"/>
      <c r="K54" s="82"/>
      <c r="M54" s="2"/>
      <c r="N54" s="2"/>
    </row>
    <row r="55" spans="1:14" ht="15.75" x14ac:dyDescent="0.25">
      <c r="A55" s="116"/>
      <c r="B55" s="67" t="s">
        <v>46</v>
      </c>
      <c r="C55" s="65" t="s">
        <v>4</v>
      </c>
      <c r="D55" s="5">
        <v>10000</v>
      </c>
      <c r="E55" s="5">
        <v>10500</v>
      </c>
      <c r="F55" s="5">
        <v>10000</v>
      </c>
      <c r="G55" s="5">
        <v>11000</v>
      </c>
      <c r="H55" s="5">
        <v>12000</v>
      </c>
      <c r="I55" s="5">
        <v>10000</v>
      </c>
      <c r="J55" s="57">
        <v>10000</v>
      </c>
      <c r="K55" s="81">
        <f t="shared" si="0"/>
        <v>10500</v>
      </c>
      <c r="M55" s="2"/>
      <c r="N55" s="2"/>
    </row>
    <row r="56" spans="1:14" ht="15.75" x14ac:dyDescent="0.25">
      <c r="A56" s="116">
        <v>15</v>
      </c>
      <c r="B56" s="51" t="s">
        <v>47</v>
      </c>
      <c r="C56" s="56"/>
      <c r="D56" s="83"/>
      <c r="E56" s="10"/>
      <c r="F56" s="75"/>
      <c r="G56" s="8"/>
      <c r="H56" s="8"/>
      <c r="I56" s="8"/>
      <c r="J56" s="85"/>
      <c r="K56" s="82"/>
      <c r="M56" s="2"/>
      <c r="N56" s="2"/>
    </row>
    <row r="57" spans="1:14" ht="15.75" x14ac:dyDescent="0.25">
      <c r="A57" s="116"/>
      <c r="B57" s="54" t="s">
        <v>48</v>
      </c>
      <c r="C57" s="10" t="s">
        <v>4</v>
      </c>
      <c r="D57" s="5">
        <v>15000</v>
      </c>
      <c r="E57" s="5">
        <v>16000</v>
      </c>
      <c r="F57" s="5">
        <v>12000</v>
      </c>
      <c r="G57" s="5">
        <v>12000</v>
      </c>
      <c r="H57" s="5">
        <v>13000</v>
      </c>
      <c r="I57" s="5">
        <v>14000</v>
      </c>
      <c r="J57" s="57" t="s">
        <v>95</v>
      </c>
      <c r="K57" s="81">
        <f t="shared" si="0"/>
        <v>13666.666666666666</v>
      </c>
      <c r="M57" s="2"/>
      <c r="N57" s="2"/>
    </row>
    <row r="58" spans="1:14" ht="15.75" x14ac:dyDescent="0.25">
      <c r="A58" s="116"/>
      <c r="B58" s="54" t="s">
        <v>49</v>
      </c>
      <c r="C58" s="10" t="s">
        <v>4</v>
      </c>
      <c r="D58" s="5" t="s">
        <v>95</v>
      </c>
      <c r="E58" s="5">
        <v>14000</v>
      </c>
      <c r="F58" s="9">
        <v>11500</v>
      </c>
      <c r="G58" s="12" t="s">
        <v>95</v>
      </c>
      <c r="H58" s="68" t="s">
        <v>95</v>
      </c>
      <c r="I58" s="4" t="s">
        <v>95</v>
      </c>
      <c r="J58" s="57">
        <v>13500</v>
      </c>
      <c r="K58" s="81">
        <f t="shared" si="0"/>
        <v>13000</v>
      </c>
      <c r="M58" s="2"/>
      <c r="N58" s="2"/>
    </row>
    <row r="59" spans="1:14" ht="15.75" x14ac:dyDescent="0.25">
      <c r="A59" s="116"/>
      <c r="B59" s="54" t="s">
        <v>50</v>
      </c>
      <c r="C59" s="10" t="s">
        <v>4</v>
      </c>
      <c r="D59" s="5">
        <v>25000</v>
      </c>
      <c r="E59" s="5">
        <v>23000</v>
      </c>
      <c r="F59" s="5">
        <v>23000</v>
      </c>
      <c r="G59" s="5">
        <v>22000</v>
      </c>
      <c r="H59" s="5">
        <v>22000</v>
      </c>
      <c r="I59" s="5">
        <v>25000</v>
      </c>
      <c r="J59" s="57">
        <v>22000</v>
      </c>
      <c r="K59" s="81">
        <f t="shared" si="0"/>
        <v>23142.857142857141</v>
      </c>
      <c r="M59" s="2"/>
      <c r="N59" s="2"/>
    </row>
    <row r="60" spans="1:14" ht="15.75" x14ac:dyDescent="0.25">
      <c r="A60" s="116"/>
      <c r="B60" s="54" t="s">
        <v>51</v>
      </c>
      <c r="C60" s="10" t="s">
        <v>4</v>
      </c>
      <c r="D60" s="5">
        <v>30000</v>
      </c>
      <c r="E60" s="5">
        <v>30000</v>
      </c>
      <c r="F60" s="5">
        <v>28000</v>
      </c>
      <c r="G60" s="5">
        <v>30000</v>
      </c>
      <c r="H60" s="5">
        <v>26000</v>
      </c>
      <c r="I60" s="5">
        <v>29000</v>
      </c>
      <c r="J60" s="57">
        <v>28000</v>
      </c>
      <c r="K60" s="81">
        <f t="shared" si="0"/>
        <v>28714.285714285714</v>
      </c>
      <c r="M60" s="2"/>
      <c r="N60" s="2"/>
    </row>
    <row r="61" spans="1:14" ht="15.75" x14ac:dyDescent="0.25">
      <c r="A61" s="10">
        <v>16</v>
      </c>
      <c r="B61" s="51" t="s">
        <v>52</v>
      </c>
      <c r="C61" s="61"/>
      <c r="D61" s="76"/>
      <c r="E61" s="6"/>
      <c r="F61" s="12"/>
      <c r="G61" s="6"/>
      <c r="H61" s="6"/>
      <c r="I61" s="6"/>
      <c r="J61" s="88"/>
      <c r="K61" s="82"/>
      <c r="M61" s="2"/>
      <c r="N61" s="2"/>
    </row>
    <row r="62" spans="1:14" ht="15.75" x14ac:dyDescent="0.25">
      <c r="A62" s="10"/>
      <c r="B62" s="54" t="s">
        <v>53</v>
      </c>
      <c r="C62" s="65" t="s">
        <v>54</v>
      </c>
      <c r="D62" s="5">
        <v>3000</v>
      </c>
      <c r="E62" s="5">
        <v>3200</v>
      </c>
      <c r="F62" s="5">
        <v>3000</v>
      </c>
      <c r="G62" s="5">
        <v>3000</v>
      </c>
      <c r="H62" s="6" t="s">
        <v>95</v>
      </c>
      <c r="I62" s="9">
        <v>3500</v>
      </c>
      <c r="J62" s="57">
        <v>3500</v>
      </c>
      <c r="K62" s="81">
        <f t="shared" si="0"/>
        <v>3200</v>
      </c>
      <c r="M62" s="2"/>
      <c r="N62" s="2"/>
    </row>
    <row r="63" spans="1:14" ht="15.75" x14ac:dyDescent="0.25">
      <c r="A63" s="116">
        <v>17</v>
      </c>
      <c r="B63" s="51" t="s">
        <v>55</v>
      </c>
      <c r="C63" s="56"/>
      <c r="D63" s="83"/>
      <c r="E63" s="10"/>
      <c r="F63" s="75"/>
      <c r="G63" s="75"/>
      <c r="H63" s="8"/>
      <c r="I63" s="8"/>
      <c r="J63" s="85"/>
      <c r="K63" s="82"/>
      <c r="M63" s="2"/>
      <c r="N63" s="2"/>
    </row>
    <row r="64" spans="1:14" ht="15.75" x14ac:dyDescent="0.25">
      <c r="A64" s="116"/>
      <c r="B64" s="54" t="s">
        <v>56</v>
      </c>
      <c r="C64" s="10" t="s">
        <v>4</v>
      </c>
      <c r="D64" s="5">
        <v>36000</v>
      </c>
      <c r="E64" s="5">
        <v>38000</v>
      </c>
      <c r="F64" s="5">
        <v>36000</v>
      </c>
      <c r="G64" s="5">
        <v>37000</v>
      </c>
      <c r="H64" s="5">
        <v>35000</v>
      </c>
      <c r="I64" s="5">
        <v>25000</v>
      </c>
      <c r="J64" s="57">
        <v>35000</v>
      </c>
      <c r="K64" s="81">
        <f t="shared" si="0"/>
        <v>34571.428571428572</v>
      </c>
      <c r="M64" s="2"/>
      <c r="N64" s="2"/>
    </row>
    <row r="65" spans="1:14" ht="15.75" x14ac:dyDescent="0.25">
      <c r="A65" s="116"/>
      <c r="B65" s="54" t="s">
        <v>57</v>
      </c>
      <c r="C65" s="10" t="s">
        <v>4</v>
      </c>
      <c r="D65" s="5">
        <v>40000</v>
      </c>
      <c r="E65" s="5">
        <v>35000</v>
      </c>
      <c r="F65" s="5">
        <v>25000</v>
      </c>
      <c r="G65" s="5">
        <v>28000</v>
      </c>
      <c r="H65" s="68" t="s">
        <v>95</v>
      </c>
      <c r="I65" s="4">
        <v>25000</v>
      </c>
      <c r="J65" s="57" t="s">
        <v>95</v>
      </c>
      <c r="K65" s="81">
        <f t="shared" si="0"/>
        <v>30600</v>
      </c>
      <c r="M65" s="2"/>
      <c r="N65" s="2"/>
    </row>
    <row r="66" spans="1:14" ht="15.75" x14ac:dyDescent="0.25">
      <c r="A66" s="116"/>
      <c r="B66" s="54" t="s">
        <v>58</v>
      </c>
      <c r="C66" s="10" t="s">
        <v>4</v>
      </c>
      <c r="D66" s="5">
        <v>30000</v>
      </c>
      <c r="E66" s="5">
        <v>25000</v>
      </c>
      <c r="F66" s="5">
        <v>22000</v>
      </c>
      <c r="G66" s="5">
        <v>30000</v>
      </c>
      <c r="H66" s="5">
        <v>22000</v>
      </c>
      <c r="I66" s="5">
        <v>25000</v>
      </c>
      <c r="J66" s="57">
        <v>25000</v>
      </c>
      <c r="K66" s="81">
        <f t="shared" si="0"/>
        <v>25571.428571428572</v>
      </c>
      <c r="M66" s="2"/>
      <c r="N66" s="2"/>
    </row>
    <row r="67" spans="1:14" ht="15.75" x14ac:dyDescent="0.25">
      <c r="A67" s="10">
        <v>18</v>
      </c>
      <c r="B67" s="51" t="s">
        <v>59</v>
      </c>
      <c r="C67" s="61"/>
      <c r="D67" s="68"/>
      <c r="E67" s="6"/>
      <c r="F67" s="12"/>
      <c r="G67" s="6"/>
      <c r="H67" s="6"/>
      <c r="I67" s="6"/>
      <c r="J67" s="58"/>
      <c r="K67" s="82"/>
      <c r="M67" s="2"/>
      <c r="N67" s="2"/>
    </row>
    <row r="68" spans="1:14" ht="15.75" x14ac:dyDescent="0.25">
      <c r="A68" s="10"/>
      <c r="B68" s="54" t="s">
        <v>60</v>
      </c>
      <c r="C68" s="10" t="s">
        <v>61</v>
      </c>
      <c r="D68" s="5">
        <v>20000</v>
      </c>
      <c r="E68" s="5">
        <v>18000</v>
      </c>
      <c r="F68" s="5">
        <v>20000</v>
      </c>
      <c r="G68" s="5">
        <v>18000</v>
      </c>
      <c r="H68" s="6" t="s">
        <v>95</v>
      </c>
      <c r="I68" s="5">
        <v>18000</v>
      </c>
      <c r="J68" s="60">
        <v>18000</v>
      </c>
      <c r="K68" s="81">
        <f t="shared" si="0"/>
        <v>18666.666666666668</v>
      </c>
      <c r="M68" s="2"/>
      <c r="N68" s="2"/>
    </row>
    <row r="69" spans="1:14" ht="15.75" x14ac:dyDescent="0.25">
      <c r="A69" s="116">
        <v>19</v>
      </c>
      <c r="B69" s="51" t="s">
        <v>62</v>
      </c>
      <c r="C69" s="51"/>
      <c r="D69" s="83"/>
      <c r="E69" s="10"/>
      <c r="F69" s="8"/>
      <c r="G69" s="8"/>
      <c r="H69" s="8"/>
      <c r="I69" s="8"/>
      <c r="J69" s="49"/>
      <c r="K69" s="82"/>
      <c r="M69" s="2"/>
      <c r="N69" s="2"/>
    </row>
    <row r="70" spans="1:14" ht="15.75" x14ac:dyDescent="0.25">
      <c r="A70" s="116"/>
      <c r="B70" s="54" t="s">
        <v>63</v>
      </c>
      <c r="C70" s="10" t="s">
        <v>4</v>
      </c>
      <c r="D70" s="5">
        <v>35000</v>
      </c>
      <c r="E70" s="5">
        <v>33000</v>
      </c>
      <c r="F70" s="5">
        <v>35000</v>
      </c>
      <c r="G70" s="5">
        <v>35000</v>
      </c>
      <c r="H70" s="5">
        <v>34000</v>
      </c>
      <c r="I70" s="5">
        <v>35000</v>
      </c>
      <c r="J70" s="57">
        <v>36000</v>
      </c>
      <c r="K70" s="81">
        <f t="shared" si="0"/>
        <v>34714.285714285717</v>
      </c>
      <c r="M70" s="2"/>
      <c r="N70" s="2"/>
    </row>
    <row r="71" spans="1:14" ht="15.75" x14ac:dyDescent="0.25">
      <c r="A71" s="116"/>
      <c r="B71" s="54" t="s">
        <v>64</v>
      </c>
      <c r="C71" s="10" t="s">
        <v>4</v>
      </c>
      <c r="D71" s="5">
        <v>34000</v>
      </c>
      <c r="E71" s="5">
        <v>32000</v>
      </c>
      <c r="F71" s="5">
        <v>32000</v>
      </c>
      <c r="G71" s="5">
        <v>32000</v>
      </c>
      <c r="H71" s="5">
        <v>32000</v>
      </c>
      <c r="I71" s="5">
        <v>30000</v>
      </c>
      <c r="J71" s="57">
        <v>34000</v>
      </c>
      <c r="K71" s="81">
        <f t="shared" si="0"/>
        <v>32285.714285714286</v>
      </c>
      <c r="M71" s="2"/>
      <c r="N71" s="2"/>
    </row>
    <row r="72" spans="1:14" ht="15.75" x14ac:dyDescent="0.25">
      <c r="A72" s="116"/>
      <c r="B72" s="54" t="s">
        <v>65</v>
      </c>
      <c r="C72" s="10" t="s">
        <v>4</v>
      </c>
      <c r="D72" s="5">
        <v>24000</v>
      </c>
      <c r="E72" s="5">
        <v>20000</v>
      </c>
      <c r="F72" s="5">
        <v>22000</v>
      </c>
      <c r="G72" s="5">
        <v>22000</v>
      </c>
      <c r="H72" s="5">
        <v>18000</v>
      </c>
      <c r="I72" s="5">
        <v>25000</v>
      </c>
      <c r="J72" s="57">
        <v>20000</v>
      </c>
      <c r="K72" s="81">
        <f t="shared" si="0"/>
        <v>21571.428571428572</v>
      </c>
      <c r="M72" s="2"/>
      <c r="N72" s="2"/>
    </row>
    <row r="73" spans="1:14" ht="15.75" x14ac:dyDescent="0.25">
      <c r="A73" s="116"/>
      <c r="B73" s="54" t="s">
        <v>66</v>
      </c>
      <c r="C73" s="10" t="s">
        <v>4</v>
      </c>
      <c r="D73" s="5">
        <v>24000</v>
      </c>
      <c r="E73" s="5">
        <v>25000</v>
      </c>
      <c r="F73" s="9">
        <v>29000</v>
      </c>
      <c r="G73" s="4">
        <v>30000</v>
      </c>
      <c r="H73" s="5">
        <v>25000</v>
      </c>
      <c r="I73" s="5">
        <v>30000</v>
      </c>
      <c r="J73" s="57">
        <v>28000</v>
      </c>
      <c r="K73" s="81">
        <f t="shared" si="0"/>
        <v>27285.714285714286</v>
      </c>
      <c r="M73" s="2"/>
      <c r="N73" s="2"/>
    </row>
    <row r="74" spans="1:14" ht="15.75" x14ac:dyDescent="0.25">
      <c r="A74" s="10">
        <v>20</v>
      </c>
      <c r="B74" s="51" t="s">
        <v>67</v>
      </c>
      <c r="C74" s="69"/>
      <c r="D74" s="68"/>
      <c r="E74" s="6"/>
      <c r="F74" s="6"/>
      <c r="G74" s="76"/>
      <c r="H74" s="6"/>
      <c r="I74" s="6"/>
      <c r="J74" s="88"/>
      <c r="K74" s="82"/>
      <c r="M74" s="2"/>
      <c r="N74" s="2"/>
    </row>
    <row r="75" spans="1:14" ht="15.75" x14ac:dyDescent="0.25">
      <c r="A75" s="10"/>
      <c r="B75" s="54" t="s">
        <v>68</v>
      </c>
      <c r="C75" s="65" t="s">
        <v>4</v>
      </c>
      <c r="D75" s="5">
        <v>5000</v>
      </c>
      <c r="E75" s="5">
        <v>7000</v>
      </c>
      <c r="F75" s="5">
        <v>5000</v>
      </c>
      <c r="G75" s="5">
        <v>6000</v>
      </c>
      <c r="H75" s="5">
        <v>5000</v>
      </c>
      <c r="I75" s="5">
        <v>5000</v>
      </c>
      <c r="J75" s="57">
        <v>5000</v>
      </c>
      <c r="K75" s="81">
        <f t="shared" si="0"/>
        <v>5428.5714285714284</v>
      </c>
      <c r="M75" s="2"/>
      <c r="N75" s="2"/>
    </row>
    <row r="76" spans="1:14" ht="15.75" x14ac:dyDescent="0.25">
      <c r="A76" s="10"/>
      <c r="B76" s="54" t="s">
        <v>69</v>
      </c>
      <c r="C76" s="65" t="s">
        <v>4</v>
      </c>
      <c r="D76" s="5">
        <v>6000</v>
      </c>
      <c r="E76" s="5">
        <v>6000</v>
      </c>
      <c r="F76" s="9">
        <v>6000</v>
      </c>
      <c r="G76" s="4">
        <v>6000</v>
      </c>
      <c r="H76" s="5">
        <v>5000</v>
      </c>
      <c r="I76" s="5">
        <v>5000</v>
      </c>
      <c r="J76" s="60">
        <v>6000</v>
      </c>
      <c r="K76" s="81">
        <f t="shared" si="0"/>
        <v>5714.2857142857147</v>
      </c>
      <c r="M76" s="2"/>
      <c r="N76" s="2"/>
    </row>
    <row r="77" spans="1:14" ht="15.75" x14ac:dyDescent="0.25">
      <c r="A77" s="10">
        <v>21</v>
      </c>
      <c r="B77" s="51" t="s">
        <v>70</v>
      </c>
      <c r="C77" s="69"/>
      <c r="D77" s="86"/>
      <c r="E77" s="6"/>
      <c r="F77" s="6"/>
      <c r="G77" s="12"/>
      <c r="H77" s="6"/>
      <c r="I77" s="6"/>
      <c r="J77" s="58"/>
      <c r="K77" s="82"/>
      <c r="M77" s="2"/>
      <c r="N77" s="2"/>
    </row>
    <row r="78" spans="1:14" ht="15.75" x14ac:dyDescent="0.25">
      <c r="A78" s="10"/>
      <c r="B78" s="54" t="s">
        <v>71</v>
      </c>
      <c r="C78" s="65" t="s">
        <v>4</v>
      </c>
      <c r="D78" s="5">
        <v>6000</v>
      </c>
      <c r="E78" s="5">
        <v>5000</v>
      </c>
      <c r="F78" s="5">
        <v>7000</v>
      </c>
      <c r="G78" s="5">
        <v>8000</v>
      </c>
      <c r="H78" s="5">
        <v>10000</v>
      </c>
      <c r="I78" s="9">
        <v>7000</v>
      </c>
      <c r="J78" s="57">
        <v>7000</v>
      </c>
      <c r="K78" s="81">
        <f t="shared" si="0"/>
        <v>7142.8571428571431</v>
      </c>
      <c r="M78" s="2"/>
      <c r="N78" s="2"/>
    </row>
    <row r="79" spans="1:14" ht="15.75" x14ac:dyDescent="0.25">
      <c r="A79" s="10"/>
      <c r="B79" s="54" t="s">
        <v>72</v>
      </c>
      <c r="C79" s="65" t="s">
        <v>4</v>
      </c>
      <c r="D79" s="5">
        <v>12000</v>
      </c>
      <c r="E79" s="5">
        <v>13000</v>
      </c>
      <c r="F79" s="5">
        <v>13000</v>
      </c>
      <c r="G79" s="5">
        <v>12000</v>
      </c>
      <c r="H79" s="5">
        <v>10000</v>
      </c>
      <c r="I79" s="9">
        <v>14000</v>
      </c>
      <c r="J79" s="57">
        <v>10000</v>
      </c>
      <c r="K79" s="81">
        <f t="shared" si="0"/>
        <v>12000</v>
      </c>
      <c r="M79" s="2"/>
      <c r="N79" s="2"/>
    </row>
    <row r="80" spans="1:14" ht="15.75" x14ac:dyDescent="0.25">
      <c r="A80" s="10"/>
      <c r="B80" s="54" t="s">
        <v>73</v>
      </c>
      <c r="C80" s="65" t="s">
        <v>4</v>
      </c>
      <c r="D80" s="5">
        <v>18000</v>
      </c>
      <c r="E80" s="5">
        <v>17000</v>
      </c>
      <c r="F80" s="5">
        <v>16000</v>
      </c>
      <c r="G80" s="5">
        <v>16000</v>
      </c>
      <c r="H80" s="5">
        <v>15000</v>
      </c>
      <c r="I80" s="5">
        <v>16000</v>
      </c>
      <c r="J80" s="57">
        <v>16000</v>
      </c>
      <c r="K80" s="81">
        <f t="shared" si="0"/>
        <v>16285.714285714286</v>
      </c>
      <c r="M80" s="2"/>
      <c r="N80" s="2"/>
    </row>
    <row r="81" spans="1:14" ht="15.75" x14ac:dyDescent="0.25">
      <c r="A81" s="10"/>
      <c r="B81" s="54" t="s">
        <v>74</v>
      </c>
      <c r="C81" s="65" t="s">
        <v>4</v>
      </c>
      <c r="D81" s="5">
        <v>8000</v>
      </c>
      <c r="E81" s="5">
        <v>12000</v>
      </c>
      <c r="F81" s="5">
        <v>7000</v>
      </c>
      <c r="G81" s="5">
        <v>10000</v>
      </c>
      <c r="H81" s="5">
        <v>5000</v>
      </c>
      <c r="I81" s="4">
        <v>9000</v>
      </c>
      <c r="J81" s="57">
        <v>8000</v>
      </c>
      <c r="K81" s="81">
        <f t="shared" ref="K81:K88" si="1">AVERAGE(D81:J81)</f>
        <v>8428.5714285714294</v>
      </c>
      <c r="M81" s="2"/>
      <c r="N81" s="2"/>
    </row>
    <row r="82" spans="1:14" ht="15.75" x14ac:dyDescent="0.25">
      <c r="A82" s="10"/>
      <c r="B82" s="54" t="s">
        <v>75</v>
      </c>
      <c r="C82" s="65" t="s">
        <v>4</v>
      </c>
      <c r="D82" s="5">
        <v>12000</v>
      </c>
      <c r="E82" s="5">
        <v>12000</v>
      </c>
      <c r="F82" s="5">
        <v>12000</v>
      </c>
      <c r="G82" s="5">
        <v>10000</v>
      </c>
      <c r="H82" s="5">
        <v>10000</v>
      </c>
      <c r="I82" s="5">
        <v>14000</v>
      </c>
      <c r="J82" s="57">
        <v>10000</v>
      </c>
      <c r="K82" s="81">
        <f t="shared" si="1"/>
        <v>11428.571428571429</v>
      </c>
      <c r="M82" s="2"/>
      <c r="N82" s="2"/>
    </row>
    <row r="83" spans="1:14" x14ac:dyDescent="0.25">
      <c r="A83" s="10"/>
      <c r="B83" s="54" t="s">
        <v>76</v>
      </c>
      <c r="C83" s="65" t="s">
        <v>4</v>
      </c>
      <c r="D83" s="5">
        <v>8000</v>
      </c>
      <c r="E83" s="5">
        <v>7000</v>
      </c>
      <c r="F83" s="9">
        <v>9000</v>
      </c>
      <c r="G83" s="4">
        <v>8000</v>
      </c>
      <c r="H83" s="5">
        <v>9000</v>
      </c>
      <c r="I83" s="9">
        <v>10000</v>
      </c>
      <c r="J83" s="57">
        <v>8000</v>
      </c>
      <c r="K83" s="81">
        <f t="shared" si="1"/>
        <v>8428.5714285714294</v>
      </c>
    </row>
    <row r="84" spans="1:14" x14ac:dyDescent="0.25">
      <c r="A84" s="10"/>
      <c r="B84" s="54" t="s">
        <v>77</v>
      </c>
      <c r="C84" s="65" t="s">
        <v>78</v>
      </c>
      <c r="D84" s="5">
        <v>1500</v>
      </c>
      <c r="E84" s="5">
        <v>1500</v>
      </c>
      <c r="F84" s="5">
        <v>2000</v>
      </c>
      <c r="G84" s="4">
        <v>2000</v>
      </c>
      <c r="H84" s="5">
        <v>1500</v>
      </c>
      <c r="I84" s="5">
        <v>1500</v>
      </c>
      <c r="J84" s="60">
        <v>1500</v>
      </c>
      <c r="K84" s="81">
        <f t="shared" si="1"/>
        <v>1642.8571428571429</v>
      </c>
    </row>
    <row r="85" spans="1:14" x14ac:dyDescent="0.25">
      <c r="A85" s="10"/>
      <c r="B85" s="54" t="s">
        <v>79</v>
      </c>
      <c r="C85" s="65" t="s">
        <v>78</v>
      </c>
      <c r="D85" s="5">
        <v>1500</v>
      </c>
      <c r="E85" s="5">
        <v>1500</v>
      </c>
      <c r="F85" s="5">
        <v>1500</v>
      </c>
      <c r="G85" s="4">
        <v>2000</v>
      </c>
      <c r="H85" s="5">
        <v>1500</v>
      </c>
      <c r="I85" s="5">
        <v>1500</v>
      </c>
      <c r="J85" s="60">
        <v>1000</v>
      </c>
      <c r="K85" s="81">
        <f t="shared" si="1"/>
        <v>1500</v>
      </c>
    </row>
    <row r="86" spans="1:14" x14ac:dyDescent="0.25">
      <c r="A86" s="10"/>
      <c r="B86" s="54" t="s">
        <v>80</v>
      </c>
      <c r="C86" s="65" t="s">
        <v>78</v>
      </c>
      <c r="D86" s="5" t="s">
        <v>95</v>
      </c>
      <c r="E86" s="5" t="s">
        <v>95</v>
      </c>
      <c r="F86" s="5" t="s">
        <v>95</v>
      </c>
      <c r="G86" s="4" t="s">
        <v>95</v>
      </c>
      <c r="H86" s="5">
        <v>2500</v>
      </c>
      <c r="I86" s="5" t="s">
        <v>95</v>
      </c>
      <c r="J86" s="60">
        <v>1500</v>
      </c>
      <c r="K86" s="81">
        <f t="shared" si="1"/>
        <v>2000</v>
      </c>
    </row>
    <row r="87" spans="1:14" x14ac:dyDescent="0.25">
      <c r="A87" s="10">
        <v>22</v>
      </c>
      <c r="B87" s="51" t="s">
        <v>81</v>
      </c>
      <c r="C87" s="69"/>
      <c r="D87" s="12"/>
      <c r="E87" s="6"/>
      <c r="F87" s="6" t="s">
        <v>98</v>
      </c>
      <c r="G87" s="12"/>
      <c r="H87" s="6"/>
      <c r="I87" s="6"/>
      <c r="J87" s="58"/>
      <c r="K87" s="82"/>
    </row>
    <row r="88" spans="1:14" x14ac:dyDescent="0.25">
      <c r="A88" s="10"/>
      <c r="B88" s="54" t="s">
        <v>82</v>
      </c>
      <c r="C88" s="65" t="s">
        <v>83</v>
      </c>
      <c r="D88" s="5" t="s">
        <v>95</v>
      </c>
      <c r="E88" s="5" t="s">
        <v>95</v>
      </c>
      <c r="F88" s="5">
        <v>18000</v>
      </c>
      <c r="G88" s="4">
        <v>17000</v>
      </c>
      <c r="H88" s="6" t="s">
        <v>95</v>
      </c>
      <c r="I88" s="9">
        <v>19000</v>
      </c>
      <c r="J88" s="60">
        <v>18000</v>
      </c>
      <c r="K88" s="81">
        <f t="shared" si="1"/>
        <v>18000</v>
      </c>
    </row>
    <row r="89" spans="1:14" ht="15.75" x14ac:dyDescent="0.25">
      <c r="D89" s="2"/>
      <c r="E89" s="2"/>
      <c r="F89"/>
      <c r="G89"/>
      <c r="H89"/>
      <c r="I89"/>
      <c r="J89"/>
      <c r="K89"/>
    </row>
    <row r="90" spans="1:14" ht="15.75" x14ac:dyDescent="0.25">
      <c r="B90" s="14"/>
      <c r="D90" s="2"/>
      <c r="E90" s="2"/>
      <c r="F90"/>
      <c r="G90"/>
      <c r="H90"/>
      <c r="I90"/>
      <c r="J90"/>
      <c r="K90"/>
    </row>
    <row r="91" spans="1:14" ht="15.75" x14ac:dyDescent="0.25">
      <c r="D91" s="2"/>
      <c r="E91" s="2"/>
      <c r="F91"/>
      <c r="G91"/>
      <c r="H91"/>
      <c r="I91"/>
      <c r="J91"/>
      <c r="K91"/>
    </row>
    <row r="92" spans="1:14" ht="15.75" x14ac:dyDescent="0.25">
      <c r="A92" s="2"/>
      <c r="B92" s="2"/>
      <c r="C92" s="2"/>
      <c r="D92" s="2"/>
      <c r="E92" s="2"/>
      <c r="F92"/>
      <c r="G92"/>
      <c r="H92"/>
      <c r="I92"/>
      <c r="J92"/>
      <c r="K92"/>
    </row>
    <row r="93" spans="1:14" x14ac:dyDescent="0.25">
      <c r="D93"/>
      <c r="E93"/>
      <c r="F93"/>
      <c r="G93"/>
      <c r="H93"/>
      <c r="I93"/>
      <c r="J93"/>
      <c r="K93"/>
    </row>
    <row r="94" spans="1:14" x14ac:dyDescent="0.25">
      <c r="D94"/>
      <c r="E94"/>
      <c r="F94"/>
      <c r="G94"/>
      <c r="H94"/>
      <c r="I94"/>
      <c r="J94"/>
      <c r="K94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REKAPITULASI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HAPU</cp:lastModifiedBy>
  <cp:lastPrinted>2023-08-31T08:44:54Z</cp:lastPrinted>
  <dcterms:created xsi:type="dcterms:W3CDTF">2022-08-09T08:09:18Z</dcterms:created>
  <dcterms:modified xsi:type="dcterms:W3CDTF">2024-01-17T08:29:57Z</dcterms:modified>
</cp:coreProperties>
</file>