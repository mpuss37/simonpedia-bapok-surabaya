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drawings/drawing21.xml" ContentType="application/vnd.openxmlformats-officedocument.drawing+xml"/>
  <Override PartName="/xl/comments22.xml" ContentType="application/vnd.openxmlformats-officedocument.spreadsheetml.comments+xml"/>
  <Override PartName="/xl/drawings/drawing22.xml" ContentType="application/vnd.openxmlformats-officedocument.drawing+xml"/>
  <Override PartName="/xl/comments23.xml" ContentType="application/vnd.openxmlformats-officedocument.spreadsheetml.comments+xml"/>
  <Override PartName="/xl/drawings/drawing23.xml" ContentType="application/vnd.openxmlformats-officedocument.drawing+xml"/>
  <Override PartName="/xl/comments24.xml" ContentType="application/vnd.openxmlformats-officedocument.spreadsheetml.comments+xml"/>
  <Override PartName="/xl/drawings/drawing24.xml" ContentType="application/vnd.openxmlformats-officedocument.drawing+xml"/>
  <Override PartName="/xl/comments25.xml" ContentType="application/vnd.openxmlformats-officedocument.spreadsheetml.comments+xml"/>
  <Override PartName="/xl/drawings/drawing25.xml" ContentType="application/vnd.openxmlformats-officedocument.drawing+xml"/>
  <Override PartName="/xl/comments26.xml" ContentType="application/vnd.openxmlformats-officedocument.spreadsheetml.comments+xml"/>
  <Override PartName="/xl/drawings/drawing26.xml" ContentType="application/vnd.openxmlformats-officedocument.drawing+xml"/>
  <Override PartName="/xl/comments27.xml" ContentType="application/vnd.openxmlformats-officedocument.spreadsheetml.comments+xml"/>
  <Override PartName="/xl/drawings/drawing27.xml" ContentType="application/vnd.openxmlformats-officedocument.drawing+xml"/>
  <Override PartName="/xl/comments28.xml" ContentType="application/vnd.openxmlformats-officedocument.spreadsheetml.comments+xml"/>
  <Override PartName="/xl/drawings/drawing28.xml" ContentType="application/vnd.openxmlformats-officedocument.drawing+xml"/>
  <Override PartName="/xl/comments29.xml" ContentType="application/vnd.openxmlformats-officedocument.spreadsheetml.comments+xml"/>
  <Override PartName="/xl/drawings/drawing29.xml" ContentType="application/vnd.openxmlformats-officedocument.drawing+xml"/>
  <Override PartName="/xl/comments3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usni Kerja\BPSDA\Excel Rekap harian PD Pasar\2023\"/>
    </mc:Choice>
  </mc:AlternateContent>
  <xr:revisionPtr revIDLastSave="0" documentId="13_ncr:1_{E23AA429-33DB-43E8-8D5D-DA6738CC60C4}" xr6:coauthVersionLast="47" xr6:coauthVersionMax="47" xr10:uidLastSave="{00000000-0000-0000-0000-000000000000}"/>
  <bookViews>
    <workbookView xWindow="-120" yWindow="-120" windowWidth="24240" windowHeight="13140" xr2:uid="{4C192097-C7C4-45F9-8F41-4BB5DE9D5F4A}"/>
  </bookViews>
  <sheets>
    <sheet name="REKAPITULASI" sheetId="1" r:id="rId1"/>
    <sheet name="GRAFIK" sheetId="33" r:id="rId2"/>
    <sheet name="1" sheetId="2" r:id="rId3"/>
    <sheet name="2" sheetId="3" r:id="rId4"/>
    <sheet name="3" sheetId="4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  <sheet name="10" sheetId="11" r:id="rId12"/>
    <sheet name="11" sheetId="12" r:id="rId13"/>
    <sheet name="12" sheetId="13" r:id="rId14"/>
    <sheet name="13" sheetId="14" r:id="rId15"/>
    <sheet name="14" sheetId="15" r:id="rId16"/>
    <sheet name="15" sheetId="16" r:id="rId17"/>
    <sheet name="16" sheetId="17" r:id="rId18"/>
    <sheet name="17" sheetId="18" r:id="rId19"/>
    <sheet name="18" sheetId="19" r:id="rId20"/>
    <sheet name="19" sheetId="20" r:id="rId21"/>
    <sheet name="20" sheetId="21" r:id="rId22"/>
    <sheet name="21" sheetId="22" r:id="rId23"/>
    <sheet name="22" sheetId="23" r:id="rId24"/>
    <sheet name="23" sheetId="24" r:id="rId25"/>
    <sheet name="24" sheetId="25" r:id="rId26"/>
    <sheet name="25" sheetId="26" r:id="rId27"/>
    <sheet name="26" sheetId="27" r:id="rId28"/>
    <sheet name="27" sheetId="28" r:id="rId29"/>
    <sheet name="28" sheetId="29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9" i="1" l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" i="1"/>
  <c r="Z12" i="1"/>
  <c r="AA12" i="1"/>
  <c r="AB12" i="1"/>
  <c r="AC12" i="1"/>
  <c r="AD12" i="1"/>
  <c r="AE12" i="1"/>
  <c r="Z15" i="1"/>
  <c r="AA15" i="1"/>
  <c r="AB15" i="1"/>
  <c r="AC15" i="1"/>
  <c r="AD15" i="1"/>
  <c r="AE15" i="1"/>
  <c r="Z18" i="1"/>
  <c r="AA18" i="1"/>
  <c r="AB18" i="1"/>
  <c r="AC18" i="1"/>
  <c r="AD18" i="1"/>
  <c r="AE18" i="1"/>
  <c r="Z20" i="1"/>
  <c r="AA20" i="1"/>
  <c r="AB20" i="1"/>
  <c r="AC20" i="1"/>
  <c r="AD20" i="1"/>
  <c r="AE20" i="1"/>
  <c r="Z25" i="1"/>
  <c r="AA25" i="1"/>
  <c r="AB25" i="1"/>
  <c r="AC25" i="1"/>
  <c r="AD25" i="1"/>
  <c r="AE25" i="1"/>
  <c r="AE28" i="1"/>
  <c r="Z32" i="1"/>
  <c r="AA32" i="1"/>
  <c r="AB32" i="1"/>
  <c r="AC32" i="1"/>
  <c r="AD32" i="1"/>
  <c r="AE32" i="1"/>
  <c r="Z35" i="1"/>
  <c r="AA35" i="1"/>
  <c r="AB35" i="1"/>
  <c r="AC35" i="1"/>
  <c r="AD35" i="1"/>
  <c r="AE35" i="1"/>
  <c r="Z38" i="1"/>
  <c r="AA38" i="1"/>
  <c r="AB38" i="1"/>
  <c r="AC38" i="1"/>
  <c r="AD38" i="1"/>
  <c r="AE38" i="1"/>
  <c r="Z41" i="1"/>
  <c r="AA41" i="1"/>
  <c r="AB41" i="1"/>
  <c r="AC41" i="1"/>
  <c r="AD41" i="1"/>
  <c r="AE41" i="1"/>
  <c r="Z44" i="1"/>
  <c r="AA44" i="1"/>
  <c r="AB44" i="1"/>
  <c r="AC44" i="1"/>
  <c r="AD44" i="1"/>
  <c r="AE44" i="1"/>
  <c r="Z47" i="1"/>
  <c r="AA47" i="1"/>
  <c r="AB47" i="1"/>
  <c r="AC47" i="1"/>
  <c r="AD47" i="1"/>
  <c r="AE47" i="1"/>
  <c r="Z49" i="1"/>
  <c r="AA49" i="1"/>
  <c r="AB49" i="1"/>
  <c r="AC49" i="1"/>
  <c r="AD49" i="1"/>
  <c r="AE49" i="1"/>
  <c r="Z51" i="1"/>
  <c r="AA51" i="1"/>
  <c r="AB51" i="1"/>
  <c r="AC51" i="1"/>
  <c r="AD51" i="1"/>
  <c r="AE51" i="1"/>
  <c r="Z56" i="1"/>
  <c r="AA56" i="1"/>
  <c r="AB56" i="1"/>
  <c r="AC56" i="1"/>
  <c r="AD56" i="1"/>
  <c r="AE56" i="1"/>
  <c r="Z58" i="1"/>
  <c r="AA58" i="1"/>
  <c r="AB58" i="1"/>
  <c r="AC58" i="1"/>
  <c r="AD58" i="1"/>
  <c r="AE58" i="1"/>
  <c r="Z62" i="1"/>
  <c r="AA62" i="1"/>
  <c r="AB62" i="1"/>
  <c r="AC62" i="1"/>
  <c r="AD62" i="1"/>
  <c r="AE62" i="1"/>
  <c r="Z64" i="1"/>
  <c r="AA64" i="1"/>
  <c r="AB64" i="1"/>
  <c r="AC64" i="1"/>
  <c r="AD64" i="1"/>
  <c r="AE64" i="1"/>
  <c r="Z69" i="1"/>
  <c r="AA69" i="1"/>
  <c r="AB69" i="1"/>
  <c r="AC69" i="1"/>
  <c r="AD69" i="1"/>
  <c r="AE69" i="1"/>
  <c r="Z72" i="1"/>
  <c r="AA72" i="1"/>
  <c r="AB72" i="1"/>
  <c r="AC72" i="1"/>
  <c r="AD72" i="1"/>
  <c r="AE72" i="1"/>
  <c r="Z82" i="1"/>
  <c r="AA82" i="1"/>
  <c r="AB82" i="1"/>
  <c r="AC82" i="1"/>
  <c r="AD82" i="1"/>
  <c r="AE82" i="1"/>
  <c r="Y12" i="1"/>
  <c r="Y15" i="1"/>
  <c r="Y18" i="1"/>
  <c r="Y20" i="1"/>
  <c r="Y25" i="1"/>
  <c r="Y32" i="1"/>
  <c r="Y35" i="1"/>
  <c r="Y38" i="1"/>
  <c r="Y41" i="1"/>
  <c r="Y44" i="1"/>
  <c r="Y47" i="1"/>
  <c r="Y49" i="1"/>
  <c r="Y51" i="1"/>
  <c r="Y56" i="1"/>
  <c r="Y58" i="1"/>
  <c r="Y62" i="1"/>
  <c r="Y64" i="1"/>
  <c r="Y69" i="1"/>
  <c r="Y72" i="1"/>
  <c r="Y82" i="1"/>
  <c r="K83" i="29"/>
  <c r="AE83" i="1" s="1"/>
  <c r="K81" i="29"/>
  <c r="AE81" i="1" s="1"/>
  <c r="K80" i="29"/>
  <c r="AE80" i="1" s="1"/>
  <c r="K79" i="29"/>
  <c r="AE79" i="1" s="1"/>
  <c r="K78" i="29"/>
  <c r="AE78" i="1" s="1"/>
  <c r="K77" i="29"/>
  <c r="AE77" i="1" s="1"/>
  <c r="K76" i="29"/>
  <c r="AE76" i="1" s="1"/>
  <c r="K75" i="29"/>
  <c r="AE75" i="1" s="1"/>
  <c r="K74" i="29"/>
  <c r="AE74" i="1" s="1"/>
  <c r="K73" i="29"/>
  <c r="AE73" i="1" s="1"/>
  <c r="K71" i="29"/>
  <c r="AE71" i="1" s="1"/>
  <c r="K70" i="29"/>
  <c r="AE70" i="1" s="1"/>
  <c r="K68" i="29"/>
  <c r="AE68" i="1" s="1"/>
  <c r="K67" i="29"/>
  <c r="AE67" i="1" s="1"/>
  <c r="K66" i="29"/>
  <c r="AE66" i="1" s="1"/>
  <c r="K65" i="29"/>
  <c r="AE65" i="1" s="1"/>
  <c r="K63" i="29"/>
  <c r="AE63" i="1" s="1"/>
  <c r="K61" i="29"/>
  <c r="AE61" i="1" s="1"/>
  <c r="K60" i="29"/>
  <c r="AE60" i="1" s="1"/>
  <c r="K59" i="29"/>
  <c r="AE59" i="1" s="1"/>
  <c r="K57" i="29"/>
  <c r="AE57" i="1" s="1"/>
  <c r="K55" i="29"/>
  <c r="AE55" i="1" s="1"/>
  <c r="K54" i="29"/>
  <c r="AE54" i="1" s="1"/>
  <c r="K53" i="29"/>
  <c r="AE53" i="1" s="1"/>
  <c r="K52" i="29"/>
  <c r="AE52" i="1" s="1"/>
  <c r="K50" i="29"/>
  <c r="AE50" i="1" s="1"/>
  <c r="K48" i="29"/>
  <c r="AE48" i="1" s="1"/>
  <c r="K46" i="29"/>
  <c r="AE46" i="1" s="1"/>
  <c r="K45" i="29"/>
  <c r="AE45" i="1" s="1"/>
  <c r="K43" i="29"/>
  <c r="AE43" i="1" s="1"/>
  <c r="K42" i="29"/>
  <c r="AE42" i="1" s="1"/>
  <c r="K40" i="29"/>
  <c r="AE40" i="1" s="1"/>
  <c r="K39" i="29"/>
  <c r="AE39" i="1" s="1"/>
  <c r="K37" i="29"/>
  <c r="AE37" i="1" s="1"/>
  <c r="K36" i="29"/>
  <c r="AE36" i="1" s="1"/>
  <c r="K34" i="29"/>
  <c r="AE34" i="1" s="1"/>
  <c r="K33" i="29"/>
  <c r="AE33" i="1" s="1"/>
  <c r="K31" i="29"/>
  <c r="AE31" i="1" s="1"/>
  <c r="K30" i="29"/>
  <c r="AE30" i="1" s="1"/>
  <c r="K29" i="29"/>
  <c r="AE29" i="1" s="1"/>
  <c r="K28" i="29"/>
  <c r="K27" i="29"/>
  <c r="AE27" i="1" s="1"/>
  <c r="K26" i="29"/>
  <c r="AE26" i="1" s="1"/>
  <c r="K24" i="29"/>
  <c r="AE24" i="1" s="1"/>
  <c r="K23" i="29"/>
  <c r="AE23" i="1" s="1"/>
  <c r="K22" i="29"/>
  <c r="AE22" i="1" s="1"/>
  <c r="K21" i="29"/>
  <c r="AE21" i="1" s="1"/>
  <c r="K19" i="29"/>
  <c r="AE19" i="1" s="1"/>
  <c r="K17" i="29"/>
  <c r="AE17" i="1" s="1"/>
  <c r="K16" i="29"/>
  <c r="AE16" i="1" s="1"/>
  <c r="K14" i="29"/>
  <c r="AE14" i="1" s="1"/>
  <c r="K13" i="29"/>
  <c r="AE13" i="1" s="1"/>
  <c r="K11" i="29"/>
  <c r="AE11" i="1" s="1"/>
  <c r="K10" i="29"/>
  <c r="AE10" i="1" s="1"/>
  <c r="K9" i="29"/>
  <c r="AE9" i="1" s="1"/>
  <c r="K8" i="29"/>
  <c r="K83" i="28" l="1"/>
  <c r="AD83" i="1" s="1"/>
  <c r="K81" i="28"/>
  <c r="AD81" i="1" s="1"/>
  <c r="K80" i="28"/>
  <c r="AD80" i="1" s="1"/>
  <c r="K79" i="28"/>
  <c r="AD79" i="1" s="1"/>
  <c r="K78" i="28"/>
  <c r="AD78" i="1" s="1"/>
  <c r="K77" i="28"/>
  <c r="AD77" i="1" s="1"/>
  <c r="K76" i="28"/>
  <c r="AD76" i="1" s="1"/>
  <c r="K75" i="28"/>
  <c r="AD75" i="1" s="1"/>
  <c r="K74" i="28"/>
  <c r="AD74" i="1" s="1"/>
  <c r="K73" i="28"/>
  <c r="AD73" i="1" s="1"/>
  <c r="K71" i="28"/>
  <c r="AD71" i="1" s="1"/>
  <c r="K70" i="28"/>
  <c r="AD70" i="1" s="1"/>
  <c r="K68" i="28"/>
  <c r="AD68" i="1" s="1"/>
  <c r="K67" i="28"/>
  <c r="AD67" i="1" s="1"/>
  <c r="K66" i="28"/>
  <c r="AD66" i="1" s="1"/>
  <c r="K65" i="28"/>
  <c r="AD65" i="1" s="1"/>
  <c r="K63" i="28"/>
  <c r="AD63" i="1" s="1"/>
  <c r="K61" i="28"/>
  <c r="AD61" i="1" s="1"/>
  <c r="K60" i="28"/>
  <c r="AD60" i="1" s="1"/>
  <c r="K59" i="28"/>
  <c r="AD59" i="1" s="1"/>
  <c r="K57" i="28"/>
  <c r="AD57" i="1" s="1"/>
  <c r="K55" i="28"/>
  <c r="AD55" i="1" s="1"/>
  <c r="K54" i="28"/>
  <c r="AD54" i="1" s="1"/>
  <c r="K53" i="28"/>
  <c r="AD53" i="1" s="1"/>
  <c r="K52" i="28"/>
  <c r="AD52" i="1" s="1"/>
  <c r="K50" i="28"/>
  <c r="AD50" i="1" s="1"/>
  <c r="K48" i="28"/>
  <c r="AD48" i="1" s="1"/>
  <c r="K46" i="28"/>
  <c r="AD46" i="1" s="1"/>
  <c r="K45" i="28"/>
  <c r="AD45" i="1" s="1"/>
  <c r="K43" i="28"/>
  <c r="AD43" i="1" s="1"/>
  <c r="K42" i="28"/>
  <c r="AD42" i="1" s="1"/>
  <c r="K40" i="28"/>
  <c r="AD40" i="1" s="1"/>
  <c r="K39" i="28"/>
  <c r="AD39" i="1" s="1"/>
  <c r="K37" i="28"/>
  <c r="AD37" i="1" s="1"/>
  <c r="K36" i="28"/>
  <c r="AD36" i="1" s="1"/>
  <c r="K34" i="28"/>
  <c r="AD34" i="1" s="1"/>
  <c r="K33" i="28"/>
  <c r="AD33" i="1" s="1"/>
  <c r="K31" i="28"/>
  <c r="AD31" i="1" s="1"/>
  <c r="K30" i="28"/>
  <c r="AD30" i="1" s="1"/>
  <c r="K29" i="28"/>
  <c r="AD29" i="1" s="1"/>
  <c r="K28" i="28"/>
  <c r="AD28" i="1" s="1"/>
  <c r="K27" i="28"/>
  <c r="AD27" i="1" s="1"/>
  <c r="K26" i="28"/>
  <c r="AD26" i="1" s="1"/>
  <c r="K24" i="28"/>
  <c r="AD24" i="1" s="1"/>
  <c r="K23" i="28"/>
  <c r="AD23" i="1" s="1"/>
  <c r="K22" i="28"/>
  <c r="AD22" i="1" s="1"/>
  <c r="K21" i="28"/>
  <c r="AD21" i="1" s="1"/>
  <c r="K19" i="28"/>
  <c r="AD19" i="1" s="1"/>
  <c r="K17" i="28"/>
  <c r="AD17" i="1" s="1"/>
  <c r="K16" i="28"/>
  <c r="AD16" i="1" s="1"/>
  <c r="K14" i="28"/>
  <c r="AD14" i="1" s="1"/>
  <c r="K13" i="28"/>
  <c r="AD13" i="1" s="1"/>
  <c r="K11" i="28"/>
  <c r="AD11" i="1" s="1"/>
  <c r="K10" i="28"/>
  <c r="AD10" i="1" s="1"/>
  <c r="K9" i="28"/>
  <c r="AD9" i="1" s="1"/>
  <c r="K8" i="28"/>
  <c r="K83" i="27"/>
  <c r="AC83" i="1" s="1"/>
  <c r="K81" i="27"/>
  <c r="AC81" i="1" s="1"/>
  <c r="K80" i="27"/>
  <c r="AC80" i="1" s="1"/>
  <c r="K79" i="27"/>
  <c r="AC79" i="1" s="1"/>
  <c r="K78" i="27"/>
  <c r="AC78" i="1" s="1"/>
  <c r="K77" i="27"/>
  <c r="AC77" i="1" s="1"/>
  <c r="K76" i="27"/>
  <c r="AC76" i="1" s="1"/>
  <c r="K75" i="27"/>
  <c r="AC75" i="1" s="1"/>
  <c r="K74" i="27"/>
  <c r="AC74" i="1" s="1"/>
  <c r="K73" i="27"/>
  <c r="AC73" i="1" s="1"/>
  <c r="K71" i="27"/>
  <c r="AC71" i="1" s="1"/>
  <c r="K70" i="27"/>
  <c r="AC70" i="1" s="1"/>
  <c r="K68" i="27"/>
  <c r="AC68" i="1" s="1"/>
  <c r="K67" i="27"/>
  <c r="AC67" i="1" s="1"/>
  <c r="K66" i="27"/>
  <c r="AC66" i="1" s="1"/>
  <c r="K65" i="27"/>
  <c r="AC65" i="1" s="1"/>
  <c r="K63" i="27"/>
  <c r="AC63" i="1" s="1"/>
  <c r="K61" i="27"/>
  <c r="AC61" i="1" s="1"/>
  <c r="K60" i="27"/>
  <c r="AC60" i="1" s="1"/>
  <c r="K59" i="27"/>
  <c r="AC59" i="1" s="1"/>
  <c r="K57" i="27"/>
  <c r="AC57" i="1" s="1"/>
  <c r="K55" i="27"/>
  <c r="AC55" i="1" s="1"/>
  <c r="K54" i="27"/>
  <c r="AC54" i="1" s="1"/>
  <c r="K53" i="27"/>
  <c r="AC53" i="1" s="1"/>
  <c r="K52" i="27"/>
  <c r="AC52" i="1" s="1"/>
  <c r="K50" i="27"/>
  <c r="AC50" i="1" s="1"/>
  <c r="K48" i="27"/>
  <c r="AC48" i="1" s="1"/>
  <c r="K46" i="27"/>
  <c r="AC46" i="1" s="1"/>
  <c r="K45" i="27"/>
  <c r="AC45" i="1" s="1"/>
  <c r="K43" i="27"/>
  <c r="AC43" i="1" s="1"/>
  <c r="K42" i="27"/>
  <c r="AC42" i="1" s="1"/>
  <c r="K40" i="27"/>
  <c r="AC40" i="1" s="1"/>
  <c r="K39" i="27"/>
  <c r="AC39" i="1" s="1"/>
  <c r="K37" i="27"/>
  <c r="AC37" i="1" s="1"/>
  <c r="K36" i="27"/>
  <c r="AC36" i="1" s="1"/>
  <c r="K34" i="27"/>
  <c r="AC34" i="1" s="1"/>
  <c r="K33" i="27"/>
  <c r="AC33" i="1" s="1"/>
  <c r="K31" i="27"/>
  <c r="AC31" i="1" s="1"/>
  <c r="K30" i="27"/>
  <c r="AC30" i="1" s="1"/>
  <c r="K29" i="27"/>
  <c r="AC29" i="1" s="1"/>
  <c r="K28" i="27"/>
  <c r="AC28" i="1" s="1"/>
  <c r="K27" i="27"/>
  <c r="AC27" i="1" s="1"/>
  <c r="K26" i="27"/>
  <c r="AC26" i="1" s="1"/>
  <c r="K24" i="27"/>
  <c r="AC24" i="1" s="1"/>
  <c r="K23" i="27"/>
  <c r="AC23" i="1" s="1"/>
  <c r="K22" i="27"/>
  <c r="AC22" i="1" s="1"/>
  <c r="K21" i="27"/>
  <c r="AC21" i="1" s="1"/>
  <c r="K19" i="27"/>
  <c r="AC19" i="1" s="1"/>
  <c r="K17" i="27"/>
  <c r="AC17" i="1" s="1"/>
  <c r="K16" i="27"/>
  <c r="AC16" i="1" s="1"/>
  <c r="K14" i="27"/>
  <c r="AC14" i="1" s="1"/>
  <c r="K13" i="27"/>
  <c r="AC13" i="1" s="1"/>
  <c r="K11" i="27"/>
  <c r="AC11" i="1" s="1"/>
  <c r="K10" i="27"/>
  <c r="AC10" i="1" s="1"/>
  <c r="K9" i="27"/>
  <c r="AC9" i="1" s="1"/>
  <c r="K8" i="27"/>
  <c r="K83" i="26"/>
  <c r="AB83" i="1" s="1"/>
  <c r="K81" i="26"/>
  <c r="AB81" i="1" s="1"/>
  <c r="K80" i="26"/>
  <c r="AB80" i="1" s="1"/>
  <c r="K79" i="26"/>
  <c r="AB79" i="1" s="1"/>
  <c r="K78" i="26"/>
  <c r="AB78" i="1" s="1"/>
  <c r="K77" i="26"/>
  <c r="AB77" i="1" s="1"/>
  <c r="K76" i="26"/>
  <c r="AB76" i="1" s="1"/>
  <c r="K75" i="26"/>
  <c r="AB75" i="1" s="1"/>
  <c r="K74" i="26"/>
  <c r="AB74" i="1" s="1"/>
  <c r="K73" i="26"/>
  <c r="AB73" i="1" s="1"/>
  <c r="K71" i="26"/>
  <c r="AB71" i="1" s="1"/>
  <c r="K70" i="26"/>
  <c r="AB70" i="1" s="1"/>
  <c r="K68" i="26"/>
  <c r="AB68" i="1" s="1"/>
  <c r="K67" i="26"/>
  <c r="AB67" i="1" s="1"/>
  <c r="K66" i="26"/>
  <c r="AB66" i="1" s="1"/>
  <c r="K65" i="26"/>
  <c r="AB65" i="1" s="1"/>
  <c r="K63" i="26"/>
  <c r="AB63" i="1" s="1"/>
  <c r="K61" i="26"/>
  <c r="AB61" i="1" s="1"/>
  <c r="K60" i="26"/>
  <c r="AB60" i="1" s="1"/>
  <c r="K59" i="26"/>
  <c r="AB59" i="1" s="1"/>
  <c r="K57" i="26"/>
  <c r="AB57" i="1" s="1"/>
  <c r="K55" i="26"/>
  <c r="AB55" i="1" s="1"/>
  <c r="K54" i="26"/>
  <c r="AB54" i="1" s="1"/>
  <c r="K53" i="26"/>
  <c r="AB53" i="1" s="1"/>
  <c r="K52" i="26"/>
  <c r="AB52" i="1" s="1"/>
  <c r="K50" i="26"/>
  <c r="AB50" i="1" s="1"/>
  <c r="K48" i="26"/>
  <c r="AB48" i="1" s="1"/>
  <c r="K46" i="26"/>
  <c r="AB46" i="1" s="1"/>
  <c r="K45" i="26"/>
  <c r="AB45" i="1" s="1"/>
  <c r="K43" i="26"/>
  <c r="AB43" i="1" s="1"/>
  <c r="K42" i="26"/>
  <c r="AB42" i="1" s="1"/>
  <c r="K40" i="26"/>
  <c r="AB40" i="1" s="1"/>
  <c r="K39" i="26"/>
  <c r="AB39" i="1" s="1"/>
  <c r="K37" i="26"/>
  <c r="AB37" i="1" s="1"/>
  <c r="K36" i="26"/>
  <c r="AB36" i="1" s="1"/>
  <c r="K34" i="26"/>
  <c r="AB34" i="1" s="1"/>
  <c r="K33" i="26"/>
  <c r="AB33" i="1" s="1"/>
  <c r="K31" i="26"/>
  <c r="AB31" i="1" s="1"/>
  <c r="K30" i="26"/>
  <c r="AB30" i="1" s="1"/>
  <c r="K29" i="26"/>
  <c r="AB29" i="1" s="1"/>
  <c r="K28" i="26"/>
  <c r="AB28" i="1" s="1"/>
  <c r="K27" i="26"/>
  <c r="AB27" i="1" s="1"/>
  <c r="K26" i="26"/>
  <c r="AB26" i="1" s="1"/>
  <c r="K24" i="26"/>
  <c r="AB24" i="1" s="1"/>
  <c r="K23" i="26"/>
  <c r="AB23" i="1" s="1"/>
  <c r="K22" i="26"/>
  <c r="AB22" i="1" s="1"/>
  <c r="K21" i="26"/>
  <c r="AB21" i="1" s="1"/>
  <c r="K19" i="26"/>
  <c r="AB19" i="1" s="1"/>
  <c r="K17" i="26"/>
  <c r="AB17" i="1" s="1"/>
  <c r="K16" i="26"/>
  <c r="AB16" i="1" s="1"/>
  <c r="K14" i="26"/>
  <c r="AB14" i="1" s="1"/>
  <c r="K13" i="26"/>
  <c r="AB13" i="1" s="1"/>
  <c r="K11" i="26"/>
  <c r="AB11" i="1" s="1"/>
  <c r="K10" i="26"/>
  <c r="AB10" i="1" s="1"/>
  <c r="K9" i="26"/>
  <c r="AB9" i="1" s="1"/>
  <c r="K8" i="26"/>
  <c r="K83" i="25"/>
  <c r="AA83" i="1" s="1"/>
  <c r="K81" i="25"/>
  <c r="AA81" i="1" s="1"/>
  <c r="K80" i="25"/>
  <c r="AA80" i="1" s="1"/>
  <c r="K79" i="25"/>
  <c r="AA79" i="1" s="1"/>
  <c r="K78" i="25"/>
  <c r="AA78" i="1" s="1"/>
  <c r="K77" i="25"/>
  <c r="AA77" i="1" s="1"/>
  <c r="K76" i="25"/>
  <c r="AA76" i="1" s="1"/>
  <c r="K75" i="25"/>
  <c r="AA75" i="1" s="1"/>
  <c r="K74" i="25"/>
  <c r="AA74" i="1" s="1"/>
  <c r="K73" i="25"/>
  <c r="AA73" i="1" s="1"/>
  <c r="K71" i="25"/>
  <c r="AA71" i="1" s="1"/>
  <c r="K70" i="25"/>
  <c r="AA70" i="1" s="1"/>
  <c r="K68" i="25"/>
  <c r="AA68" i="1" s="1"/>
  <c r="K67" i="25"/>
  <c r="AA67" i="1" s="1"/>
  <c r="K66" i="25"/>
  <c r="AA66" i="1" s="1"/>
  <c r="K65" i="25"/>
  <c r="AA65" i="1" s="1"/>
  <c r="K63" i="25"/>
  <c r="AA63" i="1" s="1"/>
  <c r="K61" i="25"/>
  <c r="AA61" i="1" s="1"/>
  <c r="K60" i="25"/>
  <c r="AA60" i="1" s="1"/>
  <c r="K59" i="25"/>
  <c r="AA59" i="1" s="1"/>
  <c r="K57" i="25"/>
  <c r="AA57" i="1" s="1"/>
  <c r="K55" i="25"/>
  <c r="AA55" i="1" s="1"/>
  <c r="K54" i="25"/>
  <c r="AA54" i="1" s="1"/>
  <c r="K53" i="25"/>
  <c r="AA53" i="1" s="1"/>
  <c r="K52" i="25"/>
  <c r="AA52" i="1" s="1"/>
  <c r="K50" i="25"/>
  <c r="AA50" i="1" s="1"/>
  <c r="K48" i="25"/>
  <c r="AA48" i="1" s="1"/>
  <c r="K46" i="25"/>
  <c r="AA46" i="1" s="1"/>
  <c r="K45" i="25"/>
  <c r="AA45" i="1" s="1"/>
  <c r="K43" i="25"/>
  <c r="AA43" i="1" s="1"/>
  <c r="K42" i="25"/>
  <c r="AA42" i="1" s="1"/>
  <c r="K40" i="25"/>
  <c r="AA40" i="1" s="1"/>
  <c r="K39" i="25"/>
  <c r="AA39" i="1" s="1"/>
  <c r="K37" i="25"/>
  <c r="AA37" i="1" s="1"/>
  <c r="K36" i="25"/>
  <c r="AA36" i="1" s="1"/>
  <c r="K34" i="25"/>
  <c r="AA34" i="1" s="1"/>
  <c r="K33" i="25"/>
  <c r="AA33" i="1" s="1"/>
  <c r="K31" i="25"/>
  <c r="AA31" i="1" s="1"/>
  <c r="K30" i="25"/>
  <c r="AA30" i="1" s="1"/>
  <c r="K29" i="25"/>
  <c r="AA29" i="1" s="1"/>
  <c r="K28" i="25"/>
  <c r="AA28" i="1" s="1"/>
  <c r="K27" i="25"/>
  <c r="AA27" i="1" s="1"/>
  <c r="K26" i="25"/>
  <c r="AA26" i="1" s="1"/>
  <c r="K24" i="25"/>
  <c r="AA24" i="1" s="1"/>
  <c r="K23" i="25"/>
  <c r="AA23" i="1" s="1"/>
  <c r="K22" i="25"/>
  <c r="AA22" i="1" s="1"/>
  <c r="K21" i="25"/>
  <c r="AA21" i="1" s="1"/>
  <c r="K19" i="25"/>
  <c r="AA19" i="1" s="1"/>
  <c r="K17" i="25"/>
  <c r="AA17" i="1" s="1"/>
  <c r="K16" i="25"/>
  <c r="AA16" i="1" s="1"/>
  <c r="K14" i="25"/>
  <c r="AA14" i="1" s="1"/>
  <c r="K13" i="25"/>
  <c r="AA13" i="1" s="1"/>
  <c r="K11" i="25"/>
  <c r="AA11" i="1" s="1"/>
  <c r="K10" i="25"/>
  <c r="AA10" i="1" s="1"/>
  <c r="K9" i="25"/>
  <c r="AA9" i="1" s="1"/>
  <c r="K8" i="25"/>
  <c r="K83" i="24"/>
  <c r="Z83" i="1" s="1"/>
  <c r="K81" i="24"/>
  <c r="Z81" i="1" s="1"/>
  <c r="K80" i="24"/>
  <c r="Z80" i="1" s="1"/>
  <c r="K79" i="24"/>
  <c r="Z79" i="1" s="1"/>
  <c r="K78" i="24"/>
  <c r="Z78" i="1" s="1"/>
  <c r="K77" i="24"/>
  <c r="Z77" i="1" s="1"/>
  <c r="K76" i="24"/>
  <c r="Z76" i="1" s="1"/>
  <c r="K75" i="24"/>
  <c r="Z75" i="1" s="1"/>
  <c r="K74" i="24"/>
  <c r="Z74" i="1" s="1"/>
  <c r="K73" i="24"/>
  <c r="Z73" i="1" s="1"/>
  <c r="K71" i="24"/>
  <c r="Z71" i="1" s="1"/>
  <c r="K70" i="24"/>
  <c r="Z70" i="1" s="1"/>
  <c r="K68" i="24"/>
  <c r="Z68" i="1" s="1"/>
  <c r="K67" i="24"/>
  <c r="Z67" i="1" s="1"/>
  <c r="K66" i="24"/>
  <c r="Z66" i="1" s="1"/>
  <c r="K65" i="24"/>
  <c r="Z65" i="1" s="1"/>
  <c r="K63" i="24"/>
  <c r="Z63" i="1" s="1"/>
  <c r="K61" i="24"/>
  <c r="Z61" i="1" s="1"/>
  <c r="K60" i="24"/>
  <c r="Z60" i="1" s="1"/>
  <c r="K59" i="24"/>
  <c r="Z59" i="1" s="1"/>
  <c r="K57" i="24"/>
  <c r="Z57" i="1" s="1"/>
  <c r="K55" i="24"/>
  <c r="Z55" i="1" s="1"/>
  <c r="K54" i="24"/>
  <c r="Z54" i="1" s="1"/>
  <c r="K53" i="24"/>
  <c r="Z53" i="1" s="1"/>
  <c r="K52" i="24"/>
  <c r="Z52" i="1" s="1"/>
  <c r="K50" i="24"/>
  <c r="Z50" i="1" s="1"/>
  <c r="K48" i="24"/>
  <c r="Z48" i="1" s="1"/>
  <c r="K46" i="24"/>
  <c r="Z46" i="1" s="1"/>
  <c r="K45" i="24"/>
  <c r="Z45" i="1" s="1"/>
  <c r="K43" i="24"/>
  <c r="Z43" i="1" s="1"/>
  <c r="K42" i="24"/>
  <c r="Z42" i="1" s="1"/>
  <c r="K40" i="24"/>
  <c r="Z40" i="1" s="1"/>
  <c r="K39" i="24"/>
  <c r="Z39" i="1" s="1"/>
  <c r="K37" i="24"/>
  <c r="Z37" i="1" s="1"/>
  <c r="K36" i="24"/>
  <c r="Z36" i="1" s="1"/>
  <c r="K34" i="24"/>
  <c r="Z34" i="1" s="1"/>
  <c r="K33" i="24"/>
  <c r="Z33" i="1" s="1"/>
  <c r="K31" i="24"/>
  <c r="Z31" i="1" s="1"/>
  <c r="K30" i="24"/>
  <c r="Z30" i="1" s="1"/>
  <c r="K29" i="24"/>
  <c r="Z29" i="1" s="1"/>
  <c r="K28" i="24"/>
  <c r="Z28" i="1" s="1"/>
  <c r="K27" i="24"/>
  <c r="Z27" i="1" s="1"/>
  <c r="K26" i="24"/>
  <c r="Z26" i="1" s="1"/>
  <c r="K24" i="24"/>
  <c r="Z24" i="1" s="1"/>
  <c r="K23" i="24"/>
  <c r="Z23" i="1" s="1"/>
  <c r="K22" i="24"/>
  <c r="Z22" i="1" s="1"/>
  <c r="K21" i="24"/>
  <c r="Z21" i="1" s="1"/>
  <c r="K19" i="24"/>
  <c r="Z19" i="1" s="1"/>
  <c r="K17" i="24"/>
  <c r="Z17" i="1" s="1"/>
  <c r="K16" i="24"/>
  <c r="Z16" i="1" s="1"/>
  <c r="K14" i="24"/>
  <c r="Z14" i="1" s="1"/>
  <c r="K13" i="24"/>
  <c r="Z13" i="1" s="1"/>
  <c r="K11" i="24"/>
  <c r="Z11" i="1" s="1"/>
  <c r="K10" i="24"/>
  <c r="Z10" i="1" s="1"/>
  <c r="K9" i="24"/>
  <c r="Z9" i="1" s="1"/>
  <c r="K8" i="24"/>
  <c r="K83" i="23"/>
  <c r="Y83" i="1" s="1"/>
  <c r="K81" i="23"/>
  <c r="Y81" i="1" s="1"/>
  <c r="K80" i="23"/>
  <c r="Y80" i="1" s="1"/>
  <c r="K79" i="23"/>
  <c r="Y79" i="1" s="1"/>
  <c r="K78" i="23"/>
  <c r="Y78" i="1" s="1"/>
  <c r="K77" i="23"/>
  <c r="Y77" i="1" s="1"/>
  <c r="K76" i="23"/>
  <c r="Y76" i="1" s="1"/>
  <c r="K75" i="23"/>
  <c r="Y75" i="1" s="1"/>
  <c r="K74" i="23"/>
  <c r="Y74" i="1" s="1"/>
  <c r="K73" i="23"/>
  <c r="Y73" i="1" s="1"/>
  <c r="K71" i="23"/>
  <c r="Y71" i="1" s="1"/>
  <c r="K70" i="23"/>
  <c r="Y70" i="1" s="1"/>
  <c r="K68" i="23"/>
  <c r="Y68" i="1" s="1"/>
  <c r="K67" i="23"/>
  <c r="Y67" i="1" s="1"/>
  <c r="K66" i="23"/>
  <c r="Y66" i="1" s="1"/>
  <c r="K65" i="23"/>
  <c r="Y65" i="1" s="1"/>
  <c r="K63" i="23"/>
  <c r="Y63" i="1" s="1"/>
  <c r="K61" i="23"/>
  <c r="Y61" i="1" s="1"/>
  <c r="K60" i="23"/>
  <c r="Y60" i="1" s="1"/>
  <c r="K59" i="23"/>
  <c r="Y59" i="1" s="1"/>
  <c r="K57" i="23"/>
  <c r="Y57" i="1" s="1"/>
  <c r="K55" i="23"/>
  <c r="Y55" i="1" s="1"/>
  <c r="K54" i="23"/>
  <c r="Y54" i="1" s="1"/>
  <c r="K53" i="23"/>
  <c r="Y53" i="1" s="1"/>
  <c r="K52" i="23"/>
  <c r="Y52" i="1" s="1"/>
  <c r="K50" i="23"/>
  <c r="Y50" i="1" s="1"/>
  <c r="K48" i="23"/>
  <c r="Y48" i="1" s="1"/>
  <c r="K46" i="23"/>
  <c r="Y46" i="1" s="1"/>
  <c r="K45" i="23"/>
  <c r="Y45" i="1" s="1"/>
  <c r="K43" i="23"/>
  <c r="Y43" i="1" s="1"/>
  <c r="K42" i="23"/>
  <c r="Y42" i="1" s="1"/>
  <c r="K40" i="23"/>
  <c r="Y40" i="1" s="1"/>
  <c r="K39" i="23"/>
  <c r="Y39" i="1" s="1"/>
  <c r="K37" i="23"/>
  <c r="Y37" i="1" s="1"/>
  <c r="K36" i="23"/>
  <c r="Y36" i="1" s="1"/>
  <c r="K34" i="23"/>
  <c r="Y34" i="1" s="1"/>
  <c r="K33" i="23"/>
  <c r="Y33" i="1" s="1"/>
  <c r="K31" i="23"/>
  <c r="Y31" i="1" s="1"/>
  <c r="K30" i="23"/>
  <c r="Y30" i="1" s="1"/>
  <c r="K29" i="23"/>
  <c r="Y29" i="1" s="1"/>
  <c r="K28" i="23"/>
  <c r="Y28" i="1" s="1"/>
  <c r="K27" i="23"/>
  <c r="Y27" i="1" s="1"/>
  <c r="K26" i="23"/>
  <c r="Y26" i="1" s="1"/>
  <c r="K24" i="23"/>
  <c r="Y24" i="1" s="1"/>
  <c r="K23" i="23"/>
  <c r="Y23" i="1" s="1"/>
  <c r="K22" i="23"/>
  <c r="Y22" i="1" s="1"/>
  <c r="K21" i="23"/>
  <c r="Y21" i="1" s="1"/>
  <c r="K19" i="23"/>
  <c r="Y19" i="1" s="1"/>
  <c r="K17" i="23"/>
  <c r="Y17" i="1" s="1"/>
  <c r="K16" i="23"/>
  <c r="Y16" i="1" s="1"/>
  <c r="K14" i="23"/>
  <c r="Y14" i="1" s="1"/>
  <c r="K13" i="23"/>
  <c r="Y13" i="1" s="1"/>
  <c r="K11" i="23"/>
  <c r="Y11" i="1" s="1"/>
  <c r="K10" i="23"/>
  <c r="Y10" i="1" s="1"/>
  <c r="K9" i="23"/>
  <c r="Y9" i="1" s="1"/>
  <c r="K8" i="23"/>
  <c r="K80" i="22"/>
  <c r="K78" i="22"/>
  <c r="K77" i="22"/>
  <c r="K76" i="22"/>
  <c r="K75" i="22"/>
  <c r="K74" i="22"/>
  <c r="K73" i="22"/>
  <c r="K72" i="22"/>
  <c r="K71" i="22"/>
  <c r="K70" i="22"/>
  <c r="K68" i="22"/>
  <c r="K67" i="22"/>
  <c r="K65" i="22"/>
  <c r="K64" i="22"/>
  <c r="K63" i="22"/>
  <c r="K62" i="22"/>
  <c r="K60" i="22"/>
  <c r="K58" i="22"/>
  <c r="K57" i="22"/>
  <c r="K56" i="22"/>
  <c r="K54" i="22"/>
  <c r="K52" i="22"/>
  <c r="K51" i="22"/>
  <c r="K50" i="22"/>
  <c r="K49" i="22"/>
  <c r="K47" i="22"/>
  <c r="K45" i="22"/>
  <c r="K43" i="22"/>
  <c r="K42" i="22"/>
  <c r="K40" i="22"/>
  <c r="K39" i="22"/>
  <c r="K37" i="22"/>
  <c r="K36" i="22"/>
  <c r="K34" i="22"/>
  <c r="K33" i="22"/>
  <c r="K31" i="22"/>
  <c r="K30" i="22"/>
  <c r="K29" i="22"/>
  <c r="K28" i="22"/>
  <c r="K27" i="22"/>
  <c r="K26" i="22"/>
  <c r="K24" i="22"/>
  <c r="K23" i="22"/>
  <c r="K22" i="22"/>
  <c r="K21" i="22"/>
  <c r="K19" i="22"/>
  <c r="K17" i="22"/>
  <c r="K16" i="22"/>
  <c r="K14" i="22"/>
  <c r="K13" i="22"/>
  <c r="K11" i="22"/>
  <c r="K10" i="22"/>
  <c r="K9" i="22"/>
  <c r="K8" i="22"/>
  <c r="K80" i="21" l="1"/>
  <c r="K78" i="21"/>
  <c r="K77" i="21"/>
  <c r="K76" i="21"/>
  <c r="K75" i="21"/>
  <c r="K74" i="21"/>
  <c r="K73" i="21"/>
  <c r="K72" i="21"/>
  <c r="K71" i="21"/>
  <c r="K70" i="21"/>
  <c r="K68" i="21"/>
  <c r="K67" i="21"/>
  <c r="K65" i="21"/>
  <c r="K64" i="21"/>
  <c r="K63" i="21"/>
  <c r="K62" i="21"/>
  <c r="K60" i="21"/>
  <c r="K58" i="21"/>
  <c r="K57" i="21"/>
  <c r="K56" i="21"/>
  <c r="K54" i="21"/>
  <c r="K52" i="21"/>
  <c r="K51" i="21"/>
  <c r="K50" i="21"/>
  <c r="K49" i="21"/>
  <c r="K47" i="21"/>
  <c r="K45" i="21"/>
  <c r="K43" i="21"/>
  <c r="K42" i="21"/>
  <c r="K40" i="21"/>
  <c r="K39" i="21"/>
  <c r="K37" i="21"/>
  <c r="K36" i="21"/>
  <c r="K34" i="21"/>
  <c r="K33" i="21"/>
  <c r="K31" i="21"/>
  <c r="K30" i="21"/>
  <c r="K29" i="21"/>
  <c r="K28" i="21"/>
  <c r="K27" i="21"/>
  <c r="K26" i="21"/>
  <c r="K24" i="21"/>
  <c r="K23" i="21"/>
  <c r="K22" i="21"/>
  <c r="K21" i="21"/>
  <c r="K19" i="21"/>
  <c r="K17" i="21"/>
  <c r="K16" i="21"/>
  <c r="K14" i="21"/>
  <c r="K13" i="21"/>
  <c r="K11" i="21"/>
  <c r="K10" i="21"/>
  <c r="K9" i="21"/>
  <c r="K8" i="21"/>
  <c r="K80" i="20"/>
  <c r="K78" i="20"/>
  <c r="K77" i="20"/>
  <c r="K76" i="20"/>
  <c r="K75" i="20"/>
  <c r="K74" i="20"/>
  <c r="K73" i="20"/>
  <c r="K72" i="20"/>
  <c r="K71" i="20"/>
  <c r="K70" i="20"/>
  <c r="K68" i="20"/>
  <c r="K67" i="20"/>
  <c r="K65" i="20"/>
  <c r="K64" i="20"/>
  <c r="K63" i="20"/>
  <c r="K62" i="20"/>
  <c r="K60" i="20"/>
  <c r="K58" i="20"/>
  <c r="K57" i="20"/>
  <c r="K56" i="20"/>
  <c r="K54" i="20"/>
  <c r="K52" i="20"/>
  <c r="K51" i="20"/>
  <c r="K50" i="20"/>
  <c r="K49" i="20"/>
  <c r="K47" i="20"/>
  <c r="K45" i="20"/>
  <c r="K43" i="20"/>
  <c r="K42" i="20"/>
  <c r="K40" i="20"/>
  <c r="K39" i="20"/>
  <c r="K37" i="20"/>
  <c r="K36" i="20"/>
  <c r="K34" i="20"/>
  <c r="K33" i="20"/>
  <c r="K31" i="20"/>
  <c r="K30" i="20"/>
  <c r="K29" i="20"/>
  <c r="K28" i="20"/>
  <c r="K27" i="20"/>
  <c r="K26" i="20"/>
  <c r="K24" i="20"/>
  <c r="K23" i="20"/>
  <c r="K22" i="20"/>
  <c r="K21" i="20"/>
  <c r="K19" i="20"/>
  <c r="K17" i="20"/>
  <c r="K16" i="20"/>
  <c r="K14" i="20"/>
  <c r="K13" i="20"/>
  <c r="K11" i="20"/>
  <c r="K10" i="20"/>
  <c r="K9" i="20"/>
  <c r="K8" i="20"/>
  <c r="K80" i="19"/>
  <c r="K78" i="19"/>
  <c r="K77" i="19"/>
  <c r="K76" i="19"/>
  <c r="K75" i="19"/>
  <c r="K74" i="19"/>
  <c r="K73" i="19"/>
  <c r="K72" i="19"/>
  <c r="K71" i="19"/>
  <c r="K70" i="19"/>
  <c r="K68" i="19"/>
  <c r="K67" i="19"/>
  <c r="K65" i="19"/>
  <c r="K64" i="19"/>
  <c r="K63" i="19"/>
  <c r="K62" i="19"/>
  <c r="K60" i="19"/>
  <c r="K58" i="19"/>
  <c r="K57" i="19"/>
  <c r="K56" i="19"/>
  <c r="K54" i="19"/>
  <c r="K52" i="19"/>
  <c r="K51" i="19"/>
  <c r="K50" i="19"/>
  <c r="K49" i="19"/>
  <c r="K47" i="19"/>
  <c r="K45" i="19"/>
  <c r="K43" i="19"/>
  <c r="K42" i="19"/>
  <c r="K40" i="19"/>
  <c r="K39" i="19"/>
  <c r="K37" i="19"/>
  <c r="K36" i="19"/>
  <c r="K34" i="19"/>
  <c r="K33" i="19"/>
  <c r="K31" i="19"/>
  <c r="K30" i="19"/>
  <c r="K29" i="19"/>
  <c r="K28" i="19"/>
  <c r="K27" i="19"/>
  <c r="K26" i="19"/>
  <c r="K24" i="19"/>
  <c r="K23" i="19"/>
  <c r="K22" i="19"/>
  <c r="K21" i="19"/>
  <c r="K19" i="19"/>
  <c r="K17" i="19"/>
  <c r="K16" i="19"/>
  <c r="K14" i="19"/>
  <c r="K13" i="19"/>
  <c r="K11" i="19"/>
  <c r="K10" i="19"/>
  <c r="K9" i="19"/>
  <c r="K8" i="19"/>
  <c r="K80" i="18"/>
  <c r="K78" i="18"/>
  <c r="K77" i="18"/>
  <c r="K76" i="18"/>
  <c r="K75" i="18"/>
  <c r="K74" i="18"/>
  <c r="K73" i="18"/>
  <c r="K72" i="18"/>
  <c r="K71" i="18"/>
  <c r="K70" i="18"/>
  <c r="K68" i="18"/>
  <c r="K67" i="18"/>
  <c r="K65" i="18"/>
  <c r="K64" i="18"/>
  <c r="K63" i="18"/>
  <c r="K62" i="18"/>
  <c r="K60" i="18"/>
  <c r="K58" i="18"/>
  <c r="K57" i="18"/>
  <c r="K56" i="18"/>
  <c r="K54" i="18"/>
  <c r="K52" i="18"/>
  <c r="K51" i="18"/>
  <c r="K50" i="18"/>
  <c r="K49" i="18"/>
  <c r="K47" i="18"/>
  <c r="K45" i="18"/>
  <c r="K43" i="18"/>
  <c r="K42" i="18"/>
  <c r="K40" i="18"/>
  <c r="K39" i="18"/>
  <c r="K37" i="18"/>
  <c r="K36" i="18"/>
  <c r="K34" i="18"/>
  <c r="K33" i="18"/>
  <c r="K31" i="18"/>
  <c r="K30" i="18"/>
  <c r="K29" i="18"/>
  <c r="K28" i="18"/>
  <c r="K27" i="18"/>
  <c r="K26" i="18"/>
  <c r="K24" i="18"/>
  <c r="K23" i="18"/>
  <c r="K22" i="18"/>
  <c r="K21" i="18"/>
  <c r="K19" i="18"/>
  <c r="K17" i="18"/>
  <c r="K16" i="18"/>
  <c r="K14" i="18"/>
  <c r="K13" i="18"/>
  <c r="K11" i="18"/>
  <c r="K10" i="18"/>
  <c r="K9" i="18"/>
  <c r="K8" i="18"/>
  <c r="K80" i="17"/>
  <c r="K78" i="17"/>
  <c r="K77" i="17"/>
  <c r="K76" i="17"/>
  <c r="K75" i="17"/>
  <c r="K74" i="17"/>
  <c r="K73" i="17"/>
  <c r="K72" i="17"/>
  <c r="K71" i="17"/>
  <c r="K70" i="17"/>
  <c r="K68" i="17"/>
  <c r="K67" i="17"/>
  <c r="K65" i="17"/>
  <c r="K64" i="17"/>
  <c r="K63" i="17"/>
  <c r="K62" i="17"/>
  <c r="K60" i="17"/>
  <c r="K58" i="17"/>
  <c r="K57" i="17"/>
  <c r="K56" i="17"/>
  <c r="K54" i="17"/>
  <c r="K52" i="17"/>
  <c r="K51" i="17"/>
  <c r="K50" i="17"/>
  <c r="K49" i="17"/>
  <c r="K47" i="17"/>
  <c r="K45" i="17"/>
  <c r="K43" i="17"/>
  <c r="K42" i="17"/>
  <c r="K40" i="17"/>
  <c r="K39" i="17"/>
  <c r="K37" i="17"/>
  <c r="K36" i="17"/>
  <c r="K34" i="17"/>
  <c r="K33" i="17"/>
  <c r="K31" i="17"/>
  <c r="K30" i="17"/>
  <c r="K29" i="17"/>
  <c r="K28" i="17"/>
  <c r="K27" i="17"/>
  <c r="K26" i="17"/>
  <c r="K24" i="17"/>
  <c r="K23" i="17"/>
  <c r="K22" i="17"/>
  <c r="K21" i="17"/>
  <c r="K19" i="17"/>
  <c r="K17" i="17"/>
  <c r="K16" i="17"/>
  <c r="K14" i="17"/>
  <c r="K13" i="17"/>
  <c r="K11" i="17"/>
  <c r="K10" i="17"/>
  <c r="K9" i="17"/>
  <c r="K8" i="17"/>
  <c r="K80" i="16"/>
  <c r="K78" i="16"/>
  <c r="K77" i="16"/>
  <c r="K76" i="16"/>
  <c r="K75" i="16"/>
  <c r="K74" i="16"/>
  <c r="K73" i="16"/>
  <c r="K72" i="16"/>
  <c r="K71" i="16"/>
  <c r="K70" i="16"/>
  <c r="K68" i="16"/>
  <c r="K67" i="16"/>
  <c r="K65" i="16"/>
  <c r="K64" i="16"/>
  <c r="K63" i="16"/>
  <c r="K62" i="16"/>
  <c r="K60" i="16"/>
  <c r="K58" i="16"/>
  <c r="K57" i="16"/>
  <c r="K56" i="16"/>
  <c r="K54" i="16"/>
  <c r="K52" i="16"/>
  <c r="K51" i="16"/>
  <c r="K50" i="16"/>
  <c r="K49" i="16"/>
  <c r="K47" i="16"/>
  <c r="K45" i="16"/>
  <c r="K43" i="16"/>
  <c r="K42" i="16"/>
  <c r="K40" i="16"/>
  <c r="K39" i="16"/>
  <c r="K37" i="16"/>
  <c r="K36" i="16"/>
  <c r="K34" i="16"/>
  <c r="K33" i="16"/>
  <c r="K31" i="16"/>
  <c r="K30" i="16"/>
  <c r="K29" i="16"/>
  <c r="K28" i="16"/>
  <c r="K27" i="16"/>
  <c r="K26" i="16"/>
  <c r="K24" i="16"/>
  <c r="K23" i="16"/>
  <c r="K22" i="16"/>
  <c r="K21" i="16"/>
  <c r="K19" i="16"/>
  <c r="K17" i="16"/>
  <c r="K16" i="16"/>
  <c r="K14" i="16"/>
  <c r="K13" i="16"/>
  <c r="K11" i="16"/>
  <c r="K10" i="16"/>
  <c r="K9" i="16"/>
  <c r="K8" i="16"/>
  <c r="K80" i="15"/>
  <c r="K78" i="15"/>
  <c r="K77" i="15"/>
  <c r="K76" i="15"/>
  <c r="K75" i="15"/>
  <c r="K74" i="15"/>
  <c r="K73" i="15"/>
  <c r="K72" i="15"/>
  <c r="K71" i="15"/>
  <c r="K70" i="15"/>
  <c r="K68" i="15"/>
  <c r="K67" i="15"/>
  <c r="K65" i="15"/>
  <c r="K64" i="15"/>
  <c r="K63" i="15"/>
  <c r="K62" i="15"/>
  <c r="K60" i="15"/>
  <c r="K58" i="15"/>
  <c r="K57" i="15"/>
  <c r="K56" i="15"/>
  <c r="K54" i="15"/>
  <c r="K52" i="15"/>
  <c r="K51" i="15"/>
  <c r="K50" i="15"/>
  <c r="K49" i="15"/>
  <c r="K47" i="15"/>
  <c r="K45" i="15"/>
  <c r="K43" i="15"/>
  <c r="K42" i="15"/>
  <c r="K40" i="15"/>
  <c r="K39" i="15"/>
  <c r="K37" i="15"/>
  <c r="K36" i="15"/>
  <c r="K34" i="15"/>
  <c r="K33" i="15"/>
  <c r="K31" i="15"/>
  <c r="K30" i="15"/>
  <c r="K29" i="15"/>
  <c r="K28" i="15"/>
  <c r="K27" i="15"/>
  <c r="K26" i="15"/>
  <c r="K24" i="15"/>
  <c r="K23" i="15"/>
  <c r="K22" i="15"/>
  <c r="K21" i="15"/>
  <c r="K19" i="15"/>
  <c r="K17" i="15"/>
  <c r="K16" i="15"/>
  <c r="K14" i="15"/>
  <c r="K13" i="15"/>
  <c r="K11" i="15"/>
  <c r="K10" i="15"/>
  <c r="K9" i="15"/>
  <c r="K8" i="15"/>
  <c r="K80" i="14" l="1"/>
  <c r="K78" i="14"/>
  <c r="K77" i="14"/>
  <c r="K76" i="14"/>
  <c r="K75" i="14"/>
  <c r="K74" i="14"/>
  <c r="K73" i="14"/>
  <c r="K72" i="14"/>
  <c r="K71" i="14"/>
  <c r="K70" i="14"/>
  <c r="K68" i="14"/>
  <c r="K67" i="14"/>
  <c r="K65" i="14"/>
  <c r="K64" i="14"/>
  <c r="K63" i="14"/>
  <c r="K62" i="14"/>
  <c r="K60" i="14"/>
  <c r="K58" i="14"/>
  <c r="K57" i="14"/>
  <c r="K56" i="14"/>
  <c r="K54" i="14"/>
  <c r="K52" i="14"/>
  <c r="K51" i="14"/>
  <c r="K50" i="14"/>
  <c r="K49" i="14"/>
  <c r="K47" i="14"/>
  <c r="K45" i="14"/>
  <c r="K43" i="14"/>
  <c r="K42" i="14"/>
  <c r="K40" i="14"/>
  <c r="K39" i="14"/>
  <c r="K37" i="14"/>
  <c r="K36" i="14"/>
  <c r="K34" i="14"/>
  <c r="K33" i="14"/>
  <c r="K31" i="14"/>
  <c r="K30" i="14"/>
  <c r="K29" i="14"/>
  <c r="K28" i="14"/>
  <c r="K27" i="14"/>
  <c r="K26" i="14"/>
  <c r="K24" i="14"/>
  <c r="K23" i="14"/>
  <c r="K22" i="14"/>
  <c r="K21" i="14"/>
  <c r="K19" i="14"/>
  <c r="K17" i="14"/>
  <c r="K16" i="14"/>
  <c r="K14" i="14"/>
  <c r="K13" i="14"/>
  <c r="K11" i="14"/>
  <c r="K10" i="14"/>
  <c r="K9" i="14"/>
  <c r="K8" i="14"/>
  <c r="K80" i="12"/>
  <c r="K78" i="12"/>
  <c r="K77" i="12"/>
  <c r="K76" i="12"/>
  <c r="K75" i="12"/>
  <c r="K74" i="12"/>
  <c r="K73" i="12"/>
  <c r="K72" i="12"/>
  <c r="K71" i="12"/>
  <c r="K70" i="12"/>
  <c r="K68" i="12"/>
  <c r="K67" i="12"/>
  <c r="K65" i="12"/>
  <c r="K64" i="12"/>
  <c r="K63" i="12"/>
  <c r="K62" i="12"/>
  <c r="K60" i="12"/>
  <c r="K58" i="12"/>
  <c r="K57" i="12"/>
  <c r="K56" i="12"/>
  <c r="K54" i="12"/>
  <c r="K52" i="12"/>
  <c r="K51" i="12"/>
  <c r="K50" i="12"/>
  <c r="K49" i="12"/>
  <c r="K47" i="12"/>
  <c r="K45" i="12"/>
  <c r="K43" i="12"/>
  <c r="K42" i="12"/>
  <c r="K40" i="12"/>
  <c r="K39" i="12"/>
  <c r="K37" i="12"/>
  <c r="K36" i="12"/>
  <c r="K34" i="12"/>
  <c r="K33" i="12"/>
  <c r="K31" i="12"/>
  <c r="K30" i="12"/>
  <c r="K29" i="12"/>
  <c r="K28" i="12"/>
  <c r="K27" i="12"/>
  <c r="K26" i="12"/>
  <c r="K24" i="12"/>
  <c r="K23" i="12"/>
  <c r="K22" i="12"/>
  <c r="K21" i="12"/>
  <c r="K19" i="12"/>
  <c r="K17" i="12"/>
  <c r="K15" i="12"/>
  <c r="K14" i="12"/>
  <c r="K12" i="12"/>
  <c r="K11" i="12"/>
  <c r="K10" i="12"/>
  <c r="K9" i="12"/>
  <c r="K8" i="12"/>
  <c r="K80" i="13"/>
  <c r="K78" i="13"/>
  <c r="K77" i="13"/>
  <c r="K76" i="13"/>
  <c r="K75" i="13"/>
  <c r="K74" i="13"/>
  <c r="K73" i="13"/>
  <c r="K72" i="13"/>
  <c r="K71" i="13"/>
  <c r="K70" i="13"/>
  <c r="K68" i="13"/>
  <c r="K67" i="13"/>
  <c r="K65" i="13"/>
  <c r="K64" i="13"/>
  <c r="K63" i="13"/>
  <c r="K62" i="13"/>
  <c r="K60" i="13"/>
  <c r="K58" i="13"/>
  <c r="K57" i="13"/>
  <c r="K56" i="13"/>
  <c r="K54" i="13"/>
  <c r="K52" i="13"/>
  <c r="K51" i="13"/>
  <c r="K50" i="13"/>
  <c r="K49" i="13"/>
  <c r="K47" i="13"/>
  <c r="K45" i="13"/>
  <c r="K43" i="13"/>
  <c r="K42" i="13"/>
  <c r="K40" i="13"/>
  <c r="K39" i="13"/>
  <c r="K37" i="13"/>
  <c r="K36" i="13"/>
  <c r="K34" i="13"/>
  <c r="K33" i="13"/>
  <c r="K31" i="13"/>
  <c r="K30" i="13"/>
  <c r="K29" i="13"/>
  <c r="K28" i="13"/>
  <c r="K27" i="13"/>
  <c r="K26" i="13"/>
  <c r="K24" i="13"/>
  <c r="K23" i="13"/>
  <c r="K22" i="13"/>
  <c r="K21" i="13"/>
  <c r="K19" i="13"/>
  <c r="K17" i="13"/>
  <c r="K16" i="13"/>
  <c r="K14" i="13"/>
  <c r="K13" i="13"/>
  <c r="K11" i="13"/>
  <c r="K10" i="13"/>
  <c r="K9" i="13"/>
  <c r="K8" i="13"/>
  <c r="K80" i="11"/>
  <c r="K78" i="11"/>
  <c r="K77" i="11"/>
  <c r="K76" i="11"/>
  <c r="K75" i="11"/>
  <c r="K74" i="11"/>
  <c r="K73" i="11"/>
  <c r="K72" i="11"/>
  <c r="K71" i="11"/>
  <c r="K70" i="11"/>
  <c r="K68" i="11"/>
  <c r="K67" i="11"/>
  <c r="K65" i="11"/>
  <c r="K64" i="11"/>
  <c r="K63" i="11"/>
  <c r="K62" i="11"/>
  <c r="K60" i="11"/>
  <c r="K58" i="11"/>
  <c r="K57" i="11"/>
  <c r="K56" i="11"/>
  <c r="K54" i="11"/>
  <c r="K52" i="11"/>
  <c r="K51" i="11"/>
  <c r="K50" i="11"/>
  <c r="K49" i="11"/>
  <c r="K47" i="11"/>
  <c r="K45" i="11"/>
  <c r="K43" i="11"/>
  <c r="K42" i="11"/>
  <c r="K40" i="11"/>
  <c r="K39" i="11"/>
  <c r="K37" i="11"/>
  <c r="K36" i="11"/>
  <c r="K34" i="11"/>
  <c r="K33" i="11"/>
  <c r="K31" i="11"/>
  <c r="K30" i="11"/>
  <c r="K29" i="11"/>
  <c r="K28" i="11"/>
  <c r="K27" i="11"/>
  <c r="K26" i="11"/>
  <c r="K24" i="11"/>
  <c r="K23" i="11"/>
  <c r="K22" i="11"/>
  <c r="K21" i="11"/>
  <c r="K19" i="11"/>
  <c r="K17" i="11"/>
  <c r="K15" i="11"/>
  <c r="K14" i="11"/>
  <c r="K12" i="11"/>
  <c r="K11" i="11"/>
  <c r="K10" i="11"/>
  <c r="K9" i="11"/>
  <c r="K8" i="11"/>
  <c r="K80" i="10" l="1"/>
  <c r="K78" i="10"/>
  <c r="K77" i="10"/>
  <c r="K76" i="10"/>
  <c r="K75" i="10"/>
  <c r="K74" i="10"/>
  <c r="K73" i="10"/>
  <c r="K72" i="10"/>
  <c r="K71" i="10"/>
  <c r="K70" i="10"/>
  <c r="K68" i="10"/>
  <c r="K67" i="10"/>
  <c r="K65" i="10"/>
  <c r="K64" i="10"/>
  <c r="K63" i="10"/>
  <c r="K62" i="10"/>
  <c r="K60" i="10"/>
  <c r="K58" i="10"/>
  <c r="K57" i="10"/>
  <c r="K56" i="10"/>
  <c r="K54" i="10"/>
  <c r="K52" i="10"/>
  <c r="K51" i="10"/>
  <c r="K50" i="10"/>
  <c r="K49" i="10"/>
  <c r="K47" i="10"/>
  <c r="K45" i="10"/>
  <c r="K43" i="10"/>
  <c r="K42" i="10"/>
  <c r="K40" i="10"/>
  <c r="K39" i="10"/>
  <c r="K37" i="10"/>
  <c r="K36" i="10"/>
  <c r="K34" i="10"/>
  <c r="K33" i="10"/>
  <c r="K31" i="10"/>
  <c r="K30" i="10"/>
  <c r="K29" i="10"/>
  <c r="K28" i="10"/>
  <c r="K27" i="10"/>
  <c r="K26" i="10"/>
  <c r="K24" i="10"/>
  <c r="K23" i="10"/>
  <c r="K22" i="10"/>
  <c r="K21" i="10"/>
  <c r="K19" i="10"/>
  <c r="K17" i="10"/>
  <c r="K15" i="10"/>
  <c r="K14" i="10"/>
  <c r="K12" i="10"/>
  <c r="K11" i="10"/>
  <c r="K10" i="10"/>
  <c r="K9" i="10"/>
  <c r="K8" i="10"/>
  <c r="K80" i="9"/>
  <c r="K78" i="9"/>
  <c r="K77" i="9"/>
  <c r="K76" i="9"/>
  <c r="K75" i="9"/>
  <c r="K74" i="9"/>
  <c r="K73" i="9"/>
  <c r="K72" i="9"/>
  <c r="K71" i="9"/>
  <c r="K70" i="9"/>
  <c r="K68" i="9"/>
  <c r="K67" i="9"/>
  <c r="K65" i="9"/>
  <c r="K64" i="9"/>
  <c r="K63" i="9"/>
  <c r="K62" i="9"/>
  <c r="K60" i="9"/>
  <c r="K58" i="9"/>
  <c r="K57" i="9"/>
  <c r="K56" i="9"/>
  <c r="K54" i="9"/>
  <c r="K52" i="9"/>
  <c r="K51" i="9"/>
  <c r="K50" i="9"/>
  <c r="K49" i="9"/>
  <c r="K47" i="9"/>
  <c r="K45" i="9"/>
  <c r="K43" i="9"/>
  <c r="K42" i="9"/>
  <c r="K40" i="9"/>
  <c r="K39" i="9"/>
  <c r="K37" i="9"/>
  <c r="K36" i="9"/>
  <c r="K34" i="9"/>
  <c r="K33" i="9"/>
  <c r="K31" i="9"/>
  <c r="K30" i="9"/>
  <c r="K29" i="9"/>
  <c r="K28" i="9"/>
  <c r="K27" i="9"/>
  <c r="K26" i="9"/>
  <c r="K24" i="9"/>
  <c r="K23" i="9"/>
  <c r="K22" i="9"/>
  <c r="K21" i="9"/>
  <c r="K19" i="9"/>
  <c r="K17" i="9"/>
  <c r="K15" i="9"/>
  <c r="K14" i="9"/>
  <c r="K12" i="9"/>
  <c r="K11" i="9"/>
  <c r="K10" i="9"/>
  <c r="K9" i="9"/>
  <c r="K8" i="9"/>
  <c r="K80" i="8"/>
  <c r="K78" i="8"/>
  <c r="K77" i="8"/>
  <c r="K76" i="8"/>
  <c r="K75" i="8"/>
  <c r="K74" i="8"/>
  <c r="K73" i="8"/>
  <c r="K72" i="8"/>
  <c r="K71" i="8"/>
  <c r="K70" i="8"/>
  <c r="K68" i="8"/>
  <c r="K67" i="8"/>
  <c r="K65" i="8"/>
  <c r="K64" i="8"/>
  <c r="K63" i="8"/>
  <c r="K62" i="8"/>
  <c r="K60" i="8"/>
  <c r="K58" i="8"/>
  <c r="K57" i="8"/>
  <c r="K56" i="8"/>
  <c r="K54" i="8"/>
  <c r="K52" i="8"/>
  <c r="K51" i="8"/>
  <c r="K50" i="8"/>
  <c r="K49" i="8"/>
  <c r="K47" i="8"/>
  <c r="K45" i="8"/>
  <c r="K43" i="8"/>
  <c r="K42" i="8"/>
  <c r="K40" i="8"/>
  <c r="K39" i="8"/>
  <c r="K37" i="8"/>
  <c r="K36" i="8"/>
  <c r="K34" i="8"/>
  <c r="K33" i="8"/>
  <c r="K31" i="8"/>
  <c r="K30" i="8"/>
  <c r="K29" i="8"/>
  <c r="K28" i="8"/>
  <c r="K27" i="8"/>
  <c r="K26" i="8"/>
  <c r="K24" i="8"/>
  <c r="K23" i="8"/>
  <c r="K22" i="8"/>
  <c r="K21" i="8"/>
  <c r="K19" i="8"/>
  <c r="K17" i="8"/>
  <c r="K15" i="8"/>
  <c r="K14" i="8"/>
  <c r="K12" i="8"/>
  <c r="K11" i="8"/>
  <c r="K10" i="8"/>
  <c r="K9" i="8"/>
  <c r="K8" i="8"/>
  <c r="K80" i="5"/>
  <c r="K78" i="5"/>
  <c r="K77" i="5"/>
  <c r="K76" i="5"/>
  <c r="K75" i="5"/>
  <c r="K74" i="5"/>
  <c r="K73" i="5"/>
  <c r="K72" i="5"/>
  <c r="K71" i="5"/>
  <c r="K70" i="5"/>
  <c r="K68" i="5"/>
  <c r="K67" i="5"/>
  <c r="K65" i="5"/>
  <c r="K64" i="5"/>
  <c r="K63" i="5"/>
  <c r="K62" i="5"/>
  <c r="K60" i="5"/>
  <c r="K58" i="5"/>
  <c r="K57" i="5"/>
  <c r="K56" i="5"/>
  <c r="K54" i="5"/>
  <c r="K52" i="5"/>
  <c r="K51" i="5"/>
  <c r="K50" i="5"/>
  <c r="K49" i="5"/>
  <c r="K47" i="5"/>
  <c r="K45" i="5"/>
  <c r="K43" i="5"/>
  <c r="K42" i="5"/>
  <c r="K40" i="5"/>
  <c r="K39" i="5"/>
  <c r="K37" i="5"/>
  <c r="K36" i="5"/>
  <c r="K34" i="5"/>
  <c r="K33" i="5"/>
  <c r="K31" i="5"/>
  <c r="K30" i="5"/>
  <c r="K29" i="5"/>
  <c r="K28" i="5"/>
  <c r="K27" i="5"/>
  <c r="K26" i="5"/>
  <c r="K24" i="5"/>
  <c r="K23" i="5"/>
  <c r="K22" i="5"/>
  <c r="K21" i="5"/>
  <c r="K19" i="5"/>
  <c r="K17" i="5"/>
  <c r="K15" i="5"/>
  <c r="K14" i="5"/>
  <c r="K12" i="5"/>
  <c r="K11" i="5"/>
  <c r="K10" i="5"/>
  <c r="K9" i="5"/>
  <c r="K8" i="5"/>
  <c r="K80" i="4"/>
  <c r="K78" i="4"/>
  <c r="K77" i="4"/>
  <c r="K76" i="4"/>
  <c r="K75" i="4"/>
  <c r="K74" i="4"/>
  <c r="K73" i="4"/>
  <c r="K72" i="4"/>
  <c r="K71" i="4"/>
  <c r="K70" i="4"/>
  <c r="K68" i="4"/>
  <c r="K67" i="4"/>
  <c r="K65" i="4"/>
  <c r="K64" i="4"/>
  <c r="K63" i="4"/>
  <c r="K62" i="4"/>
  <c r="K60" i="4"/>
  <c r="K58" i="4"/>
  <c r="K57" i="4"/>
  <c r="K56" i="4"/>
  <c r="K54" i="4"/>
  <c r="K52" i="4"/>
  <c r="K51" i="4"/>
  <c r="K50" i="4"/>
  <c r="K49" i="4"/>
  <c r="K47" i="4"/>
  <c r="K45" i="4"/>
  <c r="K43" i="4"/>
  <c r="K42" i="4"/>
  <c r="K40" i="4"/>
  <c r="K39" i="4"/>
  <c r="K37" i="4"/>
  <c r="K36" i="4"/>
  <c r="K34" i="4"/>
  <c r="K33" i="4"/>
  <c r="K31" i="4"/>
  <c r="K30" i="4"/>
  <c r="K29" i="4"/>
  <c r="K28" i="4"/>
  <c r="K27" i="4"/>
  <c r="K26" i="4"/>
  <c r="K24" i="4"/>
  <c r="K23" i="4"/>
  <c r="K22" i="4"/>
  <c r="K21" i="4"/>
  <c r="K19" i="4"/>
  <c r="K17" i="4"/>
  <c r="K15" i="4"/>
  <c r="K14" i="4"/>
  <c r="K12" i="4"/>
  <c r="K11" i="4"/>
  <c r="K10" i="4"/>
  <c r="K9" i="4"/>
  <c r="K8" i="4"/>
  <c r="K80" i="3" l="1"/>
  <c r="K78" i="3"/>
  <c r="K77" i="3"/>
  <c r="K76" i="3"/>
  <c r="K75" i="3"/>
  <c r="K74" i="3"/>
  <c r="K73" i="3"/>
  <c r="K72" i="3"/>
  <c r="K71" i="3"/>
  <c r="K70" i="3"/>
  <c r="K68" i="3"/>
  <c r="K67" i="3"/>
  <c r="K65" i="3"/>
  <c r="K64" i="3"/>
  <c r="K63" i="3"/>
  <c r="K62" i="3"/>
  <c r="D194" i="33" s="1"/>
  <c r="K60" i="3"/>
  <c r="K58" i="3"/>
  <c r="K57" i="3"/>
  <c r="D171" i="33" s="1"/>
  <c r="K56" i="3"/>
  <c r="K54" i="3"/>
  <c r="K52" i="3"/>
  <c r="K51" i="3"/>
  <c r="K50" i="3"/>
  <c r="K49" i="3"/>
  <c r="K47" i="3"/>
  <c r="K45" i="3"/>
  <c r="D117" i="33" s="1"/>
  <c r="K43" i="3"/>
  <c r="K42" i="3"/>
  <c r="K40" i="3"/>
  <c r="K39" i="3"/>
  <c r="K37" i="3"/>
  <c r="K36" i="3"/>
  <c r="K34" i="3"/>
  <c r="K33" i="3"/>
  <c r="D97" i="33" s="1"/>
  <c r="K31" i="3"/>
  <c r="K30" i="3"/>
  <c r="K29" i="3"/>
  <c r="K28" i="3"/>
  <c r="K27" i="3"/>
  <c r="K26" i="3"/>
  <c r="K24" i="3"/>
  <c r="K23" i="3"/>
  <c r="K22" i="3"/>
  <c r="K21" i="3"/>
  <c r="K19" i="3"/>
  <c r="K17" i="3"/>
  <c r="K15" i="3"/>
  <c r="K14" i="3"/>
  <c r="K12" i="3"/>
  <c r="K11" i="3"/>
  <c r="K10" i="3"/>
  <c r="D5" i="33" s="1"/>
  <c r="K9" i="3"/>
  <c r="K8" i="3"/>
  <c r="K80" i="2"/>
  <c r="K78" i="2"/>
  <c r="K77" i="2"/>
  <c r="K76" i="2"/>
  <c r="K75" i="2"/>
  <c r="K74" i="2"/>
  <c r="K73" i="2"/>
  <c r="K72" i="2"/>
  <c r="K71" i="2"/>
  <c r="K70" i="2"/>
  <c r="K68" i="2"/>
  <c r="K67" i="2"/>
  <c r="K65" i="2"/>
  <c r="K64" i="2"/>
  <c r="C196" i="33" s="1"/>
  <c r="K63" i="2"/>
  <c r="K62" i="2"/>
  <c r="K60" i="2"/>
  <c r="K58" i="2"/>
  <c r="C172" i="33" s="1"/>
  <c r="K57" i="2"/>
  <c r="K56" i="2"/>
  <c r="K54" i="2"/>
  <c r="K52" i="2"/>
  <c r="K51" i="2"/>
  <c r="K50" i="2"/>
  <c r="K49" i="2"/>
  <c r="K47" i="2"/>
  <c r="K45" i="2"/>
  <c r="K43" i="2"/>
  <c r="K42" i="2"/>
  <c r="K40" i="2"/>
  <c r="K39" i="2"/>
  <c r="K37" i="2"/>
  <c r="K36" i="2"/>
  <c r="K34" i="2"/>
  <c r="K33" i="2"/>
  <c r="K31" i="2"/>
  <c r="K30" i="2"/>
  <c r="K29" i="2"/>
  <c r="K28" i="2"/>
  <c r="K27" i="2"/>
  <c r="K26" i="2"/>
  <c r="K24" i="2"/>
  <c r="C76" i="33" s="1"/>
  <c r="K23" i="2"/>
  <c r="K22" i="2"/>
  <c r="K21" i="2"/>
  <c r="K19" i="2"/>
  <c r="K17" i="2"/>
  <c r="K15" i="2"/>
  <c r="K14" i="2"/>
  <c r="K12" i="2"/>
  <c r="K11" i="2"/>
  <c r="K10" i="2"/>
  <c r="K9" i="2"/>
  <c r="C4" i="33" s="1"/>
  <c r="K8" i="2"/>
  <c r="AG197" i="33"/>
  <c r="AF197" i="33"/>
  <c r="AE197" i="33"/>
  <c r="AD197" i="33"/>
  <c r="AC197" i="33"/>
  <c r="AB197" i="33"/>
  <c r="AA197" i="33"/>
  <c r="Z197" i="33"/>
  <c r="Y197" i="33"/>
  <c r="X197" i="33"/>
  <c r="W197" i="33"/>
  <c r="V197" i="33"/>
  <c r="U197" i="33"/>
  <c r="T197" i="33"/>
  <c r="S197" i="33"/>
  <c r="R197" i="33"/>
  <c r="Q197" i="33"/>
  <c r="P197" i="33"/>
  <c r="O197" i="33"/>
  <c r="N197" i="33"/>
  <c r="M197" i="33"/>
  <c r="L197" i="33"/>
  <c r="K197" i="33"/>
  <c r="J197" i="33"/>
  <c r="I197" i="33"/>
  <c r="H197" i="33"/>
  <c r="G197" i="33"/>
  <c r="F197" i="33"/>
  <c r="E197" i="33"/>
  <c r="D197" i="33"/>
  <c r="C197" i="33"/>
  <c r="AG196" i="33"/>
  <c r="AF196" i="33"/>
  <c r="AE196" i="33"/>
  <c r="AD196" i="33"/>
  <c r="AC196" i="33"/>
  <c r="AB196" i="33"/>
  <c r="AA196" i="33"/>
  <c r="Z196" i="33"/>
  <c r="Y196" i="33"/>
  <c r="X196" i="33"/>
  <c r="W196" i="33"/>
  <c r="V196" i="33"/>
  <c r="U196" i="33"/>
  <c r="T196" i="33"/>
  <c r="S196" i="33"/>
  <c r="R196" i="33"/>
  <c r="Q196" i="33"/>
  <c r="P196" i="33"/>
  <c r="O196" i="33"/>
  <c r="N196" i="33"/>
  <c r="M196" i="33"/>
  <c r="L196" i="33"/>
  <c r="K196" i="33"/>
  <c r="J196" i="33"/>
  <c r="I196" i="33"/>
  <c r="H196" i="33"/>
  <c r="G196" i="33"/>
  <c r="F196" i="33"/>
  <c r="E196" i="33"/>
  <c r="D196" i="33"/>
  <c r="AG195" i="33"/>
  <c r="AF195" i="33"/>
  <c r="AE195" i="33"/>
  <c r="AD195" i="33"/>
  <c r="AC195" i="33"/>
  <c r="AB195" i="33"/>
  <c r="AA195" i="33"/>
  <c r="Z195" i="33"/>
  <c r="Y195" i="33"/>
  <c r="X195" i="33"/>
  <c r="W195" i="33"/>
  <c r="V195" i="33"/>
  <c r="U195" i="33"/>
  <c r="T195" i="33"/>
  <c r="S195" i="33"/>
  <c r="R195" i="33"/>
  <c r="Q195" i="33"/>
  <c r="P195" i="33"/>
  <c r="O195" i="33"/>
  <c r="N195" i="33"/>
  <c r="M195" i="33"/>
  <c r="L195" i="33"/>
  <c r="K195" i="33"/>
  <c r="J195" i="33"/>
  <c r="I195" i="33"/>
  <c r="H195" i="33"/>
  <c r="G195" i="33"/>
  <c r="F195" i="33"/>
  <c r="E195" i="33"/>
  <c r="D195" i="33"/>
  <c r="C195" i="33"/>
  <c r="AG194" i="33"/>
  <c r="AF194" i="33"/>
  <c r="AE194" i="33"/>
  <c r="AD194" i="33"/>
  <c r="AC194" i="33"/>
  <c r="AB194" i="33"/>
  <c r="AA194" i="33"/>
  <c r="Z194" i="33"/>
  <c r="Y194" i="33"/>
  <c r="X194" i="33"/>
  <c r="W194" i="33"/>
  <c r="V194" i="33"/>
  <c r="U194" i="33"/>
  <c r="T194" i="33"/>
  <c r="S194" i="33"/>
  <c r="R194" i="33"/>
  <c r="Q194" i="33"/>
  <c r="P194" i="33"/>
  <c r="O194" i="33"/>
  <c r="N194" i="33"/>
  <c r="M194" i="33"/>
  <c r="L194" i="33"/>
  <c r="K194" i="33"/>
  <c r="J194" i="33"/>
  <c r="I194" i="33"/>
  <c r="H194" i="33"/>
  <c r="G194" i="33"/>
  <c r="F194" i="33"/>
  <c r="E194" i="33"/>
  <c r="C194" i="33"/>
  <c r="AG172" i="33"/>
  <c r="AF172" i="33"/>
  <c r="AE172" i="33"/>
  <c r="AD172" i="33"/>
  <c r="AC172" i="33"/>
  <c r="AB172" i="33"/>
  <c r="AA172" i="33"/>
  <c r="Z172" i="33"/>
  <c r="Y172" i="33"/>
  <c r="X172" i="33"/>
  <c r="W172" i="33"/>
  <c r="V172" i="33"/>
  <c r="U172" i="33"/>
  <c r="T172" i="33"/>
  <c r="S172" i="33"/>
  <c r="R172" i="33"/>
  <c r="Q172" i="33"/>
  <c r="P172" i="33"/>
  <c r="O172" i="33"/>
  <c r="N172" i="33"/>
  <c r="M172" i="33"/>
  <c r="L172" i="33"/>
  <c r="K172" i="33"/>
  <c r="J172" i="33"/>
  <c r="I172" i="33"/>
  <c r="H172" i="33"/>
  <c r="G172" i="33"/>
  <c r="F172" i="33"/>
  <c r="E172" i="33"/>
  <c r="D172" i="33"/>
  <c r="AG171" i="33"/>
  <c r="AF171" i="33"/>
  <c r="AE171" i="33"/>
  <c r="AD171" i="33"/>
  <c r="AC171" i="33"/>
  <c r="AB171" i="33"/>
  <c r="AA171" i="33"/>
  <c r="Z171" i="33"/>
  <c r="Y171" i="33"/>
  <c r="X171" i="33"/>
  <c r="W171" i="33"/>
  <c r="V171" i="33"/>
  <c r="U171" i="33"/>
  <c r="T171" i="33"/>
  <c r="S171" i="33"/>
  <c r="R171" i="33"/>
  <c r="Q171" i="33"/>
  <c r="P171" i="33"/>
  <c r="O171" i="33"/>
  <c r="N171" i="33"/>
  <c r="M171" i="33"/>
  <c r="L171" i="33"/>
  <c r="K171" i="33"/>
  <c r="J171" i="33"/>
  <c r="I171" i="33"/>
  <c r="H171" i="33"/>
  <c r="G171" i="33"/>
  <c r="F171" i="33"/>
  <c r="E171" i="33"/>
  <c r="C171" i="33"/>
  <c r="AG170" i="33"/>
  <c r="AF170" i="33"/>
  <c r="AE170" i="33"/>
  <c r="AD170" i="33"/>
  <c r="AC170" i="33"/>
  <c r="AB170" i="33"/>
  <c r="AA170" i="33"/>
  <c r="Z170" i="33"/>
  <c r="Y170" i="33"/>
  <c r="X170" i="33"/>
  <c r="W170" i="33"/>
  <c r="V170" i="33"/>
  <c r="U170" i="33"/>
  <c r="T170" i="33"/>
  <c r="S170" i="33"/>
  <c r="R170" i="33"/>
  <c r="Q170" i="33"/>
  <c r="P170" i="33"/>
  <c r="O170" i="33"/>
  <c r="N170" i="33"/>
  <c r="M170" i="33"/>
  <c r="L170" i="33"/>
  <c r="K170" i="33"/>
  <c r="J170" i="33"/>
  <c r="I170" i="33"/>
  <c r="H170" i="33"/>
  <c r="G170" i="33"/>
  <c r="F170" i="33"/>
  <c r="E170" i="33"/>
  <c r="D170" i="33"/>
  <c r="C170" i="33"/>
  <c r="AG150" i="33"/>
  <c r="AF150" i="33"/>
  <c r="AE150" i="33"/>
  <c r="AD150" i="33"/>
  <c r="AC150" i="33"/>
  <c r="AB150" i="33"/>
  <c r="AA150" i="33"/>
  <c r="Z150" i="33"/>
  <c r="Y150" i="33"/>
  <c r="X150" i="33"/>
  <c r="W150" i="33"/>
  <c r="V150" i="33"/>
  <c r="U150" i="33"/>
  <c r="T150" i="33"/>
  <c r="S150" i="33"/>
  <c r="R150" i="33"/>
  <c r="Q150" i="33"/>
  <c r="P150" i="33"/>
  <c r="O150" i="33"/>
  <c r="N150" i="33"/>
  <c r="M150" i="33"/>
  <c r="L150" i="33"/>
  <c r="K150" i="33"/>
  <c r="J150" i="33"/>
  <c r="I150" i="33"/>
  <c r="H150" i="33"/>
  <c r="G150" i="33"/>
  <c r="F150" i="33"/>
  <c r="E150" i="33"/>
  <c r="D150" i="33"/>
  <c r="C150" i="33"/>
  <c r="AG117" i="33"/>
  <c r="AF117" i="33"/>
  <c r="AE117" i="33"/>
  <c r="AD117" i="33"/>
  <c r="AC117" i="33"/>
  <c r="AB117" i="33"/>
  <c r="AA117" i="33"/>
  <c r="Z117" i="33"/>
  <c r="Y117" i="33"/>
  <c r="X117" i="33"/>
  <c r="W117" i="33"/>
  <c r="V117" i="33"/>
  <c r="U117" i="33"/>
  <c r="T117" i="33"/>
  <c r="S117" i="33"/>
  <c r="R117" i="33"/>
  <c r="Q117" i="33"/>
  <c r="P117" i="33"/>
  <c r="O117" i="33"/>
  <c r="N117" i="33"/>
  <c r="M117" i="33"/>
  <c r="L117" i="33"/>
  <c r="K117" i="33"/>
  <c r="J117" i="33"/>
  <c r="I117" i="33"/>
  <c r="H117" i="33"/>
  <c r="G117" i="33"/>
  <c r="F117" i="33"/>
  <c r="E117" i="33"/>
  <c r="C117" i="33"/>
  <c r="AG97" i="33"/>
  <c r="AF97" i="33"/>
  <c r="AE97" i="33"/>
  <c r="AD97" i="33"/>
  <c r="AC97" i="33"/>
  <c r="AB97" i="33"/>
  <c r="AA97" i="33"/>
  <c r="Z97" i="33"/>
  <c r="Y97" i="33"/>
  <c r="X97" i="33"/>
  <c r="W97" i="33"/>
  <c r="V97" i="33"/>
  <c r="U97" i="33"/>
  <c r="T97" i="33"/>
  <c r="S97" i="33"/>
  <c r="R97" i="33"/>
  <c r="Q97" i="33"/>
  <c r="P97" i="33"/>
  <c r="O97" i="33"/>
  <c r="N97" i="33"/>
  <c r="M97" i="33"/>
  <c r="L97" i="33"/>
  <c r="K97" i="33"/>
  <c r="J97" i="33"/>
  <c r="I97" i="33"/>
  <c r="H97" i="33"/>
  <c r="G97" i="33"/>
  <c r="F97" i="33"/>
  <c r="E97" i="33"/>
  <c r="C97" i="33"/>
  <c r="AG76" i="33"/>
  <c r="AF76" i="33"/>
  <c r="AE76" i="33"/>
  <c r="AD76" i="33"/>
  <c r="AC76" i="33"/>
  <c r="AB76" i="33"/>
  <c r="AA76" i="33"/>
  <c r="Z76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AG47" i="33"/>
  <c r="AF47" i="33"/>
  <c r="AE47" i="33"/>
  <c r="AD47" i="33"/>
  <c r="AC47" i="33"/>
  <c r="AB47" i="33"/>
  <c r="AA47" i="33"/>
  <c r="Z47" i="33"/>
  <c r="Y47" i="33"/>
  <c r="X47" i="33"/>
  <c r="W47" i="33"/>
  <c r="V47" i="33"/>
  <c r="U47" i="33"/>
  <c r="T47" i="33"/>
  <c r="S47" i="33"/>
  <c r="R47" i="33"/>
  <c r="Q47" i="33"/>
  <c r="P47" i="33"/>
  <c r="O47" i="33"/>
  <c r="N47" i="33"/>
  <c r="M47" i="33"/>
  <c r="L47" i="33"/>
  <c r="K47" i="33"/>
  <c r="J47" i="33"/>
  <c r="I47" i="33"/>
  <c r="H47" i="33"/>
  <c r="G47" i="33"/>
  <c r="F47" i="33"/>
  <c r="E47" i="33"/>
  <c r="D47" i="33"/>
  <c r="C47" i="33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AG5" i="33"/>
  <c r="AF5" i="33"/>
  <c r="AE5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C5" i="33"/>
  <c r="AG4" i="33"/>
  <c r="AF4" i="33"/>
  <c r="AE4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AG3" i="33"/>
  <c r="AF3" i="33"/>
  <c r="AE3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D9" i="1" l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78" i="1"/>
  <c r="D79" i="1"/>
  <c r="E79" i="1"/>
  <c r="F79" i="1"/>
  <c r="G79" i="1"/>
  <c r="D80" i="1"/>
  <c r="E80" i="1"/>
  <c r="F80" i="1"/>
  <c r="G80" i="1"/>
  <c r="D81" i="1"/>
  <c r="E81" i="1"/>
  <c r="F81" i="1"/>
  <c r="G81" i="1"/>
  <c r="D82" i="1"/>
  <c r="E82" i="1"/>
  <c r="F82" i="1"/>
  <c r="G82" i="1"/>
  <c r="D83" i="1"/>
  <c r="E83" i="1"/>
  <c r="F83" i="1"/>
  <c r="G83" i="1"/>
  <c r="G8" i="1"/>
  <c r="F8" i="1"/>
  <c r="E8" i="1"/>
  <c r="D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E8" i="1"/>
  <c r="AD8" i="1"/>
  <c r="AC8" i="1"/>
  <c r="AB8" i="1"/>
  <c r="AA8" i="1"/>
  <c r="N9" i="1"/>
  <c r="O9" i="1"/>
  <c r="P9" i="1"/>
  <c r="Q9" i="1"/>
  <c r="R9" i="1"/>
  <c r="S9" i="1"/>
  <c r="T9" i="1"/>
  <c r="U9" i="1"/>
  <c r="V9" i="1"/>
  <c r="W9" i="1"/>
  <c r="X9" i="1"/>
  <c r="N10" i="1"/>
  <c r="O10" i="1"/>
  <c r="P10" i="1"/>
  <c r="Q10" i="1"/>
  <c r="R10" i="1"/>
  <c r="S10" i="1"/>
  <c r="T10" i="1"/>
  <c r="U10" i="1"/>
  <c r="V10" i="1"/>
  <c r="W10" i="1"/>
  <c r="X10" i="1"/>
  <c r="N11" i="1"/>
  <c r="O11" i="1"/>
  <c r="P11" i="1"/>
  <c r="Q11" i="1"/>
  <c r="R11" i="1"/>
  <c r="S11" i="1"/>
  <c r="T11" i="1"/>
  <c r="U11" i="1"/>
  <c r="V11" i="1"/>
  <c r="W11" i="1"/>
  <c r="X11" i="1"/>
  <c r="N12" i="1"/>
  <c r="O12" i="1"/>
  <c r="P12" i="1"/>
  <c r="Q12" i="1"/>
  <c r="R12" i="1"/>
  <c r="S12" i="1"/>
  <c r="T12" i="1"/>
  <c r="U12" i="1"/>
  <c r="V12" i="1"/>
  <c r="W12" i="1"/>
  <c r="X12" i="1"/>
  <c r="N13" i="1"/>
  <c r="O13" i="1"/>
  <c r="P13" i="1"/>
  <c r="Q13" i="1"/>
  <c r="R13" i="1"/>
  <c r="S13" i="1"/>
  <c r="T13" i="1"/>
  <c r="U13" i="1"/>
  <c r="V13" i="1"/>
  <c r="W13" i="1"/>
  <c r="X13" i="1"/>
  <c r="N14" i="1"/>
  <c r="O14" i="1"/>
  <c r="P14" i="1"/>
  <c r="Q14" i="1"/>
  <c r="R14" i="1"/>
  <c r="S14" i="1"/>
  <c r="T14" i="1"/>
  <c r="U14" i="1"/>
  <c r="W14" i="1"/>
  <c r="X14" i="1"/>
  <c r="N15" i="1"/>
  <c r="O15" i="1"/>
  <c r="P15" i="1"/>
  <c r="Q15" i="1"/>
  <c r="R15" i="1"/>
  <c r="S15" i="1"/>
  <c r="T15" i="1"/>
  <c r="U15" i="1"/>
  <c r="V15" i="1"/>
  <c r="W15" i="1"/>
  <c r="X15" i="1"/>
  <c r="N16" i="1"/>
  <c r="O16" i="1"/>
  <c r="P16" i="1"/>
  <c r="Q16" i="1"/>
  <c r="R16" i="1"/>
  <c r="S16" i="1"/>
  <c r="T16" i="1"/>
  <c r="U16" i="1"/>
  <c r="V16" i="1"/>
  <c r="W16" i="1"/>
  <c r="X16" i="1"/>
  <c r="N17" i="1"/>
  <c r="O17" i="1"/>
  <c r="P17" i="1"/>
  <c r="Q17" i="1"/>
  <c r="R17" i="1"/>
  <c r="S17" i="1"/>
  <c r="T17" i="1"/>
  <c r="U17" i="1"/>
  <c r="V17" i="1"/>
  <c r="W17" i="1"/>
  <c r="X17" i="1"/>
  <c r="N18" i="1"/>
  <c r="O18" i="1"/>
  <c r="P18" i="1"/>
  <c r="Q18" i="1"/>
  <c r="R18" i="1"/>
  <c r="S18" i="1"/>
  <c r="T18" i="1"/>
  <c r="U18" i="1"/>
  <c r="V18" i="1"/>
  <c r="W18" i="1"/>
  <c r="X18" i="1"/>
  <c r="N19" i="1"/>
  <c r="O19" i="1"/>
  <c r="P19" i="1"/>
  <c r="Q19" i="1"/>
  <c r="R19" i="1"/>
  <c r="S19" i="1"/>
  <c r="T19" i="1"/>
  <c r="U19" i="1"/>
  <c r="V19" i="1"/>
  <c r="W19" i="1"/>
  <c r="X19" i="1"/>
  <c r="N20" i="1"/>
  <c r="O20" i="1"/>
  <c r="P20" i="1"/>
  <c r="Q20" i="1"/>
  <c r="R20" i="1"/>
  <c r="S20" i="1"/>
  <c r="T20" i="1"/>
  <c r="U20" i="1"/>
  <c r="V20" i="1"/>
  <c r="W20" i="1"/>
  <c r="X20" i="1"/>
  <c r="N21" i="1"/>
  <c r="O21" i="1"/>
  <c r="P21" i="1"/>
  <c r="Q21" i="1"/>
  <c r="R21" i="1"/>
  <c r="S21" i="1"/>
  <c r="T21" i="1"/>
  <c r="U21" i="1"/>
  <c r="V21" i="1"/>
  <c r="W21" i="1"/>
  <c r="X21" i="1"/>
  <c r="N22" i="1"/>
  <c r="O22" i="1"/>
  <c r="P22" i="1"/>
  <c r="Q22" i="1"/>
  <c r="R22" i="1"/>
  <c r="S22" i="1"/>
  <c r="T22" i="1"/>
  <c r="U22" i="1"/>
  <c r="V22" i="1"/>
  <c r="W22" i="1"/>
  <c r="X22" i="1"/>
  <c r="N23" i="1"/>
  <c r="O23" i="1"/>
  <c r="P23" i="1"/>
  <c r="Q23" i="1"/>
  <c r="R23" i="1"/>
  <c r="S23" i="1"/>
  <c r="T23" i="1"/>
  <c r="U23" i="1"/>
  <c r="V23" i="1"/>
  <c r="W23" i="1"/>
  <c r="X23" i="1"/>
  <c r="N24" i="1"/>
  <c r="O24" i="1"/>
  <c r="P24" i="1"/>
  <c r="Q24" i="1"/>
  <c r="R24" i="1"/>
  <c r="S24" i="1"/>
  <c r="T24" i="1"/>
  <c r="U24" i="1"/>
  <c r="V24" i="1"/>
  <c r="W24" i="1"/>
  <c r="X24" i="1"/>
  <c r="N25" i="1"/>
  <c r="O25" i="1"/>
  <c r="P25" i="1"/>
  <c r="Q25" i="1"/>
  <c r="R25" i="1"/>
  <c r="S25" i="1"/>
  <c r="T25" i="1"/>
  <c r="U25" i="1"/>
  <c r="V25" i="1"/>
  <c r="W25" i="1"/>
  <c r="X25" i="1"/>
  <c r="N26" i="1"/>
  <c r="O26" i="1"/>
  <c r="P26" i="1"/>
  <c r="Q26" i="1"/>
  <c r="R26" i="1"/>
  <c r="S26" i="1"/>
  <c r="T26" i="1"/>
  <c r="U26" i="1"/>
  <c r="V26" i="1"/>
  <c r="W26" i="1"/>
  <c r="X26" i="1"/>
  <c r="N27" i="1"/>
  <c r="O27" i="1"/>
  <c r="P27" i="1"/>
  <c r="Q27" i="1"/>
  <c r="R27" i="1"/>
  <c r="S27" i="1"/>
  <c r="T27" i="1"/>
  <c r="U27" i="1"/>
  <c r="V27" i="1"/>
  <c r="W27" i="1"/>
  <c r="X27" i="1"/>
  <c r="N28" i="1"/>
  <c r="O28" i="1"/>
  <c r="P28" i="1"/>
  <c r="Q28" i="1"/>
  <c r="R28" i="1"/>
  <c r="S28" i="1"/>
  <c r="T28" i="1"/>
  <c r="U28" i="1"/>
  <c r="V28" i="1"/>
  <c r="W28" i="1"/>
  <c r="X28" i="1"/>
  <c r="N29" i="1"/>
  <c r="O29" i="1"/>
  <c r="P29" i="1"/>
  <c r="Q29" i="1"/>
  <c r="R29" i="1"/>
  <c r="S29" i="1"/>
  <c r="T29" i="1"/>
  <c r="U29" i="1"/>
  <c r="V29" i="1"/>
  <c r="W29" i="1"/>
  <c r="X29" i="1"/>
  <c r="N30" i="1"/>
  <c r="O30" i="1"/>
  <c r="P30" i="1"/>
  <c r="Q30" i="1"/>
  <c r="R30" i="1"/>
  <c r="S30" i="1"/>
  <c r="T30" i="1"/>
  <c r="U30" i="1"/>
  <c r="V30" i="1"/>
  <c r="W30" i="1"/>
  <c r="X30" i="1"/>
  <c r="N31" i="1"/>
  <c r="O31" i="1"/>
  <c r="P31" i="1"/>
  <c r="Q31" i="1"/>
  <c r="R31" i="1"/>
  <c r="S31" i="1"/>
  <c r="T31" i="1"/>
  <c r="U31" i="1"/>
  <c r="V31" i="1"/>
  <c r="W31" i="1"/>
  <c r="X31" i="1"/>
  <c r="N32" i="1"/>
  <c r="O32" i="1"/>
  <c r="P32" i="1"/>
  <c r="Q32" i="1"/>
  <c r="R32" i="1"/>
  <c r="S32" i="1"/>
  <c r="T32" i="1"/>
  <c r="U32" i="1"/>
  <c r="V32" i="1"/>
  <c r="W32" i="1"/>
  <c r="X32" i="1"/>
  <c r="N33" i="1"/>
  <c r="O33" i="1"/>
  <c r="P33" i="1"/>
  <c r="Q33" i="1"/>
  <c r="R33" i="1"/>
  <c r="S33" i="1"/>
  <c r="T33" i="1"/>
  <c r="U33" i="1"/>
  <c r="V33" i="1"/>
  <c r="W33" i="1"/>
  <c r="X33" i="1"/>
  <c r="N34" i="1"/>
  <c r="O34" i="1"/>
  <c r="P34" i="1"/>
  <c r="Q34" i="1"/>
  <c r="R34" i="1"/>
  <c r="S34" i="1"/>
  <c r="T34" i="1"/>
  <c r="U34" i="1"/>
  <c r="V34" i="1"/>
  <c r="W34" i="1"/>
  <c r="X34" i="1"/>
  <c r="N38" i="1"/>
  <c r="O38" i="1"/>
  <c r="P38" i="1"/>
  <c r="Q38" i="1"/>
  <c r="R38" i="1"/>
  <c r="S38" i="1"/>
  <c r="T38" i="1"/>
  <c r="U38" i="1"/>
  <c r="V38" i="1"/>
  <c r="W38" i="1"/>
  <c r="X38" i="1"/>
  <c r="N39" i="1"/>
  <c r="O39" i="1"/>
  <c r="P39" i="1"/>
  <c r="Q39" i="1"/>
  <c r="R39" i="1"/>
  <c r="S39" i="1"/>
  <c r="T39" i="1"/>
  <c r="U39" i="1"/>
  <c r="V39" i="1"/>
  <c r="W39" i="1"/>
  <c r="X39" i="1"/>
  <c r="N40" i="1"/>
  <c r="O40" i="1"/>
  <c r="P40" i="1"/>
  <c r="Q40" i="1"/>
  <c r="R40" i="1"/>
  <c r="S40" i="1"/>
  <c r="T40" i="1"/>
  <c r="U40" i="1"/>
  <c r="V40" i="1"/>
  <c r="W40" i="1"/>
  <c r="X40" i="1"/>
  <c r="N41" i="1"/>
  <c r="O41" i="1"/>
  <c r="P41" i="1"/>
  <c r="Q41" i="1"/>
  <c r="R41" i="1"/>
  <c r="S41" i="1"/>
  <c r="T41" i="1"/>
  <c r="U41" i="1"/>
  <c r="V41" i="1"/>
  <c r="W41" i="1"/>
  <c r="X41" i="1"/>
  <c r="N42" i="1"/>
  <c r="O42" i="1"/>
  <c r="P42" i="1"/>
  <c r="Q42" i="1"/>
  <c r="R42" i="1"/>
  <c r="S42" i="1"/>
  <c r="T42" i="1"/>
  <c r="U42" i="1"/>
  <c r="V42" i="1"/>
  <c r="W42" i="1"/>
  <c r="X42" i="1"/>
  <c r="N43" i="1"/>
  <c r="O43" i="1"/>
  <c r="P43" i="1"/>
  <c r="Q43" i="1"/>
  <c r="R43" i="1"/>
  <c r="S43" i="1"/>
  <c r="T43" i="1"/>
  <c r="U43" i="1"/>
  <c r="V43" i="1"/>
  <c r="W43" i="1"/>
  <c r="X43" i="1"/>
  <c r="N44" i="1"/>
  <c r="O44" i="1"/>
  <c r="P44" i="1"/>
  <c r="Q44" i="1"/>
  <c r="R44" i="1"/>
  <c r="S44" i="1"/>
  <c r="T44" i="1"/>
  <c r="U44" i="1"/>
  <c r="V44" i="1"/>
  <c r="W44" i="1"/>
  <c r="X44" i="1"/>
  <c r="N45" i="1"/>
  <c r="O45" i="1"/>
  <c r="P45" i="1"/>
  <c r="Q45" i="1"/>
  <c r="R45" i="1"/>
  <c r="S45" i="1"/>
  <c r="T45" i="1"/>
  <c r="U45" i="1"/>
  <c r="V45" i="1"/>
  <c r="W45" i="1"/>
  <c r="X45" i="1"/>
  <c r="N46" i="1"/>
  <c r="O46" i="1"/>
  <c r="P46" i="1"/>
  <c r="Q46" i="1"/>
  <c r="R46" i="1"/>
  <c r="S46" i="1"/>
  <c r="T46" i="1"/>
  <c r="U46" i="1"/>
  <c r="V46" i="1"/>
  <c r="W46" i="1"/>
  <c r="X46" i="1"/>
  <c r="N47" i="1"/>
  <c r="O47" i="1"/>
  <c r="P47" i="1"/>
  <c r="Q47" i="1"/>
  <c r="R47" i="1"/>
  <c r="S47" i="1"/>
  <c r="T47" i="1"/>
  <c r="U47" i="1"/>
  <c r="V47" i="1"/>
  <c r="W47" i="1"/>
  <c r="X47" i="1"/>
  <c r="N48" i="1"/>
  <c r="O48" i="1"/>
  <c r="P48" i="1"/>
  <c r="Q48" i="1"/>
  <c r="R48" i="1"/>
  <c r="S48" i="1"/>
  <c r="T48" i="1"/>
  <c r="U48" i="1"/>
  <c r="V48" i="1"/>
  <c r="W48" i="1"/>
  <c r="X48" i="1"/>
  <c r="N49" i="1"/>
  <c r="O49" i="1"/>
  <c r="P49" i="1"/>
  <c r="Q49" i="1"/>
  <c r="R49" i="1"/>
  <c r="S49" i="1"/>
  <c r="T49" i="1"/>
  <c r="U49" i="1"/>
  <c r="V49" i="1"/>
  <c r="W49" i="1"/>
  <c r="X49" i="1"/>
  <c r="N50" i="1"/>
  <c r="O50" i="1"/>
  <c r="P50" i="1"/>
  <c r="Q50" i="1"/>
  <c r="R50" i="1"/>
  <c r="S50" i="1"/>
  <c r="T50" i="1"/>
  <c r="U50" i="1"/>
  <c r="V50" i="1"/>
  <c r="W50" i="1"/>
  <c r="X50" i="1"/>
  <c r="N51" i="1"/>
  <c r="O51" i="1"/>
  <c r="P51" i="1"/>
  <c r="Q51" i="1"/>
  <c r="R51" i="1"/>
  <c r="S51" i="1"/>
  <c r="T51" i="1"/>
  <c r="U51" i="1"/>
  <c r="V51" i="1"/>
  <c r="W51" i="1"/>
  <c r="X51" i="1"/>
  <c r="N52" i="1"/>
  <c r="O52" i="1"/>
  <c r="P52" i="1"/>
  <c r="Q52" i="1"/>
  <c r="R52" i="1"/>
  <c r="S52" i="1"/>
  <c r="T52" i="1"/>
  <c r="U52" i="1"/>
  <c r="V52" i="1"/>
  <c r="W52" i="1"/>
  <c r="X52" i="1"/>
  <c r="N53" i="1"/>
  <c r="O53" i="1"/>
  <c r="P53" i="1"/>
  <c r="Q53" i="1"/>
  <c r="R53" i="1"/>
  <c r="S53" i="1"/>
  <c r="T53" i="1"/>
  <c r="U53" i="1"/>
  <c r="V53" i="1"/>
  <c r="W53" i="1"/>
  <c r="X53" i="1"/>
  <c r="N54" i="1"/>
  <c r="O54" i="1"/>
  <c r="P54" i="1"/>
  <c r="Q54" i="1"/>
  <c r="R54" i="1"/>
  <c r="S54" i="1"/>
  <c r="T54" i="1"/>
  <c r="U54" i="1"/>
  <c r="V54" i="1"/>
  <c r="W54" i="1"/>
  <c r="X54" i="1"/>
  <c r="N55" i="1"/>
  <c r="O55" i="1"/>
  <c r="P55" i="1"/>
  <c r="Q55" i="1"/>
  <c r="R55" i="1"/>
  <c r="S55" i="1"/>
  <c r="T55" i="1"/>
  <c r="U55" i="1"/>
  <c r="V55" i="1"/>
  <c r="W55" i="1"/>
  <c r="X55" i="1"/>
  <c r="N56" i="1"/>
  <c r="O56" i="1"/>
  <c r="P56" i="1"/>
  <c r="Q56" i="1"/>
  <c r="R56" i="1"/>
  <c r="S56" i="1"/>
  <c r="T56" i="1"/>
  <c r="U56" i="1"/>
  <c r="V56" i="1"/>
  <c r="W56" i="1"/>
  <c r="X56" i="1"/>
  <c r="N57" i="1"/>
  <c r="O57" i="1"/>
  <c r="P57" i="1"/>
  <c r="Q57" i="1"/>
  <c r="R57" i="1"/>
  <c r="S57" i="1"/>
  <c r="T57" i="1"/>
  <c r="U57" i="1"/>
  <c r="V57" i="1"/>
  <c r="W57" i="1"/>
  <c r="X57" i="1"/>
  <c r="N58" i="1"/>
  <c r="O58" i="1"/>
  <c r="P58" i="1"/>
  <c r="Q58" i="1"/>
  <c r="R58" i="1"/>
  <c r="S58" i="1"/>
  <c r="T58" i="1"/>
  <c r="U58" i="1"/>
  <c r="V58" i="1"/>
  <c r="W58" i="1"/>
  <c r="X58" i="1"/>
  <c r="N59" i="1"/>
  <c r="O59" i="1"/>
  <c r="P59" i="1"/>
  <c r="Q59" i="1"/>
  <c r="R59" i="1"/>
  <c r="S59" i="1"/>
  <c r="T59" i="1"/>
  <c r="U59" i="1"/>
  <c r="V59" i="1"/>
  <c r="W59" i="1"/>
  <c r="X59" i="1"/>
  <c r="N60" i="1"/>
  <c r="O60" i="1"/>
  <c r="P60" i="1"/>
  <c r="Q60" i="1"/>
  <c r="R60" i="1"/>
  <c r="S60" i="1"/>
  <c r="T60" i="1"/>
  <c r="U60" i="1"/>
  <c r="V60" i="1"/>
  <c r="W60" i="1"/>
  <c r="X60" i="1"/>
  <c r="N61" i="1"/>
  <c r="O61" i="1"/>
  <c r="P61" i="1"/>
  <c r="Q61" i="1"/>
  <c r="R61" i="1"/>
  <c r="S61" i="1"/>
  <c r="T61" i="1"/>
  <c r="U61" i="1"/>
  <c r="V61" i="1"/>
  <c r="W61" i="1"/>
  <c r="X61" i="1"/>
  <c r="N62" i="1"/>
  <c r="O62" i="1"/>
  <c r="P62" i="1"/>
  <c r="Q62" i="1"/>
  <c r="R62" i="1"/>
  <c r="S62" i="1"/>
  <c r="T62" i="1"/>
  <c r="U62" i="1"/>
  <c r="V62" i="1"/>
  <c r="W62" i="1"/>
  <c r="X62" i="1"/>
  <c r="N63" i="1"/>
  <c r="O63" i="1"/>
  <c r="P63" i="1"/>
  <c r="Q63" i="1"/>
  <c r="R63" i="1"/>
  <c r="S63" i="1"/>
  <c r="T63" i="1"/>
  <c r="U63" i="1"/>
  <c r="V63" i="1"/>
  <c r="W63" i="1"/>
  <c r="X63" i="1"/>
  <c r="N64" i="1"/>
  <c r="O64" i="1"/>
  <c r="P64" i="1"/>
  <c r="Q64" i="1"/>
  <c r="R64" i="1"/>
  <c r="S64" i="1"/>
  <c r="T64" i="1"/>
  <c r="U64" i="1"/>
  <c r="V64" i="1"/>
  <c r="W64" i="1"/>
  <c r="X64" i="1"/>
  <c r="N65" i="1"/>
  <c r="O65" i="1"/>
  <c r="P65" i="1"/>
  <c r="Q65" i="1"/>
  <c r="R65" i="1"/>
  <c r="S65" i="1"/>
  <c r="T65" i="1"/>
  <c r="U65" i="1"/>
  <c r="V65" i="1"/>
  <c r="W65" i="1"/>
  <c r="X65" i="1"/>
  <c r="N66" i="1"/>
  <c r="O66" i="1"/>
  <c r="P66" i="1"/>
  <c r="Q66" i="1"/>
  <c r="R66" i="1"/>
  <c r="S66" i="1"/>
  <c r="T66" i="1"/>
  <c r="U66" i="1"/>
  <c r="V66" i="1"/>
  <c r="W66" i="1"/>
  <c r="X66" i="1"/>
  <c r="N67" i="1"/>
  <c r="O67" i="1"/>
  <c r="P67" i="1"/>
  <c r="Q67" i="1"/>
  <c r="R67" i="1"/>
  <c r="S67" i="1"/>
  <c r="T67" i="1"/>
  <c r="U67" i="1"/>
  <c r="V67" i="1"/>
  <c r="W67" i="1"/>
  <c r="X67" i="1"/>
  <c r="N68" i="1"/>
  <c r="O68" i="1"/>
  <c r="P68" i="1"/>
  <c r="Q68" i="1"/>
  <c r="R68" i="1"/>
  <c r="S68" i="1"/>
  <c r="T68" i="1"/>
  <c r="U68" i="1"/>
  <c r="V68" i="1"/>
  <c r="W68" i="1"/>
  <c r="X68" i="1"/>
  <c r="N69" i="1"/>
  <c r="O69" i="1"/>
  <c r="P69" i="1"/>
  <c r="Q69" i="1"/>
  <c r="R69" i="1"/>
  <c r="S69" i="1"/>
  <c r="T69" i="1"/>
  <c r="U69" i="1"/>
  <c r="V69" i="1"/>
  <c r="W69" i="1"/>
  <c r="X69" i="1"/>
  <c r="N70" i="1"/>
  <c r="O70" i="1"/>
  <c r="P70" i="1"/>
  <c r="Q70" i="1"/>
  <c r="R70" i="1"/>
  <c r="S70" i="1"/>
  <c r="T70" i="1"/>
  <c r="U70" i="1"/>
  <c r="V70" i="1"/>
  <c r="W70" i="1"/>
  <c r="X70" i="1"/>
  <c r="N71" i="1"/>
  <c r="O71" i="1"/>
  <c r="P71" i="1"/>
  <c r="Q71" i="1"/>
  <c r="R71" i="1"/>
  <c r="S71" i="1"/>
  <c r="T71" i="1"/>
  <c r="U71" i="1"/>
  <c r="V71" i="1"/>
  <c r="W71" i="1"/>
  <c r="X71" i="1"/>
  <c r="N72" i="1"/>
  <c r="O72" i="1"/>
  <c r="P72" i="1"/>
  <c r="Q72" i="1"/>
  <c r="R72" i="1"/>
  <c r="S72" i="1"/>
  <c r="T72" i="1"/>
  <c r="U72" i="1"/>
  <c r="V72" i="1"/>
  <c r="W72" i="1"/>
  <c r="X72" i="1"/>
  <c r="N73" i="1"/>
  <c r="O73" i="1"/>
  <c r="P73" i="1"/>
  <c r="Q73" i="1"/>
  <c r="R73" i="1"/>
  <c r="S73" i="1"/>
  <c r="T73" i="1"/>
  <c r="U73" i="1"/>
  <c r="V73" i="1"/>
  <c r="W73" i="1"/>
  <c r="X73" i="1"/>
  <c r="N74" i="1"/>
  <c r="O74" i="1"/>
  <c r="P74" i="1"/>
  <c r="Q74" i="1"/>
  <c r="R74" i="1"/>
  <c r="S74" i="1"/>
  <c r="T74" i="1"/>
  <c r="U74" i="1"/>
  <c r="V74" i="1"/>
  <c r="W74" i="1"/>
  <c r="X74" i="1"/>
  <c r="N75" i="1"/>
  <c r="O75" i="1"/>
  <c r="P75" i="1"/>
  <c r="Q75" i="1"/>
  <c r="R75" i="1"/>
  <c r="S75" i="1"/>
  <c r="T75" i="1"/>
  <c r="U75" i="1"/>
  <c r="V75" i="1"/>
  <c r="W75" i="1"/>
  <c r="X75" i="1"/>
  <c r="N76" i="1"/>
  <c r="O76" i="1"/>
  <c r="P76" i="1"/>
  <c r="Q76" i="1"/>
  <c r="R76" i="1"/>
  <c r="S76" i="1"/>
  <c r="T76" i="1"/>
  <c r="U76" i="1"/>
  <c r="V76" i="1"/>
  <c r="W76" i="1"/>
  <c r="X76" i="1"/>
  <c r="N77" i="1"/>
  <c r="O77" i="1"/>
  <c r="P77" i="1"/>
  <c r="Q77" i="1"/>
  <c r="R77" i="1"/>
  <c r="S77" i="1"/>
  <c r="T77" i="1"/>
  <c r="U77" i="1"/>
  <c r="V77" i="1"/>
  <c r="W77" i="1"/>
  <c r="X77" i="1"/>
  <c r="N78" i="1"/>
  <c r="O78" i="1"/>
  <c r="P78" i="1"/>
  <c r="Q78" i="1"/>
  <c r="R78" i="1"/>
  <c r="S78" i="1"/>
  <c r="T78" i="1"/>
  <c r="U78" i="1"/>
  <c r="V78" i="1"/>
  <c r="W78" i="1"/>
  <c r="X78" i="1"/>
  <c r="N79" i="1"/>
  <c r="O79" i="1"/>
  <c r="P79" i="1"/>
  <c r="Q79" i="1"/>
  <c r="R79" i="1"/>
  <c r="S79" i="1"/>
  <c r="T79" i="1"/>
  <c r="U79" i="1"/>
  <c r="V79" i="1"/>
  <c r="W79" i="1"/>
  <c r="X79" i="1"/>
  <c r="N80" i="1"/>
  <c r="O80" i="1"/>
  <c r="P80" i="1"/>
  <c r="Q80" i="1"/>
  <c r="R80" i="1"/>
  <c r="S80" i="1"/>
  <c r="T80" i="1"/>
  <c r="U80" i="1"/>
  <c r="V80" i="1"/>
  <c r="W80" i="1"/>
  <c r="X80" i="1"/>
  <c r="N81" i="1"/>
  <c r="O81" i="1"/>
  <c r="P81" i="1"/>
  <c r="Q81" i="1"/>
  <c r="R81" i="1"/>
  <c r="S81" i="1"/>
  <c r="T81" i="1"/>
  <c r="U81" i="1"/>
  <c r="V81" i="1"/>
  <c r="W81" i="1"/>
  <c r="X81" i="1"/>
  <c r="N82" i="1"/>
  <c r="O82" i="1"/>
  <c r="P82" i="1"/>
  <c r="Q82" i="1"/>
  <c r="R82" i="1"/>
  <c r="S82" i="1"/>
  <c r="T82" i="1"/>
  <c r="U82" i="1"/>
  <c r="V82" i="1"/>
  <c r="W82" i="1"/>
  <c r="X82" i="1"/>
  <c r="N83" i="1"/>
  <c r="O83" i="1"/>
  <c r="P83" i="1"/>
  <c r="Q83" i="1"/>
  <c r="R83" i="1"/>
  <c r="S83" i="1"/>
  <c r="T83" i="1"/>
  <c r="U83" i="1"/>
  <c r="V83" i="1"/>
  <c r="W83" i="1"/>
  <c r="X83" i="1"/>
  <c r="Z8" i="1"/>
  <c r="Y8" i="1"/>
  <c r="X8" i="1"/>
  <c r="W8" i="1"/>
  <c r="V8" i="1"/>
  <c r="U8" i="1"/>
  <c r="T8" i="1"/>
  <c r="S8" i="1"/>
  <c r="R8" i="1"/>
  <c r="Q8" i="1"/>
  <c r="P8" i="1"/>
  <c r="O8" i="1"/>
  <c r="N8" i="1"/>
  <c r="V14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" i="1"/>
  <c r="H9" i="1"/>
  <c r="I9" i="1"/>
  <c r="J9" i="1"/>
  <c r="K9" i="1"/>
  <c r="L9" i="1"/>
  <c r="H10" i="1"/>
  <c r="I10" i="1"/>
  <c r="J10" i="1"/>
  <c r="K10" i="1"/>
  <c r="L10" i="1"/>
  <c r="H11" i="1"/>
  <c r="I11" i="1"/>
  <c r="J11" i="1"/>
  <c r="K11" i="1"/>
  <c r="L11" i="1"/>
  <c r="H12" i="1"/>
  <c r="I12" i="1"/>
  <c r="J12" i="1"/>
  <c r="K12" i="1"/>
  <c r="L12" i="1"/>
  <c r="H13" i="1"/>
  <c r="I13" i="1"/>
  <c r="J13" i="1"/>
  <c r="K13" i="1"/>
  <c r="L13" i="1"/>
  <c r="H14" i="1"/>
  <c r="I14" i="1"/>
  <c r="J14" i="1"/>
  <c r="K14" i="1"/>
  <c r="L14" i="1"/>
  <c r="H15" i="1"/>
  <c r="I15" i="1"/>
  <c r="J15" i="1"/>
  <c r="K15" i="1"/>
  <c r="L15" i="1"/>
  <c r="H16" i="1"/>
  <c r="I16" i="1"/>
  <c r="J16" i="1"/>
  <c r="K16" i="1"/>
  <c r="L16" i="1"/>
  <c r="H17" i="1"/>
  <c r="I17" i="1"/>
  <c r="J17" i="1"/>
  <c r="K17" i="1"/>
  <c r="L17" i="1"/>
  <c r="H18" i="1"/>
  <c r="I18" i="1"/>
  <c r="J18" i="1"/>
  <c r="K18" i="1"/>
  <c r="L18" i="1"/>
  <c r="H19" i="1"/>
  <c r="I19" i="1"/>
  <c r="J19" i="1"/>
  <c r="K19" i="1"/>
  <c r="L19" i="1"/>
  <c r="H20" i="1"/>
  <c r="I20" i="1"/>
  <c r="J20" i="1"/>
  <c r="K20" i="1"/>
  <c r="L20" i="1"/>
  <c r="H21" i="1"/>
  <c r="I21" i="1"/>
  <c r="J21" i="1"/>
  <c r="K21" i="1"/>
  <c r="L21" i="1"/>
  <c r="H22" i="1"/>
  <c r="I22" i="1"/>
  <c r="J22" i="1"/>
  <c r="K22" i="1"/>
  <c r="L22" i="1"/>
  <c r="H23" i="1"/>
  <c r="I23" i="1"/>
  <c r="J23" i="1"/>
  <c r="K23" i="1"/>
  <c r="L23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27" i="1"/>
  <c r="I27" i="1"/>
  <c r="J27" i="1"/>
  <c r="K27" i="1"/>
  <c r="L27" i="1"/>
  <c r="H28" i="1"/>
  <c r="I28" i="1"/>
  <c r="J28" i="1"/>
  <c r="K28" i="1"/>
  <c r="L28" i="1"/>
  <c r="H29" i="1"/>
  <c r="I29" i="1"/>
  <c r="J29" i="1"/>
  <c r="K29" i="1"/>
  <c r="L29" i="1"/>
  <c r="H30" i="1"/>
  <c r="I30" i="1"/>
  <c r="J30" i="1"/>
  <c r="K30" i="1"/>
  <c r="L30" i="1"/>
  <c r="H31" i="1"/>
  <c r="I31" i="1"/>
  <c r="J31" i="1"/>
  <c r="K31" i="1"/>
  <c r="L31" i="1"/>
  <c r="H32" i="1"/>
  <c r="I32" i="1"/>
  <c r="J32" i="1"/>
  <c r="K32" i="1"/>
  <c r="L32" i="1"/>
  <c r="H33" i="1"/>
  <c r="I33" i="1"/>
  <c r="J33" i="1"/>
  <c r="K33" i="1"/>
  <c r="L33" i="1"/>
  <c r="H34" i="1"/>
  <c r="I34" i="1"/>
  <c r="J34" i="1"/>
  <c r="K34" i="1"/>
  <c r="L34" i="1"/>
  <c r="H38" i="1"/>
  <c r="I38" i="1"/>
  <c r="J38" i="1"/>
  <c r="K38" i="1"/>
  <c r="L38" i="1"/>
  <c r="H39" i="1"/>
  <c r="I39" i="1"/>
  <c r="J39" i="1"/>
  <c r="K39" i="1"/>
  <c r="L39" i="1"/>
  <c r="H40" i="1"/>
  <c r="I40" i="1"/>
  <c r="J40" i="1"/>
  <c r="K40" i="1"/>
  <c r="L40" i="1"/>
  <c r="H41" i="1"/>
  <c r="I41" i="1"/>
  <c r="J41" i="1"/>
  <c r="K41" i="1"/>
  <c r="L41" i="1"/>
  <c r="H42" i="1"/>
  <c r="I42" i="1"/>
  <c r="J42" i="1"/>
  <c r="K42" i="1"/>
  <c r="L42" i="1"/>
  <c r="H43" i="1"/>
  <c r="I43" i="1"/>
  <c r="J43" i="1"/>
  <c r="K43" i="1"/>
  <c r="L43" i="1"/>
  <c r="H44" i="1"/>
  <c r="I44" i="1"/>
  <c r="J44" i="1"/>
  <c r="K44" i="1"/>
  <c r="L44" i="1"/>
  <c r="H45" i="1"/>
  <c r="I45" i="1"/>
  <c r="J45" i="1"/>
  <c r="K45" i="1"/>
  <c r="L45" i="1"/>
  <c r="H46" i="1"/>
  <c r="I46" i="1"/>
  <c r="J46" i="1"/>
  <c r="K46" i="1"/>
  <c r="L46" i="1"/>
  <c r="H47" i="1"/>
  <c r="I47" i="1"/>
  <c r="J47" i="1"/>
  <c r="K47" i="1"/>
  <c r="L47" i="1"/>
  <c r="H48" i="1"/>
  <c r="I48" i="1"/>
  <c r="J48" i="1"/>
  <c r="K48" i="1"/>
  <c r="L48" i="1"/>
  <c r="H49" i="1"/>
  <c r="I49" i="1"/>
  <c r="J49" i="1"/>
  <c r="K49" i="1"/>
  <c r="L49" i="1"/>
  <c r="H50" i="1"/>
  <c r="I50" i="1"/>
  <c r="J50" i="1"/>
  <c r="K50" i="1"/>
  <c r="L50" i="1"/>
  <c r="H51" i="1"/>
  <c r="I51" i="1"/>
  <c r="J51" i="1"/>
  <c r="K51" i="1"/>
  <c r="L51" i="1"/>
  <c r="H52" i="1"/>
  <c r="I52" i="1"/>
  <c r="J52" i="1"/>
  <c r="K52" i="1"/>
  <c r="L52" i="1"/>
  <c r="H53" i="1"/>
  <c r="I53" i="1"/>
  <c r="J53" i="1"/>
  <c r="K53" i="1"/>
  <c r="L53" i="1"/>
  <c r="H54" i="1"/>
  <c r="I54" i="1"/>
  <c r="J54" i="1"/>
  <c r="K54" i="1"/>
  <c r="L54" i="1"/>
  <c r="H55" i="1"/>
  <c r="I55" i="1"/>
  <c r="J55" i="1"/>
  <c r="K55" i="1"/>
  <c r="L55" i="1"/>
  <c r="H56" i="1"/>
  <c r="I56" i="1"/>
  <c r="J56" i="1"/>
  <c r="K56" i="1"/>
  <c r="L56" i="1"/>
  <c r="H57" i="1"/>
  <c r="I57" i="1"/>
  <c r="J57" i="1"/>
  <c r="K57" i="1"/>
  <c r="L57" i="1"/>
  <c r="H58" i="1"/>
  <c r="I58" i="1"/>
  <c r="J58" i="1"/>
  <c r="K58" i="1"/>
  <c r="L58" i="1"/>
  <c r="H59" i="1"/>
  <c r="I59" i="1"/>
  <c r="J59" i="1"/>
  <c r="K59" i="1"/>
  <c r="L59" i="1"/>
  <c r="H60" i="1"/>
  <c r="I60" i="1"/>
  <c r="J60" i="1"/>
  <c r="K60" i="1"/>
  <c r="L60" i="1"/>
  <c r="H61" i="1"/>
  <c r="I61" i="1"/>
  <c r="J61" i="1"/>
  <c r="K61" i="1"/>
  <c r="L61" i="1"/>
  <c r="H62" i="1"/>
  <c r="I62" i="1"/>
  <c r="J62" i="1"/>
  <c r="K62" i="1"/>
  <c r="L62" i="1"/>
  <c r="H63" i="1"/>
  <c r="I63" i="1"/>
  <c r="J63" i="1"/>
  <c r="K63" i="1"/>
  <c r="L63" i="1"/>
  <c r="H64" i="1"/>
  <c r="I64" i="1"/>
  <c r="J64" i="1"/>
  <c r="K64" i="1"/>
  <c r="L64" i="1"/>
  <c r="H65" i="1"/>
  <c r="I65" i="1"/>
  <c r="J65" i="1"/>
  <c r="K65" i="1"/>
  <c r="L65" i="1"/>
  <c r="H66" i="1"/>
  <c r="I66" i="1"/>
  <c r="J66" i="1"/>
  <c r="K66" i="1"/>
  <c r="L66" i="1"/>
  <c r="H67" i="1"/>
  <c r="I67" i="1"/>
  <c r="J67" i="1"/>
  <c r="K67" i="1"/>
  <c r="L67" i="1"/>
  <c r="H68" i="1"/>
  <c r="I68" i="1"/>
  <c r="J68" i="1"/>
  <c r="K68" i="1"/>
  <c r="L68" i="1"/>
  <c r="H69" i="1"/>
  <c r="I69" i="1"/>
  <c r="J69" i="1"/>
  <c r="K69" i="1"/>
  <c r="L69" i="1"/>
  <c r="H70" i="1"/>
  <c r="I70" i="1"/>
  <c r="J70" i="1"/>
  <c r="K70" i="1"/>
  <c r="L70" i="1"/>
  <c r="H71" i="1"/>
  <c r="I71" i="1"/>
  <c r="J71" i="1"/>
  <c r="K71" i="1"/>
  <c r="L71" i="1"/>
  <c r="H72" i="1"/>
  <c r="I72" i="1"/>
  <c r="J72" i="1"/>
  <c r="K72" i="1"/>
  <c r="L72" i="1"/>
  <c r="H73" i="1"/>
  <c r="I73" i="1"/>
  <c r="J73" i="1"/>
  <c r="K73" i="1"/>
  <c r="L73" i="1"/>
  <c r="H74" i="1"/>
  <c r="I74" i="1"/>
  <c r="J74" i="1"/>
  <c r="K74" i="1"/>
  <c r="L74" i="1"/>
  <c r="H75" i="1"/>
  <c r="I75" i="1"/>
  <c r="J75" i="1"/>
  <c r="K75" i="1"/>
  <c r="L75" i="1"/>
  <c r="H76" i="1"/>
  <c r="I76" i="1"/>
  <c r="J76" i="1"/>
  <c r="K76" i="1"/>
  <c r="L76" i="1"/>
  <c r="H77" i="1"/>
  <c r="I77" i="1"/>
  <c r="J77" i="1"/>
  <c r="K77" i="1"/>
  <c r="L77" i="1"/>
  <c r="H78" i="1"/>
  <c r="I78" i="1"/>
  <c r="J78" i="1"/>
  <c r="K78" i="1"/>
  <c r="L78" i="1"/>
  <c r="H79" i="1"/>
  <c r="I79" i="1"/>
  <c r="J79" i="1"/>
  <c r="K79" i="1"/>
  <c r="L79" i="1"/>
  <c r="H80" i="1"/>
  <c r="I80" i="1"/>
  <c r="J80" i="1"/>
  <c r="K80" i="1"/>
  <c r="L80" i="1"/>
  <c r="H81" i="1"/>
  <c r="I81" i="1"/>
  <c r="J81" i="1"/>
  <c r="K81" i="1"/>
  <c r="L81" i="1"/>
  <c r="H82" i="1"/>
  <c r="I82" i="1"/>
  <c r="J82" i="1"/>
  <c r="K82" i="1"/>
  <c r="L82" i="1"/>
  <c r="H83" i="1"/>
  <c r="I83" i="1"/>
  <c r="J83" i="1"/>
  <c r="K83" i="1"/>
  <c r="L83" i="1"/>
  <c r="L8" i="1"/>
  <c r="K8" i="1"/>
  <c r="J8" i="1"/>
  <c r="I8" i="1"/>
  <c r="H8" i="1"/>
  <c r="AG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B81" authorId="0" shapeId="0" xr:uid="{EF210FA6-0F67-4A8A-B104-2170E3D9194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A210" authorId="0" shapeId="0" xr:uid="{0AC5A256-5091-4F16-84D1-548597B0EA4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D60CE0CB-ABFE-4DB5-A1BA-3172D213513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12A84925-B3A7-4C7B-AA9F-48567B461A8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26593A75-52A3-4EF5-B348-A2ED09BAA1B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FFEDB5A0-3E5A-41ED-AE28-D71FDA99B2D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3D11AB06-E1F4-42E4-83BC-36D86B1A2B7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3DBEEE84-1AFF-434E-BFE9-189FCD79694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E8E07956-3C15-45A8-80C9-D56A3E3D6FE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AC13DBBF-2045-4A88-B428-0D61B5A1430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9A0A1F1F-46C7-431D-B656-24D36640432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ABE87245-5483-4D86-A358-94A0AB0D5F9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CCC2FDF2-EAD7-46FC-99AE-B017701A290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4097E774-972B-468D-B4B1-3F52C1002CE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DC67B25C-B0CD-4A21-8B38-D6ADBDAF323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E43E21A4-29A3-4171-BC48-E44BA755770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8F0CA9AD-E772-4937-AB20-CC9DD4BFDDC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0C4A8920-29A3-4646-A526-A7030FB46B7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BC0CF38F-6AAD-404F-9441-ACD5D237353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1906726D-6202-4BA9-86F3-F1A2F07D94C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0D204B34-182D-490D-847F-CFD758400BF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4636520A-C962-4428-8F7A-A5B96A5C645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63D8A3F5-3E2F-4E37-A927-D62DBB24A03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FC052DAF-CF5A-47BC-BA14-45258179A09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275B3BCC-6312-4FD3-8B81-78A435282A8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2FD446E9-F04A-4C6D-A2F3-DFA7C36781C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Litbang3</author>
    <author>litbang 0</author>
    <author>Yayuk</author>
    <author>AJUDAN-FARAH</author>
    <author>Litbang21</author>
  </authors>
  <commentList>
    <comment ref="F31" authorId="0" shapeId="0" xr:uid="{9370255B-41D2-4D0F-A508-CC84173E30E3}">
      <text>
        <r>
          <rPr>
            <b/>
            <sz val="9"/>
            <color indexed="81"/>
            <rFont val="Tahoma"/>
            <family val="2"/>
          </rPr>
          <t>Litbang3: ikan teri (medan)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" authorId="1" shapeId="0" xr:uid="{DB02D0C5-429F-4765-B981-95ABC036220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2" shapeId="0" xr:uid="{21BD16C3-CA65-4C60-A5E6-F3E8EAC2A73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3" shapeId="0" xr:uid="{E7DDA1CF-4B18-4061-BE36-CC863A4F0EA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G45" authorId="0" shapeId="0" xr:uid="{E4FB88CE-002F-4CB4-A3DA-622FCFFCF89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0" shapeId="0" xr:uid="{FD571044-F080-4B64-B7D1-B4A64D70608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0" shapeId="0" xr:uid="{3B421E5F-DB68-49E8-B819-FC304E66918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37028B71-CBC6-484E-9F30-D660A96C524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D80CE7DD-DF5E-45AB-B08C-520A32345E3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D1947367-BD58-446F-BFC6-2A4431AB505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365C340B-C0B9-44FF-9120-9DB973D4E1D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6BCB6A21-2DAD-4739-96A9-11E3DEE29DE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629600C1-FB16-4DE3-81A7-D74AB69CEEA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583168D7-B1BA-415D-B695-AB31D28FCE9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2BDCBA65-B68E-4576-B838-C48DADF68B5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61BDED97-2A1C-4AD4-9C26-200CB1209BE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CA042AF0-C660-4C85-8E3D-C82B16DD59A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CC04215D-5A85-4BFC-BBD2-EDD4F2A7532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936B7218-42F3-4518-A500-95502F9E39CE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57BE56EB-9D32-46EE-8FBB-D20C41B9A5F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1A7CD509-5EFE-4961-9F36-3E145ABA87C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FAADDBF6-124C-4BE6-825E-7D8224BB26D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3C3CEBFE-C4A3-41D0-81CC-E4EE7760896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196DFBD3-F2DA-4955-9CEE-A46D134AC8B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Litbang3</author>
    <author>litbang 0</author>
    <author>Yayuk</author>
    <author>AJUDAN-FARAH</author>
    <author>Litbang21</author>
  </authors>
  <commentList>
    <comment ref="F31" authorId="0" shapeId="0" xr:uid="{68E2AB9F-16B9-42BB-9CF8-EB8134A16C1B}">
      <text>
        <r>
          <rPr>
            <b/>
            <sz val="9"/>
            <color indexed="81"/>
            <rFont val="Tahoma"/>
            <family val="2"/>
          </rPr>
          <t>Litbang3: ikan teri (medan)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" authorId="1" shapeId="0" xr:uid="{CA01B012-7D9D-438E-8EB6-95768E31613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2" shapeId="0" xr:uid="{3874A926-9196-4B01-8FF8-8D7C7224B2B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3" shapeId="0" xr:uid="{AEFE1C48-745D-4D09-B9CE-F1F52CE5ABA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G45" authorId="0" shapeId="0" xr:uid="{FAB34957-FB10-4C52-8860-0365AF762AE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0" shapeId="0" xr:uid="{E6B51900-6F01-4C86-826B-ECD4C69C4AD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0" shapeId="0" xr:uid="{EA080E5A-39F1-4BD4-B2DB-53A6F62FBDA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3B4B6269-5F6F-4D90-A6AC-3C4E91B95B5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Litbang3</author>
    <author>litbang 0</author>
    <author>Yayuk</author>
    <author>AJUDAN-FARAH</author>
    <author>Litbang21</author>
  </authors>
  <commentList>
    <comment ref="F31" authorId="0" shapeId="0" xr:uid="{CDE4F81B-AF20-4D49-A460-2EDB7C95547A}">
      <text>
        <r>
          <rPr>
            <b/>
            <sz val="9"/>
            <color indexed="81"/>
            <rFont val="Tahoma"/>
            <family val="2"/>
          </rPr>
          <t>Litbang3: ikan teri (medan)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" authorId="1" shapeId="0" xr:uid="{58333F2C-B31E-4989-94C6-C022C84F643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2" shapeId="0" xr:uid="{E975628E-9DF3-4FC0-A458-648102DA1CB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3" shapeId="0" xr:uid="{1FBE9B6E-CA4F-4B8E-93D7-26BA89E1F5C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G45" authorId="0" shapeId="0" xr:uid="{D113FD26-16A7-4F3C-A205-0774B1BAB0F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0" shapeId="0" xr:uid="{9F4594AC-FBB2-4BB2-9868-B8958BBB0FC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0" shapeId="0" xr:uid="{3975F606-0750-408E-A5AB-D44E4AE8044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B5183230-D9F7-4537-9D7E-3C144B0D633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Litbang3</author>
    <author>litbang 0</author>
    <author>Yayuk</author>
    <author>AJUDAN-FARAH</author>
    <author>Litbang21</author>
  </authors>
  <commentList>
    <comment ref="F31" authorId="0" shapeId="0" xr:uid="{D340D9C8-1F93-451C-8815-7F1256FEAC0F}">
      <text>
        <r>
          <rPr>
            <b/>
            <sz val="9"/>
            <color indexed="81"/>
            <rFont val="Tahoma"/>
            <family val="2"/>
          </rPr>
          <t>Litbang3: ikan teri (medan)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" authorId="1" shapeId="0" xr:uid="{717D8231-773A-4296-8A2A-92FB27AF7AF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2" shapeId="0" xr:uid="{59666113-2342-4CEB-B449-CDBCBAABF8D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3" shapeId="0" xr:uid="{854CE49E-5CDF-411E-939F-9ECC362D6E6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G45" authorId="0" shapeId="0" xr:uid="{6074F8EB-EDB2-4955-B76E-47B03984894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0" shapeId="0" xr:uid="{2264FBFC-0382-43BF-94FD-95DE6ACDB72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0" shapeId="0" xr:uid="{55F0B9A6-22B5-4EF7-94FF-1216193ADFD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7D107C91-AF12-4F11-AA26-39A08DEFCD9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Litbang3</author>
    <author>litbang 0</author>
    <author>Yayuk</author>
    <author>AJUDAN-FARAH</author>
    <author>Litbang21</author>
  </authors>
  <commentList>
    <comment ref="F31" authorId="0" shapeId="0" xr:uid="{FDB9937A-5A10-469C-8A8D-886E40C1CD71}">
      <text>
        <r>
          <rPr>
            <b/>
            <sz val="9"/>
            <color indexed="81"/>
            <rFont val="Tahoma"/>
            <family val="2"/>
          </rPr>
          <t>Litbang3: ikan teri (medan)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" authorId="1" shapeId="0" xr:uid="{EF1680F9-D87E-40A9-A522-4E409CC72E8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2" shapeId="0" xr:uid="{44AF47A5-F8EA-438D-AEF8-131CAD18A53B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3" shapeId="0" xr:uid="{4825621E-8443-4EF8-9E62-2957A621E8E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G45" authorId="0" shapeId="0" xr:uid="{64AE5AC4-C368-45D2-8379-CED20AC0AF6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0" shapeId="0" xr:uid="{59367C00-2E82-44AC-B004-622EF53745F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0" shapeId="0" xr:uid="{AD423C15-9620-4C49-9511-8BC1C09B1A4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997A1D1F-B84C-4285-BE98-371FAE5ACC8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Litbang3</author>
    <author>litbang 0</author>
    <author>Yayuk</author>
    <author>AJUDAN-FARAH</author>
    <author>Litbang21</author>
  </authors>
  <commentList>
    <comment ref="F31" authorId="0" shapeId="0" xr:uid="{831AA975-7F7E-4CF7-AAEA-62CFABB41A1F}">
      <text>
        <r>
          <rPr>
            <b/>
            <sz val="9"/>
            <color indexed="81"/>
            <rFont val="Tahoma"/>
            <family val="2"/>
          </rPr>
          <t>Litbang3: ikan teri (medan)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" authorId="1" shapeId="0" xr:uid="{AFA14B4F-3BE2-4B4E-9A25-F02EA2C6FD1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2" shapeId="0" xr:uid="{2B8268EC-58A3-437F-8A63-8CA038AE156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3" shapeId="0" xr:uid="{326FA23C-DDD9-4D9F-92DF-367FF6435394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G45" authorId="0" shapeId="0" xr:uid="{5AE17C1B-F7D3-4919-A0F1-D4C279958FC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0" shapeId="0" xr:uid="{448ABA23-EF2D-48F2-9D36-C96028B681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0" shapeId="0" xr:uid="{2C8BB76D-43FD-4343-BB35-6AB81742CB9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CF6F3434-8DAF-48C7-A495-19970094DAE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71A16082-61E5-4894-9914-DF82A197AD5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C249FE13-9699-41AA-8300-6468FA97034B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147BAF3E-63A1-42E1-AEA0-13B6DE316E3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8D79D7D1-4FBE-4CCC-9806-DBD961653EE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D582D285-5317-480D-B007-D7DD1B668C8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5E17D88C-5051-4D89-B755-DB63A68C27E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2F5879B8-6D88-482F-B48C-D6EB54A4951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BE51E146-B336-491C-A6A6-2C39B08A3EA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160F3D12-C07D-4DBB-9CE2-4BA66A7C8892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3CFA247A-6DC7-403E-AA44-D7C6285F13F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CCA9655D-1BE0-41B3-8881-5D7C13F456D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A7BB6D20-16EE-4CD8-BB9E-8EAF47835CB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7D33BAFF-15B5-4C16-92E8-C327B2236CE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B89555D6-69BB-4C30-A706-A4E71D8E9D1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34B0AF71-F09B-4D87-A847-165BE2779D8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6F58EF03-4393-4A54-AEFA-29D7F36D498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903B38AC-6AD1-461D-9B62-021A915606E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C4BA9201-E498-417F-8ADA-1A176AE000E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38EADBCA-61AB-4CD8-A0CD-29C3353B42C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590C2B8D-B99E-4B6E-81B8-050F7C8DD56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A3B1F3C6-72D9-4E6B-9729-F30403E0F04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1A741639-071B-46DC-A5BE-8E60934F09A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33873E29-8BBF-4F8D-BC1A-BD865605549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48565E4C-991A-4DD7-BAA4-09F328BFCB3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51738012-C101-4F18-8E0A-7E0777D1279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B04EA2F4-344C-4BB8-BBE1-4BCE13F5A37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8CF3CBE1-4A73-494E-9F09-49D435D5E6C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9087AC9D-D305-4553-B7AA-DE72FA14367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8AF9CBB3-04DA-4080-B38E-9292096F19B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3F09645F-4CD4-4DD5-81C0-7ABC8BB03AF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090AF0EE-0227-4D6B-813B-EB861FD939E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2C9D154E-6C0C-4268-BCBF-8F4966DBCF5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57A07554-6330-47FF-9EB7-2E0AB89BB6D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3F7C1C1C-2FF4-46D3-A67E-C1FC17C4D19A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D36A77DE-9073-4D1F-8CBC-F27A5FB5D11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A2C20AE2-308E-40F7-BADB-F02CA09EFDA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42F6E83F-A6F7-4EA8-8EA7-CBC33ED6896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0D841BE1-6C94-4C9C-8357-174B60FDED1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335A40CC-D4F9-4848-8810-7B2D8AA98B6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45A1606F-89D3-4E9F-9531-C620166F253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E159F62D-1D36-4D4E-B1C5-0D1410572B0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D7B6C984-7950-4DC3-B648-82692847513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06DBBD70-CB71-4AEC-AA41-2FD9122C768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79BF3799-9659-4E0B-827C-56BC45DCBDE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2D75DEBE-FB3F-44A8-9C42-DBEACF843C5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1D26B5DA-5CD0-4F1A-9BB4-8056EC4EA01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F5FDEDF7-4F4B-4D8D-AF3F-4E67E200C9D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9C9B1418-BA65-4885-9784-F926E42D6E7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4DC12983-9CD3-4F0C-B0D9-18F7402747B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35243718-BB3F-4803-9D9B-6EDEFC6F2B6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D0BF5776-ED04-45A7-9166-F43A03BB558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00F68D8C-A1B9-49FC-98B3-8A6C71D0E2D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0B9B1395-1D1A-4658-A4B0-56557453F34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418A4E21-D978-4797-A7E8-9F7F8FACB3F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A849929E-CEAF-42C7-A001-7AF997DAF08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B3856B93-99E7-4719-BD25-E865CCD09B0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8EDA68B3-3590-4021-A58E-B18D3B69C65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14A03720-F2A1-47B7-9364-D75961D2871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31B85235-950E-45BD-B920-67CC5354A6E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4558B517-9663-45D2-98BD-D02CEA0389E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EA220897-28B2-4CCE-9DBB-2656A86FAA0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64D8CF7D-32E4-4928-8A17-FAD97FD4801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BB4E0A28-54D4-4C66-8521-24BD4875A41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D9813468-3802-4DEC-8A52-C5DE05BFD8A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B7130F1D-47E2-4CAB-AB26-58DD08DCD79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C08CB80F-C4EE-4125-8C08-1D1957D85AB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B64EB0C8-9BB7-4106-B450-AD76CF86A82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3635F52D-2DD5-4F50-A6CD-ECAC89F7596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2D35F9A3-10A4-4635-9862-930D2C07A34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FB492A7F-F4D9-4CED-8022-086EABD6178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C0AB9CE0-9344-4709-93BA-A7ECB54B3CD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0CA5D1BB-5F01-4B67-B5E1-CA8B529FE55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37" authorId="0" shapeId="0" xr:uid="{935FA01F-D864-4C00-976A-7B026D230479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5" authorId="1" shapeId="0" xr:uid="{E2F9B0AC-A511-481E-965B-7CBC9FBAC67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5" authorId="2" shapeId="0" xr:uid="{10588958-6DAA-4F87-9123-D6CEB6618CA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5" authorId="3" shapeId="0" xr:uid="{CC978DCC-C28F-4642-8A28-A84AFF24B9F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5" authorId="3" shapeId="0" xr:uid="{A234F3F4-A1FB-4B16-A80C-A5623E362FB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5" authorId="3" shapeId="0" xr:uid="{CB8E9A54-B28F-4243-8FC2-D5404BFAFC6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5" authorId="3" shapeId="0" xr:uid="{7538E8CB-04B2-4622-8AE8-43B68E3B450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78" authorId="4" shapeId="0" xr:uid="{CF88BEDA-3879-4C8D-A32B-7253A07355F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1" authorId="4" shapeId="0" xr:uid="{CBCFDFB3-EE93-450E-AD29-31764818140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0" authorId="0" shapeId="0" xr:uid="{4D9B21C5-1B20-4C7B-9D80-695A16CEF26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8" authorId="1" shapeId="0" xr:uid="{8E067118-C265-44A2-BEC1-F4DC2CF2E56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8" authorId="2" shapeId="0" xr:uid="{74785638-C198-4F96-AFD1-461BEBEC0CB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8" authorId="3" shapeId="0" xr:uid="{FA5F152F-03CA-4BFA-BB3F-414772C6180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8" authorId="3" shapeId="0" xr:uid="{95578149-C5BD-42C1-8C3A-17D1C1E321C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8" authorId="3" shapeId="0" xr:uid="{40BE29D7-9671-44C5-8C69-63927155572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8" authorId="3" shapeId="0" xr:uid="{C35CFD15-AEFD-4400-B579-C7DC03EFD1D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1" authorId="4" shapeId="0" xr:uid="{91B6A282-D770-4AF7-A0AF-A54748479B5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0" authorId="0" shapeId="0" xr:uid="{4AE60597-6C8A-4023-821D-5EC901AD1D0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8" authorId="1" shapeId="0" xr:uid="{85F3C06C-3B54-4B31-A21A-195985C1728B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8" authorId="2" shapeId="0" xr:uid="{E15703C1-D5B7-4B5F-B0E5-24212169E45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8" authorId="3" shapeId="0" xr:uid="{D15091AB-2D63-4BD3-B691-A002F82FF31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8" authorId="3" shapeId="0" xr:uid="{97962FC6-FA2A-441C-8C1E-7EF1DE65776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8" authorId="3" shapeId="0" xr:uid="{BB327B7F-0E24-4F0E-9373-DEA8CBABDFD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8" authorId="3" shapeId="0" xr:uid="{C92DDB94-F051-4AAD-979A-86967FA69A0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1" authorId="4" shapeId="0" xr:uid="{25A64571-C83A-4925-9D5B-C6AC90D0C2A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0" authorId="0" shapeId="0" xr:uid="{513647EB-8C71-4C3D-8B2D-5C7FD2B8723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8" authorId="1" shapeId="0" xr:uid="{4ECA9F54-8E6B-4ACD-86A0-A47BE59A165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8" authorId="2" shapeId="0" xr:uid="{B43C8E76-EF89-4FC7-8D03-2B5A459432F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8" authorId="3" shapeId="0" xr:uid="{653FB42C-8D95-4114-8F15-CE1096AC594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8" authorId="3" shapeId="0" xr:uid="{C3A30C3E-EFE3-4982-8643-DDA0439E0AB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8" authorId="3" shapeId="0" xr:uid="{253F9A39-857E-4F1E-B31C-0F63948437C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8" authorId="3" shapeId="0" xr:uid="{5F22C323-10CF-4CD1-8EB5-66F03969065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1" authorId="4" shapeId="0" xr:uid="{4C37BDE6-7571-4228-9769-83FC23C6E5B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0" authorId="0" shapeId="0" xr:uid="{F50B719F-7065-4D86-92F5-992EA6012F2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8" authorId="1" shapeId="0" xr:uid="{125B2CEA-9F4E-4CFE-B814-8CFE39133CF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8" authorId="2" shapeId="0" xr:uid="{3ADFEA1C-93B6-410A-A8C7-5883822A87E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8" authorId="3" shapeId="0" xr:uid="{C1ADE187-CCAF-4FB9-8889-8785BEDEEBB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8" authorId="3" shapeId="0" xr:uid="{15EB6EE2-9C0E-46EA-9D08-46E0E995B1A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8" authorId="3" shapeId="0" xr:uid="{FB1603CD-D2E0-4F67-B205-F22021A3D15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8" authorId="3" shapeId="0" xr:uid="{A568F55A-E1B5-4F2B-9B6C-6C412145BF8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1" authorId="4" shapeId="0" xr:uid="{ABFBB897-2BAE-448E-B150-DC5C22B3E75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0" authorId="0" shapeId="0" xr:uid="{5E395C1E-8A2E-40E8-9B85-83E9D2C40FB2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8" authorId="1" shapeId="0" xr:uid="{0C462C5A-19B6-44D1-B75E-790A543FFD1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8" authorId="2" shapeId="0" xr:uid="{7B6ABA65-ED1B-4CF3-A13E-C749F4F5CA2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8" authorId="3" shapeId="0" xr:uid="{C7834B30-6076-4520-9151-A4FEEF7AD93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8" authorId="3" shapeId="0" xr:uid="{390211BC-E4DF-4839-B914-ED023E3CFA3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8" authorId="3" shapeId="0" xr:uid="{16EB0F27-A0E1-40D2-8697-CBC429228E7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8" authorId="3" shapeId="0" xr:uid="{BC6DD740-B44E-4F2F-859F-75D0DF00363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1" authorId="4" shapeId="0" xr:uid="{F12F2126-1462-4895-9461-AAC470D1FA2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0" authorId="0" shapeId="0" xr:uid="{ABD803F7-8EC6-4D86-A313-3E84E362838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8" authorId="1" shapeId="0" xr:uid="{324E6AD1-13BB-482F-8DCC-349ED7B5BB6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8" authorId="2" shapeId="0" xr:uid="{EDD1642D-73CF-4BF7-9317-5F7315EBB51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8" authorId="3" shapeId="0" xr:uid="{4265361C-4D83-4B1A-8373-EB9B1331039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8" authorId="3" shapeId="0" xr:uid="{6F1AE2AA-1713-4B16-A61A-E99D0F1CF74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8" authorId="3" shapeId="0" xr:uid="{FFCB9A3D-18F6-4491-93B1-3F174D3733D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8" authorId="3" shapeId="0" xr:uid="{2F47A692-EB9A-4838-BDA3-2BD6E371556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1" authorId="4" shapeId="0" xr:uid="{5F036CCD-FFB0-4070-80A2-B845C1CE11E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0" authorId="0" shapeId="0" xr:uid="{B335FDEC-3A17-4464-ADA4-ED7382ED4D7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48" authorId="1" shapeId="0" xr:uid="{3AAB54FB-CCFE-4FE4-93EB-29740648D5DA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48" authorId="2" shapeId="0" xr:uid="{9A153279-5D2F-44E2-A85D-2557E186747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48" authorId="3" shapeId="0" xr:uid="{67F1186C-6EEB-4D66-BE4A-F46BA6360A2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G48" authorId="3" shapeId="0" xr:uid="{D7B1ED61-5444-45B4-87D0-5F0DD426968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perkg</t>
        </r>
      </text>
    </comment>
    <comment ref="H48" authorId="3" shapeId="0" xr:uid="{8BDD7887-C1C9-414A-B732-E69301248AC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J48" authorId="3" shapeId="0" xr:uid="{42AC9EC6-2FAE-42A0-A3FC-EF4959D2EAF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1" authorId="4" shapeId="0" xr:uid="{E984A050-6AA3-49FD-8782-3E41E129F27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<sst xmlns="http://schemas.openxmlformats.org/spreadsheetml/2006/main" count="6137" uniqueCount="150">
  <si>
    <t>LAPORAN HARGA BAHAN POKOK DI KOTA SURABAYA</t>
  </si>
  <si>
    <t xml:space="preserve"> </t>
  </si>
  <si>
    <t>NAMA BAHAN POKOK DAN PENTING LAINNYA</t>
  </si>
  <si>
    <t>SAT</t>
  </si>
  <si>
    <t>BERAS</t>
  </si>
  <si>
    <t>- Beras IR.64 Kwalitas I</t>
  </si>
  <si>
    <t>Kg</t>
  </si>
  <si>
    <t>- Beras IR.64 Kwalitas II</t>
  </si>
  <si>
    <t>- Beras IR.64 Kwalitas III</t>
  </si>
  <si>
    <t>- Beras Jagung</t>
  </si>
  <si>
    <t>- Beras Ketan (Jenis Siyem)</t>
  </si>
  <si>
    <t>GULA</t>
  </si>
  <si>
    <t xml:space="preserve">Gula Pasir Lokal Curah </t>
  </si>
  <si>
    <t>- Gula Jawa/Merah (Bahan Kelapa)</t>
  </si>
  <si>
    <t>MINYAK GORENG</t>
  </si>
  <si>
    <t>- Minyak Goreng Curah (Bening)</t>
  </si>
  <si>
    <t>MENTEGA</t>
  </si>
  <si>
    <t>- Mentega Curah (Amanda)</t>
  </si>
  <si>
    <t>DAGING</t>
  </si>
  <si>
    <t>- Daging Sapi Grade Atas</t>
  </si>
  <si>
    <t>- Daging Sapi Grade Sedang</t>
  </si>
  <si>
    <t>- Daging Sapi Grade Bawah</t>
  </si>
  <si>
    <t>- Daging Ayam Broiler</t>
  </si>
  <si>
    <t>I K A N</t>
  </si>
  <si>
    <t>- Ikan Tongkol Segar (Uk. Sedang)</t>
  </si>
  <si>
    <t>- Ikan Mujair Segar (Uk. Sedang)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</si>
  <si>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</si>
  <si>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</si>
  <si>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</si>
  <si>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</si>
  <si>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</si>
  <si>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>- Telur Ayam Broiler</t>
  </si>
  <si>
    <t>- Telur Ayam Kampung</t>
  </si>
  <si>
    <t>Butir</t>
  </si>
  <si>
    <t>S U S U</t>
  </si>
  <si>
    <t>- Susu Kental Manis "INDOMILK" Putih</t>
  </si>
  <si>
    <t>390 Gr/kaleng</t>
  </si>
  <si>
    <t>- Susu Bubuk "DANCOW" Full Cream</t>
  </si>
  <si>
    <t>400 Gr/Dos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</si>
  <si>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</si>
  <si>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</si>
  <si>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</si>
  <si>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</si>
  <si>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</si>
  <si>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</si>
  <si>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</si>
  <si>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</si>
  <si>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</si>
  <si>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</si>
  <si>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</si>
  <si>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</si>
  <si>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</si>
  <si>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</si>
  <si>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</si>
  <si>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</si>
  <si>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>- Kacang Hijau</t>
  </si>
  <si>
    <t>- Kacang Tanah (Jenis Besar)</t>
  </si>
  <si>
    <t>MIE INSTAN</t>
  </si>
  <si>
    <t>- Indomie Goreng</t>
  </si>
  <si>
    <t>86 Gr/Bngks</t>
  </si>
  <si>
    <t>C A B E</t>
  </si>
  <si>
    <t>- Cabe Merah Besar</t>
  </si>
  <si>
    <t>- Cabe Merah Kriting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</si>
  <si>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</si>
  <si>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</si>
  <si>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</si>
  <si>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</si>
  <si>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</si>
  <si>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</si>
  <si>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</si>
  <si>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</si>
  <si>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</si>
  <si>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</si>
  <si>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</si>
  <si>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</si>
  <si>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</si>
  <si>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</si>
  <si>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</si>
  <si>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</si>
  <si>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</si>
  <si>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</si>
  <si>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</si>
  <si>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</si>
  <si>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</si>
  <si>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</si>
  <si>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</si>
  <si>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</si>
  <si>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>- Air Mineral (Aqua Galon)</t>
  </si>
  <si>
    <t>19 Ltr/Galon</t>
  </si>
  <si>
    <t xml:space="preserve">HARGA BAHAN-BAHAN POKOK </t>
  </si>
  <si>
    <t>DI PASAR TRADISIONAL KOTA SURABAYA</t>
  </si>
  <si>
    <t>SATUAN</t>
  </si>
  <si>
    <t>Pasar Tambahrejo</t>
  </si>
  <si>
    <t>Pasar Pucang Anom</t>
  </si>
  <si>
    <t>Pasar Wonokromo</t>
  </si>
  <si>
    <t>Pasar Genteng Baru</t>
  </si>
  <si>
    <t>Pasar Pabean</t>
  </si>
  <si>
    <t>Pasar Kembang</t>
  </si>
  <si>
    <t>Pasar Balongsari</t>
  </si>
  <si>
    <t>Rata-Rata</t>
  </si>
  <si>
    <t>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</si>
  <si>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</si>
  <si>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</si>
  <si>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</t>
  </si>
  <si>
    <t xml:space="preserve">  </t>
  </si>
  <si>
    <t>- Telur Ayam Horn</t>
  </si>
  <si>
    <t>FLUKTUASI</t>
  </si>
  <si>
    <t>BAGIAN PEREKONOMIAN DAN SUMBER DAYA ALAM</t>
  </si>
  <si>
    <t>Catatan : Sumber PD Pasar Surya</t>
  </si>
  <si>
    <t>HET/HAPK (Harga Eceran Tertinggi)</t>
  </si>
  <si>
    <t>HARI / TANGGAL :  Rabu / 01 Februari 2023</t>
  </si>
  <si>
    <t>HARI / TANGGAL :  Kamis  / 02  Februari 2023</t>
  </si>
  <si>
    <t>HARI / TANGGAL :  Jumat / 03  Februari 2023</t>
  </si>
  <si>
    <t>HARI / TANGGAL :  Sabtu / 04  Februari 2023</t>
  </si>
  <si>
    <t>HARI / TANGGAL :  Minggu / 05  Februari 2023</t>
  </si>
  <si>
    <t>HARI / TANGGAL :  Senin / 06  Februari 2023</t>
  </si>
  <si>
    <t>HARI / TANGGAL :  Selasa / 07  Februari 2023</t>
  </si>
  <si>
    <t>HARI / TANGGAL :  Rabu / 08  Februari 2023</t>
  </si>
  <si>
    <t>HARI / TANGGAL :  Kamis / 09  Februari 2023</t>
  </si>
  <si>
    <t>HARI / TANGGAL :  Jumat  / 10  Februari 2023</t>
  </si>
  <si>
    <t>HARI / TANGGAL :  Minggu / 12  Februari 2023</t>
  </si>
  <si>
    <t>- Beras Premium</t>
  </si>
  <si>
    <t>- Beras Medium</t>
  </si>
  <si>
    <t>- Minyak Kita</t>
  </si>
  <si>
    <t>Liter</t>
  </si>
  <si>
    <t>HARI / TANGGAL :  Sabtu  / 11  Februari 2023</t>
  </si>
  <si>
    <t>HARI / TANGGAL :  Senin / 13  Februari 2023</t>
  </si>
  <si>
    <t>HARI / TANGGAL :  Selasa / 14  Februari 2023</t>
  </si>
  <si>
    <t>HARI / TANGGAL :  Rabu / 15  Februari 2023</t>
  </si>
  <si>
    <t>HARI / TANGGAL :  Kamis / 16  Februari 2023</t>
  </si>
  <si>
    <t>HARI / TANGGAL :  Jumat / 17  Februari 2023</t>
  </si>
  <si>
    <t>HARI / TANGGAL :  Sabtu / 18  Februari 2023</t>
  </si>
  <si>
    <t>HARI / TANGGAL :  Minggu / 19  Februari 2023</t>
  </si>
  <si>
    <t>HARI / TANGGAL :  Senin / 20  Februari 2023</t>
  </si>
  <si>
    <t>HARI / TANGGAL :  Selasa / 21  Februari 2023</t>
  </si>
  <si>
    <t>HARI / TANGGAL :  Rabu  / 22  Februari 2023</t>
  </si>
  <si>
    <t>TAHU DAN TEMPE</t>
  </si>
  <si>
    <t>- Tahu</t>
  </si>
  <si>
    <t>Biji</t>
  </si>
  <si>
    <t>- Tempe</t>
  </si>
  <si>
    <t>HARI / TANGGAL :  Kamis  / 23  Februari 2023</t>
  </si>
  <si>
    <t>HARI / TANGGAL :  Jumat  / 24  Februari 2023</t>
  </si>
  <si>
    <t>HARI / TANGGAL :  Sabtu  / 25  Februari 2023</t>
  </si>
  <si>
    <t>HARI / TANGGAL :  Minggu  / 26  Februari 2023</t>
  </si>
  <si>
    <t>HARI / TANGGAL :  Senin   / 27  Februari 2023</t>
  </si>
  <si>
    <t>HARI / TANGGAL :  Selasa  / 28  Februari 2023</t>
  </si>
  <si>
    <t>PERIODE PEBRUARI  2023</t>
  </si>
  <si>
    <t>TAHU TEMPE</t>
  </si>
  <si>
    <t>Tempe</t>
  </si>
  <si>
    <t xml:space="preserve">Tahu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</si>
</sst>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7" x14ac:knownFonts="1"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Arial"/>
      <family val="2"/>
    </font>
    <font>
      <b/>
      <sz val="11"/>
      <color theme="1" tint="4.9989318521683403E-2"/>
      <name val="Tahoma"/>
      <family val="2"/>
    </font>
    <font>
      <b/>
      <sz val="11"/>
      <name val="Arial"/>
      <family val="2"/>
    </font>
    <font>
      <b/>
      <sz val="11"/>
      <color theme="5" tint="-0.249977111117893"/>
      <name val="Tahoma"/>
      <family val="2"/>
    </font>
    <font>
      <sz val="11"/>
      <color theme="5" tint="-0.249977111117893"/>
      <name val="Tahoma"/>
      <family val="2"/>
    </font>
    <font>
      <sz val="11"/>
      <color theme="1" tint="4.9989318521683403E-2"/>
      <name val="Tahoma"/>
      <family val="2"/>
    </font>
    <font>
      <sz val="12"/>
      <color rgb="FFFF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2" fillId="0" borderId="0"/>
  </cellStyleXfs>
  <cellXfs count="212">
    <xf numFmtId="0" fontId="0" fillId="0" borderId="0" xfId="0"/>
    <xf numFmtId="164" fontId="0" fillId="0" borderId="0" xfId="0" applyNumberFormat="1"/>
    <xf numFmtId="0" fontId="0" fillId="2" borderId="0" xfId="0" applyFill="1"/>
    <xf numFmtId="0" fontId="10" fillId="0" borderId="0" xfId="0" applyFont="1"/>
    <xf numFmtId="0" fontId="0" fillId="6" borderId="0" xfId="0" applyFill="1"/>
    <xf numFmtId="0" fontId="12" fillId="0" borderId="0" xfId="0" applyFont="1"/>
    <xf numFmtId="0" fontId="3" fillId="3" borderId="4" xfId="1" applyFont="1" applyFill="1" applyBorder="1" applyAlignment="1">
      <alignment vertical="center"/>
    </xf>
    <xf numFmtId="0" fontId="13" fillId="3" borderId="4" xfId="1" applyFont="1" applyFill="1" applyBorder="1" applyAlignment="1">
      <alignment vertical="center"/>
    </xf>
    <xf numFmtId="0" fontId="14" fillId="0" borderId="21" xfId="1" applyFont="1" applyBorder="1" applyAlignment="1">
      <alignment vertical="center"/>
    </xf>
    <xf numFmtId="0" fontId="13" fillId="0" borderId="22" xfId="1" applyFont="1" applyBorder="1" applyAlignment="1">
      <alignment vertical="center"/>
    </xf>
    <xf numFmtId="0" fontId="15" fillId="0" borderId="22" xfId="1" applyFont="1" applyBorder="1"/>
    <xf numFmtId="0" fontId="15" fillId="0" borderId="23" xfId="1" applyFont="1" applyBorder="1"/>
    <xf numFmtId="0" fontId="13" fillId="0" borderId="2" xfId="1" applyFont="1" applyBorder="1" applyAlignment="1">
      <alignment horizontal="center" vertical="top"/>
    </xf>
    <xf numFmtId="0" fontId="13" fillId="0" borderId="6" xfId="1" quotePrefix="1" applyFont="1" applyBorder="1" applyAlignment="1">
      <alignment vertical="center"/>
    </xf>
    <xf numFmtId="0" fontId="13" fillId="0" borderId="6" xfId="1" applyFont="1" applyBorder="1" applyAlignment="1">
      <alignment horizontal="center" vertical="center"/>
    </xf>
    <xf numFmtId="164" fontId="16" fillId="2" borderId="24" xfId="2" applyFont="1" applyFill="1" applyBorder="1" applyAlignment="1">
      <alignment vertical="center"/>
    </xf>
    <xf numFmtId="164" fontId="16" fillId="0" borderId="25" xfId="2" applyFont="1" applyFill="1" applyBorder="1" applyAlignment="1">
      <alignment vertical="center"/>
    </xf>
    <xf numFmtId="164" fontId="16" fillId="0" borderId="26" xfId="2" applyFont="1" applyFill="1" applyBorder="1" applyAlignment="1">
      <alignment vertical="center"/>
    </xf>
    <xf numFmtId="164" fontId="3" fillId="2" borderId="26" xfId="2" applyFont="1" applyFill="1" applyBorder="1" applyAlignment="1">
      <alignment vertical="center"/>
    </xf>
    <xf numFmtId="164" fontId="17" fillId="0" borderId="27" xfId="2" applyFont="1" applyBorder="1" applyAlignment="1">
      <alignment vertical="center"/>
    </xf>
    <xf numFmtId="164" fontId="12" fillId="0" borderId="0" xfId="0" applyNumberFormat="1" applyFont="1"/>
    <xf numFmtId="164" fontId="11" fillId="0" borderId="25" xfId="2" applyFont="1" applyFill="1" applyBorder="1" applyAlignment="1">
      <alignment horizontal="center" vertical="center"/>
    </xf>
    <xf numFmtId="164" fontId="17" fillId="0" borderId="27" xfId="2" applyFont="1" applyBorder="1"/>
    <xf numFmtId="164" fontId="16" fillId="0" borderId="24" xfId="2" applyFont="1" applyFill="1" applyBorder="1" applyAlignment="1">
      <alignment vertical="center"/>
    </xf>
    <xf numFmtId="164" fontId="3" fillId="0" borderId="25" xfId="2" applyFont="1" applyFill="1" applyBorder="1" applyAlignment="1">
      <alignment vertical="center"/>
    </xf>
    <xf numFmtId="164" fontId="11" fillId="0" borderId="25" xfId="2" applyFont="1" applyFill="1" applyBorder="1" applyAlignment="1">
      <alignment vertical="center"/>
    </xf>
    <xf numFmtId="164" fontId="16" fillId="0" borderId="26" xfId="2" applyFont="1" applyFill="1" applyBorder="1" applyAlignment="1">
      <alignment horizontal="center" vertical="center"/>
    </xf>
    <xf numFmtId="164" fontId="3" fillId="0" borderId="26" xfId="2" applyFont="1" applyFill="1" applyBorder="1" applyAlignment="1">
      <alignment horizontal="center" vertical="center"/>
    </xf>
    <xf numFmtId="164" fontId="3" fillId="2" borderId="26" xfId="2" applyFont="1" applyFill="1" applyBorder="1" applyAlignment="1">
      <alignment horizontal="center" vertical="center"/>
    </xf>
    <xf numFmtId="164" fontId="16" fillId="0" borderId="25" xfId="2" applyFont="1" applyFill="1" applyBorder="1" applyAlignment="1">
      <alignment horizontal="center" vertical="center"/>
    </xf>
    <xf numFmtId="164" fontId="13" fillId="0" borderId="25" xfId="2" applyFont="1" applyFill="1" applyBorder="1" applyAlignment="1">
      <alignment horizontal="center" vertical="center"/>
    </xf>
    <xf numFmtId="0" fontId="13" fillId="0" borderId="7" xfId="1" applyFont="1" applyBorder="1" applyAlignment="1">
      <alignment horizontal="center" vertical="top"/>
    </xf>
    <xf numFmtId="0" fontId="3" fillId="3" borderId="6" xfId="1" applyFont="1" applyFill="1" applyBorder="1" applyAlignment="1">
      <alignment vertical="center"/>
    </xf>
    <xf numFmtId="0" fontId="13" fillId="4" borderId="6" xfId="1" applyFont="1" applyFill="1" applyBorder="1" applyAlignment="1">
      <alignment vertical="center"/>
    </xf>
    <xf numFmtId="0" fontId="14" fillId="0" borderId="24" xfId="1" applyFont="1" applyBorder="1" applyAlignment="1">
      <alignment vertical="center"/>
    </xf>
    <xf numFmtId="164" fontId="13" fillId="0" borderId="25" xfId="2" applyFont="1" applyFill="1" applyBorder="1" applyAlignment="1">
      <alignment vertical="center"/>
    </xf>
    <xf numFmtId="0" fontId="13" fillId="0" borderId="25" xfId="1" applyFont="1" applyBorder="1" applyAlignment="1">
      <alignment vertical="center"/>
    </xf>
    <xf numFmtId="164" fontId="15" fillId="0" borderId="25" xfId="2" applyFont="1" applyFill="1" applyBorder="1" applyAlignment="1"/>
    <xf numFmtId="164" fontId="15" fillId="0" borderId="26" xfId="2" applyFont="1" applyFill="1" applyBorder="1" applyAlignment="1"/>
    <xf numFmtId="164" fontId="17" fillId="4" borderId="27" xfId="2" applyFont="1" applyFill="1" applyBorder="1"/>
    <xf numFmtId="0" fontId="12" fillId="2" borderId="0" xfId="0" applyFont="1" applyFill="1"/>
    <xf numFmtId="0" fontId="13" fillId="0" borderId="6" xfId="1" applyFont="1" applyBorder="1" applyAlignment="1">
      <alignment vertical="center"/>
    </xf>
    <xf numFmtId="164" fontId="16" fillId="2" borderId="26" xfId="2" applyFont="1" applyFill="1" applyBorder="1" applyAlignment="1">
      <alignment vertical="center"/>
    </xf>
    <xf numFmtId="164" fontId="16" fillId="0" borderId="24" xfId="2" applyFont="1" applyFill="1" applyBorder="1" applyAlignment="1">
      <alignment horizontal="center" vertical="center"/>
    </xf>
    <xf numFmtId="0" fontId="3" fillId="4" borderId="6" xfId="1" applyFont="1" applyFill="1" applyBorder="1" applyAlignment="1">
      <alignment vertical="center"/>
    </xf>
    <xf numFmtId="0" fontId="11" fillId="0" borderId="24" xfId="1" applyFont="1" applyBorder="1" applyAlignment="1">
      <alignment vertical="center"/>
    </xf>
    <xf numFmtId="0" fontId="3" fillId="0" borderId="25" xfId="1" applyFont="1" applyBorder="1" applyAlignment="1">
      <alignment horizontal="center" vertical="center"/>
    </xf>
    <xf numFmtId="0" fontId="3" fillId="0" borderId="25" xfId="1" applyFont="1" applyBorder="1" applyAlignment="1">
      <alignment vertical="center"/>
    </xf>
    <xf numFmtId="0" fontId="3" fillId="0" borderId="26" xfId="1" applyFont="1" applyBorder="1" applyAlignment="1">
      <alignment vertical="center"/>
    </xf>
    <xf numFmtId="0" fontId="3" fillId="2" borderId="26" xfId="1" applyFont="1" applyFill="1" applyBorder="1" applyAlignment="1">
      <alignment vertical="center"/>
    </xf>
    <xf numFmtId="0" fontId="18" fillId="0" borderId="25" xfId="1" applyFont="1" applyBorder="1" applyAlignment="1">
      <alignment vertical="center"/>
    </xf>
    <xf numFmtId="164" fontId="13" fillId="0" borderId="26" xfId="2" applyFont="1" applyFill="1" applyBorder="1" applyAlignment="1">
      <alignment horizontal="center" vertical="center"/>
    </xf>
    <xf numFmtId="164" fontId="13" fillId="2" borderId="26" xfId="2" applyFont="1" applyFill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2" borderId="26" xfId="1" applyFont="1" applyFill="1" applyBorder="1" applyAlignment="1">
      <alignment horizontal="center" vertical="center"/>
    </xf>
    <xf numFmtId="164" fontId="11" fillId="0" borderId="26" xfId="2" applyFont="1" applyFill="1" applyBorder="1" applyAlignment="1">
      <alignment horizontal="center" vertical="center"/>
    </xf>
    <xf numFmtId="164" fontId="16" fillId="2" borderId="26" xfId="2" applyFont="1" applyFill="1" applyBorder="1" applyAlignment="1">
      <alignment horizontal="center" vertical="center"/>
    </xf>
    <xf numFmtId="164" fontId="11" fillId="2" borderId="26" xfId="2" applyFont="1" applyFill="1" applyBorder="1" applyAlignment="1">
      <alignment horizontal="center" vertical="center"/>
    </xf>
    <xf numFmtId="164" fontId="3" fillId="0" borderId="25" xfId="2" applyFont="1" applyFill="1" applyBorder="1" applyAlignment="1">
      <alignment horizontal="center" vertical="center"/>
    </xf>
    <xf numFmtId="164" fontId="16" fillId="6" borderId="25" xfId="2" applyFont="1" applyFill="1" applyBorder="1" applyAlignment="1">
      <alignment vertical="center"/>
    </xf>
    <xf numFmtId="0" fontId="16" fillId="2" borderId="26" xfId="1" applyFont="1" applyFill="1" applyBorder="1" applyAlignment="1">
      <alignment vertical="center"/>
    </xf>
    <xf numFmtId="0" fontId="13" fillId="0" borderId="25" xfId="1" applyFont="1" applyBorder="1" applyAlignment="1">
      <alignment horizontal="center" vertical="center"/>
    </xf>
    <xf numFmtId="0" fontId="3" fillId="3" borderId="6" xfId="1" applyFont="1" applyFill="1" applyBorder="1" applyAlignment="1">
      <alignment horizontal="left" vertical="center"/>
    </xf>
    <xf numFmtId="0" fontId="13" fillId="4" borderId="6" xfId="1" applyFont="1" applyFill="1" applyBorder="1" applyAlignment="1">
      <alignment horizontal="center" vertical="center"/>
    </xf>
    <xf numFmtId="164" fontId="14" fillId="0" borderId="24" xfId="2" applyFont="1" applyFill="1" applyBorder="1" applyAlignment="1">
      <alignment vertical="center"/>
    </xf>
    <xf numFmtId="164" fontId="19" fillId="0" borderId="25" xfId="2" applyFont="1" applyFill="1" applyBorder="1" applyAlignment="1">
      <alignment vertical="center"/>
    </xf>
    <xf numFmtId="164" fontId="13" fillId="0" borderId="26" xfId="2" applyFont="1" applyFill="1" applyBorder="1" applyAlignment="1">
      <alignment vertical="center"/>
    </xf>
    <xf numFmtId="164" fontId="13" fillId="2" borderId="26" xfId="2" applyFont="1" applyFill="1" applyBorder="1" applyAlignment="1">
      <alignment vertical="center"/>
    </xf>
    <xf numFmtId="0" fontId="13" fillId="5" borderId="6" xfId="1" applyFont="1" applyFill="1" applyBorder="1" applyAlignment="1">
      <alignment horizontal="center" vertical="center"/>
    </xf>
    <xf numFmtId="164" fontId="14" fillId="0" borderId="25" xfId="2" applyFont="1" applyFill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9" fillId="0" borderId="25" xfId="1" applyFont="1" applyBorder="1" applyAlignment="1">
      <alignment vertical="center"/>
    </xf>
    <xf numFmtId="0" fontId="13" fillId="0" borderId="26" xfId="1" applyFont="1" applyBorder="1" applyAlignment="1">
      <alignment vertical="center"/>
    </xf>
    <xf numFmtId="0" fontId="20" fillId="2" borderId="26" xfId="1" applyFont="1" applyFill="1" applyBorder="1" applyAlignment="1">
      <alignment vertical="center"/>
    </xf>
    <xf numFmtId="0" fontId="13" fillId="5" borderId="6" xfId="1" quotePrefix="1" applyFont="1" applyFill="1" applyBorder="1" applyAlignment="1">
      <alignment vertical="center"/>
    </xf>
    <xf numFmtId="164" fontId="19" fillId="0" borderId="25" xfId="2" applyFont="1" applyFill="1" applyBorder="1" applyAlignment="1">
      <alignment horizontal="center" vertical="center"/>
    </xf>
    <xf numFmtId="164" fontId="20" fillId="0" borderId="26" xfId="2" applyFont="1" applyFill="1" applyBorder="1" applyAlignment="1">
      <alignment horizontal="center" vertical="center"/>
    </xf>
    <xf numFmtId="0" fontId="21" fillId="0" borderId="0" xfId="0" applyFont="1"/>
    <xf numFmtId="0" fontId="13" fillId="0" borderId="8" xfId="1" applyFont="1" applyBorder="1" applyAlignment="1">
      <alignment horizontal="center" vertical="center"/>
    </xf>
    <xf numFmtId="164" fontId="18" fillId="0" borderId="24" xfId="2" applyFont="1" applyFill="1" applyBorder="1" applyAlignment="1">
      <alignment vertical="center"/>
    </xf>
    <xf numFmtId="164" fontId="20" fillId="2" borderId="26" xfId="2" applyFont="1" applyFill="1" applyBorder="1" applyAlignment="1">
      <alignment vertical="center"/>
    </xf>
    <xf numFmtId="0" fontId="13" fillId="0" borderId="7" xfId="1" applyFont="1" applyBorder="1" applyAlignment="1">
      <alignment horizontal="center" vertical="center"/>
    </xf>
    <xf numFmtId="164" fontId="20" fillId="0" borderId="24" xfId="2" applyFont="1" applyFill="1" applyBorder="1" applyAlignment="1">
      <alignment vertical="center"/>
    </xf>
    <xf numFmtId="0" fontId="13" fillId="3" borderId="6" xfId="1" applyFont="1" applyFill="1" applyBorder="1" applyAlignment="1">
      <alignment horizontal="center" vertical="center"/>
    </xf>
    <xf numFmtId="164" fontId="18" fillId="0" borderId="25" xfId="2" applyFont="1" applyFill="1" applyBorder="1" applyAlignment="1">
      <alignment vertical="center"/>
    </xf>
    <xf numFmtId="0" fontId="13" fillId="0" borderId="2" xfId="1" applyFont="1" applyBorder="1" applyAlignment="1">
      <alignment horizontal="center" vertical="center"/>
    </xf>
    <xf numFmtId="164" fontId="16" fillId="0" borderId="26" xfId="2" applyFont="1" applyFill="1" applyBorder="1" applyAlignment="1"/>
    <xf numFmtId="164" fontId="3" fillId="0" borderId="26" xfId="2" applyFont="1" applyFill="1" applyBorder="1" applyAlignment="1">
      <alignment horizontal="center"/>
    </xf>
    <xf numFmtId="164" fontId="16" fillId="2" borderId="26" xfId="2" applyFont="1" applyFill="1" applyBorder="1" applyAlignment="1">
      <alignment horizontal="center"/>
    </xf>
    <xf numFmtId="164" fontId="19" fillId="0" borderId="24" xfId="2" applyFont="1" applyFill="1" applyBorder="1" applyAlignment="1">
      <alignment vertical="center"/>
    </xf>
    <xf numFmtId="164" fontId="20" fillId="0" borderId="25" xfId="2" applyFont="1" applyFill="1" applyBorder="1" applyAlignment="1">
      <alignment horizontal="center" vertical="center"/>
    </xf>
    <xf numFmtId="0" fontId="13" fillId="0" borderId="0" xfId="1" applyFont="1" applyAlignment="1">
      <alignment vertical="center"/>
    </xf>
    <xf numFmtId="0" fontId="15" fillId="4" borderId="33" xfId="1" applyFont="1" applyFill="1" applyBorder="1"/>
    <xf numFmtId="164" fontId="3" fillId="0" borderId="26" xfId="2" applyFont="1" applyFill="1" applyBorder="1" applyAlignment="1">
      <alignment vertical="center"/>
    </xf>
    <xf numFmtId="164" fontId="16" fillId="2" borderId="25" xfId="2" applyFont="1" applyFill="1" applyBorder="1" applyAlignment="1">
      <alignment vertical="center"/>
    </xf>
    <xf numFmtId="0" fontId="11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6" fillId="2" borderId="6" xfId="1" quotePrefix="1" applyFont="1" applyFill="1" applyBorder="1" applyAlignment="1">
      <alignment vertical="center"/>
    </xf>
    <xf numFmtId="0" fontId="5" fillId="2" borderId="6" xfId="1" applyFont="1" applyFill="1" applyBorder="1" applyAlignment="1">
      <alignment horizontal="center" vertical="center"/>
    </xf>
    <xf numFmtId="164" fontId="7" fillId="2" borderId="6" xfId="2" applyFont="1" applyFill="1" applyBorder="1" applyAlignment="1">
      <alignment vertical="center"/>
    </xf>
    <xf numFmtId="0" fontId="6" fillId="2" borderId="34" xfId="1" quotePrefix="1" applyFont="1" applyFill="1" applyBorder="1" applyAlignment="1">
      <alignment vertical="center"/>
    </xf>
    <xf numFmtId="0" fontId="5" fillId="2" borderId="34" xfId="1" applyFont="1" applyFill="1" applyBorder="1" applyAlignment="1">
      <alignment horizontal="center" vertical="center"/>
    </xf>
    <xf numFmtId="164" fontId="7" fillId="2" borderId="34" xfId="2" applyFont="1" applyFill="1" applyBorder="1" applyAlignment="1">
      <alignment vertical="center"/>
    </xf>
    <xf numFmtId="0" fontId="6" fillId="2" borderId="0" xfId="1" quotePrefix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164" fontId="7" fillId="2" borderId="0" xfId="2" applyFont="1" applyFill="1" applyBorder="1" applyAlignment="1">
      <alignment vertical="center"/>
    </xf>
    <xf numFmtId="0" fontId="6" fillId="2" borderId="35" xfId="1" quotePrefix="1" applyFont="1" applyFill="1" applyBorder="1" applyAlignment="1">
      <alignment vertical="center"/>
    </xf>
    <xf numFmtId="0" fontId="5" fillId="2" borderId="35" xfId="1" applyFont="1" applyFill="1" applyBorder="1" applyAlignment="1">
      <alignment horizontal="center" vertical="center"/>
    </xf>
    <xf numFmtId="164" fontId="7" fillId="2" borderId="35" xfId="2" applyFont="1" applyFill="1" applyBorder="1" applyAlignment="1">
      <alignment vertical="center"/>
    </xf>
    <xf numFmtId="0" fontId="5" fillId="2" borderId="6" xfId="1" applyFont="1" applyFill="1" applyBorder="1" applyAlignment="1">
      <alignment vertical="center"/>
    </xf>
    <xf numFmtId="0" fontId="5" fillId="2" borderId="34" xfId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5" fillId="2" borderId="35" xfId="1" quotePrefix="1" applyFont="1" applyFill="1" applyBorder="1" applyAlignment="1">
      <alignment vertical="center"/>
    </xf>
    <xf numFmtId="0" fontId="5" fillId="2" borderId="6" xfId="1" quotePrefix="1" applyFont="1" applyFill="1" applyBorder="1" applyAlignment="1">
      <alignment vertical="center"/>
    </xf>
    <xf numFmtId="0" fontId="4" fillId="2" borderId="34" xfId="1" applyFont="1" applyFill="1" applyBorder="1" applyAlignment="1">
      <alignment vertical="center"/>
    </xf>
    <xf numFmtId="0" fontId="5" fillId="2" borderId="34" xfId="1" quotePrefix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quotePrefix="1" applyFont="1" applyFill="1" applyAlignment="1">
      <alignment vertical="center"/>
    </xf>
    <xf numFmtId="16" fontId="4" fillId="2" borderId="1" xfId="1" applyNumberFormat="1" applyFont="1" applyFill="1" applyBorder="1" applyAlignment="1">
      <alignment horizontal="center" vertical="center" wrapText="1"/>
    </xf>
    <xf numFmtId="16" fontId="4" fillId="2" borderId="3" xfId="1" applyNumberFormat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vertical="center"/>
    </xf>
    <xf numFmtId="0" fontId="5" fillId="2" borderId="4" xfId="1" applyFont="1" applyFill="1" applyBorder="1" applyAlignment="1">
      <alignment vertical="center"/>
    </xf>
    <xf numFmtId="0" fontId="2" fillId="2" borderId="5" xfId="1" applyFill="1" applyBorder="1"/>
    <xf numFmtId="0" fontId="7" fillId="2" borderId="5" xfId="1" applyFont="1" applyFill="1" applyBorder="1"/>
    <xf numFmtId="0" fontId="5" fillId="2" borderId="2" xfId="1" applyFont="1" applyFill="1" applyBorder="1" applyAlignment="1">
      <alignment horizontal="center" vertical="top"/>
    </xf>
    <xf numFmtId="0" fontId="5" fillId="2" borderId="7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vertical="center"/>
    </xf>
    <xf numFmtId="0" fontId="4" fillId="2" borderId="6" xfId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22" fillId="0" borderId="0" xfId="3"/>
    <xf numFmtId="0" fontId="12" fillId="0" borderId="0" xfId="3" applyFont="1"/>
    <xf numFmtId="164" fontId="12" fillId="0" borderId="0" xfId="3" applyNumberFormat="1" applyFont="1"/>
    <xf numFmtId="0" fontId="12" fillId="2" borderId="0" xfId="3" applyFont="1" applyFill="1"/>
    <xf numFmtId="0" fontId="21" fillId="0" borderId="0" xfId="3" applyFont="1"/>
    <xf numFmtId="164" fontId="22" fillId="0" borderId="0" xfId="3" applyNumberFormat="1"/>
    <xf numFmtId="0" fontId="22" fillId="6" borderId="0" xfId="3" applyFill="1"/>
    <xf numFmtId="0" fontId="22" fillId="2" borderId="0" xfId="3" applyFill="1"/>
    <xf numFmtId="0" fontId="14" fillId="16" borderId="21" xfId="1" applyFont="1" applyFill="1" applyBorder="1" applyAlignment="1">
      <alignment vertical="center"/>
    </xf>
    <xf numFmtId="0" fontId="13" fillId="16" borderId="22" xfId="1" applyFont="1" applyFill="1" applyBorder="1" applyAlignment="1">
      <alignment vertical="center"/>
    </xf>
    <xf numFmtId="0" fontId="15" fillId="16" borderId="22" xfId="1" applyFont="1" applyFill="1" applyBorder="1"/>
    <xf numFmtId="0" fontId="15" fillId="16" borderId="23" xfId="1" applyFont="1" applyFill="1" applyBorder="1"/>
    <xf numFmtId="0" fontId="4" fillId="2" borderId="6" xfId="1" quotePrefix="1" applyFont="1" applyFill="1" applyBorder="1" applyAlignment="1">
      <alignment vertical="center"/>
    </xf>
    <xf numFmtId="0" fontId="26" fillId="2" borderId="1" xfId="1" applyFont="1" applyFill="1" applyBorder="1" applyAlignment="1">
      <alignment horizontal="center" vertical="center" wrapText="1"/>
    </xf>
    <xf numFmtId="0" fontId="26" fillId="2" borderId="2" xfId="1" applyFont="1" applyFill="1" applyBorder="1" applyAlignment="1">
      <alignment horizontal="center" vertical="center" wrapText="1"/>
    </xf>
    <xf numFmtId="0" fontId="26" fillId="2" borderId="3" xfId="1" applyFont="1" applyFill="1" applyBorder="1" applyAlignment="1">
      <alignment horizontal="center" vertical="center" wrapText="1"/>
    </xf>
    <xf numFmtId="16" fontId="23" fillId="2" borderId="1" xfId="1" applyNumberFormat="1" applyFont="1" applyFill="1" applyBorder="1" applyAlignment="1">
      <alignment horizontal="center" vertical="center" wrapText="1"/>
    </xf>
    <xf numFmtId="0" fontId="23" fillId="2" borderId="2" xfId="1" applyFont="1" applyFill="1" applyBorder="1" applyAlignment="1">
      <alignment horizontal="center" vertical="center" wrapText="1"/>
    </xf>
    <xf numFmtId="0" fontId="23" fillId="2" borderId="3" xfId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 vertical="top"/>
    </xf>
    <xf numFmtId="0" fontId="5" fillId="2" borderId="2" xfId="1" applyFont="1" applyFill="1" applyBorder="1" applyAlignment="1">
      <alignment horizontal="center" vertical="top"/>
    </xf>
    <xf numFmtId="0" fontId="5" fillId="2" borderId="7" xfId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top"/>
    </xf>
    <xf numFmtId="0" fontId="11" fillId="0" borderId="0" xfId="0" applyFont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1" fillId="13" borderId="28" xfId="1" applyFont="1" applyFill="1" applyBorder="1" applyAlignment="1">
      <alignment horizontal="center" vertical="center" wrapText="1"/>
    </xf>
    <xf numFmtId="0" fontId="11" fillId="13" borderId="30" xfId="1" applyFont="1" applyFill="1" applyBorder="1" applyAlignment="1">
      <alignment horizontal="center" vertical="center" wrapText="1"/>
    </xf>
    <xf numFmtId="0" fontId="11" fillId="13" borderId="31" xfId="1" applyFont="1" applyFill="1" applyBorder="1" applyAlignment="1">
      <alignment horizontal="center" vertical="center" wrapText="1"/>
    </xf>
    <xf numFmtId="0" fontId="11" fillId="7" borderId="10" xfId="1" applyFont="1" applyFill="1" applyBorder="1" applyAlignment="1">
      <alignment horizontal="center" vertical="center" wrapText="1"/>
    </xf>
    <xf numFmtId="0" fontId="11" fillId="7" borderId="13" xfId="1" applyFont="1" applyFill="1" applyBorder="1" applyAlignment="1">
      <alignment horizontal="center" vertical="center" wrapText="1"/>
    </xf>
    <xf numFmtId="0" fontId="11" fillId="7" borderId="17" xfId="1" applyFont="1" applyFill="1" applyBorder="1" applyAlignment="1">
      <alignment horizontal="center" vertical="center" wrapText="1"/>
    </xf>
    <xf numFmtId="0" fontId="11" fillId="8" borderId="11" xfId="1" applyFont="1" applyFill="1" applyBorder="1" applyAlignment="1">
      <alignment horizontal="center" vertical="center" wrapText="1"/>
    </xf>
    <xf numFmtId="0" fontId="11" fillId="8" borderId="14" xfId="1" applyFont="1" applyFill="1" applyBorder="1" applyAlignment="1">
      <alignment horizontal="center" vertical="center" wrapText="1"/>
    </xf>
    <xf numFmtId="0" fontId="11" fillId="8" borderId="18" xfId="1" applyFont="1" applyFill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top"/>
    </xf>
    <xf numFmtId="0" fontId="13" fillId="0" borderId="2" xfId="1" applyFont="1" applyBorder="1" applyAlignment="1">
      <alignment horizontal="center" vertical="top"/>
    </xf>
    <xf numFmtId="0" fontId="13" fillId="0" borderId="7" xfId="1" applyFont="1" applyBorder="1" applyAlignment="1">
      <alignment horizontal="center" vertical="top"/>
    </xf>
    <xf numFmtId="0" fontId="11" fillId="11" borderId="1" xfId="1" applyFont="1" applyFill="1" applyBorder="1" applyAlignment="1">
      <alignment horizontal="center" vertical="center" wrapText="1"/>
    </xf>
    <xf numFmtId="0" fontId="11" fillId="11" borderId="2" xfId="1" applyFont="1" applyFill="1" applyBorder="1" applyAlignment="1">
      <alignment horizontal="center" vertical="center" wrapText="1"/>
    </xf>
    <xf numFmtId="0" fontId="11" fillId="11" borderId="3" xfId="1" applyFont="1" applyFill="1" applyBorder="1" applyAlignment="1">
      <alignment horizontal="center" vertical="center" wrapText="1"/>
    </xf>
    <xf numFmtId="0" fontId="11" fillId="12" borderId="1" xfId="1" applyFont="1" applyFill="1" applyBorder="1" applyAlignment="1">
      <alignment horizontal="center" vertical="center" wrapText="1"/>
    </xf>
    <xf numFmtId="0" fontId="11" fillId="12" borderId="2" xfId="1" applyFont="1" applyFill="1" applyBorder="1" applyAlignment="1">
      <alignment horizontal="center" vertical="center" wrapText="1"/>
    </xf>
    <xf numFmtId="0" fontId="11" fillId="12" borderId="3" xfId="1" applyFont="1" applyFill="1" applyBorder="1" applyAlignment="1">
      <alignment horizontal="center" vertical="center" wrapText="1"/>
    </xf>
    <xf numFmtId="0" fontId="3" fillId="2" borderId="29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32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top"/>
    </xf>
    <xf numFmtId="0" fontId="11" fillId="9" borderId="11" xfId="1" applyFont="1" applyFill="1" applyBorder="1" applyAlignment="1">
      <alignment horizontal="center" vertical="center" wrapText="1"/>
    </xf>
    <xf numFmtId="0" fontId="11" fillId="9" borderId="15" xfId="1" applyFont="1" applyFill="1" applyBorder="1" applyAlignment="1">
      <alignment horizontal="center" vertical="center" wrapText="1"/>
    </xf>
    <xf numFmtId="0" fontId="11" fillId="9" borderId="19" xfId="1" applyFont="1" applyFill="1" applyBorder="1" applyAlignment="1">
      <alignment horizontal="center" vertical="center" wrapText="1"/>
    </xf>
    <xf numFmtId="0" fontId="11" fillId="10" borderId="12" xfId="1" applyFont="1" applyFill="1" applyBorder="1" applyAlignment="1">
      <alignment horizontal="center" vertical="center" wrapText="1"/>
    </xf>
    <xf numFmtId="0" fontId="11" fillId="10" borderId="16" xfId="1" applyFont="1" applyFill="1" applyBorder="1" applyAlignment="1">
      <alignment horizontal="center" vertical="center" wrapText="1"/>
    </xf>
    <xf numFmtId="0" fontId="11" fillId="10" borderId="20" xfId="1" applyFont="1" applyFill="1" applyBorder="1" applyAlignment="1">
      <alignment horizontal="center" vertical="center" wrapText="1"/>
    </xf>
    <xf numFmtId="0" fontId="11" fillId="7" borderId="12" xfId="1" applyFont="1" applyFill="1" applyBorder="1" applyAlignment="1">
      <alignment horizontal="center" vertical="center" wrapText="1"/>
    </xf>
    <xf numFmtId="0" fontId="11" fillId="7" borderId="16" xfId="1" applyFont="1" applyFill="1" applyBorder="1" applyAlignment="1">
      <alignment horizontal="center" vertical="center" wrapText="1"/>
    </xf>
    <xf numFmtId="0" fontId="11" fillId="7" borderId="20" xfId="1" applyFont="1" applyFill="1" applyBorder="1" applyAlignment="1">
      <alignment horizontal="center" vertical="center" wrapText="1"/>
    </xf>
    <xf numFmtId="0" fontId="11" fillId="0" borderId="0" xfId="3" applyFont="1" applyAlignment="1">
      <alignment horizontal="center"/>
    </xf>
    <xf numFmtId="0" fontId="11" fillId="14" borderId="12" xfId="1" applyFont="1" applyFill="1" applyBorder="1" applyAlignment="1">
      <alignment horizontal="center" vertical="center" wrapText="1"/>
    </xf>
    <xf numFmtId="0" fontId="11" fillId="14" borderId="16" xfId="1" applyFont="1" applyFill="1" applyBorder="1" applyAlignment="1">
      <alignment horizontal="center" vertical="center" wrapText="1"/>
    </xf>
    <xf numFmtId="0" fontId="11" fillId="14" borderId="20" xfId="1" applyFont="1" applyFill="1" applyBorder="1" applyAlignment="1">
      <alignment horizontal="center" vertical="center" wrapText="1"/>
    </xf>
    <xf numFmtId="0" fontId="11" fillId="15" borderId="1" xfId="1" applyFont="1" applyFill="1" applyBorder="1" applyAlignment="1">
      <alignment horizontal="center" vertical="center" wrapText="1"/>
    </xf>
    <xf numFmtId="0" fontId="11" fillId="15" borderId="2" xfId="1" applyFont="1" applyFill="1" applyBorder="1" applyAlignment="1">
      <alignment horizontal="center" vertical="center" wrapText="1"/>
    </xf>
    <xf numFmtId="0" fontId="11" fillId="15" borderId="3" xfId="1" applyFont="1" applyFill="1" applyBorder="1" applyAlignment="1">
      <alignment horizontal="center" vertical="center" wrapText="1"/>
    </xf>
    <xf numFmtId="164" fontId="0" fillId="2" borderId="0" xfId="0" applyNumberFormat="1" applyFill="1"/>
  </cellXfs>
  <cellStyles count="4">
    <cellStyle name="Comma [0] 2" xfId="2" xr:uid="{54257AA9-09FB-4CDB-BB9F-ADCA14978239}"/>
    <cellStyle name="Normal" xfId="0" builtinId="0"/>
    <cellStyle name="Normal 2" xfId="1" xr:uid="{C69555B4-32D4-43B7-87AF-B7902BB4B85A}"/>
    <cellStyle name="Normal 3" xfId="3" xr:uid="{45FC9A72-026A-4729-8A06-57B43C3E5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BERAS IR 64 KWALITAS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GRAFIK!$C$3</c:f>
              <c:numCache>
                <c:formatCode>_(* #,##0_);_(* \(#,##0\);_(* "-"_);_(@_)</c:formatCode>
                <c:ptCount val="1"/>
                <c:pt idx="0">
                  <c:v>12542.857142857143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1-42ED-A8B4-8CB6FF023F2E}"/>
            </c:ext>
          </c:extLst>
        </c:ser>
        <c:ser>
          <c:idx val="1"/>
          <c:order val="1"/>
          <c:tx>
            <c:strRef>
              <c:f>GRAFIK!$D$2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GRAFIK!$D$3</c:f>
              <c:numCache>
                <c:formatCode>_(* #,##0_);_(* \(#,##0\);_(* "-"_);_(@_)</c:formatCode>
                <c:ptCount val="1"/>
                <c:pt idx="0">
                  <c:v>12542.857142857143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1-42ED-A8B4-8CB6FF023F2E}"/>
            </c:ext>
          </c:extLst>
        </c:ser>
        <c:ser>
          <c:idx val="2"/>
          <c:order val="2"/>
          <c:tx>
            <c:strRef>
              <c:f>GRAFIK!$E$2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GRAFIK!$E$3</c:f>
              <c:numCache>
                <c:formatCode>_(* #,##0_);_(* \(#,##0\);_(* "-"_);_(@_)</c:formatCode>
                <c:ptCount val="1"/>
                <c:pt idx="0">
                  <c:v>12685.714285714286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41-42ED-A8B4-8CB6FF023F2E}"/>
            </c:ext>
          </c:extLst>
        </c:ser>
        <c:ser>
          <c:idx val="3"/>
          <c:order val="3"/>
          <c:tx>
            <c:strRef>
              <c:f>GRAFIK!$F$2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GRAFIK!$F$3</c:f>
              <c:numCache>
                <c:formatCode>_(* #,##0_);_(* \(#,##0\);_(* "-"_);_(@_)</c:formatCode>
                <c:ptCount val="1"/>
                <c:pt idx="0">
                  <c:v>12685.714285714286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41-42ED-A8B4-8CB6FF023F2E}"/>
            </c:ext>
          </c:extLst>
        </c:ser>
        <c:ser>
          <c:idx val="4"/>
          <c:order val="4"/>
          <c:tx>
            <c:strRef>
              <c:f>GRAFIK!$G$2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GRAFIK!$G$3</c:f>
              <c:numCache>
                <c:formatCode>_(* #,##0_);_(* \(#,##0\);_(* "-"_);_(@_)</c:formatCode>
                <c:ptCount val="1"/>
                <c:pt idx="0">
                  <c:v>12685.714285714286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41-42ED-A8B4-8CB6FF023F2E}"/>
            </c:ext>
          </c:extLst>
        </c:ser>
        <c:ser>
          <c:idx val="5"/>
          <c:order val="5"/>
          <c:tx>
            <c:strRef>
              <c:f>GRAFIK!$H$2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GRAFIK!$H$3</c:f>
              <c:numCache>
                <c:formatCode>_(* #,##0_);_(* \(#,##0\);_(* "-"_);_(@_)</c:formatCode>
                <c:ptCount val="1"/>
                <c:pt idx="0">
                  <c:v>12900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41-42ED-A8B4-8CB6FF023F2E}"/>
            </c:ext>
          </c:extLst>
        </c:ser>
        <c:ser>
          <c:idx val="6"/>
          <c:order val="6"/>
          <c:tx>
            <c:strRef>
              <c:f>GRAFIK!$I$2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GRAFIK!$I$3</c:f>
              <c:numCache>
                <c:formatCode>_(* #,##0_);_(* \(#,##0\);_(* "-"_);_(@_)</c:formatCode>
                <c:ptCount val="1"/>
                <c:pt idx="0">
                  <c:v>12900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41-42ED-A8B4-8CB6FF023F2E}"/>
            </c:ext>
          </c:extLst>
        </c:ser>
        <c:ser>
          <c:idx val="7"/>
          <c:order val="7"/>
          <c:tx>
            <c:strRef>
              <c:f>GRAFIK!$J$2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GRAFIK!$J$3</c:f>
              <c:numCache>
                <c:formatCode>_(* #,##0_);_(* \(#,##0\);_(* "-"_);_(@_)</c:formatCode>
                <c:ptCount val="1"/>
                <c:pt idx="0">
                  <c:v>12900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41-42ED-A8B4-8CB6FF023F2E}"/>
            </c:ext>
          </c:extLst>
        </c:ser>
        <c:ser>
          <c:idx val="8"/>
          <c:order val="8"/>
          <c:tx>
            <c:strRef>
              <c:f>GRAFIK!$K$2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GRAFIK!$K$3</c:f>
              <c:numCache>
                <c:formatCode>_(* #,##0_);_(* \(#,##0\);_(* "-"_);_(@_)</c:formatCode>
                <c:ptCount val="1"/>
                <c:pt idx="0">
                  <c:v>12900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41-42ED-A8B4-8CB6FF023F2E}"/>
            </c:ext>
          </c:extLst>
        </c:ser>
        <c:ser>
          <c:idx val="9"/>
          <c:order val="9"/>
          <c:tx>
            <c:strRef>
              <c:f>GRAFIK!$L$2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GRAFIK!$L$3</c:f>
              <c:numCache>
                <c:formatCode>_(* #,##0_);_(* \(#,##0\);_(* "-"_);_(@_)</c:formatCode>
                <c:ptCount val="1"/>
                <c:pt idx="0">
                  <c:v>12971.428571428571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B41-42ED-A8B4-8CB6FF023F2E}"/>
            </c:ext>
          </c:extLst>
        </c:ser>
        <c:ser>
          <c:idx val="10"/>
          <c:order val="10"/>
          <c:tx>
            <c:strRef>
              <c:f>GRAFIK!$M$2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GRAFIK!$M$3</c:f>
              <c:numCache>
                <c:formatCode>_(* #,##0_);_(* \(#,##0\);_(* "-"_);_(@_)</c:formatCode>
                <c:ptCount val="1"/>
                <c:pt idx="0">
                  <c:v>12971.428571428571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41-42ED-A8B4-8CB6FF023F2E}"/>
            </c:ext>
          </c:extLst>
        </c:ser>
        <c:ser>
          <c:idx val="11"/>
          <c:order val="11"/>
          <c:tx>
            <c:strRef>
              <c:f>GRAFIK!$N$2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GRAFIK!$N$3</c:f>
              <c:numCache>
                <c:formatCode>_(* #,##0_);_(* \(#,##0\);_(* "-"_);_(@_)</c:formatCode>
                <c:ptCount val="1"/>
                <c:pt idx="0">
                  <c:v>12828.571428571429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B41-42ED-A8B4-8CB6FF023F2E}"/>
            </c:ext>
          </c:extLst>
        </c:ser>
        <c:ser>
          <c:idx val="12"/>
          <c:order val="12"/>
          <c:tx>
            <c:strRef>
              <c:f>GRAFIK!$O$2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GRAFIK!$O$3</c:f>
              <c:numCache>
                <c:formatCode>_(* #,##0_);_(* \(#,##0\);_(* "-"_);_(@_)</c:formatCode>
                <c:ptCount val="1"/>
                <c:pt idx="0">
                  <c:v>13114.285714285714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B41-42ED-A8B4-8CB6FF023F2E}"/>
            </c:ext>
          </c:extLst>
        </c:ser>
        <c:ser>
          <c:idx val="13"/>
          <c:order val="13"/>
          <c:tx>
            <c:strRef>
              <c:f>GRAFIK!$P$2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GRAFIK!$P$3</c:f>
              <c:numCache>
                <c:formatCode>_(* #,##0_);_(* \(#,##0\);_(* "-"_);_(@_)</c:formatCode>
                <c:ptCount val="1"/>
                <c:pt idx="0">
                  <c:v>13257.142857142857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B41-42ED-A8B4-8CB6FF023F2E}"/>
            </c:ext>
          </c:extLst>
        </c:ser>
        <c:ser>
          <c:idx val="14"/>
          <c:order val="14"/>
          <c:tx>
            <c:strRef>
              <c:f>GRAFIK!$Q$2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GRAFIK!$Q$3</c:f>
              <c:numCache>
                <c:formatCode>_(* #,##0_);_(* \(#,##0\);_(* "-"_);_(@_)</c:formatCode>
                <c:ptCount val="1"/>
                <c:pt idx="0">
                  <c:v>13257.142857142857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B41-42ED-A8B4-8CB6FF023F2E}"/>
            </c:ext>
          </c:extLst>
        </c:ser>
        <c:ser>
          <c:idx val="15"/>
          <c:order val="15"/>
          <c:tx>
            <c:strRef>
              <c:f>GRAFIK!$R$2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GRAFIK!$R$3</c:f>
              <c:numCache>
                <c:formatCode>_(* #,##0_);_(* \(#,##0\);_(* "-"_);_(@_)</c:formatCode>
                <c:ptCount val="1"/>
                <c:pt idx="0">
                  <c:v>13328.571428571429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B41-42ED-A8B4-8CB6FF023F2E}"/>
            </c:ext>
          </c:extLst>
        </c:ser>
        <c:ser>
          <c:idx val="16"/>
          <c:order val="16"/>
          <c:tx>
            <c:strRef>
              <c:f>GRAFIK!$S$2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GRAFIK!$S$3</c:f>
              <c:numCache>
                <c:formatCode>_(* #,##0_);_(* \(#,##0\);_(* "-"_);_(@_)</c:formatCode>
                <c:ptCount val="1"/>
                <c:pt idx="0">
                  <c:v>13328.571428571429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B41-42ED-A8B4-8CB6FF023F2E}"/>
            </c:ext>
          </c:extLst>
        </c:ser>
        <c:ser>
          <c:idx val="17"/>
          <c:order val="17"/>
          <c:tx>
            <c:strRef>
              <c:f>GRAFIK!$T$2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GRAFIK!$T$3</c:f>
              <c:numCache>
                <c:formatCode>_(* #,##0_);_(* \(#,##0\);_(* "-"_);_(@_)</c:formatCode>
                <c:ptCount val="1"/>
                <c:pt idx="0">
                  <c:v>13400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B41-42ED-A8B4-8CB6FF023F2E}"/>
            </c:ext>
          </c:extLst>
        </c:ser>
        <c:ser>
          <c:idx val="18"/>
          <c:order val="18"/>
          <c:tx>
            <c:strRef>
              <c:f>GRAFIK!$U$2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GRAFIK!$U$3</c:f>
              <c:numCache>
                <c:formatCode>_(* #,##0_);_(* \(#,##0\);_(* "-"_);_(@_)</c:formatCode>
                <c:ptCount val="1"/>
                <c:pt idx="0">
                  <c:v>13400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B41-42ED-A8B4-8CB6FF023F2E}"/>
            </c:ext>
          </c:extLst>
        </c:ser>
        <c:ser>
          <c:idx val="19"/>
          <c:order val="19"/>
          <c:tx>
            <c:strRef>
              <c:f>GRAFIK!$V$2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GRAFIK!$V$3</c:f>
              <c:numCache>
                <c:formatCode>_(* #,##0_);_(* \(#,##0\);_(* "-"_);_(@_)</c:formatCode>
                <c:ptCount val="1"/>
                <c:pt idx="0">
                  <c:v>13328.571428571429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B41-42ED-A8B4-8CB6FF023F2E}"/>
            </c:ext>
          </c:extLst>
        </c:ser>
        <c:ser>
          <c:idx val="20"/>
          <c:order val="20"/>
          <c:tx>
            <c:strRef>
              <c:f>GRAFIK!$W$2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GRAFIK!$W$3</c:f>
              <c:numCache>
                <c:formatCode>_(* #,##0_);_(* \(#,##0\);_(* "-"_);_(@_)</c:formatCode>
                <c:ptCount val="1"/>
                <c:pt idx="0">
                  <c:v>13328.571428571429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B41-42ED-A8B4-8CB6FF023F2E}"/>
            </c:ext>
          </c:extLst>
        </c:ser>
        <c:ser>
          <c:idx val="21"/>
          <c:order val="21"/>
          <c:tx>
            <c:strRef>
              <c:f>GRAFIK!$X$2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GRAFIK!$X$3</c:f>
              <c:numCache>
                <c:formatCode>_(* #,##0_);_(* \(#,##0\);_(* "-"_);_(@_)</c:formatCode>
                <c:ptCount val="1"/>
                <c:pt idx="0">
                  <c:v>13328.571428571429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B41-42ED-A8B4-8CB6FF023F2E}"/>
            </c:ext>
          </c:extLst>
        </c:ser>
        <c:ser>
          <c:idx val="22"/>
          <c:order val="22"/>
          <c:tx>
            <c:strRef>
              <c:f>GRAFIK!$Y$2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GRAFIK!$Y$3</c:f>
              <c:numCache>
                <c:formatCode>_(* #,##0_);_(* \(#,##0\);_(* "-"_);_(@_)</c:formatCode>
                <c:ptCount val="1"/>
                <c:pt idx="0">
                  <c:v>13328.571428571429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B41-42ED-A8B4-8CB6FF023F2E}"/>
            </c:ext>
          </c:extLst>
        </c:ser>
        <c:ser>
          <c:idx val="23"/>
          <c:order val="23"/>
          <c:tx>
            <c:strRef>
              <c:f>GRAFIK!$Z$2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GRAFIK!$Z$3</c:f>
              <c:numCache>
                <c:formatCode>_(* #,##0_);_(* \(#,##0\);_(* "-"_);_(@_)</c:formatCode>
                <c:ptCount val="1"/>
                <c:pt idx="0">
                  <c:v>13328.571428571429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B41-42ED-A8B4-8CB6FF023F2E}"/>
            </c:ext>
          </c:extLst>
        </c:ser>
        <c:ser>
          <c:idx val="24"/>
          <c:order val="24"/>
          <c:tx>
            <c:strRef>
              <c:f>GRAFIK!$AA$2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GRAFIK!$AA$3</c:f>
              <c:numCache>
                <c:formatCode>_(* #,##0_);_(* \(#,##0\);_(* "-"_);_(@_)</c:formatCode>
                <c:ptCount val="1"/>
                <c:pt idx="0">
                  <c:v>13328.571428571429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B41-42ED-A8B4-8CB6FF023F2E}"/>
            </c:ext>
          </c:extLst>
        </c:ser>
        <c:ser>
          <c:idx val="25"/>
          <c:order val="25"/>
          <c:tx>
            <c:strRef>
              <c:f>GRAFIK!$AB$2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GRAFIK!$AB$3</c:f>
              <c:numCache>
                <c:formatCode>_(* #,##0_);_(* \(#,##0\);_(* "-"_);_(@_)</c:formatCode>
                <c:ptCount val="1"/>
                <c:pt idx="0">
                  <c:v>13328.571428571429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B41-42ED-A8B4-8CB6FF023F2E}"/>
            </c:ext>
          </c:extLst>
        </c:ser>
        <c:ser>
          <c:idx val="26"/>
          <c:order val="26"/>
          <c:tx>
            <c:strRef>
              <c:f>GRAFIK!$AC$2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GRAFIK!$AC$3</c:f>
              <c:numCache>
                <c:formatCode>_(* #,##0_);_(* \(#,##0\);_(* "-"_);_(@_)</c:formatCode>
                <c:ptCount val="1"/>
                <c:pt idx="0">
                  <c:v>13328.571428571429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B41-42ED-A8B4-8CB6FF023F2E}"/>
            </c:ext>
          </c:extLst>
        </c:ser>
        <c:ser>
          <c:idx val="27"/>
          <c:order val="27"/>
          <c:tx>
            <c:strRef>
              <c:f>GRAFIK!$AD$2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GRAFIK!$AD$3</c:f>
              <c:numCache>
                <c:formatCode>_(* #,##0_);_(* \(#,##0\);_(* "-"_);_(@_)</c:formatCode>
                <c:ptCount val="1"/>
                <c:pt idx="0">
                  <c:v>13328.571428571429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B41-42ED-A8B4-8CB6FF023F2E}"/>
            </c:ext>
          </c:extLst>
        </c:ser>
        <c:ser>
          <c:idx val="28"/>
          <c:order val="28"/>
          <c:tx>
            <c:strRef>
              <c:f>GRAFIK!$AE$2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GRAFIK!$AE$3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B41-42ED-A8B4-8CB6FF023F2E}"/>
            </c:ext>
          </c:extLst>
        </c:ser>
        <c:ser>
          <c:idx val="29"/>
          <c:order val="29"/>
          <c:tx>
            <c:strRef>
              <c:f>GRAFIK!$AF$2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GRAFIK!$AF$3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B41-42ED-A8B4-8CB6FF023F2E}"/>
            </c:ext>
          </c:extLst>
        </c:ser>
        <c:ser>
          <c:idx val="30"/>
          <c:order val="30"/>
          <c:tx>
            <c:strRef>
              <c:f>GRAFIK!$AG$2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GRAFIK!$AG$3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B41-42ED-A8B4-8CB6FF023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318648"/>
        <c:axId val="592318968"/>
      </c:barChart>
      <c:catAx>
        <c:axId val="59231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2318968"/>
        <c:crosses val="autoZero"/>
        <c:auto val="1"/>
        <c:lblAlgn val="ctr"/>
        <c:lblOffset val="100"/>
        <c:noMultiLvlLbl val="0"/>
      </c:catAx>
      <c:valAx>
        <c:axId val="59231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231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BERAS IR 64 KWALITAS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GRAFIK!$C$4</c:f>
              <c:numCache>
                <c:formatCode>_(* #,##0_);_(* \(#,##0\);_(* "-"_);_(@_)</c:formatCode>
                <c:ptCount val="1"/>
                <c:pt idx="0">
                  <c:v>11428.571428571429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9-4E57-8D84-95C6EECD90B9}"/>
            </c:ext>
          </c:extLst>
        </c:ser>
        <c:ser>
          <c:idx val="1"/>
          <c:order val="1"/>
          <c:tx>
            <c:strRef>
              <c:f>GRAFIK!$D$2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GRAFIK!$D$4</c:f>
              <c:numCache>
                <c:formatCode>_(* #,##0_);_(* \(#,##0\);_(* "-"_);_(@_)</c:formatCode>
                <c:ptCount val="1"/>
                <c:pt idx="0">
                  <c:v>11428.571428571429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39-4E57-8D84-95C6EECD90B9}"/>
            </c:ext>
          </c:extLst>
        </c:ser>
        <c:ser>
          <c:idx val="2"/>
          <c:order val="2"/>
          <c:tx>
            <c:strRef>
              <c:f>GRAFIK!$E$2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GRAFIK!$E$4</c:f>
              <c:numCache>
                <c:formatCode>_(* #,##0_);_(* \(#,##0\);_(* "-"_);_(@_)</c:formatCode>
                <c:ptCount val="1"/>
                <c:pt idx="0">
                  <c:v>11500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39-4E57-8D84-95C6EECD90B9}"/>
            </c:ext>
          </c:extLst>
        </c:ser>
        <c:ser>
          <c:idx val="3"/>
          <c:order val="3"/>
          <c:tx>
            <c:strRef>
              <c:f>GRAFIK!$F$2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GRAFIK!$F$4</c:f>
              <c:numCache>
                <c:formatCode>_(* #,##0_);_(* \(#,##0\);_(* "-"_);_(@_)</c:formatCode>
                <c:ptCount val="1"/>
                <c:pt idx="0">
                  <c:v>11357.142857142857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39-4E57-8D84-95C6EECD90B9}"/>
            </c:ext>
          </c:extLst>
        </c:ser>
        <c:ser>
          <c:idx val="4"/>
          <c:order val="4"/>
          <c:tx>
            <c:strRef>
              <c:f>GRAFIK!$G$2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GRAFIK!$G$4</c:f>
              <c:numCache>
                <c:formatCode>_(* #,##0_);_(* \(#,##0\);_(* "-"_);_(@_)</c:formatCode>
                <c:ptCount val="1"/>
                <c:pt idx="0">
                  <c:v>11357.142857142857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39-4E57-8D84-95C6EECD90B9}"/>
            </c:ext>
          </c:extLst>
        </c:ser>
        <c:ser>
          <c:idx val="5"/>
          <c:order val="5"/>
          <c:tx>
            <c:strRef>
              <c:f>GRAFIK!$H$2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GRAFIK!$H$4</c:f>
              <c:numCache>
                <c:formatCode>_(* #,##0_);_(* \(#,##0\);_(* "-"_);_(@_)</c:formatCode>
                <c:ptCount val="1"/>
                <c:pt idx="0">
                  <c:v>11714.285714285714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39-4E57-8D84-95C6EECD90B9}"/>
            </c:ext>
          </c:extLst>
        </c:ser>
        <c:ser>
          <c:idx val="6"/>
          <c:order val="6"/>
          <c:tx>
            <c:strRef>
              <c:f>GRAFIK!$I$2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GRAFIK!$I$4</c:f>
              <c:numCache>
                <c:formatCode>_(* #,##0_);_(* \(#,##0\);_(* "-"_);_(@_)</c:formatCode>
                <c:ptCount val="1"/>
                <c:pt idx="0">
                  <c:v>11714.285714285714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39-4E57-8D84-95C6EECD90B9}"/>
            </c:ext>
          </c:extLst>
        </c:ser>
        <c:ser>
          <c:idx val="7"/>
          <c:order val="7"/>
          <c:tx>
            <c:strRef>
              <c:f>GRAFIK!$J$2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GRAFIK!$J$4</c:f>
              <c:numCache>
                <c:formatCode>_(* #,##0_);_(* \(#,##0\);_(* "-"_);_(@_)</c:formatCode>
                <c:ptCount val="1"/>
                <c:pt idx="0">
                  <c:v>11928.571428571429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39-4E57-8D84-95C6EECD90B9}"/>
            </c:ext>
          </c:extLst>
        </c:ser>
        <c:ser>
          <c:idx val="8"/>
          <c:order val="8"/>
          <c:tx>
            <c:strRef>
              <c:f>GRAFIK!$K$2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GRAFIK!$K$4</c:f>
              <c:numCache>
                <c:formatCode>_(* #,##0_);_(* \(#,##0\);_(* "-"_);_(@_)</c:formatCode>
                <c:ptCount val="1"/>
                <c:pt idx="0">
                  <c:v>11928.571428571429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39-4E57-8D84-95C6EECD90B9}"/>
            </c:ext>
          </c:extLst>
        </c:ser>
        <c:ser>
          <c:idx val="9"/>
          <c:order val="9"/>
          <c:tx>
            <c:strRef>
              <c:f>GRAFIK!$L$2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GRAFIK!$L$4</c:f>
              <c:numCache>
                <c:formatCode>_(* #,##0_);_(* \(#,##0\);_(* "-"_);_(@_)</c:formatCode>
                <c:ptCount val="1"/>
                <c:pt idx="0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39-4E57-8D84-95C6EECD90B9}"/>
            </c:ext>
          </c:extLst>
        </c:ser>
        <c:ser>
          <c:idx val="10"/>
          <c:order val="10"/>
          <c:tx>
            <c:strRef>
              <c:f>GRAFIK!$M$2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GRAFIK!$M$4</c:f>
              <c:numCache>
                <c:formatCode>_(* #,##0_);_(* \(#,##0\);_(* "-"_);_(@_)</c:formatCode>
                <c:ptCount val="1"/>
                <c:pt idx="0">
                  <c:v>11714.285714285714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39-4E57-8D84-95C6EECD90B9}"/>
            </c:ext>
          </c:extLst>
        </c:ser>
        <c:ser>
          <c:idx val="11"/>
          <c:order val="11"/>
          <c:tx>
            <c:strRef>
              <c:f>GRAFIK!$N$2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GRAFIK!$N$4</c:f>
              <c:numCache>
                <c:formatCode>_(* #,##0_);_(* \(#,##0\);_(* "-"_);_(@_)</c:formatCode>
                <c:ptCount val="1"/>
                <c:pt idx="0">
                  <c:v>9035.7142857142862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F39-4E57-8D84-95C6EECD90B9}"/>
            </c:ext>
          </c:extLst>
        </c:ser>
        <c:ser>
          <c:idx val="12"/>
          <c:order val="12"/>
          <c:tx>
            <c:strRef>
              <c:f>GRAFIK!$O$2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GRAFIK!$O$4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39-4E57-8D84-95C6EECD90B9}"/>
            </c:ext>
          </c:extLst>
        </c:ser>
        <c:ser>
          <c:idx val="13"/>
          <c:order val="13"/>
          <c:tx>
            <c:strRef>
              <c:f>GRAFIK!$P$2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GRAFIK!$P$4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F39-4E57-8D84-95C6EECD90B9}"/>
            </c:ext>
          </c:extLst>
        </c:ser>
        <c:ser>
          <c:idx val="14"/>
          <c:order val="14"/>
          <c:tx>
            <c:strRef>
              <c:f>GRAFIK!$Q$2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GRAFIK!$Q$4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F39-4E57-8D84-95C6EECD90B9}"/>
            </c:ext>
          </c:extLst>
        </c:ser>
        <c:ser>
          <c:idx val="15"/>
          <c:order val="15"/>
          <c:tx>
            <c:strRef>
              <c:f>GRAFIK!$R$2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GRAFIK!$R$4</c:f>
              <c:numCache>
                <c:formatCode>_(* #,##0_);_(* \(#,##0\);_(* "-"_);_(@_)</c:formatCode>
                <c:ptCount val="1"/>
                <c:pt idx="0">
                  <c:v>9028.5714285714294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F39-4E57-8D84-95C6EECD90B9}"/>
            </c:ext>
          </c:extLst>
        </c:ser>
        <c:ser>
          <c:idx val="16"/>
          <c:order val="16"/>
          <c:tx>
            <c:strRef>
              <c:f>GRAFIK!$S$2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GRAFIK!$S$4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F39-4E57-8D84-95C6EECD90B9}"/>
            </c:ext>
          </c:extLst>
        </c:ser>
        <c:ser>
          <c:idx val="17"/>
          <c:order val="17"/>
          <c:tx>
            <c:strRef>
              <c:f>GRAFIK!$T$2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GRAFIK!$T$4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F39-4E57-8D84-95C6EECD90B9}"/>
            </c:ext>
          </c:extLst>
        </c:ser>
        <c:ser>
          <c:idx val="18"/>
          <c:order val="18"/>
          <c:tx>
            <c:strRef>
              <c:f>GRAFIK!$U$2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GRAFIK!$U$4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F39-4E57-8D84-95C6EECD90B9}"/>
            </c:ext>
          </c:extLst>
        </c:ser>
        <c:ser>
          <c:idx val="19"/>
          <c:order val="19"/>
          <c:tx>
            <c:strRef>
              <c:f>GRAFIK!$V$2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GRAFIK!$V$4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F39-4E57-8D84-95C6EECD90B9}"/>
            </c:ext>
          </c:extLst>
        </c:ser>
        <c:ser>
          <c:idx val="20"/>
          <c:order val="20"/>
          <c:tx>
            <c:strRef>
              <c:f>GRAFIK!$W$2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GRAFIK!$W$4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F39-4E57-8D84-95C6EECD90B9}"/>
            </c:ext>
          </c:extLst>
        </c:ser>
        <c:ser>
          <c:idx val="21"/>
          <c:order val="21"/>
          <c:tx>
            <c:strRef>
              <c:f>GRAFIK!$X$2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GRAFIK!$X$4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F39-4E57-8D84-95C6EECD90B9}"/>
            </c:ext>
          </c:extLst>
        </c:ser>
        <c:ser>
          <c:idx val="22"/>
          <c:order val="22"/>
          <c:tx>
            <c:strRef>
              <c:f>GRAFIK!$Y$2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GRAFIK!$Y$4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F39-4E57-8D84-95C6EECD90B9}"/>
            </c:ext>
          </c:extLst>
        </c:ser>
        <c:ser>
          <c:idx val="23"/>
          <c:order val="23"/>
          <c:tx>
            <c:strRef>
              <c:f>GRAFIK!$Z$2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GRAFIK!$Z$4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F39-4E57-8D84-95C6EECD90B9}"/>
            </c:ext>
          </c:extLst>
        </c:ser>
        <c:ser>
          <c:idx val="24"/>
          <c:order val="24"/>
          <c:tx>
            <c:strRef>
              <c:f>GRAFIK!$AA$2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GRAFIK!$AA$4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F39-4E57-8D84-95C6EECD90B9}"/>
            </c:ext>
          </c:extLst>
        </c:ser>
        <c:ser>
          <c:idx val="25"/>
          <c:order val="25"/>
          <c:tx>
            <c:strRef>
              <c:f>GRAFIK!$AB$2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GRAFIK!$AB$4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F39-4E57-8D84-95C6EECD90B9}"/>
            </c:ext>
          </c:extLst>
        </c:ser>
        <c:ser>
          <c:idx val="26"/>
          <c:order val="26"/>
          <c:tx>
            <c:strRef>
              <c:f>GRAFIK!$AC$2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GRAFIK!$AC$4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F39-4E57-8D84-95C6EECD90B9}"/>
            </c:ext>
          </c:extLst>
        </c:ser>
        <c:ser>
          <c:idx val="27"/>
          <c:order val="27"/>
          <c:tx>
            <c:strRef>
              <c:f>GRAFIK!$AD$2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GRAFIK!$AD$4</c:f>
              <c:numCache>
                <c:formatCode>_(* #,##0_);_(* \(#,##0\);_(* "-"_);_(@_)</c:formatCode>
                <c:ptCount val="1"/>
                <c:pt idx="0">
                  <c:v>8971.4285714285706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F39-4E57-8D84-95C6EECD90B9}"/>
            </c:ext>
          </c:extLst>
        </c:ser>
        <c:ser>
          <c:idx val="28"/>
          <c:order val="28"/>
          <c:tx>
            <c:strRef>
              <c:f>GRAFIK!$AE$2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GRAFIK!$AE$4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F39-4E57-8D84-95C6EECD90B9}"/>
            </c:ext>
          </c:extLst>
        </c:ser>
        <c:ser>
          <c:idx val="29"/>
          <c:order val="29"/>
          <c:tx>
            <c:strRef>
              <c:f>GRAFIK!$AF$2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GRAFIK!$AF$4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F39-4E57-8D84-95C6EECD90B9}"/>
            </c:ext>
          </c:extLst>
        </c:ser>
        <c:ser>
          <c:idx val="30"/>
          <c:order val="30"/>
          <c:tx>
            <c:strRef>
              <c:f>GRAFIK!$AG$2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GRAFIK!$AG$4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F39-4E57-8D84-95C6EECD9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294200"/>
        <c:axId val="526321720"/>
      </c:barChart>
      <c:catAx>
        <c:axId val="526294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6321720"/>
        <c:crosses val="autoZero"/>
        <c:auto val="1"/>
        <c:lblAlgn val="ctr"/>
        <c:lblOffset val="100"/>
        <c:noMultiLvlLbl val="0"/>
      </c:catAx>
      <c:valAx>
        <c:axId val="52632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629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BERAS IR 64 KWALITAS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GRAFIK!$C$5</c:f>
              <c:numCache>
                <c:formatCode>_(* #,##0_);_(* \(#,##0\);_(* "-"_);_(@_)</c:formatCode>
                <c:ptCount val="1"/>
                <c:pt idx="0">
                  <c:v>10575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2-4BD2-B54B-1698D4A351D6}"/>
            </c:ext>
          </c:extLst>
        </c:ser>
        <c:ser>
          <c:idx val="1"/>
          <c:order val="1"/>
          <c:tx>
            <c:strRef>
              <c:f>GRAFIK!$D$2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GRAFIK!$D$5</c:f>
              <c:numCache>
                <c:formatCode>_(* #,##0_);_(* \(#,##0\);_(* "-"_);_(@_)</c:formatCode>
                <c:ptCount val="1"/>
                <c:pt idx="0">
                  <c:v>10575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2-4BD2-B54B-1698D4A351D6}"/>
            </c:ext>
          </c:extLst>
        </c:ser>
        <c:ser>
          <c:idx val="2"/>
          <c:order val="2"/>
          <c:tx>
            <c:strRef>
              <c:f>GRAFIK!$E$2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GRAFIK!$E$5</c:f>
              <c:numCache>
                <c:formatCode>_(* #,##0_);_(* \(#,##0\);_(* "-"_);_(@_)</c:formatCode>
                <c:ptCount val="1"/>
                <c:pt idx="0">
                  <c:v>10741.666666666666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D2-4BD2-B54B-1698D4A351D6}"/>
            </c:ext>
          </c:extLst>
        </c:ser>
        <c:ser>
          <c:idx val="3"/>
          <c:order val="3"/>
          <c:tx>
            <c:strRef>
              <c:f>GRAFIK!$F$2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GRAFIK!$F$5</c:f>
              <c:numCache>
                <c:formatCode>_(* #,##0_);_(* \(#,##0\);_(* "-"_);_(@_)</c:formatCode>
                <c:ptCount val="1"/>
                <c:pt idx="0">
                  <c:v>6908.333333333333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D2-4BD2-B54B-1698D4A351D6}"/>
            </c:ext>
          </c:extLst>
        </c:ser>
        <c:ser>
          <c:idx val="4"/>
          <c:order val="4"/>
          <c:tx>
            <c:strRef>
              <c:f>GRAFIK!$G$2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GRAFIK!$G$5</c:f>
              <c:numCache>
                <c:formatCode>_(* #,##0_);_(* \(#,##0\);_(* "-"_);_(@_)</c:formatCode>
                <c:ptCount val="1"/>
                <c:pt idx="0">
                  <c:v>8741.6666666666661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D2-4BD2-B54B-1698D4A351D6}"/>
            </c:ext>
          </c:extLst>
        </c:ser>
        <c:ser>
          <c:idx val="5"/>
          <c:order val="5"/>
          <c:tx>
            <c:strRef>
              <c:f>GRAFIK!$H$2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GRAFIK!$H$5</c:f>
              <c:numCache>
                <c:formatCode>_(* #,##0_);_(* \(#,##0\);_(* "-"_);_(@_)</c:formatCode>
                <c:ptCount val="1"/>
                <c:pt idx="0">
                  <c:v>7158.333333333333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D2-4BD2-B54B-1698D4A351D6}"/>
            </c:ext>
          </c:extLst>
        </c:ser>
        <c:ser>
          <c:idx val="6"/>
          <c:order val="6"/>
          <c:tx>
            <c:strRef>
              <c:f>GRAFIK!$I$2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GRAFIK!$I$5</c:f>
              <c:numCache>
                <c:formatCode>_(* #,##0_);_(* \(#,##0\);_(* "-"_);_(@_)</c:formatCode>
                <c:ptCount val="1"/>
                <c:pt idx="0">
                  <c:v>7158.333333333333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D2-4BD2-B54B-1698D4A351D6}"/>
            </c:ext>
          </c:extLst>
        </c:ser>
        <c:ser>
          <c:idx val="7"/>
          <c:order val="7"/>
          <c:tx>
            <c:strRef>
              <c:f>GRAFIK!$J$2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GRAFIK!$J$5</c:f>
              <c:numCache>
                <c:formatCode>_(* #,##0_);_(* \(#,##0\);_(* "-"_);_(@_)</c:formatCode>
                <c:ptCount val="1"/>
                <c:pt idx="0">
                  <c:v>7158.333333333333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D2-4BD2-B54B-1698D4A351D6}"/>
            </c:ext>
          </c:extLst>
        </c:ser>
        <c:ser>
          <c:idx val="8"/>
          <c:order val="8"/>
          <c:tx>
            <c:strRef>
              <c:f>GRAFIK!$K$2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GRAFIK!$K$5</c:f>
              <c:numCache>
                <c:formatCode>_(* #,##0_);_(* \(#,##0\);_(* "-"_);_(@_)</c:formatCode>
                <c:ptCount val="1"/>
                <c:pt idx="0">
                  <c:v>7158.333333333333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D2-4BD2-B54B-1698D4A351D6}"/>
            </c:ext>
          </c:extLst>
        </c:ser>
        <c:ser>
          <c:idx val="9"/>
          <c:order val="9"/>
          <c:tx>
            <c:strRef>
              <c:f>GRAFIK!$L$2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GRAFIK!$L$5</c:f>
              <c:numCache>
                <c:formatCode>_(* #,##0_);_(* \(#,##0\);_(* "-"_);_(@_)</c:formatCode>
                <c:ptCount val="1"/>
                <c:pt idx="0">
                  <c:v>7757.1428571428569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D2-4BD2-B54B-1698D4A351D6}"/>
            </c:ext>
          </c:extLst>
        </c:ser>
        <c:ser>
          <c:idx val="10"/>
          <c:order val="10"/>
          <c:tx>
            <c:strRef>
              <c:f>GRAFIK!$M$2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GRAFIK!$M$5</c:f>
              <c:numCache>
                <c:formatCode>_(* #,##0_);_(* \(#,##0\);_(* "-"_);_(@_)</c:formatCode>
                <c:ptCount val="1"/>
                <c:pt idx="0">
                  <c:v>7757.1428571428569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D2-4BD2-B54B-1698D4A351D6}"/>
            </c:ext>
          </c:extLst>
        </c:ser>
        <c:ser>
          <c:idx val="11"/>
          <c:order val="11"/>
          <c:tx>
            <c:strRef>
              <c:f>GRAFIK!$N$2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GRAFIK!$N$5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D2-4BD2-B54B-1698D4A351D6}"/>
            </c:ext>
          </c:extLst>
        </c:ser>
        <c:ser>
          <c:idx val="12"/>
          <c:order val="12"/>
          <c:tx>
            <c:strRef>
              <c:f>GRAFIK!$O$2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GRAFIK!$O$5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D2-4BD2-B54B-1698D4A351D6}"/>
            </c:ext>
          </c:extLst>
        </c:ser>
        <c:ser>
          <c:idx val="13"/>
          <c:order val="13"/>
          <c:tx>
            <c:strRef>
              <c:f>GRAFIK!$P$2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GRAFIK!$P$5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9D2-4BD2-B54B-1698D4A351D6}"/>
            </c:ext>
          </c:extLst>
        </c:ser>
        <c:ser>
          <c:idx val="14"/>
          <c:order val="14"/>
          <c:tx>
            <c:strRef>
              <c:f>GRAFIK!$Q$2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GRAFIK!$Q$5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D2-4BD2-B54B-1698D4A351D6}"/>
            </c:ext>
          </c:extLst>
        </c:ser>
        <c:ser>
          <c:idx val="15"/>
          <c:order val="15"/>
          <c:tx>
            <c:strRef>
              <c:f>GRAFIK!$R$2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GRAFIK!$R$5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D2-4BD2-B54B-1698D4A351D6}"/>
            </c:ext>
          </c:extLst>
        </c:ser>
        <c:ser>
          <c:idx val="16"/>
          <c:order val="16"/>
          <c:tx>
            <c:strRef>
              <c:f>GRAFIK!$S$2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GRAFIK!$S$5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D2-4BD2-B54B-1698D4A351D6}"/>
            </c:ext>
          </c:extLst>
        </c:ser>
        <c:ser>
          <c:idx val="17"/>
          <c:order val="17"/>
          <c:tx>
            <c:strRef>
              <c:f>GRAFIK!$T$2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GRAFIK!$T$5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9D2-4BD2-B54B-1698D4A351D6}"/>
            </c:ext>
          </c:extLst>
        </c:ser>
        <c:ser>
          <c:idx val="18"/>
          <c:order val="18"/>
          <c:tx>
            <c:strRef>
              <c:f>GRAFIK!$U$2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GRAFIK!$U$5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D2-4BD2-B54B-1698D4A351D6}"/>
            </c:ext>
          </c:extLst>
        </c:ser>
        <c:ser>
          <c:idx val="19"/>
          <c:order val="19"/>
          <c:tx>
            <c:strRef>
              <c:f>GRAFIK!$V$2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GRAFIK!$V$5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9D2-4BD2-B54B-1698D4A351D6}"/>
            </c:ext>
          </c:extLst>
        </c:ser>
        <c:ser>
          <c:idx val="20"/>
          <c:order val="20"/>
          <c:tx>
            <c:strRef>
              <c:f>GRAFIK!$W$2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GRAFIK!$W$5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D2-4BD2-B54B-1698D4A351D6}"/>
            </c:ext>
          </c:extLst>
        </c:ser>
        <c:ser>
          <c:idx val="21"/>
          <c:order val="21"/>
          <c:tx>
            <c:strRef>
              <c:f>GRAFIK!$X$2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GRAFIK!$X$5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9D2-4BD2-B54B-1698D4A351D6}"/>
            </c:ext>
          </c:extLst>
        </c:ser>
        <c:ser>
          <c:idx val="22"/>
          <c:order val="22"/>
          <c:tx>
            <c:strRef>
              <c:f>GRAFIK!$Y$2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GRAFIK!$Y$5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D2-4BD2-B54B-1698D4A351D6}"/>
            </c:ext>
          </c:extLst>
        </c:ser>
        <c:ser>
          <c:idx val="23"/>
          <c:order val="23"/>
          <c:tx>
            <c:strRef>
              <c:f>GRAFIK!$Z$2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GRAFIK!$Z$5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9D2-4BD2-B54B-1698D4A351D6}"/>
            </c:ext>
          </c:extLst>
        </c:ser>
        <c:ser>
          <c:idx val="24"/>
          <c:order val="24"/>
          <c:tx>
            <c:strRef>
              <c:f>GRAFIK!$AA$2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GRAFIK!$AA$5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D2-4BD2-B54B-1698D4A351D6}"/>
            </c:ext>
          </c:extLst>
        </c:ser>
        <c:ser>
          <c:idx val="25"/>
          <c:order val="25"/>
          <c:tx>
            <c:strRef>
              <c:f>GRAFIK!$AB$2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GRAFIK!$AB$5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9D2-4BD2-B54B-1698D4A351D6}"/>
            </c:ext>
          </c:extLst>
        </c:ser>
        <c:ser>
          <c:idx val="26"/>
          <c:order val="26"/>
          <c:tx>
            <c:strRef>
              <c:f>GRAFIK!$AC$2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GRAFIK!$AC$5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D2-4BD2-B54B-1698D4A351D6}"/>
            </c:ext>
          </c:extLst>
        </c:ser>
        <c:ser>
          <c:idx val="27"/>
          <c:order val="27"/>
          <c:tx>
            <c:strRef>
              <c:f>GRAFIK!$AD$2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GRAFIK!$AD$5</c:f>
              <c:numCache>
                <c:formatCode>_(* #,##0_);_(* \(#,##0\);_(* "-"_);_(@_)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9D2-4BD2-B54B-1698D4A351D6}"/>
            </c:ext>
          </c:extLst>
        </c:ser>
        <c:ser>
          <c:idx val="28"/>
          <c:order val="28"/>
          <c:tx>
            <c:strRef>
              <c:f>GRAFIK!$AE$2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GRAFIK!$AE$5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9D2-4BD2-B54B-1698D4A351D6}"/>
            </c:ext>
          </c:extLst>
        </c:ser>
        <c:ser>
          <c:idx val="29"/>
          <c:order val="29"/>
          <c:tx>
            <c:strRef>
              <c:f>GRAFIK!$AF$2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GRAFIK!$AF$5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9D2-4BD2-B54B-1698D4A351D6}"/>
            </c:ext>
          </c:extLst>
        </c:ser>
        <c:ser>
          <c:idx val="30"/>
          <c:order val="30"/>
          <c:tx>
            <c:strRef>
              <c:f>GRAFIK!$AG$2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GRAFIK!$AG$5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9D2-4BD2-B54B-1698D4A35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339064"/>
        <c:axId val="527335864"/>
      </c:barChart>
      <c:catAx>
        <c:axId val="527339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7335864"/>
        <c:crosses val="autoZero"/>
        <c:auto val="1"/>
        <c:lblAlgn val="ctr"/>
        <c:lblOffset val="100"/>
        <c:noMultiLvlLbl val="0"/>
      </c:catAx>
      <c:valAx>
        <c:axId val="52733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733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Gula Pasir Lokal Curah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GRAFIK!$C$24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GRAFIK!$C$25</c:f>
              <c:numCache>
                <c:formatCode>_(* #,##0_);_(* \(#,##0\);_(* "-"_);_(@_)</c:formatCode>
                <c:ptCount val="1"/>
                <c:pt idx="0">
                  <c:v>13142.857142857143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B-4DD4-9979-511862315207}"/>
            </c:ext>
          </c:extLst>
        </c:ser>
        <c:ser>
          <c:idx val="1"/>
          <c:order val="1"/>
          <c:tx>
            <c:strRef>
              <c:f>GRAFIK!$D$24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GRAFIK!$D$25</c:f>
              <c:numCache>
                <c:formatCode>_(* #,##0_);_(* \(#,##0\);_(* "-"_);_(@_)</c:formatCode>
                <c:ptCount val="1"/>
                <c:pt idx="0">
                  <c:v>13142.857142857143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B-4DD4-9979-511862315207}"/>
            </c:ext>
          </c:extLst>
        </c:ser>
        <c:ser>
          <c:idx val="2"/>
          <c:order val="2"/>
          <c:tx>
            <c:strRef>
              <c:f>GRAFIK!$E$24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GRAFIK!$E$25</c:f>
              <c:numCache>
                <c:formatCode>_(* #,##0_);_(* \(#,##0\);_(* "-"_);_(@_)</c:formatCode>
                <c:ptCount val="1"/>
                <c:pt idx="0">
                  <c:v>13142.857142857143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AB-4DD4-9979-511862315207}"/>
            </c:ext>
          </c:extLst>
        </c:ser>
        <c:ser>
          <c:idx val="3"/>
          <c:order val="3"/>
          <c:tx>
            <c:strRef>
              <c:f>GRAFIK!$F$24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GRAFIK!$F$25</c:f>
              <c:numCache>
                <c:formatCode>_(* #,##0_);_(* \(#,##0\);_(* "-"_);_(@_)</c:formatCode>
                <c:ptCount val="1"/>
                <c:pt idx="0">
                  <c:v>13142.857142857143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AB-4DD4-9979-511862315207}"/>
            </c:ext>
          </c:extLst>
        </c:ser>
        <c:ser>
          <c:idx val="4"/>
          <c:order val="4"/>
          <c:tx>
            <c:strRef>
              <c:f>GRAFIK!$G$24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GRAFIK!$G$25</c:f>
              <c:numCache>
                <c:formatCode>_(* #,##0_);_(* \(#,##0\);_(* "-"_);_(@_)</c:formatCode>
                <c:ptCount val="1"/>
                <c:pt idx="0">
                  <c:v>13142.857142857143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AB-4DD4-9979-511862315207}"/>
            </c:ext>
          </c:extLst>
        </c:ser>
        <c:ser>
          <c:idx val="5"/>
          <c:order val="5"/>
          <c:tx>
            <c:strRef>
              <c:f>GRAFIK!$H$24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GRAFIK!$H$25</c:f>
              <c:numCache>
                <c:formatCode>_(* #,##0_);_(* \(#,##0\);_(* "-"_);_(@_)</c:formatCode>
                <c:ptCount val="1"/>
                <c:pt idx="0">
                  <c:v>13142.857142857143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AB-4DD4-9979-511862315207}"/>
            </c:ext>
          </c:extLst>
        </c:ser>
        <c:ser>
          <c:idx val="6"/>
          <c:order val="6"/>
          <c:tx>
            <c:strRef>
              <c:f>GRAFIK!$I$24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GRAFIK!$I$25</c:f>
              <c:numCache>
                <c:formatCode>_(* #,##0_);_(* \(#,##0\);_(* "-"_);_(@_)</c:formatCode>
                <c:ptCount val="1"/>
                <c:pt idx="0">
                  <c:v>13142.857142857143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AB-4DD4-9979-511862315207}"/>
            </c:ext>
          </c:extLst>
        </c:ser>
        <c:ser>
          <c:idx val="7"/>
          <c:order val="7"/>
          <c:tx>
            <c:strRef>
              <c:f>GRAFIK!$J$24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GRAFIK!$J$25</c:f>
              <c:numCache>
                <c:formatCode>_(* #,##0_);_(* \(#,##0\);_(* "-"_);_(@_)</c:formatCode>
                <c:ptCount val="1"/>
                <c:pt idx="0">
                  <c:v>13142.857142857143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AB-4DD4-9979-511862315207}"/>
            </c:ext>
          </c:extLst>
        </c:ser>
        <c:ser>
          <c:idx val="8"/>
          <c:order val="8"/>
          <c:tx>
            <c:strRef>
              <c:f>GRAFIK!$K$24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GRAFIK!$K$25</c:f>
              <c:numCache>
                <c:formatCode>_(* #,##0_);_(* \(#,##0\);_(* "-"_);_(@_)</c:formatCode>
                <c:ptCount val="1"/>
                <c:pt idx="0">
                  <c:v>13142.857142857143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AB-4DD4-9979-511862315207}"/>
            </c:ext>
          </c:extLst>
        </c:ser>
        <c:ser>
          <c:idx val="9"/>
          <c:order val="9"/>
          <c:tx>
            <c:strRef>
              <c:f>GRAFIK!$L$24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GRAFIK!$L$25</c:f>
              <c:numCache>
                <c:formatCode>_(* #,##0_);_(* \(#,##0\);_(* "-"_);_(@_)</c:formatCode>
                <c:ptCount val="1"/>
                <c:pt idx="0">
                  <c:v>13071.428571428571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AB-4DD4-9979-511862315207}"/>
            </c:ext>
          </c:extLst>
        </c:ser>
        <c:ser>
          <c:idx val="10"/>
          <c:order val="10"/>
          <c:tx>
            <c:strRef>
              <c:f>GRAFIK!$M$24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GRAFIK!$M$25</c:f>
              <c:numCache>
                <c:formatCode>_(* #,##0_);_(* \(#,##0\);_(* "-"_);_(@_)</c:formatCode>
                <c:ptCount val="1"/>
                <c:pt idx="0">
                  <c:v>13071.428571428571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AB-4DD4-9979-511862315207}"/>
            </c:ext>
          </c:extLst>
        </c:ser>
        <c:ser>
          <c:idx val="11"/>
          <c:order val="11"/>
          <c:tx>
            <c:strRef>
              <c:f>GRAFIK!$N$24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GRAFIK!$N$25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AB-4DD4-9979-511862315207}"/>
            </c:ext>
          </c:extLst>
        </c:ser>
        <c:ser>
          <c:idx val="12"/>
          <c:order val="12"/>
          <c:tx>
            <c:strRef>
              <c:f>GRAFIK!$O$24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GRAFIK!$O$25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AB-4DD4-9979-511862315207}"/>
            </c:ext>
          </c:extLst>
        </c:ser>
        <c:ser>
          <c:idx val="13"/>
          <c:order val="13"/>
          <c:tx>
            <c:strRef>
              <c:f>GRAFIK!$P$24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GRAFIK!$P$25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1AB-4DD4-9979-511862315207}"/>
            </c:ext>
          </c:extLst>
        </c:ser>
        <c:ser>
          <c:idx val="14"/>
          <c:order val="14"/>
          <c:tx>
            <c:strRef>
              <c:f>GRAFIK!$Q$24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GRAFIK!$Q$25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1AB-4DD4-9979-511862315207}"/>
            </c:ext>
          </c:extLst>
        </c:ser>
        <c:ser>
          <c:idx val="15"/>
          <c:order val="15"/>
          <c:tx>
            <c:strRef>
              <c:f>GRAFIK!$R$24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GRAFIK!$R$25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1AB-4DD4-9979-511862315207}"/>
            </c:ext>
          </c:extLst>
        </c:ser>
        <c:ser>
          <c:idx val="16"/>
          <c:order val="16"/>
          <c:tx>
            <c:strRef>
              <c:f>GRAFIK!$S$24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GRAFIK!$S$25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1AB-4DD4-9979-511862315207}"/>
            </c:ext>
          </c:extLst>
        </c:ser>
        <c:ser>
          <c:idx val="17"/>
          <c:order val="17"/>
          <c:tx>
            <c:strRef>
              <c:f>GRAFIK!$T$24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GRAFIK!$T$25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1AB-4DD4-9979-511862315207}"/>
            </c:ext>
          </c:extLst>
        </c:ser>
        <c:ser>
          <c:idx val="18"/>
          <c:order val="18"/>
          <c:tx>
            <c:strRef>
              <c:f>GRAFIK!$U$24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GRAFIK!$U$25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1AB-4DD4-9979-511862315207}"/>
            </c:ext>
          </c:extLst>
        </c:ser>
        <c:ser>
          <c:idx val="19"/>
          <c:order val="19"/>
          <c:tx>
            <c:strRef>
              <c:f>GRAFIK!$V$24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GRAFIK!$V$25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1AB-4DD4-9979-511862315207}"/>
            </c:ext>
          </c:extLst>
        </c:ser>
        <c:ser>
          <c:idx val="20"/>
          <c:order val="20"/>
          <c:tx>
            <c:strRef>
              <c:f>GRAFIK!$W$24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GRAFIK!$W$25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1AB-4DD4-9979-511862315207}"/>
            </c:ext>
          </c:extLst>
        </c:ser>
        <c:ser>
          <c:idx val="21"/>
          <c:order val="21"/>
          <c:tx>
            <c:strRef>
              <c:f>GRAFIK!$X$24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GRAFIK!$X$25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1AB-4DD4-9979-511862315207}"/>
            </c:ext>
          </c:extLst>
        </c:ser>
        <c:ser>
          <c:idx val="22"/>
          <c:order val="22"/>
          <c:tx>
            <c:strRef>
              <c:f>GRAFIK!$Y$24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GRAFIK!$Y$25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1AB-4DD4-9979-511862315207}"/>
            </c:ext>
          </c:extLst>
        </c:ser>
        <c:ser>
          <c:idx val="23"/>
          <c:order val="23"/>
          <c:tx>
            <c:strRef>
              <c:f>GRAFIK!$Z$24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GRAFIK!$Z$25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1AB-4DD4-9979-511862315207}"/>
            </c:ext>
          </c:extLst>
        </c:ser>
        <c:ser>
          <c:idx val="24"/>
          <c:order val="24"/>
          <c:tx>
            <c:strRef>
              <c:f>GRAFIK!$AA$24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GRAFIK!$AA$25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1AB-4DD4-9979-511862315207}"/>
            </c:ext>
          </c:extLst>
        </c:ser>
        <c:ser>
          <c:idx val="25"/>
          <c:order val="25"/>
          <c:tx>
            <c:strRef>
              <c:f>GRAFIK!$AB$24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GRAFIK!$AB$25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1AB-4DD4-9979-511862315207}"/>
            </c:ext>
          </c:extLst>
        </c:ser>
        <c:ser>
          <c:idx val="26"/>
          <c:order val="26"/>
          <c:tx>
            <c:strRef>
              <c:f>GRAFIK!$AC$24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GRAFIK!$AC$25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1AB-4DD4-9979-511862315207}"/>
            </c:ext>
          </c:extLst>
        </c:ser>
        <c:ser>
          <c:idx val="27"/>
          <c:order val="27"/>
          <c:tx>
            <c:strRef>
              <c:f>GRAFIK!$AD$24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GRAFIK!$AD$25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1AB-4DD4-9979-511862315207}"/>
            </c:ext>
          </c:extLst>
        </c:ser>
        <c:ser>
          <c:idx val="28"/>
          <c:order val="28"/>
          <c:tx>
            <c:strRef>
              <c:f>GRAFIK!$AE$24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GRAFIK!$AE$25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1AB-4DD4-9979-511862315207}"/>
            </c:ext>
          </c:extLst>
        </c:ser>
        <c:ser>
          <c:idx val="29"/>
          <c:order val="29"/>
          <c:tx>
            <c:strRef>
              <c:f>GRAFIK!$AF$24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GRAFIK!$AF$25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1AB-4DD4-9979-511862315207}"/>
            </c:ext>
          </c:extLst>
        </c:ser>
        <c:ser>
          <c:idx val="30"/>
          <c:order val="30"/>
          <c:tx>
            <c:strRef>
              <c:f>GRAFIK!$AG$24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GRAFIK!$AG$25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1AB-4DD4-9979-511862315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812560"/>
        <c:axId val="517813840"/>
      </c:barChart>
      <c:catAx>
        <c:axId val="51781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17813840"/>
        <c:crosses val="autoZero"/>
        <c:auto val="1"/>
        <c:lblAlgn val="ctr"/>
        <c:lblOffset val="100"/>
        <c:noMultiLvlLbl val="0"/>
      </c:catAx>
      <c:valAx>
        <c:axId val="51781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1781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MINYAK GORENG CURAH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GRAFIK!$C$46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GRAFIK!$C$47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D-40A2-9ECE-B91EEFC57482}"/>
            </c:ext>
          </c:extLst>
        </c:ser>
        <c:ser>
          <c:idx val="1"/>
          <c:order val="1"/>
          <c:tx>
            <c:strRef>
              <c:f>GRAFIK!$D$46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GRAFIK!$D$47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D-40A2-9ECE-B91EEFC57482}"/>
            </c:ext>
          </c:extLst>
        </c:ser>
        <c:ser>
          <c:idx val="2"/>
          <c:order val="2"/>
          <c:tx>
            <c:strRef>
              <c:f>GRAFIK!$E$46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GRAFIK!$E$47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9D-40A2-9ECE-B91EEFC57482}"/>
            </c:ext>
          </c:extLst>
        </c:ser>
        <c:ser>
          <c:idx val="3"/>
          <c:order val="3"/>
          <c:tx>
            <c:strRef>
              <c:f>GRAFIK!$F$46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GRAFIK!$F$47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9D-40A2-9ECE-B91EEFC57482}"/>
            </c:ext>
          </c:extLst>
        </c:ser>
        <c:ser>
          <c:idx val="4"/>
          <c:order val="4"/>
          <c:tx>
            <c:strRef>
              <c:f>GRAFIK!$G$46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GRAFIK!$G$47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9D-40A2-9ECE-B91EEFC57482}"/>
            </c:ext>
          </c:extLst>
        </c:ser>
        <c:ser>
          <c:idx val="5"/>
          <c:order val="5"/>
          <c:tx>
            <c:strRef>
              <c:f>GRAFIK!$H$46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GRAFIK!$H$47</c:f>
              <c:numCache>
                <c:formatCode>_(* #,##0_);_(* \(#,##0\);_(* "-"_);_(@_)</c:formatCode>
                <c:ptCount val="1"/>
                <c:pt idx="0">
                  <c:v>16071.428571428571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9D-40A2-9ECE-B91EEFC57482}"/>
            </c:ext>
          </c:extLst>
        </c:ser>
        <c:ser>
          <c:idx val="6"/>
          <c:order val="6"/>
          <c:tx>
            <c:strRef>
              <c:f>GRAFIK!$I$46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GRAFIK!$I$47</c:f>
              <c:numCache>
                <c:formatCode>_(* #,##0_);_(* \(#,##0\);_(* "-"_);_(@_)</c:formatCode>
                <c:ptCount val="1"/>
                <c:pt idx="0">
                  <c:v>16071.428571428571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9D-40A2-9ECE-B91EEFC57482}"/>
            </c:ext>
          </c:extLst>
        </c:ser>
        <c:ser>
          <c:idx val="7"/>
          <c:order val="7"/>
          <c:tx>
            <c:strRef>
              <c:f>GRAFIK!$J$46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GRAFIK!$J$47</c:f>
              <c:numCache>
                <c:formatCode>_(* #,##0_);_(* \(#,##0\);_(* "-"_);_(@_)</c:formatCode>
                <c:ptCount val="1"/>
                <c:pt idx="0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9D-40A2-9ECE-B91EEFC57482}"/>
            </c:ext>
          </c:extLst>
        </c:ser>
        <c:ser>
          <c:idx val="8"/>
          <c:order val="8"/>
          <c:tx>
            <c:strRef>
              <c:f>GRAFIK!$K$46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GRAFIK!$K$47</c:f>
              <c:numCache>
                <c:formatCode>_(* #,##0_);_(* \(#,##0\);_(* "-"_);_(@_)</c:formatCode>
                <c:ptCount val="1"/>
                <c:pt idx="0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9D-40A2-9ECE-B91EEFC57482}"/>
            </c:ext>
          </c:extLst>
        </c:ser>
        <c:ser>
          <c:idx val="9"/>
          <c:order val="9"/>
          <c:tx>
            <c:strRef>
              <c:f>GRAFIK!$L$46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GRAFIK!$L$47</c:f>
              <c:numCache>
                <c:formatCode>_(* #,##0_);_(* \(#,##0\);_(* "-"_);_(@_)</c:formatCode>
                <c:ptCount val="1"/>
                <c:pt idx="0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9D-40A2-9ECE-B91EEFC57482}"/>
            </c:ext>
          </c:extLst>
        </c:ser>
        <c:ser>
          <c:idx val="10"/>
          <c:order val="10"/>
          <c:tx>
            <c:strRef>
              <c:f>GRAFIK!$M$46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GRAFIK!$M$47</c:f>
              <c:numCache>
                <c:formatCode>_(* #,##0_);_(* \(#,##0\);_(* "-"_);_(@_)</c:formatCode>
                <c:ptCount val="1"/>
                <c:pt idx="0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9D-40A2-9ECE-B91EEFC57482}"/>
            </c:ext>
          </c:extLst>
        </c:ser>
        <c:ser>
          <c:idx val="11"/>
          <c:order val="11"/>
          <c:tx>
            <c:strRef>
              <c:f>GRAFIK!$N$46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GRAFIK!$N$47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59D-40A2-9ECE-B91EEFC57482}"/>
            </c:ext>
          </c:extLst>
        </c:ser>
        <c:ser>
          <c:idx val="12"/>
          <c:order val="12"/>
          <c:tx>
            <c:strRef>
              <c:f>GRAFIK!$O$46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GRAFIK!$O$47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9D-40A2-9ECE-B91EEFC57482}"/>
            </c:ext>
          </c:extLst>
        </c:ser>
        <c:ser>
          <c:idx val="13"/>
          <c:order val="13"/>
          <c:tx>
            <c:strRef>
              <c:f>GRAFIK!$P$46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GRAFIK!$P$47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59D-40A2-9ECE-B91EEFC57482}"/>
            </c:ext>
          </c:extLst>
        </c:ser>
        <c:ser>
          <c:idx val="14"/>
          <c:order val="14"/>
          <c:tx>
            <c:strRef>
              <c:f>GRAFIK!$Q$46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GRAFIK!$Q$47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59D-40A2-9ECE-B91EEFC57482}"/>
            </c:ext>
          </c:extLst>
        </c:ser>
        <c:ser>
          <c:idx val="15"/>
          <c:order val="15"/>
          <c:tx>
            <c:strRef>
              <c:f>GRAFIK!$R$46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GRAFIK!$R$47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59D-40A2-9ECE-B91EEFC57482}"/>
            </c:ext>
          </c:extLst>
        </c:ser>
        <c:ser>
          <c:idx val="16"/>
          <c:order val="16"/>
          <c:tx>
            <c:strRef>
              <c:f>GRAFIK!$S$46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GRAFIK!$S$47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59D-40A2-9ECE-B91EEFC57482}"/>
            </c:ext>
          </c:extLst>
        </c:ser>
        <c:ser>
          <c:idx val="17"/>
          <c:order val="17"/>
          <c:tx>
            <c:strRef>
              <c:f>GRAFIK!$T$46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GRAFIK!$T$47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59D-40A2-9ECE-B91EEFC57482}"/>
            </c:ext>
          </c:extLst>
        </c:ser>
        <c:ser>
          <c:idx val="18"/>
          <c:order val="18"/>
          <c:tx>
            <c:strRef>
              <c:f>GRAFIK!$U$46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GRAFIK!$U$47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59D-40A2-9ECE-B91EEFC57482}"/>
            </c:ext>
          </c:extLst>
        </c:ser>
        <c:ser>
          <c:idx val="19"/>
          <c:order val="19"/>
          <c:tx>
            <c:strRef>
              <c:f>GRAFIK!$V$46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GRAFIK!$V$47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59D-40A2-9ECE-B91EEFC57482}"/>
            </c:ext>
          </c:extLst>
        </c:ser>
        <c:ser>
          <c:idx val="20"/>
          <c:order val="20"/>
          <c:tx>
            <c:strRef>
              <c:f>GRAFIK!$W$46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GRAFIK!$W$47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59D-40A2-9ECE-B91EEFC57482}"/>
            </c:ext>
          </c:extLst>
        </c:ser>
        <c:ser>
          <c:idx val="21"/>
          <c:order val="21"/>
          <c:tx>
            <c:strRef>
              <c:f>GRAFIK!$X$46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GRAFIK!$X$47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59D-40A2-9ECE-B91EEFC57482}"/>
            </c:ext>
          </c:extLst>
        </c:ser>
        <c:ser>
          <c:idx val="22"/>
          <c:order val="22"/>
          <c:tx>
            <c:strRef>
              <c:f>GRAFIK!$Y$46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GRAFIK!$Y$47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59D-40A2-9ECE-B91EEFC57482}"/>
            </c:ext>
          </c:extLst>
        </c:ser>
        <c:ser>
          <c:idx val="23"/>
          <c:order val="23"/>
          <c:tx>
            <c:strRef>
              <c:f>GRAFIK!$Z$46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GRAFIK!$Z$47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59D-40A2-9ECE-B91EEFC57482}"/>
            </c:ext>
          </c:extLst>
        </c:ser>
        <c:ser>
          <c:idx val="24"/>
          <c:order val="24"/>
          <c:tx>
            <c:strRef>
              <c:f>GRAFIK!$AA$46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GRAFIK!$AA$47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59D-40A2-9ECE-B91EEFC57482}"/>
            </c:ext>
          </c:extLst>
        </c:ser>
        <c:ser>
          <c:idx val="25"/>
          <c:order val="25"/>
          <c:tx>
            <c:strRef>
              <c:f>GRAFIK!$AB$46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GRAFIK!$AB$47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59D-40A2-9ECE-B91EEFC57482}"/>
            </c:ext>
          </c:extLst>
        </c:ser>
        <c:ser>
          <c:idx val="26"/>
          <c:order val="26"/>
          <c:tx>
            <c:strRef>
              <c:f>GRAFIK!$AC$46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GRAFIK!$AC$47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59D-40A2-9ECE-B91EEFC57482}"/>
            </c:ext>
          </c:extLst>
        </c:ser>
        <c:ser>
          <c:idx val="27"/>
          <c:order val="27"/>
          <c:tx>
            <c:strRef>
              <c:f>GRAFIK!$AD$46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GRAFIK!$AD$47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59D-40A2-9ECE-B91EEFC57482}"/>
            </c:ext>
          </c:extLst>
        </c:ser>
        <c:ser>
          <c:idx val="28"/>
          <c:order val="28"/>
          <c:tx>
            <c:strRef>
              <c:f>GRAFIK!$AE$46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GRAFIK!$AE$47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59D-40A2-9ECE-B91EEFC57482}"/>
            </c:ext>
          </c:extLst>
        </c:ser>
        <c:ser>
          <c:idx val="29"/>
          <c:order val="29"/>
          <c:tx>
            <c:strRef>
              <c:f>GRAFIK!$AF$46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GRAFIK!$AF$47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59D-40A2-9ECE-B91EEFC57482}"/>
            </c:ext>
          </c:extLst>
        </c:ser>
        <c:ser>
          <c:idx val="30"/>
          <c:order val="30"/>
          <c:tx>
            <c:strRef>
              <c:f>GRAFIK!$AG$46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GRAFIK!$AG$47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59D-40A2-9ECE-B91EEFC57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684280"/>
        <c:axId val="584683960"/>
      </c:barChart>
      <c:catAx>
        <c:axId val="58468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83960"/>
        <c:crosses val="autoZero"/>
        <c:auto val="1"/>
        <c:lblAlgn val="ctr"/>
        <c:lblOffset val="100"/>
        <c:noMultiLvlLbl val="0"/>
      </c:catAx>
      <c:valAx>
        <c:axId val="58468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8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DAGING AYAM BROILER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GRAFIK!$C$75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GRAFIK!$C$76</c:f>
              <c:numCache>
                <c:formatCode>_(* #,##0_);_(* \(#,##0\);_(* "-"_);_(@_)</c:formatCode>
                <c:ptCount val="1"/>
                <c:pt idx="0">
                  <c:v>29714.285714285714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2-4F8C-B515-46E844695707}"/>
            </c:ext>
          </c:extLst>
        </c:ser>
        <c:ser>
          <c:idx val="1"/>
          <c:order val="1"/>
          <c:tx>
            <c:strRef>
              <c:f>GRAFIK!$D$75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GRAFIK!$D$76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32-4F8C-B515-46E844695707}"/>
            </c:ext>
          </c:extLst>
        </c:ser>
        <c:ser>
          <c:idx val="2"/>
          <c:order val="2"/>
          <c:tx>
            <c:strRef>
              <c:f>GRAFIK!$E$75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GRAFIK!$E$76</c:f>
              <c:numCache>
                <c:formatCode>_(* #,##0_);_(* \(#,##0\);_(* "-"_);_(@_)</c:formatCode>
                <c:ptCount val="1"/>
                <c:pt idx="0">
                  <c:v>30714.285714285714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32-4F8C-B515-46E844695707}"/>
            </c:ext>
          </c:extLst>
        </c:ser>
        <c:ser>
          <c:idx val="3"/>
          <c:order val="3"/>
          <c:tx>
            <c:strRef>
              <c:f>GRAFIK!$F$75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GRAFIK!$F$76</c:f>
              <c:numCache>
                <c:formatCode>_(* #,##0_);_(* \(#,##0\);_(* "-"_);_(@_)</c:formatCode>
                <c:ptCount val="1"/>
                <c:pt idx="0">
                  <c:v>30714.285714285714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32-4F8C-B515-46E844695707}"/>
            </c:ext>
          </c:extLst>
        </c:ser>
        <c:ser>
          <c:idx val="4"/>
          <c:order val="4"/>
          <c:tx>
            <c:strRef>
              <c:f>GRAFIK!$G$75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GRAFIK!$G$76</c:f>
              <c:numCache>
                <c:formatCode>_(* #,##0_);_(* \(#,##0\);_(* "-"_);_(@_)</c:formatCode>
                <c:ptCount val="1"/>
                <c:pt idx="0">
                  <c:v>30428.571428571428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32-4F8C-B515-46E844695707}"/>
            </c:ext>
          </c:extLst>
        </c:ser>
        <c:ser>
          <c:idx val="5"/>
          <c:order val="5"/>
          <c:tx>
            <c:strRef>
              <c:f>GRAFIK!$H$75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GRAFIK!$H$76</c:f>
              <c:numCache>
                <c:formatCode>_(* #,##0_);_(* \(#,##0\);_(* "-"_);_(@_)</c:formatCode>
                <c:ptCount val="1"/>
                <c:pt idx="0">
                  <c:v>30714.285714285714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32-4F8C-B515-46E844695707}"/>
            </c:ext>
          </c:extLst>
        </c:ser>
        <c:ser>
          <c:idx val="6"/>
          <c:order val="6"/>
          <c:tx>
            <c:strRef>
              <c:f>GRAFIK!$I$75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GRAFIK!$I$76</c:f>
              <c:numCache>
                <c:formatCode>_(* #,##0_);_(* \(#,##0\);_(* "-"_);_(@_)</c:formatCode>
                <c:ptCount val="1"/>
                <c:pt idx="0">
                  <c:v>30714.285714285714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32-4F8C-B515-46E844695707}"/>
            </c:ext>
          </c:extLst>
        </c:ser>
        <c:ser>
          <c:idx val="7"/>
          <c:order val="7"/>
          <c:tx>
            <c:strRef>
              <c:f>GRAFIK!$J$75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GRAFIK!$J$76</c:f>
              <c:numCache>
                <c:formatCode>_(* #,##0_);_(* \(#,##0\);_(* "-"_);_(@_)</c:formatCode>
                <c:ptCount val="1"/>
                <c:pt idx="0">
                  <c:v>30857.142857142859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32-4F8C-B515-46E844695707}"/>
            </c:ext>
          </c:extLst>
        </c:ser>
        <c:ser>
          <c:idx val="8"/>
          <c:order val="8"/>
          <c:tx>
            <c:strRef>
              <c:f>GRAFIK!$K$75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GRAFIK!$K$76</c:f>
              <c:numCache>
                <c:formatCode>_(* #,##0_);_(* \(#,##0\);_(* "-"_);_(@_)</c:formatCode>
                <c:ptCount val="1"/>
                <c:pt idx="0">
                  <c:v>31142.857142857141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32-4F8C-B515-46E844695707}"/>
            </c:ext>
          </c:extLst>
        </c:ser>
        <c:ser>
          <c:idx val="9"/>
          <c:order val="9"/>
          <c:tx>
            <c:strRef>
              <c:f>GRAFIK!$L$75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GRAFIK!$L$76</c:f>
              <c:numCache>
                <c:formatCode>_(* #,##0_);_(* \(#,##0\);_(* "-"_);_(@_)</c:formatCode>
                <c:ptCount val="1"/>
                <c:pt idx="0">
                  <c:v>31142.857142857141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C32-4F8C-B515-46E844695707}"/>
            </c:ext>
          </c:extLst>
        </c:ser>
        <c:ser>
          <c:idx val="10"/>
          <c:order val="10"/>
          <c:tx>
            <c:strRef>
              <c:f>GRAFIK!$M$75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GRAFIK!$M$76</c:f>
              <c:numCache>
                <c:formatCode>_(* #,##0_);_(* \(#,##0\);_(* "-"_);_(@_)</c:formatCode>
                <c:ptCount val="1"/>
                <c:pt idx="0">
                  <c:v>31142.857142857141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32-4F8C-B515-46E844695707}"/>
            </c:ext>
          </c:extLst>
        </c:ser>
        <c:ser>
          <c:idx val="11"/>
          <c:order val="11"/>
          <c:tx>
            <c:strRef>
              <c:f>GRAFIK!$N$75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GRAFIK!$N$76</c:f>
              <c:numCache>
                <c:formatCode>_(* #,##0_);_(* \(#,##0\);_(* "-"_);_(@_)</c:formatCode>
                <c:ptCount val="1"/>
                <c:pt idx="0">
                  <c:v>30857.142857142859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C32-4F8C-B515-46E844695707}"/>
            </c:ext>
          </c:extLst>
        </c:ser>
        <c:ser>
          <c:idx val="12"/>
          <c:order val="12"/>
          <c:tx>
            <c:strRef>
              <c:f>GRAFIK!$O$75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GRAFIK!$O$76</c:f>
              <c:numCache>
                <c:formatCode>_(* #,##0_);_(* \(#,##0\);_(* "-"_);_(@_)</c:formatCode>
                <c:ptCount val="1"/>
                <c:pt idx="0">
                  <c:v>30857.142857142859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C32-4F8C-B515-46E844695707}"/>
            </c:ext>
          </c:extLst>
        </c:ser>
        <c:ser>
          <c:idx val="13"/>
          <c:order val="13"/>
          <c:tx>
            <c:strRef>
              <c:f>GRAFIK!$P$75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GRAFIK!$P$76</c:f>
              <c:numCache>
                <c:formatCode>_(* #,##0_);_(* \(#,##0\);_(* "-"_);_(@_)</c:formatCode>
                <c:ptCount val="1"/>
                <c:pt idx="0">
                  <c:v>30857.142857142859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C32-4F8C-B515-46E844695707}"/>
            </c:ext>
          </c:extLst>
        </c:ser>
        <c:ser>
          <c:idx val="14"/>
          <c:order val="14"/>
          <c:tx>
            <c:strRef>
              <c:f>GRAFIK!$Q$75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GRAFIK!$Q$76</c:f>
              <c:numCache>
                <c:formatCode>_(* #,##0_);_(* \(#,##0\);_(* "-"_);_(@_)</c:formatCode>
                <c:ptCount val="1"/>
                <c:pt idx="0">
                  <c:v>31142.857142857141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C32-4F8C-B515-46E844695707}"/>
            </c:ext>
          </c:extLst>
        </c:ser>
        <c:ser>
          <c:idx val="15"/>
          <c:order val="15"/>
          <c:tx>
            <c:strRef>
              <c:f>GRAFIK!$R$75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GRAFIK!$R$76</c:f>
              <c:numCache>
                <c:formatCode>_(* #,##0_);_(* \(#,##0\);_(* "-"_);_(@_)</c:formatCode>
                <c:ptCount val="1"/>
                <c:pt idx="0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C32-4F8C-B515-46E844695707}"/>
            </c:ext>
          </c:extLst>
        </c:ser>
        <c:ser>
          <c:idx val="16"/>
          <c:order val="16"/>
          <c:tx>
            <c:strRef>
              <c:f>GRAFIK!$S$75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GRAFIK!$S$76</c:f>
              <c:numCache>
                <c:formatCode>_(* #,##0_);_(* \(#,##0\);_(* "-"_);_(@_)</c:formatCode>
                <c:ptCount val="1"/>
                <c:pt idx="0">
                  <c:v>30571.428571428572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C32-4F8C-B515-46E844695707}"/>
            </c:ext>
          </c:extLst>
        </c:ser>
        <c:ser>
          <c:idx val="17"/>
          <c:order val="17"/>
          <c:tx>
            <c:strRef>
              <c:f>GRAFIK!$T$75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GRAFIK!$T$76</c:f>
              <c:numCache>
                <c:formatCode>_(* #,##0_);_(* \(#,##0\);_(* "-"_);_(@_)</c:formatCode>
                <c:ptCount val="1"/>
                <c:pt idx="0">
                  <c:v>30571.428571428572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C32-4F8C-B515-46E844695707}"/>
            </c:ext>
          </c:extLst>
        </c:ser>
        <c:ser>
          <c:idx val="18"/>
          <c:order val="18"/>
          <c:tx>
            <c:strRef>
              <c:f>GRAFIK!$U$75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GRAFIK!$U$76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C32-4F8C-B515-46E844695707}"/>
            </c:ext>
          </c:extLst>
        </c:ser>
        <c:ser>
          <c:idx val="19"/>
          <c:order val="19"/>
          <c:tx>
            <c:strRef>
              <c:f>GRAFIK!$V$75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GRAFIK!$V$76</c:f>
              <c:numCache>
                <c:formatCode>_(* #,##0_);_(* \(#,##0\);_(* "-"_);_(@_)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C32-4F8C-B515-46E844695707}"/>
            </c:ext>
          </c:extLst>
        </c:ser>
        <c:ser>
          <c:idx val="20"/>
          <c:order val="20"/>
          <c:tx>
            <c:strRef>
              <c:f>GRAFIK!$W$75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GRAFIK!$W$76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C32-4F8C-B515-46E844695707}"/>
            </c:ext>
          </c:extLst>
        </c:ser>
        <c:ser>
          <c:idx val="21"/>
          <c:order val="21"/>
          <c:tx>
            <c:strRef>
              <c:f>GRAFIK!$X$75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GRAFIK!$X$76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C32-4F8C-B515-46E844695707}"/>
            </c:ext>
          </c:extLst>
        </c:ser>
        <c:ser>
          <c:idx val="22"/>
          <c:order val="22"/>
          <c:tx>
            <c:strRef>
              <c:f>GRAFIK!$Y$75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GRAFIK!$Y$76</c:f>
              <c:numCache>
                <c:formatCode>_(* #,##0_);_(* \(#,##0\);_(* "-"_);_(@_)</c:formatCode>
                <c:ptCount val="1"/>
                <c:pt idx="0">
                  <c:v>30428.571428571428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C32-4F8C-B515-46E844695707}"/>
            </c:ext>
          </c:extLst>
        </c:ser>
        <c:ser>
          <c:idx val="23"/>
          <c:order val="23"/>
          <c:tx>
            <c:strRef>
              <c:f>GRAFIK!$Z$75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GRAFIK!$Z$76</c:f>
              <c:numCache>
                <c:formatCode>_(* #,##0_);_(* \(#,##0\);_(* "-"_);_(@_)</c:formatCode>
                <c:ptCount val="1"/>
                <c:pt idx="0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C32-4F8C-B515-46E844695707}"/>
            </c:ext>
          </c:extLst>
        </c:ser>
        <c:ser>
          <c:idx val="24"/>
          <c:order val="24"/>
          <c:tx>
            <c:strRef>
              <c:f>GRAFIK!$AA$75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GRAFIK!$AA$76</c:f>
              <c:numCache>
                <c:formatCode>_(* #,##0_);_(* \(#,##0\);_(* "-"_);_(@_)</c:formatCode>
                <c:ptCount val="1"/>
                <c:pt idx="0">
                  <c:v>30714.285714285714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C32-4F8C-B515-46E844695707}"/>
            </c:ext>
          </c:extLst>
        </c:ser>
        <c:ser>
          <c:idx val="25"/>
          <c:order val="25"/>
          <c:tx>
            <c:strRef>
              <c:f>GRAFIK!$AB$75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GRAFIK!$AB$76</c:f>
              <c:numCache>
                <c:formatCode>_(* #,##0_);_(* \(#,##0\);_(* "-"_);_(@_)</c:formatCode>
                <c:ptCount val="1"/>
                <c:pt idx="0">
                  <c:v>30857.142857142859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C32-4F8C-B515-46E844695707}"/>
            </c:ext>
          </c:extLst>
        </c:ser>
        <c:ser>
          <c:idx val="26"/>
          <c:order val="26"/>
          <c:tx>
            <c:strRef>
              <c:f>GRAFIK!$AC$75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GRAFIK!$AC$76</c:f>
              <c:numCache>
                <c:formatCode>_(* #,##0_);_(* \(#,##0\);_(* "-"_);_(@_)</c:formatCode>
                <c:ptCount val="1"/>
                <c:pt idx="0">
                  <c:v>30857.142857142859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C32-4F8C-B515-46E844695707}"/>
            </c:ext>
          </c:extLst>
        </c:ser>
        <c:ser>
          <c:idx val="27"/>
          <c:order val="27"/>
          <c:tx>
            <c:strRef>
              <c:f>GRAFIK!$AD$75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GRAFIK!$AD$76</c:f>
              <c:numCache>
                <c:formatCode>_(* #,##0_);_(* \(#,##0\);_(* "-"_);_(@_)</c:formatCode>
                <c:ptCount val="1"/>
                <c:pt idx="0">
                  <c:v>30857.142857142859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C32-4F8C-B515-46E844695707}"/>
            </c:ext>
          </c:extLst>
        </c:ser>
        <c:ser>
          <c:idx val="28"/>
          <c:order val="28"/>
          <c:tx>
            <c:strRef>
              <c:f>GRAFIK!$AE$75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GRAFIK!$AE$76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C32-4F8C-B515-46E844695707}"/>
            </c:ext>
          </c:extLst>
        </c:ser>
        <c:ser>
          <c:idx val="29"/>
          <c:order val="29"/>
          <c:tx>
            <c:strRef>
              <c:f>GRAFIK!$AF$75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GRAFIK!$AF$76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C32-4F8C-B515-46E844695707}"/>
            </c:ext>
          </c:extLst>
        </c:ser>
        <c:ser>
          <c:idx val="30"/>
          <c:order val="30"/>
          <c:tx>
            <c:strRef>
              <c:f>GRAFIK!$AG$75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GRAFIK!$AG$76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C32-4F8C-B515-46E844695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329080"/>
        <c:axId val="526330680"/>
      </c:barChart>
      <c:catAx>
        <c:axId val="52632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6330680"/>
        <c:crosses val="autoZero"/>
        <c:auto val="1"/>
        <c:lblAlgn val="ctr"/>
        <c:lblOffset val="100"/>
        <c:noMultiLvlLbl val="0"/>
      </c:catAx>
      <c:valAx>
        <c:axId val="52633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632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TELUR AYAM HORN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GRAFIK!$C$96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GRAFIK!$C$97</c:f>
              <c:numCache>
                <c:formatCode>_(* #,##0_);_(* \(#,##0\);_(* "-"_);_(@_)</c:formatCode>
                <c:ptCount val="1"/>
                <c:pt idx="0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7-4D6C-A26F-B46659850E10}"/>
            </c:ext>
          </c:extLst>
        </c:ser>
        <c:ser>
          <c:idx val="1"/>
          <c:order val="1"/>
          <c:tx>
            <c:strRef>
              <c:f>GRAFIK!$D$96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GRAFIK!$D$97</c:f>
              <c:numCache>
                <c:formatCode>_(* #,##0_);_(* \(#,##0\);_(* "-"_);_(@_)</c:formatCode>
                <c:ptCount val="1"/>
                <c:pt idx="0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7-4D6C-A26F-B46659850E10}"/>
            </c:ext>
          </c:extLst>
        </c:ser>
        <c:ser>
          <c:idx val="2"/>
          <c:order val="2"/>
          <c:tx>
            <c:strRef>
              <c:f>GRAFIK!$E$96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GRAFIK!$E$97</c:f>
              <c:numCache>
                <c:formatCode>_(* #,##0_);_(* \(#,##0\);_(* "-"_);_(@_)</c:formatCode>
                <c:ptCount val="1"/>
                <c:pt idx="0">
                  <c:v>26214.285714285714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47-4D6C-A26F-B46659850E10}"/>
            </c:ext>
          </c:extLst>
        </c:ser>
        <c:ser>
          <c:idx val="3"/>
          <c:order val="3"/>
          <c:tx>
            <c:strRef>
              <c:f>GRAFIK!$F$96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GRAFIK!$F$97</c:f>
              <c:numCache>
                <c:formatCode>_(* #,##0_);_(* \(#,##0\);_(* "-"_);_(@_)</c:formatCode>
                <c:ptCount val="1"/>
                <c:pt idx="0">
                  <c:v>26071.428571428572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47-4D6C-A26F-B46659850E10}"/>
            </c:ext>
          </c:extLst>
        </c:ser>
        <c:ser>
          <c:idx val="4"/>
          <c:order val="4"/>
          <c:tx>
            <c:strRef>
              <c:f>GRAFIK!$G$96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GRAFIK!$G$97</c:f>
              <c:numCache>
                <c:formatCode>_(* #,##0_);_(* \(#,##0\);_(* "-"_);_(@_)</c:formatCode>
                <c:ptCount val="1"/>
                <c:pt idx="0">
                  <c:v>26071.428571428572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47-4D6C-A26F-B46659850E10}"/>
            </c:ext>
          </c:extLst>
        </c:ser>
        <c:ser>
          <c:idx val="5"/>
          <c:order val="5"/>
          <c:tx>
            <c:strRef>
              <c:f>GRAFIK!$H$96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GRAFIK!$H$97</c:f>
              <c:numCache>
                <c:formatCode>_(* #,##0_);_(* \(#,##0\);_(* "-"_);_(@_)</c:formatCode>
                <c:ptCount val="1"/>
                <c:pt idx="0">
                  <c:v>26142.857142857141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47-4D6C-A26F-B46659850E10}"/>
            </c:ext>
          </c:extLst>
        </c:ser>
        <c:ser>
          <c:idx val="6"/>
          <c:order val="6"/>
          <c:tx>
            <c:strRef>
              <c:f>GRAFIK!$I$96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GRAFIK!$I$97</c:f>
              <c:numCache>
                <c:formatCode>_(* #,##0_);_(* \(#,##0\);_(* "-"_);_(@_)</c:formatCode>
                <c:ptCount val="1"/>
                <c:pt idx="0">
                  <c:v>26285.714285714286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47-4D6C-A26F-B46659850E10}"/>
            </c:ext>
          </c:extLst>
        </c:ser>
        <c:ser>
          <c:idx val="7"/>
          <c:order val="7"/>
          <c:tx>
            <c:strRef>
              <c:f>GRAFIK!$J$96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GRAFIK!$J$97</c:f>
              <c:numCache>
                <c:formatCode>_(* #,##0_);_(* \(#,##0\);_(* "-"_);_(@_)</c:formatCode>
                <c:ptCount val="1"/>
                <c:pt idx="0">
                  <c:v>26571.428571428572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A47-4D6C-A26F-B46659850E10}"/>
            </c:ext>
          </c:extLst>
        </c:ser>
        <c:ser>
          <c:idx val="8"/>
          <c:order val="8"/>
          <c:tx>
            <c:strRef>
              <c:f>GRAFIK!$K$96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GRAFIK!$K$97</c:f>
              <c:numCache>
                <c:formatCode>_(* #,##0_);_(* \(#,##0\);_(* "-"_);_(@_)</c:formatCode>
                <c:ptCount val="1"/>
                <c:pt idx="0">
                  <c:v>26571.428571428572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A47-4D6C-A26F-B46659850E10}"/>
            </c:ext>
          </c:extLst>
        </c:ser>
        <c:ser>
          <c:idx val="9"/>
          <c:order val="9"/>
          <c:tx>
            <c:strRef>
              <c:f>GRAFIK!$L$96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GRAFIK!$L$97</c:f>
              <c:numCache>
                <c:formatCode>_(* #,##0_);_(* \(#,##0\);_(* "-"_);_(@_)</c:formatCode>
                <c:ptCount val="1"/>
                <c:pt idx="0">
                  <c:v>26714.285714285714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A47-4D6C-A26F-B46659850E10}"/>
            </c:ext>
          </c:extLst>
        </c:ser>
        <c:ser>
          <c:idx val="10"/>
          <c:order val="10"/>
          <c:tx>
            <c:strRef>
              <c:f>GRAFIK!$M$96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GRAFIK!$M$97</c:f>
              <c:numCache>
                <c:formatCode>_(* #,##0_);_(* \(#,##0\);_(* "-"_);_(@_)</c:formatCode>
                <c:ptCount val="1"/>
                <c:pt idx="0">
                  <c:v>26857.142857142859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47-4D6C-A26F-B46659850E10}"/>
            </c:ext>
          </c:extLst>
        </c:ser>
        <c:ser>
          <c:idx val="11"/>
          <c:order val="11"/>
          <c:tx>
            <c:strRef>
              <c:f>GRAFIK!$N$96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GRAFIK!$N$97</c:f>
              <c:numCache>
                <c:formatCode>_(* #,##0_);_(* \(#,##0\);_(* "-"_);_(@_)</c:formatCode>
                <c:ptCount val="1"/>
                <c:pt idx="0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47-4D6C-A26F-B46659850E10}"/>
            </c:ext>
          </c:extLst>
        </c:ser>
        <c:ser>
          <c:idx val="12"/>
          <c:order val="12"/>
          <c:tx>
            <c:strRef>
              <c:f>GRAFIK!$O$96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GRAFIK!$O$97</c:f>
              <c:numCache>
                <c:formatCode>_(* #,##0_);_(* \(#,##0\);_(* "-"_);_(@_)</c:formatCode>
                <c:ptCount val="1"/>
                <c:pt idx="0">
                  <c:v>26642.857142857141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A47-4D6C-A26F-B46659850E10}"/>
            </c:ext>
          </c:extLst>
        </c:ser>
        <c:ser>
          <c:idx val="13"/>
          <c:order val="13"/>
          <c:tx>
            <c:strRef>
              <c:f>GRAFIK!$P$96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GRAFIK!$P$97</c:f>
              <c:numCache>
                <c:formatCode>_(* #,##0_);_(* \(#,##0\);_(* "-"_);_(@_)</c:formatCode>
                <c:ptCount val="1"/>
                <c:pt idx="0">
                  <c:v>26642.857142857141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A47-4D6C-A26F-B46659850E10}"/>
            </c:ext>
          </c:extLst>
        </c:ser>
        <c:ser>
          <c:idx val="14"/>
          <c:order val="14"/>
          <c:tx>
            <c:strRef>
              <c:f>GRAFIK!$Q$96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GRAFIK!$Q$97</c:f>
              <c:numCache>
                <c:formatCode>_(* #,##0_);_(* \(#,##0\);_(* "-"_);_(@_)</c:formatCode>
                <c:ptCount val="1"/>
                <c:pt idx="0">
                  <c:v>26642.857142857141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A47-4D6C-A26F-B46659850E10}"/>
            </c:ext>
          </c:extLst>
        </c:ser>
        <c:ser>
          <c:idx val="15"/>
          <c:order val="15"/>
          <c:tx>
            <c:strRef>
              <c:f>GRAFIK!$R$96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GRAFIK!$R$97</c:f>
              <c:numCache>
                <c:formatCode>_(* #,##0_);_(* \(#,##0\);_(* "-"_);_(@_)</c:formatCode>
                <c:ptCount val="1"/>
                <c:pt idx="0">
                  <c:v>26642.857142857141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A47-4D6C-A26F-B46659850E10}"/>
            </c:ext>
          </c:extLst>
        </c:ser>
        <c:ser>
          <c:idx val="16"/>
          <c:order val="16"/>
          <c:tx>
            <c:strRef>
              <c:f>GRAFIK!$S$96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GRAFIK!$S$97</c:f>
              <c:numCache>
                <c:formatCode>_(* #,##0_);_(* \(#,##0\);_(* "-"_);_(@_)</c:formatCode>
                <c:ptCount val="1"/>
                <c:pt idx="0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A47-4D6C-A26F-B46659850E10}"/>
            </c:ext>
          </c:extLst>
        </c:ser>
        <c:ser>
          <c:idx val="17"/>
          <c:order val="17"/>
          <c:tx>
            <c:strRef>
              <c:f>GRAFIK!$T$96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GRAFIK!$T$97</c:f>
              <c:numCache>
                <c:formatCode>_(* #,##0_);_(* \(#,##0\);_(* "-"_);_(@_)</c:formatCode>
                <c:ptCount val="1"/>
                <c:pt idx="0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A47-4D6C-A26F-B46659850E10}"/>
            </c:ext>
          </c:extLst>
        </c:ser>
        <c:ser>
          <c:idx val="18"/>
          <c:order val="18"/>
          <c:tx>
            <c:strRef>
              <c:f>GRAFIK!$U$96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GRAFIK!$U$97</c:f>
              <c:numCache>
                <c:formatCode>_(* #,##0_);_(* \(#,##0\);_(* "-"_);_(@_)</c:formatCode>
                <c:ptCount val="1"/>
                <c:pt idx="0">
                  <c:v>26357.142857142859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A47-4D6C-A26F-B46659850E10}"/>
            </c:ext>
          </c:extLst>
        </c:ser>
        <c:ser>
          <c:idx val="19"/>
          <c:order val="19"/>
          <c:tx>
            <c:strRef>
              <c:f>GRAFIK!$V$96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GRAFIK!$V$97</c:f>
              <c:numCache>
                <c:formatCode>_(* #,##0_);_(* \(#,##0\);_(* "-"_);_(@_)</c:formatCode>
                <c:ptCount val="1"/>
                <c:pt idx="0">
                  <c:v>26142.857142857141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A47-4D6C-A26F-B46659850E10}"/>
            </c:ext>
          </c:extLst>
        </c:ser>
        <c:ser>
          <c:idx val="20"/>
          <c:order val="20"/>
          <c:tx>
            <c:strRef>
              <c:f>GRAFIK!$W$96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GRAFIK!$W$97</c:f>
              <c:numCache>
                <c:formatCode>_(* #,##0_);_(* \(#,##0\);_(* "-"_);_(@_)</c:formatCode>
                <c:ptCount val="1"/>
                <c:pt idx="0">
                  <c:v>26142.857142857141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A47-4D6C-A26F-B46659850E10}"/>
            </c:ext>
          </c:extLst>
        </c:ser>
        <c:ser>
          <c:idx val="21"/>
          <c:order val="21"/>
          <c:tx>
            <c:strRef>
              <c:f>GRAFIK!$X$96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GRAFIK!$X$97</c:f>
              <c:numCache>
                <c:formatCode>_(* #,##0_);_(* \(#,##0\);_(* "-"_);_(@_)</c:formatCode>
                <c:ptCount val="1"/>
                <c:pt idx="0">
                  <c:v>26142.857142857141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A47-4D6C-A26F-B46659850E10}"/>
            </c:ext>
          </c:extLst>
        </c:ser>
        <c:ser>
          <c:idx val="22"/>
          <c:order val="22"/>
          <c:tx>
            <c:strRef>
              <c:f>GRAFIK!$Y$96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GRAFIK!$Y$97</c:f>
              <c:numCache>
                <c:formatCode>_(* #,##0_);_(* \(#,##0\);_(* "-"_);_(@_)</c:formatCode>
                <c:ptCount val="1"/>
                <c:pt idx="0">
                  <c:v>26142.857142857141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A47-4D6C-A26F-B46659850E10}"/>
            </c:ext>
          </c:extLst>
        </c:ser>
        <c:ser>
          <c:idx val="23"/>
          <c:order val="23"/>
          <c:tx>
            <c:strRef>
              <c:f>GRAFIK!$Z$96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GRAFIK!$Z$97</c:f>
              <c:numCache>
                <c:formatCode>_(* #,##0_);_(* \(#,##0\);_(* "-"_);_(@_)</c:formatCode>
                <c:ptCount val="1"/>
                <c:pt idx="0">
                  <c:v>26142.857142857141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A47-4D6C-A26F-B46659850E10}"/>
            </c:ext>
          </c:extLst>
        </c:ser>
        <c:ser>
          <c:idx val="24"/>
          <c:order val="24"/>
          <c:tx>
            <c:strRef>
              <c:f>GRAFIK!$AA$96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GRAFIK!$AA$97</c:f>
              <c:numCache>
                <c:formatCode>_(* #,##0_);_(* \(#,##0\);_(* "-"_);_(@_)</c:formatCode>
                <c:ptCount val="1"/>
                <c:pt idx="0">
                  <c:v>25928.571428571428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A47-4D6C-A26F-B46659850E10}"/>
            </c:ext>
          </c:extLst>
        </c:ser>
        <c:ser>
          <c:idx val="25"/>
          <c:order val="25"/>
          <c:tx>
            <c:strRef>
              <c:f>GRAFIK!$AB$96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GRAFIK!$AB$97</c:f>
              <c:numCache>
                <c:formatCode>_(* #,##0_);_(* \(#,##0\);_(* "-"_);_(@_)</c:formatCode>
                <c:ptCount val="1"/>
                <c:pt idx="0">
                  <c:v>25928.571428571428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A47-4D6C-A26F-B46659850E10}"/>
            </c:ext>
          </c:extLst>
        </c:ser>
        <c:ser>
          <c:idx val="26"/>
          <c:order val="26"/>
          <c:tx>
            <c:strRef>
              <c:f>GRAFIK!$AC$96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GRAFIK!$AC$97</c:f>
              <c:numCache>
                <c:formatCode>_(* #,##0_);_(* \(#,##0\);_(* "-"_);_(@_)</c:formatCode>
                <c:ptCount val="1"/>
                <c:pt idx="0">
                  <c:v>25714.285714285714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A47-4D6C-A26F-B46659850E10}"/>
            </c:ext>
          </c:extLst>
        </c:ser>
        <c:ser>
          <c:idx val="27"/>
          <c:order val="27"/>
          <c:tx>
            <c:strRef>
              <c:f>GRAFIK!$AD$96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GRAFIK!$AD$97</c:f>
              <c:numCache>
                <c:formatCode>_(* #,##0_);_(* \(#,##0\);_(* "-"_);_(@_)</c:formatCode>
                <c:ptCount val="1"/>
                <c:pt idx="0">
                  <c:v>25714.285714285714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A47-4D6C-A26F-B46659850E10}"/>
            </c:ext>
          </c:extLst>
        </c:ser>
        <c:ser>
          <c:idx val="28"/>
          <c:order val="28"/>
          <c:tx>
            <c:strRef>
              <c:f>GRAFIK!$AE$96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GRAFIK!$AE$97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47-4D6C-A26F-B46659850E10}"/>
            </c:ext>
          </c:extLst>
        </c:ser>
        <c:ser>
          <c:idx val="29"/>
          <c:order val="29"/>
          <c:tx>
            <c:strRef>
              <c:f>GRAFIK!$AF$96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GRAFIK!$AF$97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A47-4D6C-A26F-B46659850E10}"/>
            </c:ext>
          </c:extLst>
        </c:ser>
        <c:ser>
          <c:idx val="30"/>
          <c:order val="30"/>
          <c:tx>
            <c:strRef>
              <c:f>GRAFIK!$AG$96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GRAFIK!$AG$97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A47-4D6C-A26F-B46659850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691320"/>
        <c:axId val="584691640"/>
      </c:barChart>
      <c:catAx>
        <c:axId val="58469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1640"/>
        <c:crosses val="autoZero"/>
        <c:auto val="1"/>
        <c:lblAlgn val="ctr"/>
        <c:lblOffset val="100"/>
        <c:noMultiLvlLbl val="0"/>
      </c:catAx>
      <c:valAx>
        <c:axId val="58469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GARAM HALUS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GRAFIK!$C$117</c:f>
              <c:numCache>
                <c:formatCode>_(* #,##0_);_(* \(#,##0\);_(* "-"_);_(@_)</c:formatCode>
                <c:ptCount val="1"/>
                <c:pt idx="0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2-4439-A729-5BF8040DD84C}"/>
            </c:ext>
          </c:extLst>
        </c:ser>
        <c:ser>
          <c:idx val="1"/>
          <c:order val="1"/>
          <c:tx>
            <c:strRef>
              <c:f>GRAFIK!$D$116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GRAFIK!$D$117</c:f>
              <c:numCache>
                <c:formatCode>_(* #,##0_);_(* \(#,##0\);_(* "-"_);_(@_)</c:formatCode>
                <c:ptCount val="1"/>
                <c:pt idx="0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F2-4439-A729-5BF8040DD84C}"/>
            </c:ext>
          </c:extLst>
        </c:ser>
        <c:ser>
          <c:idx val="2"/>
          <c:order val="2"/>
          <c:tx>
            <c:strRef>
              <c:f>GRAFIK!$E$116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GRAFIK!$E$117</c:f>
              <c:numCache>
                <c:formatCode>_(* #,##0_);_(* \(#,##0\);_(* "-"_);_(@_)</c:formatCode>
                <c:ptCount val="1"/>
                <c:pt idx="0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F2-4439-A729-5BF8040DD84C}"/>
            </c:ext>
          </c:extLst>
        </c:ser>
        <c:ser>
          <c:idx val="3"/>
          <c:order val="3"/>
          <c:tx>
            <c:strRef>
              <c:f>GRAFIK!$F$116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GRAFIK!$F$117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F2-4439-A729-5BF8040DD84C}"/>
            </c:ext>
          </c:extLst>
        </c:ser>
        <c:ser>
          <c:idx val="4"/>
          <c:order val="4"/>
          <c:tx>
            <c:strRef>
              <c:f>GRAFIK!$G$116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GRAFIK!$G$117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F2-4439-A729-5BF8040DD84C}"/>
            </c:ext>
          </c:extLst>
        </c:ser>
        <c:ser>
          <c:idx val="5"/>
          <c:order val="5"/>
          <c:tx>
            <c:strRef>
              <c:f>GRAFIK!$H$116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GRAFIK!$H$117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F2-4439-A729-5BF8040DD84C}"/>
            </c:ext>
          </c:extLst>
        </c:ser>
        <c:ser>
          <c:idx val="6"/>
          <c:order val="6"/>
          <c:tx>
            <c:strRef>
              <c:f>GRAFIK!$I$116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GRAFIK!$I$117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F2-4439-A729-5BF8040DD84C}"/>
            </c:ext>
          </c:extLst>
        </c:ser>
        <c:ser>
          <c:idx val="7"/>
          <c:order val="7"/>
          <c:tx>
            <c:strRef>
              <c:f>GRAFIK!$J$116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GRAFIK!$J$117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F2-4439-A729-5BF8040DD84C}"/>
            </c:ext>
          </c:extLst>
        </c:ser>
        <c:ser>
          <c:idx val="8"/>
          <c:order val="8"/>
          <c:tx>
            <c:strRef>
              <c:f>GRAFIK!$K$116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GRAFIK!$K$117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F2-4439-A729-5BF8040DD84C}"/>
            </c:ext>
          </c:extLst>
        </c:ser>
        <c:ser>
          <c:idx val="9"/>
          <c:order val="9"/>
          <c:tx>
            <c:strRef>
              <c:f>GRAFIK!$L$116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GRAFIK!$L$117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0F2-4439-A729-5BF8040DD84C}"/>
            </c:ext>
          </c:extLst>
        </c:ser>
        <c:ser>
          <c:idx val="10"/>
          <c:order val="10"/>
          <c:tx>
            <c:strRef>
              <c:f>GRAFIK!$M$116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GRAFIK!$M$117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F2-4439-A729-5BF8040DD84C}"/>
            </c:ext>
          </c:extLst>
        </c:ser>
        <c:ser>
          <c:idx val="11"/>
          <c:order val="11"/>
          <c:tx>
            <c:strRef>
              <c:f>GRAFIK!$N$116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GRAFIK!$N$117</c:f>
              <c:numCache>
                <c:formatCode>_(* #,##0_);_(* \(#,##0\);_(* "-"_);_(@_)</c:formatCode>
                <c:ptCount val="1"/>
                <c:pt idx="0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0F2-4439-A729-5BF8040DD84C}"/>
            </c:ext>
          </c:extLst>
        </c:ser>
        <c:ser>
          <c:idx val="12"/>
          <c:order val="12"/>
          <c:tx>
            <c:strRef>
              <c:f>GRAFIK!$O$116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GRAFIK!$O$117</c:f>
              <c:numCache>
                <c:formatCode>_(* #,##0_);_(* \(#,##0\);_(* "-"_);_(@_)</c:formatCode>
                <c:ptCount val="1"/>
                <c:pt idx="0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0F2-4439-A729-5BF8040DD84C}"/>
            </c:ext>
          </c:extLst>
        </c:ser>
        <c:ser>
          <c:idx val="13"/>
          <c:order val="13"/>
          <c:tx>
            <c:strRef>
              <c:f>GRAFIK!$P$116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GRAFIK!$P$117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0F2-4439-A729-5BF8040DD84C}"/>
            </c:ext>
          </c:extLst>
        </c:ser>
        <c:ser>
          <c:idx val="14"/>
          <c:order val="14"/>
          <c:tx>
            <c:strRef>
              <c:f>GRAFIK!$Q$116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GRAFIK!$Q$117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0F2-4439-A729-5BF8040DD84C}"/>
            </c:ext>
          </c:extLst>
        </c:ser>
        <c:ser>
          <c:idx val="15"/>
          <c:order val="15"/>
          <c:tx>
            <c:strRef>
              <c:f>GRAFIK!$R$116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GRAFIK!$R$117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0F2-4439-A729-5BF8040DD84C}"/>
            </c:ext>
          </c:extLst>
        </c:ser>
        <c:ser>
          <c:idx val="16"/>
          <c:order val="16"/>
          <c:tx>
            <c:strRef>
              <c:f>GRAFIK!$S$116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GRAFIK!$S$117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0F2-4439-A729-5BF8040DD84C}"/>
            </c:ext>
          </c:extLst>
        </c:ser>
        <c:ser>
          <c:idx val="17"/>
          <c:order val="17"/>
          <c:tx>
            <c:strRef>
              <c:f>GRAFIK!$T$116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GRAFIK!$T$117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0F2-4439-A729-5BF8040DD84C}"/>
            </c:ext>
          </c:extLst>
        </c:ser>
        <c:ser>
          <c:idx val="18"/>
          <c:order val="18"/>
          <c:tx>
            <c:strRef>
              <c:f>GRAFIK!$U$116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GRAFIK!$U$117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0F2-4439-A729-5BF8040DD84C}"/>
            </c:ext>
          </c:extLst>
        </c:ser>
        <c:ser>
          <c:idx val="19"/>
          <c:order val="19"/>
          <c:tx>
            <c:strRef>
              <c:f>GRAFIK!$V$116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GRAFIK!$V$117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0F2-4439-A729-5BF8040DD84C}"/>
            </c:ext>
          </c:extLst>
        </c:ser>
        <c:ser>
          <c:idx val="20"/>
          <c:order val="20"/>
          <c:tx>
            <c:strRef>
              <c:f>GRAFIK!$W$116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GRAFIK!$W$117</c:f>
              <c:numCache>
                <c:formatCode>_(* #,##0_);_(* \(#,##0\);_(* "-"_);_(@_)</c:formatCode>
                <c:ptCount val="1"/>
                <c:pt idx="0">
                  <c:v>3916.6666666666665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0F2-4439-A729-5BF8040DD84C}"/>
            </c:ext>
          </c:extLst>
        </c:ser>
        <c:ser>
          <c:idx val="21"/>
          <c:order val="21"/>
          <c:tx>
            <c:strRef>
              <c:f>GRAFIK!$X$116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GRAFIK!$X$117</c:f>
              <c:numCache>
                <c:formatCode>_(* #,##0_);_(* \(#,##0\);_(* "-"_);_(@_)</c:formatCode>
                <c:ptCount val="1"/>
                <c:pt idx="0">
                  <c:v>9166.6666666666661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0F2-4439-A729-5BF8040DD84C}"/>
            </c:ext>
          </c:extLst>
        </c:ser>
        <c:ser>
          <c:idx val="22"/>
          <c:order val="22"/>
          <c:tx>
            <c:strRef>
              <c:f>GRAFIK!$Y$116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GRAFIK!$Y$117</c:f>
              <c:numCache>
                <c:formatCode>_(* #,##0_);_(* \(#,##0\);_(* "-"_);_(@_)</c:formatCode>
                <c:ptCount val="1"/>
                <c:pt idx="0">
                  <c:v>9166.6666666666661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0F2-4439-A729-5BF8040DD84C}"/>
            </c:ext>
          </c:extLst>
        </c:ser>
        <c:ser>
          <c:idx val="23"/>
          <c:order val="23"/>
          <c:tx>
            <c:strRef>
              <c:f>GRAFIK!$Z$116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GRAFIK!$Z$117</c:f>
              <c:numCache>
                <c:formatCode>_(* #,##0_);_(* \(#,##0\);_(* "-"_);_(@_)</c:formatCode>
                <c:ptCount val="1"/>
                <c:pt idx="0">
                  <c:v>9166.6666666666661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0F2-4439-A729-5BF8040DD84C}"/>
            </c:ext>
          </c:extLst>
        </c:ser>
        <c:ser>
          <c:idx val="24"/>
          <c:order val="24"/>
          <c:tx>
            <c:strRef>
              <c:f>GRAFIK!$AA$116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GRAFIK!$AA$117</c:f>
              <c:numCache>
                <c:formatCode>_(* #,##0_);_(* \(#,##0\);_(* "-"_);_(@_)</c:formatCode>
                <c:ptCount val="1"/>
                <c:pt idx="0">
                  <c:v>9166.6666666666661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0F2-4439-A729-5BF8040DD84C}"/>
            </c:ext>
          </c:extLst>
        </c:ser>
        <c:ser>
          <c:idx val="25"/>
          <c:order val="25"/>
          <c:tx>
            <c:strRef>
              <c:f>GRAFIK!$AB$116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GRAFIK!$AB$117</c:f>
              <c:numCache>
                <c:formatCode>_(* #,##0_);_(* \(#,##0\);_(* "-"_);_(@_)</c:formatCode>
                <c:ptCount val="1"/>
                <c:pt idx="0">
                  <c:v>9166.6666666666661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0F2-4439-A729-5BF8040DD84C}"/>
            </c:ext>
          </c:extLst>
        </c:ser>
        <c:ser>
          <c:idx val="26"/>
          <c:order val="26"/>
          <c:tx>
            <c:strRef>
              <c:f>GRAFIK!$AC$116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GRAFIK!$AC$117</c:f>
              <c:numCache>
                <c:formatCode>_(* #,##0_);_(* \(#,##0\);_(* "-"_);_(@_)</c:formatCode>
                <c:ptCount val="1"/>
                <c:pt idx="0">
                  <c:v>9166.6666666666661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0F2-4439-A729-5BF8040DD84C}"/>
            </c:ext>
          </c:extLst>
        </c:ser>
        <c:ser>
          <c:idx val="27"/>
          <c:order val="27"/>
          <c:tx>
            <c:strRef>
              <c:f>GRAFIK!$AD$116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GRAFIK!$AD$117</c:f>
              <c:numCache>
                <c:formatCode>_(* #,##0_);_(* \(#,##0\);_(* "-"_);_(@_)</c:formatCode>
                <c:ptCount val="1"/>
                <c:pt idx="0">
                  <c:v>9166.6666666666661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0F2-4439-A729-5BF8040DD84C}"/>
            </c:ext>
          </c:extLst>
        </c:ser>
        <c:ser>
          <c:idx val="28"/>
          <c:order val="28"/>
          <c:tx>
            <c:strRef>
              <c:f>GRAFIK!$AE$116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GRAFIK!$AE$117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0F2-4439-A729-5BF8040DD84C}"/>
            </c:ext>
          </c:extLst>
        </c:ser>
        <c:ser>
          <c:idx val="29"/>
          <c:order val="29"/>
          <c:tx>
            <c:strRef>
              <c:f>GRAFIK!$AF$116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GRAFIK!$AF$117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0F2-4439-A729-5BF8040DD84C}"/>
            </c:ext>
          </c:extLst>
        </c:ser>
        <c:ser>
          <c:idx val="30"/>
          <c:order val="30"/>
          <c:tx>
            <c:strRef>
              <c:f>GRAFIK!$AG$116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GRAFIK!$AG$117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0F2-4439-A729-5BF8040DD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690360"/>
        <c:axId val="584691000"/>
      </c:barChart>
      <c:catAx>
        <c:axId val="58469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1000"/>
        <c:crosses val="autoZero"/>
        <c:auto val="1"/>
        <c:lblAlgn val="ctr"/>
        <c:lblOffset val="100"/>
        <c:noMultiLvlLbl val="0"/>
      </c:catAx>
      <c:valAx>
        <c:axId val="58469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0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KACANG KEDELAI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GRAFIK!$C$149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GRAFIK!$C$150</c:f>
              <c:numCache>
                <c:formatCode>_(* #,##0_);_(* \(#,##0\);_(* "-"_);_(@_)</c:formatCode>
                <c:ptCount val="1"/>
                <c:pt idx="0">
                  <c:v>15583.333333333334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5-4F65-ACE2-03E54AC25BBF}"/>
            </c:ext>
          </c:extLst>
        </c:ser>
        <c:ser>
          <c:idx val="1"/>
          <c:order val="1"/>
          <c:tx>
            <c:strRef>
              <c:f>GRAFIK!$D$149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GRAFIK!$D$150</c:f>
              <c:numCache>
                <c:formatCode>_(* #,##0_);_(* \(#,##0\);_(* "-"_);_(@_)</c:formatCode>
                <c:ptCount val="1"/>
                <c:pt idx="0">
                  <c:v>15583.333333333334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5-4F65-ACE2-03E54AC25BBF}"/>
            </c:ext>
          </c:extLst>
        </c:ser>
        <c:ser>
          <c:idx val="2"/>
          <c:order val="2"/>
          <c:tx>
            <c:strRef>
              <c:f>GRAFIK!$E$149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GRAFIK!$E$150</c:f>
              <c:numCache>
                <c:formatCode>_(* #,##0_);_(* \(#,##0\);_(* "-"_);_(@_)</c:formatCode>
                <c:ptCount val="1"/>
                <c:pt idx="0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35-4F65-ACE2-03E54AC25BBF}"/>
            </c:ext>
          </c:extLst>
        </c:ser>
        <c:ser>
          <c:idx val="3"/>
          <c:order val="3"/>
          <c:tx>
            <c:strRef>
              <c:f>GRAFIK!$F$149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GRAFIK!$F$150</c:f>
              <c:numCache>
                <c:formatCode>_(* #,##0_);_(* \(#,##0\);_(* "-"_);_(@_)</c:formatCode>
                <c:ptCount val="1"/>
                <c:pt idx="0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35-4F65-ACE2-03E54AC25BBF}"/>
            </c:ext>
          </c:extLst>
        </c:ser>
        <c:ser>
          <c:idx val="4"/>
          <c:order val="4"/>
          <c:tx>
            <c:strRef>
              <c:f>GRAFIK!$G$149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GRAFIK!$G$150</c:f>
              <c:numCache>
                <c:formatCode>_(* #,##0_);_(* \(#,##0\);_(* "-"_);_(@_)</c:formatCode>
                <c:ptCount val="1"/>
                <c:pt idx="0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35-4F65-ACE2-03E54AC25BBF}"/>
            </c:ext>
          </c:extLst>
        </c:ser>
        <c:ser>
          <c:idx val="5"/>
          <c:order val="5"/>
          <c:tx>
            <c:strRef>
              <c:f>GRAFIK!$H$149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GRAFIK!$H$150</c:f>
              <c:numCache>
                <c:formatCode>_(* #,##0_);_(* \(#,##0\);_(* "-"_);_(@_)</c:formatCode>
                <c:ptCount val="1"/>
                <c:pt idx="0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35-4F65-ACE2-03E54AC25BBF}"/>
            </c:ext>
          </c:extLst>
        </c:ser>
        <c:ser>
          <c:idx val="6"/>
          <c:order val="6"/>
          <c:tx>
            <c:strRef>
              <c:f>GRAFIK!$I$149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GRAFIK!$I$150</c:f>
              <c:numCache>
                <c:formatCode>_(* #,##0_);_(* \(#,##0\);_(* "-"_);_(@_)</c:formatCode>
                <c:ptCount val="1"/>
                <c:pt idx="0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35-4F65-ACE2-03E54AC25BBF}"/>
            </c:ext>
          </c:extLst>
        </c:ser>
        <c:ser>
          <c:idx val="7"/>
          <c:order val="7"/>
          <c:tx>
            <c:strRef>
              <c:f>GRAFIK!$J$149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GRAFIK!$J$150</c:f>
              <c:numCache>
                <c:formatCode>_(* #,##0_);_(* \(#,##0\);_(* "-"_);_(@_)</c:formatCode>
                <c:ptCount val="1"/>
                <c:pt idx="0">
                  <c:v>16166.666666666666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35-4F65-ACE2-03E54AC25BBF}"/>
            </c:ext>
          </c:extLst>
        </c:ser>
        <c:ser>
          <c:idx val="8"/>
          <c:order val="8"/>
          <c:tx>
            <c:strRef>
              <c:f>GRAFIK!$K$149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GRAFIK!$K$150</c:f>
              <c:numCache>
                <c:formatCode>_(* #,##0_);_(* \(#,##0\);_(* "-"_);_(@_)</c:formatCode>
                <c:ptCount val="1"/>
                <c:pt idx="0">
                  <c:v>16166.666666666666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35-4F65-ACE2-03E54AC25BBF}"/>
            </c:ext>
          </c:extLst>
        </c:ser>
        <c:ser>
          <c:idx val="9"/>
          <c:order val="9"/>
          <c:tx>
            <c:strRef>
              <c:f>GRAFIK!$L$149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GRAFIK!$L$150</c:f>
              <c:numCache>
                <c:formatCode>_(* #,##0_);_(* \(#,##0\);_(* "-"_);_(@_)</c:formatCode>
                <c:ptCount val="1"/>
                <c:pt idx="0">
                  <c:v>16166.666666666666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35-4F65-ACE2-03E54AC25BBF}"/>
            </c:ext>
          </c:extLst>
        </c:ser>
        <c:ser>
          <c:idx val="10"/>
          <c:order val="10"/>
          <c:tx>
            <c:strRef>
              <c:f>GRAFIK!$M$149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GRAFIK!$M$150</c:f>
              <c:numCache>
                <c:formatCode>_(* #,##0_);_(* \(#,##0\);_(* "-"_);_(@_)</c:formatCode>
                <c:ptCount val="1"/>
                <c:pt idx="0">
                  <c:v>16166.666666666666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35-4F65-ACE2-03E54AC25BBF}"/>
            </c:ext>
          </c:extLst>
        </c:ser>
        <c:ser>
          <c:idx val="11"/>
          <c:order val="11"/>
          <c:tx>
            <c:strRef>
              <c:f>GRAFIK!$N$149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GRAFIK!$N$150</c:f>
              <c:numCache>
                <c:formatCode>_(* #,##0_);_(* \(#,##0\);_(* "-"_);_(@_)</c:formatCode>
                <c:ptCount val="1"/>
                <c:pt idx="0">
                  <c:v>16166.666666666666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E35-4F65-ACE2-03E54AC25BBF}"/>
            </c:ext>
          </c:extLst>
        </c:ser>
        <c:ser>
          <c:idx val="12"/>
          <c:order val="12"/>
          <c:tx>
            <c:strRef>
              <c:f>GRAFIK!$O$149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GRAFIK!$O$150</c:f>
              <c:numCache>
                <c:formatCode>_(* #,##0_);_(* \(#,##0\);_(* "-"_);_(@_)</c:formatCode>
                <c:ptCount val="1"/>
                <c:pt idx="0">
                  <c:v>16166.666666666666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35-4F65-ACE2-03E54AC25BBF}"/>
            </c:ext>
          </c:extLst>
        </c:ser>
        <c:ser>
          <c:idx val="13"/>
          <c:order val="13"/>
          <c:tx>
            <c:strRef>
              <c:f>GRAFIK!$P$149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GRAFIK!$P$150</c:f>
              <c:numCache>
                <c:formatCode>_(* #,##0_);_(* \(#,##0\);_(* "-"_);_(@_)</c:formatCode>
                <c:ptCount val="1"/>
                <c:pt idx="0">
                  <c:v>16166.666666666666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35-4F65-ACE2-03E54AC25BBF}"/>
            </c:ext>
          </c:extLst>
        </c:ser>
        <c:ser>
          <c:idx val="14"/>
          <c:order val="14"/>
          <c:tx>
            <c:strRef>
              <c:f>GRAFIK!$Q$149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GRAFIK!$Q$150</c:f>
              <c:numCache>
                <c:formatCode>_(* #,##0_);_(* \(#,##0\);_(* "-"_);_(@_)</c:formatCode>
                <c:ptCount val="1"/>
                <c:pt idx="0">
                  <c:v>15833.333333333334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E35-4F65-ACE2-03E54AC25BBF}"/>
            </c:ext>
          </c:extLst>
        </c:ser>
        <c:ser>
          <c:idx val="15"/>
          <c:order val="15"/>
          <c:tx>
            <c:strRef>
              <c:f>GRAFIK!$R$149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GRAFIK!$R$150</c:f>
              <c:numCache>
                <c:formatCode>_(* #,##0_);_(* \(#,##0\);_(* "-"_);_(@_)</c:formatCode>
                <c:ptCount val="1"/>
                <c:pt idx="0">
                  <c:v>15833.333333333334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E35-4F65-ACE2-03E54AC25BBF}"/>
            </c:ext>
          </c:extLst>
        </c:ser>
        <c:ser>
          <c:idx val="16"/>
          <c:order val="16"/>
          <c:tx>
            <c:strRef>
              <c:f>GRAFIK!$S$149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GRAFIK!$S$150</c:f>
              <c:numCache>
                <c:formatCode>_(* #,##0_);_(* \(#,##0\);_(* "-"_);_(@_)</c:formatCode>
                <c:ptCount val="1"/>
                <c:pt idx="0">
                  <c:v>15833.333333333334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E35-4F65-ACE2-03E54AC25BBF}"/>
            </c:ext>
          </c:extLst>
        </c:ser>
        <c:ser>
          <c:idx val="17"/>
          <c:order val="17"/>
          <c:tx>
            <c:strRef>
              <c:f>GRAFIK!$T$149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GRAFIK!$T$150</c:f>
              <c:numCache>
                <c:formatCode>_(* #,##0_);_(* \(#,##0\);_(* "-"_);_(@_)</c:formatCode>
                <c:ptCount val="1"/>
                <c:pt idx="0">
                  <c:v>15833.333333333334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E35-4F65-ACE2-03E54AC25BBF}"/>
            </c:ext>
          </c:extLst>
        </c:ser>
        <c:ser>
          <c:idx val="18"/>
          <c:order val="18"/>
          <c:tx>
            <c:strRef>
              <c:f>GRAFIK!$U$149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GRAFIK!$U$150</c:f>
              <c:numCache>
                <c:formatCode>_(* #,##0_);_(* \(#,##0\);_(* "-"_);_(@_)</c:formatCode>
                <c:ptCount val="1"/>
                <c:pt idx="0">
                  <c:v>15833.333333333334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E35-4F65-ACE2-03E54AC25BBF}"/>
            </c:ext>
          </c:extLst>
        </c:ser>
        <c:ser>
          <c:idx val="19"/>
          <c:order val="19"/>
          <c:tx>
            <c:strRef>
              <c:f>GRAFIK!$V$149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GRAFIK!$V$150</c:f>
              <c:numCache>
                <c:formatCode>_(* #,##0_);_(* \(#,##0\);_(* "-"_);_(@_)</c:formatCode>
                <c:ptCount val="1"/>
                <c:pt idx="0">
                  <c:v>15833.333333333334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E35-4F65-ACE2-03E54AC25BBF}"/>
            </c:ext>
          </c:extLst>
        </c:ser>
        <c:ser>
          <c:idx val="20"/>
          <c:order val="20"/>
          <c:tx>
            <c:strRef>
              <c:f>GRAFIK!$W$149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GRAFIK!$W$150</c:f>
              <c:numCache>
                <c:formatCode>_(* #,##0_);_(* \(#,##0\);_(* "-"_);_(@_)</c:formatCode>
                <c:ptCount val="1"/>
                <c:pt idx="0">
                  <c:v>15833.333333333334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E35-4F65-ACE2-03E54AC25BBF}"/>
            </c:ext>
          </c:extLst>
        </c:ser>
        <c:ser>
          <c:idx val="21"/>
          <c:order val="21"/>
          <c:tx>
            <c:strRef>
              <c:f>GRAFIK!$X$149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GRAFIK!$X$150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E35-4F65-ACE2-03E54AC25BBF}"/>
            </c:ext>
          </c:extLst>
        </c:ser>
        <c:ser>
          <c:idx val="22"/>
          <c:order val="22"/>
          <c:tx>
            <c:strRef>
              <c:f>GRAFIK!$Y$149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GRAFIK!$Y$150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E35-4F65-ACE2-03E54AC25BBF}"/>
            </c:ext>
          </c:extLst>
        </c:ser>
        <c:ser>
          <c:idx val="23"/>
          <c:order val="23"/>
          <c:tx>
            <c:strRef>
              <c:f>GRAFIK!$Z$149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GRAFIK!$Z$150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E35-4F65-ACE2-03E54AC25BBF}"/>
            </c:ext>
          </c:extLst>
        </c:ser>
        <c:ser>
          <c:idx val="24"/>
          <c:order val="24"/>
          <c:tx>
            <c:strRef>
              <c:f>GRAFIK!$AA$149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GRAFIK!$AA$150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E35-4F65-ACE2-03E54AC25BBF}"/>
            </c:ext>
          </c:extLst>
        </c:ser>
        <c:ser>
          <c:idx val="25"/>
          <c:order val="25"/>
          <c:tx>
            <c:strRef>
              <c:f>GRAFIK!$AB$149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GRAFIK!$AB$150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E35-4F65-ACE2-03E54AC25BBF}"/>
            </c:ext>
          </c:extLst>
        </c:ser>
        <c:ser>
          <c:idx val="26"/>
          <c:order val="26"/>
          <c:tx>
            <c:strRef>
              <c:f>GRAFIK!$AC$149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GRAFIK!$AC$150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E35-4F65-ACE2-03E54AC25BBF}"/>
            </c:ext>
          </c:extLst>
        </c:ser>
        <c:ser>
          <c:idx val="27"/>
          <c:order val="27"/>
          <c:tx>
            <c:strRef>
              <c:f>GRAFIK!$AD$149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GRAFIK!$AD$150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E35-4F65-ACE2-03E54AC25BBF}"/>
            </c:ext>
          </c:extLst>
        </c:ser>
        <c:ser>
          <c:idx val="28"/>
          <c:order val="28"/>
          <c:tx>
            <c:strRef>
              <c:f>GRAFIK!$AE$149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GRAFIK!$AE$150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E35-4F65-ACE2-03E54AC25BBF}"/>
            </c:ext>
          </c:extLst>
        </c:ser>
        <c:ser>
          <c:idx val="29"/>
          <c:order val="29"/>
          <c:tx>
            <c:strRef>
              <c:f>GRAFIK!$AF$149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GRAFIK!$AF$150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E35-4F65-ACE2-03E54AC25BBF}"/>
            </c:ext>
          </c:extLst>
        </c:ser>
        <c:ser>
          <c:idx val="30"/>
          <c:order val="30"/>
          <c:tx>
            <c:strRef>
              <c:f>GRAFIK!$AG$149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GRAFIK!$AG$150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E35-4F65-ACE2-03E54AC25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818640"/>
        <c:axId val="517820880"/>
      </c:barChart>
      <c:catAx>
        <c:axId val="5178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17820880"/>
        <c:crosses val="autoZero"/>
        <c:auto val="1"/>
        <c:lblAlgn val="ctr"/>
        <c:lblOffset val="100"/>
        <c:noMultiLvlLbl val="0"/>
      </c:catAx>
      <c:valAx>
        <c:axId val="5178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1781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CABE MERAH BESAR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GRAFIK!$C$169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GRAFIK!$C$170</c:f>
              <c:numCache>
                <c:formatCode>_(* #,##0_);_(* \(#,##0\);_(* "-"_);_(@_)</c:formatCode>
                <c:ptCount val="1"/>
                <c:pt idx="0">
                  <c:v>27714.285714285714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3-42AC-9A67-E57EFA1BF1AA}"/>
            </c:ext>
          </c:extLst>
        </c:ser>
        <c:ser>
          <c:idx val="1"/>
          <c:order val="1"/>
          <c:tx>
            <c:strRef>
              <c:f>GRAFIK!$D$169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GRAFIK!$D$170</c:f>
              <c:numCache>
                <c:formatCode>_(* #,##0_);_(* \(#,##0\);_(* "-"_);_(@_)</c:formatCode>
                <c:ptCount val="1"/>
                <c:pt idx="0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3-42AC-9A67-E57EFA1BF1AA}"/>
            </c:ext>
          </c:extLst>
        </c:ser>
        <c:ser>
          <c:idx val="2"/>
          <c:order val="2"/>
          <c:tx>
            <c:strRef>
              <c:f>GRAFIK!$E$169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GRAFIK!$E$170</c:f>
              <c:numCache>
                <c:formatCode>_(* #,##0_);_(* \(#,##0\);_(* "-"_);_(@_)</c:formatCode>
                <c:ptCount val="1"/>
                <c:pt idx="0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A3-42AC-9A67-E57EFA1BF1AA}"/>
            </c:ext>
          </c:extLst>
        </c:ser>
        <c:ser>
          <c:idx val="3"/>
          <c:order val="3"/>
          <c:tx>
            <c:strRef>
              <c:f>GRAFIK!$F$169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GRAFIK!$F$170</c:f>
              <c:numCache>
                <c:formatCode>_(* #,##0_);_(* \(#,##0\);_(* "-"_);_(@_)</c:formatCode>
                <c:ptCount val="1"/>
                <c:pt idx="0">
                  <c:v>28142.857142857141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A3-42AC-9A67-E57EFA1BF1AA}"/>
            </c:ext>
          </c:extLst>
        </c:ser>
        <c:ser>
          <c:idx val="4"/>
          <c:order val="4"/>
          <c:tx>
            <c:strRef>
              <c:f>GRAFIK!$G$169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GRAFIK!$G$170</c:f>
              <c:numCache>
                <c:formatCode>_(* #,##0_);_(* \(#,##0\);_(* "-"_);_(@_)</c:formatCode>
                <c:ptCount val="1"/>
                <c:pt idx="0">
                  <c:v>28857.142857142859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A3-42AC-9A67-E57EFA1BF1AA}"/>
            </c:ext>
          </c:extLst>
        </c:ser>
        <c:ser>
          <c:idx val="5"/>
          <c:order val="5"/>
          <c:tx>
            <c:strRef>
              <c:f>GRAFIK!$H$169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GRAFIK!$H$170</c:f>
              <c:numCache>
                <c:formatCode>_(* #,##0_);_(* \(#,##0\);_(* "-"_);_(@_)</c:formatCode>
                <c:ptCount val="1"/>
                <c:pt idx="0">
                  <c:v>29142.857142857141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A3-42AC-9A67-E57EFA1BF1AA}"/>
            </c:ext>
          </c:extLst>
        </c:ser>
        <c:ser>
          <c:idx val="6"/>
          <c:order val="6"/>
          <c:tx>
            <c:strRef>
              <c:f>GRAFIK!$I$169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GRAFIK!$I$170</c:f>
              <c:numCache>
                <c:formatCode>_(* #,##0_);_(* \(#,##0\);_(* "-"_);_(@_)</c:formatCode>
                <c:ptCount val="1"/>
                <c:pt idx="0">
                  <c:v>31428.571428571428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A3-42AC-9A67-E57EFA1BF1AA}"/>
            </c:ext>
          </c:extLst>
        </c:ser>
        <c:ser>
          <c:idx val="7"/>
          <c:order val="7"/>
          <c:tx>
            <c:strRef>
              <c:f>GRAFIK!$J$169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GRAFIK!$J$170</c:f>
              <c:numCache>
                <c:formatCode>_(* #,##0_);_(* \(#,##0\);_(* "-"_);_(@_)</c:formatCode>
                <c:ptCount val="1"/>
                <c:pt idx="0">
                  <c:v>32142.857142857141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A3-42AC-9A67-E57EFA1BF1AA}"/>
            </c:ext>
          </c:extLst>
        </c:ser>
        <c:ser>
          <c:idx val="8"/>
          <c:order val="8"/>
          <c:tx>
            <c:strRef>
              <c:f>GRAFIK!$K$169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GRAFIK!$K$170</c:f>
              <c:numCache>
                <c:formatCode>_(* #,##0_);_(* \(#,##0\);_(* "-"_);_(@_)</c:formatCode>
                <c:ptCount val="1"/>
                <c:pt idx="0">
                  <c:v>32571.428571428572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A3-42AC-9A67-E57EFA1BF1AA}"/>
            </c:ext>
          </c:extLst>
        </c:ser>
        <c:ser>
          <c:idx val="9"/>
          <c:order val="9"/>
          <c:tx>
            <c:strRef>
              <c:f>GRAFIK!$L$169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GRAFIK!$L$170</c:f>
              <c:numCache>
                <c:formatCode>_(* #,##0_);_(* \(#,##0\);_(* "-"_);_(@_)</c:formatCode>
                <c:ptCount val="1"/>
                <c:pt idx="0">
                  <c:v>31428.571428571428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5A3-42AC-9A67-E57EFA1BF1AA}"/>
            </c:ext>
          </c:extLst>
        </c:ser>
        <c:ser>
          <c:idx val="10"/>
          <c:order val="10"/>
          <c:tx>
            <c:strRef>
              <c:f>GRAFIK!$M$169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GRAFIK!$M$170</c:f>
              <c:numCache>
                <c:formatCode>_(* #,##0_);_(* \(#,##0\);_(* "-"_);_(@_)</c:formatCode>
                <c:ptCount val="1"/>
                <c:pt idx="0">
                  <c:v>31428.571428571428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A3-42AC-9A67-E57EFA1BF1AA}"/>
            </c:ext>
          </c:extLst>
        </c:ser>
        <c:ser>
          <c:idx val="11"/>
          <c:order val="11"/>
          <c:tx>
            <c:strRef>
              <c:f>GRAFIK!$N$169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GRAFIK!$N$170</c:f>
              <c:numCache>
                <c:formatCode>_(* #,##0_);_(* \(#,##0\);_(* "-"_);_(@_)</c:formatCode>
                <c:ptCount val="1"/>
                <c:pt idx="0">
                  <c:v>31428.571428571428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5A3-42AC-9A67-E57EFA1BF1AA}"/>
            </c:ext>
          </c:extLst>
        </c:ser>
        <c:ser>
          <c:idx val="12"/>
          <c:order val="12"/>
          <c:tx>
            <c:strRef>
              <c:f>GRAFIK!$O$169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GRAFIK!$O$170</c:f>
              <c:numCache>
                <c:formatCode>_(* #,##0_);_(* \(#,##0\);_(* "-"_);_(@_)</c:formatCode>
                <c:ptCount val="1"/>
                <c:pt idx="0">
                  <c:v>32142.857142857141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A3-42AC-9A67-E57EFA1BF1AA}"/>
            </c:ext>
          </c:extLst>
        </c:ser>
        <c:ser>
          <c:idx val="13"/>
          <c:order val="13"/>
          <c:tx>
            <c:strRef>
              <c:f>GRAFIK!$P$169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GRAFIK!$P$170</c:f>
              <c:numCache>
                <c:formatCode>_(* #,##0_);_(* \(#,##0\);_(* "-"_);_(@_)</c:formatCode>
                <c:ptCount val="1"/>
                <c:pt idx="0">
                  <c:v>32428.571428571428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5A3-42AC-9A67-E57EFA1BF1AA}"/>
            </c:ext>
          </c:extLst>
        </c:ser>
        <c:ser>
          <c:idx val="14"/>
          <c:order val="14"/>
          <c:tx>
            <c:strRef>
              <c:f>GRAFIK!$Q$169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GRAFIK!$Q$170</c:f>
              <c:numCache>
                <c:formatCode>_(* #,##0_);_(* \(#,##0\);_(* "-"_);_(@_)</c:formatCode>
                <c:ptCount val="1"/>
                <c:pt idx="0">
                  <c:v>33428.571428571428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5A3-42AC-9A67-E57EFA1BF1AA}"/>
            </c:ext>
          </c:extLst>
        </c:ser>
        <c:ser>
          <c:idx val="15"/>
          <c:order val="15"/>
          <c:tx>
            <c:strRef>
              <c:f>GRAFIK!$R$169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GRAFIK!$R$170</c:f>
              <c:numCache>
                <c:formatCode>_(* #,##0_);_(* \(#,##0\);_(* "-"_);_(@_)</c:formatCode>
                <c:ptCount val="1"/>
                <c:pt idx="0">
                  <c:v>35285.714285714283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5A3-42AC-9A67-E57EFA1BF1AA}"/>
            </c:ext>
          </c:extLst>
        </c:ser>
        <c:ser>
          <c:idx val="16"/>
          <c:order val="16"/>
          <c:tx>
            <c:strRef>
              <c:f>GRAFIK!$S$169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GRAFIK!$S$170</c:f>
              <c:numCache>
                <c:formatCode>_(* #,##0_);_(* \(#,##0\);_(* "-"_);_(@_)</c:formatCode>
                <c:ptCount val="1"/>
                <c:pt idx="0">
                  <c:v>36714.285714285717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5A3-42AC-9A67-E57EFA1BF1AA}"/>
            </c:ext>
          </c:extLst>
        </c:ser>
        <c:ser>
          <c:idx val="17"/>
          <c:order val="17"/>
          <c:tx>
            <c:strRef>
              <c:f>GRAFIK!$T$169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GRAFIK!$T$170</c:f>
              <c:numCache>
                <c:formatCode>_(* #,##0_);_(* \(#,##0\);_(* "-"_);_(@_)</c:formatCode>
                <c:ptCount val="1"/>
                <c:pt idx="0">
                  <c:v>37142.857142857145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5A3-42AC-9A67-E57EFA1BF1AA}"/>
            </c:ext>
          </c:extLst>
        </c:ser>
        <c:ser>
          <c:idx val="18"/>
          <c:order val="18"/>
          <c:tx>
            <c:strRef>
              <c:f>GRAFIK!$U$169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GRAFIK!$U$170</c:f>
              <c:numCache>
                <c:formatCode>_(* #,##0_);_(* \(#,##0\);_(* "-"_);_(@_)</c:formatCode>
                <c:ptCount val="1"/>
                <c:pt idx="0">
                  <c:v>37142.857142857145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5A3-42AC-9A67-E57EFA1BF1AA}"/>
            </c:ext>
          </c:extLst>
        </c:ser>
        <c:ser>
          <c:idx val="19"/>
          <c:order val="19"/>
          <c:tx>
            <c:strRef>
              <c:f>GRAFIK!$V$169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GRAFIK!$V$170</c:f>
              <c:numCache>
                <c:formatCode>_(* #,##0_);_(* \(#,##0\);_(* "-"_);_(@_)</c:formatCode>
                <c:ptCount val="1"/>
                <c:pt idx="0">
                  <c:v>37428.571428571428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5A3-42AC-9A67-E57EFA1BF1AA}"/>
            </c:ext>
          </c:extLst>
        </c:ser>
        <c:ser>
          <c:idx val="20"/>
          <c:order val="20"/>
          <c:tx>
            <c:strRef>
              <c:f>GRAFIK!$W$169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GRAFIK!$W$170</c:f>
              <c:numCache>
                <c:formatCode>_(* #,##0_);_(* \(#,##0\);_(* "-"_);_(@_)</c:formatCode>
                <c:ptCount val="1"/>
                <c:pt idx="0">
                  <c:v>37714.285714285717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5A3-42AC-9A67-E57EFA1BF1AA}"/>
            </c:ext>
          </c:extLst>
        </c:ser>
        <c:ser>
          <c:idx val="21"/>
          <c:order val="21"/>
          <c:tx>
            <c:strRef>
              <c:f>GRAFIK!$X$169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GRAFIK!$X$170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5A3-42AC-9A67-E57EFA1BF1AA}"/>
            </c:ext>
          </c:extLst>
        </c:ser>
        <c:ser>
          <c:idx val="22"/>
          <c:order val="22"/>
          <c:tx>
            <c:strRef>
              <c:f>GRAFIK!$Y$169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GRAFIK!$Y$170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5A3-42AC-9A67-E57EFA1BF1AA}"/>
            </c:ext>
          </c:extLst>
        </c:ser>
        <c:ser>
          <c:idx val="23"/>
          <c:order val="23"/>
          <c:tx>
            <c:strRef>
              <c:f>GRAFIK!$Z$169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GRAFIK!$Z$170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5A3-42AC-9A67-E57EFA1BF1AA}"/>
            </c:ext>
          </c:extLst>
        </c:ser>
        <c:ser>
          <c:idx val="24"/>
          <c:order val="24"/>
          <c:tx>
            <c:strRef>
              <c:f>GRAFIK!$AA$169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GRAFIK!$AA$170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A3-42AC-9A67-E57EFA1BF1AA}"/>
            </c:ext>
          </c:extLst>
        </c:ser>
        <c:ser>
          <c:idx val="25"/>
          <c:order val="25"/>
          <c:tx>
            <c:strRef>
              <c:f>GRAFIK!$AB$169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GRAFIK!$AB$170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5A3-42AC-9A67-E57EFA1BF1AA}"/>
            </c:ext>
          </c:extLst>
        </c:ser>
        <c:ser>
          <c:idx val="26"/>
          <c:order val="26"/>
          <c:tx>
            <c:strRef>
              <c:f>GRAFIK!$AC$169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GRAFIK!$AC$170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5A3-42AC-9A67-E57EFA1BF1AA}"/>
            </c:ext>
          </c:extLst>
        </c:ser>
        <c:ser>
          <c:idx val="27"/>
          <c:order val="27"/>
          <c:tx>
            <c:strRef>
              <c:f>GRAFIK!$AD$169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GRAFIK!$AD$170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5A3-42AC-9A67-E57EFA1BF1AA}"/>
            </c:ext>
          </c:extLst>
        </c:ser>
        <c:ser>
          <c:idx val="28"/>
          <c:order val="28"/>
          <c:tx>
            <c:strRef>
              <c:f>GRAFIK!$AE$169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GRAFIK!$AE$170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5A3-42AC-9A67-E57EFA1BF1AA}"/>
            </c:ext>
          </c:extLst>
        </c:ser>
        <c:ser>
          <c:idx val="29"/>
          <c:order val="29"/>
          <c:tx>
            <c:strRef>
              <c:f>GRAFIK!$AF$169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GRAFIK!$AF$170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5A3-42AC-9A67-E57EFA1BF1AA}"/>
            </c:ext>
          </c:extLst>
        </c:ser>
        <c:ser>
          <c:idx val="30"/>
          <c:order val="30"/>
          <c:tx>
            <c:strRef>
              <c:f>GRAFIK!$AG$169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GRAFIK!$AG$170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5A3-42AC-9A67-E57EFA1BF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343288"/>
        <c:axId val="592342968"/>
      </c:barChart>
      <c:catAx>
        <c:axId val="59234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2342968"/>
        <c:crosses val="autoZero"/>
        <c:auto val="1"/>
        <c:lblAlgn val="ctr"/>
        <c:lblOffset val="100"/>
        <c:noMultiLvlLbl val="0"/>
      </c:catAx>
      <c:valAx>
        <c:axId val="59234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234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CABE MERAH KERITING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GRAFIK!$C$169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GRAFIK!$C$171</c:f>
              <c:numCache>
                <c:formatCode>_(* #,##0_);_(* \(#,##0\);_(* "-"_);_(@_)</c:formatCode>
                <c:ptCount val="1"/>
                <c:pt idx="0">
                  <c:v>38750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A-4472-8DB4-57A2CDC5256D}"/>
            </c:ext>
          </c:extLst>
        </c:ser>
        <c:ser>
          <c:idx val="1"/>
          <c:order val="1"/>
          <c:tx>
            <c:strRef>
              <c:f>GRAFIK!$D$169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GRAFIK!$D$171</c:f>
              <c:numCache>
                <c:formatCode>_(* #,##0_);_(* \(#,##0\);_(* "-"_);_(@_)</c:formatCode>
                <c:ptCount val="1"/>
                <c:pt idx="0">
                  <c:v>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A-4472-8DB4-57A2CDC5256D}"/>
            </c:ext>
          </c:extLst>
        </c:ser>
        <c:ser>
          <c:idx val="2"/>
          <c:order val="2"/>
          <c:tx>
            <c:strRef>
              <c:f>GRAFIK!$E$169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GRAFIK!$E$171</c:f>
              <c:numCache>
                <c:formatCode>_(* #,##0_);_(* \(#,##0\);_(* "-"_);_(@_)</c:formatCode>
                <c:ptCount val="1"/>
                <c:pt idx="0">
                  <c:v>38750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A-4472-8DB4-57A2CDC5256D}"/>
            </c:ext>
          </c:extLst>
        </c:ser>
        <c:ser>
          <c:idx val="3"/>
          <c:order val="3"/>
          <c:tx>
            <c:strRef>
              <c:f>GRAFIK!$F$169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GRAFIK!$F$171</c:f>
              <c:numCache>
                <c:formatCode>_(* #,##0_);_(* \(#,##0\);_(* "-"_);_(@_)</c:formatCode>
                <c:ptCount val="1"/>
                <c:pt idx="0">
                  <c:v>38750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2A-4472-8DB4-57A2CDC5256D}"/>
            </c:ext>
          </c:extLst>
        </c:ser>
        <c:ser>
          <c:idx val="4"/>
          <c:order val="4"/>
          <c:tx>
            <c:strRef>
              <c:f>GRAFIK!$G$169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GRAFIK!$G$171</c:f>
              <c:numCache>
                <c:formatCode>_(* #,##0_);_(* \(#,##0\);_(* "-"_);_(@_)</c:formatCode>
                <c:ptCount val="1"/>
                <c:pt idx="0">
                  <c:v>38750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2A-4472-8DB4-57A2CDC5256D}"/>
            </c:ext>
          </c:extLst>
        </c:ser>
        <c:ser>
          <c:idx val="5"/>
          <c:order val="5"/>
          <c:tx>
            <c:strRef>
              <c:f>GRAFIK!$H$169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GRAFIK!$H$171</c:f>
              <c:numCache>
                <c:formatCode>_(* #,##0_);_(* \(#,##0\);_(* "-"_);_(@_)</c:formatCode>
                <c:ptCount val="1"/>
                <c:pt idx="0">
                  <c:v>36750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2A-4472-8DB4-57A2CDC5256D}"/>
            </c:ext>
          </c:extLst>
        </c:ser>
        <c:ser>
          <c:idx val="6"/>
          <c:order val="6"/>
          <c:tx>
            <c:strRef>
              <c:f>GRAFIK!$I$169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GRAFIK!$I$171</c:f>
              <c:numCache>
                <c:formatCode>_(* #,##0_);_(* \(#,##0\);_(* "-"_);_(@_)</c:formatCode>
                <c:ptCount val="1"/>
                <c:pt idx="0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2A-4472-8DB4-57A2CDC5256D}"/>
            </c:ext>
          </c:extLst>
        </c:ser>
        <c:ser>
          <c:idx val="7"/>
          <c:order val="7"/>
          <c:tx>
            <c:strRef>
              <c:f>GRAFIK!$J$169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GRAFIK!$J$171</c:f>
              <c:numCache>
                <c:formatCode>_(* #,##0_);_(* \(#,##0\);_(* "-"_);_(@_)</c:formatCode>
                <c:ptCount val="1"/>
                <c:pt idx="0">
                  <c:v>41250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2A-4472-8DB4-57A2CDC5256D}"/>
            </c:ext>
          </c:extLst>
        </c:ser>
        <c:ser>
          <c:idx val="8"/>
          <c:order val="8"/>
          <c:tx>
            <c:strRef>
              <c:f>GRAFIK!$K$169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GRAFIK!$K$171</c:f>
              <c:numCache>
                <c:formatCode>_(* #,##0_);_(* \(#,##0\);_(* "-"_);_(@_)</c:formatCode>
                <c:ptCount val="1"/>
                <c:pt idx="0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2A-4472-8DB4-57A2CDC5256D}"/>
            </c:ext>
          </c:extLst>
        </c:ser>
        <c:ser>
          <c:idx val="9"/>
          <c:order val="9"/>
          <c:tx>
            <c:strRef>
              <c:f>GRAFIK!$L$169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GRAFIK!$L$171</c:f>
              <c:numCache>
                <c:formatCode>_(* #,##0_);_(* \(#,##0\);_(* "-"_);_(@_)</c:formatCode>
                <c:ptCount val="1"/>
                <c:pt idx="0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2A-4472-8DB4-57A2CDC5256D}"/>
            </c:ext>
          </c:extLst>
        </c:ser>
        <c:ser>
          <c:idx val="10"/>
          <c:order val="10"/>
          <c:tx>
            <c:strRef>
              <c:f>GRAFIK!$M$169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GRAFIK!$M$171</c:f>
              <c:numCache>
                <c:formatCode>_(* #,##0_);_(* \(#,##0\);_(* "-"_);_(@_)</c:formatCode>
                <c:ptCount val="1"/>
                <c:pt idx="0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2A-4472-8DB4-57A2CDC5256D}"/>
            </c:ext>
          </c:extLst>
        </c:ser>
        <c:ser>
          <c:idx val="11"/>
          <c:order val="11"/>
          <c:tx>
            <c:strRef>
              <c:f>GRAFIK!$N$169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GRAFIK!$N$171</c:f>
              <c:numCache>
                <c:formatCode>_(* #,##0_);_(* \(#,##0\);_(* "-"_);_(@_)</c:formatCode>
                <c:ptCount val="1"/>
                <c:pt idx="0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12A-4472-8DB4-57A2CDC5256D}"/>
            </c:ext>
          </c:extLst>
        </c:ser>
        <c:ser>
          <c:idx val="12"/>
          <c:order val="12"/>
          <c:tx>
            <c:strRef>
              <c:f>GRAFIK!$O$169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GRAFIK!$O$171</c:f>
              <c:numCache>
                <c:formatCode>_(* #,##0_);_(* \(#,##0\);_(* "-"_);_(@_)</c:formatCode>
                <c:ptCount val="1"/>
                <c:pt idx="0">
                  <c:v>41250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2A-4472-8DB4-57A2CDC5256D}"/>
            </c:ext>
          </c:extLst>
        </c:ser>
        <c:ser>
          <c:idx val="13"/>
          <c:order val="13"/>
          <c:tx>
            <c:strRef>
              <c:f>GRAFIK!$P$169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GRAFIK!$P$171</c:f>
              <c:numCache>
                <c:formatCode>_(* #,##0_);_(* \(#,##0\);_(* "-"_);_(@_)</c:formatCode>
                <c:ptCount val="1"/>
                <c:pt idx="0">
                  <c:v>46250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12A-4472-8DB4-57A2CDC5256D}"/>
            </c:ext>
          </c:extLst>
        </c:ser>
        <c:ser>
          <c:idx val="14"/>
          <c:order val="14"/>
          <c:tx>
            <c:strRef>
              <c:f>GRAFIK!$Q$169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GRAFIK!$Q$171</c:f>
              <c:numCache>
                <c:formatCode>_(* #,##0_);_(* \(#,##0\);_(* "-"_);_(@_)</c:formatCode>
                <c:ptCount val="1"/>
                <c:pt idx="0">
                  <c:v>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12A-4472-8DB4-57A2CDC5256D}"/>
            </c:ext>
          </c:extLst>
        </c:ser>
        <c:ser>
          <c:idx val="15"/>
          <c:order val="15"/>
          <c:tx>
            <c:strRef>
              <c:f>GRAFIK!$R$169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GRAFIK!$R$171</c:f>
              <c:numCache>
                <c:formatCode>_(* #,##0_);_(* \(#,##0\);_(* "-"_);_(@_)</c:formatCode>
                <c:ptCount val="1"/>
                <c:pt idx="0">
                  <c:v>51250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12A-4472-8DB4-57A2CDC5256D}"/>
            </c:ext>
          </c:extLst>
        </c:ser>
        <c:ser>
          <c:idx val="16"/>
          <c:order val="16"/>
          <c:tx>
            <c:strRef>
              <c:f>GRAFIK!$S$169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GRAFIK!$S$171</c:f>
              <c:numCache>
                <c:formatCode>_(* #,##0_);_(* \(#,##0\);_(* "-"_);_(@_)</c:formatCode>
                <c:ptCount val="1"/>
                <c:pt idx="0">
                  <c:v>51250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12A-4472-8DB4-57A2CDC5256D}"/>
            </c:ext>
          </c:extLst>
        </c:ser>
        <c:ser>
          <c:idx val="17"/>
          <c:order val="17"/>
          <c:tx>
            <c:strRef>
              <c:f>GRAFIK!$T$169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GRAFIK!$T$171</c:f>
              <c:numCache>
                <c:formatCode>_(* #,##0_);_(* \(#,##0\);_(* "-"_);_(@_)</c:formatCode>
                <c:ptCount val="1"/>
                <c:pt idx="0">
                  <c:v>51250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12A-4472-8DB4-57A2CDC5256D}"/>
            </c:ext>
          </c:extLst>
        </c:ser>
        <c:ser>
          <c:idx val="18"/>
          <c:order val="18"/>
          <c:tx>
            <c:strRef>
              <c:f>GRAFIK!$U$169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GRAFIK!$U$171</c:f>
              <c:numCache>
                <c:formatCode>_(* #,##0_);_(* \(#,##0\);_(* "-"_);_(@_)</c:formatCode>
                <c:ptCount val="1"/>
                <c:pt idx="0">
                  <c:v>52500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12A-4472-8DB4-57A2CDC5256D}"/>
            </c:ext>
          </c:extLst>
        </c:ser>
        <c:ser>
          <c:idx val="19"/>
          <c:order val="19"/>
          <c:tx>
            <c:strRef>
              <c:f>GRAFIK!$V$169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GRAFIK!$V$171</c:f>
              <c:numCache>
                <c:formatCode>_(* #,##0_);_(* \(#,##0\);_(* "-"_);_(@_)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12A-4472-8DB4-57A2CDC5256D}"/>
            </c:ext>
          </c:extLst>
        </c:ser>
        <c:ser>
          <c:idx val="20"/>
          <c:order val="20"/>
          <c:tx>
            <c:strRef>
              <c:f>GRAFIK!$W$169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GRAFIK!$W$171</c:f>
              <c:numCache>
                <c:formatCode>_(* #,##0_);_(* \(#,##0\);_(* "-"_);_(@_)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12A-4472-8DB4-57A2CDC5256D}"/>
            </c:ext>
          </c:extLst>
        </c:ser>
        <c:ser>
          <c:idx val="21"/>
          <c:order val="21"/>
          <c:tx>
            <c:strRef>
              <c:f>GRAFIK!$X$169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GRAFIK!$X$171</c:f>
              <c:numCache>
                <c:formatCode>_(* #,##0_);_(* \(#,##0\);_(* "-"_);_(@_)</c:formatCode>
                <c:ptCount val="1"/>
                <c:pt idx="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12A-4472-8DB4-57A2CDC5256D}"/>
            </c:ext>
          </c:extLst>
        </c:ser>
        <c:ser>
          <c:idx val="22"/>
          <c:order val="22"/>
          <c:tx>
            <c:strRef>
              <c:f>GRAFIK!$Y$169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GRAFIK!$Y$171</c:f>
              <c:numCache>
                <c:formatCode>_(* #,##0_);_(* \(#,##0\);_(* "-"_);_(@_)</c:formatCode>
                <c:ptCount val="1"/>
                <c:pt idx="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12A-4472-8DB4-57A2CDC5256D}"/>
            </c:ext>
          </c:extLst>
        </c:ser>
        <c:ser>
          <c:idx val="23"/>
          <c:order val="23"/>
          <c:tx>
            <c:strRef>
              <c:f>GRAFIK!$Z$169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GRAFIK!$Z$171</c:f>
              <c:numCache>
                <c:formatCode>_(* #,##0_);_(* \(#,##0\);_(* "-"_);_(@_)</c:formatCode>
                <c:ptCount val="1"/>
                <c:pt idx="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12A-4472-8DB4-57A2CDC5256D}"/>
            </c:ext>
          </c:extLst>
        </c:ser>
        <c:ser>
          <c:idx val="24"/>
          <c:order val="24"/>
          <c:tx>
            <c:strRef>
              <c:f>GRAFIK!$AA$169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GRAFIK!$AA$171</c:f>
              <c:numCache>
                <c:formatCode>_(* #,##0_);_(* \(#,##0\);_(* "-"_);_(@_)</c:formatCode>
                <c:ptCount val="1"/>
                <c:pt idx="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2A-4472-8DB4-57A2CDC5256D}"/>
            </c:ext>
          </c:extLst>
        </c:ser>
        <c:ser>
          <c:idx val="25"/>
          <c:order val="25"/>
          <c:tx>
            <c:strRef>
              <c:f>GRAFIK!$AB$169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GRAFIK!$AB$171</c:f>
              <c:numCache>
                <c:formatCode>_(* #,##0_);_(* \(#,##0\);_(* "-"_);_(@_)</c:formatCode>
                <c:ptCount val="1"/>
                <c:pt idx="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12A-4472-8DB4-57A2CDC5256D}"/>
            </c:ext>
          </c:extLst>
        </c:ser>
        <c:ser>
          <c:idx val="26"/>
          <c:order val="26"/>
          <c:tx>
            <c:strRef>
              <c:f>GRAFIK!$AC$169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GRAFIK!$AC$171</c:f>
              <c:numCache>
                <c:formatCode>_(* #,##0_);_(* \(#,##0\);_(* "-"_);_(@_)</c:formatCode>
                <c:ptCount val="1"/>
                <c:pt idx="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12A-4472-8DB4-57A2CDC5256D}"/>
            </c:ext>
          </c:extLst>
        </c:ser>
        <c:ser>
          <c:idx val="27"/>
          <c:order val="27"/>
          <c:tx>
            <c:strRef>
              <c:f>GRAFIK!$AD$169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GRAFIK!$AD$171</c:f>
              <c:numCache>
                <c:formatCode>_(* #,##0_);_(* \(#,##0\);_(* "-"_);_(@_)</c:formatCode>
                <c:ptCount val="1"/>
                <c:pt idx="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12A-4472-8DB4-57A2CDC5256D}"/>
            </c:ext>
          </c:extLst>
        </c:ser>
        <c:ser>
          <c:idx val="28"/>
          <c:order val="28"/>
          <c:tx>
            <c:strRef>
              <c:f>GRAFIK!$AE$169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GRAFIK!$AE$171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12A-4472-8DB4-57A2CDC5256D}"/>
            </c:ext>
          </c:extLst>
        </c:ser>
        <c:ser>
          <c:idx val="29"/>
          <c:order val="29"/>
          <c:tx>
            <c:strRef>
              <c:f>GRAFIK!$AF$169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GRAFIK!$AF$171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12A-4472-8DB4-57A2CDC5256D}"/>
            </c:ext>
          </c:extLst>
        </c:ser>
        <c:ser>
          <c:idx val="30"/>
          <c:order val="30"/>
          <c:tx>
            <c:strRef>
              <c:f>GRAFIK!$AG$169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GRAFIK!$AG$171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12A-4472-8DB4-57A2CDC52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360712"/>
        <c:axId val="581358792"/>
      </c:barChart>
      <c:catAx>
        <c:axId val="58136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58792"/>
        <c:crosses val="autoZero"/>
        <c:auto val="1"/>
        <c:lblAlgn val="ctr"/>
        <c:lblOffset val="100"/>
        <c:noMultiLvlLbl val="0"/>
      </c:catAx>
      <c:valAx>
        <c:axId val="58135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60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CABE RAWIT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GRAFIK!$C$169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GRAFIK!$C$172</c:f>
              <c:numCache>
                <c:formatCode>_(* #,##0_);_(* \(#,##0\);_(* "-"_);_(@_)</c:formatCode>
                <c:ptCount val="1"/>
                <c:pt idx="0">
                  <c:v>51428.571428571428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A-47BB-826D-736297E9AEC6}"/>
            </c:ext>
          </c:extLst>
        </c:ser>
        <c:ser>
          <c:idx val="1"/>
          <c:order val="1"/>
          <c:tx>
            <c:strRef>
              <c:f>GRAFIK!$D$169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GRAFIK!$D$172</c:f>
              <c:numCache>
                <c:formatCode>_(* #,##0_);_(* \(#,##0\);_(* "-"_);_(@_)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A-47BB-826D-736297E9AEC6}"/>
            </c:ext>
          </c:extLst>
        </c:ser>
        <c:ser>
          <c:idx val="2"/>
          <c:order val="2"/>
          <c:tx>
            <c:strRef>
              <c:f>GRAFIK!$E$169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GRAFIK!$E$172</c:f>
              <c:numCache>
                <c:formatCode>_(* #,##0_);_(* \(#,##0\);_(* "-"_);_(@_)</c:formatCode>
                <c:ptCount val="1"/>
                <c:pt idx="0">
                  <c:v>48428.571428571428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3A-47BB-826D-736297E9AEC6}"/>
            </c:ext>
          </c:extLst>
        </c:ser>
        <c:ser>
          <c:idx val="3"/>
          <c:order val="3"/>
          <c:tx>
            <c:strRef>
              <c:f>GRAFIK!$F$169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GRAFIK!$F$172</c:f>
              <c:numCache>
                <c:formatCode>_(* #,##0_);_(* \(#,##0\);_(* "-"_);_(@_)</c:formatCode>
                <c:ptCount val="1"/>
                <c:pt idx="0">
                  <c:v>49142.857142857145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3A-47BB-826D-736297E9AEC6}"/>
            </c:ext>
          </c:extLst>
        </c:ser>
        <c:ser>
          <c:idx val="4"/>
          <c:order val="4"/>
          <c:tx>
            <c:strRef>
              <c:f>GRAFIK!$G$169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GRAFIK!$G$172</c:f>
              <c:numCache>
                <c:formatCode>_(* #,##0_);_(* \(#,##0\);_(* "-"_);_(@_)</c:formatCode>
                <c:ptCount val="1"/>
                <c:pt idx="0">
                  <c:v>49857.142857142855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3A-47BB-826D-736297E9AEC6}"/>
            </c:ext>
          </c:extLst>
        </c:ser>
        <c:ser>
          <c:idx val="5"/>
          <c:order val="5"/>
          <c:tx>
            <c:strRef>
              <c:f>GRAFIK!$H$169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GRAFIK!$H$172</c:f>
              <c:numCache>
                <c:formatCode>_(* #,##0_);_(* \(#,##0\);_(* "-"_);_(@_)</c:formatCode>
                <c:ptCount val="1"/>
                <c:pt idx="0">
                  <c:v>48428.571428571428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3A-47BB-826D-736297E9AEC6}"/>
            </c:ext>
          </c:extLst>
        </c:ser>
        <c:ser>
          <c:idx val="6"/>
          <c:order val="6"/>
          <c:tx>
            <c:strRef>
              <c:f>GRAFIK!$I$169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GRAFIK!$I$172</c:f>
              <c:numCache>
                <c:formatCode>_(* #,##0_);_(* \(#,##0\);_(* "-"_);_(@_)</c:formatCode>
                <c:ptCount val="1"/>
                <c:pt idx="0">
                  <c:v>56142.857142857145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3A-47BB-826D-736297E9AEC6}"/>
            </c:ext>
          </c:extLst>
        </c:ser>
        <c:ser>
          <c:idx val="7"/>
          <c:order val="7"/>
          <c:tx>
            <c:strRef>
              <c:f>GRAFIK!$J$169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GRAFIK!$J$172</c:f>
              <c:numCache>
                <c:formatCode>_(* #,##0_);_(* \(#,##0\);_(* "-"_);_(@_)</c:formatCode>
                <c:ptCount val="1"/>
                <c:pt idx="0">
                  <c:v>57142.857142857145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3A-47BB-826D-736297E9AEC6}"/>
            </c:ext>
          </c:extLst>
        </c:ser>
        <c:ser>
          <c:idx val="8"/>
          <c:order val="8"/>
          <c:tx>
            <c:strRef>
              <c:f>GRAFIK!$K$169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GRAFIK!$K$172</c:f>
              <c:numCache>
                <c:formatCode>_(* #,##0_);_(* \(#,##0\);_(* "-"_);_(@_)</c:formatCode>
                <c:ptCount val="1"/>
                <c:pt idx="0">
                  <c:v>56428.571428571428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3A-47BB-826D-736297E9AEC6}"/>
            </c:ext>
          </c:extLst>
        </c:ser>
        <c:ser>
          <c:idx val="9"/>
          <c:order val="9"/>
          <c:tx>
            <c:strRef>
              <c:f>GRAFIK!$L$169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GRAFIK!$L$172</c:f>
              <c:numCache>
                <c:formatCode>_(* #,##0_);_(* \(#,##0\);_(* "-"_);_(@_)</c:formatCode>
                <c:ptCount val="1"/>
                <c:pt idx="0">
                  <c:v>57857.142857142855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3A-47BB-826D-736297E9AEC6}"/>
            </c:ext>
          </c:extLst>
        </c:ser>
        <c:ser>
          <c:idx val="10"/>
          <c:order val="10"/>
          <c:tx>
            <c:strRef>
              <c:f>GRAFIK!$M$169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GRAFIK!$M$172</c:f>
              <c:numCache>
                <c:formatCode>_(* #,##0_);_(* \(#,##0\);_(* "-"_);_(@_)</c:formatCode>
                <c:ptCount val="1"/>
                <c:pt idx="0">
                  <c:v>55714.285714285717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3A-47BB-826D-736297E9AEC6}"/>
            </c:ext>
          </c:extLst>
        </c:ser>
        <c:ser>
          <c:idx val="11"/>
          <c:order val="11"/>
          <c:tx>
            <c:strRef>
              <c:f>GRAFIK!$N$169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GRAFIK!$N$172</c:f>
              <c:numCache>
                <c:formatCode>_(* #,##0_);_(* \(#,##0\);_(* "-"_);_(@_)</c:formatCode>
                <c:ptCount val="1"/>
                <c:pt idx="0">
                  <c:v>56428.571428571428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43A-47BB-826D-736297E9AEC6}"/>
            </c:ext>
          </c:extLst>
        </c:ser>
        <c:ser>
          <c:idx val="12"/>
          <c:order val="12"/>
          <c:tx>
            <c:strRef>
              <c:f>GRAFIK!$O$169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GRAFIK!$O$172</c:f>
              <c:numCache>
                <c:formatCode>_(* #,##0_);_(* \(#,##0\);_(* "-"_);_(@_)</c:formatCode>
                <c:ptCount val="1"/>
                <c:pt idx="0">
                  <c:v>57857.142857142855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43A-47BB-826D-736297E9AEC6}"/>
            </c:ext>
          </c:extLst>
        </c:ser>
        <c:ser>
          <c:idx val="13"/>
          <c:order val="13"/>
          <c:tx>
            <c:strRef>
              <c:f>GRAFIK!$P$169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GRAFIK!$P$172</c:f>
              <c:numCache>
                <c:formatCode>_(* #,##0_);_(* \(#,##0\);_(* "-"_);_(@_)</c:formatCode>
                <c:ptCount val="1"/>
                <c:pt idx="0">
                  <c:v>57142.857142857145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43A-47BB-826D-736297E9AEC6}"/>
            </c:ext>
          </c:extLst>
        </c:ser>
        <c:ser>
          <c:idx val="14"/>
          <c:order val="14"/>
          <c:tx>
            <c:strRef>
              <c:f>GRAFIK!$Q$169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GRAFIK!$Q$172</c:f>
              <c:numCache>
                <c:formatCode>_(* #,##0_);_(* \(#,##0\);_(* "-"_);_(@_)</c:formatCode>
                <c:ptCount val="1"/>
                <c:pt idx="0">
                  <c:v>56428.571428571428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43A-47BB-826D-736297E9AEC6}"/>
            </c:ext>
          </c:extLst>
        </c:ser>
        <c:ser>
          <c:idx val="15"/>
          <c:order val="15"/>
          <c:tx>
            <c:strRef>
              <c:f>GRAFIK!$R$169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GRAFIK!$R$172</c:f>
              <c:numCache>
                <c:formatCode>_(* #,##0_);_(* \(#,##0\);_(* "-"_);_(@_)</c:formatCode>
                <c:ptCount val="1"/>
                <c:pt idx="0">
                  <c:v>60714.285714285717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43A-47BB-826D-736297E9AEC6}"/>
            </c:ext>
          </c:extLst>
        </c:ser>
        <c:ser>
          <c:idx val="16"/>
          <c:order val="16"/>
          <c:tx>
            <c:strRef>
              <c:f>GRAFIK!$S$169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GRAFIK!$S$172</c:f>
              <c:numCache>
                <c:formatCode>_(* #,##0_);_(* \(#,##0\);_(* "-"_);_(@_)</c:formatCode>
                <c:ptCount val="1"/>
                <c:pt idx="0">
                  <c:v>62142.857142857145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43A-47BB-826D-736297E9AEC6}"/>
            </c:ext>
          </c:extLst>
        </c:ser>
        <c:ser>
          <c:idx val="17"/>
          <c:order val="17"/>
          <c:tx>
            <c:strRef>
              <c:f>GRAFIK!$T$169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GRAFIK!$T$172</c:f>
              <c:numCache>
                <c:formatCode>_(* #,##0_);_(* \(#,##0\);_(* "-"_);_(@_)</c:formatCode>
                <c:ptCount val="1"/>
                <c:pt idx="0">
                  <c:v>61428.571428571428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43A-47BB-826D-736297E9AEC6}"/>
            </c:ext>
          </c:extLst>
        </c:ser>
        <c:ser>
          <c:idx val="18"/>
          <c:order val="18"/>
          <c:tx>
            <c:strRef>
              <c:f>GRAFIK!$U$169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GRAFIK!$U$172</c:f>
              <c:numCache>
                <c:formatCode>_(* #,##0_);_(* \(#,##0\);_(* "-"_);_(@_)</c:formatCode>
                <c:ptCount val="1"/>
                <c:pt idx="0">
                  <c:v>61428.571428571428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43A-47BB-826D-736297E9AEC6}"/>
            </c:ext>
          </c:extLst>
        </c:ser>
        <c:ser>
          <c:idx val="19"/>
          <c:order val="19"/>
          <c:tx>
            <c:strRef>
              <c:f>GRAFIK!$V$169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GRAFIK!$V$172</c:f>
              <c:numCache>
                <c:formatCode>_(* #,##0_);_(* \(#,##0\);_(* "-"_);_(@_)</c:formatCode>
                <c:ptCount val="1"/>
                <c:pt idx="0">
                  <c:v>60714.285714285717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43A-47BB-826D-736297E9AEC6}"/>
            </c:ext>
          </c:extLst>
        </c:ser>
        <c:ser>
          <c:idx val="20"/>
          <c:order val="20"/>
          <c:tx>
            <c:strRef>
              <c:f>GRAFIK!$W$169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GRAFIK!$W$172</c:f>
              <c:numCache>
                <c:formatCode>_(* #,##0_);_(* \(#,##0\);_(* "-"_);_(@_)</c:formatCode>
                <c:ptCount val="1"/>
                <c:pt idx="0">
                  <c:v>59285.714285714283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43A-47BB-826D-736297E9AEC6}"/>
            </c:ext>
          </c:extLst>
        </c:ser>
        <c:ser>
          <c:idx val="21"/>
          <c:order val="21"/>
          <c:tx>
            <c:strRef>
              <c:f>GRAFIK!$X$169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GRAFIK!$X$172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43A-47BB-826D-736297E9AEC6}"/>
            </c:ext>
          </c:extLst>
        </c:ser>
        <c:ser>
          <c:idx val="22"/>
          <c:order val="22"/>
          <c:tx>
            <c:strRef>
              <c:f>GRAFIK!$Y$169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GRAFIK!$Y$172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43A-47BB-826D-736297E9AEC6}"/>
            </c:ext>
          </c:extLst>
        </c:ser>
        <c:ser>
          <c:idx val="23"/>
          <c:order val="23"/>
          <c:tx>
            <c:strRef>
              <c:f>GRAFIK!$Z$169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GRAFIK!$Z$172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43A-47BB-826D-736297E9AEC6}"/>
            </c:ext>
          </c:extLst>
        </c:ser>
        <c:ser>
          <c:idx val="24"/>
          <c:order val="24"/>
          <c:tx>
            <c:strRef>
              <c:f>GRAFIK!$AA$169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GRAFIK!$AA$172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43A-47BB-826D-736297E9AEC6}"/>
            </c:ext>
          </c:extLst>
        </c:ser>
        <c:ser>
          <c:idx val="25"/>
          <c:order val="25"/>
          <c:tx>
            <c:strRef>
              <c:f>GRAFIK!$AB$169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GRAFIK!$AB$172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43A-47BB-826D-736297E9AEC6}"/>
            </c:ext>
          </c:extLst>
        </c:ser>
        <c:ser>
          <c:idx val="26"/>
          <c:order val="26"/>
          <c:tx>
            <c:strRef>
              <c:f>GRAFIK!$AC$169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GRAFIK!$AC$172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43A-47BB-826D-736297E9AEC6}"/>
            </c:ext>
          </c:extLst>
        </c:ser>
        <c:ser>
          <c:idx val="27"/>
          <c:order val="27"/>
          <c:tx>
            <c:strRef>
              <c:f>GRAFIK!$AD$169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GRAFIK!$AD$172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43A-47BB-826D-736297E9AEC6}"/>
            </c:ext>
          </c:extLst>
        </c:ser>
        <c:ser>
          <c:idx val="28"/>
          <c:order val="28"/>
          <c:tx>
            <c:strRef>
              <c:f>GRAFIK!$AE$169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GRAFIK!$AE$172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43A-47BB-826D-736297E9AEC6}"/>
            </c:ext>
          </c:extLst>
        </c:ser>
        <c:ser>
          <c:idx val="29"/>
          <c:order val="29"/>
          <c:tx>
            <c:strRef>
              <c:f>GRAFIK!$AF$169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GRAFIK!$AF$172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43A-47BB-826D-736297E9AEC6}"/>
            </c:ext>
          </c:extLst>
        </c:ser>
        <c:ser>
          <c:idx val="30"/>
          <c:order val="30"/>
          <c:tx>
            <c:strRef>
              <c:f>GRAFIK!$AG$169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GRAFIK!$AG$172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43A-47BB-826D-736297E9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354952"/>
        <c:axId val="581355912"/>
      </c:barChart>
      <c:catAx>
        <c:axId val="58135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55912"/>
        <c:crosses val="autoZero"/>
        <c:auto val="1"/>
        <c:lblAlgn val="ctr"/>
        <c:lblOffset val="100"/>
        <c:noMultiLvlLbl val="0"/>
      </c:catAx>
      <c:valAx>
        <c:axId val="58135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5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BAWANG PUTIH KATING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GRAFIK!$C$193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GRAFIK!$C$194</c:f>
              <c:numCache>
                <c:formatCode>_(* #,##0_);_(* \(#,##0\);_(* "-"_);_(@_)</c:formatCode>
                <c:ptCount val="1"/>
                <c:pt idx="0">
                  <c:v>29714.285714285714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0-4732-A6F4-F56EEFA85435}"/>
            </c:ext>
          </c:extLst>
        </c:ser>
        <c:ser>
          <c:idx val="1"/>
          <c:order val="1"/>
          <c:tx>
            <c:strRef>
              <c:f>GRAFIK!$D$193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GRAFIK!$D$194</c:f>
              <c:numCache>
                <c:formatCode>_(* #,##0_);_(* \(#,##0\);_(* "-"_);_(@_)</c:formatCode>
                <c:ptCount val="1"/>
                <c:pt idx="0">
                  <c:v>31428.571428571428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20-4732-A6F4-F56EEFA85435}"/>
            </c:ext>
          </c:extLst>
        </c:ser>
        <c:ser>
          <c:idx val="2"/>
          <c:order val="2"/>
          <c:tx>
            <c:strRef>
              <c:f>GRAFIK!$E$193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GRAFIK!$E$194</c:f>
              <c:numCache>
                <c:formatCode>_(* #,##0_);_(* \(#,##0\);_(* "-"_);_(@_)</c:formatCode>
                <c:ptCount val="1"/>
                <c:pt idx="0">
                  <c:v>31285.714285714286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20-4732-A6F4-F56EEFA85435}"/>
            </c:ext>
          </c:extLst>
        </c:ser>
        <c:ser>
          <c:idx val="3"/>
          <c:order val="3"/>
          <c:tx>
            <c:strRef>
              <c:f>GRAFIK!$F$193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GRAFIK!$F$194</c:f>
              <c:numCache>
                <c:formatCode>_(* #,##0_);_(* \(#,##0\);_(* "-"_);_(@_)</c:formatCode>
                <c:ptCount val="1"/>
                <c:pt idx="0">
                  <c:v>31142.857142857141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20-4732-A6F4-F56EEFA85435}"/>
            </c:ext>
          </c:extLst>
        </c:ser>
        <c:ser>
          <c:idx val="4"/>
          <c:order val="4"/>
          <c:tx>
            <c:strRef>
              <c:f>GRAFIK!$G$193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GRAFIK!$G$194</c:f>
              <c:numCache>
                <c:formatCode>_(* #,##0_);_(* \(#,##0\);_(* "-"_);_(@_)</c:formatCode>
                <c:ptCount val="1"/>
                <c:pt idx="0">
                  <c:v>30857.142857142859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20-4732-A6F4-F56EEFA85435}"/>
            </c:ext>
          </c:extLst>
        </c:ser>
        <c:ser>
          <c:idx val="5"/>
          <c:order val="5"/>
          <c:tx>
            <c:strRef>
              <c:f>GRAFIK!$H$193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GRAFIK!$H$194</c:f>
              <c:numCache>
                <c:formatCode>_(* #,##0_);_(* \(#,##0\);_(* "-"_);_(@_)</c:formatCode>
                <c:ptCount val="1"/>
                <c:pt idx="0">
                  <c:v>31285.714285714286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20-4732-A6F4-F56EEFA85435}"/>
            </c:ext>
          </c:extLst>
        </c:ser>
        <c:ser>
          <c:idx val="6"/>
          <c:order val="6"/>
          <c:tx>
            <c:strRef>
              <c:f>GRAFIK!$I$193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GRAFIK!$I$194</c:f>
              <c:numCache>
                <c:formatCode>_(* #,##0_);_(* \(#,##0\);_(* "-"_);_(@_)</c:formatCode>
                <c:ptCount val="1"/>
                <c:pt idx="0">
                  <c:v>30714.285714285714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20-4732-A6F4-F56EEFA85435}"/>
            </c:ext>
          </c:extLst>
        </c:ser>
        <c:ser>
          <c:idx val="7"/>
          <c:order val="7"/>
          <c:tx>
            <c:strRef>
              <c:f>GRAFIK!$J$193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GRAFIK!$J$194</c:f>
              <c:numCache>
                <c:formatCode>_(* #,##0_);_(* \(#,##0\);_(* "-"_);_(@_)</c:formatCode>
                <c:ptCount val="1"/>
                <c:pt idx="0">
                  <c:v>30571.428571428572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20-4732-A6F4-F56EEFA85435}"/>
            </c:ext>
          </c:extLst>
        </c:ser>
        <c:ser>
          <c:idx val="8"/>
          <c:order val="8"/>
          <c:tx>
            <c:strRef>
              <c:f>GRAFIK!$K$193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GRAFIK!$K$194</c:f>
              <c:numCache>
                <c:formatCode>_(* #,##0_);_(* \(#,##0\);_(* "-"_);_(@_)</c:formatCode>
                <c:ptCount val="1"/>
                <c:pt idx="0">
                  <c:v>30714.285714285714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20-4732-A6F4-F56EEFA85435}"/>
            </c:ext>
          </c:extLst>
        </c:ser>
        <c:ser>
          <c:idx val="9"/>
          <c:order val="9"/>
          <c:tx>
            <c:strRef>
              <c:f>GRAFIK!$L$193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GRAFIK!$L$194</c:f>
              <c:numCache>
                <c:formatCode>_(* #,##0_);_(* \(#,##0\);_(* "-"_);_(@_)</c:formatCode>
                <c:ptCount val="1"/>
                <c:pt idx="0">
                  <c:v>30571.428571428572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20-4732-A6F4-F56EEFA85435}"/>
            </c:ext>
          </c:extLst>
        </c:ser>
        <c:ser>
          <c:idx val="10"/>
          <c:order val="10"/>
          <c:tx>
            <c:strRef>
              <c:f>GRAFIK!$M$193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GRAFIK!$M$194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20-4732-A6F4-F56EEFA85435}"/>
            </c:ext>
          </c:extLst>
        </c:ser>
        <c:ser>
          <c:idx val="11"/>
          <c:order val="11"/>
          <c:tx>
            <c:strRef>
              <c:f>GRAFIK!$N$193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GRAFIK!$N$194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20-4732-A6F4-F56EEFA85435}"/>
            </c:ext>
          </c:extLst>
        </c:ser>
        <c:ser>
          <c:idx val="12"/>
          <c:order val="12"/>
          <c:tx>
            <c:strRef>
              <c:f>GRAFIK!$O$193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GRAFIK!$O$194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20-4732-A6F4-F56EEFA85435}"/>
            </c:ext>
          </c:extLst>
        </c:ser>
        <c:ser>
          <c:idx val="13"/>
          <c:order val="13"/>
          <c:tx>
            <c:strRef>
              <c:f>GRAFIK!$P$193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GRAFIK!$P$194</c:f>
              <c:numCache>
                <c:formatCode>_(* #,##0_);_(* \(#,##0\);_(* "-"_);_(@_)</c:formatCode>
                <c:ptCount val="1"/>
                <c:pt idx="0">
                  <c:v>30142.857142857141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20-4732-A6F4-F56EEFA85435}"/>
            </c:ext>
          </c:extLst>
        </c:ser>
        <c:ser>
          <c:idx val="14"/>
          <c:order val="14"/>
          <c:tx>
            <c:strRef>
              <c:f>GRAFIK!$Q$193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GRAFIK!$Q$194</c:f>
              <c:numCache>
                <c:formatCode>_(* #,##0_);_(* \(#,##0\);_(* "-"_);_(@_)</c:formatCode>
                <c:ptCount val="1"/>
                <c:pt idx="0">
                  <c:v>30428.571428571428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20-4732-A6F4-F56EEFA85435}"/>
            </c:ext>
          </c:extLst>
        </c:ser>
        <c:ser>
          <c:idx val="15"/>
          <c:order val="15"/>
          <c:tx>
            <c:strRef>
              <c:f>GRAFIK!$R$193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GRAFIK!$R$194</c:f>
              <c:numCache>
                <c:formatCode>_(* #,##0_);_(* \(#,##0\);_(* "-"_);_(@_)</c:formatCode>
                <c:ptCount val="1"/>
                <c:pt idx="0">
                  <c:v>30714.285714285714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20-4732-A6F4-F56EEFA85435}"/>
            </c:ext>
          </c:extLst>
        </c:ser>
        <c:ser>
          <c:idx val="16"/>
          <c:order val="16"/>
          <c:tx>
            <c:strRef>
              <c:f>GRAFIK!$S$193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GRAFIK!$S$194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20-4732-A6F4-F56EEFA85435}"/>
            </c:ext>
          </c:extLst>
        </c:ser>
        <c:ser>
          <c:idx val="17"/>
          <c:order val="17"/>
          <c:tx>
            <c:strRef>
              <c:f>GRAFIK!$T$193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GRAFIK!$T$194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20-4732-A6F4-F56EEFA85435}"/>
            </c:ext>
          </c:extLst>
        </c:ser>
        <c:ser>
          <c:idx val="18"/>
          <c:order val="18"/>
          <c:tx>
            <c:strRef>
              <c:f>GRAFIK!$U$193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GRAFIK!$U$194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20-4732-A6F4-F56EEFA85435}"/>
            </c:ext>
          </c:extLst>
        </c:ser>
        <c:ser>
          <c:idx val="19"/>
          <c:order val="19"/>
          <c:tx>
            <c:strRef>
              <c:f>GRAFIK!$V$193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GRAFIK!$V$194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020-4732-A6F4-F56EEFA85435}"/>
            </c:ext>
          </c:extLst>
        </c:ser>
        <c:ser>
          <c:idx val="20"/>
          <c:order val="20"/>
          <c:tx>
            <c:strRef>
              <c:f>GRAFIK!$W$193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GRAFIK!$W$194</c:f>
              <c:numCache>
                <c:formatCode>_(* #,##0_);_(* \(#,##0\);_(* "-"_);_(@_)</c:formatCode>
                <c:ptCount val="1"/>
                <c:pt idx="0">
                  <c:v>29714.285714285714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20-4732-A6F4-F56EEFA85435}"/>
            </c:ext>
          </c:extLst>
        </c:ser>
        <c:ser>
          <c:idx val="21"/>
          <c:order val="21"/>
          <c:tx>
            <c:strRef>
              <c:f>GRAFIK!$X$193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GRAFIK!$X$194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20-4732-A6F4-F56EEFA85435}"/>
            </c:ext>
          </c:extLst>
        </c:ser>
        <c:ser>
          <c:idx val="22"/>
          <c:order val="22"/>
          <c:tx>
            <c:strRef>
              <c:f>GRAFIK!$Y$193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GRAFIK!$Y$194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20-4732-A6F4-F56EEFA85435}"/>
            </c:ext>
          </c:extLst>
        </c:ser>
        <c:ser>
          <c:idx val="23"/>
          <c:order val="23"/>
          <c:tx>
            <c:strRef>
              <c:f>GRAFIK!$Z$193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GRAFIK!$Z$194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20-4732-A6F4-F56EEFA85435}"/>
            </c:ext>
          </c:extLst>
        </c:ser>
        <c:ser>
          <c:idx val="24"/>
          <c:order val="24"/>
          <c:tx>
            <c:strRef>
              <c:f>GRAFIK!$AA$193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GRAFIK!$AA$194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20-4732-A6F4-F56EEFA85435}"/>
            </c:ext>
          </c:extLst>
        </c:ser>
        <c:ser>
          <c:idx val="25"/>
          <c:order val="25"/>
          <c:tx>
            <c:strRef>
              <c:f>GRAFIK!$AB$193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GRAFIK!$AB$194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020-4732-A6F4-F56EEFA85435}"/>
            </c:ext>
          </c:extLst>
        </c:ser>
        <c:ser>
          <c:idx val="26"/>
          <c:order val="26"/>
          <c:tx>
            <c:strRef>
              <c:f>GRAFIK!$AC$193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GRAFIK!$AC$194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020-4732-A6F4-F56EEFA85435}"/>
            </c:ext>
          </c:extLst>
        </c:ser>
        <c:ser>
          <c:idx val="27"/>
          <c:order val="27"/>
          <c:tx>
            <c:strRef>
              <c:f>GRAFIK!$AD$193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GRAFIK!$AD$194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020-4732-A6F4-F56EEFA85435}"/>
            </c:ext>
          </c:extLst>
        </c:ser>
        <c:ser>
          <c:idx val="28"/>
          <c:order val="28"/>
          <c:tx>
            <c:strRef>
              <c:f>GRAFIK!$AE$193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GRAFIK!$AE$194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020-4732-A6F4-F56EEFA85435}"/>
            </c:ext>
          </c:extLst>
        </c:ser>
        <c:ser>
          <c:idx val="29"/>
          <c:order val="29"/>
          <c:tx>
            <c:strRef>
              <c:f>GRAFIK!$AF$193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GRAFIK!$AF$194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20-4732-A6F4-F56EEFA85435}"/>
            </c:ext>
          </c:extLst>
        </c:ser>
        <c:ser>
          <c:idx val="30"/>
          <c:order val="30"/>
          <c:tx>
            <c:strRef>
              <c:f>GRAFIK!$AG$193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GRAFIK!$AG$194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20-4732-A6F4-F56EEFA85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698680"/>
        <c:axId val="584695800"/>
      </c:barChart>
      <c:catAx>
        <c:axId val="584698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5800"/>
        <c:crosses val="autoZero"/>
        <c:auto val="1"/>
        <c:lblAlgn val="ctr"/>
        <c:lblOffset val="100"/>
        <c:noMultiLvlLbl val="0"/>
      </c:catAx>
      <c:valAx>
        <c:axId val="58469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8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BAWANG PUTIH SINCO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GRAFIK!$C$193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GRAFIK!$C$195</c:f>
              <c:numCache>
                <c:formatCode>_(* #,##0_);_(* \(#,##0\);_(* "-"_);_(@_)</c:formatCode>
                <c:ptCount val="1"/>
                <c:pt idx="0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7-47B2-B72A-02475FFC3FEA}"/>
            </c:ext>
          </c:extLst>
        </c:ser>
        <c:ser>
          <c:idx val="1"/>
          <c:order val="1"/>
          <c:tx>
            <c:strRef>
              <c:f>GRAFIK!$D$193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GRAFIK!$D$195</c:f>
              <c:numCache>
                <c:formatCode>_(* #,##0_);_(* \(#,##0\);_(* "-"_);_(@_)</c:formatCode>
                <c:ptCount val="1"/>
                <c:pt idx="0">
                  <c:v>26285.714285714286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7-47B2-B72A-02475FFC3FEA}"/>
            </c:ext>
          </c:extLst>
        </c:ser>
        <c:ser>
          <c:idx val="2"/>
          <c:order val="2"/>
          <c:tx>
            <c:strRef>
              <c:f>GRAFIK!$E$193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GRAFIK!$E$195</c:f>
              <c:numCache>
                <c:formatCode>_(* #,##0_);_(* \(#,##0\);_(* "-"_);_(@_)</c:formatCode>
                <c:ptCount val="1"/>
                <c:pt idx="0">
                  <c:v>26285.714285714286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B7-47B2-B72A-02475FFC3FEA}"/>
            </c:ext>
          </c:extLst>
        </c:ser>
        <c:ser>
          <c:idx val="3"/>
          <c:order val="3"/>
          <c:tx>
            <c:strRef>
              <c:f>GRAFIK!$F$193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GRAFIK!$F$195</c:f>
              <c:numCache>
                <c:formatCode>_(* #,##0_);_(* \(#,##0\);_(* "-"_);_(@_)</c:formatCode>
                <c:ptCount val="1"/>
                <c:pt idx="0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B7-47B2-B72A-02475FFC3FEA}"/>
            </c:ext>
          </c:extLst>
        </c:ser>
        <c:ser>
          <c:idx val="4"/>
          <c:order val="4"/>
          <c:tx>
            <c:strRef>
              <c:f>GRAFIK!$G$193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GRAFIK!$G$195</c:f>
              <c:numCache>
                <c:formatCode>_(* #,##0_);_(* \(#,##0\);_(* "-"_);_(@_)</c:formatCode>
                <c:ptCount val="1"/>
                <c:pt idx="0">
                  <c:v>25714.285714285714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B7-47B2-B72A-02475FFC3FEA}"/>
            </c:ext>
          </c:extLst>
        </c:ser>
        <c:ser>
          <c:idx val="5"/>
          <c:order val="5"/>
          <c:tx>
            <c:strRef>
              <c:f>GRAFIK!$H$193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GRAFIK!$H$195</c:f>
              <c:numCache>
                <c:formatCode>_(* #,##0_);_(* \(#,##0\);_(* "-"_);_(@_)</c:formatCode>
                <c:ptCount val="1"/>
                <c:pt idx="0">
                  <c:v>26142.857142857141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B7-47B2-B72A-02475FFC3FEA}"/>
            </c:ext>
          </c:extLst>
        </c:ser>
        <c:ser>
          <c:idx val="6"/>
          <c:order val="6"/>
          <c:tx>
            <c:strRef>
              <c:f>GRAFIK!$I$193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GRAFIK!$I$195</c:f>
              <c:numCache>
                <c:formatCode>_(* #,##0_);_(* \(#,##0\);_(* "-"_);_(@_)</c:formatCode>
                <c:ptCount val="1"/>
                <c:pt idx="0">
                  <c:v>26142.857142857141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7-47B2-B72A-02475FFC3FEA}"/>
            </c:ext>
          </c:extLst>
        </c:ser>
        <c:ser>
          <c:idx val="7"/>
          <c:order val="7"/>
          <c:tx>
            <c:strRef>
              <c:f>GRAFIK!$J$193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GRAFIK!$J$195</c:f>
              <c:numCache>
                <c:formatCode>_(* #,##0_);_(* \(#,##0\);_(* "-"_);_(@_)</c:formatCode>
                <c:ptCount val="1"/>
                <c:pt idx="0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B7-47B2-B72A-02475FFC3FEA}"/>
            </c:ext>
          </c:extLst>
        </c:ser>
        <c:ser>
          <c:idx val="8"/>
          <c:order val="8"/>
          <c:tx>
            <c:strRef>
              <c:f>GRAFIK!$K$193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GRAFIK!$K$195</c:f>
              <c:numCache>
                <c:formatCode>_(* #,##0_);_(* \(#,##0\);_(* "-"_);_(@_)</c:formatCode>
                <c:ptCount val="1"/>
                <c:pt idx="0">
                  <c:v>26142.857142857141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B7-47B2-B72A-02475FFC3FEA}"/>
            </c:ext>
          </c:extLst>
        </c:ser>
        <c:ser>
          <c:idx val="9"/>
          <c:order val="9"/>
          <c:tx>
            <c:strRef>
              <c:f>GRAFIK!$L$193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GRAFIK!$L$195</c:f>
              <c:numCache>
                <c:formatCode>_(* #,##0_);_(* \(#,##0\);_(* "-"_);_(@_)</c:formatCode>
                <c:ptCount val="1"/>
                <c:pt idx="0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B7-47B2-B72A-02475FFC3FEA}"/>
            </c:ext>
          </c:extLst>
        </c:ser>
        <c:ser>
          <c:idx val="10"/>
          <c:order val="10"/>
          <c:tx>
            <c:strRef>
              <c:f>GRAFIK!$M$193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GRAFIK!$M$195</c:f>
              <c:numCache>
                <c:formatCode>_(* #,##0_);_(* \(#,##0\);_(* "-"_);_(@_)</c:formatCode>
                <c:ptCount val="1"/>
                <c:pt idx="0">
                  <c:v>25714.285714285714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B7-47B2-B72A-02475FFC3FEA}"/>
            </c:ext>
          </c:extLst>
        </c:ser>
        <c:ser>
          <c:idx val="11"/>
          <c:order val="11"/>
          <c:tx>
            <c:strRef>
              <c:f>GRAFIK!$N$193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GRAFIK!$N$195</c:f>
              <c:numCache>
                <c:formatCode>_(* #,##0_);_(* \(#,##0\);_(* "-"_);_(@_)</c:formatCode>
                <c:ptCount val="1"/>
                <c:pt idx="0">
                  <c:v>25428.571428571428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2B7-47B2-B72A-02475FFC3FEA}"/>
            </c:ext>
          </c:extLst>
        </c:ser>
        <c:ser>
          <c:idx val="12"/>
          <c:order val="12"/>
          <c:tx>
            <c:strRef>
              <c:f>GRAFIK!$O$193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GRAFIK!$O$195</c:f>
              <c:numCache>
                <c:formatCode>_(* #,##0_);_(* \(#,##0\);_(* "-"_);_(@_)</c:formatCode>
                <c:ptCount val="1"/>
                <c:pt idx="0">
                  <c:v>25714.285714285714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2B7-47B2-B72A-02475FFC3FEA}"/>
            </c:ext>
          </c:extLst>
        </c:ser>
        <c:ser>
          <c:idx val="13"/>
          <c:order val="13"/>
          <c:tx>
            <c:strRef>
              <c:f>GRAFIK!$P$193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GRAFIK!$P$195</c:f>
              <c:numCache>
                <c:formatCode>_(* #,##0_);_(* \(#,##0\);_(* "-"_);_(@_)</c:formatCode>
                <c:ptCount val="1"/>
                <c:pt idx="0">
                  <c:v>24857.142857142859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2B7-47B2-B72A-02475FFC3FEA}"/>
            </c:ext>
          </c:extLst>
        </c:ser>
        <c:ser>
          <c:idx val="14"/>
          <c:order val="14"/>
          <c:tx>
            <c:strRef>
              <c:f>GRAFIK!$Q$193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GRAFIK!$Q$195</c:f>
              <c:numCache>
                <c:formatCode>_(* #,##0_);_(* \(#,##0\);_(* "-"_);_(@_)</c:formatCode>
                <c:ptCount val="1"/>
                <c:pt idx="0">
                  <c:v>25285.714285714286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2B7-47B2-B72A-02475FFC3FEA}"/>
            </c:ext>
          </c:extLst>
        </c:ser>
        <c:ser>
          <c:idx val="15"/>
          <c:order val="15"/>
          <c:tx>
            <c:strRef>
              <c:f>GRAFIK!$R$193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GRAFIK!$R$195</c:f>
              <c:numCache>
                <c:formatCode>_(* #,##0_);_(* \(#,##0\);_(* "-"_);_(@_)</c:formatCode>
                <c:ptCount val="1"/>
                <c:pt idx="0">
                  <c:v>25428.571428571428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2B7-47B2-B72A-02475FFC3FEA}"/>
            </c:ext>
          </c:extLst>
        </c:ser>
        <c:ser>
          <c:idx val="16"/>
          <c:order val="16"/>
          <c:tx>
            <c:strRef>
              <c:f>GRAFIK!$S$193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GRAFIK!$S$195</c:f>
              <c:numCache>
                <c:formatCode>_(* #,##0_);_(* \(#,##0\);_(* "-"_);_(@_)</c:formatCode>
                <c:ptCount val="1"/>
                <c:pt idx="0">
                  <c:v>25428.571428571428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2B7-47B2-B72A-02475FFC3FEA}"/>
            </c:ext>
          </c:extLst>
        </c:ser>
        <c:ser>
          <c:idx val="17"/>
          <c:order val="17"/>
          <c:tx>
            <c:strRef>
              <c:f>GRAFIK!$T$193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GRAFIK!$T$195</c:f>
              <c:numCache>
                <c:formatCode>_(* #,##0_);_(* \(#,##0\);_(* "-"_);_(@_)</c:formatCode>
                <c:ptCount val="1"/>
                <c:pt idx="0">
                  <c:v>25714.285714285714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2B7-47B2-B72A-02475FFC3FEA}"/>
            </c:ext>
          </c:extLst>
        </c:ser>
        <c:ser>
          <c:idx val="18"/>
          <c:order val="18"/>
          <c:tx>
            <c:strRef>
              <c:f>GRAFIK!$U$193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GRAFIK!$U$195</c:f>
              <c:numCache>
                <c:formatCode>_(* #,##0_);_(* \(#,##0\);_(* "-"_);_(@_)</c:formatCode>
                <c:ptCount val="1"/>
                <c:pt idx="0">
                  <c:v>25714.285714285714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2B7-47B2-B72A-02475FFC3FEA}"/>
            </c:ext>
          </c:extLst>
        </c:ser>
        <c:ser>
          <c:idx val="19"/>
          <c:order val="19"/>
          <c:tx>
            <c:strRef>
              <c:f>GRAFIK!$V$193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GRAFIK!$V$195</c:f>
              <c:numCache>
                <c:formatCode>_(* #,##0_);_(* \(#,##0\);_(* "-"_);_(@_)</c:formatCode>
                <c:ptCount val="1"/>
                <c:pt idx="0">
                  <c:v>25714.285714285714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2B7-47B2-B72A-02475FFC3FEA}"/>
            </c:ext>
          </c:extLst>
        </c:ser>
        <c:ser>
          <c:idx val="20"/>
          <c:order val="20"/>
          <c:tx>
            <c:strRef>
              <c:f>GRAFIK!$W$193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GRAFIK!$W$195</c:f>
              <c:numCache>
                <c:formatCode>_(* #,##0_);_(* \(#,##0\);_(* "-"_);_(@_)</c:formatCode>
                <c:ptCount val="1"/>
                <c:pt idx="0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2B7-47B2-B72A-02475FFC3FEA}"/>
            </c:ext>
          </c:extLst>
        </c:ser>
        <c:ser>
          <c:idx val="21"/>
          <c:order val="21"/>
          <c:tx>
            <c:strRef>
              <c:f>GRAFIK!$X$193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GRAFIK!$X$195</c:f>
              <c:numCache>
                <c:formatCode>_(* #,##0_);_(* \(#,##0\);_(* "-"_);_(@_)</c:formatCode>
                <c:ptCount val="1"/>
                <c:pt idx="0">
                  <c:v>18166.666666666668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2B7-47B2-B72A-02475FFC3FEA}"/>
            </c:ext>
          </c:extLst>
        </c:ser>
        <c:ser>
          <c:idx val="22"/>
          <c:order val="22"/>
          <c:tx>
            <c:strRef>
              <c:f>GRAFIK!$Y$193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GRAFIK!$Y$195</c:f>
              <c:numCache>
                <c:formatCode>_(* #,##0_);_(* \(#,##0\);_(* "-"_);_(@_)</c:formatCode>
                <c:ptCount val="1"/>
                <c:pt idx="0">
                  <c:v>18166.666666666668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2B7-47B2-B72A-02475FFC3FEA}"/>
            </c:ext>
          </c:extLst>
        </c:ser>
        <c:ser>
          <c:idx val="23"/>
          <c:order val="23"/>
          <c:tx>
            <c:strRef>
              <c:f>GRAFIK!$Z$193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GRAFIK!$Z$195</c:f>
              <c:numCache>
                <c:formatCode>_(* #,##0_);_(* \(#,##0\);_(* "-"_);_(@_)</c:formatCode>
                <c:ptCount val="1"/>
                <c:pt idx="0">
                  <c:v>18166.666666666668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2B7-47B2-B72A-02475FFC3FEA}"/>
            </c:ext>
          </c:extLst>
        </c:ser>
        <c:ser>
          <c:idx val="24"/>
          <c:order val="24"/>
          <c:tx>
            <c:strRef>
              <c:f>GRAFIK!$AA$193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GRAFIK!$AA$195</c:f>
              <c:numCache>
                <c:formatCode>_(* #,##0_);_(* \(#,##0\);_(* "-"_);_(@_)</c:formatCode>
                <c:ptCount val="1"/>
                <c:pt idx="0">
                  <c:v>18166.666666666668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2B7-47B2-B72A-02475FFC3FEA}"/>
            </c:ext>
          </c:extLst>
        </c:ser>
        <c:ser>
          <c:idx val="25"/>
          <c:order val="25"/>
          <c:tx>
            <c:strRef>
              <c:f>GRAFIK!$AB$193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GRAFIK!$AB$195</c:f>
              <c:numCache>
                <c:formatCode>_(* #,##0_);_(* \(#,##0\);_(* "-"_);_(@_)</c:formatCode>
                <c:ptCount val="1"/>
                <c:pt idx="0">
                  <c:v>18166.666666666668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2B7-47B2-B72A-02475FFC3FEA}"/>
            </c:ext>
          </c:extLst>
        </c:ser>
        <c:ser>
          <c:idx val="26"/>
          <c:order val="26"/>
          <c:tx>
            <c:strRef>
              <c:f>GRAFIK!$AC$193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GRAFIK!$AC$195</c:f>
              <c:numCache>
                <c:formatCode>_(* #,##0_);_(* \(#,##0\);_(* "-"_);_(@_)</c:formatCode>
                <c:ptCount val="1"/>
                <c:pt idx="0">
                  <c:v>18166.666666666668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2B7-47B2-B72A-02475FFC3FEA}"/>
            </c:ext>
          </c:extLst>
        </c:ser>
        <c:ser>
          <c:idx val="27"/>
          <c:order val="27"/>
          <c:tx>
            <c:strRef>
              <c:f>GRAFIK!$AD$193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GRAFIK!$AD$195</c:f>
              <c:numCache>
                <c:formatCode>_(* #,##0_);_(* \(#,##0\);_(* "-"_);_(@_)</c:formatCode>
                <c:ptCount val="1"/>
                <c:pt idx="0">
                  <c:v>18166.666666666668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2B7-47B2-B72A-02475FFC3FEA}"/>
            </c:ext>
          </c:extLst>
        </c:ser>
        <c:ser>
          <c:idx val="28"/>
          <c:order val="28"/>
          <c:tx>
            <c:strRef>
              <c:f>GRAFIK!$AE$193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GRAFIK!$AE$195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2B7-47B2-B72A-02475FFC3FEA}"/>
            </c:ext>
          </c:extLst>
        </c:ser>
        <c:ser>
          <c:idx val="29"/>
          <c:order val="29"/>
          <c:tx>
            <c:strRef>
              <c:f>GRAFIK!$AF$193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GRAFIK!$AF$195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2B7-47B2-B72A-02475FFC3FEA}"/>
            </c:ext>
          </c:extLst>
        </c:ser>
        <c:ser>
          <c:idx val="30"/>
          <c:order val="30"/>
          <c:tx>
            <c:strRef>
              <c:f>GRAFIK!$AG$193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GRAFIK!$AG$195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2B7-47B2-B72A-02475FFC3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406152"/>
        <c:axId val="581405512"/>
      </c:barChart>
      <c:catAx>
        <c:axId val="581406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405512"/>
        <c:crosses val="autoZero"/>
        <c:auto val="1"/>
        <c:lblAlgn val="ctr"/>
        <c:lblOffset val="100"/>
        <c:noMultiLvlLbl val="0"/>
      </c:catAx>
      <c:valAx>
        <c:axId val="58140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406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BAWANG MERAH / BRAMBANG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GRAFIK!$C$193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GRAFIK!$C$196</c:f>
              <c:numCache>
                <c:formatCode>_(* #,##0_);_(* \(#,##0\);_(* "-"_);_(@_)</c:formatCode>
                <c:ptCount val="1"/>
                <c:pt idx="0">
                  <c:v>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A-4B1F-94C3-A0867390FD08}"/>
            </c:ext>
          </c:extLst>
        </c:ser>
        <c:ser>
          <c:idx val="1"/>
          <c:order val="1"/>
          <c:tx>
            <c:strRef>
              <c:f>GRAFIK!$D$193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GRAFIK!$D$196</c:f>
              <c:numCache>
                <c:formatCode>_(* #,##0_);_(* \(#,##0\);_(* "-"_);_(@_)</c:formatCode>
                <c:ptCount val="1"/>
                <c:pt idx="0">
                  <c:v>39142.857142857145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A-4B1F-94C3-A0867390FD08}"/>
            </c:ext>
          </c:extLst>
        </c:ser>
        <c:ser>
          <c:idx val="2"/>
          <c:order val="2"/>
          <c:tx>
            <c:strRef>
              <c:f>GRAFIK!$E$193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GRAFIK!$E$196</c:f>
              <c:numCache>
                <c:formatCode>_(* #,##0_);_(* \(#,##0\);_(* "-"_);_(@_)</c:formatCode>
                <c:ptCount val="1"/>
                <c:pt idx="0">
                  <c:v>39714.285714285717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4A-4B1F-94C3-A0867390FD08}"/>
            </c:ext>
          </c:extLst>
        </c:ser>
        <c:ser>
          <c:idx val="3"/>
          <c:order val="3"/>
          <c:tx>
            <c:strRef>
              <c:f>GRAFIK!$F$193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GRAFIK!$F$196</c:f>
              <c:numCache>
                <c:formatCode>_(* #,##0_);_(* \(#,##0\);_(* "-"_);_(@_)</c:formatCode>
                <c:ptCount val="1"/>
                <c:pt idx="0">
                  <c:v>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4A-4B1F-94C3-A0867390FD08}"/>
            </c:ext>
          </c:extLst>
        </c:ser>
        <c:ser>
          <c:idx val="4"/>
          <c:order val="4"/>
          <c:tx>
            <c:strRef>
              <c:f>GRAFIK!$G$193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GRAFIK!$G$196</c:f>
              <c:numCache>
                <c:formatCode>_(* #,##0_);_(* \(#,##0\);_(* "-"_);_(@_)</c:formatCode>
                <c:ptCount val="1"/>
                <c:pt idx="0">
                  <c:v>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4A-4B1F-94C3-A0867390FD08}"/>
            </c:ext>
          </c:extLst>
        </c:ser>
        <c:ser>
          <c:idx val="5"/>
          <c:order val="5"/>
          <c:tx>
            <c:strRef>
              <c:f>GRAFIK!$H$193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GRAFIK!$H$196</c:f>
              <c:numCache>
                <c:formatCode>_(* #,##0_);_(* \(#,##0\);_(* "-"_);_(@_)</c:formatCode>
                <c:ptCount val="1"/>
                <c:pt idx="0">
                  <c:v>38571.428571428572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4A-4B1F-94C3-A0867390FD08}"/>
            </c:ext>
          </c:extLst>
        </c:ser>
        <c:ser>
          <c:idx val="6"/>
          <c:order val="6"/>
          <c:tx>
            <c:strRef>
              <c:f>GRAFIK!$I$193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GRAFIK!$I$196</c:f>
              <c:numCache>
                <c:formatCode>_(* #,##0_);_(* \(#,##0\);_(* "-"_);_(@_)</c:formatCode>
                <c:ptCount val="1"/>
                <c:pt idx="0">
                  <c:v>37428.571428571428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4A-4B1F-94C3-A0867390FD08}"/>
            </c:ext>
          </c:extLst>
        </c:ser>
        <c:ser>
          <c:idx val="7"/>
          <c:order val="7"/>
          <c:tx>
            <c:strRef>
              <c:f>GRAFIK!$J$193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GRAFIK!$J$196</c:f>
              <c:numCache>
                <c:formatCode>_(* #,##0_);_(* \(#,##0\);_(* "-"_);_(@_)</c:formatCode>
                <c:ptCount val="1"/>
                <c:pt idx="0">
                  <c:v>36857.142857142855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4A-4B1F-94C3-A0867390FD08}"/>
            </c:ext>
          </c:extLst>
        </c:ser>
        <c:ser>
          <c:idx val="8"/>
          <c:order val="8"/>
          <c:tx>
            <c:strRef>
              <c:f>GRAFIK!$K$193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GRAFIK!$K$196</c:f>
              <c:numCache>
                <c:formatCode>_(* #,##0_);_(* \(#,##0\);_(* "-"_);_(@_)</c:formatCode>
                <c:ptCount val="1"/>
                <c:pt idx="0">
                  <c:v>36571.428571428572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4A-4B1F-94C3-A0867390FD08}"/>
            </c:ext>
          </c:extLst>
        </c:ser>
        <c:ser>
          <c:idx val="9"/>
          <c:order val="9"/>
          <c:tx>
            <c:strRef>
              <c:f>GRAFIK!$L$193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GRAFIK!$L$196</c:f>
              <c:numCache>
                <c:formatCode>_(* #,##0_);_(* \(#,##0\);_(* "-"_);_(@_)</c:formatCode>
                <c:ptCount val="1"/>
                <c:pt idx="0">
                  <c:v>35428.571428571428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4A-4B1F-94C3-A0867390FD08}"/>
            </c:ext>
          </c:extLst>
        </c:ser>
        <c:ser>
          <c:idx val="10"/>
          <c:order val="10"/>
          <c:tx>
            <c:strRef>
              <c:f>GRAFIK!$M$193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GRAFIK!$M$196</c:f>
              <c:numCache>
                <c:formatCode>_(* #,##0_);_(* \(#,##0\);_(* "-"_);_(@_)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4A-4B1F-94C3-A0867390FD08}"/>
            </c:ext>
          </c:extLst>
        </c:ser>
        <c:ser>
          <c:idx val="11"/>
          <c:order val="11"/>
          <c:tx>
            <c:strRef>
              <c:f>GRAFIK!$N$193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GRAFIK!$N$196</c:f>
              <c:numCache>
                <c:formatCode>_(* #,##0_);_(* \(#,##0\);_(* "-"_);_(@_)</c:formatCode>
                <c:ptCount val="1"/>
                <c:pt idx="0">
                  <c:v>35857.142857142855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04A-4B1F-94C3-A0867390FD08}"/>
            </c:ext>
          </c:extLst>
        </c:ser>
        <c:ser>
          <c:idx val="12"/>
          <c:order val="12"/>
          <c:tx>
            <c:strRef>
              <c:f>GRAFIK!$O$193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GRAFIK!$O$196</c:f>
              <c:numCache>
                <c:formatCode>_(* #,##0_);_(* \(#,##0\);_(* "-"_);_(@_)</c:formatCode>
                <c:ptCount val="1"/>
                <c:pt idx="0">
                  <c:v>35571.428571428572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4A-4B1F-94C3-A0867390FD08}"/>
            </c:ext>
          </c:extLst>
        </c:ser>
        <c:ser>
          <c:idx val="13"/>
          <c:order val="13"/>
          <c:tx>
            <c:strRef>
              <c:f>GRAFIK!$P$193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GRAFIK!$P$196</c:f>
              <c:numCache>
                <c:formatCode>_(* #,##0_);_(* \(#,##0\);_(* "-"_);_(@_)</c:formatCode>
                <c:ptCount val="1"/>
                <c:pt idx="0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4A-4B1F-94C3-A0867390FD08}"/>
            </c:ext>
          </c:extLst>
        </c:ser>
        <c:ser>
          <c:idx val="14"/>
          <c:order val="14"/>
          <c:tx>
            <c:strRef>
              <c:f>GRAFIK!$Q$193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GRAFIK!$Q$196</c:f>
              <c:numCache>
                <c:formatCode>_(* #,##0_);_(* \(#,##0\);_(* "-"_);_(@_)</c:formatCode>
                <c:ptCount val="1"/>
                <c:pt idx="0">
                  <c:v>35285.714285714283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4A-4B1F-94C3-A0867390FD08}"/>
            </c:ext>
          </c:extLst>
        </c:ser>
        <c:ser>
          <c:idx val="15"/>
          <c:order val="15"/>
          <c:tx>
            <c:strRef>
              <c:f>GRAFIK!$R$193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GRAFIK!$R$196</c:f>
              <c:numCache>
                <c:formatCode>_(* #,##0_);_(* \(#,##0\);_(* "-"_);_(@_)</c:formatCode>
                <c:ptCount val="1"/>
                <c:pt idx="0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04A-4B1F-94C3-A0867390FD08}"/>
            </c:ext>
          </c:extLst>
        </c:ser>
        <c:ser>
          <c:idx val="16"/>
          <c:order val="16"/>
          <c:tx>
            <c:strRef>
              <c:f>GRAFIK!$S$193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GRAFIK!$S$196</c:f>
              <c:numCache>
                <c:formatCode>_(* #,##0_);_(* \(#,##0\);_(* "-"_);_(@_)</c:formatCode>
                <c:ptCount val="1"/>
                <c:pt idx="0">
                  <c:v>33285.714285714283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04A-4B1F-94C3-A0867390FD08}"/>
            </c:ext>
          </c:extLst>
        </c:ser>
        <c:ser>
          <c:idx val="17"/>
          <c:order val="17"/>
          <c:tx>
            <c:strRef>
              <c:f>GRAFIK!$T$193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GRAFIK!$T$196</c:f>
              <c:numCache>
                <c:formatCode>_(* #,##0_);_(* \(#,##0\);_(* "-"_);_(@_)</c:formatCode>
                <c:ptCount val="1"/>
                <c:pt idx="0">
                  <c:v>32714.285714285714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04A-4B1F-94C3-A0867390FD08}"/>
            </c:ext>
          </c:extLst>
        </c:ser>
        <c:ser>
          <c:idx val="18"/>
          <c:order val="18"/>
          <c:tx>
            <c:strRef>
              <c:f>GRAFIK!$U$193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GRAFIK!$U$196</c:f>
              <c:numCache>
                <c:formatCode>_(* #,##0_);_(* \(#,##0\);_(* "-"_);_(@_)</c:formatCode>
                <c:ptCount val="1"/>
                <c:pt idx="0">
                  <c:v>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04A-4B1F-94C3-A0867390FD08}"/>
            </c:ext>
          </c:extLst>
        </c:ser>
        <c:ser>
          <c:idx val="19"/>
          <c:order val="19"/>
          <c:tx>
            <c:strRef>
              <c:f>GRAFIK!$V$193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GRAFIK!$V$196</c:f>
              <c:numCache>
                <c:formatCode>_(* #,##0_);_(* \(#,##0\);_(* "-"_);_(@_)</c:formatCode>
                <c:ptCount val="1"/>
                <c:pt idx="0">
                  <c:v>33142.857142857145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04A-4B1F-94C3-A0867390FD08}"/>
            </c:ext>
          </c:extLst>
        </c:ser>
        <c:ser>
          <c:idx val="20"/>
          <c:order val="20"/>
          <c:tx>
            <c:strRef>
              <c:f>GRAFIK!$W$193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GRAFIK!$W$196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04A-4B1F-94C3-A0867390FD08}"/>
            </c:ext>
          </c:extLst>
        </c:ser>
        <c:ser>
          <c:idx val="21"/>
          <c:order val="21"/>
          <c:tx>
            <c:strRef>
              <c:f>GRAFIK!$X$193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GRAFIK!$X$196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04A-4B1F-94C3-A0867390FD08}"/>
            </c:ext>
          </c:extLst>
        </c:ser>
        <c:ser>
          <c:idx val="22"/>
          <c:order val="22"/>
          <c:tx>
            <c:strRef>
              <c:f>GRAFIK!$Y$193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GRAFIK!$Y$196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04A-4B1F-94C3-A0867390FD08}"/>
            </c:ext>
          </c:extLst>
        </c:ser>
        <c:ser>
          <c:idx val="23"/>
          <c:order val="23"/>
          <c:tx>
            <c:strRef>
              <c:f>GRAFIK!$Z$193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GRAFIK!$Z$196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04A-4B1F-94C3-A0867390FD08}"/>
            </c:ext>
          </c:extLst>
        </c:ser>
        <c:ser>
          <c:idx val="24"/>
          <c:order val="24"/>
          <c:tx>
            <c:strRef>
              <c:f>GRAFIK!$AA$193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GRAFIK!$AA$196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04A-4B1F-94C3-A0867390FD08}"/>
            </c:ext>
          </c:extLst>
        </c:ser>
        <c:ser>
          <c:idx val="25"/>
          <c:order val="25"/>
          <c:tx>
            <c:strRef>
              <c:f>GRAFIK!$AB$193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GRAFIK!$AB$196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04A-4B1F-94C3-A0867390FD08}"/>
            </c:ext>
          </c:extLst>
        </c:ser>
        <c:ser>
          <c:idx val="26"/>
          <c:order val="26"/>
          <c:tx>
            <c:strRef>
              <c:f>GRAFIK!$AC$193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GRAFIK!$AC$196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04A-4B1F-94C3-A0867390FD08}"/>
            </c:ext>
          </c:extLst>
        </c:ser>
        <c:ser>
          <c:idx val="27"/>
          <c:order val="27"/>
          <c:tx>
            <c:strRef>
              <c:f>GRAFIK!$AD$193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GRAFIK!$AD$196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04A-4B1F-94C3-A0867390FD08}"/>
            </c:ext>
          </c:extLst>
        </c:ser>
        <c:ser>
          <c:idx val="28"/>
          <c:order val="28"/>
          <c:tx>
            <c:strRef>
              <c:f>GRAFIK!$AE$193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GRAFIK!$AE$196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04A-4B1F-94C3-A0867390FD08}"/>
            </c:ext>
          </c:extLst>
        </c:ser>
        <c:ser>
          <c:idx val="29"/>
          <c:order val="29"/>
          <c:tx>
            <c:strRef>
              <c:f>GRAFIK!$AF$193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GRAFIK!$AF$196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04A-4B1F-94C3-A0867390FD08}"/>
            </c:ext>
          </c:extLst>
        </c:ser>
        <c:ser>
          <c:idx val="30"/>
          <c:order val="30"/>
          <c:tx>
            <c:strRef>
              <c:f>GRAFIK!$AG$193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GRAFIK!$AG$196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04A-4B1F-94C3-A0867390F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375752"/>
        <c:axId val="581375112"/>
      </c:barChart>
      <c:catAx>
        <c:axId val="581375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75112"/>
        <c:crosses val="autoZero"/>
        <c:auto val="1"/>
        <c:lblAlgn val="ctr"/>
        <c:lblOffset val="100"/>
        <c:noMultiLvlLbl val="0"/>
      </c:catAx>
      <c:valAx>
        <c:axId val="58137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7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BOMBAI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GRAFIK!$C$193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GRAFIK!$C$197</c:f>
              <c:numCache>
                <c:formatCode>_(* #,##0_);_(* \(#,##0\);_(* "-"_);_(@_)</c:formatCode>
                <c:ptCount val="1"/>
                <c:pt idx="0">
                  <c:v>21714.285714285714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C-4B45-B4EB-E18C24C61FBD}"/>
            </c:ext>
          </c:extLst>
        </c:ser>
        <c:ser>
          <c:idx val="1"/>
          <c:order val="1"/>
          <c:tx>
            <c:strRef>
              <c:f>GRAFIK!$D$193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GRAFIK!$D$197</c:f>
              <c:numCache>
                <c:formatCode>_(* #,##0_);_(* \(#,##0\);_(* "-"_);_(@_)</c:formatCode>
                <c:ptCount val="1"/>
                <c:pt idx="0">
                  <c:v>21714.285714285714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2C-4B45-B4EB-E18C24C61FBD}"/>
            </c:ext>
          </c:extLst>
        </c:ser>
        <c:ser>
          <c:idx val="2"/>
          <c:order val="2"/>
          <c:tx>
            <c:strRef>
              <c:f>GRAFIK!$E$193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GRAFIK!$E$197</c:f>
              <c:numCache>
                <c:formatCode>_(* #,##0_);_(* \(#,##0\);_(* "-"_);_(@_)</c:formatCode>
                <c:ptCount val="1"/>
                <c:pt idx="0">
                  <c:v>21714.285714285714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2C-4B45-B4EB-E18C24C61FBD}"/>
            </c:ext>
          </c:extLst>
        </c:ser>
        <c:ser>
          <c:idx val="3"/>
          <c:order val="3"/>
          <c:tx>
            <c:strRef>
              <c:f>GRAFIK!$F$193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GRAFIK!$F$197</c:f>
              <c:numCache>
                <c:formatCode>_(* #,##0_);_(* \(#,##0\);_(* "-"_);_(@_)</c:formatCode>
                <c:ptCount val="1"/>
                <c:pt idx="0">
                  <c:v>21714.285714285714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2C-4B45-B4EB-E18C24C61FBD}"/>
            </c:ext>
          </c:extLst>
        </c:ser>
        <c:ser>
          <c:idx val="4"/>
          <c:order val="4"/>
          <c:tx>
            <c:strRef>
              <c:f>GRAFIK!$G$193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GRAFIK!$G$197</c:f>
              <c:numCache>
                <c:formatCode>_(* #,##0_);_(* \(#,##0\);_(* "-"_);_(@_)</c:formatCode>
                <c:ptCount val="1"/>
                <c:pt idx="0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2C-4B45-B4EB-E18C24C61FBD}"/>
            </c:ext>
          </c:extLst>
        </c:ser>
        <c:ser>
          <c:idx val="5"/>
          <c:order val="5"/>
          <c:tx>
            <c:strRef>
              <c:f>GRAFIK!$H$193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GRAFIK!$H$197</c:f>
              <c:numCache>
                <c:formatCode>_(* #,##0_);_(* \(#,##0\);_(* "-"_);_(@_)</c:formatCode>
                <c:ptCount val="1"/>
                <c:pt idx="0">
                  <c:v>21428.571428571428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2C-4B45-B4EB-E18C24C61FBD}"/>
            </c:ext>
          </c:extLst>
        </c:ser>
        <c:ser>
          <c:idx val="6"/>
          <c:order val="6"/>
          <c:tx>
            <c:strRef>
              <c:f>GRAFIK!$I$193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GRAFIK!$I$197</c:f>
              <c:numCache>
                <c:formatCode>_(* #,##0_);_(* \(#,##0\);_(* "-"_);_(@_)</c:formatCode>
                <c:ptCount val="1"/>
                <c:pt idx="0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2C-4B45-B4EB-E18C24C61FBD}"/>
            </c:ext>
          </c:extLst>
        </c:ser>
        <c:ser>
          <c:idx val="7"/>
          <c:order val="7"/>
          <c:tx>
            <c:strRef>
              <c:f>GRAFIK!$J$193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GRAFIK!$J$197</c:f>
              <c:numCache>
                <c:formatCode>_(* #,##0_);_(* \(#,##0\);_(* "-"_);_(@_)</c:formatCode>
                <c:ptCount val="1"/>
                <c:pt idx="0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2C-4B45-B4EB-E18C24C61FBD}"/>
            </c:ext>
          </c:extLst>
        </c:ser>
        <c:ser>
          <c:idx val="8"/>
          <c:order val="8"/>
          <c:tx>
            <c:strRef>
              <c:f>GRAFIK!$K$193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GRAFIK!$K$197</c:f>
              <c:numCache>
                <c:formatCode>_(* #,##0_);_(* \(#,##0\);_(* "-"_);_(@_)</c:formatCode>
                <c:ptCount val="1"/>
                <c:pt idx="0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2C-4B45-B4EB-E18C24C61FBD}"/>
            </c:ext>
          </c:extLst>
        </c:ser>
        <c:ser>
          <c:idx val="9"/>
          <c:order val="9"/>
          <c:tx>
            <c:strRef>
              <c:f>GRAFIK!$L$193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GRAFIK!$L$197</c:f>
              <c:numCache>
                <c:formatCode>_(* #,##0_);_(* \(#,##0\);_(* "-"_);_(@_)</c:formatCode>
                <c:ptCount val="1"/>
                <c:pt idx="0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2C-4B45-B4EB-E18C24C61FBD}"/>
            </c:ext>
          </c:extLst>
        </c:ser>
        <c:ser>
          <c:idx val="10"/>
          <c:order val="10"/>
          <c:tx>
            <c:strRef>
              <c:f>GRAFIK!$M$193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GRAFIK!$M$197</c:f>
              <c:numCache>
                <c:formatCode>_(* #,##0_);_(* \(#,##0\);_(* "-"_);_(@_)</c:formatCode>
                <c:ptCount val="1"/>
                <c:pt idx="0">
                  <c:v>21428.571428571428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2C-4B45-B4EB-E18C24C61FBD}"/>
            </c:ext>
          </c:extLst>
        </c:ser>
        <c:ser>
          <c:idx val="11"/>
          <c:order val="11"/>
          <c:tx>
            <c:strRef>
              <c:f>GRAFIK!$N$193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GRAFIK!$N$197</c:f>
              <c:numCache>
                <c:formatCode>_(* #,##0_);_(* \(#,##0\);_(* "-"_);_(@_)</c:formatCode>
                <c:ptCount val="1"/>
                <c:pt idx="0">
                  <c:v>21428.571428571428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2C-4B45-B4EB-E18C24C61FBD}"/>
            </c:ext>
          </c:extLst>
        </c:ser>
        <c:ser>
          <c:idx val="12"/>
          <c:order val="12"/>
          <c:tx>
            <c:strRef>
              <c:f>GRAFIK!$O$193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GRAFIK!$O$197</c:f>
              <c:numCache>
                <c:formatCode>_(* #,##0_);_(* \(#,##0\);_(* "-"_);_(@_)</c:formatCode>
                <c:ptCount val="1"/>
                <c:pt idx="0">
                  <c:v>21714.285714285714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2C-4B45-B4EB-E18C24C61FBD}"/>
            </c:ext>
          </c:extLst>
        </c:ser>
        <c:ser>
          <c:idx val="13"/>
          <c:order val="13"/>
          <c:tx>
            <c:strRef>
              <c:f>GRAFIK!$P$193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GRAFIK!$P$197</c:f>
              <c:numCache>
                <c:formatCode>_(* #,##0_);_(* \(#,##0\);_(* "-"_);_(@_)</c:formatCode>
                <c:ptCount val="1"/>
                <c:pt idx="0">
                  <c:v>21714.285714285714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2C-4B45-B4EB-E18C24C61FBD}"/>
            </c:ext>
          </c:extLst>
        </c:ser>
        <c:ser>
          <c:idx val="14"/>
          <c:order val="14"/>
          <c:tx>
            <c:strRef>
              <c:f>GRAFIK!$Q$193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GRAFIK!$Q$197</c:f>
              <c:numCache>
                <c:formatCode>_(* #,##0_);_(* \(#,##0\);_(* "-"_);_(@_)</c:formatCode>
                <c:ptCount val="1"/>
                <c:pt idx="0">
                  <c:v>21428.571428571428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2C-4B45-B4EB-E18C24C61FBD}"/>
            </c:ext>
          </c:extLst>
        </c:ser>
        <c:ser>
          <c:idx val="15"/>
          <c:order val="15"/>
          <c:tx>
            <c:strRef>
              <c:f>GRAFIK!$R$193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GRAFIK!$R$197</c:f>
              <c:numCache>
                <c:formatCode>_(* #,##0_);_(* \(#,##0\);_(* "-"_);_(@_)</c:formatCode>
                <c:ptCount val="1"/>
                <c:pt idx="0">
                  <c:v>21428.571428571428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2C-4B45-B4EB-E18C24C61FBD}"/>
            </c:ext>
          </c:extLst>
        </c:ser>
        <c:ser>
          <c:idx val="16"/>
          <c:order val="16"/>
          <c:tx>
            <c:strRef>
              <c:f>GRAFIK!$S$193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GRAFIK!$S$197</c:f>
              <c:numCache>
                <c:formatCode>_(* #,##0_);_(* \(#,##0\);_(* "-"_);_(@_)</c:formatCode>
                <c:ptCount val="1"/>
                <c:pt idx="0">
                  <c:v>21428.571428571428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A2C-4B45-B4EB-E18C24C61FBD}"/>
            </c:ext>
          </c:extLst>
        </c:ser>
        <c:ser>
          <c:idx val="17"/>
          <c:order val="17"/>
          <c:tx>
            <c:strRef>
              <c:f>GRAFIK!$T$193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GRAFIK!$T$197</c:f>
              <c:numCache>
                <c:formatCode>_(* #,##0_);_(* \(#,##0\);_(* "-"_);_(@_)</c:formatCode>
                <c:ptCount val="1"/>
                <c:pt idx="0">
                  <c:v>21428.571428571428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A2C-4B45-B4EB-E18C24C61FBD}"/>
            </c:ext>
          </c:extLst>
        </c:ser>
        <c:ser>
          <c:idx val="18"/>
          <c:order val="18"/>
          <c:tx>
            <c:strRef>
              <c:f>GRAFIK!$U$193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GRAFIK!$U$197</c:f>
              <c:numCache>
                <c:formatCode>_(* #,##0_);_(* \(#,##0\);_(* "-"_);_(@_)</c:formatCode>
                <c:ptCount val="1"/>
                <c:pt idx="0">
                  <c:v>21428.571428571428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A2C-4B45-B4EB-E18C24C61FBD}"/>
            </c:ext>
          </c:extLst>
        </c:ser>
        <c:ser>
          <c:idx val="19"/>
          <c:order val="19"/>
          <c:tx>
            <c:strRef>
              <c:f>GRAFIK!$V$193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GRAFIK!$V$197</c:f>
              <c:numCache>
                <c:formatCode>_(* #,##0_);_(* \(#,##0\);_(* "-"_);_(@_)</c:formatCode>
                <c:ptCount val="1"/>
                <c:pt idx="0">
                  <c:v>21428.571428571428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A2C-4B45-B4EB-E18C24C61FBD}"/>
            </c:ext>
          </c:extLst>
        </c:ser>
        <c:ser>
          <c:idx val="20"/>
          <c:order val="20"/>
          <c:tx>
            <c:strRef>
              <c:f>GRAFIK!$W$193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GRAFIK!$W$197</c:f>
              <c:numCache>
                <c:formatCode>_(* #,##0_);_(* \(#,##0\);_(* "-"_);_(@_)</c:formatCode>
                <c:ptCount val="1"/>
                <c:pt idx="0">
                  <c:v>21428.571428571428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2C-4B45-B4EB-E18C24C61FBD}"/>
            </c:ext>
          </c:extLst>
        </c:ser>
        <c:ser>
          <c:idx val="21"/>
          <c:order val="21"/>
          <c:tx>
            <c:strRef>
              <c:f>GRAFIK!$X$193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GRAFIK!$X$197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A2C-4B45-B4EB-E18C24C61FBD}"/>
            </c:ext>
          </c:extLst>
        </c:ser>
        <c:ser>
          <c:idx val="22"/>
          <c:order val="22"/>
          <c:tx>
            <c:strRef>
              <c:f>GRAFIK!$Y$193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GRAFIK!$Y$197</c:f>
              <c:numCache>
                <c:formatCode>_(* #,##0_);_(* \(#,##0\);_(* "-"_);_(@_)</c:formatCode>
                <c:ptCount val="1"/>
                <c:pt idx="0">
                  <c:v>30571.428571428572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A2C-4B45-B4EB-E18C24C61FBD}"/>
            </c:ext>
          </c:extLst>
        </c:ser>
        <c:ser>
          <c:idx val="23"/>
          <c:order val="23"/>
          <c:tx>
            <c:strRef>
              <c:f>GRAFIK!$Z$193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GRAFIK!$Z$197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A2C-4B45-B4EB-E18C24C61FBD}"/>
            </c:ext>
          </c:extLst>
        </c:ser>
        <c:ser>
          <c:idx val="24"/>
          <c:order val="24"/>
          <c:tx>
            <c:strRef>
              <c:f>GRAFIK!$AA$193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GRAFIK!$AA$197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A2C-4B45-B4EB-E18C24C61FBD}"/>
            </c:ext>
          </c:extLst>
        </c:ser>
        <c:ser>
          <c:idx val="25"/>
          <c:order val="25"/>
          <c:tx>
            <c:strRef>
              <c:f>GRAFIK!$AB$193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GRAFIK!$AB$197</c:f>
              <c:numCache>
                <c:formatCode>_(* #,##0_);_(* \(#,##0\);_(* "-"_);_(@_)</c:formatCode>
                <c:ptCount val="1"/>
                <c:pt idx="0">
                  <c:v>30285.714285714286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2C-4B45-B4EB-E18C24C61FBD}"/>
            </c:ext>
          </c:extLst>
        </c:ser>
        <c:ser>
          <c:idx val="26"/>
          <c:order val="26"/>
          <c:tx>
            <c:strRef>
              <c:f>GRAFIK!$AC$193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GRAFIK!$AC$197</c:f>
              <c:numCache>
                <c:formatCode>_(* #,##0_);_(* \(#,##0\);_(* "-"_);_(@_)</c:formatCode>
                <c:ptCount val="1"/>
                <c:pt idx="0">
                  <c:v>31571.428571428572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A2C-4B45-B4EB-E18C24C61FBD}"/>
            </c:ext>
          </c:extLst>
        </c:ser>
        <c:ser>
          <c:idx val="27"/>
          <c:order val="27"/>
          <c:tx>
            <c:strRef>
              <c:f>GRAFIK!$AD$193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GRAFIK!$AD$197</c:f>
              <c:numCache>
                <c:formatCode>_(* #,##0_);_(* \(#,##0\);_(* "-"_);_(@_)</c:formatCode>
                <c:ptCount val="1"/>
                <c:pt idx="0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A2C-4B45-B4EB-E18C24C61FBD}"/>
            </c:ext>
          </c:extLst>
        </c:ser>
        <c:ser>
          <c:idx val="28"/>
          <c:order val="28"/>
          <c:tx>
            <c:strRef>
              <c:f>GRAFIK!$AE$193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GRAFIK!$AE$197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A2C-4B45-B4EB-E18C24C61FBD}"/>
            </c:ext>
          </c:extLst>
        </c:ser>
        <c:ser>
          <c:idx val="29"/>
          <c:order val="29"/>
          <c:tx>
            <c:strRef>
              <c:f>GRAFIK!$AF$193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GRAFIK!$AF$197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A2C-4B45-B4EB-E18C24C61FBD}"/>
            </c:ext>
          </c:extLst>
        </c:ser>
        <c:ser>
          <c:idx val="30"/>
          <c:order val="30"/>
          <c:tx>
            <c:strRef>
              <c:f>GRAFIK!$AG$193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GRAFIK!$AG$197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A2C-4B45-B4EB-E18C24C61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366472"/>
        <c:axId val="581401032"/>
      </c:barChart>
      <c:catAx>
        <c:axId val="58136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401032"/>
        <c:crosses val="autoZero"/>
        <c:auto val="1"/>
        <c:lblAlgn val="ctr"/>
        <c:lblOffset val="100"/>
        <c:noMultiLvlLbl val="0"/>
      </c:catAx>
      <c:valAx>
        <c:axId val="58140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6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6</xdr:row>
      <xdr:rowOff>61912</xdr:rowOff>
    </xdr:from>
    <xdr:to>
      <xdr:col>5</xdr:col>
      <xdr:colOff>66675</xdr:colOff>
      <xdr:row>20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9CBB9F-C457-E36C-AEDF-23E08B34C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133350</xdr:colOff>
      <xdr:row>6</xdr:row>
      <xdr:rowOff>71437</xdr:rowOff>
    </xdr:from>
    <xdr:to>
      <xdr:col>13</xdr:col>
      <xdr:colOff>438150</xdr:colOff>
      <xdr:row>20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36D6DC-D48E-DCD5-2668-004103358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57150</xdr:colOff>
      <xdr:row>6</xdr:row>
      <xdr:rowOff>100012</xdr:rowOff>
    </xdr:from>
    <xdr:to>
      <xdr:col>22</xdr:col>
      <xdr:colOff>495300</xdr:colOff>
      <xdr:row>20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82AC86-83ED-B54C-149E-AB3CAEDF3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466725</xdr:colOff>
      <xdr:row>26</xdr:row>
      <xdr:rowOff>109537</xdr:rowOff>
    </xdr:from>
    <xdr:to>
      <xdr:col>8</xdr:col>
      <xdr:colOff>495300</xdr:colOff>
      <xdr:row>40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36C6CE-DA31-7C70-8675-F2107D4F6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533400</xdr:colOff>
      <xdr:row>48</xdr:row>
      <xdr:rowOff>4762</xdr:rowOff>
    </xdr:from>
    <xdr:to>
      <xdr:col>8</xdr:col>
      <xdr:colOff>447675</xdr:colOff>
      <xdr:row>62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8058CD-F6BA-780D-18A2-A755D396D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466725</xdr:colOff>
      <xdr:row>77</xdr:row>
      <xdr:rowOff>128587</xdr:rowOff>
    </xdr:from>
    <xdr:to>
      <xdr:col>9</xdr:col>
      <xdr:colOff>95250</xdr:colOff>
      <xdr:row>92</xdr:row>
      <xdr:rowOff>14287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D1960A-C71A-D9CB-F08F-AAC4C95B6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542925</xdr:colOff>
      <xdr:row>98</xdr:row>
      <xdr:rowOff>109537</xdr:rowOff>
    </xdr:from>
    <xdr:to>
      <xdr:col>9</xdr:col>
      <xdr:colOff>133350</xdr:colOff>
      <xdr:row>112</xdr:row>
      <xdr:rowOff>185737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2AE28D-B178-9C8D-8689-06EF5B57A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571499</xdr:colOff>
      <xdr:row>118</xdr:row>
      <xdr:rowOff>100012</xdr:rowOff>
    </xdr:from>
    <xdr:to>
      <xdr:col>9</xdr:col>
      <xdr:colOff>152399</xdr:colOff>
      <xdr:row>132</xdr:row>
      <xdr:rowOff>176212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6B33042-F8ED-490E-A05C-22DD8C2BB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676274</xdr:colOff>
      <xdr:row>151</xdr:row>
      <xdr:rowOff>80962</xdr:rowOff>
    </xdr:from>
    <xdr:to>
      <xdr:col>9</xdr:col>
      <xdr:colOff>276224</xdr:colOff>
      <xdr:row>165</xdr:row>
      <xdr:rowOff>157162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880DEB-4243-A0CE-E9EB-524D9FA49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257174</xdr:colOff>
      <xdr:row>173</xdr:row>
      <xdr:rowOff>90487</xdr:rowOff>
    </xdr:from>
    <xdr:to>
      <xdr:col>6</xdr:col>
      <xdr:colOff>142874</xdr:colOff>
      <xdr:row>187</xdr:row>
      <xdr:rowOff>166687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AF920B-DE84-508D-DB78-70EDF70D0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123824</xdr:colOff>
      <xdr:row>173</xdr:row>
      <xdr:rowOff>100012</xdr:rowOff>
    </xdr:from>
    <xdr:to>
      <xdr:col>17</xdr:col>
      <xdr:colOff>380999</xdr:colOff>
      <xdr:row>187</xdr:row>
      <xdr:rowOff>176212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F9F28D8-A467-9E45-B2D7-7C0737DD9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504824</xdr:colOff>
      <xdr:row>173</xdr:row>
      <xdr:rowOff>157162</xdr:rowOff>
    </xdr:from>
    <xdr:to>
      <xdr:col>29</xdr:col>
      <xdr:colOff>323849</xdr:colOff>
      <xdr:row>188</xdr:row>
      <xdr:rowOff>42862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9D173BF-32EE-23B1-742E-A07C6FB7F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314325</xdr:colOff>
      <xdr:row>198</xdr:row>
      <xdr:rowOff>100012</xdr:rowOff>
    </xdr:from>
    <xdr:to>
      <xdr:col>5</xdr:col>
      <xdr:colOff>38100</xdr:colOff>
      <xdr:row>212</xdr:row>
      <xdr:rowOff>176212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128FD17-320C-B786-CB08-FFC5FE9A3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333374</xdr:colOff>
      <xdr:row>198</xdr:row>
      <xdr:rowOff>128587</xdr:rowOff>
    </xdr:from>
    <xdr:to>
      <xdr:col>13</xdr:col>
      <xdr:colOff>323849</xdr:colOff>
      <xdr:row>213</xdr:row>
      <xdr:rowOff>14287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33315EF-05CA-E005-5717-0F9FD7A47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47624</xdr:colOff>
      <xdr:row>198</xdr:row>
      <xdr:rowOff>119062</xdr:rowOff>
    </xdr:from>
    <xdr:to>
      <xdr:col>22</xdr:col>
      <xdr:colOff>304799</xdr:colOff>
      <xdr:row>213</xdr:row>
      <xdr:rowOff>4762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42BC84A-60AB-0BE1-05B0-69D32213E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304800</xdr:colOff>
      <xdr:row>198</xdr:row>
      <xdr:rowOff>128587</xdr:rowOff>
    </xdr:from>
    <xdr:to>
      <xdr:col>32</xdr:col>
      <xdr:colOff>247650</xdr:colOff>
      <xdr:row>213</xdr:row>
      <xdr:rowOff>14287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1AA1B23-83E1-7E75-E11D-B81D25770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3E34D0-396A-4A3D-8ACA-91D6E6A5496E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6EE480-B570-45BC-864B-4D80029B50E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95DC56-8999-4A23-BA17-61DC4300CF1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D3ED18E-A56E-42D8-9DBB-09D4024A775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790575</xdr:colOff>
      <xdr:row>0</xdr:row>
      <xdr:rowOff>19050</xdr:rowOff>
    </xdr:from>
    <xdr:ext cx="1647825" cy="1466850"/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C794F56F-D135-4ED8-B9A5-CAABE75B2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8DE13B-0A98-459A-BEA0-9CB890B300F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B8A2818B-8731-4A47-BA6C-88E221342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90D85E-9C51-487C-8452-22B534ACD31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C2A13EAD-3690-409F-B8A1-75FC268EC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1D897BE-5407-4798-BE6E-ADCEED5271D7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E8054DF0-D893-470F-88C5-B2F37AE3B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3C9723-F68C-41BC-B8E6-36DD47D3DD16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39526B-2547-40F3-AFC7-74F93DCE105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97A9CE-08E9-4187-A003-48A702BAE03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411BF9-A655-4645-A34C-7903B6BA970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4</xdr:row>
      <xdr:rowOff>47625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D9B50A5-8DD2-4F43-A178-7D1B243C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75FAE7-B4DF-4EA9-A8A6-63F32E2AF73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F8FCD260-5805-4606-A10A-C9B32CB1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83178A-46EC-41DF-BDF3-7142DAD618F0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DA4855AD-4A5A-4B4C-BF97-ECC7A759D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7CD6A84-237F-43EF-8D0A-F33B155C5F39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A3C186AF-A514-4B02-B9CD-6001966C1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C5B0A3-7DB4-4F9F-979F-5050A867B5A4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9E39FC-2F6F-411A-BA9C-B9A83593E96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256242-8FB6-4F5A-AA01-8691E0F025F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138F2D-3E76-4E4A-AED0-D05D661EDA6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4</xdr:row>
      <xdr:rowOff>47625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2FECDA26-2BE9-4F4D-8E80-74337591D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41F9F0-F90D-4B12-A594-3170CDD7137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13AB70A7-9535-4BDA-B345-64C147FBE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959E53F-3991-4D40-8126-D31E221D607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4CEFEFEA-78D9-428C-B58B-CFE344340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512425-3743-4558-9E0A-35ADB1A2ECD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5F2F3427-FDBF-40BC-BA91-C1B0277ED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743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7CA2B1-E157-49A1-80C7-D3ED30433030}"/>
            </a:ext>
          </a:extLst>
        </xdr:cNvPr>
        <xdr:cNvSpPr txBox="1"/>
      </xdr:nvSpPr>
      <xdr:spPr>
        <a:xfrm>
          <a:off x="3344008" y="932717"/>
          <a:ext cx="187971" cy="2743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9CB4D9-48C6-4BA0-902C-410BB05657DE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9A824D5-E11C-4151-AD84-5E32E2C566D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73A8D5F-62FD-4D80-B9BE-624F11F4897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B2AA6248-5811-4424-BE19-8116364BB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DD5C6B-0D01-46C2-BF32-772C0A5E738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49EE8698-00AA-4CCC-8141-AD2D68B7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BC7FF2-79DF-418E-858B-A9497B01439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CDCD64C-BA0C-4040-9D3F-E53C17FEF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4A5CA1C-D58A-4D6E-B854-729CE418DAB1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1DAA99B7-5026-4FA1-A519-870ABE540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349FEE-4F7E-4B4E-BA41-9905EC083841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A9C16F-C8B2-465E-B1F5-F7B6E2D703F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A46095-DE2A-4852-A06A-C6E56CB222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5F10B98-76DC-4AA9-8E55-E93CA9AEA6FF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7F83B9BD-3417-4258-897D-336B5AAF8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DF2CF9-A296-4401-8792-A1DC448010B3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01B7691-14FD-4BC7-B8FA-F0086F376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7277835-CB8E-4247-9207-B74F84155057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2FBF7AB-F7A8-48DC-A34D-467898A48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0EB7BB-AC53-454C-8243-722C3BC6C3A0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FE8990-0A4D-4291-9B14-1B12310A946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BCCBC9-13CF-4278-AC55-DE793C95F7E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FB2F970-A012-4F3E-BB06-D548C5ED768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51DCA2E-8DC7-41F9-9296-D0FF96D2E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7BBB1E0-D79E-4A3D-8D00-9A0681B30F6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8B6CB1D8-9FDA-4AAE-A0FB-0FEE4DF91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A7BABBE-2ECE-4438-8EC0-7415E9E78B0E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C4BF3514-1CED-420A-8A17-DA3D55F5F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3352E4-3AE5-4991-BF15-EB49255E8F1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A9F745-FFA5-44FD-AC99-CB0C2F9D572C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46F698-1DBD-4762-A1AF-142E2F5BF6A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CDD09-8DD6-4A12-B2F4-5654976B395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8AFCFAF-467F-44D0-BAB9-C5FA456F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F64257-3D7E-40C2-8EB7-03DA0E74E2A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0AB5CBFA-847B-4974-BF3F-32DC79D2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2A10FD-482B-4E53-835B-65C3F761F6A1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1B0D6884-AF42-4BBD-AB75-CB944C0C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6ED8F32-58D2-4814-8B4C-466BD8B7FF2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3DEB36F7-E0DC-4911-B8BB-6DFC031D4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5BCD48-2B85-4A8C-9729-869FCBED1160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D33300-D2DC-42E9-8E1C-15DDDACAC51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DB95D8-2C99-4AF7-9D83-3522F621307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D74BE0-25BD-4E45-BB8D-72FD4DE974F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33EF8245-DA2B-4184-845B-641BD4ED4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D92DDD-D99F-42A2-B581-BAF6106AC1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AD0A692-0580-4817-BFF3-051C2806C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4440BFD-5C8F-48E8-A64D-B9195CF550E9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D0CFF25-8F99-4E2C-9E7F-485E1BC87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96FB32-6D8C-4A1E-B17B-A5B6E9D4F460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650DE381-763D-429C-A6F5-67585F007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24263D-5A42-4ADD-96E2-60E196DEF165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32E497-2A9A-46BA-AF12-8AE5C43A8A7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CD8F89-DB36-4C9A-8CAC-426B0453864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4D56FA-0F68-4FF9-865F-F24D34595FC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386F14BF-3655-431A-A067-72B7BDBA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E617FC-B85D-4CF6-BA16-805EFA98012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BDC92090-9906-467E-A20A-D233664D5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EAC947-1ACC-400B-9655-1364D0B45D8A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E58EE312-5AEA-4E6A-A119-149D14AFC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8280262-CAAC-4D6F-83ED-E9C050348C8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AAB0E28D-4A2E-451A-B2B8-67D41AD0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8234BF-3549-48F1-97B9-6D11E6DED2E8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C96E06-ACE7-4EB4-8CC8-62BFB84187E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B89809-E5E5-4054-977A-9CE69239041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D0B976-E53A-4874-AE72-822CFBD482A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589D31E4-3EE9-48C4-8F54-633901BB0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BAEFA9-B979-4E0D-B231-FE9627F70DAF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5CA4EFF-D3BF-4038-8E83-F746EFD2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7797BF1-6B85-4827-A79D-3D69683EF34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73E41BC7-FDC0-4C79-AF7A-C66932305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BE7683A-D367-4C5F-BB74-CF2C3ACD068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8AAC83AA-464A-49D5-9FD1-B458B7F1F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73F19F-3736-47E4-A26F-F5A127C6A56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4D7F0A-AE84-4AD5-BD34-D374E27A916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C8905B8-AC08-4AC1-9659-0013F19E2892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707939-0E46-4CBF-A43D-4DC3E7FF168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15EE4689-4586-46A0-AC27-DE52BD3A6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A351E9-3E48-4D64-AD1E-31ABC81F018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9BDEAF9-1AFA-4719-A3D2-6C2D9CFE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3CD1BEA-92C3-4272-9E34-8A29C738109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4EAE8919-40F0-4F5F-82E6-323F6F49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71EFB6C-5232-4DE0-9C24-A1CC7016088B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423FA13B-1011-457C-BDE8-A421523E5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DF54D0-1B60-4080-8027-63B4F9656F85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D7744A-DC8F-4A0F-97E2-61B77B48752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6738C3-5A93-43BE-9955-3514741E01F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55729D-4175-429B-9670-C54120E4E3D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22CFA3D-7F83-48C9-8429-538EFF17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F26AB7-DDB4-4E05-B6B2-E78145C6B256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F0E5F23F-5F85-4A19-A50C-F560A690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2226CD-B9CE-4AE5-B8F9-9101DA265E1E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217EFD68-D129-4B98-8C10-5AF568D51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75DE31-39BD-4277-94C4-052858509197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16166C-9533-42DC-B32B-EA5FF4B4EA2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1A61B7-D59A-4A65-A50C-F2EFE5A706B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C9B6CE-FF9D-42BA-81D0-3E460AC76EF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F1D21A91-9C6B-4033-A753-F1320D613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BB997C-F6C7-44D4-9FBB-B3407F808B41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63BC6C96-1794-4B4E-9F6C-49167DE00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113128</xdr:colOff>
      <xdr:row>4</xdr:row>
      <xdr:rowOff>151667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698A2AA-5C0D-491E-93D7-637873C388B3}"/>
            </a:ext>
          </a:extLst>
        </xdr:cNvPr>
        <xdr:cNvSpPr txBox="1"/>
      </xdr:nvSpPr>
      <xdr:spPr>
        <a:xfrm>
          <a:off x="3304003" y="15899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7D5DB54B-290F-41E0-A436-3E0D693E4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FC85A4-91E4-4143-B9D9-610D36BE2E0B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A12A04-680A-406B-B3A4-BF9730CED19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27D809-9548-4F5D-8215-F7D053C9558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2E7849-7A0B-4196-ABD1-6E57BEBCA1D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F5862D77-BF9C-49EE-8C0B-42602DC7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1E3E484-C34B-4F0A-B183-1A4D5EFEA36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17967D78-F030-4B7E-9F38-E6B3A1BC2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96048C-77BF-4548-A39F-5B4C5767B13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274D3BA8-95A8-408A-BF27-8F15AC09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0CC4B60-B2BF-4D03-95D4-004E406C2D28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9556743E-3A0E-4801-B38B-F15BBA47B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4F0A4C-FEC2-40EF-927A-35A73570E18C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BC916C-5373-4821-A042-4DE3E4BA64A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8FB9A5-1489-4A43-AE36-98FAF8121AA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190AECE4-8A76-4567-93F6-C8BE4A5BE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136996-CF0A-4FAE-A755-5C61F403FB34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7" name="Picture 6" descr="Logo PD Pasar">
          <a:extLst>
            <a:ext uri="{FF2B5EF4-FFF2-40B4-BE49-F238E27FC236}">
              <a16:creationId xmlns:a16="http://schemas.microsoft.com/office/drawing/2014/main" id="{1988EBCF-EDD5-4306-853C-83BC65FDE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AEE593-CDBC-4E7D-9958-D8A7D418C90C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1A0ACA-E25C-4191-90DA-F6DE0E85218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B1D6310-8991-42A8-B653-B2BDD9FC5AC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F83F17-FBDD-414C-9E5C-6705D8E7E94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EDF6F52D-4667-4BCC-8DC9-36A0AD11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56D293-1A21-4B67-99C5-C8C3FD5277E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CBF9DE9-DB56-451C-B9A5-A019F9A1A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924862B-F7C3-46E9-89EF-BFEDEF3BBBDC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0" name="Picture 9" descr="Logo PD Pasar">
          <a:extLst>
            <a:ext uri="{FF2B5EF4-FFF2-40B4-BE49-F238E27FC236}">
              <a16:creationId xmlns:a16="http://schemas.microsoft.com/office/drawing/2014/main" id="{F9EA68CF-FA7C-4938-BDE0-4015AFBA5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72B31F-B46E-43D1-97E8-1D40CAD12C4F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97CB40-951F-45E3-A78E-D9D6A64BEB71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E6AD6D-B44F-4AE9-BF59-A72E50268A5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0DF713-5896-4510-B9F8-661F76FEE09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4D78FAB6-11FE-4BC8-B986-9B5E4A11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B3E70-7B83-4F9C-8A59-58DC1B68374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2CDCC3C-532B-41A6-B023-89E0ED4D7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03A89A6-C673-4A11-8646-B7162AF78391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0" name="Picture 9" descr="Logo PD Pasar">
          <a:extLst>
            <a:ext uri="{FF2B5EF4-FFF2-40B4-BE49-F238E27FC236}">
              <a16:creationId xmlns:a16="http://schemas.microsoft.com/office/drawing/2014/main" id="{A4FFDB7E-2463-47E7-9376-F8A82F4A4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262E0F-3BAA-4715-B67D-BD8DABD4323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74A211-0F95-45E9-BB5C-4D7508075FC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177CA62-E7C9-4F68-B39B-6548BBC6FC0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BC5193-A3A4-4216-B291-2E63DB81560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CA6B79BE-0839-4079-9ECD-EC0515B39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941CB5-92BA-44F4-B19F-645E31B9996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53AD8A0D-9EB2-4F3A-9725-9C73612A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12D4F9B-43C9-4D3F-BDA0-DCFBE7F710D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96F8606-FD0E-4C27-A412-91EC03252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6275D28-DBB5-4DA8-B13E-C388BE3C33B3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F4E095D5-F5EA-454E-8644-B4D54DEB0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2C1B9D-3999-4F0B-A9BB-E5A3AD8C1471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AF98AB-2C42-4940-BD69-7E0BAB8A09E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A70C24-79FF-49E5-8575-849C3E7DB61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76DB18-652B-4020-9EA8-4ED5CC208E1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50D4F8C3-BF8F-4503-8EC7-096788673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741F3F-EC22-4BFB-8248-ADA171EEC36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9E400E48-517E-4ABD-B616-8602270B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D8A1D3B-C0CE-43BC-B45C-B03E5874A44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20E4CC46-1CEB-4D77-8345-8F9E5E020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7CC49BB-02FD-4B5F-BF84-E0C021665D73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A52D4C75-4599-4DB5-959C-D84AC452F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259891-D17E-446F-9F7A-8C6F378CB2FC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C6BD16-2EC0-48A9-932A-EF47F1DF64C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DF0AD0-4ECD-443E-81FF-28838234D47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D36EE5-3276-4426-A752-C0D72E5B02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9F7A2F43-2870-486D-BEF3-15B32A9D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EAAC44-B847-444A-A8A3-998A68A94F4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411D861-8DB8-48E6-9EA7-EDDEC6D5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15FB91-B443-4151-8F23-B647558CA8BD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006B33D9-C98F-4B6F-9881-3EE47E1F5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E94B41-05E6-4287-8B3D-0EC572D8A498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38B8E6EF-1A28-4D79-BEC6-2DC0A03BF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DCA80E-1B44-47D6-A740-093DDA172C9B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1128D6-E842-4774-BA98-E50657A815F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1646DD-7D15-47AE-BCBE-573D6BA87E5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4</xdr:row>
      <xdr:rowOff>47625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27772979-C29A-406D-B73D-75A3630C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7A84A7-5BB7-43CC-97AD-82435A90CEE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7" name="Picture 2" descr="Logo PD Pasar">
          <a:extLst>
            <a:ext uri="{FF2B5EF4-FFF2-40B4-BE49-F238E27FC236}">
              <a16:creationId xmlns:a16="http://schemas.microsoft.com/office/drawing/2014/main" id="{215036E4-9015-49E2-B902-EF523A5FC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987885F-D33D-4B0F-AB76-FB2A645F459D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9" name="Picture 2" descr="Logo PD Pasar">
          <a:extLst>
            <a:ext uri="{FF2B5EF4-FFF2-40B4-BE49-F238E27FC236}">
              <a16:creationId xmlns:a16="http://schemas.microsoft.com/office/drawing/2014/main" id="{47388F03-EDF7-443A-A882-45455363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9EA5A1-53C1-469C-A171-9D4505DDCD4A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1" name="Picture 10" descr="Logo PD Pasar">
          <a:extLst>
            <a:ext uri="{FF2B5EF4-FFF2-40B4-BE49-F238E27FC236}">
              <a16:creationId xmlns:a16="http://schemas.microsoft.com/office/drawing/2014/main" id="{E4DF237C-2012-49CC-B826-8EC602A86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8E6EEF-ADB7-4F54-B45A-AF180EA7F7EE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5E995C-6E19-4D70-8FC1-753A4C62D53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BD5A27-1438-44C0-98E2-CD210472ABB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4</xdr:row>
      <xdr:rowOff>47625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3A1C2275-6269-4A8D-9B7C-6C53EA662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335E18E-A0B2-468D-8FB5-503204DCE19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7" name="Picture 2" descr="Logo PD Pasar">
          <a:extLst>
            <a:ext uri="{FF2B5EF4-FFF2-40B4-BE49-F238E27FC236}">
              <a16:creationId xmlns:a16="http://schemas.microsoft.com/office/drawing/2014/main" id="{D42E2BB5-B6A6-4A19-90CE-EE8BF395E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D504F7-7E9D-4CB2-B192-069D89EEFFBB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9" name="Picture 2" descr="Logo PD Pasar">
          <a:extLst>
            <a:ext uri="{FF2B5EF4-FFF2-40B4-BE49-F238E27FC236}">
              <a16:creationId xmlns:a16="http://schemas.microsoft.com/office/drawing/2014/main" id="{EE13FFAF-D4E5-4118-A160-609C3630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21C559-5A10-4E51-8133-D3B2776B7BBD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1" name="Picture 10" descr="Logo PD Pasar">
          <a:extLst>
            <a:ext uri="{FF2B5EF4-FFF2-40B4-BE49-F238E27FC236}">
              <a16:creationId xmlns:a16="http://schemas.microsoft.com/office/drawing/2014/main" id="{24ED5291-313D-4EDD-B696-2FC6AA998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929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044D2A-4364-4285-983E-047BA7F8C1E6}"/>
            </a:ext>
          </a:extLst>
        </xdr:cNvPr>
        <xdr:cNvSpPr txBox="1"/>
      </xdr:nvSpPr>
      <xdr:spPr>
        <a:xfrm>
          <a:off x="3344008" y="1066067"/>
          <a:ext cx="187971" cy="2929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4FBFBD-CD76-473B-AE7C-0D04ED07B31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F5B2A7-7EFE-4640-84A8-749308F0852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4</xdr:row>
      <xdr:rowOff>47625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D5B365BB-0352-471A-9294-D5B749BCD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F1598E-B70D-45E3-B9DB-924A8E92A52E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7" name="Picture 2" descr="Logo PD Pasar">
          <a:extLst>
            <a:ext uri="{FF2B5EF4-FFF2-40B4-BE49-F238E27FC236}">
              <a16:creationId xmlns:a16="http://schemas.microsoft.com/office/drawing/2014/main" id="{05F4263F-3577-42AC-9A9E-C9B7FABCD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EB5F147-13BF-4ACF-A9B6-77A741C2259E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9" name="Picture 2" descr="Logo PD Pasar">
          <a:extLst>
            <a:ext uri="{FF2B5EF4-FFF2-40B4-BE49-F238E27FC236}">
              <a16:creationId xmlns:a16="http://schemas.microsoft.com/office/drawing/2014/main" id="{230C5E9C-8EDB-4490-B265-EEC71D6C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7CD879B-6D1A-4E18-BE19-3FD268101CE7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1" name="Picture 10" descr="Logo PD Pasar">
          <a:extLst>
            <a:ext uri="{FF2B5EF4-FFF2-40B4-BE49-F238E27FC236}">
              <a16:creationId xmlns:a16="http://schemas.microsoft.com/office/drawing/2014/main" id="{CC2CC566-E4A2-49B4-BAA6-251C32431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58EB5B-AEEC-4D46-9F0E-A3D0D93C95F3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4CB7DE-CE8F-4537-8BE8-8F563692A8B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A6382B9-B114-447A-A3A2-9E200B04C36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C678A6-4590-4CE4-8484-DFFF19F959E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9442BF39-C37E-4A1C-BB47-86F50091B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AF3B77-24A8-4CC0-AF8F-1C9C13D3B9F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D9C14A81-9F7D-4D5E-AFF6-4E70DA93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17E90C6-DD90-461F-97B2-6978FDCC5FC6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6FA36B41-1137-41D5-B6D2-6B9894C1D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8A72D98-73A9-41C1-A23E-3C17BCE4A045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2B55B8A7-4689-431F-832B-61E2EA86A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D3E2AF-46B0-41AC-AEA6-AFD18C057F3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5E217D-A013-4445-8C63-6D3FAFACA79F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D8A6F7-A98F-4547-AA7C-A43BEB05606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AC9065-7F06-4B89-9D7C-8D448890273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F7DC7720-5E2D-4E34-A4A1-3DA910B68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0E3678-0E2F-41EB-B276-8C51394BF2A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97BFB827-9588-491A-BAF5-B7E978630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AE4EA7D-0E68-42A0-BE4C-CEB0383F4507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FB69A63F-50D8-497B-815E-725966C9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CF94BC-E6E7-4FA9-825C-BF7ED319D48D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6FA0FB03-ECE0-4B23-8C20-19971061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E539C5-A5FB-462D-A470-1F251576B8C3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073130-B6B3-445B-9B0B-5538505B206E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F2540C-1171-4D3D-A589-DAF9714FD0E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730964-4C24-4C61-969A-956E76B6268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AD70E83F-5366-4583-89E8-C1F011AE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67C6FAD-D721-43BC-9320-7A329E9C8E8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317D4E10-A626-42A2-A43E-8237D5CAA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FF64FA-CD44-45EA-9A7F-10D1C7C4FB99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0176D152-5C74-42F7-94B2-ED5BF1D78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0225B57-5330-40E0-A739-465645826143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9A127A8C-F4CC-4A8F-B796-FAFF5848B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C366F3-D1A8-4A5A-A0D1-91FBD8E18FAB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2F3C8D-987F-4559-A6CA-934F698F06F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2ABF4A-9B80-4D2C-8996-18B85C9CB76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4119C0-CC48-4656-8B24-8BB3BF828B52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A6A5241A-CB4A-406E-9E97-D5981A320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FB1E46-4D89-4B15-813A-A6F82C402CF5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3BEFB6C2-A484-454C-A44A-DF3C9F555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93CC74-B5FF-4F39-AAC3-494A75D3E98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EE17AA6C-2F21-49EC-8B76-5DC8764A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DBCF520-4792-4358-A00B-81474239EC63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FB6A8E99-3BDF-443C-A10F-1B279A758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F4F4B9-7F34-4884-9838-66952C6A607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50595D-ADE4-4C32-A45C-4AC5222E88C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182099-7240-4A2A-95E4-4857F79A2E7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C0BB82-4976-4C8B-BD36-014E014418F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754A52D1-A832-4363-8336-25A4EAD98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24B1EF4-5607-4401-AF76-E538073DF9D0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DC4CDF55-04C4-4683-95BB-73F46687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E4178CB-EE4B-46A3-827C-C4D989121DD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BE8BE5D5-2BEE-46D7-929B-CCB45D008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56AE57A-5C7B-4853-B077-42D7B60703C0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10</xdr:col>
      <xdr:colOff>428625</xdr:colOff>
      <xdr:row>5</xdr:row>
      <xdr:rowOff>28575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C7E42DA5-815B-4BE0-BA73-25C67F31D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25146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3AFA-D7FB-42D2-88E0-704FBCF2DCA2}">
  <dimension ref="A1:AH85"/>
  <sheetViews>
    <sheetView tabSelected="1" topLeftCell="Q59" zoomScaleNormal="100" workbookViewId="0">
      <selection activeCell="B59" sqref="A59:XFD59"/>
    </sheetView>
  </sheetViews>
  <sheetFormatPr defaultRowHeight="15" x14ac:dyDescent="0.25"/>
  <cols>
    <col min="1" max="1" width="3.375" style="2" customWidth="1"/>
    <col min="2" max="2" width="32.25" style="2" customWidth="1"/>
    <col min="3" max="3" width="13" style="2" customWidth="1"/>
    <col min="4" max="16" width="9.125" style="2"/>
    <col min="17" max="31" width="8.875" style="2" customWidth="1"/>
    <col min="32" max="33" width="10.25" style="2" customWidth="1"/>
    <col min="34" max="35" width="8.125" style="2" customWidth="1"/>
    <col min="36" max="251" width="9.125" style="2"/>
    <col min="252" max="252" width="3.375" style="2" customWidth="1"/>
    <col min="253" max="253" width="32.25" style="2" customWidth="1"/>
    <col min="254" max="254" width="13" style="2" customWidth="1"/>
    <col min="255" max="261" width="9.625" style="2" customWidth="1"/>
    <col min="262" max="263" width="11.375" style="2" customWidth="1"/>
    <col min="264" max="265" width="9.125" style="2"/>
    <col min="266" max="266" width="18.375" style="2" customWidth="1"/>
    <col min="267" max="507" width="9.125" style="2"/>
    <col min="508" max="508" width="3.375" style="2" customWidth="1"/>
    <col min="509" max="509" width="32.25" style="2" customWidth="1"/>
    <col min="510" max="510" width="13" style="2" customWidth="1"/>
    <col min="511" max="517" width="9.625" style="2" customWidth="1"/>
    <col min="518" max="519" width="11.375" style="2" customWidth="1"/>
    <col min="520" max="521" width="9.125" style="2"/>
    <col min="522" max="522" width="18.375" style="2" customWidth="1"/>
    <col min="523" max="763" width="9.125" style="2"/>
    <col min="764" max="764" width="3.375" style="2" customWidth="1"/>
    <col min="765" max="765" width="32.25" style="2" customWidth="1"/>
    <col min="766" max="766" width="13" style="2" customWidth="1"/>
    <col min="767" max="773" width="9.625" style="2" customWidth="1"/>
    <col min="774" max="775" width="11.375" style="2" customWidth="1"/>
    <col min="776" max="777" width="9.125" style="2"/>
    <col min="778" max="778" width="18.375" style="2" customWidth="1"/>
    <col min="779" max="1019" width="9.125" style="2"/>
    <col min="1020" max="1020" width="3.375" style="2" customWidth="1"/>
    <col min="1021" max="1021" width="32.25" style="2" customWidth="1"/>
    <col min="1022" max="1022" width="13" style="2" customWidth="1"/>
    <col min="1023" max="1029" width="9.625" style="2" customWidth="1"/>
    <col min="1030" max="1031" width="11.375" style="2" customWidth="1"/>
    <col min="1032" max="1033" width="9.125" style="2"/>
    <col min="1034" max="1034" width="18.375" style="2" customWidth="1"/>
    <col min="1035" max="1275" width="9.125" style="2"/>
    <col min="1276" max="1276" width="3.375" style="2" customWidth="1"/>
    <col min="1277" max="1277" width="32.25" style="2" customWidth="1"/>
    <col min="1278" max="1278" width="13" style="2" customWidth="1"/>
    <col min="1279" max="1285" width="9.625" style="2" customWidth="1"/>
    <col min="1286" max="1287" width="11.375" style="2" customWidth="1"/>
    <col min="1288" max="1289" width="9.125" style="2"/>
    <col min="1290" max="1290" width="18.375" style="2" customWidth="1"/>
    <col min="1291" max="1531" width="9.125" style="2"/>
    <col min="1532" max="1532" width="3.375" style="2" customWidth="1"/>
    <col min="1533" max="1533" width="32.25" style="2" customWidth="1"/>
    <col min="1534" max="1534" width="13" style="2" customWidth="1"/>
    <col min="1535" max="1541" width="9.625" style="2" customWidth="1"/>
    <col min="1542" max="1543" width="11.375" style="2" customWidth="1"/>
    <col min="1544" max="1545" width="9.125" style="2"/>
    <col min="1546" max="1546" width="18.375" style="2" customWidth="1"/>
    <col min="1547" max="1787" width="9.125" style="2"/>
    <col min="1788" max="1788" width="3.375" style="2" customWidth="1"/>
    <col min="1789" max="1789" width="32.25" style="2" customWidth="1"/>
    <col min="1790" max="1790" width="13" style="2" customWidth="1"/>
    <col min="1791" max="1797" width="9.625" style="2" customWidth="1"/>
    <col min="1798" max="1799" width="11.375" style="2" customWidth="1"/>
    <col min="1800" max="1801" width="9.125" style="2"/>
    <col min="1802" max="1802" width="18.375" style="2" customWidth="1"/>
    <col min="1803" max="2043" width="9.125" style="2"/>
    <col min="2044" max="2044" width="3.375" style="2" customWidth="1"/>
    <col min="2045" max="2045" width="32.25" style="2" customWidth="1"/>
    <col min="2046" max="2046" width="13" style="2" customWidth="1"/>
    <col min="2047" max="2053" width="9.625" style="2" customWidth="1"/>
    <col min="2054" max="2055" width="11.375" style="2" customWidth="1"/>
    <col min="2056" max="2057" width="9.125" style="2"/>
    <col min="2058" max="2058" width="18.375" style="2" customWidth="1"/>
    <col min="2059" max="2299" width="9.125" style="2"/>
    <col min="2300" max="2300" width="3.375" style="2" customWidth="1"/>
    <col min="2301" max="2301" width="32.25" style="2" customWidth="1"/>
    <col min="2302" max="2302" width="13" style="2" customWidth="1"/>
    <col min="2303" max="2309" width="9.625" style="2" customWidth="1"/>
    <col min="2310" max="2311" width="11.375" style="2" customWidth="1"/>
    <col min="2312" max="2313" width="9.125" style="2"/>
    <col min="2314" max="2314" width="18.375" style="2" customWidth="1"/>
    <col min="2315" max="2555" width="9.125" style="2"/>
    <col min="2556" max="2556" width="3.375" style="2" customWidth="1"/>
    <col min="2557" max="2557" width="32.25" style="2" customWidth="1"/>
    <col min="2558" max="2558" width="13" style="2" customWidth="1"/>
    <col min="2559" max="2565" width="9.625" style="2" customWidth="1"/>
    <col min="2566" max="2567" width="11.375" style="2" customWidth="1"/>
    <col min="2568" max="2569" width="9.125" style="2"/>
    <col min="2570" max="2570" width="18.375" style="2" customWidth="1"/>
    <col min="2571" max="2811" width="9.125" style="2"/>
    <col min="2812" max="2812" width="3.375" style="2" customWidth="1"/>
    <col min="2813" max="2813" width="32.25" style="2" customWidth="1"/>
    <col min="2814" max="2814" width="13" style="2" customWidth="1"/>
    <col min="2815" max="2821" width="9.625" style="2" customWidth="1"/>
    <col min="2822" max="2823" width="11.375" style="2" customWidth="1"/>
    <col min="2824" max="2825" width="9.125" style="2"/>
    <col min="2826" max="2826" width="18.375" style="2" customWidth="1"/>
    <col min="2827" max="3067" width="9.125" style="2"/>
    <col min="3068" max="3068" width="3.375" style="2" customWidth="1"/>
    <col min="3069" max="3069" width="32.25" style="2" customWidth="1"/>
    <col min="3070" max="3070" width="13" style="2" customWidth="1"/>
    <col min="3071" max="3077" width="9.625" style="2" customWidth="1"/>
    <col min="3078" max="3079" width="11.375" style="2" customWidth="1"/>
    <col min="3080" max="3081" width="9.125" style="2"/>
    <col min="3082" max="3082" width="18.375" style="2" customWidth="1"/>
    <col min="3083" max="3323" width="9.125" style="2"/>
    <col min="3324" max="3324" width="3.375" style="2" customWidth="1"/>
    <col min="3325" max="3325" width="32.25" style="2" customWidth="1"/>
    <col min="3326" max="3326" width="13" style="2" customWidth="1"/>
    <col min="3327" max="3333" width="9.625" style="2" customWidth="1"/>
    <col min="3334" max="3335" width="11.375" style="2" customWidth="1"/>
    <col min="3336" max="3337" width="9.125" style="2"/>
    <col min="3338" max="3338" width="18.375" style="2" customWidth="1"/>
    <col min="3339" max="3579" width="9.125" style="2"/>
    <col min="3580" max="3580" width="3.375" style="2" customWidth="1"/>
    <col min="3581" max="3581" width="32.25" style="2" customWidth="1"/>
    <col min="3582" max="3582" width="13" style="2" customWidth="1"/>
    <col min="3583" max="3589" width="9.625" style="2" customWidth="1"/>
    <col min="3590" max="3591" width="11.375" style="2" customWidth="1"/>
    <col min="3592" max="3593" width="9.125" style="2"/>
    <col min="3594" max="3594" width="18.375" style="2" customWidth="1"/>
    <col min="3595" max="3835" width="9.125" style="2"/>
    <col min="3836" max="3836" width="3.375" style="2" customWidth="1"/>
    <col min="3837" max="3837" width="32.25" style="2" customWidth="1"/>
    <col min="3838" max="3838" width="13" style="2" customWidth="1"/>
    <col min="3839" max="3845" width="9.625" style="2" customWidth="1"/>
    <col min="3846" max="3847" width="11.375" style="2" customWidth="1"/>
    <col min="3848" max="3849" width="9.125" style="2"/>
    <col min="3850" max="3850" width="18.375" style="2" customWidth="1"/>
    <col min="3851" max="4091" width="9.125" style="2"/>
    <col min="4092" max="4092" width="3.375" style="2" customWidth="1"/>
    <col min="4093" max="4093" width="32.25" style="2" customWidth="1"/>
    <col min="4094" max="4094" width="13" style="2" customWidth="1"/>
    <col min="4095" max="4101" width="9.625" style="2" customWidth="1"/>
    <col min="4102" max="4103" width="11.375" style="2" customWidth="1"/>
    <col min="4104" max="4105" width="9.125" style="2"/>
    <col min="4106" max="4106" width="18.375" style="2" customWidth="1"/>
    <col min="4107" max="4347" width="9.125" style="2"/>
    <col min="4348" max="4348" width="3.375" style="2" customWidth="1"/>
    <col min="4349" max="4349" width="32.25" style="2" customWidth="1"/>
    <col min="4350" max="4350" width="13" style="2" customWidth="1"/>
    <col min="4351" max="4357" width="9.625" style="2" customWidth="1"/>
    <col min="4358" max="4359" width="11.375" style="2" customWidth="1"/>
    <col min="4360" max="4361" width="9.125" style="2"/>
    <col min="4362" max="4362" width="18.375" style="2" customWidth="1"/>
    <col min="4363" max="4603" width="9.125" style="2"/>
    <col min="4604" max="4604" width="3.375" style="2" customWidth="1"/>
    <col min="4605" max="4605" width="32.25" style="2" customWidth="1"/>
    <col min="4606" max="4606" width="13" style="2" customWidth="1"/>
    <col min="4607" max="4613" width="9.625" style="2" customWidth="1"/>
    <col min="4614" max="4615" width="11.375" style="2" customWidth="1"/>
    <col min="4616" max="4617" width="9.125" style="2"/>
    <col min="4618" max="4618" width="18.375" style="2" customWidth="1"/>
    <col min="4619" max="4859" width="9.125" style="2"/>
    <col min="4860" max="4860" width="3.375" style="2" customWidth="1"/>
    <col min="4861" max="4861" width="32.25" style="2" customWidth="1"/>
    <col min="4862" max="4862" width="13" style="2" customWidth="1"/>
    <col min="4863" max="4869" width="9.625" style="2" customWidth="1"/>
    <col min="4870" max="4871" width="11.375" style="2" customWidth="1"/>
    <col min="4872" max="4873" width="9.125" style="2"/>
    <col min="4874" max="4874" width="18.375" style="2" customWidth="1"/>
    <col min="4875" max="5115" width="9.125" style="2"/>
    <col min="5116" max="5116" width="3.375" style="2" customWidth="1"/>
    <col min="5117" max="5117" width="32.25" style="2" customWidth="1"/>
    <col min="5118" max="5118" width="13" style="2" customWidth="1"/>
    <col min="5119" max="5125" width="9.625" style="2" customWidth="1"/>
    <col min="5126" max="5127" width="11.375" style="2" customWidth="1"/>
    <col min="5128" max="5129" width="9.125" style="2"/>
    <col min="5130" max="5130" width="18.375" style="2" customWidth="1"/>
    <col min="5131" max="5371" width="9.125" style="2"/>
    <col min="5372" max="5372" width="3.375" style="2" customWidth="1"/>
    <col min="5373" max="5373" width="32.25" style="2" customWidth="1"/>
    <col min="5374" max="5374" width="13" style="2" customWidth="1"/>
    <col min="5375" max="5381" width="9.625" style="2" customWidth="1"/>
    <col min="5382" max="5383" width="11.375" style="2" customWidth="1"/>
    <col min="5384" max="5385" width="9.125" style="2"/>
    <col min="5386" max="5386" width="18.375" style="2" customWidth="1"/>
    <col min="5387" max="5627" width="9.125" style="2"/>
    <col min="5628" max="5628" width="3.375" style="2" customWidth="1"/>
    <col min="5629" max="5629" width="32.25" style="2" customWidth="1"/>
    <col min="5630" max="5630" width="13" style="2" customWidth="1"/>
    <col min="5631" max="5637" width="9.625" style="2" customWidth="1"/>
    <col min="5638" max="5639" width="11.375" style="2" customWidth="1"/>
    <col min="5640" max="5641" width="9.125" style="2"/>
    <col min="5642" max="5642" width="18.375" style="2" customWidth="1"/>
    <col min="5643" max="5883" width="9.125" style="2"/>
    <col min="5884" max="5884" width="3.375" style="2" customWidth="1"/>
    <col min="5885" max="5885" width="32.25" style="2" customWidth="1"/>
    <col min="5886" max="5886" width="13" style="2" customWidth="1"/>
    <col min="5887" max="5893" width="9.625" style="2" customWidth="1"/>
    <col min="5894" max="5895" width="11.375" style="2" customWidth="1"/>
    <col min="5896" max="5897" width="9.125" style="2"/>
    <col min="5898" max="5898" width="18.375" style="2" customWidth="1"/>
    <col min="5899" max="6139" width="9.125" style="2"/>
    <col min="6140" max="6140" width="3.375" style="2" customWidth="1"/>
    <col min="6141" max="6141" width="32.25" style="2" customWidth="1"/>
    <col min="6142" max="6142" width="13" style="2" customWidth="1"/>
    <col min="6143" max="6149" width="9.625" style="2" customWidth="1"/>
    <col min="6150" max="6151" width="11.375" style="2" customWidth="1"/>
    <col min="6152" max="6153" width="9.125" style="2"/>
    <col min="6154" max="6154" width="18.375" style="2" customWidth="1"/>
    <col min="6155" max="6395" width="9.125" style="2"/>
    <col min="6396" max="6396" width="3.375" style="2" customWidth="1"/>
    <col min="6397" max="6397" width="32.25" style="2" customWidth="1"/>
    <col min="6398" max="6398" width="13" style="2" customWidth="1"/>
    <col min="6399" max="6405" width="9.625" style="2" customWidth="1"/>
    <col min="6406" max="6407" width="11.375" style="2" customWidth="1"/>
    <col min="6408" max="6409" width="9.125" style="2"/>
    <col min="6410" max="6410" width="18.375" style="2" customWidth="1"/>
    <col min="6411" max="6651" width="9.125" style="2"/>
    <col min="6652" max="6652" width="3.375" style="2" customWidth="1"/>
    <col min="6653" max="6653" width="32.25" style="2" customWidth="1"/>
    <col min="6654" max="6654" width="13" style="2" customWidth="1"/>
    <col min="6655" max="6661" width="9.625" style="2" customWidth="1"/>
    <col min="6662" max="6663" width="11.375" style="2" customWidth="1"/>
    <col min="6664" max="6665" width="9.125" style="2"/>
    <col min="6666" max="6666" width="18.375" style="2" customWidth="1"/>
    <col min="6667" max="6907" width="9.125" style="2"/>
    <col min="6908" max="6908" width="3.375" style="2" customWidth="1"/>
    <col min="6909" max="6909" width="32.25" style="2" customWidth="1"/>
    <col min="6910" max="6910" width="13" style="2" customWidth="1"/>
    <col min="6911" max="6917" width="9.625" style="2" customWidth="1"/>
    <col min="6918" max="6919" width="11.375" style="2" customWidth="1"/>
    <col min="6920" max="6921" width="9.125" style="2"/>
    <col min="6922" max="6922" width="18.375" style="2" customWidth="1"/>
    <col min="6923" max="7163" width="9.125" style="2"/>
    <col min="7164" max="7164" width="3.375" style="2" customWidth="1"/>
    <col min="7165" max="7165" width="32.25" style="2" customWidth="1"/>
    <col min="7166" max="7166" width="13" style="2" customWidth="1"/>
    <col min="7167" max="7173" width="9.625" style="2" customWidth="1"/>
    <col min="7174" max="7175" width="11.375" style="2" customWidth="1"/>
    <col min="7176" max="7177" width="9.125" style="2"/>
    <col min="7178" max="7178" width="18.375" style="2" customWidth="1"/>
    <col min="7179" max="7419" width="9.125" style="2"/>
    <col min="7420" max="7420" width="3.375" style="2" customWidth="1"/>
    <col min="7421" max="7421" width="32.25" style="2" customWidth="1"/>
    <col min="7422" max="7422" width="13" style="2" customWidth="1"/>
    <col min="7423" max="7429" width="9.625" style="2" customWidth="1"/>
    <col min="7430" max="7431" width="11.375" style="2" customWidth="1"/>
    <col min="7432" max="7433" width="9.125" style="2"/>
    <col min="7434" max="7434" width="18.375" style="2" customWidth="1"/>
    <col min="7435" max="7675" width="9.125" style="2"/>
    <col min="7676" max="7676" width="3.375" style="2" customWidth="1"/>
    <col min="7677" max="7677" width="32.25" style="2" customWidth="1"/>
    <col min="7678" max="7678" width="13" style="2" customWidth="1"/>
    <col min="7679" max="7685" width="9.625" style="2" customWidth="1"/>
    <col min="7686" max="7687" width="11.375" style="2" customWidth="1"/>
    <col min="7688" max="7689" width="9.125" style="2"/>
    <col min="7690" max="7690" width="18.375" style="2" customWidth="1"/>
    <col min="7691" max="7931" width="9.125" style="2"/>
    <col min="7932" max="7932" width="3.375" style="2" customWidth="1"/>
    <col min="7933" max="7933" width="32.25" style="2" customWidth="1"/>
    <col min="7934" max="7934" width="13" style="2" customWidth="1"/>
    <col min="7935" max="7941" width="9.625" style="2" customWidth="1"/>
    <col min="7942" max="7943" width="11.375" style="2" customWidth="1"/>
    <col min="7944" max="7945" width="9.125" style="2"/>
    <col min="7946" max="7946" width="18.375" style="2" customWidth="1"/>
    <col min="7947" max="8187" width="9.125" style="2"/>
    <col min="8188" max="8188" width="3.375" style="2" customWidth="1"/>
    <col min="8189" max="8189" width="32.25" style="2" customWidth="1"/>
    <col min="8190" max="8190" width="13" style="2" customWidth="1"/>
    <col min="8191" max="8197" width="9.625" style="2" customWidth="1"/>
    <col min="8198" max="8199" width="11.375" style="2" customWidth="1"/>
    <col min="8200" max="8201" width="9.125" style="2"/>
    <col min="8202" max="8202" width="18.375" style="2" customWidth="1"/>
    <col min="8203" max="8443" width="9.125" style="2"/>
    <col min="8444" max="8444" width="3.375" style="2" customWidth="1"/>
    <col min="8445" max="8445" width="32.25" style="2" customWidth="1"/>
    <col min="8446" max="8446" width="13" style="2" customWidth="1"/>
    <col min="8447" max="8453" width="9.625" style="2" customWidth="1"/>
    <col min="8454" max="8455" width="11.375" style="2" customWidth="1"/>
    <col min="8456" max="8457" width="9.125" style="2"/>
    <col min="8458" max="8458" width="18.375" style="2" customWidth="1"/>
    <col min="8459" max="8699" width="9.125" style="2"/>
    <col min="8700" max="8700" width="3.375" style="2" customWidth="1"/>
    <col min="8701" max="8701" width="32.25" style="2" customWidth="1"/>
    <col min="8702" max="8702" width="13" style="2" customWidth="1"/>
    <col min="8703" max="8709" width="9.625" style="2" customWidth="1"/>
    <col min="8710" max="8711" width="11.375" style="2" customWidth="1"/>
    <col min="8712" max="8713" width="9.125" style="2"/>
    <col min="8714" max="8714" width="18.375" style="2" customWidth="1"/>
    <col min="8715" max="8955" width="9.125" style="2"/>
    <col min="8956" max="8956" width="3.375" style="2" customWidth="1"/>
    <col min="8957" max="8957" width="32.25" style="2" customWidth="1"/>
    <col min="8958" max="8958" width="13" style="2" customWidth="1"/>
    <col min="8959" max="8965" width="9.625" style="2" customWidth="1"/>
    <col min="8966" max="8967" width="11.375" style="2" customWidth="1"/>
    <col min="8968" max="8969" width="9.125" style="2"/>
    <col min="8970" max="8970" width="18.375" style="2" customWidth="1"/>
    <col min="8971" max="9211" width="9.125" style="2"/>
    <col min="9212" max="9212" width="3.375" style="2" customWidth="1"/>
    <col min="9213" max="9213" width="32.25" style="2" customWidth="1"/>
    <col min="9214" max="9214" width="13" style="2" customWidth="1"/>
    <col min="9215" max="9221" width="9.625" style="2" customWidth="1"/>
    <col min="9222" max="9223" width="11.375" style="2" customWidth="1"/>
    <col min="9224" max="9225" width="9.125" style="2"/>
    <col min="9226" max="9226" width="18.375" style="2" customWidth="1"/>
    <col min="9227" max="9467" width="9.125" style="2"/>
    <col min="9468" max="9468" width="3.375" style="2" customWidth="1"/>
    <col min="9469" max="9469" width="32.25" style="2" customWidth="1"/>
    <col min="9470" max="9470" width="13" style="2" customWidth="1"/>
    <col min="9471" max="9477" width="9.625" style="2" customWidth="1"/>
    <col min="9478" max="9479" width="11.375" style="2" customWidth="1"/>
    <col min="9480" max="9481" width="9.125" style="2"/>
    <col min="9482" max="9482" width="18.375" style="2" customWidth="1"/>
    <col min="9483" max="9723" width="9.125" style="2"/>
    <col min="9724" max="9724" width="3.375" style="2" customWidth="1"/>
    <col min="9725" max="9725" width="32.25" style="2" customWidth="1"/>
    <col min="9726" max="9726" width="13" style="2" customWidth="1"/>
    <col min="9727" max="9733" width="9.625" style="2" customWidth="1"/>
    <col min="9734" max="9735" width="11.375" style="2" customWidth="1"/>
    <col min="9736" max="9737" width="9.125" style="2"/>
    <col min="9738" max="9738" width="18.375" style="2" customWidth="1"/>
    <col min="9739" max="9979" width="9.125" style="2"/>
    <col min="9980" max="9980" width="3.375" style="2" customWidth="1"/>
    <col min="9981" max="9981" width="32.25" style="2" customWidth="1"/>
    <col min="9982" max="9982" width="13" style="2" customWidth="1"/>
    <col min="9983" max="9989" width="9.625" style="2" customWidth="1"/>
    <col min="9990" max="9991" width="11.375" style="2" customWidth="1"/>
    <col min="9992" max="9993" width="9.125" style="2"/>
    <col min="9994" max="9994" width="18.375" style="2" customWidth="1"/>
    <col min="9995" max="10235" width="9.125" style="2"/>
    <col min="10236" max="10236" width="3.375" style="2" customWidth="1"/>
    <col min="10237" max="10237" width="32.25" style="2" customWidth="1"/>
    <col min="10238" max="10238" width="13" style="2" customWidth="1"/>
    <col min="10239" max="10245" width="9.625" style="2" customWidth="1"/>
    <col min="10246" max="10247" width="11.375" style="2" customWidth="1"/>
    <col min="10248" max="10249" width="9.125" style="2"/>
    <col min="10250" max="10250" width="18.375" style="2" customWidth="1"/>
    <col min="10251" max="10491" width="9.125" style="2"/>
    <col min="10492" max="10492" width="3.375" style="2" customWidth="1"/>
    <col min="10493" max="10493" width="32.25" style="2" customWidth="1"/>
    <col min="10494" max="10494" width="13" style="2" customWidth="1"/>
    <col min="10495" max="10501" width="9.625" style="2" customWidth="1"/>
    <col min="10502" max="10503" width="11.375" style="2" customWidth="1"/>
    <col min="10504" max="10505" width="9.125" style="2"/>
    <col min="10506" max="10506" width="18.375" style="2" customWidth="1"/>
    <col min="10507" max="10747" width="9.125" style="2"/>
    <col min="10748" max="10748" width="3.375" style="2" customWidth="1"/>
    <col min="10749" max="10749" width="32.25" style="2" customWidth="1"/>
    <col min="10750" max="10750" width="13" style="2" customWidth="1"/>
    <col min="10751" max="10757" width="9.625" style="2" customWidth="1"/>
    <col min="10758" max="10759" width="11.375" style="2" customWidth="1"/>
    <col min="10760" max="10761" width="9.125" style="2"/>
    <col min="10762" max="10762" width="18.375" style="2" customWidth="1"/>
    <col min="10763" max="11003" width="9.125" style="2"/>
    <col min="11004" max="11004" width="3.375" style="2" customWidth="1"/>
    <col min="11005" max="11005" width="32.25" style="2" customWidth="1"/>
    <col min="11006" max="11006" width="13" style="2" customWidth="1"/>
    <col min="11007" max="11013" width="9.625" style="2" customWidth="1"/>
    <col min="11014" max="11015" width="11.375" style="2" customWidth="1"/>
    <col min="11016" max="11017" width="9.125" style="2"/>
    <col min="11018" max="11018" width="18.375" style="2" customWidth="1"/>
    <col min="11019" max="11259" width="9.125" style="2"/>
    <col min="11260" max="11260" width="3.375" style="2" customWidth="1"/>
    <col min="11261" max="11261" width="32.25" style="2" customWidth="1"/>
    <col min="11262" max="11262" width="13" style="2" customWidth="1"/>
    <col min="11263" max="11269" width="9.625" style="2" customWidth="1"/>
    <col min="11270" max="11271" width="11.375" style="2" customWidth="1"/>
    <col min="11272" max="11273" width="9.125" style="2"/>
    <col min="11274" max="11274" width="18.375" style="2" customWidth="1"/>
    <col min="11275" max="11515" width="9.125" style="2"/>
    <col min="11516" max="11516" width="3.375" style="2" customWidth="1"/>
    <col min="11517" max="11517" width="32.25" style="2" customWidth="1"/>
    <col min="11518" max="11518" width="13" style="2" customWidth="1"/>
    <col min="11519" max="11525" width="9.625" style="2" customWidth="1"/>
    <col min="11526" max="11527" width="11.375" style="2" customWidth="1"/>
    <col min="11528" max="11529" width="9.125" style="2"/>
    <col min="11530" max="11530" width="18.375" style="2" customWidth="1"/>
    <col min="11531" max="11771" width="9.125" style="2"/>
    <col min="11772" max="11772" width="3.375" style="2" customWidth="1"/>
    <col min="11773" max="11773" width="32.25" style="2" customWidth="1"/>
    <col min="11774" max="11774" width="13" style="2" customWidth="1"/>
    <col min="11775" max="11781" width="9.625" style="2" customWidth="1"/>
    <col min="11782" max="11783" width="11.375" style="2" customWidth="1"/>
    <col min="11784" max="11785" width="9.125" style="2"/>
    <col min="11786" max="11786" width="18.375" style="2" customWidth="1"/>
    <col min="11787" max="12027" width="9.125" style="2"/>
    <col min="12028" max="12028" width="3.375" style="2" customWidth="1"/>
    <col min="12029" max="12029" width="32.25" style="2" customWidth="1"/>
    <col min="12030" max="12030" width="13" style="2" customWidth="1"/>
    <col min="12031" max="12037" width="9.625" style="2" customWidth="1"/>
    <col min="12038" max="12039" width="11.375" style="2" customWidth="1"/>
    <col min="12040" max="12041" width="9.125" style="2"/>
    <col min="12042" max="12042" width="18.375" style="2" customWidth="1"/>
    <col min="12043" max="12283" width="9.125" style="2"/>
    <col min="12284" max="12284" width="3.375" style="2" customWidth="1"/>
    <col min="12285" max="12285" width="32.25" style="2" customWidth="1"/>
    <col min="12286" max="12286" width="13" style="2" customWidth="1"/>
    <col min="12287" max="12293" width="9.625" style="2" customWidth="1"/>
    <col min="12294" max="12295" width="11.375" style="2" customWidth="1"/>
    <col min="12296" max="12297" width="9.125" style="2"/>
    <col min="12298" max="12298" width="18.375" style="2" customWidth="1"/>
    <col min="12299" max="12539" width="9.125" style="2"/>
    <col min="12540" max="12540" width="3.375" style="2" customWidth="1"/>
    <col min="12541" max="12541" width="32.25" style="2" customWidth="1"/>
    <col min="12542" max="12542" width="13" style="2" customWidth="1"/>
    <col min="12543" max="12549" width="9.625" style="2" customWidth="1"/>
    <col min="12550" max="12551" width="11.375" style="2" customWidth="1"/>
    <col min="12552" max="12553" width="9.125" style="2"/>
    <col min="12554" max="12554" width="18.375" style="2" customWidth="1"/>
    <col min="12555" max="12795" width="9.125" style="2"/>
    <col min="12796" max="12796" width="3.375" style="2" customWidth="1"/>
    <col min="12797" max="12797" width="32.25" style="2" customWidth="1"/>
    <col min="12798" max="12798" width="13" style="2" customWidth="1"/>
    <col min="12799" max="12805" width="9.625" style="2" customWidth="1"/>
    <col min="12806" max="12807" width="11.375" style="2" customWidth="1"/>
    <col min="12808" max="12809" width="9.125" style="2"/>
    <col min="12810" max="12810" width="18.375" style="2" customWidth="1"/>
    <col min="12811" max="13051" width="9.125" style="2"/>
    <col min="13052" max="13052" width="3.375" style="2" customWidth="1"/>
    <col min="13053" max="13053" width="32.25" style="2" customWidth="1"/>
    <col min="13054" max="13054" width="13" style="2" customWidth="1"/>
    <col min="13055" max="13061" width="9.625" style="2" customWidth="1"/>
    <col min="13062" max="13063" width="11.375" style="2" customWidth="1"/>
    <col min="13064" max="13065" width="9.125" style="2"/>
    <col min="13066" max="13066" width="18.375" style="2" customWidth="1"/>
    <col min="13067" max="13307" width="9.125" style="2"/>
    <col min="13308" max="13308" width="3.375" style="2" customWidth="1"/>
    <col min="13309" max="13309" width="32.25" style="2" customWidth="1"/>
    <col min="13310" max="13310" width="13" style="2" customWidth="1"/>
    <col min="13311" max="13317" width="9.625" style="2" customWidth="1"/>
    <col min="13318" max="13319" width="11.375" style="2" customWidth="1"/>
    <col min="13320" max="13321" width="9.125" style="2"/>
    <col min="13322" max="13322" width="18.375" style="2" customWidth="1"/>
    <col min="13323" max="13563" width="9.125" style="2"/>
    <col min="13564" max="13564" width="3.375" style="2" customWidth="1"/>
    <col min="13565" max="13565" width="32.25" style="2" customWidth="1"/>
    <col min="13566" max="13566" width="13" style="2" customWidth="1"/>
    <col min="13567" max="13573" width="9.625" style="2" customWidth="1"/>
    <col min="13574" max="13575" width="11.375" style="2" customWidth="1"/>
    <col min="13576" max="13577" width="9.125" style="2"/>
    <col min="13578" max="13578" width="18.375" style="2" customWidth="1"/>
    <col min="13579" max="13819" width="9.125" style="2"/>
    <col min="13820" max="13820" width="3.375" style="2" customWidth="1"/>
    <col min="13821" max="13821" width="32.25" style="2" customWidth="1"/>
    <col min="13822" max="13822" width="13" style="2" customWidth="1"/>
    <col min="13823" max="13829" width="9.625" style="2" customWidth="1"/>
    <col min="13830" max="13831" width="11.375" style="2" customWidth="1"/>
    <col min="13832" max="13833" width="9.125" style="2"/>
    <col min="13834" max="13834" width="18.375" style="2" customWidth="1"/>
    <col min="13835" max="14075" width="9.125" style="2"/>
    <col min="14076" max="14076" width="3.375" style="2" customWidth="1"/>
    <col min="14077" max="14077" width="32.25" style="2" customWidth="1"/>
    <col min="14078" max="14078" width="13" style="2" customWidth="1"/>
    <col min="14079" max="14085" width="9.625" style="2" customWidth="1"/>
    <col min="14086" max="14087" width="11.375" style="2" customWidth="1"/>
    <col min="14088" max="14089" width="9.125" style="2"/>
    <col min="14090" max="14090" width="18.375" style="2" customWidth="1"/>
    <col min="14091" max="14331" width="9.125" style="2"/>
    <col min="14332" max="14332" width="3.375" style="2" customWidth="1"/>
    <col min="14333" max="14333" width="32.25" style="2" customWidth="1"/>
    <col min="14334" max="14334" width="13" style="2" customWidth="1"/>
    <col min="14335" max="14341" width="9.625" style="2" customWidth="1"/>
    <col min="14342" max="14343" width="11.375" style="2" customWidth="1"/>
    <col min="14344" max="14345" width="9.125" style="2"/>
    <col min="14346" max="14346" width="18.375" style="2" customWidth="1"/>
    <col min="14347" max="14587" width="9.125" style="2"/>
    <col min="14588" max="14588" width="3.375" style="2" customWidth="1"/>
    <col min="14589" max="14589" width="32.25" style="2" customWidth="1"/>
    <col min="14590" max="14590" width="13" style="2" customWidth="1"/>
    <col min="14591" max="14597" width="9.625" style="2" customWidth="1"/>
    <col min="14598" max="14599" width="11.375" style="2" customWidth="1"/>
    <col min="14600" max="14601" width="9.125" style="2"/>
    <col min="14602" max="14602" width="18.375" style="2" customWidth="1"/>
    <col min="14603" max="14843" width="9.125" style="2"/>
    <col min="14844" max="14844" width="3.375" style="2" customWidth="1"/>
    <col min="14845" max="14845" width="32.25" style="2" customWidth="1"/>
    <col min="14846" max="14846" width="13" style="2" customWidth="1"/>
    <col min="14847" max="14853" width="9.625" style="2" customWidth="1"/>
    <col min="14854" max="14855" width="11.375" style="2" customWidth="1"/>
    <col min="14856" max="14857" width="9.125" style="2"/>
    <col min="14858" max="14858" width="18.375" style="2" customWidth="1"/>
    <col min="14859" max="15099" width="9.125" style="2"/>
    <col min="15100" max="15100" width="3.375" style="2" customWidth="1"/>
    <col min="15101" max="15101" width="32.25" style="2" customWidth="1"/>
    <col min="15102" max="15102" width="13" style="2" customWidth="1"/>
    <col min="15103" max="15109" width="9.625" style="2" customWidth="1"/>
    <col min="15110" max="15111" width="11.375" style="2" customWidth="1"/>
    <col min="15112" max="15113" width="9.125" style="2"/>
    <col min="15114" max="15114" width="18.375" style="2" customWidth="1"/>
    <col min="15115" max="15355" width="9.125" style="2"/>
    <col min="15356" max="15356" width="3.375" style="2" customWidth="1"/>
    <col min="15357" max="15357" width="32.25" style="2" customWidth="1"/>
    <col min="15358" max="15358" width="13" style="2" customWidth="1"/>
    <col min="15359" max="15365" width="9.625" style="2" customWidth="1"/>
    <col min="15366" max="15367" width="11.375" style="2" customWidth="1"/>
    <col min="15368" max="15369" width="9.125" style="2"/>
    <col min="15370" max="15370" width="18.375" style="2" customWidth="1"/>
    <col min="15371" max="15611" width="9.125" style="2"/>
    <col min="15612" max="15612" width="3.375" style="2" customWidth="1"/>
    <col min="15613" max="15613" width="32.25" style="2" customWidth="1"/>
    <col min="15614" max="15614" width="13" style="2" customWidth="1"/>
    <col min="15615" max="15621" width="9.625" style="2" customWidth="1"/>
    <col min="15622" max="15623" width="11.375" style="2" customWidth="1"/>
    <col min="15624" max="15625" width="9.125" style="2"/>
    <col min="15626" max="15626" width="18.375" style="2" customWidth="1"/>
    <col min="15627" max="15867" width="9.125" style="2"/>
    <col min="15868" max="15868" width="3.375" style="2" customWidth="1"/>
    <col min="15869" max="15869" width="32.25" style="2" customWidth="1"/>
    <col min="15870" max="15870" width="13" style="2" customWidth="1"/>
    <col min="15871" max="15877" width="9.625" style="2" customWidth="1"/>
    <col min="15878" max="15879" width="11.375" style="2" customWidth="1"/>
    <col min="15880" max="15881" width="9.125" style="2"/>
    <col min="15882" max="15882" width="18.375" style="2" customWidth="1"/>
    <col min="15883" max="16123" width="9.125" style="2"/>
    <col min="16124" max="16124" width="3.375" style="2" customWidth="1"/>
    <col min="16125" max="16125" width="32.25" style="2" customWidth="1"/>
    <col min="16126" max="16126" width="13" style="2" customWidth="1"/>
    <col min="16127" max="16133" width="9.625" style="2" customWidth="1"/>
    <col min="16134" max="16135" width="11.375" style="2" customWidth="1"/>
    <col min="16136" max="16137" width="9.125" style="2"/>
    <col min="16138" max="16138" width="18.375" style="2" customWidth="1"/>
    <col min="16139" max="16384" width="9.125" style="2"/>
  </cols>
  <sheetData>
    <row r="1" spans="1:34" ht="18.75" x14ac:dyDescent="0.3">
      <c r="A1" s="156" t="s">
        <v>107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</row>
    <row r="2" spans="1:34" ht="18.75" x14ac:dyDescent="0.3">
      <c r="A2" s="157" t="s">
        <v>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</row>
    <row r="3" spans="1:34" ht="19.5" thickBot="1" x14ac:dyDescent="0.35">
      <c r="A3" s="158" t="s">
        <v>146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</row>
    <row r="4" spans="1:34" ht="15" customHeight="1" x14ac:dyDescent="0.25">
      <c r="A4" s="162" t="s">
        <v>1</v>
      </c>
      <c r="B4" s="165" t="s">
        <v>2</v>
      </c>
      <c r="C4" s="162" t="s">
        <v>3</v>
      </c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50" t="s">
        <v>109</v>
      </c>
      <c r="AG4" s="153" t="s">
        <v>106</v>
      </c>
    </row>
    <row r="5" spans="1:34" x14ac:dyDescent="0.25">
      <c r="A5" s="163"/>
      <c r="B5" s="166"/>
      <c r="C5" s="163"/>
      <c r="D5" s="102">
        <v>1</v>
      </c>
      <c r="E5" s="102">
        <v>2</v>
      </c>
      <c r="F5" s="102">
        <v>3</v>
      </c>
      <c r="G5" s="102">
        <v>4</v>
      </c>
      <c r="H5" s="102">
        <v>5</v>
      </c>
      <c r="I5" s="102">
        <v>6</v>
      </c>
      <c r="J5" s="102">
        <v>7</v>
      </c>
      <c r="K5" s="102">
        <v>8</v>
      </c>
      <c r="L5" s="102">
        <v>9</v>
      </c>
      <c r="M5" s="102">
        <v>10</v>
      </c>
      <c r="N5" s="102">
        <v>11</v>
      </c>
      <c r="O5" s="102">
        <v>12</v>
      </c>
      <c r="P5" s="102">
        <v>13</v>
      </c>
      <c r="Q5" s="102">
        <v>14</v>
      </c>
      <c r="R5" s="102">
        <v>15</v>
      </c>
      <c r="S5" s="102">
        <v>16</v>
      </c>
      <c r="T5" s="102">
        <v>17</v>
      </c>
      <c r="U5" s="102">
        <v>18</v>
      </c>
      <c r="V5" s="102">
        <v>19</v>
      </c>
      <c r="W5" s="102">
        <v>20</v>
      </c>
      <c r="X5" s="102">
        <v>21</v>
      </c>
      <c r="Y5" s="102">
        <v>22</v>
      </c>
      <c r="Z5" s="102">
        <v>23</v>
      </c>
      <c r="AA5" s="102">
        <v>24</v>
      </c>
      <c r="AB5" s="102">
        <v>25</v>
      </c>
      <c r="AC5" s="102">
        <v>26</v>
      </c>
      <c r="AD5" s="102">
        <v>27</v>
      </c>
      <c r="AE5" s="102">
        <v>28</v>
      </c>
      <c r="AF5" s="151"/>
      <c r="AG5" s="154"/>
    </row>
    <row r="6" spans="1:34" ht="21" customHeight="1" thickBot="1" x14ac:dyDescent="0.3">
      <c r="A6" s="164"/>
      <c r="B6" s="167"/>
      <c r="C6" s="164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52"/>
      <c r="AG6" s="155"/>
    </row>
    <row r="7" spans="1:34" x14ac:dyDescent="0.25">
      <c r="A7" s="168">
        <v>1</v>
      </c>
      <c r="B7" s="126" t="s">
        <v>4</v>
      </c>
      <c r="C7" s="127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9"/>
      <c r="AG7" s="128"/>
    </row>
    <row r="8" spans="1:34" x14ac:dyDescent="0.25">
      <c r="A8" s="160"/>
      <c r="B8" s="103" t="s">
        <v>5</v>
      </c>
      <c r="C8" s="104" t="s">
        <v>6</v>
      </c>
      <c r="D8" s="105">
        <f>'1'!K8</f>
        <v>12542.857142857143</v>
      </c>
      <c r="E8" s="105">
        <f>'2'!K8</f>
        <v>12542.857142857143</v>
      </c>
      <c r="F8" s="105">
        <f>'3'!K8</f>
        <v>12685.714285714286</v>
      </c>
      <c r="G8" s="105">
        <f>'4'!K8</f>
        <v>12685.714285714286</v>
      </c>
      <c r="H8" s="105">
        <f>'5'!K8</f>
        <v>12685.714285714286</v>
      </c>
      <c r="I8" s="105">
        <f>'6'!K8</f>
        <v>12900</v>
      </c>
      <c r="J8" s="105">
        <f>'7'!K8</f>
        <v>12900</v>
      </c>
      <c r="K8" s="105">
        <f>'8'!K8</f>
        <v>12900</v>
      </c>
      <c r="L8" s="105">
        <f>'9'!K8</f>
        <v>12900</v>
      </c>
      <c r="M8" s="105">
        <f>'10'!K8</f>
        <v>12971.428571428571</v>
      </c>
      <c r="N8" s="105">
        <f>'11'!K8</f>
        <v>12971.428571428571</v>
      </c>
      <c r="O8" s="105">
        <f>'12'!K8</f>
        <v>12828.571428571429</v>
      </c>
      <c r="P8" s="105">
        <f>'13'!K8</f>
        <v>13114.285714285714</v>
      </c>
      <c r="Q8" s="105">
        <f>'14'!K8</f>
        <v>13257.142857142857</v>
      </c>
      <c r="R8" s="105">
        <f>'15'!K8</f>
        <v>13257.142857142857</v>
      </c>
      <c r="S8" s="105">
        <f>'16'!K8</f>
        <v>13328.571428571429</v>
      </c>
      <c r="T8" s="105">
        <f>'17'!K8</f>
        <v>13328.571428571429</v>
      </c>
      <c r="U8" s="105">
        <f>'18'!K8</f>
        <v>13400</v>
      </c>
      <c r="V8" s="105">
        <f>'19'!K8</f>
        <v>13400</v>
      </c>
      <c r="W8" s="105">
        <f>'20'!K8</f>
        <v>13328.571428571429</v>
      </c>
      <c r="X8" s="105">
        <f>'21'!K8</f>
        <v>13328.571428571429</v>
      </c>
      <c r="Y8" s="105">
        <f>'22'!K8</f>
        <v>13328.571428571429</v>
      </c>
      <c r="Z8" s="105">
        <f>'23'!K8</f>
        <v>13328.571428571429</v>
      </c>
      <c r="AA8" s="105">
        <f>'24'!K8</f>
        <v>13328.571428571429</v>
      </c>
      <c r="AB8" s="105">
        <f>'25'!K8</f>
        <v>13328.571428571429</v>
      </c>
      <c r="AC8" s="105">
        <f>'26'!K8</f>
        <v>13328.571428571429</v>
      </c>
      <c r="AD8" s="105">
        <f>'27'!K8</f>
        <v>13328.571428571429</v>
      </c>
      <c r="AE8" s="105">
        <f>'28'!K8</f>
        <v>13328.571428571429</v>
      </c>
      <c r="AF8" s="105">
        <v>12800</v>
      </c>
      <c r="AG8" s="105">
        <f>AE8-D8</f>
        <v>785.71428571428623</v>
      </c>
      <c r="AH8" s="211">
        <f>AVERAGE(D8:AE8)</f>
        <v>13091.326530612243</v>
      </c>
    </row>
    <row r="9" spans="1:34" x14ac:dyDescent="0.25">
      <c r="A9" s="160"/>
      <c r="B9" s="103" t="s">
        <v>7</v>
      </c>
      <c r="C9" s="104" t="s">
        <v>6</v>
      </c>
      <c r="D9" s="105">
        <f>'1'!K9</f>
        <v>11428.571428571429</v>
      </c>
      <c r="E9" s="105">
        <f>'2'!K9</f>
        <v>11428.571428571429</v>
      </c>
      <c r="F9" s="105">
        <f>'3'!K9</f>
        <v>11500</v>
      </c>
      <c r="G9" s="105">
        <f>'4'!K9</f>
        <v>11357.142857142857</v>
      </c>
      <c r="H9" s="105">
        <f>'5'!K9</f>
        <v>11357.142857142857</v>
      </c>
      <c r="I9" s="105">
        <f>'6'!K9</f>
        <v>11714.285714285714</v>
      </c>
      <c r="J9" s="105">
        <f>'7'!K9</f>
        <v>11714.285714285714</v>
      </c>
      <c r="K9" s="105">
        <f>'8'!K9</f>
        <v>11928.571428571429</v>
      </c>
      <c r="L9" s="105">
        <f>'9'!K9</f>
        <v>11928.571428571429</v>
      </c>
      <c r="M9" s="105">
        <f>'10'!K9</f>
        <v>12000</v>
      </c>
      <c r="N9" s="105">
        <f>'11'!K9</f>
        <v>11714.285714285714</v>
      </c>
      <c r="O9" s="105">
        <f>'12'!K9</f>
        <v>9035.7142857142862</v>
      </c>
      <c r="P9" s="105">
        <f>'13'!K9</f>
        <v>8971.4285714285706</v>
      </c>
      <c r="Q9" s="105">
        <f>'14'!K9</f>
        <v>8971.4285714285706</v>
      </c>
      <c r="R9" s="105">
        <f>'15'!K9</f>
        <v>8971.4285714285706</v>
      </c>
      <c r="S9" s="105">
        <f>'16'!K9</f>
        <v>9028.5714285714294</v>
      </c>
      <c r="T9" s="105">
        <f>'17'!K9</f>
        <v>8971.4285714285706</v>
      </c>
      <c r="U9" s="105">
        <f>'18'!K9</f>
        <v>8971.4285714285706</v>
      </c>
      <c r="V9" s="105">
        <f>'19'!K9</f>
        <v>8971.4285714285706</v>
      </c>
      <c r="W9" s="105">
        <f>'20'!K9</f>
        <v>8971.4285714285706</v>
      </c>
      <c r="X9" s="105">
        <f>'21'!K9</f>
        <v>8971.4285714285706</v>
      </c>
      <c r="Y9" s="105">
        <f>'22'!K9</f>
        <v>8971.4285714285706</v>
      </c>
      <c r="Z9" s="105">
        <f>'23'!K9</f>
        <v>8971.4285714285706</v>
      </c>
      <c r="AA9" s="105">
        <f>'24'!K9</f>
        <v>8971.4285714285706</v>
      </c>
      <c r="AB9" s="105">
        <f>'25'!K9</f>
        <v>8971.4285714285706</v>
      </c>
      <c r="AC9" s="105">
        <f>'26'!K9</f>
        <v>8971.4285714285706</v>
      </c>
      <c r="AD9" s="105">
        <f>'27'!K9</f>
        <v>8971.4285714285706</v>
      </c>
      <c r="AE9" s="105">
        <f>'28'!K9</f>
        <v>8971.4285714285706</v>
      </c>
      <c r="AF9" s="105"/>
      <c r="AG9" s="105">
        <f t="shared" ref="AG9:AG75" si="0">AE9-D9</f>
        <v>-2457.1428571428587</v>
      </c>
      <c r="AH9" s="211">
        <f t="shared" ref="AH9:AH72" si="1">AVERAGE(D9:AE9)</f>
        <v>10025.255102040819</v>
      </c>
    </row>
    <row r="10" spans="1:34" x14ac:dyDescent="0.25">
      <c r="A10" s="160"/>
      <c r="B10" s="103" t="s">
        <v>8</v>
      </c>
      <c r="C10" s="104" t="s">
        <v>6</v>
      </c>
      <c r="D10" s="105">
        <f>'1'!K10</f>
        <v>10575</v>
      </c>
      <c r="E10" s="105">
        <f>'2'!K10</f>
        <v>10575</v>
      </c>
      <c r="F10" s="105">
        <f>'3'!K10</f>
        <v>10741.666666666666</v>
      </c>
      <c r="G10" s="105">
        <f>'4'!K10</f>
        <v>6908.333333333333</v>
      </c>
      <c r="H10" s="105">
        <f>'5'!K10</f>
        <v>8741.6666666666661</v>
      </c>
      <c r="I10" s="105">
        <f>'6'!K10</f>
        <v>7158.333333333333</v>
      </c>
      <c r="J10" s="105">
        <f>'7'!K10</f>
        <v>7158.333333333333</v>
      </c>
      <c r="K10" s="105">
        <f>'8'!K10</f>
        <v>7158.333333333333</v>
      </c>
      <c r="L10" s="105">
        <f>'9'!K10</f>
        <v>7158.333333333333</v>
      </c>
      <c r="M10" s="105">
        <f>'10'!K10</f>
        <v>7757.1428571428569</v>
      </c>
      <c r="N10" s="105">
        <f>'11'!K10</f>
        <v>7757.1428571428569</v>
      </c>
      <c r="O10" s="105">
        <f>'12'!K10</f>
        <v>9500</v>
      </c>
      <c r="P10" s="105">
        <f>'13'!K10</f>
        <v>9500</v>
      </c>
      <c r="Q10" s="105">
        <f>'14'!K10</f>
        <v>9500</v>
      </c>
      <c r="R10" s="105">
        <f>'15'!K10</f>
        <v>9500</v>
      </c>
      <c r="S10" s="105">
        <f>'16'!K10</f>
        <v>9500</v>
      </c>
      <c r="T10" s="105">
        <f>'17'!K10</f>
        <v>9500</v>
      </c>
      <c r="U10" s="105">
        <f>'18'!K10</f>
        <v>9500</v>
      </c>
      <c r="V10" s="105">
        <f>'19'!K10</f>
        <v>9500</v>
      </c>
      <c r="W10" s="105">
        <f>'20'!K10</f>
        <v>9500</v>
      </c>
      <c r="X10" s="105">
        <f>'21'!K10</f>
        <v>9500</v>
      </c>
      <c r="Y10" s="105">
        <f>'22'!K10</f>
        <v>9500</v>
      </c>
      <c r="Z10" s="105">
        <f>'23'!K10</f>
        <v>9500</v>
      </c>
      <c r="AA10" s="105">
        <f>'24'!K10</f>
        <v>9500</v>
      </c>
      <c r="AB10" s="105">
        <f>'25'!K10</f>
        <v>9500</v>
      </c>
      <c r="AC10" s="105">
        <f>'26'!K10</f>
        <v>9500</v>
      </c>
      <c r="AD10" s="105">
        <f>'27'!K10</f>
        <v>9500</v>
      </c>
      <c r="AE10" s="105">
        <f>'28'!K10</f>
        <v>9500</v>
      </c>
      <c r="AF10" s="105">
        <v>9450</v>
      </c>
      <c r="AG10" s="105">
        <f t="shared" si="0"/>
        <v>-1075</v>
      </c>
      <c r="AH10" s="211">
        <f t="shared" si="1"/>
        <v>9042.474489795919</v>
      </c>
    </row>
    <row r="11" spans="1:34" x14ac:dyDescent="0.25">
      <c r="A11" s="160"/>
      <c r="B11" s="103" t="s">
        <v>9</v>
      </c>
      <c r="C11" s="104" t="s">
        <v>6</v>
      </c>
      <c r="D11" s="105">
        <f>'1'!K11</f>
        <v>10000</v>
      </c>
      <c r="E11" s="105">
        <f>'2'!K11</f>
        <v>10000</v>
      </c>
      <c r="F11" s="105">
        <f>'3'!K11</f>
        <v>10000</v>
      </c>
      <c r="G11" s="105">
        <f>'4'!K11</f>
        <v>10000</v>
      </c>
      <c r="H11" s="105">
        <f>'5'!K11</f>
        <v>10000</v>
      </c>
      <c r="I11" s="105">
        <f>'6'!K11</f>
        <v>10000</v>
      </c>
      <c r="J11" s="105">
        <f>'7'!K11</f>
        <v>10000</v>
      </c>
      <c r="K11" s="105">
        <f>'8'!K11</f>
        <v>10000</v>
      </c>
      <c r="L11" s="105">
        <f>'9'!K11</f>
        <v>10000</v>
      </c>
      <c r="M11" s="105">
        <f>'10'!K11</f>
        <v>10333.333333333334</v>
      </c>
      <c r="N11" s="105">
        <f>'11'!K11</f>
        <v>10333.333333333334</v>
      </c>
      <c r="O11" s="105">
        <f>'12'!K11</f>
        <v>20000</v>
      </c>
      <c r="P11" s="105">
        <f>'13'!K11</f>
        <v>20000</v>
      </c>
      <c r="Q11" s="105">
        <f>'14'!K11</f>
        <v>20000</v>
      </c>
      <c r="R11" s="105">
        <f>'15'!K11</f>
        <v>20000</v>
      </c>
      <c r="S11" s="105">
        <f>'16'!K11</f>
        <v>20000</v>
      </c>
      <c r="T11" s="105">
        <f>'17'!K11</f>
        <v>20000</v>
      </c>
      <c r="U11" s="105">
        <f>'18'!K11</f>
        <v>20000</v>
      </c>
      <c r="V11" s="105">
        <f>'19'!K11</f>
        <v>20000</v>
      </c>
      <c r="W11" s="105">
        <f>'20'!K11</f>
        <v>20000</v>
      </c>
      <c r="X11" s="105">
        <f>'21'!K11</f>
        <v>20000</v>
      </c>
      <c r="Y11" s="105">
        <f>'22'!K11</f>
        <v>20000</v>
      </c>
      <c r="Z11" s="105">
        <f>'23'!K11</f>
        <v>20000</v>
      </c>
      <c r="AA11" s="105">
        <f>'24'!K11</f>
        <v>20000</v>
      </c>
      <c r="AB11" s="105">
        <f>'25'!K11</f>
        <v>20000</v>
      </c>
      <c r="AC11" s="105">
        <f>'26'!K11</f>
        <v>20000</v>
      </c>
      <c r="AD11" s="105">
        <f>'27'!K11</f>
        <v>20000</v>
      </c>
      <c r="AE11" s="105">
        <f>'28'!K11</f>
        <v>20000</v>
      </c>
      <c r="AF11" s="105"/>
      <c r="AG11" s="105">
        <f t="shared" si="0"/>
        <v>10000</v>
      </c>
      <c r="AH11" s="211">
        <f t="shared" si="1"/>
        <v>16095.238095238094</v>
      </c>
    </row>
    <row r="12" spans="1:34" x14ac:dyDescent="0.25">
      <c r="A12" s="161"/>
      <c r="B12" s="103" t="s">
        <v>10</v>
      </c>
      <c r="C12" s="104" t="s">
        <v>6</v>
      </c>
      <c r="D12" s="105">
        <f>'1'!K12</f>
        <v>19250</v>
      </c>
      <c r="E12" s="105">
        <f>'2'!K12</f>
        <v>19250</v>
      </c>
      <c r="F12" s="105">
        <f>'3'!K12</f>
        <v>19250</v>
      </c>
      <c r="G12" s="105">
        <f>'4'!K12</f>
        <v>19250</v>
      </c>
      <c r="H12" s="105">
        <f>'5'!K12</f>
        <v>19250</v>
      </c>
      <c r="I12" s="105">
        <f>'6'!K12</f>
        <v>19250</v>
      </c>
      <c r="J12" s="105">
        <f>'7'!K12</f>
        <v>19250</v>
      </c>
      <c r="K12" s="105">
        <f>'8'!K12</f>
        <v>19750</v>
      </c>
      <c r="L12" s="105">
        <f>'9'!K12</f>
        <v>19750</v>
      </c>
      <c r="M12" s="105">
        <f>'10'!K12</f>
        <v>19750</v>
      </c>
      <c r="N12" s="105">
        <f>'11'!K12</f>
        <v>19750</v>
      </c>
      <c r="O12" s="105">
        <f>'12'!K12</f>
        <v>0</v>
      </c>
      <c r="P12" s="105">
        <f>'13'!K12</f>
        <v>0</v>
      </c>
      <c r="Q12" s="105">
        <f>'14'!K12</f>
        <v>0</v>
      </c>
      <c r="R12" s="105">
        <f>'15'!K12</f>
        <v>0</v>
      </c>
      <c r="S12" s="105">
        <f>'16'!K12</f>
        <v>0</v>
      </c>
      <c r="T12" s="105">
        <f>'17'!K12</f>
        <v>0</v>
      </c>
      <c r="U12" s="105">
        <f>'18'!K12</f>
        <v>0</v>
      </c>
      <c r="V12" s="105">
        <f>'19'!K12</f>
        <v>0</v>
      </c>
      <c r="W12" s="105">
        <f>'20'!K12</f>
        <v>0</v>
      </c>
      <c r="X12" s="105">
        <f>'21'!K12</f>
        <v>0</v>
      </c>
      <c r="Y12" s="105">
        <f>'22'!K12</f>
        <v>0</v>
      </c>
      <c r="Z12" s="105">
        <f>'23'!K12</f>
        <v>0</v>
      </c>
      <c r="AA12" s="105">
        <f>'24'!K12</f>
        <v>0</v>
      </c>
      <c r="AB12" s="105">
        <f>'25'!K12</f>
        <v>0</v>
      </c>
      <c r="AC12" s="105">
        <f>'26'!K12</f>
        <v>0</v>
      </c>
      <c r="AD12" s="105">
        <f>'27'!K12</f>
        <v>0</v>
      </c>
      <c r="AE12" s="105">
        <f>'28'!K12</f>
        <v>0</v>
      </c>
      <c r="AF12" s="105"/>
      <c r="AG12" s="105">
        <f t="shared" si="0"/>
        <v>-19250</v>
      </c>
      <c r="AH12" s="211">
        <f t="shared" si="1"/>
        <v>7633.9285714285716</v>
      </c>
    </row>
    <row r="13" spans="1:34" x14ac:dyDescent="0.25">
      <c r="A13" s="159">
        <v>2</v>
      </c>
      <c r="B13" s="132" t="s">
        <v>11</v>
      </c>
      <c r="C13" s="115"/>
      <c r="D13" s="105">
        <f>'1'!K13</f>
        <v>0</v>
      </c>
      <c r="E13" s="105">
        <f>'2'!K13</f>
        <v>0</v>
      </c>
      <c r="F13" s="105">
        <f>'3'!K13</f>
        <v>0</v>
      </c>
      <c r="G13" s="105">
        <f>'4'!K13</f>
        <v>0</v>
      </c>
      <c r="H13" s="105">
        <f>'5'!K13</f>
        <v>0</v>
      </c>
      <c r="I13" s="105">
        <f>'6'!K13</f>
        <v>0</v>
      </c>
      <c r="J13" s="105">
        <f>'7'!K13</f>
        <v>0</v>
      </c>
      <c r="K13" s="105">
        <f>'8'!K13</f>
        <v>0</v>
      </c>
      <c r="L13" s="105">
        <f>'9'!K13</f>
        <v>0</v>
      </c>
      <c r="M13" s="105">
        <f>'10'!K13</f>
        <v>0</v>
      </c>
      <c r="N13" s="105">
        <f>'11'!K13</f>
        <v>0</v>
      </c>
      <c r="O13" s="105">
        <f>'12'!K13</f>
        <v>13071.428571428571</v>
      </c>
      <c r="P13" s="105">
        <f>'13'!K13</f>
        <v>13071.428571428571</v>
      </c>
      <c r="Q13" s="105">
        <f>'14'!K13</f>
        <v>13071.428571428571</v>
      </c>
      <c r="R13" s="105">
        <f>'15'!K13</f>
        <v>13000</v>
      </c>
      <c r="S13" s="105">
        <f>'16'!K13</f>
        <v>13000</v>
      </c>
      <c r="T13" s="105">
        <f>'17'!K13</f>
        <v>13000</v>
      </c>
      <c r="U13" s="105">
        <f>'18'!K13</f>
        <v>13000</v>
      </c>
      <c r="V13" s="105">
        <f>'19'!K13</f>
        <v>13000</v>
      </c>
      <c r="W13" s="105">
        <f>'20'!K13</f>
        <v>13000</v>
      </c>
      <c r="X13" s="105">
        <f>'21'!K13</f>
        <v>13071.428571428571</v>
      </c>
      <c r="Y13" s="105">
        <f>'22'!K13</f>
        <v>13000</v>
      </c>
      <c r="Z13" s="105">
        <f>'23'!K13</f>
        <v>13000</v>
      </c>
      <c r="AA13" s="105">
        <f>'24'!K13</f>
        <v>13000</v>
      </c>
      <c r="AB13" s="105">
        <f>'25'!K13</f>
        <v>13000</v>
      </c>
      <c r="AC13" s="105">
        <f>'26'!K13</f>
        <v>13000</v>
      </c>
      <c r="AD13" s="105">
        <f>'27'!K13</f>
        <v>13000</v>
      </c>
      <c r="AE13" s="105">
        <f>'28'!K13</f>
        <v>13000</v>
      </c>
      <c r="AF13" s="105"/>
      <c r="AG13" s="105">
        <f t="shared" si="0"/>
        <v>13000</v>
      </c>
      <c r="AH13" s="211">
        <f t="shared" si="1"/>
        <v>7903.0612244897948</v>
      </c>
    </row>
    <row r="14" spans="1:34" x14ac:dyDescent="0.25">
      <c r="A14" s="160"/>
      <c r="B14" s="115" t="s">
        <v>12</v>
      </c>
      <c r="C14" s="104" t="s">
        <v>6</v>
      </c>
      <c r="D14" s="105">
        <f>'1'!K14</f>
        <v>13142.857142857143</v>
      </c>
      <c r="E14" s="105">
        <f>'2'!K14</f>
        <v>13142.857142857143</v>
      </c>
      <c r="F14" s="105">
        <f>'3'!K14</f>
        <v>13142.857142857143</v>
      </c>
      <c r="G14" s="105">
        <f>'4'!K14</f>
        <v>13142.857142857143</v>
      </c>
      <c r="H14" s="105">
        <f>'5'!K14</f>
        <v>13142.857142857143</v>
      </c>
      <c r="I14" s="105">
        <f>'6'!K14</f>
        <v>13142.857142857143</v>
      </c>
      <c r="J14" s="105">
        <f>'7'!K14</f>
        <v>13142.857142857143</v>
      </c>
      <c r="K14" s="105">
        <f>'8'!K14</f>
        <v>13142.857142857143</v>
      </c>
      <c r="L14" s="105">
        <f>'9'!K14</f>
        <v>13142.857142857143</v>
      </c>
      <c r="M14" s="105">
        <f>'10'!K14</f>
        <v>13071.428571428571</v>
      </c>
      <c r="N14" s="105">
        <f>'11'!K14</f>
        <v>13071.428571428571</v>
      </c>
      <c r="O14" s="105">
        <f>'12'!K14</f>
        <v>16142.857142857143</v>
      </c>
      <c r="P14" s="105">
        <f>'13'!K14</f>
        <v>16142.857142857143</v>
      </c>
      <c r="Q14" s="105">
        <f>'14'!K14</f>
        <v>16142.857142857143</v>
      </c>
      <c r="R14" s="105">
        <f>'15'!K14</f>
        <v>16142.857142857143</v>
      </c>
      <c r="S14" s="105">
        <f>'16'!K14</f>
        <v>16142.857142857143</v>
      </c>
      <c r="T14" s="105">
        <f>'17'!K14</f>
        <v>16142.857142857143</v>
      </c>
      <c r="U14" s="105">
        <f>'18'!K14</f>
        <v>16142.857142857143</v>
      </c>
      <c r="V14" s="105">
        <f>'19'!K14</f>
        <v>16142.857142857143</v>
      </c>
      <c r="W14" s="105">
        <f>'20'!K14</f>
        <v>16142.857142857143</v>
      </c>
      <c r="X14" s="105">
        <f>'21'!K14</f>
        <v>16142.857142857143</v>
      </c>
      <c r="Y14" s="105">
        <f>'22'!K14</f>
        <v>16142.857142857143</v>
      </c>
      <c r="Z14" s="105">
        <f>'23'!K14</f>
        <v>16142.857142857143</v>
      </c>
      <c r="AA14" s="105">
        <f>'24'!K14</f>
        <v>16142.857142857143</v>
      </c>
      <c r="AB14" s="105">
        <f>'25'!K14</f>
        <v>16142.857142857143</v>
      </c>
      <c r="AC14" s="105">
        <f>'26'!K14</f>
        <v>16142.857142857143</v>
      </c>
      <c r="AD14" s="105">
        <f>'27'!K14</f>
        <v>16142.857142857143</v>
      </c>
      <c r="AE14" s="105">
        <f>'28'!K14</f>
        <v>16142.857142857143</v>
      </c>
      <c r="AF14" s="105">
        <v>13500</v>
      </c>
      <c r="AG14" s="105">
        <f t="shared" si="0"/>
        <v>3000</v>
      </c>
      <c r="AH14" s="211">
        <f t="shared" si="1"/>
        <v>14959.183673469392</v>
      </c>
    </row>
    <row r="15" spans="1:34" x14ac:dyDescent="0.25">
      <c r="A15" s="161"/>
      <c r="B15" s="119" t="s">
        <v>13</v>
      </c>
      <c r="C15" s="104" t="s">
        <v>6</v>
      </c>
      <c r="D15" s="105">
        <f>'1'!K15</f>
        <v>16285.714285714286</v>
      </c>
      <c r="E15" s="105">
        <f>'2'!K15</f>
        <v>16285.714285714286</v>
      </c>
      <c r="F15" s="105">
        <f>'3'!K15</f>
        <v>16142.857142857143</v>
      </c>
      <c r="G15" s="105">
        <f>'4'!K15</f>
        <v>16142.857142857143</v>
      </c>
      <c r="H15" s="105">
        <f>'5'!K15</f>
        <v>16142.857142857143</v>
      </c>
      <c r="I15" s="105">
        <f>'6'!K15</f>
        <v>16142.857142857143</v>
      </c>
      <c r="J15" s="105">
        <f>'7'!K15</f>
        <v>16142.857142857143</v>
      </c>
      <c r="K15" s="105">
        <f>'8'!K15</f>
        <v>16142.857142857143</v>
      </c>
      <c r="L15" s="105">
        <f>'9'!K15</f>
        <v>16142.857142857143</v>
      </c>
      <c r="M15" s="105">
        <f>'10'!K15</f>
        <v>16142.857142857143</v>
      </c>
      <c r="N15" s="105">
        <f>'11'!K15</f>
        <v>16142.857142857143</v>
      </c>
      <c r="O15" s="105">
        <f>'12'!K15</f>
        <v>0</v>
      </c>
      <c r="P15" s="105">
        <f>'13'!K15</f>
        <v>0</v>
      </c>
      <c r="Q15" s="105">
        <f>'14'!K15</f>
        <v>0</v>
      </c>
      <c r="R15" s="105">
        <f>'15'!K15</f>
        <v>0</v>
      </c>
      <c r="S15" s="105">
        <f>'16'!K15</f>
        <v>0</v>
      </c>
      <c r="T15" s="105">
        <f>'17'!K15</f>
        <v>0</v>
      </c>
      <c r="U15" s="105">
        <f>'18'!K15</f>
        <v>0</v>
      </c>
      <c r="V15" s="105">
        <f>'19'!K15</f>
        <v>0</v>
      </c>
      <c r="W15" s="105">
        <f>'20'!K15</f>
        <v>0</v>
      </c>
      <c r="X15" s="105">
        <f>'21'!K15</f>
        <v>0</v>
      </c>
      <c r="Y15" s="105">
        <f>'22'!K15</f>
        <v>0</v>
      </c>
      <c r="Z15" s="105">
        <f>'23'!K15</f>
        <v>0</v>
      </c>
      <c r="AA15" s="105">
        <f>'24'!K15</f>
        <v>0</v>
      </c>
      <c r="AB15" s="105">
        <f>'25'!K15</f>
        <v>0</v>
      </c>
      <c r="AC15" s="105">
        <f>'26'!K15</f>
        <v>0</v>
      </c>
      <c r="AD15" s="105">
        <f>'27'!K15</f>
        <v>0</v>
      </c>
      <c r="AE15" s="105">
        <f>'28'!K15</f>
        <v>0</v>
      </c>
      <c r="AF15" s="105"/>
      <c r="AG15" s="105">
        <f t="shared" si="0"/>
        <v>-16285.714285714286</v>
      </c>
      <c r="AH15" s="211">
        <f t="shared" si="1"/>
        <v>6352.0408163265301</v>
      </c>
    </row>
    <row r="16" spans="1:34" x14ac:dyDescent="0.25">
      <c r="A16" s="159"/>
      <c r="B16" s="132" t="s">
        <v>14</v>
      </c>
      <c r="C16" s="132"/>
      <c r="D16" s="105">
        <f>'1'!K16</f>
        <v>0</v>
      </c>
      <c r="E16" s="105">
        <f>'2'!K16</f>
        <v>0</v>
      </c>
      <c r="F16" s="105">
        <f>'3'!K16</f>
        <v>0</v>
      </c>
      <c r="G16" s="105">
        <f>'4'!K16</f>
        <v>0</v>
      </c>
      <c r="H16" s="105">
        <f>'5'!K16</f>
        <v>0</v>
      </c>
      <c r="I16" s="105">
        <f>'6'!K16</f>
        <v>0</v>
      </c>
      <c r="J16" s="105">
        <f>'7'!K16</f>
        <v>0</v>
      </c>
      <c r="K16" s="105">
        <f>'8'!K16</f>
        <v>0</v>
      </c>
      <c r="L16" s="105">
        <f>'9'!K16</f>
        <v>0</v>
      </c>
      <c r="M16" s="105">
        <f>'10'!K16</f>
        <v>0</v>
      </c>
      <c r="N16" s="105">
        <f>'11'!K16</f>
        <v>0</v>
      </c>
      <c r="O16" s="105">
        <f>'12'!K16</f>
        <v>16000</v>
      </c>
      <c r="P16" s="105">
        <f>'13'!K16</f>
        <v>15357.142857142857</v>
      </c>
      <c r="Q16" s="105">
        <f>'14'!K16</f>
        <v>15357.142857142857</v>
      </c>
      <c r="R16" s="105">
        <f>'15'!K16</f>
        <v>15071.428571428571</v>
      </c>
      <c r="S16" s="105">
        <f>'16'!K16</f>
        <v>15071.428571428571</v>
      </c>
      <c r="T16" s="105">
        <f>'17'!K16</f>
        <v>15071.428571428571</v>
      </c>
      <c r="U16" s="105">
        <f>'18'!K16</f>
        <v>15071.428571428571</v>
      </c>
      <c r="V16" s="105">
        <f>'19'!K16</f>
        <v>15071.428571428571</v>
      </c>
      <c r="W16" s="105">
        <f>'20'!K16</f>
        <v>15071.428571428571</v>
      </c>
      <c r="X16" s="105">
        <f>'21'!K16</f>
        <v>15071.428571428571</v>
      </c>
      <c r="Y16" s="105">
        <f>'22'!K16</f>
        <v>15142.857142857143</v>
      </c>
      <c r="Z16" s="105">
        <f>'23'!K16</f>
        <v>15142.857142857143</v>
      </c>
      <c r="AA16" s="105">
        <f>'24'!K16</f>
        <v>15142.857142857143</v>
      </c>
      <c r="AB16" s="105">
        <f>'25'!K16</f>
        <v>15142.857142857143</v>
      </c>
      <c r="AC16" s="105">
        <f>'26'!K16</f>
        <v>15142.857142857143</v>
      </c>
      <c r="AD16" s="105">
        <f>'27'!K16</f>
        <v>15357.142857142857</v>
      </c>
      <c r="AE16" s="105">
        <f>'28'!K16</f>
        <v>15428.571428571429</v>
      </c>
      <c r="AF16" s="105"/>
      <c r="AG16" s="105">
        <f t="shared" si="0"/>
        <v>15428.571428571429</v>
      </c>
      <c r="AH16" s="211">
        <f t="shared" si="1"/>
        <v>9239.7959183673447</v>
      </c>
    </row>
    <row r="17" spans="1:34" x14ac:dyDescent="0.25">
      <c r="A17" s="161"/>
      <c r="B17" s="119" t="s">
        <v>15</v>
      </c>
      <c r="C17" s="104" t="s">
        <v>6</v>
      </c>
      <c r="D17" s="105">
        <f>'1'!K17</f>
        <v>16214.285714285714</v>
      </c>
      <c r="E17" s="105">
        <f>'2'!K17</f>
        <v>16214.285714285714</v>
      </c>
      <c r="F17" s="105">
        <f>'3'!K17</f>
        <v>16214.285714285714</v>
      </c>
      <c r="G17" s="105">
        <f>'4'!K17</f>
        <v>16214.285714285714</v>
      </c>
      <c r="H17" s="105">
        <f>'5'!K17</f>
        <v>16214.285714285714</v>
      </c>
      <c r="I17" s="105">
        <f>'6'!K17</f>
        <v>16071.428571428571</v>
      </c>
      <c r="J17" s="105">
        <f>'7'!K17</f>
        <v>16071.428571428571</v>
      </c>
      <c r="K17" s="105">
        <f>'8'!K17</f>
        <v>16000</v>
      </c>
      <c r="L17" s="105">
        <f>'9'!K17</f>
        <v>16000</v>
      </c>
      <c r="M17" s="105">
        <f>'10'!K17</f>
        <v>16000</v>
      </c>
      <c r="N17" s="105">
        <f>'11'!K17</f>
        <v>16000</v>
      </c>
      <c r="O17" s="105">
        <f>'12'!K17</f>
        <v>14000</v>
      </c>
      <c r="P17" s="105">
        <f>'13'!K17</f>
        <v>14000</v>
      </c>
      <c r="Q17" s="105">
        <f>'14'!K17</f>
        <v>14000</v>
      </c>
      <c r="R17" s="105">
        <f>'15'!K17</f>
        <v>14000</v>
      </c>
      <c r="S17" s="105">
        <f>'16'!K17</f>
        <v>14000</v>
      </c>
      <c r="T17" s="105">
        <f>'17'!K17</f>
        <v>14000</v>
      </c>
      <c r="U17" s="105">
        <f>'18'!K17</f>
        <v>14000</v>
      </c>
      <c r="V17" s="105">
        <f>'19'!K17</f>
        <v>14000</v>
      </c>
      <c r="W17" s="105">
        <f>'20'!K17</f>
        <v>14000</v>
      </c>
      <c r="X17" s="105">
        <f>'21'!K17</f>
        <v>14000</v>
      </c>
      <c r="Y17" s="105">
        <f>'22'!K17</f>
        <v>14000</v>
      </c>
      <c r="Z17" s="105">
        <f>'23'!K17</f>
        <v>14000</v>
      </c>
      <c r="AA17" s="105">
        <f>'24'!K17</f>
        <v>14000</v>
      </c>
      <c r="AB17" s="105">
        <f>'25'!K17</f>
        <v>14000</v>
      </c>
      <c r="AC17" s="105">
        <f>'26'!K17</f>
        <v>14000</v>
      </c>
      <c r="AD17" s="105">
        <f>'27'!K17</f>
        <v>14000</v>
      </c>
      <c r="AE17" s="105">
        <f>'28'!K17</f>
        <v>14000</v>
      </c>
      <c r="AF17" s="105">
        <v>15500</v>
      </c>
      <c r="AG17" s="105">
        <f t="shared" si="0"/>
        <v>-2214.2857142857138</v>
      </c>
      <c r="AH17" s="211">
        <f t="shared" si="1"/>
        <v>14829.08163265306</v>
      </c>
    </row>
    <row r="18" spans="1:34" x14ac:dyDescent="0.25">
      <c r="A18" s="159">
        <v>4</v>
      </c>
      <c r="B18" s="132" t="s">
        <v>16</v>
      </c>
      <c r="C18" s="132"/>
      <c r="D18" s="105">
        <f>'1'!K18</f>
        <v>0</v>
      </c>
      <c r="E18" s="105">
        <f>'2'!K18</f>
        <v>0</v>
      </c>
      <c r="F18" s="105">
        <f>'3'!K18</f>
        <v>0</v>
      </c>
      <c r="G18" s="105">
        <f>'4'!K18</f>
        <v>0</v>
      </c>
      <c r="H18" s="105">
        <f>'5'!K18</f>
        <v>0</v>
      </c>
      <c r="I18" s="105">
        <f>'6'!K18</f>
        <v>0</v>
      </c>
      <c r="J18" s="105">
        <f>'7'!K18</f>
        <v>0</v>
      </c>
      <c r="K18" s="105">
        <f>'8'!K18</f>
        <v>0</v>
      </c>
      <c r="L18" s="105">
        <f>'9'!K18</f>
        <v>0</v>
      </c>
      <c r="M18" s="105">
        <f>'10'!K18</f>
        <v>0</v>
      </c>
      <c r="N18" s="105">
        <f>'11'!K18</f>
        <v>0</v>
      </c>
      <c r="O18" s="105">
        <f>'12'!K18</f>
        <v>0</v>
      </c>
      <c r="P18" s="105">
        <f>'13'!K18</f>
        <v>0</v>
      </c>
      <c r="Q18" s="105">
        <f>'14'!K18</f>
        <v>0</v>
      </c>
      <c r="R18" s="105">
        <f>'15'!K18</f>
        <v>0</v>
      </c>
      <c r="S18" s="105">
        <f>'16'!K18</f>
        <v>0</v>
      </c>
      <c r="T18" s="105">
        <f>'17'!K18</f>
        <v>0</v>
      </c>
      <c r="U18" s="105">
        <f>'18'!K18</f>
        <v>0</v>
      </c>
      <c r="V18" s="105">
        <f>'19'!K18</f>
        <v>0</v>
      </c>
      <c r="W18" s="105">
        <f>'20'!K18</f>
        <v>0</v>
      </c>
      <c r="X18" s="105">
        <f>'21'!K18</f>
        <v>0</v>
      </c>
      <c r="Y18" s="105">
        <f>'22'!K18</f>
        <v>0</v>
      </c>
      <c r="Z18" s="105">
        <f>'23'!K18</f>
        <v>0</v>
      </c>
      <c r="AA18" s="105">
        <f>'24'!K18</f>
        <v>0</v>
      </c>
      <c r="AB18" s="105">
        <f>'25'!K18</f>
        <v>0</v>
      </c>
      <c r="AC18" s="105">
        <f>'26'!K18</f>
        <v>0</v>
      </c>
      <c r="AD18" s="105">
        <f>'27'!K18</f>
        <v>0</v>
      </c>
      <c r="AE18" s="105">
        <f>'28'!K18</f>
        <v>0</v>
      </c>
      <c r="AF18" s="105"/>
      <c r="AG18" s="105">
        <f t="shared" si="0"/>
        <v>0</v>
      </c>
      <c r="AH18" s="211">
        <f t="shared" si="1"/>
        <v>0</v>
      </c>
    </row>
    <row r="19" spans="1:34" x14ac:dyDescent="0.25">
      <c r="A19" s="161"/>
      <c r="B19" s="119" t="s">
        <v>17</v>
      </c>
      <c r="C19" s="104" t="s">
        <v>6</v>
      </c>
      <c r="D19" s="105">
        <f>'1'!K19</f>
        <v>19000</v>
      </c>
      <c r="E19" s="105">
        <f>'2'!K19</f>
        <v>19000</v>
      </c>
      <c r="F19" s="105">
        <f>'3'!K19</f>
        <v>19000</v>
      </c>
      <c r="G19" s="105">
        <f>'4'!K19</f>
        <v>19000</v>
      </c>
      <c r="H19" s="105">
        <f>'5'!K19</f>
        <v>19000</v>
      </c>
      <c r="I19" s="105">
        <f>'6'!K19</f>
        <v>19000</v>
      </c>
      <c r="J19" s="105">
        <f>'7'!K19</f>
        <v>19000</v>
      </c>
      <c r="K19" s="105">
        <f>'8'!K19</f>
        <v>19000</v>
      </c>
      <c r="L19" s="105">
        <f>'9'!K19</f>
        <v>19000</v>
      </c>
      <c r="M19" s="105">
        <f>'10'!K19</f>
        <v>19000</v>
      </c>
      <c r="N19" s="105">
        <f>'11'!K19</f>
        <v>19000</v>
      </c>
      <c r="O19" s="105">
        <f>'12'!K19</f>
        <v>19000</v>
      </c>
      <c r="P19" s="105">
        <f>'13'!K19</f>
        <v>19000</v>
      </c>
      <c r="Q19" s="105">
        <f>'14'!K19</f>
        <v>19000</v>
      </c>
      <c r="R19" s="105">
        <f>'15'!K19</f>
        <v>19000</v>
      </c>
      <c r="S19" s="105">
        <f>'16'!K19</f>
        <v>19000</v>
      </c>
      <c r="T19" s="105">
        <f>'17'!K19</f>
        <v>19000</v>
      </c>
      <c r="U19" s="105">
        <f>'18'!K19</f>
        <v>19000</v>
      </c>
      <c r="V19" s="105">
        <f>'19'!K19</f>
        <v>19000</v>
      </c>
      <c r="W19" s="105">
        <f>'20'!K19</f>
        <v>19000</v>
      </c>
      <c r="X19" s="105">
        <f>'21'!K19</f>
        <v>19000</v>
      </c>
      <c r="Y19" s="105">
        <f>'22'!K19</f>
        <v>19000</v>
      </c>
      <c r="Z19" s="105">
        <f>'23'!K19</f>
        <v>19000</v>
      </c>
      <c r="AA19" s="105">
        <f>'24'!K19</f>
        <v>19000</v>
      </c>
      <c r="AB19" s="105">
        <f>'25'!K19</f>
        <v>19000</v>
      </c>
      <c r="AC19" s="105">
        <f>'26'!K19</f>
        <v>19000</v>
      </c>
      <c r="AD19" s="105">
        <f>'27'!K19</f>
        <v>19000</v>
      </c>
      <c r="AE19" s="105">
        <f>'28'!K19</f>
        <v>19000</v>
      </c>
      <c r="AF19" s="105"/>
      <c r="AG19" s="105">
        <f t="shared" si="0"/>
        <v>0</v>
      </c>
      <c r="AH19" s="211">
        <f t="shared" si="1"/>
        <v>19000</v>
      </c>
    </row>
    <row r="20" spans="1:34" x14ac:dyDescent="0.25">
      <c r="A20" s="159">
        <v>5</v>
      </c>
      <c r="B20" s="132" t="s">
        <v>18</v>
      </c>
      <c r="C20" s="132"/>
      <c r="D20" s="105">
        <f>'1'!K20</f>
        <v>0</v>
      </c>
      <c r="E20" s="105">
        <f>'2'!K20</f>
        <v>0</v>
      </c>
      <c r="F20" s="105">
        <f>'3'!K20</f>
        <v>0</v>
      </c>
      <c r="G20" s="105">
        <f>'4'!K20</f>
        <v>0</v>
      </c>
      <c r="H20" s="105">
        <f>'5'!K20</f>
        <v>0</v>
      </c>
      <c r="I20" s="105">
        <f>'6'!K20</f>
        <v>0</v>
      </c>
      <c r="J20" s="105">
        <f>'7'!K20</f>
        <v>0</v>
      </c>
      <c r="K20" s="105">
        <f>'8'!K20</f>
        <v>0</v>
      </c>
      <c r="L20" s="105">
        <f>'9'!K20</f>
        <v>0</v>
      </c>
      <c r="M20" s="105">
        <f>'10'!K20</f>
        <v>0</v>
      </c>
      <c r="N20" s="105">
        <f>'11'!K20</f>
        <v>0</v>
      </c>
      <c r="O20" s="105">
        <f>'12'!K20</f>
        <v>0</v>
      </c>
      <c r="P20" s="105">
        <f>'13'!K20</f>
        <v>0</v>
      </c>
      <c r="Q20" s="105">
        <f>'14'!K20</f>
        <v>0</v>
      </c>
      <c r="R20" s="105">
        <f>'15'!K20</f>
        <v>0</v>
      </c>
      <c r="S20" s="105">
        <f>'16'!K20</f>
        <v>0</v>
      </c>
      <c r="T20" s="105">
        <f>'17'!K20</f>
        <v>0</v>
      </c>
      <c r="U20" s="105">
        <f>'18'!K20</f>
        <v>0</v>
      </c>
      <c r="V20" s="105">
        <f>'19'!K20</f>
        <v>0</v>
      </c>
      <c r="W20" s="105">
        <f>'20'!K20</f>
        <v>0</v>
      </c>
      <c r="X20" s="105">
        <f>'21'!K20</f>
        <v>0</v>
      </c>
      <c r="Y20" s="105">
        <f>'22'!K20</f>
        <v>0</v>
      </c>
      <c r="Z20" s="105">
        <f>'23'!K20</f>
        <v>0</v>
      </c>
      <c r="AA20" s="105">
        <f>'24'!K20</f>
        <v>0</v>
      </c>
      <c r="AB20" s="105">
        <f>'25'!K20</f>
        <v>0</v>
      </c>
      <c r="AC20" s="105">
        <f>'26'!K20</f>
        <v>0</v>
      </c>
      <c r="AD20" s="105">
        <f>'27'!K20</f>
        <v>0</v>
      </c>
      <c r="AE20" s="105">
        <f>'28'!K20</f>
        <v>0</v>
      </c>
      <c r="AF20" s="105"/>
      <c r="AG20" s="105">
        <f t="shared" si="0"/>
        <v>0</v>
      </c>
      <c r="AH20" s="211">
        <f t="shared" si="1"/>
        <v>0</v>
      </c>
    </row>
    <row r="21" spans="1:34" x14ac:dyDescent="0.25">
      <c r="A21" s="160"/>
      <c r="B21" s="119" t="s">
        <v>19</v>
      </c>
      <c r="C21" s="104" t="s">
        <v>6</v>
      </c>
      <c r="D21" s="105">
        <f>'1'!K21</f>
        <v>118142.85714285714</v>
      </c>
      <c r="E21" s="105">
        <f>'2'!K21</f>
        <v>118142.85714285714</v>
      </c>
      <c r="F21" s="105">
        <f>'3'!K21</f>
        <v>118142.85714285714</v>
      </c>
      <c r="G21" s="105">
        <f>'4'!K21</f>
        <v>118142.85714285714</v>
      </c>
      <c r="H21" s="105">
        <f>'5'!K21</f>
        <v>118142.85714285714</v>
      </c>
      <c r="I21" s="105">
        <f>'6'!K21</f>
        <v>118142.85714285714</v>
      </c>
      <c r="J21" s="105">
        <f>'7'!K21</f>
        <v>118142.85714285714</v>
      </c>
      <c r="K21" s="105">
        <f>'8'!K21</f>
        <v>118142.85714285714</v>
      </c>
      <c r="L21" s="105">
        <f>'9'!K21</f>
        <v>118142.85714285714</v>
      </c>
      <c r="M21" s="105">
        <f>'10'!K21</f>
        <v>118142.85714285714</v>
      </c>
      <c r="N21" s="105">
        <f>'11'!K21</f>
        <v>118142.85714285714</v>
      </c>
      <c r="O21" s="105">
        <f>'12'!K21</f>
        <v>118142.85714285714</v>
      </c>
      <c r="P21" s="105">
        <f>'13'!K21</f>
        <v>118142.85714285714</v>
      </c>
      <c r="Q21" s="105">
        <f>'14'!K21</f>
        <v>118142.85714285714</v>
      </c>
      <c r="R21" s="105">
        <f>'15'!K21</f>
        <v>118142.85714285714</v>
      </c>
      <c r="S21" s="105">
        <f>'16'!K21</f>
        <v>118142.85714285714</v>
      </c>
      <c r="T21" s="105">
        <f>'17'!K21</f>
        <v>118142.85714285714</v>
      </c>
      <c r="U21" s="105">
        <f>'18'!K21</f>
        <v>118142.85714285714</v>
      </c>
      <c r="V21" s="105">
        <f>'19'!K21</f>
        <v>118142.85714285714</v>
      </c>
      <c r="W21" s="105">
        <f>'20'!K21</f>
        <v>118142.85714285714</v>
      </c>
      <c r="X21" s="105">
        <f>'21'!K21</f>
        <v>118142.85714285714</v>
      </c>
      <c r="Y21" s="105">
        <f>'22'!K21</f>
        <v>118142.85714285714</v>
      </c>
      <c r="Z21" s="105">
        <f>'23'!K21</f>
        <v>118142.85714285714</v>
      </c>
      <c r="AA21" s="105">
        <f>'24'!K21</f>
        <v>118142.85714285714</v>
      </c>
      <c r="AB21" s="105">
        <f>'25'!K21</f>
        <v>118142.85714285714</v>
      </c>
      <c r="AC21" s="105">
        <f>'26'!K21</f>
        <v>118142.85714285714</v>
      </c>
      <c r="AD21" s="105">
        <f>'27'!K21</f>
        <v>118142.85714285714</v>
      </c>
      <c r="AE21" s="105">
        <f>'28'!K21</f>
        <v>118142.85714285714</v>
      </c>
      <c r="AF21" s="105">
        <v>105000</v>
      </c>
      <c r="AG21" s="105">
        <f t="shared" si="0"/>
        <v>0</v>
      </c>
      <c r="AH21" s="211">
        <f t="shared" si="1"/>
        <v>118142.85714285716</v>
      </c>
    </row>
    <row r="22" spans="1:34" x14ac:dyDescent="0.25">
      <c r="A22" s="160"/>
      <c r="B22" s="119" t="s">
        <v>20</v>
      </c>
      <c r="C22" s="104" t="s">
        <v>6</v>
      </c>
      <c r="D22" s="105">
        <f>'1'!K22</f>
        <v>109142.85714285714</v>
      </c>
      <c r="E22" s="105">
        <f>'2'!K22</f>
        <v>114857.14285714286</v>
      </c>
      <c r="F22" s="105">
        <f>'3'!K22</f>
        <v>114857.14285714286</v>
      </c>
      <c r="G22" s="105">
        <f>'4'!K22</f>
        <v>109857.14285714286</v>
      </c>
      <c r="H22" s="105">
        <f>'5'!K22</f>
        <v>109857.14285714286</v>
      </c>
      <c r="I22" s="105">
        <f>'6'!K22</f>
        <v>109857.14285714286</v>
      </c>
      <c r="J22" s="105">
        <f>'7'!K22</f>
        <v>109857.14285714286</v>
      </c>
      <c r="K22" s="105">
        <f>'8'!K22</f>
        <v>109857.14285714286</v>
      </c>
      <c r="L22" s="105">
        <f>'9'!K22</f>
        <v>109857.14285714286</v>
      </c>
      <c r="M22" s="105">
        <f>'10'!K22</f>
        <v>109857.14285714286</v>
      </c>
      <c r="N22" s="105">
        <f>'11'!K22</f>
        <v>109857.14285714286</v>
      </c>
      <c r="O22" s="105">
        <f>'12'!K22</f>
        <v>109857.14285714286</v>
      </c>
      <c r="P22" s="105">
        <f>'13'!K22</f>
        <v>109857.14285714286</v>
      </c>
      <c r="Q22" s="105">
        <f>'14'!K22</f>
        <v>109857.14285714286</v>
      </c>
      <c r="R22" s="105">
        <f>'15'!K22</f>
        <v>109857.14285714286</v>
      </c>
      <c r="S22" s="105">
        <f>'16'!K22</f>
        <v>109857.14285714286</v>
      </c>
      <c r="T22" s="105">
        <f>'17'!K22</f>
        <v>109857.14285714286</v>
      </c>
      <c r="U22" s="105">
        <f>'18'!K22</f>
        <v>109857.14285714286</v>
      </c>
      <c r="V22" s="105">
        <f>'19'!K22</f>
        <v>109857.14285714286</v>
      </c>
      <c r="W22" s="105">
        <f>'20'!K22</f>
        <v>109857.14285714286</v>
      </c>
      <c r="X22" s="105">
        <f>'21'!K22</f>
        <v>109857.14285714286</v>
      </c>
      <c r="Y22" s="105">
        <f>'22'!K22</f>
        <v>109857.14285714286</v>
      </c>
      <c r="Z22" s="105">
        <f>'23'!K22</f>
        <v>109857.14285714286</v>
      </c>
      <c r="AA22" s="105">
        <f>'24'!K22</f>
        <v>109857.14285714286</v>
      </c>
      <c r="AB22" s="105">
        <f>'25'!K22</f>
        <v>109857.14285714286</v>
      </c>
      <c r="AC22" s="105">
        <f>'26'!K22</f>
        <v>109857.14285714286</v>
      </c>
      <c r="AD22" s="105">
        <f>'27'!K22</f>
        <v>109857.14285714286</v>
      </c>
      <c r="AE22" s="105">
        <f>'28'!K22</f>
        <v>109857.14285714286</v>
      </c>
      <c r="AF22" s="105">
        <v>80000</v>
      </c>
      <c r="AG22" s="105">
        <f t="shared" si="0"/>
        <v>714.28571428571013</v>
      </c>
      <c r="AH22" s="211">
        <f t="shared" si="1"/>
        <v>110188.77551020407</v>
      </c>
    </row>
    <row r="23" spans="1:34" x14ac:dyDescent="0.25">
      <c r="A23" s="160"/>
      <c r="B23" s="119" t="s">
        <v>21</v>
      </c>
      <c r="C23" s="104" t="s">
        <v>6</v>
      </c>
      <c r="D23" s="105">
        <f>'1'!K23</f>
        <v>99166.666666666672</v>
      </c>
      <c r="E23" s="105">
        <f>'2'!K23</f>
        <v>100000</v>
      </c>
      <c r="F23" s="105">
        <f>'3'!K23</f>
        <v>100000</v>
      </c>
      <c r="G23" s="105">
        <f>'4'!K23</f>
        <v>100000</v>
      </c>
      <c r="H23" s="105">
        <f>'5'!K23</f>
        <v>100000</v>
      </c>
      <c r="I23" s="105">
        <f>'6'!K23</f>
        <v>100000</v>
      </c>
      <c r="J23" s="105">
        <f>'7'!K23</f>
        <v>100000</v>
      </c>
      <c r="K23" s="105">
        <f>'8'!K23</f>
        <v>100000</v>
      </c>
      <c r="L23" s="105">
        <f>'9'!K23</f>
        <v>100000</v>
      </c>
      <c r="M23" s="105">
        <f>'10'!K23</f>
        <v>100000</v>
      </c>
      <c r="N23" s="105">
        <f>'11'!K23</f>
        <v>100000</v>
      </c>
      <c r="O23" s="105">
        <f>'12'!K23</f>
        <v>100000</v>
      </c>
      <c r="P23" s="105">
        <f>'13'!K23</f>
        <v>100000</v>
      </c>
      <c r="Q23" s="105">
        <f>'14'!K23</f>
        <v>100000</v>
      </c>
      <c r="R23" s="105">
        <f>'15'!K23</f>
        <v>100000</v>
      </c>
      <c r="S23" s="105">
        <f>'16'!K23</f>
        <v>100000</v>
      </c>
      <c r="T23" s="105">
        <f>'17'!K23</f>
        <v>100000</v>
      </c>
      <c r="U23" s="105">
        <f>'18'!K23</f>
        <v>100000</v>
      </c>
      <c r="V23" s="105">
        <f>'19'!K23</f>
        <v>100000</v>
      </c>
      <c r="W23" s="105">
        <f>'20'!K23</f>
        <v>100000</v>
      </c>
      <c r="X23" s="105">
        <f>'21'!K23</f>
        <v>100000</v>
      </c>
      <c r="Y23" s="105">
        <f>'22'!K23</f>
        <v>100000</v>
      </c>
      <c r="Z23" s="105">
        <f>'23'!K23</f>
        <v>100000</v>
      </c>
      <c r="AA23" s="105">
        <f>'24'!K23</f>
        <v>100000</v>
      </c>
      <c r="AB23" s="105">
        <f>'25'!K23</f>
        <v>100000</v>
      </c>
      <c r="AC23" s="105">
        <f>'26'!K23</f>
        <v>100000</v>
      </c>
      <c r="AD23" s="105">
        <f>'27'!K23</f>
        <v>100000</v>
      </c>
      <c r="AE23" s="105">
        <f>'28'!K23</f>
        <v>100000</v>
      </c>
      <c r="AF23" s="105">
        <v>80000</v>
      </c>
      <c r="AG23" s="105">
        <f t="shared" si="0"/>
        <v>833.33333333332848</v>
      </c>
      <c r="AH23" s="211">
        <f t="shared" si="1"/>
        <v>99970.238095238106</v>
      </c>
    </row>
    <row r="24" spans="1:34" x14ac:dyDescent="0.25">
      <c r="A24" s="161"/>
      <c r="B24" s="119" t="s">
        <v>22</v>
      </c>
      <c r="C24" s="104" t="s">
        <v>6</v>
      </c>
      <c r="D24" s="105">
        <f>'1'!K24</f>
        <v>29714.285714285714</v>
      </c>
      <c r="E24" s="105">
        <f>'2'!K24</f>
        <v>30285.714285714286</v>
      </c>
      <c r="F24" s="105">
        <f>'3'!K24</f>
        <v>30714.285714285714</v>
      </c>
      <c r="G24" s="105">
        <f>'4'!K24</f>
        <v>30714.285714285714</v>
      </c>
      <c r="H24" s="105">
        <f>'5'!K24</f>
        <v>30428.571428571428</v>
      </c>
      <c r="I24" s="105">
        <f>'6'!K24</f>
        <v>30714.285714285714</v>
      </c>
      <c r="J24" s="105">
        <f>'7'!K24</f>
        <v>30714.285714285714</v>
      </c>
      <c r="K24" s="105">
        <f>'8'!K24</f>
        <v>30857.142857142859</v>
      </c>
      <c r="L24" s="105">
        <f>'9'!K24</f>
        <v>31142.857142857141</v>
      </c>
      <c r="M24" s="105">
        <f>'10'!K24</f>
        <v>31142.857142857141</v>
      </c>
      <c r="N24" s="105">
        <f>'11'!K24</f>
        <v>31142.857142857141</v>
      </c>
      <c r="O24" s="105">
        <f>'12'!K24</f>
        <v>30857.142857142859</v>
      </c>
      <c r="P24" s="105">
        <f>'13'!K24</f>
        <v>30857.142857142859</v>
      </c>
      <c r="Q24" s="105">
        <f>'14'!K24</f>
        <v>30857.142857142859</v>
      </c>
      <c r="R24" s="105">
        <f>'15'!K24</f>
        <v>31142.857142857141</v>
      </c>
      <c r="S24" s="105">
        <f>'16'!K24</f>
        <v>31000</v>
      </c>
      <c r="T24" s="105">
        <f>'17'!K24</f>
        <v>30571.428571428572</v>
      </c>
      <c r="U24" s="105">
        <f>'18'!K24</f>
        <v>30571.428571428572</v>
      </c>
      <c r="V24" s="105">
        <f>'19'!K24</f>
        <v>30285.714285714286</v>
      </c>
      <c r="W24" s="105">
        <f>'20'!K24</f>
        <v>30000</v>
      </c>
      <c r="X24" s="105">
        <f>'21'!K24</f>
        <v>30285.714285714286</v>
      </c>
      <c r="Y24" s="105">
        <f>'22'!K24</f>
        <v>30285.714285714286</v>
      </c>
      <c r="Z24" s="105">
        <f>'23'!K24</f>
        <v>30428.571428571428</v>
      </c>
      <c r="AA24" s="105">
        <f>'24'!K24</f>
        <v>31000</v>
      </c>
      <c r="AB24" s="105">
        <f>'25'!K24</f>
        <v>30714.285714285714</v>
      </c>
      <c r="AC24" s="105">
        <f>'26'!K24</f>
        <v>30857.142857142859</v>
      </c>
      <c r="AD24" s="105">
        <f>'27'!K24</f>
        <v>30857.142857142859</v>
      </c>
      <c r="AE24" s="105">
        <f>'28'!K24</f>
        <v>30857.142857142859</v>
      </c>
      <c r="AF24" s="105">
        <v>36750</v>
      </c>
      <c r="AG24" s="105">
        <f t="shared" si="0"/>
        <v>1142.8571428571449</v>
      </c>
      <c r="AH24" s="211">
        <f t="shared" si="1"/>
        <v>30678.571428571428</v>
      </c>
    </row>
    <row r="25" spans="1:34" x14ac:dyDescent="0.25">
      <c r="A25" s="159">
        <v>6</v>
      </c>
      <c r="B25" s="132" t="s">
        <v>23</v>
      </c>
      <c r="C25" s="132"/>
      <c r="D25" s="105">
        <f>'1'!K25</f>
        <v>0</v>
      </c>
      <c r="E25" s="105">
        <f>'2'!K25</f>
        <v>0</v>
      </c>
      <c r="F25" s="105">
        <f>'3'!K25</f>
        <v>0</v>
      </c>
      <c r="G25" s="105">
        <f>'4'!K25</f>
        <v>0</v>
      </c>
      <c r="H25" s="105">
        <f>'5'!K25</f>
        <v>0</v>
      </c>
      <c r="I25" s="105">
        <f>'6'!K25</f>
        <v>0</v>
      </c>
      <c r="J25" s="105">
        <f>'7'!K25</f>
        <v>0</v>
      </c>
      <c r="K25" s="105">
        <f>'8'!K25</f>
        <v>0</v>
      </c>
      <c r="L25" s="105">
        <f>'9'!K25</f>
        <v>0</v>
      </c>
      <c r="M25" s="105">
        <f>'10'!K25</f>
        <v>0</v>
      </c>
      <c r="N25" s="105">
        <f>'11'!K25</f>
        <v>0</v>
      </c>
      <c r="O25" s="105">
        <f>'12'!K25</f>
        <v>0</v>
      </c>
      <c r="P25" s="105">
        <f>'13'!K25</f>
        <v>0</v>
      </c>
      <c r="Q25" s="105">
        <f>'14'!K25</f>
        <v>0</v>
      </c>
      <c r="R25" s="105">
        <f>'15'!K25</f>
        <v>0</v>
      </c>
      <c r="S25" s="105">
        <f>'16'!K25</f>
        <v>0</v>
      </c>
      <c r="T25" s="105">
        <f>'17'!K25</f>
        <v>0</v>
      </c>
      <c r="U25" s="105">
        <f>'18'!K25</f>
        <v>0</v>
      </c>
      <c r="V25" s="105">
        <f>'19'!K25</f>
        <v>0</v>
      </c>
      <c r="W25" s="105">
        <f>'20'!K25</f>
        <v>0</v>
      </c>
      <c r="X25" s="105">
        <f>'21'!K25</f>
        <v>0</v>
      </c>
      <c r="Y25" s="105">
        <f>'22'!K25</f>
        <v>0</v>
      </c>
      <c r="Z25" s="105">
        <f>'23'!K25</f>
        <v>0</v>
      </c>
      <c r="AA25" s="105">
        <f>'24'!K25</f>
        <v>0</v>
      </c>
      <c r="AB25" s="105">
        <f>'25'!K25</f>
        <v>0</v>
      </c>
      <c r="AC25" s="105">
        <f>'26'!K25</f>
        <v>0</v>
      </c>
      <c r="AD25" s="105">
        <f>'27'!K25</f>
        <v>0</v>
      </c>
      <c r="AE25" s="105">
        <f>'28'!K25</f>
        <v>0</v>
      </c>
      <c r="AF25" s="105"/>
      <c r="AG25" s="105">
        <f t="shared" si="0"/>
        <v>0</v>
      </c>
      <c r="AH25" s="211">
        <f t="shared" si="1"/>
        <v>0</v>
      </c>
    </row>
    <row r="26" spans="1:34" x14ac:dyDescent="0.25">
      <c r="A26" s="160"/>
      <c r="B26" s="119" t="s">
        <v>24</v>
      </c>
      <c r="C26" s="104" t="s">
        <v>6</v>
      </c>
      <c r="D26" s="105">
        <f>'1'!K26</f>
        <v>37714.285714285717</v>
      </c>
      <c r="E26" s="105">
        <f>'2'!K26</f>
        <v>37714.285714285717</v>
      </c>
      <c r="F26" s="105">
        <f>'3'!K26</f>
        <v>38571.428571428572</v>
      </c>
      <c r="G26" s="105">
        <f>'4'!K26</f>
        <v>38571.428571428572</v>
      </c>
      <c r="H26" s="105">
        <f>'5'!K26</f>
        <v>39571.428571428572</v>
      </c>
      <c r="I26" s="105">
        <f>'6'!K26</f>
        <v>39571.428571428572</v>
      </c>
      <c r="J26" s="105">
        <f>'7'!K26</f>
        <v>38857.142857142855</v>
      </c>
      <c r="K26" s="105">
        <f>'8'!K26</f>
        <v>39571.428571428572</v>
      </c>
      <c r="L26" s="105">
        <f>'9'!K26</f>
        <v>39285.714285714283</v>
      </c>
      <c r="M26" s="105">
        <f>'10'!K26</f>
        <v>38857.142857142855</v>
      </c>
      <c r="N26" s="105">
        <f>'11'!K26</f>
        <v>37714.285714285717</v>
      </c>
      <c r="O26" s="105">
        <f>'12'!K26</f>
        <v>37714.285714285717</v>
      </c>
      <c r="P26" s="105">
        <f>'13'!K26</f>
        <v>37714.285714285717</v>
      </c>
      <c r="Q26" s="105">
        <f>'14'!K26</f>
        <v>37500</v>
      </c>
      <c r="R26" s="105">
        <f>'15'!K26</f>
        <v>37428.571428571428</v>
      </c>
      <c r="S26" s="105">
        <f>'16'!K26</f>
        <v>37428.571428571428</v>
      </c>
      <c r="T26" s="105">
        <f>'17'!K26</f>
        <v>37428.571428571428</v>
      </c>
      <c r="U26" s="105">
        <f>'18'!K26</f>
        <v>36857.142857142855</v>
      </c>
      <c r="V26" s="105">
        <f>'19'!K26</f>
        <v>36857.142857142855</v>
      </c>
      <c r="W26" s="105">
        <f>'20'!K26</f>
        <v>37142.857142857145</v>
      </c>
      <c r="X26" s="105">
        <f>'21'!K26</f>
        <v>37142.857142857145</v>
      </c>
      <c r="Y26" s="105">
        <f>'22'!K26</f>
        <v>37166.666666666664</v>
      </c>
      <c r="Z26" s="105">
        <f>'23'!K26</f>
        <v>38000</v>
      </c>
      <c r="AA26" s="105">
        <f>'24'!K26</f>
        <v>38000</v>
      </c>
      <c r="AB26" s="105">
        <f>'25'!K26</f>
        <v>38666.666666666664</v>
      </c>
      <c r="AC26" s="105">
        <f>'26'!K26</f>
        <v>38666.666666666664</v>
      </c>
      <c r="AD26" s="105">
        <f>'27'!K26</f>
        <v>38666.666666666664</v>
      </c>
      <c r="AE26" s="105">
        <f>'28'!K26</f>
        <v>37000</v>
      </c>
      <c r="AF26" s="105"/>
      <c r="AG26" s="105">
        <f t="shared" si="0"/>
        <v>-714.2857142857174</v>
      </c>
      <c r="AH26" s="211">
        <f t="shared" si="1"/>
        <v>38049.319727891161</v>
      </c>
    </row>
    <row r="27" spans="1:34" x14ac:dyDescent="0.25">
      <c r="A27" s="160"/>
      <c r="B27" s="119" t="s">
        <v>25</v>
      </c>
      <c r="C27" s="104" t="s">
        <v>6</v>
      </c>
      <c r="D27" s="105">
        <f>'1'!K27</f>
        <v>28500</v>
      </c>
      <c r="E27" s="105">
        <f>'2'!K27</f>
        <v>28500</v>
      </c>
      <c r="F27" s="105">
        <f>'3'!K27</f>
        <v>28500</v>
      </c>
      <c r="G27" s="105">
        <f>'4'!K27</f>
        <v>28500</v>
      </c>
      <c r="H27" s="105">
        <f>'5'!K27</f>
        <v>28500</v>
      </c>
      <c r="I27" s="105">
        <f>'6'!K27</f>
        <v>28166.666666666668</v>
      </c>
      <c r="J27" s="105">
        <f>'7'!K27</f>
        <v>28166.666666666668</v>
      </c>
      <c r="K27" s="105">
        <f>'8'!K27</f>
        <v>28166.666666666668</v>
      </c>
      <c r="L27" s="105">
        <f>'9'!K27</f>
        <v>28166.666666666668</v>
      </c>
      <c r="M27" s="105">
        <f>'10'!K27</f>
        <v>28500</v>
      </c>
      <c r="N27" s="105">
        <f>'11'!K27</f>
        <v>28500</v>
      </c>
      <c r="O27" s="105">
        <f>'12'!K27</f>
        <v>28500</v>
      </c>
      <c r="P27" s="105">
        <f>'13'!K27</f>
        <v>28500</v>
      </c>
      <c r="Q27" s="105">
        <f>'14'!K27</f>
        <v>28500</v>
      </c>
      <c r="R27" s="105">
        <f>'15'!K27</f>
        <v>28500</v>
      </c>
      <c r="S27" s="105">
        <f>'16'!K27</f>
        <v>28166.666666666668</v>
      </c>
      <c r="T27" s="105">
        <f>'17'!K27</f>
        <v>28500</v>
      </c>
      <c r="U27" s="105">
        <f>'18'!K27</f>
        <v>28500</v>
      </c>
      <c r="V27" s="105">
        <f>'19'!K27</f>
        <v>28500</v>
      </c>
      <c r="W27" s="105">
        <f>'20'!K27</f>
        <v>28500</v>
      </c>
      <c r="X27" s="105">
        <f>'21'!K27</f>
        <v>28500</v>
      </c>
      <c r="Y27" s="105">
        <f>'22'!K27</f>
        <v>28500</v>
      </c>
      <c r="Z27" s="105">
        <f>'23'!K27</f>
        <v>28500</v>
      </c>
      <c r="AA27" s="105">
        <f>'24'!K27</f>
        <v>28500</v>
      </c>
      <c r="AB27" s="105">
        <f>'25'!K27</f>
        <v>28500</v>
      </c>
      <c r="AC27" s="105">
        <f>'26'!K27</f>
        <v>28500</v>
      </c>
      <c r="AD27" s="105">
        <f>'27'!K27</f>
        <v>28500</v>
      </c>
      <c r="AE27" s="105">
        <f>'28'!K27</f>
        <v>28500</v>
      </c>
      <c r="AF27" s="105"/>
      <c r="AG27" s="105">
        <f t="shared" si="0"/>
        <v>0</v>
      </c>
      <c r="AH27" s="211">
        <f t="shared" si="1"/>
        <v>28440.476190476187</v>
      </c>
    </row>
    <row r="28" spans="1:34" x14ac:dyDescent="0.25">
      <c r="A28" s="160"/>
      <c r="B28" s="119" t="s">
        <v>26</v>
      </c>
      <c r="C28" s="104" t="s">
        <v>6</v>
      </c>
      <c r="D28" s="105">
        <f>'1'!K28</f>
        <v>64333.333333333336</v>
      </c>
      <c r="E28" s="105">
        <f>'2'!K28</f>
        <v>63833.333333333336</v>
      </c>
      <c r="F28" s="105">
        <f>'3'!K28</f>
        <v>63833.333333333336</v>
      </c>
      <c r="G28" s="105">
        <f>'4'!K28</f>
        <v>63833.333333333336</v>
      </c>
      <c r="H28" s="105">
        <f>'5'!K28</f>
        <v>65500</v>
      </c>
      <c r="I28" s="105">
        <f>'6'!K28</f>
        <v>63833.333333333336</v>
      </c>
      <c r="J28" s="105">
        <f>'7'!K28</f>
        <v>64666.666666666664</v>
      </c>
      <c r="K28" s="105">
        <f>'8'!K28</f>
        <v>66333.333333333328</v>
      </c>
      <c r="L28" s="105">
        <f>'9'!K28</f>
        <v>66333.333333333328</v>
      </c>
      <c r="M28" s="105">
        <f>'10'!K28</f>
        <v>66333.333333333328</v>
      </c>
      <c r="N28" s="105">
        <f>'11'!K28</f>
        <v>66333.333333333328</v>
      </c>
      <c r="O28" s="105">
        <f>'12'!K28</f>
        <v>65500</v>
      </c>
      <c r="P28" s="105">
        <f>'13'!K28</f>
        <v>65500</v>
      </c>
      <c r="Q28" s="105">
        <f>'14'!K28</f>
        <v>65500</v>
      </c>
      <c r="R28" s="105">
        <f>'15'!K28</f>
        <v>65500</v>
      </c>
      <c r="S28" s="105">
        <f>'16'!K28</f>
        <v>65500</v>
      </c>
      <c r="T28" s="105">
        <f>'17'!K28</f>
        <v>67166.666666666672</v>
      </c>
      <c r="U28" s="105">
        <f>'18'!K28</f>
        <v>67166.666666666672</v>
      </c>
      <c r="V28" s="105">
        <f>'19'!K28</f>
        <v>67166.666666666672</v>
      </c>
      <c r="W28" s="105">
        <f>'20'!K28</f>
        <v>67166.666666666672</v>
      </c>
      <c r="X28" s="105">
        <f>'21'!K28</f>
        <v>68000</v>
      </c>
      <c r="Y28" s="105">
        <f>'22'!K28</f>
        <v>66333.333333333328</v>
      </c>
      <c r="Z28" s="105">
        <f>'23'!K28</f>
        <v>66333.333333333328</v>
      </c>
      <c r="AA28" s="105">
        <f>'24'!K28</f>
        <v>66333.333333333328</v>
      </c>
      <c r="AB28" s="105">
        <f>'25'!K28</f>
        <v>67166.666666666672</v>
      </c>
      <c r="AC28" s="105">
        <f>'26'!K28</f>
        <v>67166.666666666672</v>
      </c>
      <c r="AD28" s="105">
        <f>'27'!K28</f>
        <v>67166.666666666672</v>
      </c>
      <c r="AE28" s="105">
        <f>'28'!K28</f>
        <v>67166.666666666672</v>
      </c>
      <c r="AF28" s="105"/>
      <c r="AG28" s="105">
        <f t="shared" si="0"/>
        <v>2833.3333333333358</v>
      </c>
      <c r="AH28" s="211">
        <f t="shared" si="1"/>
        <v>65964.285714285725</v>
      </c>
    </row>
    <row r="29" spans="1:34" x14ac:dyDescent="0.25">
      <c r="A29" s="160"/>
      <c r="B29" s="119" t="s">
        <v>27</v>
      </c>
      <c r="C29" s="104" t="s">
        <v>6</v>
      </c>
      <c r="D29" s="105">
        <f>'1'!K29</f>
        <v>24500</v>
      </c>
      <c r="E29" s="105">
        <f>'2'!K29</f>
        <v>24500</v>
      </c>
      <c r="F29" s="105">
        <f>'3'!K29</f>
        <v>24500</v>
      </c>
      <c r="G29" s="105">
        <f>'4'!K29</f>
        <v>24500</v>
      </c>
      <c r="H29" s="105">
        <f>'5'!K29</f>
        <v>24500</v>
      </c>
      <c r="I29" s="105">
        <f>'6'!K29</f>
        <v>24500</v>
      </c>
      <c r="J29" s="105">
        <f>'7'!K29</f>
        <v>24500</v>
      </c>
      <c r="K29" s="105">
        <f>'8'!K29</f>
        <v>24500</v>
      </c>
      <c r="L29" s="105">
        <f>'9'!K29</f>
        <v>24500</v>
      </c>
      <c r="M29" s="105">
        <f>'10'!K29</f>
        <v>24500</v>
      </c>
      <c r="N29" s="105">
        <f>'11'!K29</f>
        <v>24500</v>
      </c>
      <c r="O29" s="105">
        <f>'12'!K29</f>
        <v>24333.333333333332</v>
      </c>
      <c r="P29" s="105">
        <f>'13'!K29</f>
        <v>24333.333333333332</v>
      </c>
      <c r="Q29" s="105">
        <f>'14'!K29</f>
        <v>24333.333333333332</v>
      </c>
      <c r="R29" s="105">
        <f>'15'!K29</f>
        <v>24333.333333333332</v>
      </c>
      <c r="S29" s="105">
        <f>'16'!K29</f>
        <v>24333.333333333332</v>
      </c>
      <c r="T29" s="105">
        <f>'17'!K29</f>
        <v>24333.333333333332</v>
      </c>
      <c r="U29" s="105">
        <f>'18'!K29</f>
        <v>24333.333333333332</v>
      </c>
      <c r="V29" s="105">
        <f>'19'!K29</f>
        <v>24333.333333333332</v>
      </c>
      <c r="W29" s="105">
        <f>'20'!K29</f>
        <v>24333.333333333332</v>
      </c>
      <c r="X29" s="105">
        <f>'21'!K29</f>
        <v>24333.333333333332</v>
      </c>
      <c r="Y29" s="105">
        <f>'22'!K29</f>
        <v>24333.333333333332</v>
      </c>
      <c r="Z29" s="105">
        <f>'23'!K29</f>
        <v>24333.333333333332</v>
      </c>
      <c r="AA29" s="105">
        <f>'24'!K29</f>
        <v>24333.333333333332</v>
      </c>
      <c r="AB29" s="105">
        <f>'25'!K29</f>
        <v>24333.333333333332</v>
      </c>
      <c r="AC29" s="105">
        <f>'26'!K29</f>
        <v>24333.333333333332</v>
      </c>
      <c r="AD29" s="105">
        <f>'27'!K29</f>
        <v>24333.333333333332</v>
      </c>
      <c r="AE29" s="105">
        <f>'28'!K29</f>
        <v>24333.333333333332</v>
      </c>
      <c r="AF29" s="105"/>
      <c r="AG29" s="105">
        <f t="shared" si="0"/>
        <v>-166.66666666666788</v>
      </c>
      <c r="AH29" s="211">
        <f t="shared" si="1"/>
        <v>24398.809523809527</v>
      </c>
    </row>
    <row r="30" spans="1:34" x14ac:dyDescent="0.25">
      <c r="A30" s="160"/>
      <c r="B30" s="119" t="s">
        <v>28</v>
      </c>
      <c r="C30" s="104" t="s">
        <v>6</v>
      </c>
      <c r="D30" s="105">
        <f>'1'!K30</f>
        <v>37142.857142857145</v>
      </c>
      <c r="E30" s="105">
        <f>'2'!K30</f>
        <v>37428.571428571428</v>
      </c>
      <c r="F30" s="105">
        <f>'3'!K30</f>
        <v>36000</v>
      </c>
      <c r="G30" s="105">
        <f>'4'!K30</f>
        <v>36000</v>
      </c>
      <c r="H30" s="105">
        <f>'5'!K30</f>
        <v>36000</v>
      </c>
      <c r="I30" s="105">
        <f>'6'!K30</f>
        <v>36285.714285714283</v>
      </c>
      <c r="J30" s="105">
        <f>'7'!K30</f>
        <v>36571.428571428572</v>
      </c>
      <c r="K30" s="105">
        <f>'8'!K30</f>
        <v>36571.428571428572</v>
      </c>
      <c r="L30" s="105">
        <f>'9'!K30</f>
        <v>36571.428571428572</v>
      </c>
      <c r="M30" s="105">
        <f>'10'!K30</f>
        <v>36571.428571428572</v>
      </c>
      <c r="N30" s="105">
        <f>'11'!K30</f>
        <v>36571.428571428572</v>
      </c>
      <c r="O30" s="105">
        <f>'12'!K30</f>
        <v>36571.428571428572</v>
      </c>
      <c r="P30" s="105">
        <f>'13'!K30</f>
        <v>36571.428571428572</v>
      </c>
      <c r="Q30" s="105">
        <f>'14'!K30</f>
        <v>36571.428571428572</v>
      </c>
      <c r="R30" s="105">
        <f>'15'!K30</f>
        <v>38000</v>
      </c>
      <c r="S30" s="105">
        <f>'16'!K30</f>
        <v>37714.285714285717</v>
      </c>
      <c r="T30" s="105">
        <f>'17'!K30</f>
        <v>38571.428571428572</v>
      </c>
      <c r="U30" s="105">
        <f>'18'!K30</f>
        <v>38571.428571428572</v>
      </c>
      <c r="V30" s="105">
        <f>'19'!K30</f>
        <v>38571.428571428572</v>
      </c>
      <c r="W30" s="105">
        <f>'20'!K30</f>
        <v>38285.714285714283</v>
      </c>
      <c r="X30" s="105">
        <f>'21'!K30</f>
        <v>38285.714285714283</v>
      </c>
      <c r="Y30" s="105">
        <f>'22'!K30</f>
        <v>37714.285714285717</v>
      </c>
      <c r="Z30" s="105">
        <f>'23'!K30</f>
        <v>37000</v>
      </c>
      <c r="AA30" s="105">
        <f>'24'!K30</f>
        <v>36714.285714285717</v>
      </c>
      <c r="AB30" s="105">
        <f>'25'!K30</f>
        <v>36428.571428571428</v>
      </c>
      <c r="AC30" s="105">
        <f>'26'!K30</f>
        <v>36428.571428571428</v>
      </c>
      <c r="AD30" s="105">
        <f>'27'!K30</f>
        <v>36428.571428571428</v>
      </c>
      <c r="AE30" s="105">
        <f>'28'!K30</f>
        <v>37142.857142857145</v>
      </c>
      <c r="AF30" s="105"/>
      <c r="AG30" s="105">
        <f t="shared" si="0"/>
        <v>0</v>
      </c>
      <c r="AH30" s="211">
        <f t="shared" si="1"/>
        <v>37045.918367346938</v>
      </c>
    </row>
    <row r="31" spans="1:34" x14ac:dyDescent="0.25">
      <c r="A31" s="161"/>
      <c r="B31" s="119" t="s">
        <v>29</v>
      </c>
      <c r="C31" s="104" t="s">
        <v>6</v>
      </c>
      <c r="D31" s="105">
        <f>'1'!K31</f>
        <v>84000</v>
      </c>
      <c r="E31" s="105">
        <f>'2'!K31</f>
        <v>84000</v>
      </c>
      <c r="F31" s="105">
        <f>'3'!K31</f>
        <v>84000</v>
      </c>
      <c r="G31" s="105">
        <f>'4'!K31</f>
        <v>80000</v>
      </c>
      <c r="H31" s="105">
        <f>'5'!K31</f>
        <v>82000</v>
      </c>
      <c r="I31" s="105">
        <f>'6'!K31</f>
        <v>80000</v>
      </c>
      <c r="J31" s="105">
        <f>'7'!K31</f>
        <v>80000</v>
      </c>
      <c r="K31" s="105">
        <f>'8'!K31</f>
        <v>80000</v>
      </c>
      <c r="L31" s="105">
        <f>'9'!K31</f>
        <v>80000</v>
      </c>
      <c r="M31" s="105">
        <f>'10'!K31</f>
        <v>80000</v>
      </c>
      <c r="N31" s="105">
        <f>'11'!K31</f>
        <v>80000</v>
      </c>
      <c r="O31" s="105">
        <f>'12'!K31</f>
        <v>87500</v>
      </c>
      <c r="P31" s="105">
        <f>'13'!K31</f>
        <v>87500</v>
      </c>
      <c r="Q31" s="105">
        <f>'14'!K31</f>
        <v>85000</v>
      </c>
      <c r="R31" s="105">
        <f>'15'!K31</f>
        <v>85000</v>
      </c>
      <c r="S31" s="105">
        <f>'16'!K31</f>
        <v>85000</v>
      </c>
      <c r="T31" s="105">
        <f>'17'!K31</f>
        <v>85000</v>
      </c>
      <c r="U31" s="105">
        <f>'18'!K31</f>
        <v>85000</v>
      </c>
      <c r="V31" s="105">
        <f>'19'!K31</f>
        <v>85000</v>
      </c>
      <c r="W31" s="105">
        <f>'20'!K31</f>
        <v>85000</v>
      </c>
      <c r="X31" s="105">
        <f>'21'!K31</f>
        <v>87500</v>
      </c>
      <c r="Y31" s="105">
        <f>'22'!K31</f>
        <v>85000</v>
      </c>
      <c r="Z31" s="105">
        <f>'23'!K31</f>
        <v>85000</v>
      </c>
      <c r="AA31" s="105">
        <f>'24'!K31</f>
        <v>85000</v>
      </c>
      <c r="AB31" s="105">
        <f>'25'!K31</f>
        <v>85000</v>
      </c>
      <c r="AC31" s="105">
        <f>'26'!K31</f>
        <v>85000</v>
      </c>
      <c r="AD31" s="105">
        <f>'27'!K31</f>
        <v>85000</v>
      </c>
      <c r="AE31" s="105">
        <f>'28'!K31</f>
        <v>85000</v>
      </c>
      <c r="AF31" s="105"/>
      <c r="AG31" s="105">
        <f t="shared" si="0"/>
        <v>1000</v>
      </c>
      <c r="AH31" s="211">
        <f t="shared" si="1"/>
        <v>83803.571428571435</v>
      </c>
    </row>
    <row r="32" spans="1:34" x14ac:dyDescent="0.25">
      <c r="A32" s="159">
        <v>7</v>
      </c>
      <c r="B32" s="132" t="s">
        <v>30</v>
      </c>
      <c r="C32" s="132"/>
      <c r="D32" s="105">
        <f>'1'!K32</f>
        <v>0</v>
      </c>
      <c r="E32" s="105">
        <f>'2'!K32</f>
        <v>0</v>
      </c>
      <c r="F32" s="105">
        <f>'3'!K32</f>
        <v>0</v>
      </c>
      <c r="G32" s="105">
        <f>'4'!K32</f>
        <v>0</v>
      </c>
      <c r="H32" s="105">
        <f>'5'!K32</f>
        <v>0</v>
      </c>
      <c r="I32" s="105">
        <f>'6'!K32</f>
        <v>0</v>
      </c>
      <c r="J32" s="105">
        <f>'7'!K32</f>
        <v>0</v>
      </c>
      <c r="K32" s="105">
        <f>'8'!K32</f>
        <v>0</v>
      </c>
      <c r="L32" s="105">
        <f>'9'!K32</f>
        <v>0</v>
      </c>
      <c r="M32" s="105">
        <f>'10'!K32</f>
        <v>0</v>
      </c>
      <c r="N32" s="105">
        <f>'11'!K32</f>
        <v>0</v>
      </c>
      <c r="O32" s="105">
        <f>'12'!K32</f>
        <v>0</v>
      </c>
      <c r="P32" s="105">
        <f>'13'!K32</f>
        <v>0</v>
      </c>
      <c r="Q32" s="105">
        <f>'14'!K32</f>
        <v>0</v>
      </c>
      <c r="R32" s="105">
        <f>'15'!K32</f>
        <v>0</v>
      </c>
      <c r="S32" s="105">
        <f>'16'!K32</f>
        <v>0</v>
      </c>
      <c r="T32" s="105">
        <f>'17'!K32</f>
        <v>0</v>
      </c>
      <c r="U32" s="105">
        <f>'18'!K32</f>
        <v>0</v>
      </c>
      <c r="V32" s="105">
        <f>'19'!K32</f>
        <v>0</v>
      </c>
      <c r="W32" s="105">
        <f>'20'!K32</f>
        <v>0</v>
      </c>
      <c r="X32" s="105">
        <f>'21'!K32</f>
        <v>0</v>
      </c>
      <c r="Y32" s="105">
        <f>'22'!K32</f>
        <v>0</v>
      </c>
      <c r="Z32" s="105">
        <f>'23'!K32</f>
        <v>0</v>
      </c>
      <c r="AA32" s="105">
        <f>'24'!K32</f>
        <v>0</v>
      </c>
      <c r="AB32" s="105">
        <f>'25'!K32</f>
        <v>0</v>
      </c>
      <c r="AC32" s="105">
        <f>'26'!K32</f>
        <v>0</v>
      </c>
      <c r="AD32" s="105">
        <f>'27'!K32</f>
        <v>0</v>
      </c>
      <c r="AE32" s="105">
        <f>'28'!K32</f>
        <v>0</v>
      </c>
      <c r="AF32" s="105"/>
      <c r="AG32" s="105">
        <f t="shared" si="0"/>
        <v>0</v>
      </c>
      <c r="AH32" s="211">
        <f t="shared" si="1"/>
        <v>0</v>
      </c>
    </row>
    <row r="33" spans="1:34" x14ac:dyDescent="0.25">
      <c r="A33" s="160"/>
      <c r="B33" s="119" t="s">
        <v>105</v>
      </c>
      <c r="C33" s="104" t="s">
        <v>6</v>
      </c>
      <c r="D33" s="105">
        <f>'1'!K33</f>
        <v>26500</v>
      </c>
      <c r="E33" s="105">
        <f>'2'!K33</f>
        <v>26500</v>
      </c>
      <c r="F33" s="105">
        <f>'3'!K33</f>
        <v>26214.285714285714</v>
      </c>
      <c r="G33" s="105">
        <f>'4'!K33</f>
        <v>26071.428571428572</v>
      </c>
      <c r="H33" s="105">
        <f>'5'!K33</f>
        <v>26071.428571428572</v>
      </c>
      <c r="I33" s="105">
        <f>'6'!K33</f>
        <v>26142.857142857141</v>
      </c>
      <c r="J33" s="105">
        <f>'7'!K33</f>
        <v>26285.714285714286</v>
      </c>
      <c r="K33" s="105">
        <f>'8'!K33</f>
        <v>26571.428571428572</v>
      </c>
      <c r="L33" s="105">
        <f>'9'!K33</f>
        <v>26571.428571428572</v>
      </c>
      <c r="M33" s="105">
        <f>'10'!K33</f>
        <v>26714.285714285714</v>
      </c>
      <c r="N33" s="105">
        <f>'11'!K33</f>
        <v>26857.142857142859</v>
      </c>
      <c r="O33" s="105">
        <f>'12'!K33</f>
        <v>27000</v>
      </c>
      <c r="P33" s="105">
        <f>'13'!K33</f>
        <v>26642.857142857141</v>
      </c>
      <c r="Q33" s="105">
        <f>'14'!K33</f>
        <v>26642.857142857141</v>
      </c>
      <c r="R33" s="105">
        <f>'15'!K33</f>
        <v>26642.857142857141</v>
      </c>
      <c r="S33" s="105">
        <f>'16'!K33</f>
        <v>26642.857142857141</v>
      </c>
      <c r="T33" s="105">
        <f>'17'!K33</f>
        <v>26500</v>
      </c>
      <c r="U33" s="105">
        <f>'18'!K33</f>
        <v>26500</v>
      </c>
      <c r="V33" s="105">
        <f>'19'!K33</f>
        <v>26357.142857142859</v>
      </c>
      <c r="W33" s="105">
        <f>'20'!K33</f>
        <v>26142.857142857141</v>
      </c>
      <c r="X33" s="105">
        <f>'21'!K33</f>
        <v>26142.857142857141</v>
      </c>
      <c r="Y33" s="105">
        <f>'22'!K33</f>
        <v>26142.857142857141</v>
      </c>
      <c r="Z33" s="105">
        <f>'23'!K33</f>
        <v>26142.857142857141</v>
      </c>
      <c r="AA33" s="105">
        <f>'24'!K33</f>
        <v>26142.857142857141</v>
      </c>
      <c r="AB33" s="105">
        <f>'25'!K33</f>
        <v>25928.571428571428</v>
      </c>
      <c r="AC33" s="105">
        <f>'26'!K33</f>
        <v>25928.571428571428</v>
      </c>
      <c r="AD33" s="105">
        <f>'27'!K33</f>
        <v>25714.285714285714</v>
      </c>
      <c r="AE33" s="105">
        <f>'28'!K33</f>
        <v>25714.285714285714</v>
      </c>
      <c r="AF33" s="105">
        <v>27000</v>
      </c>
      <c r="AG33" s="105">
        <f t="shared" si="0"/>
        <v>-785.71428571428623</v>
      </c>
      <c r="AH33" s="211">
        <f t="shared" si="1"/>
        <v>26336.734693877555</v>
      </c>
    </row>
    <row r="34" spans="1:34" x14ac:dyDescent="0.25">
      <c r="A34" s="161"/>
      <c r="B34" s="119" t="s">
        <v>32</v>
      </c>
      <c r="C34" s="104" t="s">
        <v>33</v>
      </c>
      <c r="D34" s="105">
        <f>'1'!K34</f>
        <v>2371.4285714285716</v>
      </c>
      <c r="E34" s="105">
        <f>'2'!K34</f>
        <v>2414.2857142857142</v>
      </c>
      <c r="F34" s="105">
        <f>'3'!K34</f>
        <v>2342.8571428571427</v>
      </c>
      <c r="G34" s="105">
        <f>'4'!K34</f>
        <v>2342.8571428571427</v>
      </c>
      <c r="H34" s="105">
        <f>'5'!K34</f>
        <v>2342.8571428571427</v>
      </c>
      <c r="I34" s="105">
        <f>'6'!K34</f>
        <v>2342.8571428571427</v>
      </c>
      <c r="J34" s="105">
        <f>'7'!K34</f>
        <v>2342.8571428571427</v>
      </c>
      <c r="K34" s="105">
        <f>'8'!K34</f>
        <v>2357.1428571428573</v>
      </c>
      <c r="L34" s="105">
        <f>'9'!K34</f>
        <v>2357.1428571428573</v>
      </c>
      <c r="M34" s="105">
        <f>'10'!K34</f>
        <v>2357.1428571428573</v>
      </c>
      <c r="N34" s="105">
        <f>'11'!K34</f>
        <v>2357.1428571428573</v>
      </c>
      <c r="O34" s="105">
        <f>'12'!K34</f>
        <v>2357.1428571428573</v>
      </c>
      <c r="P34" s="105">
        <f>'13'!K34</f>
        <v>2357.1428571428573</v>
      </c>
      <c r="Q34" s="105">
        <f>'14'!K34</f>
        <v>2357.1428571428573</v>
      </c>
      <c r="R34" s="105">
        <f>'15'!K34</f>
        <v>2357.1428571428573</v>
      </c>
      <c r="S34" s="105">
        <f>'16'!K34</f>
        <v>2357.1428571428573</v>
      </c>
      <c r="T34" s="105">
        <f>'17'!K34</f>
        <v>2357.1428571428573</v>
      </c>
      <c r="U34" s="105">
        <f>'18'!K34</f>
        <v>2357.1428571428573</v>
      </c>
      <c r="V34" s="105">
        <f>'19'!K34</f>
        <v>2357.1428571428573</v>
      </c>
      <c r="W34" s="105">
        <f>'20'!K34</f>
        <v>2357.1428571428573</v>
      </c>
      <c r="X34" s="105">
        <f>'21'!K34</f>
        <v>2357.1428571428573</v>
      </c>
      <c r="Y34" s="105">
        <f>'22'!K34</f>
        <v>2357.1428571428573</v>
      </c>
      <c r="Z34" s="105">
        <f>'23'!K34</f>
        <v>2357.1428571428573</v>
      </c>
      <c r="AA34" s="105">
        <f>'24'!K34</f>
        <v>2357.1428571428573</v>
      </c>
      <c r="AB34" s="105">
        <f>'25'!K34</f>
        <v>2357.1428571428573</v>
      </c>
      <c r="AC34" s="105">
        <f>'26'!K34</f>
        <v>2357.1428571428573</v>
      </c>
      <c r="AD34" s="105">
        <f>'27'!K34</f>
        <v>2357.1428571428573</v>
      </c>
      <c r="AE34" s="105">
        <f>'28'!K34</f>
        <v>2357.1428571428573</v>
      </c>
      <c r="AF34" s="105"/>
      <c r="AG34" s="105">
        <f t="shared" si="0"/>
        <v>-14.285714285714221</v>
      </c>
      <c r="AH34" s="211">
        <f t="shared" si="1"/>
        <v>2357.1428571428564</v>
      </c>
    </row>
    <row r="35" spans="1:34" x14ac:dyDescent="0.25">
      <c r="A35" s="130"/>
      <c r="B35" s="149" t="s">
        <v>147</v>
      </c>
      <c r="C35" s="104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>
        <f>'22'!K35</f>
        <v>0</v>
      </c>
      <c r="Z35" s="105">
        <f>'23'!K35</f>
        <v>0</v>
      </c>
      <c r="AA35" s="105">
        <f>'24'!K35</f>
        <v>0</v>
      </c>
      <c r="AB35" s="105">
        <f>'25'!K35</f>
        <v>0</v>
      </c>
      <c r="AC35" s="105">
        <f>'26'!K35</f>
        <v>0</v>
      </c>
      <c r="AD35" s="105">
        <f>'27'!K35</f>
        <v>0</v>
      </c>
      <c r="AE35" s="105">
        <f>'28'!K35</f>
        <v>0</v>
      </c>
      <c r="AF35" s="105"/>
      <c r="AG35" s="105"/>
      <c r="AH35" s="211">
        <f t="shared" si="1"/>
        <v>0</v>
      </c>
    </row>
    <row r="36" spans="1:34" x14ac:dyDescent="0.25">
      <c r="A36" s="130"/>
      <c r="B36" s="119" t="s">
        <v>149</v>
      </c>
      <c r="C36" s="104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>
        <f>'22'!K36</f>
        <v>2857.1428571428573</v>
      </c>
      <c r="Z36" s="105">
        <f>'23'!K36</f>
        <v>2428.5714285714284</v>
      </c>
      <c r="AA36" s="105">
        <f>'24'!K36</f>
        <v>2428.5714285714284</v>
      </c>
      <c r="AB36" s="105">
        <f>'25'!K36</f>
        <v>2428.5714285714284</v>
      </c>
      <c r="AC36" s="105">
        <f>'26'!K36</f>
        <v>2314.2857142857142</v>
      </c>
      <c r="AD36" s="105">
        <f>'27'!K36</f>
        <v>2314.2857142857142</v>
      </c>
      <c r="AE36" s="105">
        <f>'28'!K36</f>
        <v>2314.2857142857142</v>
      </c>
      <c r="AF36" s="105"/>
      <c r="AG36" s="105"/>
      <c r="AH36" s="211">
        <f t="shared" si="1"/>
        <v>2440.8163265306125</v>
      </c>
    </row>
    <row r="37" spans="1:34" x14ac:dyDescent="0.25">
      <c r="A37" s="130"/>
      <c r="B37" s="119" t="s">
        <v>148</v>
      </c>
      <c r="C37" s="104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>
        <f>'22'!K37</f>
        <v>3000</v>
      </c>
      <c r="Z37" s="105">
        <f>'23'!K37</f>
        <v>3571.4285714285716</v>
      </c>
      <c r="AA37" s="105">
        <f>'24'!K37</f>
        <v>3428.5714285714284</v>
      </c>
      <c r="AB37" s="105">
        <f>'25'!K37</f>
        <v>3428.5714285714284</v>
      </c>
      <c r="AC37" s="105">
        <f>'26'!K37</f>
        <v>3428.5714285714284</v>
      </c>
      <c r="AD37" s="105">
        <f>'27'!K37</f>
        <v>3428.5714285714284</v>
      </c>
      <c r="AE37" s="105">
        <f>'28'!K37</f>
        <v>3428.5714285714284</v>
      </c>
      <c r="AF37" s="105"/>
      <c r="AG37" s="105"/>
      <c r="AH37" s="211">
        <f t="shared" si="1"/>
        <v>3387.7551020408159</v>
      </c>
    </row>
    <row r="38" spans="1:34" x14ac:dyDescent="0.25">
      <c r="A38" s="159">
        <v>8</v>
      </c>
      <c r="B38" s="132" t="s">
        <v>34</v>
      </c>
      <c r="C38" s="132"/>
      <c r="D38" s="105">
        <f>'1'!K35</f>
        <v>0</v>
      </c>
      <c r="E38" s="105">
        <f>'2'!K35</f>
        <v>0</v>
      </c>
      <c r="F38" s="105">
        <f>'3'!K35</f>
        <v>0</v>
      </c>
      <c r="G38" s="105">
        <f>'4'!K35</f>
        <v>0</v>
      </c>
      <c r="H38" s="105">
        <f>'5'!K35</f>
        <v>0</v>
      </c>
      <c r="I38" s="105">
        <f>'6'!K35</f>
        <v>0</v>
      </c>
      <c r="J38" s="105">
        <f>'7'!K35</f>
        <v>0</v>
      </c>
      <c r="K38" s="105">
        <f>'8'!K35</f>
        <v>0</v>
      </c>
      <c r="L38" s="105">
        <f>'9'!K35</f>
        <v>0</v>
      </c>
      <c r="M38" s="105">
        <f>'10'!K35</f>
        <v>0</v>
      </c>
      <c r="N38" s="105">
        <f>'11'!K35</f>
        <v>0</v>
      </c>
      <c r="O38" s="105">
        <f>'12'!K35</f>
        <v>0</v>
      </c>
      <c r="P38" s="105">
        <f>'13'!K35</f>
        <v>0</v>
      </c>
      <c r="Q38" s="105">
        <f>'14'!K35</f>
        <v>0</v>
      </c>
      <c r="R38" s="105">
        <f>'15'!K35</f>
        <v>0</v>
      </c>
      <c r="S38" s="105">
        <f>'16'!K35</f>
        <v>0</v>
      </c>
      <c r="T38" s="105">
        <f>'17'!K35</f>
        <v>0</v>
      </c>
      <c r="U38" s="105">
        <f>'18'!K35</f>
        <v>0</v>
      </c>
      <c r="V38" s="105">
        <f>'19'!K35</f>
        <v>0</v>
      </c>
      <c r="W38" s="105">
        <f>'20'!K35</f>
        <v>0</v>
      </c>
      <c r="X38" s="105">
        <f>'21'!K35</f>
        <v>0</v>
      </c>
      <c r="Y38" s="105">
        <f>'22'!K38</f>
        <v>0</v>
      </c>
      <c r="Z38" s="105">
        <f>'23'!K38</f>
        <v>0</v>
      </c>
      <c r="AA38" s="105">
        <f>'24'!K38</f>
        <v>0</v>
      </c>
      <c r="AB38" s="105">
        <f>'25'!K38</f>
        <v>0</v>
      </c>
      <c r="AC38" s="105">
        <f>'26'!K38</f>
        <v>0</v>
      </c>
      <c r="AD38" s="105">
        <f>'27'!K38</f>
        <v>0</v>
      </c>
      <c r="AE38" s="105">
        <f>'28'!K38</f>
        <v>0</v>
      </c>
      <c r="AF38" s="105"/>
      <c r="AG38" s="105">
        <f t="shared" si="0"/>
        <v>0</v>
      </c>
      <c r="AH38" s="211">
        <f t="shared" si="1"/>
        <v>0</v>
      </c>
    </row>
    <row r="39" spans="1:34" x14ac:dyDescent="0.25">
      <c r="A39" s="160"/>
      <c r="B39" s="119" t="s">
        <v>35</v>
      </c>
      <c r="C39" s="104" t="s">
        <v>36</v>
      </c>
      <c r="D39" s="105">
        <f>'1'!K36</f>
        <v>11500</v>
      </c>
      <c r="E39" s="105">
        <f>'2'!K36</f>
        <v>11500</v>
      </c>
      <c r="F39" s="105">
        <f>'3'!K36</f>
        <v>11500</v>
      </c>
      <c r="G39" s="105">
        <f>'4'!K36</f>
        <v>11500</v>
      </c>
      <c r="H39" s="105">
        <f>'5'!K36</f>
        <v>11500</v>
      </c>
      <c r="I39" s="105">
        <f>'6'!K36</f>
        <v>11500</v>
      </c>
      <c r="J39" s="105">
        <f>'7'!K36</f>
        <v>11500</v>
      </c>
      <c r="K39" s="105">
        <f>'8'!K36</f>
        <v>11500</v>
      </c>
      <c r="L39" s="105">
        <f>'9'!K36</f>
        <v>11500</v>
      </c>
      <c r="M39" s="105">
        <f>'10'!K36</f>
        <v>11500</v>
      </c>
      <c r="N39" s="105">
        <f>'11'!K36</f>
        <v>11500</v>
      </c>
      <c r="O39" s="105">
        <f>'12'!K36</f>
        <v>11500</v>
      </c>
      <c r="P39" s="105">
        <f>'13'!K36</f>
        <v>11500</v>
      </c>
      <c r="Q39" s="105">
        <f>'14'!K36</f>
        <v>11500</v>
      </c>
      <c r="R39" s="105">
        <f>'15'!K36</f>
        <v>11500</v>
      </c>
      <c r="S39" s="105">
        <f>'16'!K36</f>
        <v>11416.666666666666</v>
      </c>
      <c r="T39" s="105">
        <f>'17'!K36</f>
        <v>11416.666666666666</v>
      </c>
      <c r="U39" s="105">
        <f>'18'!K36</f>
        <v>11416.666666666666</v>
      </c>
      <c r="V39" s="105">
        <f>'19'!K36</f>
        <v>11416.666666666666</v>
      </c>
      <c r="W39" s="105">
        <f>'20'!K36</f>
        <v>11416.666666666666</v>
      </c>
      <c r="X39" s="105">
        <f>'21'!K36</f>
        <v>11416.666666666666</v>
      </c>
      <c r="Y39" s="105">
        <f>'22'!K39</f>
        <v>11416.666666666666</v>
      </c>
      <c r="Z39" s="105">
        <f>'23'!K39</f>
        <v>11416.666666666666</v>
      </c>
      <c r="AA39" s="105">
        <f>'24'!K39</f>
        <v>11416.666666666666</v>
      </c>
      <c r="AB39" s="105">
        <f>'25'!K39</f>
        <v>11416.666666666666</v>
      </c>
      <c r="AC39" s="105">
        <f>'26'!K39</f>
        <v>11416.666666666666</v>
      </c>
      <c r="AD39" s="105">
        <f>'27'!K39</f>
        <v>11416.666666666666</v>
      </c>
      <c r="AE39" s="105">
        <f>'28'!K39</f>
        <v>11416.666666666666</v>
      </c>
      <c r="AF39" s="105"/>
      <c r="AG39" s="105">
        <f t="shared" si="0"/>
        <v>-83.33333333333394</v>
      </c>
      <c r="AH39" s="211">
        <f t="shared" si="1"/>
        <v>11461.309523809525</v>
      </c>
    </row>
    <row r="40" spans="1:34" x14ac:dyDescent="0.25">
      <c r="A40" s="161"/>
      <c r="B40" s="119" t="s">
        <v>37</v>
      </c>
      <c r="C40" s="104" t="s">
        <v>38</v>
      </c>
      <c r="D40" s="105">
        <f>'1'!K37</f>
        <v>40200</v>
      </c>
      <c r="E40" s="105">
        <f>'2'!K37</f>
        <v>40200</v>
      </c>
      <c r="F40" s="105">
        <f>'3'!K37</f>
        <v>40200</v>
      </c>
      <c r="G40" s="105">
        <f>'4'!K37</f>
        <v>40200</v>
      </c>
      <c r="H40" s="105">
        <f>'5'!K37</f>
        <v>40200</v>
      </c>
      <c r="I40" s="105">
        <f>'6'!K37</f>
        <v>40200</v>
      </c>
      <c r="J40" s="105">
        <f>'7'!K37</f>
        <v>40200</v>
      </c>
      <c r="K40" s="105">
        <f>'8'!K37</f>
        <v>40200</v>
      </c>
      <c r="L40" s="105">
        <f>'9'!K37</f>
        <v>40200</v>
      </c>
      <c r="M40" s="105">
        <f>'10'!K37</f>
        <v>40200</v>
      </c>
      <c r="N40" s="105">
        <f>'11'!K37</f>
        <v>40200</v>
      </c>
      <c r="O40" s="105">
        <f>'12'!K37</f>
        <v>40200</v>
      </c>
      <c r="P40" s="105">
        <f>'13'!K37</f>
        <v>40200</v>
      </c>
      <c r="Q40" s="105">
        <f>'14'!K37</f>
        <v>40200</v>
      </c>
      <c r="R40" s="105">
        <f>'15'!K37</f>
        <v>40200</v>
      </c>
      <c r="S40" s="105">
        <f>'16'!K37</f>
        <v>40200</v>
      </c>
      <c r="T40" s="105">
        <f>'17'!K37</f>
        <v>40200</v>
      </c>
      <c r="U40" s="105">
        <f>'18'!K37</f>
        <v>40200</v>
      </c>
      <c r="V40" s="105">
        <f>'19'!K37</f>
        <v>40200</v>
      </c>
      <c r="W40" s="105">
        <f>'20'!K37</f>
        <v>40200</v>
      </c>
      <c r="X40" s="105">
        <f>'21'!K37</f>
        <v>40200</v>
      </c>
      <c r="Y40" s="105">
        <f>'22'!K40</f>
        <v>40200</v>
      </c>
      <c r="Z40" s="105">
        <f>'23'!K40</f>
        <v>40200</v>
      </c>
      <c r="AA40" s="105">
        <f>'24'!K40</f>
        <v>40200</v>
      </c>
      <c r="AB40" s="105">
        <f>'25'!K40</f>
        <v>40200</v>
      </c>
      <c r="AC40" s="105">
        <f>'26'!K40</f>
        <v>40200</v>
      </c>
      <c r="AD40" s="105">
        <f>'27'!K40</f>
        <v>40200</v>
      </c>
      <c r="AE40" s="105">
        <f>'28'!K40</f>
        <v>40200</v>
      </c>
      <c r="AF40" s="105"/>
      <c r="AG40" s="105">
        <f t="shared" si="0"/>
        <v>0</v>
      </c>
      <c r="AH40" s="211">
        <f t="shared" si="1"/>
        <v>40200</v>
      </c>
    </row>
    <row r="41" spans="1:34" x14ac:dyDescent="0.25">
      <c r="A41" s="159">
        <v>9</v>
      </c>
      <c r="B41" s="132" t="s">
        <v>39</v>
      </c>
      <c r="C41" s="132"/>
      <c r="D41" s="105">
        <f>'1'!K38</f>
        <v>0</v>
      </c>
      <c r="E41" s="105">
        <f>'2'!K38</f>
        <v>0</v>
      </c>
      <c r="F41" s="105">
        <f>'3'!K38</f>
        <v>0</v>
      </c>
      <c r="G41" s="105">
        <f>'4'!K38</f>
        <v>0</v>
      </c>
      <c r="H41" s="105">
        <f>'5'!K38</f>
        <v>0</v>
      </c>
      <c r="I41" s="105">
        <f>'6'!K38</f>
        <v>0</v>
      </c>
      <c r="J41" s="105">
        <f>'7'!K38</f>
        <v>0</v>
      </c>
      <c r="K41" s="105">
        <f>'8'!K38</f>
        <v>0</v>
      </c>
      <c r="L41" s="105">
        <f>'9'!K38</f>
        <v>0</v>
      </c>
      <c r="M41" s="105">
        <f>'10'!K38</f>
        <v>0</v>
      </c>
      <c r="N41" s="105">
        <f>'11'!K38</f>
        <v>0</v>
      </c>
      <c r="O41" s="105">
        <f>'12'!K38</f>
        <v>0</v>
      </c>
      <c r="P41" s="105">
        <f>'13'!K38</f>
        <v>0</v>
      </c>
      <c r="Q41" s="105">
        <f>'14'!K38</f>
        <v>0</v>
      </c>
      <c r="R41" s="105">
        <f>'15'!K38</f>
        <v>0</v>
      </c>
      <c r="S41" s="105">
        <f>'16'!K38</f>
        <v>0</v>
      </c>
      <c r="T41" s="105">
        <f>'17'!K38</f>
        <v>0</v>
      </c>
      <c r="U41" s="105">
        <f>'18'!K38</f>
        <v>0</v>
      </c>
      <c r="V41" s="105">
        <f>'19'!K38</f>
        <v>0</v>
      </c>
      <c r="W41" s="105">
        <f>'20'!K38</f>
        <v>0</v>
      </c>
      <c r="X41" s="105">
        <f>'21'!K38</f>
        <v>0</v>
      </c>
      <c r="Y41" s="105">
        <f>'22'!K41</f>
        <v>0</v>
      </c>
      <c r="Z41" s="105">
        <f>'23'!K41</f>
        <v>0</v>
      </c>
      <c r="AA41" s="105">
        <f>'24'!K41</f>
        <v>0</v>
      </c>
      <c r="AB41" s="105">
        <f>'25'!K41</f>
        <v>0</v>
      </c>
      <c r="AC41" s="105">
        <f>'26'!K41</f>
        <v>0</v>
      </c>
      <c r="AD41" s="105">
        <f>'27'!K41</f>
        <v>0</v>
      </c>
      <c r="AE41" s="105">
        <f>'28'!K41</f>
        <v>0</v>
      </c>
      <c r="AF41" s="105"/>
      <c r="AG41" s="105">
        <f t="shared" si="0"/>
        <v>0</v>
      </c>
      <c r="AH41" s="211">
        <f t="shared" si="1"/>
        <v>0</v>
      </c>
    </row>
    <row r="42" spans="1:34" x14ac:dyDescent="0.25">
      <c r="A42" s="160"/>
      <c r="B42" s="119" t="s">
        <v>40</v>
      </c>
      <c r="C42" s="104" t="s">
        <v>41</v>
      </c>
      <c r="D42" s="105">
        <f>'1'!K39</f>
        <v>19700</v>
      </c>
      <c r="E42" s="105">
        <f>'2'!K39</f>
        <v>19700</v>
      </c>
      <c r="F42" s="105">
        <f>'3'!K39</f>
        <v>19700</v>
      </c>
      <c r="G42" s="105">
        <f>'4'!K39</f>
        <v>19700</v>
      </c>
      <c r="H42" s="105">
        <f>'5'!K39</f>
        <v>19700</v>
      </c>
      <c r="I42" s="105">
        <f>'6'!K39</f>
        <v>19700</v>
      </c>
      <c r="J42" s="105">
        <f>'7'!K39</f>
        <v>19700</v>
      </c>
      <c r="K42" s="105">
        <f>'8'!K39</f>
        <v>19700</v>
      </c>
      <c r="L42" s="105">
        <f>'9'!K39</f>
        <v>19700</v>
      </c>
      <c r="M42" s="105">
        <f>'10'!K39</f>
        <v>19700</v>
      </c>
      <c r="N42" s="105">
        <f>'11'!K39</f>
        <v>19700</v>
      </c>
      <c r="O42" s="105">
        <f>'12'!K39</f>
        <v>19700</v>
      </c>
      <c r="P42" s="105">
        <f>'13'!K39</f>
        <v>19700</v>
      </c>
      <c r="Q42" s="105">
        <f>'14'!K39</f>
        <v>18666.666666666668</v>
      </c>
      <c r="R42" s="105">
        <f>'15'!K39</f>
        <v>18666.666666666668</v>
      </c>
      <c r="S42" s="105">
        <f>'16'!K39</f>
        <v>18666.666666666668</v>
      </c>
      <c r="T42" s="105">
        <f>'17'!K39</f>
        <v>18666.666666666668</v>
      </c>
      <c r="U42" s="105">
        <f>'18'!K39</f>
        <v>18666.666666666668</v>
      </c>
      <c r="V42" s="105">
        <f>'19'!K39</f>
        <v>18666.666666666668</v>
      </c>
      <c r="W42" s="105">
        <f>'20'!K39</f>
        <v>18666.666666666668</v>
      </c>
      <c r="X42" s="105">
        <f>'21'!K39</f>
        <v>18666.666666666668</v>
      </c>
      <c r="Y42" s="105">
        <f>'22'!K42</f>
        <v>18666.666666666668</v>
      </c>
      <c r="Z42" s="105">
        <f>'23'!K42</f>
        <v>18666.666666666668</v>
      </c>
      <c r="AA42" s="105">
        <f>'24'!K42</f>
        <v>18666.666666666668</v>
      </c>
      <c r="AB42" s="105">
        <f>'25'!K42</f>
        <v>18666.666666666668</v>
      </c>
      <c r="AC42" s="105">
        <f>'26'!K42</f>
        <v>18666.666666666668</v>
      </c>
      <c r="AD42" s="105">
        <f>'27'!K42</f>
        <v>18666.666666666668</v>
      </c>
      <c r="AE42" s="105">
        <f>'28'!K42</f>
        <v>18666.666666666668</v>
      </c>
      <c r="AF42" s="105"/>
      <c r="AG42" s="105">
        <f t="shared" si="0"/>
        <v>-1033.3333333333321</v>
      </c>
      <c r="AH42" s="211">
        <f t="shared" si="1"/>
        <v>19146.42857142858</v>
      </c>
    </row>
    <row r="43" spans="1:34" x14ac:dyDescent="0.25">
      <c r="A43" s="160"/>
      <c r="B43" s="119" t="s">
        <v>42</v>
      </c>
      <c r="C43" s="104" t="s">
        <v>43</v>
      </c>
      <c r="D43" s="105">
        <f>'1'!K40</f>
        <v>2000</v>
      </c>
      <c r="E43" s="105">
        <f>'2'!K40</f>
        <v>2000</v>
      </c>
      <c r="F43" s="105">
        <f>'3'!K40</f>
        <v>2000</v>
      </c>
      <c r="G43" s="105">
        <f>'4'!K40</f>
        <v>2000</v>
      </c>
      <c r="H43" s="105">
        <f>'5'!K40</f>
        <v>2000</v>
      </c>
      <c r="I43" s="105">
        <f>'6'!K40</f>
        <v>2000</v>
      </c>
      <c r="J43" s="105">
        <f>'7'!K40</f>
        <v>2000</v>
      </c>
      <c r="K43" s="105">
        <f>'8'!K40</f>
        <v>2000</v>
      </c>
      <c r="L43" s="105">
        <f>'9'!K40</f>
        <v>2000</v>
      </c>
      <c r="M43" s="105">
        <f>'10'!K40</f>
        <v>2000</v>
      </c>
      <c r="N43" s="105">
        <f>'11'!K40</f>
        <v>2000</v>
      </c>
      <c r="O43" s="105">
        <f>'12'!K40</f>
        <v>2000</v>
      </c>
      <c r="P43" s="105">
        <f>'13'!K40</f>
        <v>2000</v>
      </c>
      <c r="Q43" s="105">
        <f>'14'!K40</f>
        <v>2000</v>
      </c>
      <c r="R43" s="105">
        <f>'15'!K40</f>
        <v>2000</v>
      </c>
      <c r="S43" s="105">
        <f>'16'!K40</f>
        <v>2000</v>
      </c>
      <c r="T43" s="105">
        <f>'17'!K40</f>
        <v>2000</v>
      </c>
      <c r="U43" s="105">
        <f>'18'!K40</f>
        <v>2000</v>
      </c>
      <c r="V43" s="105">
        <f>'19'!K40</f>
        <v>2000</v>
      </c>
      <c r="W43" s="105">
        <f>'20'!K40</f>
        <v>2000</v>
      </c>
      <c r="X43" s="105">
        <f>'21'!K40</f>
        <v>2000</v>
      </c>
      <c r="Y43" s="105">
        <f>'22'!K43</f>
        <v>2000</v>
      </c>
      <c r="Z43" s="105">
        <f>'23'!K43</f>
        <v>2000</v>
      </c>
      <c r="AA43" s="105">
        <f>'24'!K43</f>
        <v>2000</v>
      </c>
      <c r="AB43" s="105">
        <f>'25'!K43</f>
        <v>2000</v>
      </c>
      <c r="AC43" s="105">
        <f>'26'!K43</f>
        <v>2000</v>
      </c>
      <c r="AD43" s="105">
        <f>'27'!K43</f>
        <v>2000</v>
      </c>
      <c r="AE43" s="105">
        <f>'28'!K43</f>
        <v>2000</v>
      </c>
      <c r="AF43" s="105"/>
      <c r="AG43" s="105">
        <f t="shared" si="0"/>
        <v>0</v>
      </c>
      <c r="AH43" s="211">
        <f t="shared" si="1"/>
        <v>2000</v>
      </c>
    </row>
    <row r="44" spans="1:34" x14ac:dyDescent="0.25">
      <c r="A44" s="130">
        <v>10</v>
      </c>
      <c r="B44" s="133" t="s">
        <v>44</v>
      </c>
      <c r="C44" s="104"/>
      <c r="D44" s="105">
        <f>'1'!K41</f>
        <v>0</v>
      </c>
      <c r="E44" s="105">
        <f>'2'!K41</f>
        <v>0</v>
      </c>
      <c r="F44" s="105">
        <f>'3'!K41</f>
        <v>0</v>
      </c>
      <c r="G44" s="105">
        <f>'4'!K41</f>
        <v>0</v>
      </c>
      <c r="H44" s="105">
        <f>'5'!K41</f>
        <v>0</v>
      </c>
      <c r="I44" s="105">
        <f>'6'!K41</f>
        <v>0</v>
      </c>
      <c r="J44" s="105">
        <f>'7'!K41</f>
        <v>0</v>
      </c>
      <c r="K44" s="105">
        <f>'8'!K41</f>
        <v>0</v>
      </c>
      <c r="L44" s="105">
        <f>'9'!K41</f>
        <v>0</v>
      </c>
      <c r="M44" s="105">
        <f>'10'!K41</f>
        <v>0</v>
      </c>
      <c r="N44" s="105">
        <f>'11'!K41</f>
        <v>0</v>
      </c>
      <c r="O44" s="105">
        <f>'12'!K41</f>
        <v>0</v>
      </c>
      <c r="P44" s="105">
        <f>'13'!K41</f>
        <v>0</v>
      </c>
      <c r="Q44" s="105">
        <f>'14'!K41</f>
        <v>0</v>
      </c>
      <c r="R44" s="105">
        <f>'15'!K41</f>
        <v>0</v>
      </c>
      <c r="S44" s="105">
        <f>'16'!K41</f>
        <v>0</v>
      </c>
      <c r="T44" s="105">
        <f>'17'!K41</f>
        <v>0</v>
      </c>
      <c r="U44" s="105">
        <f>'18'!K41</f>
        <v>0</v>
      </c>
      <c r="V44" s="105">
        <f>'19'!K41</f>
        <v>0</v>
      </c>
      <c r="W44" s="105">
        <f>'20'!K41</f>
        <v>0</v>
      </c>
      <c r="X44" s="105">
        <f>'21'!K41</f>
        <v>0</v>
      </c>
      <c r="Y44" s="105">
        <f>'22'!K44</f>
        <v>0</v>
      </c>
      <c r="Z44" s="105">
        <f>'23'!K44</f>
        <v>0</v>
      </c>
      <c r="AA44" s="105">
        <f>'24'!K44</f>
        <v>0</v>
      </c>
      <c r="AB44" s="105">
        <f>'25'!K44</f>
        <v>0</v>
      </c>
      <c r="AC44" s="105">
        <f>'26'!K44</f>
        <v>0</v>
      </c>
      <c r="AD44" s="105">
        <f>'27'!K44</f>
        <v>0</v>
      </c>
      <c r="AE44" s="105">
        <f>'28'!K44</f>
        <v>0</v>
      </c>
      <c r="AF44" s="105"/>
      <c r="AG44" s="105">
        <f t="shared" si="0"/>
        <v>0</v>
      </c>
      <c r="AH44" s="211">
        <f t="shared" si="1"/>
        <v>0</v>
      </c>
    </row>
    <row r="45" spans="1:34" x14ac:dyDescent="0.25">
      <c r="A45" s="130"/>
      <c r="B45" s="119" t="s">
        <v>45</v>
      </c>
      <c r="C45" s="104" t="s">
        <v>6</v>
      </c>
      <c r="D45" s="105">
        <f>'1'!K42</f>
        <v>9285.7142857142862</v>
      </c>
      <c r="E45" s="105">
        <f>'2'!K42</f>
        <v>9285.7142857142862</v>
      </c>
      <c r="F45" s="105">
        <f>'3'!K42</f>
        <v>9428.5714285714294</v>
      </c>
      <c r="G45" s="105">
        <f>'4'!K42</f>
        <v>9428.5714285714294</v>
      </c>
      <c r="H45" s="105">
        <f>'5'!K42</f>
        <v>9428.5714285714294</v>
      </c>
      <c r="I45" s="105">
        <f>'6'!K42</f>
        <v>9428.5714285714294</v>
      </c>
      <c r="J45" s="105">
        <f>'7'!K42</f>
        <v>9428.5714285714294</v>
      </c>
      <c r="K45" s="105">
        <f>'8'!K42</f>
        <v>9428.5714285714294</v>
      </c>
      <c r="L45" s="105">
        <f>'9'!K42</f>
        <v>9428.5714285714294</v>
      </c>
      <c r="M45" s="105">
        <f>'10'!K42</f>
        <v>9571.4285714285706</v>
      </c>
      <c r="N45" s="105">
        <f>'11'!K42</f>
        <v>9571.4285714285706</v>
      </c>
      <c r="O45" s="105">
        <f>'12'!K42</f>
        <v>9166.6666666666661</v>
      </c>
      <c r="P45" s="105">
        <f>'13'!K42</f>
        <v>9166.6666666666661</v>
      </c>
      <c r="Q45" s="105">
        <f>'14'!K42</f>
        <v>9166.6666666666661</v>
      </c>
      <c r="R45" s="105">
        <f>'15'!K42</f>
        <v>9166.6666666666661</v>
      </c>
      <c r="S45" s="105">
        <f>'16'!K42</f>
        <v>9166.6666666666661</v>
      </c>
      <c r="T45" s="105">
        <f>'17'!K42</f>
        <v>9166.6666666666661</v>
      </c>
      <c r="U45" s="105">
        <f>'18'!K42</f>
        <v>9166.6666666666661</v>
      </c>
      <c r="V45" s="105">
        <f>'19'!K42</f>
        <v>9166.6666666666661</v>
      </c>
      <c r="W45" s="105">
        <f>'20'!K42</f>
        <v>9166.6666666666661</v>
      </c>
      <c r="X45" s="105">
        <f>'21'!K42</f>
        <v>9166.6666666666661</v>
      </c>
      <c r="Y45" s="105">
        <f>'22'!K45</f>
        <v>9166.6666666666661</v>
      </c>
      <c r="Z45" s="105">
        <f>'23'!K45</f>
        <v>9166.6666666666661</v>
      </c>
      <c r="AA45" s="105">
        <f>'24'!K45</f>
        <v>9166.6666666666661</v>
      </c>
      <c r="AB45" s="105">
        <f>'25'!K45</f>
        <v>9166.6666666666661</v>
      </c>
      <c r="AC45" s="105">
        <f>'26'!K45</f>
        <v>9166.6666666666661</v>
      </c>
      <c r="AD45" s="105">
        <f>'27'!K45</f>
        <v>9166.6666666666661</v>
      </c>
      <c r="AE45" s="105">
        <f>'28'!K45</f>
        <v>9166.6666666666661</v>
      </c>
      <c r="AF45" s="105"/>
      <c r="AG45" s="105">
        <f t="shared" si="0"/>
        <v>-119.04761904762017</v>
      </c>
      <c r="AH45" s="211">
        <f t="shared" si="1"/>
        <v>9269.5578231292475</v>
      </c>
    </row>
    <row r="46" spans="1:34" x14ac:dyDescent="0.25">
      <c r="A46" s="131"/>
      <c r="B46" s="119" t="s">
        <v>46</v>
      </c>
      <c r="C46" s="104" t="s">
        <v>6</v>
      </c>
      <c r="D46" s="105">
        <f>'1'!K43</f>
        <v>8600</v>
      </c>
      <c r="E46" s="105">
        <f>'2'!K43</f>
        <v>8600</v>
      </c>
      <c r="F46" s="105">
        <f>'3'!K43</f>
        <v>8600</v>
      </c>
      <c r="G46" s="105">
        <f>'4'!K43</f>
        <v>8600</v>
      </c>
      <c r="H46" s="105">
        <f>'5'!K43</f>
        <v>8600</v>
      </c>
      <c r="I46" s="105">
        <f>'6'!K43</f>
        <v>8600</v>
      </c>
      <c r="J46" s="105">
        <f>'7'!K43</f>
        <v>8600</v>
      </c>
      <c r="K46" s="105">
        <f>'8'!K43</f>
        <v>8600</v>
      </c>
      <c r="L46" s="105">
        <f>'9'!K43</f>
        <v>8600</v>
      </c>
      <c r="M46" s="105">
        <f>'10'!K43</f>
        <v>6200</v>
      </c>
      <c r="N46" s="105">
        <f>'11'!K43</f>
        <v>6200</v>
      </c>
      <c r="O46" s="105">
        <f>'12'!K43</f>
        <v>8600</v>
      </c>
      <c r="P46" s="105">
        <f>'13'!K43</f>
        <v>8600</v>
      </c>
      <c r="Q46" s="105">
        <f>'14'!K43</f>
        <v>8600</v>
      </c>
      <c r="R46" s="105">
        <f>'15'!K43</f>
        <v>8600</v>
      </c>
      <c r="S46" s="105">
        <f>'16'!K43</f>
        <v>8600</v>
      </c>
      <c r="T46" s="105">
        <f>'17'!K43</f>
        <v>8600</v>
      </c>
      <c r="U46" s="105">
        <f>'18'!K43</f>
        <v>8600</v>
      </c>
      <c r="V46" s="105">
        <f>'19'!K43</f>
        <v>8600</v>
      </c>
      <c r="W46" s="105">
        <f>'20'!K43</f>
        <v>8600</v>
      </c>
      <c r="X46" s="105">
        <f>'21'!K43</f>
        <v>8600</v>
      </c>
      <c r="Y46" s="105">
        <f>'22'!K46</f>
        <v>8600</v>
      </c>
      <c r="Z46" s="105">
        <f>'23'!K46</f>
        <v>8600</v>
      </c>
      <c r="AA46" s="105">
        <f>'24'!K46</f>
        <v>8600</v>
      </c>
      <c r="AB46" s="105">
        <f>'25'!K46</f>
        <v>8600</v>
      </c>
      <c r="AC46" s="105">
        <f>'26'!K46</f>
        <v>8600</v>
      </c>
      <c r="AD46" s="105">
        <f>'27'!K46</f>
        <v>8600</v>
      </c>
      <c r="AE46" s="105">
        <f>'28'!K46</f>
        <v>8600</v>
      </c>
      <c r="AF46" s="105"/>
      <c r="AG46" s="105">
        <f t="shared" si="0"/>
        <v>0</v>
      </c>
      <c r="AH46" s="211">
        <f t="shared" si="1"/>
        <v>8428.5714285714294</v>
      </c>
    </row>
    <row r="47" spans="1:34" x14ac:dyDescent="0.25">
      <c r="A47" s="159">
        <v>11</v>
      </c>
      <c r="B47" s="132" t="s">
        <v>47</v>
      </c>
      <c r="C47" s="132"/>
      <c r="D47" s="105">
        <f>'1'!K44</f>
        <v>0</v>
      </c>
      <c r="E47" s="105">
        <f>'2'!K44</f>
        <v>0</v>
      </c>
      <c r="F47" s="105">
        <f>'3'!K44</f>
        <v>0</v>
      </c>
      <c r="G47" s="105">
        <f>'4'!K44</f>
        <v>0</v>
      </c>
      <c r="H47" s="105">
        <f>'5'!K44</f>
        <v>0</v>
      </c>
      <c r="I47" s="105">
        <f>'6'!K44</f>
        <v>0</v>
      </c>
      <c r="J47" s="105">
        <f>'7'!K44</f>
        <v>0</v>
      </c>
      <c r="K47" s="105">
        <f>'8'!K44</f>
        <v>0</v>
      </c>
      <c r="L47" s="105">
        <f>'9'!K44</f>
        <v>0</v>
      </c>
      <c r="M47" s="105">
        <f>'10'!K44</f>
        <v>0</v>
      </c>
      <c r="N47" s="105">
        <f>'11'!K44</f>
        <v>0</v>
      </c>
      <c r="O47" s="105">
        <f>'12'!K44</f>
        <v>0</v>
      </c>
      <c r="P47" s="105">
        <f>'13'!K44</f>
        <v>0</v>
      </c>
      <c r="Q47" s="105">
        <f>'14'!K44</f>
        <v>0</v>
      </c>
      <c r="R47" s="105">
        <f>'15'!K44</f>
        <v>0</v>
      </c>
      <c r="S47" s="105">
        <f>'16'!K44</f>
        <v>0</v>
      </c>
      <c r="T47" s="105">
        <f>'17'!K44</f>
        <v>0</v>
      </c>
      <c r="U47" s="105">
        <f>'18'!K44</f>
        <v>0</v>
      </c>
      <c r="V47" s="105">
        <f>'19'!K44</f>
        <v>0</v>
      </c>
      <c r="W47" s="105">
        <f>'20'!K44</f>
        <v>0</v>
      </c>
      <c r="X47" s="105">
        <f>'21'!K44</f>
        <v>0</v>
      </c>
      <c r="Y47" s="105">
        <f>'22'!K47</f>
        <v>0</v>
      </c>
      <c r="Z47" s="105">
        <f>'23'!K47</f>
        <v>0</v>
      </c>
      <c r="AA47" s="105">
        <f>'24'!K47</f>
        <v>0</v>
      </c>
      <c r="AB47" s="105">
        <f>'25'!K47</f>
        <v>0</v>
      </c>
      <c r="AC47" s="105">
        <f>'26'!K47</f>
        <v>0</v>
      </c>
      <c r="AD47" s="105">
        <f>'27'!K47</f>
        <v>0</v>
      </c>
      <c r="AE47" s="105">
        <f>'28'!K47</f>
        <v>0</v>
      </c>
      <c r="AF47" s="105"/>
      <c r="AG47" s="105">
        <f t="shared" si="0"/>
        <v>0</v>
      </c>
      <c r="AH47" s="211">
        <f t="shared" si="1"/>
        <v>0</v>
      </c>
    </row>
    <row r="48" spans="1:34" x14ac:dyDescent="0.25">
      <c r="A48" s="161"/>
      <c r="B48" s="119" t="s">
        <v>48</v>
      </c>
      <c r="C48" s="104" t="s">
        <v>49</v>
      </c>
      <c r="D48" s="105">
        <f>'1'!K45</f>
        <v>4000</v>
      </c>
      <c r="E48" s="105">
        <f>'2'!K45</f>
        <v>4000</v>
      </c>
      <c r="F48" s="105">
        <f>'3'!K45</f>
        <v>4000</v>
      </c>
      <c r="G48" s="105">
        <f>'4'!K45</f>
        <v>3916.6666666666665</v>
      </c>
      <c r="H48" s="105">
        <f>'5'!K45</f>
        <v>3916.6666666666665</v>
      </c>
      <c r="I48" s="105">
        <f>'6'!K45</f>
        <v>3916.6666666666665</v>
      </c>
      <c r="J48" s="105">
        <f>'7'!K45</f>
        <v>3916.6666666666665</v>
      </c>
      <c r="K48" s="105">
        <f>'8'!K45</f>
        <v>3916.6666666666665</v>
      </c>
      <c r="L48" s="105">
        <f>'9'!K45</f>
        <v>3916.6666666666665</v>
      </c>
      <c r="M48" s="105">
        <f>'10'!K45</f>
        <v>3916.6666666666665</v>
      </c>
      <c r="N48" s="105">
        <f>'11'!K45</f>
        <v>3916.6666666666665</v>
      </c>
      <c r="O48" s="105">
        <f>'12'!K45</f>
        <v>4000</v>
      </c>
      <c r="P48" s="105">
        <f>'13'!K45</f>
        <v>4000</v>
      </c>
      <c r="Q48" s="105">
        <f>'14'!K45</f>
        <v>3916.6666666666665</v>
      </c>
      <c r="R48" s="105">
        <f>'15'!K45</f>
        <v>3916.6666666666665</v>
      </c>
      <c r="S48" s="105">
        <f>'16'!K45</f>
        <v>3916.6666666666665</v>
      </c>
      <c r="T48" s="105">
        <f>'17'!K45</f>
        <v>3916.6666666666665</v>
      </c>
      <c r="U48" s="105">
        <f>'18'!K45</f>
        <v>3916.6666666666665</v>
      </c>
      <c r="V48" s="105">
        <f>'19'!K45</f>
        <v>3916.6666666666665</v>
      </c>
      <c r="W48" s="105">
        <f>'20'!K45</f>
        <v>3916.6666666666665</v>
      </c>
      <c r="X48" s="105">
        <f>'21'!K45</f>
        <v>3916.6666666666665</v>
      </c>
      <c r="Y48" s="105">
        <f>'22'!K48</f>
        <v>3916.6666666666665</v>
      </c>
      <c r="Z48" s="105">
        <f>'23'!K48</f>
        <v>3916.6666666666665</v>
      </c>
      <c r="AA48" s="105">
        <f>'24'!K48</f>
        <v>3916.6666666666665</v>
      </c>
      <c r="AB48" s="105">
        <f>'25'!K48</f>
        <v>3916.6666666666665</v>
      </c>
      <c r="AC48" s="105">
        <f>'26'!K48</f>
        <v>3916.6666666666665</v>
      </c>
      <c r="AD48" s="105">
        <f>'27'!K48</f>
        <v>3916.6666666666665</v>
      </c>
      <c r="AE48" s="105">
        <f>'28'!K48</f>
        <v>3916.6666666666665</v>
      </c>
      <c r="AF48" s="105"/>
      <c r="AG48" s="105">
        <f t="shared" si="0"/>
        <v>-83.333333333333485</v>
      </c>
      <c r="AH48" s="211">
        <f t="shared" si="1"/>
        <v>3931.5476190476206</v>
      </c>
    </row>
    <row r="49" spans="1:34" x14ac:dyDescent="0.25">
      <c r="A49" s="159">
        <v>12</v>
      </c>
      <c r="B49" s="132" t="s">
        <v>50</v>
      </c>
      <c r="C49" s="104"/>
      <c r="D49" s="105">
        <f>'1'!K46</f>
        <v>0</v>
      </c>
      <c r="E49" s="105">
        <f>'2'!K46</f>
        <v>0</v>
      </c>
      <c r="F49" s="105">
        <f>'3'!K46</f>
        <v>0</v>
      </c>
      <c r="G49" s="105">
        <f>'4'!K46</f>
        <v>0</v>
      </c>
      <c r="H49" s="105">
        <f>'5'!K46</f>
        <v>0</v>
      </c>
      <c r="I49" s="105">
        <f>'6'!K46</f>
        <v>0</v>
      </c>
      <c r="J49" s="105">
        <f>'7'!K46</f>
        <v>0</v>
      </c>
      <c r="K49" s="105">
        <f>'8'!K46</f>
        <v>0</v>
      </c>
      <c r="L49" s="105">
        <f>'9'!K46</f>
        <v>0</v>
      </c>
      <c r="M49" s="105">
        <f>'10'!K46</f>
        <v>0</v>
      </c>
      <c r="N49" s="105">
        <f>'11'!K46</f>
        <v>0</v>
      </c>
      <c r="O49" s="105">
        <f>'12'!K46</f>
        <v>0</v>
      </c>
      <c r="P49" s="105">
        <f>'13'!K46</f>
        <v>0</v>
      </c>
      <c r="Q49" s="105">
        <f>'14'!K46</f>
        <v>0</v>
      </c>
      <c r="R49" s="105">
        <f>'15'!K46</f>
        <v>0</v>
      </c>
      <c r="S49" s="105">
        <f>'16'!K46</f>
        <v>0</v>
      </c>
      <c r="T49" s="105">
        <f>'17'!K46</f>
        <v>0</v>
      </c>
      <c r="U49" s="105">
        <f>'18'!K46</f>
        <v>0</v>
      </c>
      <c r="V49" s="105">
        <f>'19'!K46</f>
        <v>0</v>
      </c>
      <c r="W49" s="105">
        <f>'20'!K46</f>
        <v>0</v>
      </c>
      <c r="X49" s="105">
        <f>'21'!K46</f>
        <v>0</v>
      </c>
      <c r="Y49" s="105">
        <f>'22'!K49</f>
        <v>0</v>
      </c>
      <c r="Z49" s="105">
        <f>'23'!K49</f>
        <v>0</v>
      </c>
      <c r="AA49" s="105">
        <f>'24'!K49</f>
        <v>0</v>
      </c>
      <c r="AB49" s="105">
        <f>'25'!K49</f>
        <v>0</v>
      </c>
      <c r="AC49" s="105">
        <f>'26'!K49</f>
        <v>0</v>
      </c>
      <c r="AD49" s="105">
        <f>'27'!K49</f>
        <v>0</v>
      </c>
      <c r="AE49" s="105">
        <f>'28'!K49</f>
        <v>0</v>
      </c>
      <c r="AF49" s="105"/>
      <c r="AG49" s="105">
        <f t="shared" si="0"/>
        <v>0</v>
      </c>
      <c r="AH49" s="211">
        <f t="shared" si="1"/>
        <v>0</v>
      </c>
    </row>
    <row r="50" spans="1:34" x14ac:dyDescent="0.25">
      <c r="A50" s="161"/>
      <c r="B50" s="119" t="s">
        <v>51</v>
      </c>
      <c r="C50" s="104" t="s">
        <v>6</v>
      </c>
      <c r="D50" s="105">
        <f>'1'!K47</f>
        <v>10642.857142857143</v>
      </c>
      <c r="E50" s="105">
        <f>'2'!K47</f>
        <v>10642.857142857143</v>
      </c>
      <c r="F50" s="105">
        <f>'3'!K47</f>
        <v>10714.285714285714</v>
      </c>
      <c r="G50" s="105">
        <f>'4'!K47</f>
        <v>10714.285714285714</v>
      </c>
      <c r="H50" s="105">
        <f>'5'!K47</f>
        <v>10714.285714285714</v>
      </c>
      <c r="I50" s="105">
        <f>'6'!K47</f>
        <v>10714.285714285714</v>
      </c>
      <c r="J50" s="105">
        <f>'7'!K47</f>
        <v>10714.285714285714</v>
      </c>
      <c r="K50" s="105">
        <f>'8'!K47</f>
        <v>10714.285714285714</v>
      </c>
      <c r="L50" s="105">
        <f>'9'!K47</f>
        <v>10642.857142857143</v>
      </c>
      <c r="M50" s="105">
        <f>'10'!K47</f>
        <v>10500</v>
      </c>
      <c r="N50" s="105">
        <f>'11'!K47</f>
        <v>10500</v>
      </c>
      <c r="O50" s="105">
        <f>'12'!K47</f>
        <v>10642.857142857143</v>
      </c>
      <c r="P50" s="105">
        <f>'13'!K47</f>
        <v>10642.857142857143</v>
      </c>
      <c r="Q50" s="105">
        <f>'14'!K47</f>
        <v>10642.857142857143</v>
      </c>
      <c r="R50" s="105">
        <f>'15'!K47</f>
        <v>10642.857142857143</v>
      </c>
      <c r="S50" s="105">
        <f>'16'!K47</f>
        <v>10642.857142857143</v>
      </c>
      <c r="T50" s="105">
        <f>'17'!K47</f>
        <v>10642.857142857143</v>
      </c>
      <c r="U50" s="105">
        <f>'18'!K47</f>
        <v>10642.857142857143</v>
      </c>
      <c r="V50" s="105">
        <f>'19'!K47</f>
        <v>10642.857142857143</v>
      </c>
      <c r="W50" s="105">
        <f>'20'!K47</f>
        <v>10642.857142857143</v>
      </c>
      <c r="X50" s="105">
        <f>'21'!K47</f>
        <v>10642.857142857143</v>
      </c>
      <c r="Y50" s="105">
        <f>'22'!K50</f>
        <v>10642.857142857143</v>
      </c>
      <c r="Z50" s="105">
        <f>'23'!K50</f>
        <v>10642.857142857143</v>
      </c>
      <c r="AA50" s="105">
        <f>'24'!K50</f>
        <v>10642.857142857143</v>
      </c>
      <c r="AB50" s="105">
        <f>'25'!K50</f>
        <v>10642.857142857143</v>
      </c>
      <c r="AC50" s="105">
        <f>'26'!K50</f>
        <v>10642.857142857143</v>
      </c>
      <c r="AD50" s="105">
        <f>'27'!K50</f>
        <v>10642.857142857143</v>
      </c>
      <c r="AE50" s="105">
        <f>'28'!K50</f>
        <v>10642.857142857143</v>
      </c>
      <c r="AF50" s="105"/>
      <c r="AG50" s="105">
        <f t="shared" si="0"/>
        <v>0</v>
      </c>
      <c r="AH50" s="211">
        <f t="shared" si="1"/>
        <v>10647.959183673465</v>
      </c>
    </row>
    <row r="51" spans="1:34" x14ac:dyDescent="0.25">
      <c r="A51" s="159">
        <v>13</v>
      </c>
      <c r="B51" s="132" t="s">
        <v>52</v>
      </c>
      <c r="C51" s="132"/>
      <c r="D51" s="105">
        <f>'1'!K48</f>
        <v>0</v>
      </c>
      <c r="E51" s="105">
        <f>'2'!K48</f>
        <v>0</v>
      </c>
      <c r="F51" s="105">
        <f>'3'!K48</f>
        <v>0</v>
      </c>
      <c r="G51" s="105">
        <f>'4'!K48</f>
        <v>0</v>
      </c>
      <c r="H51" s="105">
        <f>'5'!K48</f>
        <v>0</v>
      </c>
      <c r="I51" s="105">
        <f>'6'!K48</f>
        <v>0</v>
      </c>
      <c r="J51" s="105">
        <f>'7'!K48</f>
        <v>0</v>
      </c>
      <c r="K51" s="105">
        <f>'8'!K48</f>
        <v>0</v>
      </c>
      <c r="L51" s="105">
        <f>'9'!K48</f>
        <v>0</v>
      </c>
      <c r="M51" s="105">
        <f>'10'!K48</f>
        <v>0</v>
      </c>
      <c r="N51" s="105">
        <f>'11'!K48</f>
        <v>0</v>
      </c>
      <c r="O51" s="105">
        <f>'12'!K48</f>
        <v>0</v>
      </c>
      <c r="P51" s="105">
        <f>'13'!K48</f>
        <v>0</v>
      </c>
      <c r="Q51" s="105">
        <f>'14'!K48</f>
        <v>0</v>
      </c>
      <c r="R51" s="105">
        <f>'15'!K48</f>
        <v>0</v>
      </c>
      <c r="S51" s="105">
        <f>'16'!K48</f>
        <v>0</v>
      </c>
      <c r="T51" s="105">
        <f>'17'!K48</f>
        <v>0</v>
      </c>
      <c r="U51" s="105">
        <f>'18'!K48</f>
        <v>0</v>
      </c>
      <c r="V51" s="105">
        <f>'19'!K48</f>
        <v>0</v>
      </c>
      <c r="W51" s="105">
        <f>'20'!K48</f>
        <v>0</v>
      </c>
      <c r="X51" s="105">
        <f>'21'!K48</f>
        <v>0</v>
      </c>
      <c r="Y51" s="105">
        <f>'22'!K51</f>
        <v>0</v>
      </c>
      <c r="Z51" s="105">
        <f>'23'!K51</f>
        <v>0</v>
      </c>
      <c r="AA51" s="105">
        <f>'24'!K51</f>
        <v>0</v>
      </c>
      <c r="AB51" s="105">
        <f>'25'!K51</f>
        <v>0</v>
      </c>
      <c r="AC51" s="105">
        <f>'26'!K51</f>
        <v>0</v>
      </c>
      <c r="AD51" s="105">
        <f>'27'!K51</f>
        <v>0</v>
      </c>
      <c r="AE51" s="105">
        <f>'28'!K51</f>
        <v>0</v>
      </c>
      <c r="AF51" s="105"/>
      <c r="AG51" s="105">
        <f t="shared" si="0"/>
        <v>0</v>
      </c>
      <c r="AH51" s="211">
        <f t="shared" si="1"/>
        <v>0</v>
      </c>
    </row>
    <row r="52" spans="1:34" x14ac:dyDescent="0.25">
      <c r="A52" s="160"/>
      <c r="B52" s="119" t="s">
        <v>53</v>
      </c>
      <c r="C52" s="104" t="s">
        <v>6</v>
      </c>
      <c r="D52" s="105">
        <f>'1'!K49</f>
        <v>15583.333333333334</v>
      </c>
      <c r="E52" s="105">
        <f>'2'!K49</f>
        <v>15583.333333333334</v>
      </c>
      <c r="F52" s="105">
        <f>'3'!K49</f>
        <v>15750</v>
      </c>
      <c r="G52" s="105">
        <f>'4'!K49</f>
        <v>15750</v>
      </c>
      <c r="H52" s="105">
        <f>'5'!K49</f>
        <v>15750</v>
      </c>
      <c r="I52" s="105">
        <f>'6'!K49</f>
        <v>15750</v>
      </c>
      <c r="J52" s="105">
        <f>'7'!K49</f>
        <v>15750</v>
      </c>
      <c r="K52" s="105">
        <f>'8'!K49</f>
        <v>16166.666666666666</v>
      </c>
      <c r="L52" s="105">
        <f>'9'!K49</f>
        <v>16166.666666666666</v>
      </c>
      <c r="M52" s="105">
        <f>'10'!K49</f>
        <v>16166.666666666666</v>
      </c>
      <c r="N52" s="105">
        <f>'11'!K49</f>
        <v>16166.666666666666</v>
      </c>
      <c r="O52" s="105">
        <f>'12'!K49</f>
        <v>16166.666666666666</v>
      </c>
      <c r="P52" s="105">
        <f>'13'!K49</f>
        <v>16166.666666666666</v>
      </c>
      <c r="Q52" s="105">
        <f>'14'!K49</f>
        <v>16166.666666666666</v>
      </c>
      <c r="R52" s="105">
        <f>'15'!K49</f>
        <v>15833.333333333334</v>
      </c>
      <c r="S52" s="105">
        <f>'16'!K49</f>
        <v>15833.333333333334</v>
      </c>
      <c r="T52" s="105">
        <f>'17'!K49</f>
        <v>15833.333333333334</v>
      </c>
      <c r="U52" s="105">
        <f>'18'!K49</f>
        <v>15833.333333333334</v>
      </c>
      <c r="V52" s="105">
        <f>'19'!K49</f>
        <v>15833.333333333334</v>
      </c>
      <c r="W52" s="105">
        <f>'20'!K49</f>
        <v>15833.333333333334</v>
      </c>
      <c r="X52" s="105">
        <f>'21'!K49</f>
        <v>15833.333333333334</v>
      </c>
      <c r="Y52" s="105">
        <f>'22'!K52</f>
        <v>16166.666666666666</v>
      </c>
      <c r="Z52" s="105">
        <f>'23'!K52</f>
        <v>16166.666666666666</v>
      </c>
      <c r="AA52" s="105">
        <f>'24'!K52</f>
        <v>15833.333333333334</v>
      </c>
      <c r="AB52" s="105">
        <f>'25'!K52</f>
        <v>15833.333333333334</v>
      </c>
      <c r="AC52" s="105">
        <f>'26'!K52</f>
        <v>15833.333333333334</v>
      </c>
      <c r="AD52" s="105">
        <f>'27'!K52</f>
        <v>15833.333333333334</v>
      </c>
      <c r="AE52" s="105">
        <f>'28'!K52</f>
        <v>16166.666666666666</v>
      </c>
      <c r="AF52" s="105">
        <v>6800</v>
      </c>
      <c r="AG52" s="105">
        <f t="shared" si="0"/>
        <v>583.33333333333212</v>
      </c>
      <c r="AH52" s="211">
        <f t="shared" si="1"/>
        <v>15919.642857142853</v>
      </c>
    </row>
    <row r="53" spans="1:34" x14ac:dyDescent="0.25">
      <c r="A53" s="160"/>
      <c r="B53" s="119" t="s">
        <v>54</v>
      </c>
      <c r="C53" s="104" t="s">
        <v>6</v>
      </c>
      <c r="D53" s="105">
        <f>'1'!K50</f>
        <v>13166.666666666666</v>
      </c>
      <c r="E53" s="105">
        <f>'2'!K50</f>
        <v>13166.666666666666</v>
      </c>
      <c r="F53" s="105">
        <f>'3'!K50</f>
        <v>13166.666666666666</v>
      </c>
      <c r="G53" s="105">
        <f>'4'!K50</f>
        <v>13166.666666666666</v>
      </c>
      <c r="H53" s="105">
        <f>'5'!K50</f>
        <v>13166.666666666666</v>
      </c>
      <c r="I53" s="105">
        <f>'6'!K50</f>
        <v>13166.666666666666</v>
      </c>
      <c r="J53" s="105">
        <f>'7'!K50</f>
        <v>13166.666666666666</v>
      </c>
      <c r="K53" s="105">
        <f>'8'!K50</f>
        <v>13166.666666666666</v>
      </c>
      <c r="L53" s="105">
        <f>'9'!K50</f>
        <v>13166.666666666666</v>
      </c>
      <c r="M53" s="105">
        <f>'10'!K50</f>
        <v>13166.666666666666</v>
      </c>
      <c r="N53" s="105">
        <f>'11'!K50</f>
        <v>13166.666666666666</v>
      </c>
      <c r="O53" s="105">
        <f>'12'!K50</f>
        <v>13166.666666666666</v>
      </c>
      <c r="P53" s="105">
        <f>'13'!K50</f>
        <v>13166.666666666666</v>
      </c>
      <c r="Q53" s="105">
        <f>'14'!K50</f>
        <v>13166.666666666666</v>
      </c>
      <c r="R53" s="105">
        <f>'15'!K50</f>
        <v>13166.666666666666</v>
      </c>
      <c r="S53" s="105">
        <f>'16'!K50</f>
        <v>13166.666666666666</v>
      </c>
      <c r="T53" s="105">
        <f>'17'!K50</f>
        <v>13166.666666666666</v>
      </c>
      <c r="U53" s="105">
        <f>'18'!K50</f>
        <v>13166.666666666666</v>
      </c>
      <c r="V53" s="105">
        <f>'19'!K50</f>
        <v>13166.666666666666</v>
      </c>
      <c r="W53" s="105">
        <f>'20'!K50</f>
        <v>13166.666666666666</v>
      </c>
      <c r="X53" s="105">
        <f>'21'!K50</f>
        <v>13166.666666666666</v>
      </c>
      <c r="Y53" s="105">
        <f>'22'!K53</f>
        <v>13166.666666666666</v>
      </c>
      <c r="Z53" s="105">
        <f>'23'!K53</f>
        <v>13166.666666666666</v>
      </c>
      <c r="AA53" s="105">
        <f>'24'!K53</f>
        <v>13166.666666666666</v>
      </c>
      <c r="AB53" s="105">
        <f>'25'!K53</f>
        <v>13166.666666666666</v>
      </c>
      <c r="AC53" s="105">
        <f>'26'!K53</f>
        <v>13166.666666666666</v>
      </c>
      <c r="AD53" s="105">
        <f>'27'!K53</f>
        <v>13166.666666666666</v>
      </c>
      <c r="AE53" s="105">
        <f>'28'!K53</f>
        <v>13750</v>
      </c>
      <c r="AF53" s="105">
        <v>9200</v>
      </c>
      <c r="AG53" s="105">
        <f t="shared" si="0"/>
        <v>583.33333333333394</v>
      </c>
      <c r="AH53" s="211">
        <f t="shared" si="1"/>
        <v>13187.500000000002</v>
      </c>
    </row>
    <row r="54" spans="1:34" x14ac:dyDescent="0.25">
      <c r="A54" s="160"/>
      <c r="B54" s="119" t="s">
        <v>55</v>
      </c>
      <c r="C54" s="104" t="s">
        <v>6</v>
      </c>
      <c r="D54" s="105">
        <f>'1'!K51</f>
        <v>24571.428571428572</v>
      </c>
      <c r="E54" s="105">
        <f>'2'!K51</f>
        <v>24571.428571428572</v>
      </c>
      <c r="F54" s="105">
        <f>'3'!K51</f>
        <v>24714.285714285714</v>
      </c>
      <c r="G54" s="105">
        <f>'4'!K51</f>
        <v>24714.285714285714</v>
      </c>
      <c r="H54" s="105">
        <f>'5'!K51</f>
        <v>24714.285714285714</v>
      </c>
      <c r="I54" s="105">
        <f>'6'!K51</f>
        <v>24714.285714285714</v>
      </c>
      <c r="J54" s="105">
        <f>'7'!K51</f>
        <v>24428.571428571428</v>
      </c>
      <c r="K54" s="105">
        <f>'8'!K51</f>
        <v>24428.571428571428</v>
      </c>
      <c r="L54" s="105">
        <f>'9'!K51</f>
        <v>24428.571428571428</v>
      </c>
      <c r="M54" s="105">
        <f>'10'!K51</f>
        <v>24142.857142857141</v>
      </c>
      <c r="N54" s="105">
        <f>'11'!K51</f>
        <v>24142.857142857141</v>
      </c>
      <c r="O54" s="105">
        <f>'12'!K51</f>
        <v>24142.857142857141</v>
      </c>
      <c r="P54" s="105">
        <f>'13'!K51</f>
        <v>24142.857142857141</v>
      </c>
      <c r="Q54" s="105">
        <f>'14'!K51</f>
        <v>24142.857142857141</v>
      </c>
      <c r="R54" s="105">
        <f>'15'!K51</f>
        <v>24142.857142857141</v>
      </c>
      <c r="S54" s="105">
        <f>'16'!K51</f>
        <v>24142.857142857141</v>
      </c>
      <c r="T54" s="105">
        <f>'17'!K51</f>
        <v>24142.857142857141</v>
      </c>
      <c r="U54" s="105">
        <f>'18'!K51</f>
        <v>24142.857142857141</v>
      </c>
      <c r="V54" s="105">
        <f>'19'!K51</f>
        <v>24142.857142857141</v>
      </c>
      <c r="W54" s="105">
        <f>'20'!K51</f>
        <v>24142.857142857141</v>
      </c>
      <c r="X54" s="105">
        <f>'21'!K51</f>
        <v>24142.857142857141</v>
      </c>
      <c r="Y54" s="105">
        <f>'22'!K54</f>
        <v>24285.714285714286</v>
      </c>
      <c r="Z54" s="105">
        <f>'23'!K54</f>
        <v>24571.428571428572</v>
      </c>
      <c r="AA54" s="105">
        <f>'24'!K54</f>
        <v>24571.428571428572</v>
      </c>
      <c r="AB54" s="105">
        <f>'25'!K54</f>
        <v>24571.428571428572</v>
      </c>
      <c r="AC54" s="105">
        <f>'26'!K54</f>
        <v>24571.428571428572</v>
      </c>
      <c r="AD54" s="105">
        <f>'27'!K54</f>
        <v>24571.428571428572</v>
      </c>
      <c r="AE54" s="105">
        <f>'28'!K54</f>
        <v>24571.428571428572</v>
      </c>
      <c r="AF54" s="105"/>
      <c r="AG54" s="105">
        <f t="shared" si="0"/>
        <v>0</v>
      </c>
      <c r="AH54" s="211">
        <f t="shared" si="1"/>
        <v>24382.653061224486</v>
      </c>
    </row>
    <row r="55" spans="1:34" x14ac:dyDescent="0.25">
      <c r="A55" s="161"/>
      <c r="B55" s="119" t="s">
        <v>56</v>
      </c>
      <c r="C55" s="104" t="s">
        <v>6</v>
      </c>
      <c r="D55" s="105">
        <f>'1'!K52</f>
        <v>28571.428571428572</v>
      </c>
      <c r="E55" s="105">
        <f>'2'!K52</f>
        <v>28571.428571428572</v>
      </c>
      <c r="F55" s="105">
        <f>'3'!K52</f>
        <v>28428.571428571428</v>
      </c>
      <c r="G55" s="105">
        <f>'4'!K52</f>
        <v>28428.571428571428</v>
      </c>
      <c r="H55" s="105">
        <f>'5'!K52</f>
        <v>28428.571428571428</v>
      </c>
      <c r="I55" s="105">
        <f>'6'!K52</f>
        <v>28428.571428571428</v>
      </c>
      <c r="J55" s="105">
        <f>'7'!K52</f>
        <v>28142.857142857141</v>
      </c>
      <c r="K55" s="105">
        <f>'8'!K52</f>
        <v>28142.857142857141</v>
      </c>
      <c r="L55" s="105">
        <f>'9'!K52</f>
        <v>28142.857142857141</v>
      </c>
      <c r="M55" s="105">
        <f>'10'!K52</f>
        <v>28285.714285714286</v>
      </c>
      <c r="N55" s="105">
        <f>'11'!K52</f>
        <v>28285.714285714286</v>
      </c>
      <c r="O55" s="105">
        <f>'12'!K52</f>
        <v>28285.714285714286</v>
      </c>
      <c r="P55" s="105">
        <f>'13'!K52</f>
        <v>28285.714285714286</v>
      </c>
      <c r="Q55" s="105">
        <f>'14'!K52</f>
        <v>28285.714285714286</v>
      </c>
      <c r="R55" s="105">
        <f>'15'!K52</f>
        <v>28285.714285714286</v>
      </c>
      <c r="S55" s="105">
        <f>'16'!K52</f>
        <v>28285.714285714286</v>
      </c>
      <c r="T55" s="105">
        <f>'17'!K52</f>
        <v>28285.714285714286</v>
      </c>
      <c r="U55" s="105">
        <f>'18'!K52</f>
        <v>28285.714285714286</v>
      </c>
      <c r="V55" s="105">
        <f>'19'!K52</f>
        <v>28285.714285714286</v>
      </c>
      <c r="W55" s="105">
        <f>'20'!K52</f>
        <v>28285.714285714286</v>
      </c>
      <c r="X55" s="105">
        <f>'21'!K52</f>
        <v>28285.714285714286</v>
      </c>
      <c r="Y55" s="105">
        <f>'22'!K55</f>
        <v>28285.714285714286</v>
      </c>
      <c r="Z55" s="105">
        <f>'23'!K55</f>
        <v>28142.857142857141</v>
      </c>
      <c r="AA55" s="105">
        <f>'24'!K55</f>
        <v>28142.857142857141</v>
      </c>
      <c r="AB55" s="105">
        <f>'25'!K55</f>
        <v>28142.857142857141</v>
      </c>
      <c r="AC55" s="105">
        <f>'26'!K55</f>
        <v>28142.857142857141</v>
      </c>
      <c r="AD55" s="105">
        <f>'27'!K55</f>
        <v>28142.857142857141</v>
      </c>
      <c r="AE55" s="105">
        <f>'28'!K55</f>
        <v>28142.857142857141</v>
      </c>
      <c r="AF55" s="105"/>
      <c r="AG55" s="105">
        <f t="shared" si="0"/>
        <v>-428.57142857143117</v>
      </c>
      <c r="AH55" s="211">
        <f t="shared" si="1"/>
        <v>28280.612244897959</v>
      </c>
    </row>
    <row r="56" spans="1:34" x14ac:dyDescent="0.25">
      <c r="A56" s="134">
        <v>14</v>
      </c>
      <c r="B56" s="132" t="s">
        <v>57</v>
      </c>
      <c r="C56" s="104"/>
      <c r="D56" s="105">
        <f>'1'!K53</f>
        <v>0</v>
      </c>
      <c r="E56" s="105">
        <f>'2'!K53</f>
        <v>0</v>
      </c>
      <c r="F56" s="105">
        <f>'3'!K53</f>
        <v>0</v>
      </c>
      <c r="G56" s="105">
        <f>'4'!K53</f>
        <v>0</v>
      </c>
      <c r="H56" s="105">
        <f>'5'!K53</f>
        <v>0</v>
      </c>
      <c r="I56" s="105">
        <f>'6'!K53</f>
        <v>0</v>
      </c>
      <c r="J56" s="105">
        <f>'7'!K53</f>
        <v>0</v>
      </c>
      <c r="K56" s="105">
        <f>'8'!K53</f>
        <v>0</v>
      </c>
      <c r="L56" s="105">
        <f>'9'!K53</f>
        <v>0</v>
      </c>
      <c r="M56" s="105">
        <f>'10'!K53</f>
        <v>0</v>
      </c>
      <c r="N56" s="105">
        <f>'11'!K53</f>
        <v>0</v>
      </c>
      <c r="O56" s="105">
        <f>'12'!K53</f>
        <v>0</v>
      </c>
      <c r="P56" s="105">
        <f>'13'!K53</f>
        <v>0</v>
      </c>
      <c r="Q56" s="105">
        <f>'14'!K53</f>
        <v>0</v>
      </c>
      <c r="R56" s="105">
        <f>'15'!K53</f>
        <v>0</v>
      </c>
      <c r="S56" s="105">
        <f>'16'!K53</f>
        <v>0</v>
      </c>
      <c r="T56" s="105">
        <f>'17'!K53</f>
        <v>0</v>
      </c>
      <c r="U56" s="105">
        <f>'18'!K53</f>
        <v>0</v>
      </c>
      <c r="V56" s="105">
        <f>'19'!K53</f>
        <v>0</v>
      </c>
      <c r="W56" s="105">
        <f>'20'!K53</f>
        <v>0</v>
      </c>
      <c r="X56" s="105">
        <f>'21'!K53</f>
        <v>0</v>
      </c>
      <c r="Y56" s="105">
        <f>'22'!K56</f>
        <v>0</v>
      </c>
      <c r="Z56" s="105">
        <f>'23'!K56</f>
        <v>0</v>
      </c>
      <c r="AA56" s="105">
        <f>'24'!K56</f>
        <v>0</v>
      </c>
      <c r="AB56" s="105">
        <f>'25'!K56</f>
        <v>0</v>
      </c>
      <c r="AC56" s="105">
        <f>'26'!K56</f>
        <v>0</v>
      </c>
      <c r="AD56" s="105">
        <f>'27'!K56</f>
        <v>0</v>
      </c>
      <c r="AE56" s="105">
        <f>'28'!K56</f>
        <v>0</v>
      </c>
      <c r="AF56" s="105"/>
      <c r="AG56" s="105">
        <f t="shared" si="0"/>
        <v>0</v>
      </c>
      <c r="AH56" s="211">
        <f t="shared" si="1"/>
        <v>0</v>
      </c>
    </row>
    <row r="57" spans="1:34" x14ac:dyDescent="0.25">
      <c r="A57" s="135"/>
      <c r="B57" s="119" t="s">
        <v>58</v>
      </c>
      <c r="C57" s="104" t="s">
        <v>59</v>
      </c>
      <c r="D57" s="105">
        <f>'1'!K54</f>
        <v>3066.6666666666665</v>
      </c>
      <c r="E57" s="105">
        <f>'2'!K54</f>
        <v>3066.6666666666665</v>
      </c>
      <c r="F57" s="105">
        <f>'3'!K54</f>
        <v>3066.6666666666665</v>
      </c>
      <c r="G57" s="105">
        <f>'4'!K54</f>
        <v>3066.6666666666665</v>
      </c>
      <c r="H57" s="105">
        <f>'5'!K54</f>
        <v>3066.6666666666665</v>
      </c>
      <c r="I57" s="105">
        <f>'6'!K54</f>
        <v>3066.6666666666665</v>
      </c>
      <c r="J57" s="105">
        <f>'7'!K54</f>
        <v>3066.6666666666665</v>
      </c>
      <c r="K57" s="105">
        <f>'8'!K54</f>
        <v>3066.6666666666665</v>
      </c>
      <c r="L57" s="105">
        <f>'9'!K54</f>
        <v>3066.6666666666665</v>
      </c>
      <c r="M57" s="105">
        <f>'10'!K54</f>
        <v>3033.3333333333335</v>
      </c>
      <c r="N57" s="105">
        <f>'11'!K54</f>
        <v>3033.3333333333335</v>
      </c>
      <c r="O57" s="105">
        <f>'12'!K54</f>
        <v>3066.6666666666665</v>
      </c>
      <c r="P57" s="105">
        <f>'13'!K54</f>
        <v>3066.6666666666665</v>
      </c>
      <c r="Q57" s="105">
        <f>'14'!K54</f>
        <v>3033.3333333333335</v>
      </c>
      <c r="R57" s="105">
        <f>'15'!K54</f>
        <v>3033.3333333333335</v>
      </c>
      <c r="S57" s="105">
        <f>'16'!K54</f>
        <v>3033.3333333333335</v>
      </c>
      <c r="T57" s="105">
        <f>'17'!K54</f>
        <v>3033.3333333333335</v>
      </c>
      <c r="U57" s="105">
        <f>'18'!K54</f>
        <v>3033.3333333333335</v>
      </c>
      <c r="V57" s="105">
        <f>'19'!K54</f>
        <v>3033.3333333333335</v>
      </c>
      <c r="W57" s="105">
        <f>'20'!K54</f>
        <v>3033.3333333333335</v>
      </c>
      <c r="X57" s="105">
        <f>'21'!K54</f>
        <v>3033.3333333333335</v>
      </c>
      <c r="Y57" s="105">
        <f>'22'!K57</f>
        <v>3200</v>
      </c>
      <c r="Z57" s="105">
        <f>'23'!K57</f>
        <v>3200</v>
      </c>
      <c r="AA57" s="105">
        <f>'24'!K57</f>
        <v>3200</v>
      </c>
      <c r="AB57" s="105">
        <f>'25'!K57</f>
        <v>3200</v>
      </c>
      <c r="AC57" s="105">
        <f>'26'!K57</f>
        <v>3200</v>
      </c>
      <c r="AD57" s="105">
        <f>'27'!K57</f>
        <v>3200</v>
      </c>
      <c r="AE57" s="105">
        <f>'28'!K57</f>
        <v>3200</v>
      </c>
      <c r="AF57" s="105"/>
      <c r="AG57" s="105">
        <f t="shared" si="0"/>
        <v>133.33333333333348</v>
      </c>
      <c r="AH57" s="211">
        <f t="shared" si="1"/>
        <v>3088.095238095239</v>
      </c>
    </row>
    <row r="58" spans="1:34" x14ac:dyDescent="0.25">
      <c r="A58" s="159">
        <v>15</v>
      </c>
      <c r="B58" s="132" t="s">
        <v>60</v>
      </c>
      <c r="C58" s="132"/>
      <c r="D58" s="105">
        <f>'1'!K55</f>
        <v>0</v>
      </c>
      <c r="E58" s="105">
        <f>'2'!K55</f>
        <v>0</v>
      </c>
      <c r="F58" s="105">
        <f>'3'!K55</f>
        <v>0</v>
      </c>
      <c r="G58" s="105">
        <f>'4'!K55</f>
        <v>0</v>
      </c>
      <c r="H58" s="105">
        <f>'5'!K55</f>
        <v>0</v>
      </c>
      <c r="I58" s="105">
        <f>'6'!K55</f>
        <v>0</v>
      </c>
      <c r="J58" s="105">
        <f>'7'!K55</f>
        <v>0</v>
      </c>
      <c r="K58" s="105">
        <f>'8'!K55</f>
        <v>0</v>
      </c>
      <c r="L58" s="105">
        <f>'9'!K55</f>
        <v>0</v>
      </c>
      <c r="M58" s="105">
        <f>'10'!K55</f>
        <v>0</v>
      </c>
      <c r="N58" s="105">
        <f>'11'!K55</f>
        <v>0</v>
      </c>
      <c r="O58" s="105">
        <f>'12'!K55</f>
        <v>0</v>
      </c>
      <c r="P58" s="105">
        <f>'13'!K55</f>
        <v>0</v>
      </c>
      <c r="Q58" s="105">
        <f>'14'!K55</f>
        <v>0</v>
      </c>
      <c r="R58" s="105">
        <f>'15'!K55</f>
        <v>0</v>
      </c>
      <c r="S58" s="105">
        <f>'16'!K55</f>
        <v>0</v>
      </c>
      <c r="T58" s="105">
        <f>'17'!K55</f>
        <v>0</v>
      </c>
      <c r="U58" s="105">
        <f>'18'!K55</f>
        <v>0</v>
      </c>
      <c r="V58" s="105">
        <f>'19'!K55</f>
        <v>0</v>
      </c>
      <c r="W58" s="105">
        <f>'20'!K55</f>
        <v>0</v>
      </c>
      <c r="X58" s="105">
        <f>'21'!K55</f>
        <v>0</v>
      </c>
      <c r="Y58" s="105">
        <f>'22'!K58</f>
        <v>0</v>
      </c>
      <c r="Z58" s="105">
        <f>'23'!K58</f>
        <v>0</v>
      </c>
      <c r="AA58" s="105">
        <f>'24'!K58</f>
        <v>0</v>
      </c>
      <c r="AB58" s="105">
        <f>'25'!K58</f>
        <v>0</v>
      </c>
      <c r="AC58" s="105">
        <f>'26'!K58</f>
        <v>0</v>
      </c>
      <c r="AD58" s="105">
        <f>'27'!K58</f>
        <v>0</v>
      </c>
      <c r="AE58" s="105">
        <f>'28'!K58</f>
        <v>0</v>
      </c>
      <c r="AF58" s="105"/>
      <c r="AG58" s="105">
        <f t="shared" si="0"/>
        <v>0</v>
      </c>
      <c r="AH58" s="211">
        <f t="shared" si="1"/>
        <v>0</v>
      </c>
    </row>
    <row r="59" spans="1:34" x14ac:dyDescent="0.25">
      <c r="A59" s="160"/>
      <c r="B59" s="119" t="s">
        <v>61</v>
      </c>
      <c r="C59" s="104" t="s">
        <v>6</v>
      </c>
      <c r="D59" s="105">
        <f>'1'!K56</f>
        <v>27714.285714285714</v>
      </c>
      <c r="E59" s="105">
        <f>'2'!K56</f>
        <v>28000</v>
      </c>
      <c r="F59" s="105">
        <f>'3'!K56</f>
        <v>28000</v>
      </c>
      <c r="G59" s="105">
        <f>'4'!K56</f>
        <v>28142.857142857141</v>
      </c>
      <c r="H59" s="105">
        <f>'5'!K56</f>
        <v>28857.142857142859</v>
      </c>
      <c r="I59" s="105">
        <f>'6'!K56</f>
        <v>29142.857142857141</v>
      </c>
      <c r="J59" s="105">
        <f>'7'!K56</f>
        <v>31428.571428571428</v>
      </c>
      <c r="K59" s="105">
        <f>'8'!K56</f>
        <v>32142.857142857141</v>
      </c>
      <c r="L59" s="105">
        <f>'9'!K56</f>
        <v>32571.428571428572</v>
      </c>
      <c r="M59" s="105">
        <f>'10'!K56</f>
        <v>31428.571428571428</v>
      </c>
      <c r="N59" s="105">
        <f>'11'!K56</f>
        <v>31428.571428571428</v>
      </c>
      <c r="O59" s="105">
        <f>'12'!K56</f>
        <v>31428.571428571428</v>
      </c>
      <c r="P59" s="105">
        <f>'13'!K56</f>
        <v>32142.857142857141</v>
      </c>
      <c r="Q59" s="105">
        <f>'14'!K56</f>
        <v>32428.571428571428</v>
      </c>
      <c r="R59" s="105">
        <f>'15'!K56</f>
        <v>33428.571428571428</v>
      </c>
      <c r="S59" s="105">
        <f>'16'!K56</f>
        <v>35285.714285714283</v>
      </c>
      <c r="T59" s="105">
        <f>'17'!K56</f>
        <v>36714.285714285717</v>
      </c>
      <c r="U59" s="105">
        <f>'18'!K56</f>
        <v>37142.857142857145</v>
      </c>
      <c r="V59" s="105">
        <f>'19'!K56</f>
        <v>37142.857142857145</v>
      </c>
      <c r="W59" s="105">
        <f>'20'!K56</f>
        <v>37428.571428571428</v>
      </c>
      <c r="X59" s="105">
        <f>'21'!K56</f>
        <v>37714.285714285717</v>
      </c>
      <c r="Y59" s="105">
        <f>'22'!K59</f>
        <v>38142.857142857145</v>
      </c>
      <c r="Z59" s="105">
        <f>'23'!K59</f>
        <v>36714.285714285717</v>
      </c>
      <c r="AA59" s="105">
        <f>'24'!K59</f>
        <v>35714.285714285717</v>
      </c>
      <c r="AB59" s="105">
        <f>'25'!K59</f>
        <v>35000</v>
      </c>
      <c r="AC59" s="105">
        <f>'26'!K59</f>
        <v>35000</v>
      </c>
      <c r="AD59" s="105">
        <f>'27'!K59</f>
        <v>31000</v>
      </c>
      <c r="AE59" s="105">
        <f>'28'!K59</f>
        <v>29857.142857142859</v>
      </c>
      <c r="AF59" s="105"/>
      <c r="AG59" s="105">
        <f t="shared" si="0"/>
        <v>2142.8571428571449</v>
      </c>
      <c r="AH59" s="211">
        <f t="shared" si="1"/>
        <v>32897.959183673469</v>
      </c>
    </row>
    <row r="60" spans="1:34" x14ac:dyDescent="0.25">
      <c r="A60" s="160"/>
      <c r="B60" s="119" t="s">
        <v>62</v>
      </c>
      <c r="C60" s="104" t="s">
        <v>6</v>
      </c>
      <c r="D60" s="105">
        <f>'1'!K57</f>
        <v>38750</v>
      </c>
      <c r="E60" s="105">
        <f>'2'!K57</f>
        <v>37500</v>
      </c>
      <c r="F60" s="105">
        <f>'3'!K57</f>
        <v>38750</v>
      </c>
      <c r="G60" s="105">
        <f>'4'!K57</f>
        <v>38750</v>
      </c>
      <c r="H60" s="105">
        <f>'5'!K57</f>
        <v>38750</v>
      </c>
      <c r="I60" s="105">
        <f>'6'!K57</f>
        <v>36750</v>
      </c>
      <c r="J60" s="105">
        <f>'7'!K57</f>
        <v>40000</v>
      </c>
      <c r="K60" s="105">
        <f>'8'!K57</f>
        <v>41250</v>
      </c>
      <c r="L60" s="105">
        <f>'9'!K57</f>
        <v>40000</v>
      </c>
      <c r="M60" s="105">
        <f>'10'!K57</f>
        <v>40000</v>
      </c>
      <c r="N60" s="105">
        <f>'11'!K57</f>
        <v>40000</v>
      </c>
      <c r="O60" s="105">
        <f>'12'!K57</f>
        <v>40000</v>
      </c>
      <c r="P60" s="105">
        <f>'13'!K57</f>
        <v>41250</v>
      </c>
      <c r="Q60" s="105">
        <f>'14'!K57</f>
        <v>46250</v>
      </c>
      <c r="R60" s="105">
        <f>'15'!K57</f>
        <v>47500</v>
      </c>
      <c r="S60" s="105">
        <f>'16'!K57</f>
        <v>51250</v>
      </c>
      <c r="T60" s="105">
        <f>'17'!K57</f>
        <v>51250</v>
      </c>
      <c r="U60" s="105">
        <f>'18'!K57</f>
        <v>51250</v>
      </c>
      <c r="V60" s="105">
        <f>'19'!K57</f>
        <v>52500</v>
      </c>
      <c r="W60" s="105">
        <f>'20'!K57</f>
        <v>50000</v>
      </c>
      <c r="X60" s="105">
        <f>'21'!K57</f>
        <v>50000</v>
      </c>
      <c r="Y60" s="105">
        <f>'22'!K60</f>
        <v>50000</v>
      </c>
      <c r="Z60" s="105">
        <f>'23'!K60</f>
        <v>47500</v>
      </c>
      <c r="AA60" s="105">
        <f>'24'!K60</f>
        <v>46250</v>
      </c>
      <c r="AB60" s="105">
        <f>'25'!K60</f>
        <v>46250</v>
      </c>
      <c r="AC60" s="105">
        <f>'26'!K60</f>
        <v>46250</v>
      </c>
      <c r="AD60" s="105">
        <f>'27'!K60</f>
        <v>42500</v>
      </c>
      <c r="AE60" s="105">
        <f>'28'!K60</f>
        <v>40000</v>
      </c>
      <c r="AF60" s="105"/>
      <c r="AG60" s="105">
        <f t="shared" si="0"/>
        <v>1250</v>
      </c>
      <c r="AH60" s="211">
        <f t="shared" si="1"/>
        <v>43946.428571428572</v>
      </c>
    </row>
    <row r="61" spans="1:34" x14ac:dyDescent="0.25">
      <c r="A61" s="161"/>
      <c r="B61" s="119" t="s">
        <v>63</v>
      </c>
      <c r="C61" s="104" t="s">
        <v>6</v>
      </c>
      <c r="D61" s="105">
        <f>'1'!K58</f>
        <v>51428.571428571428</v>
      </c>
      <c r="E61" s="105">
        <f>'2'!K58</f>
        <v>50000</v>
      </c>
      <c r="F61" s="105">
        <f>'3'!K58</f>
        <v>48428.571428571428</v>
      </c>
      <c r="G61" s="105">
        <f>'4'!K58</f>
        <v>49142.857142857145</v>
      </c>
      <c r="H61" s="105">
        <f>'5'!K58</f>
        <v>49857.142857142855</v>
      </c>
      <c r="I61" s="105">
        <f>'6'!K58</f>
        <v>48428.571428571428</v>
      </c>
      <c r="J61" s="105">
        <f>'7'!K58</f>
        <v>56142.857142857145</v>
      </c>
      <c r="K61" s="105">
        <f>'8'!K58</f>
        <v>57142.857142857145</v>
      </c>
      <c r="L61" s="105">
        <f>'9'!K58</f>
        <v>56428.571428571428</v>
      </c>
      <c r="M61" s="105">
        <f>'10'!K58</f>
        <v>57857.142857142855</v>
      </c>
      <c r="N61" s="105">
        <f>'11'!K58</f>
        <v>55714.285714285717</v>
      </c>
      <c r="O61" s="105">
        <f>'12'!K58</f>
        <v>56428.571428571428</v>
      </c>
      <c r="P61" s="105">
        <f>'13'!K58</f>
        <v>57857.142857142855</v>
      </c>
      <c r="Q61" s="105">
        <f>'14'!K58</f>
        <v>57142.857142857145</v>
      </c>
      <c r="R61" s="105">
        <f>'15'!K58</f>
        <v>56428.571428571428</v>
      </c>
      <c r="S61" s="105">
        <f>'16'!K58</f>
        <v>60714.285714285717</v>
      </c>
      <c r="T61" s="105">
        <f>'17'!K58</f>
        <v>62142.857142857145</v>
      </c>
      <c r="U61" s="105">
        <f>'18'!K58</f>
        <v>61428.571428571428</v>
      </c>
      <c r="V61" s="105">
        <f>'19'!K58</f>
        <v>61428.571428571428</v>
      </c>
      <c r="W61" s="105">
        <f>'20'!K58</f>
        <v>60714.285714285717</v>
      </c>
      <c r="X61" s="105">
        <f>'21'!K58</f>
        <v>59285.714285714283</v>
      </c>
      <c r="Y61" s="105">
        <f>'22'!K61</f>
        <v>61428.571428571428</v>
      </c>
      <c r="Z61" s="105">
        <f>'23'!K61</f>
        <v>60000</v>
      </c>
      <c r="AA61" s="105">
        <f>'24'!K61</f>
        <v>58571.428571428572</v>
      </c>
      <c r="AB61" s="105">
        <f>'25'!K61</f>
        <v>59285.714285714283</v>
      </c>
      <c r="AC61" s="105">
        <f>'26'!K61</f>
        <v>58571.428571428572</v>
      </c>
      <c r="AD61" s="105">
        <f>'27'!K61</f>
        <v>62857.142857142855</v>
      </c>
      <c r="AE61" s="105">
        <f>'28'!K61</f>
        <v>61714.285714285717</v>
      </c>
      <c r="AF61" s="105"/>
      <c r="AG61" s="105">
        <f t="shared" si="0"/>
        <v>10285.71428571429</v>
      </c>
      <c r="AH61" s="211">
        <f t="shared" si="1"/>
        <v>57020.408163265318</v>
      </c>
    </row>
    <row r="62" spans="1:34" x14ac:dyDescent="0.25">
      <c r="A62" s="134">
        <v>16</v>
      </c>
      <c r="B62" s="132" t="s">
        <v>64</v>
      </c>
      <c r="C62" s="104"/>
      <c r="D62" s="105">
        <f>'1'!K59</f>
        <v>0</v>
      </c>
      <c r="E62" s="105">
        <f>'2'!K59</f>
        <v>0</v>
      </c>
      <c r="F62" s="105">
        <f>'3'!K59</f>
        <v>0</v>
      </c>
      <c r="G62" s="105">
        <f>'4'!K59</f>
        <v>0</v>
      </c>
      <c r="H62" s="105">
        <f>'5'!K59</f>
        <v>0</v>
      </c>
      <c r="I62" s="105">
        <f>'6'!K59</f>
        <v>0</v>
      </c>
      <c r="J62" s="105">
        <f>'7'!K59</f>
        <v>0</v>
      </c>
      <c r="K62" s="105">
        <f>'8'!K59</f>
        <v>0</v>
      </c>
      <c r="L62" s="105">
        <f>'9'!K59</f>
        <v>0</v>
      </c>
      <c r="M62" s="105">
        <f>'10'!K59</f>
        <v>0</v>
      </c>
      <c r="N62" s="105">
        <f>'11'!K59</f>
        <v>0</v>
      </c>
      <c r="O62" s="105">
        <f>'12'!K59</f>
        <v>0</v>
      </c>
      <c r="P62" s="105">
        <f>'13'!K59</f>
        <v>0</v>
      </c>
      <c r="Q62" s="105">
        <f>'14'!K59</f>
        <v>0</v>
      </c>
      <c r="R62" s="105">
        <f>'15'!K59</f>
        <v>0</v>
      </c>
      <c r="S62" s="105">
        <f>'16'!K59</f>
        <v>0</v>
      </c>
      <c r="T62" s="105">
        <f>'17'!K59</f>
        <v>0</v>
      </c>
      <c r="U62" s="105">
        <f>'18'!K59</f>
        <v>0</v>
      </c>
      <c r="V62" s="105">
        <f>'19'!K59</f>
        <v>0</v>
      </c>
      <c r="W62" s="105">
        <f>'20'!K59</f>
        <v>0</v>
      </c>
      <c r="X62" s="105">
        <f>'21'!K59</f>
        <v>0</v>
      </c>
      <c r="Y62" s="105">
        <f>'22'!K62</f>
        <v>0</v>
      </c>
      <c r="Z62" s="105">
        <f>'23'!K62</f>
        <v>0</v>
      </c>
      <c r="AA62" s="105">
        <f>'24'!K62</f>
        <v>0</v>
      </c>
      <c r="AB62" s="105">
        <f>'25'!K62</f>
        <v>0</v>
      </c>
      <c r="AC62" s="105">
        <f>'26'!K62</f>
        <v>0</v>
      </c>
      <c r="AD62" s="105">
        <f>'27'!K62</f>
        <v>0</v>
      </c>
      <c r="AE62" s="105">
        <f>'28'!K62</f>
        <v>0</v>
      </c>
      <c r="AF62" s="105"/>
      <c r="AG62" s="105">
        <f t="shared" si="0"/>
        <v>0</v>
      </c>
      <c r="AH62" s="211">
        <f t="shared" si="1"/>
        <v>0</v>
      </c>
    </row>
    <row r="63" spans="1:34" x14ac:dyDescent="0.25">
      <c r="A63" s="135"/>
      <c r="B63" s="119" t="s">
        <v>65</v>
      </c>
      <c r="C63" s="104" t="s">
        <v>66</v>
      </c>
      <c r="D63" s="105">
        <f>'1'!K60</f>
        <v>18166.666666666668</v>
      </c>
      <c r="E63" s="105">
        <f>'2'!K60</f>
        <v>18166.666666666668</v>
      </c>
      <c r="F63" s="105">
        <f>'3'!K60</f>
        <v>18166.666666666668</v>
      </c>
      <c r="G63" s="105">
        <f>'4'!K60</f>
        <v>18166.666666666668</v>
      </c>
      <c r="H63" s="105">
        <f>'5'!K60</f>
        <v>18166.666666666668</v>
      </c>
      <c r="I63" s="105">
        <f>'6'!K60</f>
        <v>18166.666666666668</v>
      </c>
      <c r="J63" s="105">
        <f>'7'!K60</f>
        <v>18166.666666666668</v>
      </c>
      <c r="K63" s="105">
        <f>'8'!K60</f>
        <v>18166.666666666668</v>
      </c>
      <c r="L63" s="105">
        <f>'9'!K60</f>
        <v>18166.666666666668</v>
      </c>
      <c r="M63" s="105">
        <f>'10'!K60</f>
        <v>18166.666666666668</v>
      </c>
      <c r="N63" s="105">
        <f>'11'!K60</f>
        <v>18166.666666666668</v>
      </c>
      <c r="O63" s="105">
        <f>'12'!K60</f>
        <v>18166.666666666668</v>
      </c>
      <c r="P63" s="105">
        <f>'13'!K60</f>
        <v>18166.666666666668</v>
      </c>
      <c r="Q63" s="105">
        <f>'14'!K60</f>
        <v>18166.666666666668</v>
      </c>
      <c r="R63" s="105">
        <f>'15'!K60</f>
        <v>18166.666666666668</v>
      </c>
      <c r="S63" s="105">
        <f>'16'!K60</f>
        <v>18166.666666666668</v>
      </c>
      <c r="T63" s="105">
        <f>'17'!K60</f>
        <v>18166.666666666668</v>
      </c>
      <c r="U63" s="105">
        <f>'18'!K60</f>
        <v>18166.666666666668</v>
      </c>
      <c r="V63" s="105">
        <f>'19'!K60</f>
        <v>18166.666666666668</v>
      </c>
      <c r="W63" s="105">
        <f>'20'!K60</f>
        <v>18166.666666666668</v>
      </c>
      <c r="X63" s="105">
        <f>'21'!K60</f>
        <v>18166.666666666668</v>
      </c>
      <c r="Y63" s="105">
        <f>'22'!K63</f>
        <v>18166.666666666668</v>
      </c>
      <c r="Z63" s="105">
        <f>'23'!K63</f>
        <v>18166.666666666668</v>
      </c>
      <c r="AA63" s="105">
        <f>'24'!K63</f>
        <v>18166.666666666668</v>
      </c>
      <c r="AB63" s="105">
        <f>'25'!K63</f>
        <v>18166.666666666668</v>
      </c>
      <c r="AC63" s="105">
        <f>'26'!K63</f>
        <v>18166.666666666668</v>
      </c>
      <c r="AD63" s="105">
        <f>'27'!K63</f>
        <v>18166.666666666668</v>
      </c>
      <c r="AE63" s="105">
        <f>'28'!K63</f>
        <v>18166.666666666668</v>
      </c>
      <c r="AF63" s="105"/>
      <c r="AG63" s="105">
        <f t="shared" si="0"/>
        <v>0</v>
      </c>
      <c r="AH63" s="211">
        <f t="shared" si="1"/>
        <v>18166.666666666675</v>
      </c>
    </row>
    <row r="64" spans="1:34" x14ac:dyDescent="0.25">
      <c r="A64" s="159">
        <v>17</v>
      </c>
      <c r="B64" s="132" t="s">
        <v>67</v>
      </c>
      <c r="C64" s="132"/>
      <c r="D64" s="105">
        <f>'1'!K61</f>
        <v>0</v>
      </c>
      <c r="E64" s="105">
        <f>'2'!K61</f>
        <v>0</v>
      </c>
      <c r="F64" s="105">
        <f>'3'!K61</f>
        <v>0</v>
      </c>
      <c r="G64" s="105">
        <f>'4'!K61</f>
        <v>0</v>
      </c>
      <c r="H64" s="105">
        <f>'5'!K61</f>
        <v>0</v>
      </c>
      <c r="I64" s="105">
        <f>'6'!K61</f>
        <v>0</v>
      </c>
      <c r="J64" s="105">
        <f>'7'!K61</f>
        <v>0</v>
      </c>
      <c r="K64" s="105">
        <f>'8'!K61</f>
        <v>0</v>
      </c>
      <c r="L64" s="105">
        <f>'9'!K61</f>
        <v>0</v>
      </c>
      <c r="M64" s="105">
        <f>'10'!K61</f>
        <v>0</v>
      </c>
      <c r="N64" s="105">
        <f>'11'!K61</f>
        <v>0</v>
      </c>
      <c r="O64" s="105">
        <f>'12'!K61</f>
        <v>0</v>
      </c>
      <c r="P64" s="105">
        <f>'13'!K61</f>
        <v>0</v>
      </c>
      <c r="Q64" s="105">
        <f>'14'!K61</f>
        <v>0</v>
      </c>
      <c r="R64" s="105">
        <f>'15'!K61</f>
        <v>0</v>
      </c>
      <c r="S64" s="105">
        <f>'16'!K61</f>
        <v>0</v>
      </c>
      <c r="T64" s="105">
        <f>'17'!K61</f>
        <v>0</v>
      </c>
      <c r="U64" s="105">
        <f>'18'!K61</f>
        <v>0</v>
      </c>
      <c r="V64" s="105">
        <f>'19'!K61</f>
        <v>0</v>
      </c>
      <c r="W64" s="105">
        <f>'20'!K61</f>
        <v>0</v>
      </c>
      <c r="X64" s="105">
        <f>'21'!K61</f>
        <v>0</v>
      </c>
      <c r="Y64" s="105">
        <f>'22'!K64</f>
        <v>0</v>
      </c>
      <c r="Z64" s="105">
        <f>'23'!K64</f>
        <v>0</v>
      </c>
      <c r="AA64" s="105">
        <f>'24'!K64</f>
        <v>0</v>
      </c>
      <c r="AB64" s="105">
        <f>'25'!K64</f>
        <v>0</v>
      </c>
      <c r="AC64" s="105">
        <f>'26'!K64</f>
        <v>0</v>
      </c>
      <c r="AD64" s="105">
        <f>'27'!K64</f>
        <v>0</v>
      </c>
      <c r="AE64" s="105">
        <f>'28'!K64</f>
        <v>0</v>
      </c>
      <c r="AF64" s="105"/>
      <c r="AG64" s="105">
        <f t="shared" si="0"/>
        <v>0</v>
      </c>
      <c r="AH64" s="211">
        <f t="shared" si="1"/>
        <v>0</v>
      </c>
    </row>
    <row r="65" spans="1:34" x14ac:dyDescent="0.25">
      <c r="A65" s="160"/>
      <c r="B65" s="119" t="s">
        <v>68</v>
      </c>
      <c r="C65" s="104" t="s">
        <v>6</v>
      </c>
      <c r="D65" s="105">
        <f>'1'!K62</f>
        <v>29714.285714285714</v>
      </c>
      <c r="E65" s="105">
        <f>'2'!K62</f>
        <v>31428.571428571428</v>
      </c>
      <c r="F65" s="105">
        <f>'3'!K62</f>
        <v>31285.714285714286</v>
      </c>
      <c r="G65" s="105">
        <f>'4'!K62</f>
        <v>31142.857142857141</v>
      </c>
      <c r="H65" s="105">
        <f>'5'!K62</f>
        <v>30857.142857142859</v>
      </c>
      <c r="I65" s="105">
        <f>'6'!K62</f>
        <v>31285.714285714286</v>
      </c>
      <c r="J65" s="105">
        <f>'7'!K62</f>
        <v>30714.285714285714</v>
      </c>
      <c r="K65" s="105">
        <f>'8'!K62</f>
        <v>30571.428571428572</v>
      </c>
      <c r="L65" s="105">
        <f>'9'!K62</f>
        <v>30714.285714285714</v>
      </c>
      <c r="M65" s="105">
        <f>'10'!K62</f>
        <v>30571.428571428572</v>
      </c>
      <c r="N65" s="105">
        <f>'11'!K62</f>
        <v>30285.714285714286</v>
      </c>
      <c r="O65" s="105">
        <f>'12'!K62</f>
        <v>30285.714285714286</v>
      </c>
      <c r="P65" s="105">
        <f>'13'!K62</f>
        <v>30285.714285714286</v>
      </c>
      <c r="Q65" s="105">
        <f>'14'!K62</f>
        <v>30142.857142857141</v>
      </c>
      <c r="R65" s="105">
        <f>'15'!K62</f>
        <v>30428.571428571428</v>
      </c>
      <c r="S65" s="105">
        <f>'16'!K62</f>
        <v>30714.285714285714</v>
      </c>
      <c r="T65" s="105">
        <f>'17'!K62</f>
        <v>30285.714285714286</v>
      </c>
      <c r="U65" s="105">
        <f>'18'!K62</f>
        <v>30285.714285714286</v>
      </c>
      <c r="V65" s="105">
        <f>'19'!K62</f>
        <v>30285.714285714286</v>
      </c>
      <c r="W65" s="105">
        <f>'20'!K62</f>
        <v>30285.714285714286</v>
      </c>
      <c r="X65" s="105">
        <f>'21'!K62</f>
        <v>29714.285714285714</v>
      </c>
      <c r="Y65" s="105">
        <f>'22'!K65</f>
        <v>30285.714285714286</v>
      </c>
      <c r="Z65" s="105">
        <f>'23'!K65</f>
        <v>30571.428571428572</v>
      </c>
      <c r="AA65" s="105">
        <f>'24'!K65</f>
        <v>29857.142857142859</v>
      </c>
      <c r="AB65" s="105">
        <f>'25'!K65</f>
        <v>30285.714285714286</v>
      </c>
      <c r="AC65" s="105">
        <f>'26'!K65</f>
        <v>30285.714285714286</v>
      </c>
      <c r="AD65" s="105">
        <f>'27'!K65</f>
        <v>31571.428571428572</v>
      </c>
      <c r="AE65" s="105">
        <f>'28'!K65</f>
        <v>32000</v>
      </c>
      <c r="AF65" s="105"/>
      <c r="AG65" s="105">
        <f t="shared" si="0"/>
        <v>2285.7142857142862</v>
      </c>
      <c r="AH65" s="211">
        <f t="shared" si="1"/>
        <v>30576.5306122449</v>
      </c>
    </row>
    <row r="66" spans="1:34" x14ac:dyDescent="0.25">
      <c r="A66" s="160"/>
      <c r="B66" s="119" t="s">
        <v>69</v>
      </c>
      <c r="C66" s="104" t="s">
        <v>6</v>
      </c>
      <c r="D66" s="105">
        <f>'1'!K63</f>
        <v>26000</v>
      </c>
      <c r="E66" s="105">
        <f>'2'!K63</f>
        <v>26285.714285714286</v>
      </c>
      <c r="F66" s="105">
        <f>'3'!K63</f>
        <v>26285.714285714286</v>
      </c>
      <c r="G66" s="105">
        <f>'4'!K63</f>
        <v>26000</v>
      </c>
      <c r="H66" s="105">
        <f>'5'!K63</f>
        <v>25714.285714285714</v>
      </c>
      <c r="I66" s="105">
        <f>'6'!K63</f>
        <v>26142.857142857141</v>
      </c>
      <c r="J66" s="105">
        <f>'7'!K63</f>
        <v>26142.857142857141</v>
      </c>
      <c r="K66" s="105">
        <f>'8'!K63</f>
        <v>26000</v>
      </c>
      <c r="L66" s="105">
        <f>'9'!K63</f>
        <v>26142.857142857141</v>
      </c>
      <c r="M66" s="105">
        <f>'10'!K63</f>
        <v>26000</v>
      </c>
      <c r="N66" s="105">
        <f>'11'!K63</f>
        <v>25714.285714285714</v>
      </c>
      <c r="O66" s="105">
        <f>'12'!K63</f>
        <v>25428.571428571428</v>
      </c>
      <c r="P66" s="105">
        <f>'13'!K63</f>
        <v>25714.285714285714</v>
      </c>
      <c r="Q66" s="105">
        <f>'14'!K63</f>
        <v>24857.142857142859</v>
      </c>
      <c r="R66" s="105">
        <f>'15'!K63</f>
        <v>25285.714285714286</v>
      </c>
      <c r="S66" s="105">
        <f>'16'!K63</f>
        <v>25428.571428571428</v>
      </c>
      <c r="T66" s="105">
        <f>'17'!K63</f>
        <v>25428.571428571428</v>
      </c>
      <c r="U66" s="105">
        <f>'18'!K63</f>
        <v>25714.285714285714</v>
      </c>
      <c r="V66" s="105">
        <f>'19'!K63</f>
        <v>25714.285714285714</v>
      </c>
      <c r="W66" s="105">
        <f>'20'!K63</f>
        <v>25714.285714285714</v>
      </c>
      <c r="X66" s="105">
        <f>'21'!K63</f>
        <v>26000</v>
      </c>
      <c r="Y66" s="105">
        <f>'22'!K66</f>
        <v>26285.714285714286</v>
      </c>
      <c r="Z66" s="105">
        <f>'23'!K66</f>
        <v>26000</v>
      </c>
      <c r="AA66" s="105">
        <f>'24'!K66</f>
        <v>26142.857142857141</v>
      </c>
      <c r="AB66" s="105">
        <f>'25'!K66</f>
        <v>26142.857142857141</v>
      </c>
      <c r="AC66" s="105">
        <f>'26'!K66</f>
        <v>26142.857142857141</v>
      </c>
      <c r="AD66" s="105">
        <f>'27'!K66</f>
        <v>27285.714285714286</v>
      </c>
      <c r="AE66" s="105">
        <f>'28'!K66</f>
        <v>27142.857142857141</v>
      </c>
      <c r="AF66" s="105"/>
      <c r="AG66" s="105">
        <f t="shared" si="0"/>
        <v>1142.8571428571413</v>
      </c>
      <c r="AH66" s="211">
        <f t="shared" si="1"/>
        <v>25959.18367346939</v>
      </c>
    </row>
    <row r="67" spans="1:34" x14ac:dyDescent="0.25">
      <c r="A67" s="160"/>
      <c r="B67" s="119" t="s">
        <v>70</v>
      </c>
      <c r="C67" s="104" t="s">
        <v>6</v>
      </c>
      <c r="D67" s="105">
        <f>'1'!K64</f>
        <v>37000</v>
      </c>
      <c r="E67" s="105">
        <f>'2'!K64</f>
        <v>39142.857142857145</v>
      </c>
      <c r="F67" s="105">
        <f>'3'!K64</f>
        <v>39714.285714285717</v>
      </c>
      <c r="G67" s="105">
        <f>'4'!K64</f>
        <v>39000</v>
      </c>
      <c r="H67" s="105">
        <f>'5'!K64</f>
        <v>39000</v>
      </c>
      <c r="I67" s="105">
        <f>'6'!K64</f>
        <v>38571.428571428572</v>
      </c>
      <c r="J67" s="105">
        <f>'7'!K64</f>
        <v>37428.571428571428</v>
      </c>
      <c r="K67" s="105">
        <f>'8'!K64</f>
        <v>36857.142857142855</v>
      </c>
      <c r="L67" s="105">
        <f>'9'!K64</f>
        <v>36571.428571428572</v>
      </c>
      <c r="M67" s="105">
        <f>'10'!K64</f>
        <v>35428.571428571428</v>
      </c>
      <c r="N67" s="105">
        <f>'11'!K64</f>
        <v>35000</v>
      </c>
      <c r="O67" s="105">
        <f>'12'!K64</f>
        <v>35857.142857142855</v>
      </c>
      <c r="P67" s="105">
        <f>'13'!K64</f>
        <v>35571.428571428572</v>
      </c>
      <c r="Q67" s="105">
        <f>'14'!K64</f>
        <v>36000</v>
      </c>
      <c r="R67" s="105">
        <f>'15'!K64</f>
        <v>35285.714285714283</v>
      </c>
      <c r="S67" s="105">
        <f>'16'!K64</f>
        <v>34000</v>
      </c>
      <c r="T67" s="105">
        <f>'17'!K64</f>
        <v>33285.714285714283</v>
      </c>
      <c r="U67" s="105">
        <f>'18'!K64</f>
        <v>32714.285714285714</v>
      </c>
      <c r="V67" s="105">
        <f>'19'!K64</f>
        <v>33000</v>
      </c>
      <c r="W67" s="105">
        <f>'20'!K64</f>
        <v>33142.857142857145</v>
      </c>
      <c r="X67" s="105">
        <f>'21'!K64</f>
        <v>30285.714285714286</v>
      </c>
      <c r="Y67" s="105">
        <f>'22'!K67</f>
        <v>30142.857142857141</v>
      </c>
      <c r="Z67" s="105">
        <f>'23'!K67</f>
        <v>29285.714285714286</v>
      </c>
      <c r="AA67" s="105">
        <f>'24'!K67</f>
        <v>29428.571428571428</v>
      </c>
      <c r="AB67" s="105">
        <f>'25'!K67</f>
        <v>29714.285714285714</v>
      </c>
      <c r="AC67" s="105">
        <f>'26'!K67</f>
        <v>29714.285714285714</v>
      </c>
      <c r="AD67" s="105">
        <f>'27'!K67</f>
        <v>30571.428571428572</v>
      </c>
      <c r="AE67" s="105">
        <f>'28'!K67</f>
        <v>31142.857142857141</v>
      </c>
      <c r="AF67" s="105">
        <v>12000</v>
      </c>
      <c r="AG67" s="105">
        <f t="shared" si="0"/>
        <v>-5857.1428571428587</v>
      </c>
      <c r="AH67" s="211">
        <f t="shared" si="1"/>
        <v>34387.755102040821</v>
      </c>
    </row>
    <row r="68" spans="1:34" x14ac:dyDescent="0.25">
      <c r="A68" s="161"/>
      <c r="B68" s="119" t="s">
        <v>71</v>
      </c>
      <c r="C68" s="104" t="s">
        <v>6</v>
      </c>
      <c r="D68" s="105">
        <f>'1'!K65</f>
        <v>21714.285714285714</v>
      </c>
      <c r="E68" s="105">
        <f>'2'!K65</f>
        <v>21714.285714285714</v>
      </c>
      <c r="F68" s="105">
        <f>'3'!K65</f>
        <v>21714.285714285714</v>
      </c>
      <c r="G68" s="105">
        <f>'4'!K65</f>
        <v>21714.285714285714</v>
      </c>
      <c r="H68" s="105">
        <f>'5'!K65</f>
        <v>22000</v>
      </c>
      <c r="I68" s="105">
        <f>'6'!K65</f>
        <v>21428.571428571428</v>
      </c>
      <c r="J68" s="105">
        <f>'7'!K65</f>
        <v>21000</v>
      </c>
      <c r="K68" s="105">
        <f>'8'!K65</f>
        <v>21000</v>
      </c>
      <c r="L68" s="105">
        <f>'9'!K65</f>
        <v>21000</v>
      </c>
      <c r="M68" s="105">
        <f>'10'!K65</f>
        <v>21000</v>
      </c>
      <c r="N68" s="105">
        <f>'11'!K65</f>
        <v>21428.571428571428</v>
      </c>
      <c r="O68" s="105">
        <f>'12'!K65</f>
        <v>21428.571428571428</v>
      </c>
      <c r="P68" s="105">
        <f>'13'!K65</f>
        <v>21714.285714285714</v>
      </c>
      <c r="Q68" s="105">
        <f>'14'!K65</f>
        <v>21714.285714285714</v>
      </c>
      <c r="R68" s="105">
        <f>'15'!K65</f>
        <v>21428.571428571428</v>
      </c>
      <c r="S68" s="105">
        <f>'16'!K65</f>
        <v>21428.571428571428</v>
      </c>
      <c r="T68" s="105">
        <f>'17'!K65</f>
        <v>21428.571428571428</v>
      </c>
      <c r="U68" s="105">
        <f>'18'!K65</f>
        <v>21428.571428571428</v>
      </c>
      <c r="V68" s="105">
        <f>'19'!K65</f>
        <v>21428.571428571428</v>
      </c>
      <c r="W68" s="105">
        <f>'20'!K65</f>
        <v>21428.571428571428</v>
      </c>
      <c r="X68" s="105">
        <f>'21'!K65</f>
        <v>21428.571428571428</v>
      </c>
      <c r="Y68" s="105">
        <f>'22'!K68</f>
        <v>21428.571428571428</v>
      </c>
      <c r="Z68" s="105">
        <f>'23'!K68</f>
        <v>21428.571428571428</v>
      </c>
      <c r="AA68" s="105">
        <f>'24'!K68</f>
        <v>21428.571428571428</v>
      </c>
      <c r="AB68" s="105">
        <f>'25'!K68</f>
        <v>21428.571428571428</v>
      </c>
      <c r="AC68" s="105">
        <f>'26'!K68</f>
        <v>21428.571428571428</v>
      </c>
      <c r="AD68" s="105">
        <f>'27'!K68</f>
        <v>21714.285714285714</v>
      </c>
      <c r="AE68" s="105">
        <f>'28'!K68</f>
        <v>22285.714285714286</v>
      </c>
      <c r="AF68" s="105"/>
      <c r="AG68" s="105">
        <f t="shared" si="0"/>
        <v>571.42857142857247</v>
      </c>
      <c r="AH68" s="211">
        <f t="shared" si="1"/>
        <v>21489.795918367345</v>
      </c>
    </row>
    <row r="69" spans="1:34" x14ac:dyDescent="0.25">
      <c r="A69" s="134">
        <v>18</v>
      </c>
      <c r="B69" s="132" t="s">
        <v>72</v>
      </c>
      <c r="C69" s="104"/>
      <c r="D69" s="105">
        <f>'1'!K66</f>
        <v>0</v>
      </c>
      <c r="E69" s="105">
        <f>'2'!K66</f>
        <v>0</v>
      </c>
      <c r="F69" s="105">
        <f>'3'!K66</f>
        <v>0</v>
      </c>
      <c r="G69" s="105">
        <f>'4'!K66</f>
        <v>0</v>
      </c>
      <c r="H69" s="105">
        <f>'5'!K66</f>
        <v>0</v>
      </c>
      <c r="I69" s="105">
        <f>'6'!K66</f>
        <v>0</v>
      </c>
      <c r="J69" s="105">
        <f>'7'!K66</f>
        <v>0</v>
      </c>
      <c r="K69" s="105">
        <f>'8'!K66</f>
        <v>0</v>
      </c>
      <c r="L69" s="105">
        <f>'9'!K66</f>
        <v>0</v>
      </c>
      <c r="M69" s="105">
        <f>'10'!K66</f>
        <v>0</v>
      </c>
      <c r="N69" s="105">
        <f>'11'!K66</f>
        <v>0</v>
      </c>
      <c r="O69" s="105">
        <f>'12'!K66</f>
        <v>0</v>
      </c>
      <c r="P69" s="105">
        <f>'13'!K66</f>
        <v>0</v>
      </c>
      <c r="Q69" s="105">
        <f>'14'!K66</f>
        <v>0</v>
      </c>
      <c r="R69" s="105">
        <f>'15'!K66</f>
        <v>0</v>
      </c>
      <c r="S69" s="105">
        <f>'16'!K66</f>
        <v>0</v>
      </c>
      <c r="T69" s="105">
        <f>'17'!K66</f>
        <v>0</v>
      </c>
      <c r="U69" s="105">
        <f>'18'!K66</f>
        <v>0</v>
      </c>
      <c r="V69" s="105">
        <f>'19'!K66</f>
        <v>0</v>
      </c>
      <c r="W69" s="105">
        <f>'20'!K66</f>
        <v>0</v>
      </c>
      <c r="X69" s="105">
        <f>'21'!K66</f>
        <v>0</v>
      </c>
      <c r="Y69" s="105">
        <f>'22'!K69</f>
        <v>0</v>
      </c>
      <c r="Z69" s="105">
        <f>'23'!K69</f>
        <v>0</v>
      </c>
      <c r="AA69" s="105">
        <f>'24'!K69</f>
        <v>0</v>
      </c>
      <c r="AB69" s="105">
        <f>'25'!K69</f>
        <v>0</v>
      </c>
      <c r="AC69" s="105">
        <f>'26'!K69</f>
        <v>0</v>
      </c>
      <c r="AD69" s="105">
        <f>'27'!K69</f>
        <v>0</v>
      </c>
      <c r="AE69" s="105">
        <f>'28'!K69</f>
        <v>0</v>
      </c>
      <c r="AF69" s="105"/>
      <c r="AG69" s="105">
        <f t="shared" si="0"/>
        <v>0</v>
      </c>
      <c r="AH69" s="211">
        <f t="shared" si="1"/>
        <v>0</v>
      </c>
    </row>
    <row r="70" spans="1:34" x14ac:dyDescent="0.25">
      <c r="A70" s="136"/>
      <c r="B70" s="119" t="s">
        <v>73</v>
      </c>
      <c r="C70" s="104" t="s">
        <v>6</v>
      </c>
      <c r="D70" s="105">
        <f>'1'!K67</f>
        <v>5857.1428571428569</v>
      </c>
      <c r="E70" s="105">
        <f>'2'!K67</f>
        <v>5571.4285714285716</v>
      </c>
      <c r="F70" s="105">
        <f>'3'!K67</f>
        <v>5571.4285714285716</v>
      </c>
      <c r="G70" s="105">
        <f>'4'!K67</f>
        <v>5571.4285714285716</v>
      </c>
      <c r="H70" s="105">
        <f>'5'!K67</f>
        <v>5571.4285714285716</v>
      </c>
      <c r="I70" s="105">
        <f>'6'!K67</f>
        <v>5571.4285714285716</v>
      </c>
      <c r="J70" s="105">
        <f>'7'!K67</f>
        <v>5571.4285714285716</v>
      </c>
      <c r="K70" s="105">
        <f>'8'!K67</f>
        <v>5571.4285714285716</v>
      </c>
      <c r="L70" s="105">
        <f>'9'!K67</f>
        <v>5571.4285714285716</v>
      </c>
      <c r="M70" s="105">
        <f>'10'!K67</f>
        <v>5571.4285714285716</v>
      </c>
      <c r="N70" s="105">
        <f>'11'!K67</f>
        <v>5571.4285714285716</v>
      </c>
      <c r="O70" s="105">
        <f>'12'!K67</f>
        <v>5571.4285714285716</v>
      </c>
      <c r="P70" s="105">
        <f>'13'!K67</f>
        <v>5571.4285714285716</v>
      </c>
      <c r="Q70" s="105">
        <f>'14'!K67</f>
        <v>5571.4285714285716</v>
      </c>
      <c r="R70" s="105">
        <f>'15'!K67</f>
        <v>5571.4285714285716</v>
      </c>
      <c r="S70" s="105">
        <f>'16'!K67</f>
        <v>5571.4285714285716</v>
      </c>
      <c r="T70" s="105">
        <f>'17'!K67</f>
        <v>5571.4285714285716</v>
      </c>
      <c r="U70" s="105">
        <f>'18'!K67</f>
        <v>5571.4285714285716</v>
      </c>
      <c r="V70" s="105">
        <f>'19'!K67</f>
        <v>5571.4285714285716</v>
      </c>
      <c r="W70" s="105">
        <f>'20'!K67</f>
        <v>5571.4285714285716</v>
      </c>
      <c r="X70" s="105">
        <f>'21'!K67</f>
        <v>5571.4285714285716</v>
      </c>
      <c r="Y70" s="105">
        <f>'22'!K70</f>
        <v>5571.4285714285716</v>
      </c>
      <c r="Z70" s="105">
        <f>'23'!K70</f>
        <v>5571.4285714285716</v>
      </c>
      <c r="AA70" s="105">
        <f>'24'!K70</f>
        <v>5571.4285714285716</v>
      </c>
      <c r="AB70" s="105">
        <f>'25'!K70</f>
        <v>5571.4285714285716</v>
      </c>
      <c r="AC70" s="105">
        <f>'26'!K70</f>
        <v>5571.4285714285716</v>
      </c>
      <c r="AD70" s="105">
        <f>'27'!K70</f>
        <v>5571.4285714285716</v>
      </c>
      <c r="AE70" s="105">
        <f>'28'!K70</f>
        <v>5571.4285714285716</v>
      </c>
      <c r="AF70" s="105"/>
      <c r="AG70" s="105">
        <f t="shared" si="0"/>
        <v>-285.71428571428532</v>
      </c>
      <c r="AH70" s="211">
        <f t="shared" si="1"/>
        <v>5581.6326530612232</v>
      </c>
    </row>
    <row r="71" spans="1:34" x14ac:dyDescent="0.25">
      <c r="A71" s="135"/>
      <c r="B71" s="119" t="s">
        <v>74</v>
      </c>
      <c r="C71" s="104" t="s">
        <v>6</v>
      </c>
      <c r="D71" s="105">
        <f>'1'!K68</f>
        <v>5800</v>
      </c>
      <c r="E71" s="105">
        <f>'2'!K68</f>
        <v>5600</v>
      </c>
      <c r="F71" s="105">
        <f>'3'!K68</f>
        <v>5600</v>
      </c>
      <c r="G71" s="105">
        <f>'4'!K68</f>
        <v>5600</v>
      </c>
      <c r="H71" s="105">
        <f>'5'!K68</f>
        <v>5600</v>
      </c>
      <c r="I71" s="105">
        <f>'6'!K68</f>
        <v>5600</v>
      </c>
      <c r="J71" s="105">
        <f>'7'!K68</f>
        <v>5600</v>
      </c>
      <c r="K71" s="105">
        <f>'8'!K68</f>
        <v>5600</v>
      </c>
      <c r="L71" s="105">
        <f>'9'!K68</f>
        <v>5600</v>
      </c>
      <c r="M71" s="105">
        <f>'10'!K68</f>
        <v>5600</v>
      </c>
      <c r="N71" s="105">
        <f>'11'!K68</f>
        <v>5600</v>
      </c>
      <c r="O71" s="105">
        <f>'12'!K68</f>
        <v>5600</v>
      </c>
      <c r="P71" s="105">
        <f>'13'!K68</f>
        <v>5600</v>
      </c>
      <c r="Q71" s="105">
        <f>'14'!K68</f>
        <v>5600</v>
      </c>
      <c r="R71" s="105">
        <f>'15'!K68</f>
        <v>5600</v>
      </c>
      <c r="S71" s="105">
        <f>'16'!K68</f>
        <v>5600</v>
      </c>
      <c r="T71" s="105">
        <f>'17'!K68</f>
        <v>5600</v>
      </c>
      <c r="U71" s="105">
        <f>'18'!K68</f>
        <v>5600</v>
      </c>
      <c r="V71" s="105">
        <f>'19'!K68</f>
        <v>5600</v>
      </c>
      <c r="W71" s="105">
        <f>'20'!K68</f>
        <v>5600</v>
      </c>
      <c r="X71" s="105">
        <f>'21'!K68</f>
        <v>5600</v>
      </c>
      <c r="Y71" s="105">
        <f>'22'!K71</f>
        <v>5600</v>
      </c>
      <c r="Z71" s="105">
        <f>'23'!K71</f>
        <v>5600</v>
      </c>
      <c r="AA71" s="105">
        <f>'24'!K71</f>
        <v>5600</v>
      </c>
      <c r="AB71" s="105">
        <f>'25'!K71</f>
        <v>5600</v>
      </c>
      <c r="AC71" s="105">
        <f>'26'!K71</f>
        <v>5600</v>
      </c>
      <c r="AD71" s="105">
        <f>'27'!K71</f>
        <v>5600</v>
      </c>
      <c r="AE71" s="105">
        <f>'28'!K71</f>
        <v>5600</v>
      </c>
      <c r="AF71" s="105"/>
      <c r="AG71" s="105">
        <f t="shared" si="0"/>
        <v>-200</v>
      </c>
      <c r="AH71" s="211">
        <f t="shared" si="1"/>
        <v>5607.1428571428569</v>
      </c>
    </row>
    <row r="72" spans="1:34" x14ac:dyDescent="0.25">
      <c r="A72" s="134">
        <v>19</v>
      </c>
      <c r="B72" s="132" t="s">
        <v>75</v>
      </c>
      <c r="C72" s="104"/>
      <c r="D72" s="105">
        <f>'1'!K69</f>
        <v>0</v>
      </c>
      <c r="E72" s="105">
        <f>'2'!K69</f>
        <v>0</v>
      </c>
      <c r="F72" s="105">
        <f>'3'!K69</f>
        <v>0</v>
      </c>
      <c r="G72" s="105">
        <f>'4'!K69</f>
        <v>0</v>
      </c>
      <c r="H72" s="105">
        <f>'5'!K69</f>
        <v>0</v>
      </c>
      <c r="I72" s="105">
        <f>'6'!K69</f>
        <v>0</v>
      </c>
      <c r="J72" s="105">
        <f>'7'!K69</f>
        <v>0</v>
      </c>
      <c r="K72" s="105">
        <f>'8'!K69</f>
        <v>0</v>
      </c>
      <c r="L72" s="105">
        <f>'9'!K69</f>
        <v>0</v>
      </c>
      <c r="M72" s="105">
        <f>'10'!K69</f>
        <v>0</v>
      </c>
      <c r="N72" s="105">
        <f>'11'!K69</f>
        <v>0</v>
      </c>
      <c r="O72" s="105">
        <f>'12'!K69</f>
        <v>0</v>
      </c>
      <c r="P72" s="105">
        <f>'13'!K69</f>
        <v>0</v>
      </c>
      <c r="Q72" s="105">
        <f>'14'!K69</f>
        <v>0</v>
      </c>
      <c r="R72" s="105">
        <f>'15'!K69</f>
        <v>0</v>
      </c>
      <c r="S72" s="105">
        <f>'16'!K69</f>
        <v>0</v>
      </c>
      <c r="T72" s="105">
        <f>'17'!K69</f>
        <v>0</v>
      </c>
      <c r="U72" s="105">
        <f>'18'!K69</f>
        <v>0</v>
      </c>
      <c r="V72" s="105">
        <f>'19'!K69</f>
        <v>0</v>
      </c>
      <c r="W72" s="105">
        <f>'20'!K69</f>
        <v>0</v>
      </c>
      <c r="X72" s="105">
        <f>'21'!K69</f>
        <v>0</v>
      </c>
      <c r="Y72" s="105">
        <f>'22'!K72</f>
        <v>0</v>
      </c>
      <c r="Z72" s="105">
        <f>'23'!K72</f>
        <v>0</v>
      </c>
      <c r="AA72" s="105">
        <f>'24'!K72</f>
        <v>0</v>
      </c>
      <c r="AB72" s="105">
        <f>'25'!K72</f>
        <v>0</v>
      </c>
      <c r="AC72" s="105">
        <f>'26'!K72</f>
        <v>0</v>
      </c>
      <c r="AD72" s="105">
        <f>'27'!K72</f>
        <v>0</v>
      </c>
      <c r="AE72" s="105">
        <f>'28'!K72</f>
        <v>0</v>
      </c>
      <c r="AF72" s="105"/>
      <c r="AG72" s="105">
        <f t="shared" si="0"/>
        <v>0</v>
      </c>
      <c r="AH72" s="211">
        <f t="shared" si="1"/>
        <v>0</v>
      </c>
    </row>
    <row r="73" spans="1:34" x14ac:dyDescent="0.25">
      <c r="A73" s="136"/>
      <c r="B73" s="119" t="s">
        <v>76</v>
      </c>
      <c r="C73" s="104" t="s">
        <v>6</v>
      </c>
      <c r="D73" s="105">
        <f>'1'!K70</f>
        <v>10285.714285714286</v>
      </c>
      <c r="E73" s="105">
        <f>'2'!K70</f>
        <v>10571.428571428571</v>
      </c>
      <c r="F73" s="105">
        <f>'3'!K70</f>
        <v>10571.428571428571</v>
      </c>
      <c r="G73" s="105">
        <f>'4'!K70</f>
        <v>10285.714285714286</v>
      </c>
      <c r="H73" s="105">
        <f>'5'!K70</f>
        <v>10000</v>
      </c>
      <c r="I73" s="105">
        <f>'6'!K70</f>
        <v>10000</v>
      </c>
      <c r="J73" s="105">
        <f>'7'!K70</f>
        <v>8714.2857142857138</v>
      </c>
      <c r="K73" s="105">
        <f>'8'!K70</f>
        <v>8714.2857142857138</v>
      </c>
      <c r="L73" s="105">
        <f>'9'!K70</f>
        <v>8714.2857142857138</v>
      </c>
      <c r="M73" s="105">
        <f>'10'!K70</f>
        <v>9142.8571428571431</v>
      </c>
      <c r="N73" s="105">
        <f>'11'!K70</f>
        <v>9428.5714285714294</v>
      </c>
      <c r="O73" s="105">
        <f>'12'!K70</f>
        <v>9571.4285714285706</v>
      </c>
      <c r="P73" s="105">
        <f>'13'!K70</f>
        <v>9571.4285714285706</v>
      </c>
      <c r="Q73" s="105">
        <f>'14'!K70</f>
        <v>9571.4285714285706</v>
      </c>
      <c r="R73" s="105">
        <f>'15'!K70</f>
        <v>9571.4285714285706</v>
      </c>
      <c r="S73" s="105">
        <f>'16'!K70</f>
        <v>9285.7142857142862</v>
      </c>
      <c r="T73" s="105">
        <f>'17'!K70</f>
        <v>9285.7142857142862</v>
      </c>
      <c r="U73" s="105">
        <f>'18'!K70</f>
        <v>9142.8571428571431</v>
      </c>
      <c r="V73" s="105">
        <f>'19'!K70</f>
        <v>9142.8571428571431</v>
      </c>
      <c r="W73" s="105">
        <f>'20'!K70</f>
        <v>9000</v>
      </c>
      <c r="X73" s="105">
        <f>'21'!K70</f>
        <v>9000</v>
      </c>
      <c r="Y73" s="105">
        <f>'22'!K73</f>
        <v>9000</v>
      </c>
      <c r="Z73" s="105">
        <f>'23'!K73</f>
        <v>9000</v>
      </c>
      <c r="AA73" s="105">
        <f>'24'!K73</f>
        <v>9000</v>
      </c>
      <c r="AB73" s="105">
        <f>'25'!K73</f>
        <v>9000</v>
      </c>
      <c r="AC73" s="105">
        <f>'26'!K73</f>
        <v>9000</v>
      </c>
      <c r="AD73" s="105">
        <f>'27'!K73</f>
        <v>8571.4285714285706</v>
      </c>
      <c r="AE73" s="105">
        <f>'28'!K73</f>
        <v>8571.4285714285706</v>
      </c>
      <c r="AF73" s="105"/>
      <c r="AG73" s="105">
        <f t="shared" si="0"/>
        <v>-1714.2857142857156</v>
      </c>
      <c r="AH73" s="211">
        <f t="shared" ref="AH73:AH83" si="2">AVERAGE(D73:AE73)</f>
        <v>9346.9387755102034</v>
      </c>
    </row>
    <row r="74" spans="1:34" x14ac:dyDescent="0.25">
      <c r="A74" s="136"/>
      <c r="B74" s="119" t="s">
        <v>77</v>
      </c>
      <c r="C74" s="104" t="s">
        <v>6</v>
      </c>
      <c r="D74" s="105">
        <f>'1'!K71</f>
        <v>11285.714285714286</v>
      </c>
      <c r="E74" s="105">
        <f>'2'!K71</f>
        <v>11571.428571428571</v>
      </c>
      <c r="F74" s="105">
        <f>'3'!K71</f>
        <v>11571.428571428571</v>
      </c>
      <c r="G74" s="105">
        <f>'4'!K71</f>
        <v>12285.714285714286</v>
      </c>
      <c r="H74" s="105">
        <f>'5'!K71</f>
        <v>12285.714285714286</v>
      </c>
      <c r="I74" s="105">
        <f>'6'!K71</f>
        <v>11857.142857142857</v>
      </c>
      <c r="J74" s="105">
        <f>'7'!K71</f>
        <v>12142.857142857143</v>
      </c>
      <c r="K74" s="105">
        <f>'8'!K71</f>
        <v>12142.857142857143</v>
      </c>
      <c r="L74" s="105">
        <f>'9'!K71</f>
        <v>12285.714285714286</v>
      </c>
      <c r="M74" s="105">
        <f>'10'!K71</f>
        <v>12142.857142857143</v>
      </c>
      <c r="N74" s="105">
        <f>'11'!K71</f>
        <v>11857.142857142857</v>
      </c>
      <c r="O74" s="105">
        <f>'12'!K71</f>
        <v>11857.142857142857</v>
      </c>
      <c r="P74" s="105">
        <f>'13'!K71</f>
        <v>11857.142857142857</v>
      </c>
      <c r="Q74" s="105">
        <f>'14'!K71</f>
        <v>12000</v>
      </c>
      <c r="R74" s="105">
        <f>'15'!K71</f>
        <v>11857.142857142857</v>
      </c>
      <c r="S74" s="105">
        <f>'16'!K71</f>
        <v>12142.857142857143</v>
      </c>
      <c r="T74" s="105">
        <f>'17'!K71</f>
        <v>12142.857142857143</v>
      </c>
      <c r="U74" s="105">
        <f>'18'!K71</f>
        <v>11857.142857142857</v>
      </c>
      <c r="V74" s="105">
        <f>'19'!K71</f>
        <v>11857.142857142857</v>
      </c>
      <c r="W74" s="105">
        <f>'20'!K71</f>
        <v>11857.142857142857</v>
      </c>
      <c r="X74" s="105">
        <f>'21'!K71</f>
        <v>11857.142857142857</v>
      </c>
      <c r="Y74" s="105">
        <f>'22'!K74</f>
        <v>11857.142857142857</v>
      </c>
      <c r="Z74" s="105">
        <f>'23'!K74</f>
        <v>12000</v>
      </c>
      <c r="AA74" s="105">
        <f>'24'!K74</f>
        <v>11857.142857142857</v>
      </c>
      <c r="AB74" s="105">
        <f>'25'!K74</f>
        <v>11857.142857142857</v>
      </c>
      <c r="AC74" s="105">
        <f>'26'!K74</f>
        <v>11857.142857142857</v>
      </c>
      <c r="AD74" s="105">
        <f>'27'!K74</f>
        <v>11857.142857142857</v>
      </c>
      <c r="AE74" s="105">
        <f>'28'!K74</f>
        <v>11428.571428571429</v>
      </c>
      <c r="AF74" s="105"/>
      <c r="AG74" s="105">
        <f t="shared" si="0"/>
        <v>142.85714285714312</v>
      </c>
      <c r="AH74" s="211">
        <f t="shared" si="2"/>
        <v>11908.163265306122</v>
      </c>
    </row>
    <row r="75" spans="1:34" x14ac:dyDescent="0.25">
      <c r="A75" s="136"/>
      <c r="B75" s="119" t="s">
        <v>78</v>
      </c>
      <c r="C75" s="104" t="s">
        <v>6</v>
      </c>
      <c r="D75" s="105">
        <f>'1'!K72</f>
        <v>16000</v>
      </c>
      <c r="E75" s="105">
        <f>'2'!K72</f>
        <v>16000</v>
      </c>
      <c r="F75" s="105">
        <f>'3'!K72</f>
        <v>15714.285714285714</v>
      </c>
      <c r="G75" s="105">
        <f>'4'!K72</f>
        <v>15714.285714285714</v>
      </c>
      <c r="H75" s="105">
        <f>'5'!K72</f>
        <v>15428.571428571429</v>
      </c>
      <c r="I75" s="105">
        <f>'6'!K72</f>
        <v>15285.714285714286</v>
      </c>
      <c r="J75" s="105">
        <f>'7'!K72</f>
        <v>15857.142857142857</v>
      </c>
      <c r="K75" s="105">
        <f>'8'!K72</f>
        <v>15857.142857142857</v>
      </c>
      <c r="L75" s="105">
        <f>'9'!K72</f>
        <v>15857.142857142857</v>
      </c>
      <c r="M75" s="105">
        <f>'10'!K72</f>
        <v>15857.142857142857</v>
      </c>
      <c r="N75" s="105">
        <f>'11'!K72</f>
        <v>15714.285714285714</v>
      </c>
      <c r="O75" s="105">
        <f>'12'!K72</f>
        <v>15428.571428571429</v>
      </c>
      <c r="P75" s="105">
        <f>'13'!K72</f>
        <v>15571.428571428571</v>
      </c>
      <c r="Q75" s="105">
        <f>'14'!K72</f>
        <v>15571.428571428571</v>
      </c>
      <c r="R75" s="105">
        <f>'15'!K72</f>
        <v>15714.285714285714</v>
      </c>
      <c r="S75" s="105">
        <f>'16'!K72</f>
        <v>15571.428571428571</v>
      </c>
      <c r="T75" s="105">
        <f>'17'!K72</f>
        <v>15571.428571428571</v>
      </c>
      <c r="U75" s="105">
        <f>'18'!K72</f>
        <v>15285.714285714286</v>
      </c>
      <c r="V75" s="105">
        <f>'19'!K72</f>
        <v>15285.714285714286</v>
      </c>
      <c r="W75" s="105">
        <f>'20'!K72</f>
        <v>15285.714285714286</v>
      </c>
      <c r="X75" s="105">
        <f>'21'!K72</f>
        <v>15285.714285714286</v>
      </c>
      <c r="Y75" s="105">
        <f>'22'!K75</f>
        <v>15285.714285714286</v>
      </c>
      <c r="Z75" s="105">
        <f>'23'!K75</f>
        <v>15428.571428571429</v>
      </c>
      <c r="AA75" s="105">
        <f>'24'!K75</f>
        <v>15285.714285714286</v>
      </c>
      <c r="AB75" s="105">
        <f>'25'!K75</f>
        <v>15285.714285714286</v>
      </c>
      <c r="AC75" s="105">
        <f>'26'!K75</f>
        <v>15285.714285714286</v>
      </c>
      <c r="AD75" s="105">
        <f>'27'!K75</f>
        <v>15142.857142857143</v>
      </c>
      <c r="AE75" s="105">
        <f>'28'!K75</f>
        <v>15285.714285714286</v>
      </c>
      <c r="AF75" s="105"/>
      <c r="AG75" s="105">
        <f t="shared" si="0"/>
        <v>-714.28571428571377</v>
      </c>
      <c r="AH75" s="211">
        <f t="shared" si="2"/>
        <v>15530.612244897953</v>
      </c>
    </row>
    <row r="76" spans="1:34" x14ac:dyDescent="0.25">
      <c r="A76" s="136"/>
      <c r="B76" s="119" t="s">
        <v>79</v>
      </c>
      <c r="C76" s="104" t="s">
        <v>6</v>
      </c>
      <c r="D76" s="105">
        <f>'1'!K73</f>
        <v>10428.571428571429</v>
      </c>
      <c r="E76" s="105">
        <f>'2'!K73</f>
        <v>11285.714285714286</v>
      </c>
      <c r="F76" s="105">
        <f>'3'!K73</f>
        <v>11285.714285714286</v>
      </c>
      <c r="G76" s="105">
        <f>'4'!K73</f>
        <v>11285.714285714286</v>
      </c>
      <c r="H76" s="105">
        <f>'5'!K73</f>
        <v>11571.428571428571</v>
      </c>
      <c r="I76" s="105">
        <f>'6'!K73</f>
        <v>11000</v>
      </c>
      <c r="J76" s="105">
        <f>'7'!K73</f>
        <v>11857.142857142857</v>
      </c>
      <c r="K76" s="105">
        <f>'8'!K73</f>
        <v>11714.285714285714</v>
      </c>
      <c r="L76" s="105">
        <f>'9'!K73</f>
        <v>11571.428571428571</v>
      </c>
      <c r="M76" s="105">
        <f>'10'!K73</f>
        <v>11142.857142857143</v>
      </c>
      <c r="N76" s="105">
        <f>'11'!K73</f>
        <v>11428.571428571429</v>
      </c>
      <c r="O76" s="105">
        <f>'12'!K73</f>
        <v>11571.428571428571</v>
      </c>
      <c r="P76" s="105">
        <f>'13'!K73</f>
        <v>11428.571428571429</v>
      </c>
      <c r="Q76" s="105">
        <f>'14'!K73</f>
        <v>11571.428571428571</v>
      </c>
      <c r="R76" s="105">
        <f>'15'!K73</f>
        <v>12000</v>
      </c>
      <c r="S76" s="105">
        <f>'16'!K73</f>
        <v>11142.857142857143</v>
      </c>
      <c r="T76" s="105">
        <f>'17'!K73</f>
        <v>11428.571428571429</v>
      </c>
      <c r="U76" s="105">
        <f>'18'!K73</f>
        <v>11285.714285714286</v>
      </c>
      <c r="V76" s="105">
        <f>'19'!K73</f>
        <v>11285.714285714286</v>
      </c>
      <c r="W76" s="105">
        <f>'20'!K73</f>
        <v>10428.571428571429</v>
      </c>
      <c r="X76" s="105">
        <f>'21'!K73</f>
        <v>10571.428571428571</v>
      </c>
      <c r="Y76" s="105">
        <f>'22'!K76</f>
        <v>10285.714285714286</v>
      </c>
      <c r="Z76" s="105">
        <f>'23'!K76</f>
        <v>10285.714285714286</v>
      </c>
      <c r="AA76" s="105">
        <f>'24'!K76</f>
        <v>10142.857142857143</v>
      </c>
      <c r="AB76" s="105">
        <f>'25'!K76</f>
        <v>9857.1428571428569</v>
      </c>
      <c r="AC76" s="105">
        <f>'26'!K76</f>
        <v>9857.1428571428569</v>
      </c>
      <c r="AD76" s="105">
        <f>'27'!K76</f>
        <v>10428.571428571429</v>
      </c>
      <c r="AE76" s="105">
        <f>'28'!K76</f>
        <v>10714.285714285714</v>
      </c>
      <c r="AF76" s="105"/>
      <c r="AG76" s="105">
        <f t="shared" ref="AG76:AG83" si="3">AE76-D76</f>
        <v>285.71428571428442</v>
      </c>
      <c r="AH76" s="211">
        <f t="shared" si="2"/>
        <v>11030.612244897959</v>
      </c>
    </row>
    <row r="77" spans="1:34" x14ac:dyDescent="0.25">
      <c r="A77" s="136"/>
      <c r="B77" s="119" t="s">
        <v>80</v>
      </c>
      <c r="C77" s="104" t="s">
        <v>6</v>
      </c>
      <c r="D77" s="105">
        <f>'1'!K74</f>
        <v>11000</v>
      </c>
      <c r="E77" s="105">
        <f>'2'!K74</f>
        <v>11000</v>
      </c>
      <c r="F77" s="105">
        <f>'3'!K74</f>
        <v>11000</v>
      </c>
      <c r="G77" s="105">
        <f>'4'!K74</f>
        <v>11000</v>
      </c>
      <c r="H77" s="105">
        <f>'5'!K74</f>
        <v>11000</v>
      </c>
      <c r="I77" s="105">
        <f>'6'!K74</f>
        <v>10571.428571428571</v>
      </c>
      <c r="J77" s="105">
        <f>'7'!K74</f>
        <v>10571.428571428571</v>
      </c>
      <c r="K77" s="105">
        <f>'8'!K74</f>
        <v>10571.428571428571</v>
      </c>
      <c r="L77" s="105">
        <f>'9'!K74</f>
        <v>10571.428571428571</v>
      </c>
      <c r="M77" s="105">
        <f>'10'!K74</f>
        <v>10571.428571428571</v>
      </c>
      <c r="N77" s="105">
        <f>'11'!K74</f>
        <v>10714.285714285714</v>
      </c>
      <c r="O77" s="105">
        <f>'12'!K74</f>
        <v>10714.285714285714</v>
      </c>
      <c r="P77" s="105">
        <f>'13'!K74</f>
        <v>10714.285714285714</v>
      </c>
      <c r="Q77" s="105">
        <f>'14'!K74</f>
        <v>10714.285714285714</v>
      </c>
      <c r="R77" s="105">
        <f>'15'!K74</f>
        <v>10714.285714285714</v>
      </c>
      <c r="S77" s="105">
        <f>'16'!K74</f>
        <v>10571.428571428571</v>
      </c>
      <c r="T77" s="105">
        <f>'17'!K74</f>
        <v>10857.142857142857</v>
      </c>
      <c r="U77" s="105">
        <f>'18'!K74</f>
        <v>10714.285714285714</v>
      </c>
      <c r="V77" s="105">
        <f>'19'!K74</f>
        <v>10714.285714285714</v>
      </c>
      <c r="W77" s="105">
        <f>'20'!K74</f>
        <v>10428.571428571429</v>
      </c>
      <c r="X77" s="105">
        <f>'21'!K74</f>
        <v>10428.571428571429</v>
      </c>
      <c r="Y77" s="105">
        <f>'22'!K77</f>
        <v>10428.571428571429</v>
      </c>
      <c r="Z77" s="105">
        <f>'23'!K77</f>
        <v>10428.571428571429</v>
      </c>
      <c r="AA77" s="105">
        <f>'24'!K77</f>
        <v>11000</v>
      </c>
      <c r="AB77" s="105">
        <f>'25'!K77</f>
        <v>11000</v>
      </c>
      <c r="AC77" s="105">
        <f>'26'!K77</f>
        <v>11000</v>
      </c>
      <c r="AD77" s="105">
        <f>'27'!K77</f>
        <v>10714.285714285714</v>
      </c>
      <c r="AE77" s="105">
        <f>'28'!K77</f>
        <v>10714.285714285714</v>
      </c>
      <c r="AF77" s="105"/>
      <c r="AG77" s="105">
        <f t="shared" si="3"/>
        <v>-285.71428571428623</v>
      </c>
      <c r="AH77" s="211">
        <f t="shared" si="2"/>
        <v>10729.591836734693</v>
      </c>
    </row>
    <row r="78" spans="1:34" x14ac:dyDescent="0.25">
      <c r="A78" s="136"/>
      <c r="B78" s="119" t="s">
        <v>81</v>
      </c>
      <c r="C78" s="104" t="s">
        <v>6</v>
      </c>
      <c r="D78" s="105">
        <f>'1'!K75</f>
        <v>9600</v>
      </c>
      <c r="E78" s="105">
        <f>'2'!K75</f>
        <v>9600</v>
      </c>
      <c r="F78" s="105">
        <f>'3'!K75</f>
        <v>9600</v>
      </c>
      <c r="G78" s="105">
        <f>'4'!K75</f>
        <v>9600</v>
      </c>
      <c r="H78" s="105">
        <f>'5'!K75</f>
        <v>9600</v>
      </c>
      <c r="I78" s="105">
        <f>'6'!K75</f>
        <v>9600</v>
      </c>
      <c r="J78" s="105">
        <f>'7'!K75</f>
        <v>8800</v>
      </c>
      <c r="K78" s="105">
        <f>'8'!K75</f>
        <v>8800</v>
      </c>
      <c r="L78" s="105">
        <f>'9'!K75</f>
        <v>8800</v>
      </c>
      <c r="M78" s="105">
        <f>'10'!K75</f>
        <v>8800</v>
      </c>
      <c r="N78" s="105">
        <f>'11'!K75</f>
        <v>8800</v>
      </c>
      <c r="O78" s="105">
        <f>'12'!K75</f>
        <v>8500</v>
      </c>
      <c r="P78" s="105">
        <f>'13'!K75</f>
        <v>8500</v>
      </c>
      <c r="Q78" s="105">
        <f>'14'!K75</f>
        <v>8500</v>
      </c>
      <c r="R78" s="105">
        <f>'15'!K75</f>
        <v>8500</v>
      </c>
      <c r="S78" s="105">
        <f>'16'!K75</f>
        <v>9000</v>
      </c>
      <c r="T78" s="105">
        <f>'17'!K75</f>
        <v>9250</v>
      </c>
      <c r="U78" s="105">
        <f>'18'!K75</f>
        <v>9250</v>
      </c>
      <c r="V78" s="105">
        <f>'19'!K75</f>
        <v>9250</v>
      </c>
      <c r="W78" s="105">
        <f>'20'!K75</f>
        <v>9250</v>
      </c>
      <c r="X78" s="105">
        <f>'21'!K75</f>
        <v>9250</v>
      </c>
      <c r="Y78" s="105">
        <f>'22'!K78</f>
        <v>9250</v>
      </c>
      <c r="Z78" s="105">
        <f>'23'!K78</f>
        <v>8750</v>
      </c>
      <c r="AA78" s="105">
        <f>'24'!K78</f>
        <v>9250</v>
      </c>
      <c r="AB78" s="105">
        <f>'25'!K78</f>
        <v>9250</v>
      </c>
      <c r="AC78" s="105">
        <f>'26'!K78</f>
        <v>9250</v>
      </c>
      <c r="AD78" s="105">
        <f>'27'!K78</f>
        <v>9250</v>
      </c>
      <c r="AE78" s="105">
        <f>'28'!K78</f>
        <v>9250</v>
      </c>
      <c r="AF78" s="105"/>
      <c r="AG78" s="105">
        <f t="shared" si="3"/>
        <v>-350</v>
      </c>
      <c r="AH78" s="211">
        <f t="shared" si="2"/>
        <v>9110.7142857142862</v>
      </c>
    </row>
    <row r="79" spans="1:34" x14ac:dyDescent="0.25">
      <c r="A79" s="136"/>
      <c r="B79" s="119" t="s">
        <v>82</v>
      </c>
      <c r="C79" s="104" t="s">
        <v>83</v>
      </c>
      <c r="D79" s="105">
        <f>'1'!K76</f>
        <v>1500</v>
      </c>
      <c r="E79" s="105">
        <f>'2'!K76</f>
        <v>1700</v>
      </c>
      <c r="F79" s="105">
        <f>'3'!K76</f>
        <v>1700</v>
      </c>
      <c r="G79" s="105">
        <f>'4'!K76</f>
        <v>1700</v>
      </c>
      <c r="H79" s="105">
        <f>'5'!K76</f>
        <v>1700</v>
      </c>
      <c r="I79" s="105">
        <f>'6'!K76</f>
        <v>1800</v>
      </c>
      <c r="J79" s="105">
        <f>'7'!K76</f>
        <v>1800</v>
      </c>
      <c r="K79" s="105">
        <f>'8'!K76</f>
        <v>1800</v>
      </c>
      <c r="L79" s="105">
        <f>'9'!K76</f>
        <v>1800</v>
      </c>
      <c r="M79" s="105">
        <f>'10'!K76</f>
        <v>1800</v>
      </c>
      <c r="N79" s="105">
        <f>'11'!K76</f>
        <v>1800</v>
      </c>
      <c r="O79" s="105">
        <f>'12'!K76</f>
        <v>1800</v>
      </c>
      <c r="P79" s="105">
        <f>'13'!K76</f>
        <v>1800</v>
      </c>
      <c r="Q79" s="105">
        <f>'14'!K76</f>
        <v>1800</v>
      </c>
      <c r="R79" s="105">
        <f>'15'!K76</f>
        <v>1800</v>
      </c>
      <c r="S79" s="105">
        <f>'16'!K76</f>
        <v>1800</v>
      </c>
      <c r="T79" s="105">
        <f>'17'!K76</f>
        <v>1800</v>
      </c>
      <c r="U79" s="105">
        <f>'18'!K76</f>
        <v>1800</v>
      </c>
      <c r="V79" s="105">
        <f>'19'!K76</f>
        <v>1800</v>
      </c>
      <c r="W79" s="105">
        <f>'20'!K76</f>
        <v>1800</v>
      </c>
      <c r="X79" s="105">
        <f>'21'!K76</f>
        <v>1800</v>
      </c>
      <c r="Y79" s="105">
        <f>'22'!K79</f>
        <v>1800</v>
      </c>
      <c r="Z79" s="105">
        <f>'23'!K79</f>
        <v>1800</v>
      </c>
      <c r="AA79" s="105">
        <f>'24'!K79</f>
        <v>1800</v>
      </c>
      <c r="AB79" s="105">
        <f>'25'!K79</f>
        <v>1800</v>
      </c>
      <c r="AC79" s="105">
        <f>'26'!K79</f>
        <v>1800</v>
      </c>
      <c r="AD79" s="105">
        <f>'27'!K79</f>
        <v>1900</v>
      </c>
      <c r="AE79" s="105">
        <f>'28'!K79</f>
        <v>1900</v>
      </c>
      <c r="AF79" s="105"/>
      <c r="AG79" s="105">
        <f t="shared" si="3"/>
        <v>400</v>
      </c>
      <c r="AH79" s="211">
        <f t="shared" si="2"/>
        <v>1782.1428571428571</v>
      </c>
    </row>
    <row r="80" spans="1:34" x14ac:dyDescent="0.25">
      <c r="A80" s="136"/>
      <c r="B80" s="119" t="s">
        <v>84</v>
      </c>
      <c r="C80" s="104" t="s">
        <v>83</v>
      </c>
      <c r="D80" s="105">
        <f>'1'!K77</f>
        <v>1400</v>
      </c>
      <c r="E80" s="105">
        <f>'2'!K77</f>
        <v>1500</v>
      </c>
      <c r="F80" s="105">
        <f>'3'!K77</f>
        <v>1500</v>
      </c>
      <c r="G80" s="105">
        <f>'4'!K77</f>
        <v>1500</v>
      </c>
      <c r="H80" s="105">
        <f>'5'!K77</f>
        <v>1500</v>
      </c>
      <c r="I80" s="105">
        <f>'6'!K77</f>
        <v>1500</v>
      </c>
      <c r="J80" s="105">
        <f>'7'!K77</f>
        <v>1500</v>
      </c>
      <c r="K80" s="105">
        <f>'8'!K77</f>
        <v>1500</v>
      </c>
      <c r="L80" s="105">
        <f>'9'!K77</f>
        <v>1500</v>
      </c>
      <c r="M80" s="105">
        <f>'10'!K77</f>
        <v>1500</v>
      </c>
      <c r="N80" s="105">
        <f>'11'!K77</f>
        <v>1500</v>
      </c>
      <c r="O80" s="105">
        <f>'12'!K77</f>
        <v>1500</v>
      </c>
      <c r="P80" s="105">
        <f>'13'!K77</f>
        <v>1500</v>
      </c>
      <c r="Q80" s="105">
        <f>'14'!K77</f>
        <v>1500</v>
      </c>
      <c r="R80" s="105">
        <f>'15'!K77</f>
        <v>1500</v>
      </c>
      <c r="S80" s="105">
        <f>'16'!K77</f>
        <v>1500</v>
      </c>
      <c r="T80" s="105">
        <f>'17'!K77</f>
        <v>1500</v>
      </c>
      <c r="U80" s="105">
        <f>'18'!K77</f>
        <v>1500</v>
      </c>
      <c r="V80" s="105">
        <f>'19'!K77</f>
        <v>1500</v>
      </c>
      <c r="W80" s="105">
        <f>'20'!K77</f>
        <v>1500</v>
      </c>
      <c r="X80" s="105">
        <f>'21'!K77</f>
        <v>1500</v>
      </c>
      <c r="Y80" s="105">
        <f>'22'!K80</f>
        <v>1500</v>
      </c>
      <c r="Z80" s="105">
        <f>'23'!K80</f>
        <v>1500</v>
      </c>
      <c r="AA80" s="105">
        <f>'24'!K80</f>
        <v>1500</v>
      </c>
      <c r="AB80" s="105">
        <f>'25'!K80</f>
        <v>1500</v>
      </c>
      <c r="AC80" s="105">
        <f>'26'!K80</f>
        <v>1500</v>
      </c>
      <c r="AD80" s="105">
        <f>'27'!K80</f>
        <v>1600</v>
      </c>
      <c r="AE80" s="105">
        <f>'28'!K80</f>
        <v>1600</v>
      </c>
      <c r="AF80" s="105"/>
      <c r="AG80" s="105">
        <f t="shared" si="3"/>
        <v>200</v>
      </c>
      <c r="AH80" s="211">
        <f t="shared" si="2"/>
        <v>1503.5714285714287</v>
      </c>
    </row>
    <row r="81" spans="1:34" x14ac:dyDescent="0.25">
      <c r="A81" s="135"/>
      <c r="B81" s="119" t="s">
        <v>85</v>
      </c>
      <c r="C81" s="104" t="s">
        <v>83</v>
      </c>
      <c r="D81" s="105">
        <f>'1'!K78</f>
        <v>1700</v>
      </c>
      <c r="E81" s="105">
        <f>'2'!K78</f>
        <v>1900</v>
      </c>
      <c r="F81" s="105">
        <f>'3'!K78</f>
        <v>1900</v>
      </c>
      <c r="G81" s="105">
        <f>'4'!K78</f>
        <v>1900</v>
      </c>
      <c r="H81" s="105">
        <f>'5'!K78</f>
        <v>1900</v>
      </c>
      <c r="I81" s="105">
        <f>'6'!K78</f>
        <v>1900</v>
      </c>
      <c r="J81" s="105">
        <f>'7'!K78</f>
        <v>1900</v>
      </c>
      <c r="K81" s="105">
        <f>'8'!K78</f>
        <v>1900</v>
      </c>
      <c r="L81" s="105">
        <f>'9'!K78</f>
        <v>1900</v>
      </c>
      <c r="M81" s="105">
        <f>'10'!K78</f>
        <v>1900</v>
      </c>
      <c r="N81" s="105">
        <f>'11'!K78</f>
        <v>1900</v>
      </c>
      <c r="O81" s="105">
        <f>'12'!K78</f>
        <v>1900</v>
      </c>
      <c r="P81" s="105">
        <f>'13'!K78</f>
        <v>1900</v>
      </c>
      <c r="Q81" s="105">
        <f>'14'!K78</f>
        <v>1900</v>
      </c>
      <c r="R81" s="105">
        <f>'15'!K78</f>
        <v>1900</v>
      </c>
      <c r="S81" s="105">
        <f>'16'!K78</f>
        <v>1900</v>
      </c>
      <c r="T81" s="105">
        <f>'17'!K78</f>
        <v>1900</v>
      </c>
      <c r="U81" s="105">
        <f>'18'!K78</f>
        <v>1900</v>
      </c>
      <c r="V81" s="105">
        <f>'19'!K78</f>
        <v>1900</v>
      </c>
      <c r="W81" s="105">
        <f>'20'!K78</f>
        <v>1900</v>
      </c>
      <c r="X81" s="105">
        <f>'21'!K78</f>
        <v>2000</v>
      </c>
      <c r="Y81" s="105">
        <f>'22'!K81</f>
        <v>2000</v>
      </c>
      <c r="Z81" s="105">
        <f>'23'!K81</f>
        <v>2000</v>
      </c>
      <c r="AA81" s="105">
        <f>'24'!K81</f>
        <v>2000</v>
      </c>
      <c r="AB81" s="105">
        <f>'25'!K81</f>
        <v>2000</v>
      </c>
      <c r="AC81" s="105">
        <f>'26'!K81</f>
        <v>2000</v>
      </c>
      <c r="AD81" s="105">
        <f>'27'!K81</f>
        <v>2000</v>
      </c>
      <c r="AE81" s="105">
        <f>'28'!K81</f>
        <v>2000</v>
      </c>
      <c r="AF81" s="105"/>
      <c r="AG81" s="105">
        <f t="shared" si="3"/>
        <v>300</v>
      </c>
      <c r="AH81" s="211">
        <f t="shared" si="2"/>
        <v>1921.4285714285713</v>
      </c>
    </row>
    <row r="82" spans="1:34" x14ac:dyDescent="0.25">
      <c r="A82" s="134">
        <v>20</v>
      </c>
      <c r="B82" s="132" t="s">
        <v>86</v>
      </c>
      <c r="C82" s="104"/>
      <c r="D82" s="105">
        <f>'1'!K79</f>
        <v>0</v>
      </c>
      <c r="E82" s="105">
        <f>'2'!K79</f>
        <v>0</v>
      </c>
      <c r="F82" s="105">
        <f>'3'!K79</f>
        <v>0</v>
      </c>
      <c r="G82" s="105">
        <f>'4'!K79</f>
        <v>0</v>
      </c>
      <c r="H82" s="105">
        <f>'5'!K79</f>
        <v>0</v>
      </c>
      <c r="I82" s="105">
        <f>'6'!K79</f>
        <v>0</v>
      </c>
      <c r="J82" s="105">
        <f>'7'!K79</f>
        <v>0</v>
      </c>
      <c r="K82" s="105">
        <f>'8'!K79</f>
        <v>0</v>
      </c>
      <c r="L82" s="105">
        <f>'9'!K79</f>
        <v>0</v>
      </c>
      <c r="M82" s="105">
        <f>'10'!K79</f>
        <v>0</v>
      </c>
      <c r="N82" s="105">
        <f>'11'!K79</f>
        <v>0</v>
      </c>
      <c r="O82" s="105">
        <f>'12'!K79</f>
        <v>0</v>
      </c>
      <c r="P82" s="105">
        <f>'13'!K79</f>
        <v>0</v>
      </c>
      <c r="Q82" s="105">
        <f>'14'!K79</f>
        <v>0</v>
      </c>
      <c r="R82" s="105">
        <f>'15'!K79</f>
        <v>0</v>
      </c>
      <c r="S82" s="105">
        <f>'16'!K79</f>
        <v>0</v>
      </c>
      <c r="T82" s="105">
        <f>'17'!K79</f>
        <v>0</v>
      </c>
      <c r="U82" s="105">
        <f>'18'!K79</f>
        <v>0</v>
      </c>
      <c r="V82" s="105">
        <f>'19'!K79</f>
        <v>0</v>
      </c>
      <c r="W82" s="105">
        <f>'20'!K79</f>
        <v>0</v>
      </c>
      <c r="X82" s="105">
        <f>'21'!K79</f>
        <v>0</v>
      </c>
      <c r="Y82" s="105">
        <f>'22'!K82</f>
        <v>0</v>
      </c>
      <c r="Z82" s="105">
        <f>'23'!K82</f>
        <v>0</v>
      </c>
      <c r="AA82" s="105">
        <f>'24'!K82</f>
        <v>0</v>
      </c>
      <c r="AB82" s="105">
        <f>'25'!K82</f>
        <v>0</v>
      </c>
      <c r="AC82" s="105">
        <f>'26'!K82</f>
        <v>0</v>
      </c>
      <c r="AD82" s="105">
        <f>'27'!K82</f>
        <v>0</v>
      </c>
      <c r="AE82" s="105">
        <f>'28'!K82</f>
        <v>0</v>
      </c>
      <c r="AF82" s="105"/>
      <c r="AG82" s="105">
        <f t="shared" si="3"/>
        <v>0</v>
      </c>
      <c r="AH82" s="211">
        <f t="shared" si="2"/>
        <v>0</v>
      </c>
    </row>
    <row r="83" spans="1:34" x14ac:dyDescent="0.25">
      <c r="A83" s="135"/>
      <c r="B83" s="119" t="s">
        <v>87</v>
      </c>
      <c r="C83" s="104" t="s">
        <v>88</v>
      </c>
      <c r="D83" s="105">
        <f>'1'!K80</f>
        <v>18000</v>
      </c>
      <c r="E83" s="105">
        <f>'2'!K80</f>
        <v>18000</v>
      </c>
      <c r="F83" s="105">
        <f>'3'!K80</f>
        <v>18000</v>
      </c>
      <c r="G83" s="105">
        <f>'4'!K80</f>
        <v>18000</v>
      </c>
      <c r="H83" s="105">
        <f>'5'!K80</f>
        <v>18000</v>
      </c>
      <c r="I83" s="105">
        <f>'6'!K80</f>
        <v>18000</v>
      </c>
      <c r="J83" s="105">
        <f>'7'!K80</f>
        <v>18000</v>
      </c>
      <c r="K83" s="105">
        <f>'8'!K80</f>
        <v>18000</v>
      </c>
      <c r="L83" s="105">
        <f>'9'!K80</f>
        <v>18000</v>
      </c>
      <c r="M83" s="105">
        <f>'10'!K80</f>
        <v>18000</v>
      </c>
      <c r="N83" s="105">
        <f>'11'!K80</f>
        <v>18000</v>
      </c>
      <c r="O83" s="105">
        <f>'12'!K80</f>
        <v>18000</v>
      </c>
      <c r="P83" s="105">
        <f>'13'!K80</f>
        <v>18000</v>
      </c>
      <c r="Q83" s="105">
        <f>'14'!K80</f>
        <v>18000</v>
      </c>
      <c r="R83" s="105">
        <f>'15'!K80</f>
        <v>18000</v>
      </c>
      <c r="S83" s="105">
        <f>'16'!K80</f>
        <v>18000</v>
      </c>
      <c r="T83" s="105">
        <f>'17'!K80</f>
        <v>18000</v>
      </c>
      <c r="U83" s="105">
        <f>'18'!K80</f>
        <v>18000</v>
      </c>
      <c r="V83" s="105">
        <f>'19'!K80</f>
        <v>18000</v>
      </c>
      <c r="W83" s="105">
        <f>'20'!K80</f>
        <v>18000</v>
      </c>
      <c r="X83" s="105">
        <f>'21'!K80</f>
        <v>18000</v>
      </c>
      <c r="Y83" s="105">
        <f>'22'!K83</f>
        <v>18000</v>
      </c>
      <c r="Z83" s="105">
        <f>'23'!K83</f>
        <v>18000</v>
      </c>
      <c r="AA83" s="105">
        <f>'24'!K83</f>
        <v>18000</v>
      </c>
      <c r="AB83" s="105">
        <f>'25'!K83</f>
        <v>18000</v>
      </c>
      <c r="AC83" s="105">
        <f>'26'!K83</f>
        <v>18000</v>
      </c>
      <c r="AD83" s="105">
        <f>'27'!K83</f>
        <v>18000</v>
      </c>
      <c r="AE83" s="105">
        <f>'28'!K83</f>
        <v>18000</v>
      </c>
      <c r="AF83" s="105"/>
      <c r="AG83" s="105">
        <f t="shared" si="3"/>
        <v>0</v>
      </c>
      <c r="AH83" s="211">
        <f t="shared" si="2"/>
        <v>18000</v>
      </c>
    </row>
    <row r="85" spans="1:34" x14ac:dyDescent="0.25">
      <c r="B85" s="117" t="s">
        <v>108</v>
      </c>
    </row>
  </sheetData>
  <mergeCells count="22">
    <mergeCell ref="A64:A68"/>
    <mergeCell ref="A38:A40"/>
    <mergeCell ref="A41:A43"/>
    <mergeCell ref="A47:A48"/>
    <mergeCell ref="A49:A50"/>
    <mergeCell ref="A51:A55"/>
    <mergeCell ref="A58:A61"/>
    <mergeCell ref="A32:A34"/>
    <mergeCell ref="A4:A6"/>
    <mergeCell ref="B4:B6"/>
    <mergeCell ref="C4:C6"/>
    <mergeCell ref="A7:A12"/>
    <mergeCell ref="A13:A15"/>
    <mergeCell ref="A16:A17"/>
    <mergeCell ref="A18:A19"/>
    <mergeCell ref="A20:A24"/>
    <mergeCell ref="A25:A31"/>
    <mergeCell ref="AF4:AF6"/>
    <mergeCell ref="AG4:AG6"/>
    <mergeCell ref="A1:AG1"/>
    <mergeCell ref="A2:AG2"/>
    <mergeCell ref="A3:AG3"/>
  </mergeCells>
  <pageMargins left="0.7" right="0.7" top="0.25" bottom="0.25" header="0.3" footer="0.3"/>
  <pageSetup paperSize="5" scale="4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E8D8-2F76-4D61-905D-764A3B8E5823}">
  <dimension ref="A1:AG265"/>
  <sheetViews>
    <sheetView topLeftCell="O1" workbookViewId="0">
      <selection activeCell="AI4" sqref="AI4"/>
    </sheetView>
  </sheetViews>
  <sheetFormatPr defaultRowHeight="15" x14ac:dyDescent="0.25"/>
  <cols>
    <col min="1" max="1" width="32.25" style="2" customWidth="1"/>
    <col min="2" max="2" width="13" style="2" customWidth="1"/>
    <col min="3" max="15" width="9.125" style="2"/>
    <col min="16" max="33" width="8.875" style="2" customWidth="1"/>
    <col min="34" max="35" width="8.125" style="2" customWidth="1"/>
    <col min="36" max="251" width="9.125" style="2"/>
    <col min="252" max="252" width="3.375" style="2" customWidth="1"/>
    <col min="253" max="253" width="32.25" style="2" customWidth="1"/>
    <col min="254" max="254" width="13" style="2" customWidth="1"/>
    <col min="255" max="261" width="9.625" style="2" customWidth="1"/>
    <col min="262" max="263" width="11.375" style="2" customWidth="1"/>
    <col min="264" max="265" width="9.125" style="2"/>
    <col min="266" max="266" width="18.375" style="2" customWidth="1"/>
    <col min="267" max="507" width="9.125" style="2"/>
    <col min="508" max="508" width="3.375" style="2" customWidth="1"/>
    <col min="509" max="509" width="32.25" style="2" customWidth="1"/>
    <col min="510" max="510" width="13" style="2" customWidth="1"/>
    <col min="511" max="517" width="9.625" style="2" customWidth="1"/>
    <col min="518" max="519" width="11.375" style="2" customWidth="1"/>
    <col min="520" max="521" width="9.125" style="2"/>
    <col min="522" max="522" width="18.375" style="2" customWidth="1"/>
    <col min="523" max="763" width="9.125" style="2"/>
    <col min="764" max="764" width="3.375" style="2" customWidth="1"/>
    <col min="765" max="765" width="32.25" style="2" customWidth="1"/>
    <col min="766" max="766" width="13" style="2" customWidth="1"/>
    <col min="767" max="773" width="9.625" style="2" customWidth="1"/>
    <col min="774" max="775" width="11.375" style="2" customWidth="1"/>
    <col min="776" max="777" width="9.125" style="2"/>
    <col min="778" max="778" width="18.375" style="2" customWidth="1"/>
    <col min="779" max="1019" width="9.125" style="2"/>
    <col min="1020" max="1020" width="3.375" style="2" customWidth="1"/>
    <col min="1021" max="1021" width="32.25" style="2" customWidth="1"/>
    <col min="1022" max="1022" width="13" style="2" customWidth="1"/>
    <col min="1023" max="1029" width="9.625" style="2" customWidth="1"/>
    <col min="1030" max="1031" width="11.375" style="2" customWidth="1"/>
    <col min="1032" max="1033" width="9.125" style="2"/>
    <col min="1034" max="1034" width="18.375" style="2" customWidth="1"/>
    <col min="1035" max="1275" width="9.125" style="2"/>
    <col min="1276" max="1276" width="3.375" style="2" customWidth="1"/>
    <col min="1277" max="1277" width="32.25" style="2" customWidth="1"/>
    <col min="1278" max="1278" width="13" style="2" customWidth="1"/>
    <col min="1279" max="1285" width="9.625" style="2" customWidth="1"/>
    <col min="1286" max="1287" width="11.375" style="2" customWidth="1"/>
    <col min="1288" max="1289" width="9.125" style="2"/>
    <col min="1290" max="1290" width="18.375" style="2" customWidth="1"/>
    <col min="1291" max="1531" width="9.125" style="2"/>
    <col min="1532" max="1532" width="3.375" style="2" customWidth="1"/>
    <col min="1533" max="1533" width="32.25" style="2" customWidth="1"/>
    <col min="1534" max="1534" width="13" style="2" customWidth="1"/>
    <col min="1535" max="1541" width="9.625" style="2" customWidth="1"/>
    <col min="1542" max="1543" width="11.375" style="2" customWidth="1"/>
    <col min="1544" max="1545" width="9.125" style="2"/>
    <col min="1546" max="1546" width="18.375" style="2" customWidth="1"/>
    <col min="1547" max="1787" width="9.125" style="2"/>
    <col min="1788" max="1788" width="3.375" style="2" customWidth="1"/>
    <col min="1789" max="1789" width="32.25" style="2" customWidth="1"/>
    <col min="1790" max="1790" width="13" style="2" customWidth="1"/>
    <col min="1791" max="1797" width="9.625" style="2" customWidth="1"/>
    <col min="1798" max="1799" width="11.375" style="2" customWidth="1"/>
    <col min="1800" max="1801" width="9.125" style="2"/>
    <col min="1802" max="1802" width="18.375" style="2" customWidth="1"/>
    <col min="1803" max="2043" width="9.125" style="2"/>
    <col min="2044" max="2044" width="3.375" style="2" customWidth="1"/>
    <col min="2045" max="2045" width="32.25" style="2" customWidth="1"/>
    <col min="2046" max="2046" width="13" style="2" customWidth="1"/>
    <col min="2047" max="2053" width="9.625" style="2" customWidth="1"/>
    <col min="2054" max="2055" width="11.375" style="2" customWidth="1"/>
    <col min="2056" max="2057" width="9.125" style="2"/>
    <col min="2058" max="2058" width="18.375" style="2" customWidth="1"/>
    <col min="2059" max="2299" width="9.125" style="2"/>
    <col min="2300" max="2300" width="3.375" style="2" customWidth="1"/>
    <col min="2301" max="2301" width="32.25" style="2" customWidth="1"/>
    <col min="2302" max="2302" width="13" style="2" customWidth="1"/>
    <col min="2303" max="2309" width="9.625" style="2" customWidth="1"/>
    <col min="2310" max="2311" width="11.375" style="2" customWidth="1"/>
    <col min="2312" max="2313" width="9.125" style="2"/>
    <col min="2314" max="2314" width="18.375" style="2" customWidth="1"/>
    <col min="2315" max="2555" width="9.125" style="2"/>
    <col min="2556" max="2556" width="3.375" style="2" customWidth="1"/>
    <col min="2557" max="2557" width="32.25" style="2" customWidth="1"/>
    <col min="2558" max="2558" width="13" style="2" customWidth="1"/>
    <col min="2559" max="2565" width="9.625" style="2" customWidth="1"/>
    <col min="2566" max="2567" width="11.375" style="2" customWidth="1"/>
    <col min="2568" max="2569" width="9.125" style="2"/>
    <col min="2570" max="2570" width="18.375" style="2" customWidth="1"/>
    <col min="2571" max="2811" width="9.125" style="2"/>
    <col min="2812" max="2812" width="3.375" style="2" customWidth="1"/>
    <col min="2813" max="2813" width="32.25" style="2" customWidth="1"/>
    <col min="2814" max="2814" width="13" style="2" customWidth="1"/>
    <col min="2815" max="2821" width="9.625" style="2" customWidth="1"/>
    <col min="2822" max="2823" width="11.375" style="2" customWidth="1"/>
    <col min="2824" max="2825" width="9.125" style="2"/>
    <col min="2826" max="2826" width="18.375" style="2" customWidth="1"/>
    <col min="2827" max="3067" width="9.125" style="2"/>
    <col min="3068" max="3068" width="3.375" style="2" customWidth="1"/>
    <col min="3069" max="3069" width="32.25" style="2" customWidth="1"/>
    <col min="3070" max="3070" width="13" style="2" customWidth="1"/>
    <col min="3071" max="3077" width="9.625" style="2" customWidth="1"/>
    <col min="3078" max="3079" width="11.375" style="2" customWidth="1"/>
    <col min="3080" max="3081" width="9.125" style="2"/>
    <col min="3082" max="3082" width="18.375" style="2" customWidth="1"/>
    <col min="3083" max="3323" width="9.125" style="2"/>
    <col min="3324" max="3324" width="3.375" style="2" customWidth="1"/>
    <col min="3325" max="3325" width="32.25" style="2" customWidth="1"/>
    <col min="3326" max="3326" width="13" style="2" customWidth="1"/>
    <col min="3327" max="3333" width="9.625" style="2" customWidth="1"/>
    <col min="3334" max="3335" width="11.375" style="2" customWidth="1"/>
    <col min="3336" max="3337" width="9.125" style="2"/>
    <col min="3338" max="3338" width="18.375" style="2" customWidth="1"/>
    <col min="3339" max="3579" width="9.125" style="2"/>
    <col min="3580" max="3580" width="3.375" style="2" customWidth="1"/>
    <col min="3581" max="3581" width="32.25" style="2" customWidth="1"/>
    <col min="3582" max="3582" width="13" style="2" customWidth="1"/>
    <col min="3583" max="3589" width="9.625" style="2" customWidth="1"/>
    <col min="3590" max="3591" width="11.375" style="2" customWidth="1"/>
    <col min="3592" max="3593" width="9.125" style="2"/>
    <col min="3594" max="3594" width="18.375" style="2" customWidth="1"/>
    <col min="3595" max="3835" width="9.125" style="2"/>
    <col min="3836" max="3836" width="3.375" style="2" customWidth="1"/>
    <col min="3837" max="3837" width="32.25" style="2" customWidth="1"/>
    <col min="3838" max="3838" width="13" style="2" customWidth="1"/>
    <col min="3839" max="3845" width="9.625" style="2" customWidth="1"/>
    <col min="3846" max="3847" width="11.375" style="2" customWidth="1"/>
    <col min="3848" max="3849" width="9.125" style="2"/>
    <col min="3850" max="3850" width="18.375" style="2" customWidth="1"/>
    <col min="3851" max="4091" width="9.125" style="2"/>
    <col min="4092" max="4092" width="3.375" style="2" customWidth="1"/>
    <col min="4093" max="4093" width="32.25" style="2" customWidth="1"/>
    <col min="4094" max="4094" width="13" style="2" customWidth="1"/>
    <col min="4095" max="4101" width="9.625" style="2" customWidth="1"/>
    <col min="4102" max="4103" width="11.375" style="2" customWidth="1"/>
    <col min="4104" max="4105" width="9.125" style="2"/>
    <col min="4106" max="4106" width="18.375" style="2" customWidth="1"/>
    <col min="4107" max="4347" width="9.125" style="2"/>
    <col min="4348" max="4348" width="3.375" style="2" customWidth="1"/>
    <col min="4349" max="4349" width="32.25" style="2" customWidth="1"/>
    <col min="4350" max="4350" width="13" style="2" customWidth="1"/>
    <col min="4351" max="4357" width="9.625" style="2" customWidth="1"/>
    <col min="4358" max="4359" width="11.375" style="2" customWidth="1"/>
    <col min="4360" max="4361" width="9.125" style="2"/>
    <col min="4362" max="4362" width="18.375" style="2" customWidth="1"/>
    <col min="4363" max="4603" width="9.125" style="2"/>
    <col min="4604" max="4604" width="3.375" style="2" customWidth="1"/>
    <col min="4605" max="4605" width="32.25" style="2" customWidth="1"/>
    <col min="4606" max="4606" width="13" style="2" customWidth="1"/>
    <col min="4607" max="4613" width="9.625" style="2" customWidth="1"/>
    <col min="4614" max="4615" width="11.375" style="2" customWidth="1"/>
    <col min="4616" max="4617" width="9.125" style="2"/>
    <col min="4618" max="4618" width="18.375" style="2" customWidth="1"/>
    <col min="4619" max="4859" width="9.125" style="2"/>
    <col min="4860" max="4860" width="3.375" style="2" customWidth="1"/>
    <col min="4861" max="4861" width="32.25" style="2" customWidth="1"/>
    <col min="4862" max="4862" width="13" style="2" customWidth="1"/>
    <col min="4863" max="4869" width="9.625" style="2" customWidth="1"/>
    <col min="4870" max="4871" width="11.375" style="2" customWidth="1"/>
    <col min="4872" max="4873" width="9.125" style="2"/>
    <col min="4874" max="4874" width="18.375" style="2" customWidth="1"/>
    <col min="4875" max="5115" width="9.125" style="2"/>
    <col min="5116" max="5116" width="3.375" style="2" customWidth="1"/>
    <col min="5117" max="5117" width="32.25" style="2" customWidth="1"/>
    <col min="5118" max="5118" width="13" style="2" customWidth="1"/>
    <col min="5119" max="5125" width="9.625" style="2" customWidth="1"/>
    <col min="5126" max="5127" width="11.375" style="2" customWidth="1"/>
    <col min="5128" max="5129" width="9.125" style="2"/>
    <col min="5130" max="5130" width="18.375" style="2" customWidth="1"/>
    <col min="5131" max="5371" width="9.125" style="2"/>
    <col min="5372" max="5372" width="3.375" style="2" customWidth="1"/>
    <col min="5373" max="5373" width="32.25" style="2" customWidth="1"/>
    <col min="5374" max="5374" width="13" style="2" customWidth="1"/>
    <col min="5375" max="5381" width="9.625" style="2" customWidth="1"/>
    <col min="5382" max="5383" width="11.375" style="2" customWidth="1"/>
    <col min="5384" max="5385" width="9.125" style="2"/>
    <col min="5386" max="5386" width="18.375" style="2" customWidth="1"/>
    <col min="5387" max="5627" width="9.125" style="2"/>
    <col min="5628" max="5628" width="3.375" style="2" customWidth="1"/>
    <col min="5629" max="5629" width="32.25" style="2" customWidth="1"/>
    <col min="5630" max="5630" width="13" style="2" customWidth="1"/>
    <col min="5631" max="5637" width="9.625" style="2" customWidth="1"/>
    <col min="5638" max="5639" width="11.375" style="2" customWidth="1"/>
    <col min="5640" max="5641" width="9.125" style="2"/>
    <col min="5642" max="5642" width="18.375" style="2" customWidth="1"/>
    <col min="5643" max="5883" width="9.125" style="2"/>
    <col min="5884" max="5884" width="3.375" style="2" customWidth="1"/>
    <col min="5885" max="5885" width="32.25" style="2" customWidth="1"/>
    <col min="5886" max="5886" width="13" style="2" customWidth="1"/>
    <col min="5887" max="5893" width="9.625" style="2" customWidth="1"/>
    <col min="5894" max="5895" width="11.375" style="2" customWidth="1"/>
    <col min="5896" max="5897" width="9.125" style="2"/>
    <col min="5898" max="5898" width="18.375" style="2" customWidth="1"/>
    <col min="5899" max="6139" width="9.125" style="2"/>
    <col min="6140" max="6140" width="3.375" style="2" customWidth="1"/>
    <col min="6141" max="6141" width="32.25" style="2" customWidth="1"/>
    <col min="6142" max="6142" width="13" style="2" customWidth="1"/>
    <col min="6143" max="6149" width="9.625" style="2" customWidth="1"/>
    <col min="6150" max="6151" width="11.375" style="2" customWidth="1"/>
    <col min="6152" max="6153" width="9.125" style="2"/>
    <col min="6154" max="6154" width="18.375" style="2" customWidth="1"/>
    <col min="6155" max="6395" width="9.125" style="2"/>
    <col min="6396" max="6396" width="3.375" style="2" customWidth="1"/>
    <col min="6397" max="6397" width="32.25" style="2" customWidth="1"/>
    <col min="6398" max="6398" width="13" style="2" customWidth="1"/>
    <col min="6399" max="6405" width="9.625" style="2" customWidth="1"/>
    <col min="6406" max="6407" width="11.375" style="2" customWidth="1"/>
    <col min="6408" max="6409" width="9.125" style="2"/>
    <col min="6410" max="6410" width="18.375" style="2" customWidth="1"/>
    <col min="6411" max="6651" width="9.125" style="2"/>
    <col min="6652" max="6652" width="3.375" style="2" customWidth="1"/>
    <col min="6653" max="6653" width="32.25" style="2" customWidth="1"/>
    <col min="6654" max="6654" width="13" style="2" customWidth="1"/>
    <col min="6655" max="6661" width="9.625" style="2" customWidth="1"/>
    <col min="6662" max="6663" width="11.375" style="2" customWidth="1"/>
    <col min="6664" max="6665" width="9.125" style="2"/>
    <col min="6666" max="6666" width="18.375" style="2" customWidth="1"/>
    <col min="6667" max="6907" width="9.125" style="2"/>
    <col min="6908" max="6908" width="3.375" style="2" customWidth="1"/>
    <col min="6909" max="6909" width="32.25" style="2" customWidth="1"/>
    <col min="6910" max="6910" width="13" style="2" customWidth="1"/>
    <col min="6911" max="6917" width="9.625" style="2" customWidth="1"/>
    <col min="6918" max="6919" width="11.375" style="2" customWidth="1"/>
    <col min="6920" max="6921" width="9.125" style="2"/>
    <col min="6922" max="6922" width="18.375" style="2" customWidth="1"/>
    <col min="6923" max="7163" width="9.125" style="2"/>
    <col min="7164" max="7164" width="3.375" style="2" customWidth="1"/>
    <col min="7165" max="7165" width="32.25" style="2" customWidth="1"/>
    <col min="7166" max="7166" width="13" style="2" customWidth="1"/>
    <col min="7167" max="7173" width="9.625" style="2" customWidth="1"/>
    <col min="7174" max="7175" width="11.375" style="2" customWidth="1"/>
    <col min="7176" max="7177" width="9.125" style="2"/>
    <col min="7178" max="7178" width="18.375" style="2" customWidth="1"/>
    <col min="7179" max="7419" width="9.125" style="2"/>
    <col min="7420" max="7420" width="3.375" style="2" customWidth="1"/>
    <col min="7421" max="7421" width="32.25" style="2" customWidth="1"/>
    <col min="7422" max="7422" width="13" style="2" customWidth="1"/>
    <col min="7423" max="7429" width="9.625" style="2" customWidth="1"/>
    <col min="7430" max="7431" width="11.375" style="2" customWidth="1"/>
    <col min="7432" max="7433" width="9.125" style="2"/>
    <col min="7434" max="7434" width="18.375" style="2" customWidth="1"/>
    <col min="7435" max="7675" width="9.125" style="2"/>
    <col min="7676" max="7676" width="3.375" style="2" customWidth="1"/>
    <col min="7677" max="7677" width="32.25" style="2" customWidth="1"/>
    <col min="7678" max="7678" width="13" style="2" customWidth="1"/>
    <col min="7679" max="7685" width="9.625" style="2" customWidth="1"/>
    <col min="7686" max="7687" width="11.375" style="2" customWidth="1"/>
    <col min="7688" max="7689" width="9.125" style="2"/>
    <col min="7690" max="7690" width="18.375" style="2" customWidth="1"/>
    <col min="7691" max="7931" width="9.125" style="2"/>
    <col min="7932" max="7932" width="3.375" style="2" customWidth="1"/>
    <col min="7933" max="7933" width="32.25" style="2" customWidth="1"/>
    <col min="7934" max="7934" width="13" style="2" customWidth="1"/>
    <col min="7935" max="7941" width="9.625" style="2" customWidth="1"/>
    <col min="7942" max="7943" width="11.375" style="2" customWidth="1"/>
    <col min="7944" max="7945" width="9.125" style="2"/>
    <col min="7946" max="7946" width="18.375" style="2" customWidth="1"/>
    <col min="7947" max="8187" width="9.125" style="2"/>
    <col min="8188" max="8188" width="3.375" style="2" customWidth="1"/>
    <col min="8189" max="8189" width="32.25" style="2" customWidth="1"/>
    <col min="8190" max="8190" width="13" style="2" customWidth="1"/>
    <col min="8191" max="8197" width="9.625" style="2" customWidth="1"/>
    <col min="8198" max="8199" width="11.375" style="2" customWidth="1"/>
    <col min="8200" max="8201" width="9.125" style="2"/>
    <col min="8202" max="8202" width="18.375" style="2" customWidth="1"/>
    <col min="8203" max="8443" width="9.125" style="2"/>
    <col min="8444" max="8444" width="3.375" style="2" customWidth="1"/>
    <col min="8445" max="8445" width="32.25" style="2" customWidth="1"/>
    <col min="8446" max="8446" width="13" style="2" customWidth="1"/>
    <col min="8447" max="8453" width="9.625" style="2" customWidth="1"/>
    <col min="8454" max="8455" width="11.375" style="2" customWidth="1"/>
    <col min="8456" max="8457" width="9.125" style="2"/>
    <col min="8458" max="8458" width="18.375" style="2" customWidth="1"/>
    <col min="8459" max="8699" width="9.125" style="2"/>
    <col min="8700" max="8700" width="3.375" style="2" customWidth="1"/>
    <col min="8701" max="8701" width="32.25" style="2" customWidth="1"/>
    <col min="8702" max="8702" width="13" style="2" customWidth="1"/>
    <col min="8703" max="8709" width="9.625" style="2" customWidth="1"/>
    <col min="8710" max="8711" width="11.375" style="2" customWidth="1"/>
    <col min="8712" max="8713" width="9.125" style="2"/>
    <col min="8714" max="8714" width="18.375" style="2" customWidth="1"/>
    <col min="8715" max="8955" width="9.125" style="2"/>
    <col min="8956" max="8956" width="3.375" style="2" customWidth="1"/>
    <col min="8957" max="8957" width="32.25" style="2" customWidth="1"/>
    <col min="8958" max="8958" width="13" style="2" customWidth="1"/>
    <col min="8959" max="8965" width="9.625" style="2" customWidth="1"/>
    <col min="8966" max="8967" width="11.375" style="2" customWidth="1"/>
    <col min="8968" max="8969" width="9.125" style="2"/>
    <col min="8970" max="8970" width="18.375" style="2" customWidth="1"/>
    <col min="8971" max="9211" width="9.125" style="2"/>
    <col min="9212" max="9212" width="3.375" style="2" customWidth="1"/>
    <col min="9213" max="9213" width="32.25" style="2" customWidth="1"/>
    <col min="9214" max="9214" width="13" style="2" customWidth="1"/>
    <col min="9215" max="9221" width="9.625" style="2" customWidth="1"/>
    <col min="9222" max="9223" width="11.375" style="2" customWidth="1"/>
    <col min="9224" max="9225" width="9.125" style="2"/>
    <col min="9226" max="9226" width="18.375" style="2" customWidth="1"/>
    <col min="9227" max="9467" width="9.125" style="2"/>
    <col min="9468" max="9468" width="3.375" style="2" customWidth="1"/>
    <col min="9469" max="9469" width="32.25" style="2" customWidth="1"/>
    <col min="9470" max="9470" width="13" style="2" customWidth="1"/>
    <col min="9471" max="9477" width="9.625" style="2" customWidth="1"/>
    <col min="9478" max="9479" width="11.375" style="2" customWidth="1"/>
    <col min="9480" max="9481" width="9.125" style="2"/>
    <col min="9482" max="9482" width="18.375" style="2" customWidth="1"/>
    <col min="9483" max="9723" width="9.125" style="2"/>
    <col min="9724" max="9724" width="3.375" style="2" customWidth="1"/>
    <col min="9725" max="9725" width="32.25" style="2" customWidth="1"/>
    <col min="9726" max="9726" width="13" style="2" customWidth="1"/>
    <col min="9727" max="9733" width="9.625" style="2" customWidth="1"/>
    <col min="9734" max="9735" width="11.375" style="2" customWidth="1"/>
    <col min="9736" max="9737" width="9.125" style="2"/>
    <col min="9738" max="9738" width="18.375" style="2" customWidth="1"/>
    <col min="9739" max="9979" width="9.125" style="2"/>
    <col min="9980" max="9980" width="3.375" style="2" customWidth="1"/>
    <col min="9981" max="9981" width="32.25" style="2" customWidth="1"/>
    <col min="9982" max="9982" width="13" style="2" customWidth="1"/>
    <col min="9983" max="9989" width="9.625" style="2" customWidth="1"/>
    <col min="9990" max="9991" width="11.375" style="2" customWidth="1"/>
    <col min="9992" max="9993" width="9.125" style="2"/>
    <col min="9994" max="9994" width="18.375" style="2" customWidth="1"/>
    <col min="9995" max="10235" width="9.125" style="2"/>
    <col min="10236" max="10236" width="3.375" style="2" customWidth="1"/>
    <col min="10237" max="10237" width="32.25" style="2" customWidth="1"/>
    <col min="10238" max="10238" width="13" style="2" customWidth="1"/>
    <col min="10239" max="10245" width="9.625" style="2" customWidth="1"/>
    <col min="10246" max="10247" width="11.375" style="2" customWidth="1"/>
    <col min="10248" max="10249" width="9.125" style="2"/>
    <col min="10250" max="10250" width="18.375" style="2" customWidth="1"/>
    <col min="10251" max="10491" width="9.125" style="2"/>
    <col min="10492" max="10492" width="3.375" style="2" customWidth="1"/>
    <col min="10493" max="10493" width="32.25" style="2" customWidth="1"/>
    <col min="10494" max="10494" width="13" style="2" customWidth="1"/>
    <col min="10495" max="10501" width="9.625" style="2" customWidth="1"/>
    <col min="10502" max="10503" width="11.375" style="2" customWidth="1"/>
    <col min="10504" max="10505" width="9.125" style="2"/>
    <col min="10506" max="10506" width="18.375" style="2" customWidth="1"/>
    <col min="10507" max="10747" width="9.125" style="2"/>
    <col min="10748" max="10748" width="3.375" style="2" customWidth="1"/>
    <col min="10749" max="10749" width="32.25" style="2" customWidth="1"/>
    <col min="10750" max="10750" width="13" style="2" customWidth="1"/>
    <col min="10751" max="10757" width="9.625" style="2" customWidth="1"/>
    <col min="10758" max="10759" width="11.375" style="2" customWidth="1"/>
    <col min="10760" max="10761" width="9.125" style="2"/>
    <col min="10762" max="10762" width="18.375" style="2" customWidth="1"/>
    <col min="10763" max="11003" width="9.125" style="2"/>
    <col min="11004" max="11004" width="3.375" style="2" customWidth="1"/>
    <col min="11005" max="11005" width="32.25" style="2" customWidth="1"/>
    <col min="11006" max="11006" width="13" style="2" customWidth="1"/>
    <col min="11007" max="11013" width="9.625" style="2" customWidth="1"/>
    <col min="11014" max="11015" width="11.375" style="2" customWidth="1"/>
    <col min="11016" max="11017" width="9.125" style="2"/>
    <col min="11018" max="11018" width="18.375" style="2" customWidth="1"/>
    <col min="11019" max="11259" width="9.125" style="2"/>
    <col min="11260" max="11260" width="3.375" style="2" customWidth="1"/>
    <col min="11261" max="11261" width="32.25" style="2" customWidth="1"/>
    <col min="11262" max="11262" width="13" style="2" customWidth="1"/>
    <col min="11263" max="11269" width="9.625" style="2" customWidth="1"/>
    <col min="11270" max="11271" width="11.375" style="2" customWidth="1"/>
    <col min="11272" max="11273" width="9.125" style="2"/>
    <col min="11274" max="11274" width="18.375" style="2" customWidth="1"/>
    <col min="11275" max="11515" width="9.125" style="2"/>
    <col min="11516" max="11516" width="3.375" style="2" customWidth="1"/>
    <col min="11517" max="11517" width="32.25" style="2" customWidth="1"/>
    <col min="11518" max="11518" width="13" style="2" customWidth="1"/>
    <col min="11519" max="11525" width="9.625" style="2" customWidth="1"/>
    <col min="11526" max="11527" width="11.375" style="2" customWidth="1"/>
    <col min="11528" max="11529" width="9.125" style="2"/>
    <col min="11530" max="11530" width="18.375" style="2" customWidth="1"/>
    <col min="11531" max="11771" width="9.125" style="2"/>
    <col min="11772" max="11772" width="3.375" style="2" customWidth="1"/>
    <col min="11773" max="11773" width="32.25" style="2" customWidth="1"/>
    <col min="11774" max="11774" width="13" style="2" customWidth="1"/>
    <col min="11775" max="11781" width="9.625" style="2" customWidth="1"/>
    <col min="11782" max="11783" width="11.375" style="2" customWidth="1"/>
    <col min="11784" max="11785" width="9.125" style="2"/>
    <col min="11786" max="11786" width="18.375" style="2" customWidth="1"/>
    <col min="11787" max="12027" width="9.125" style="2"/>
    <col min="12028" max="12028" width="3.375" style="2" customWidth="1"/>
    <col min="12029" max="12029" width="32.25" style="2" customWidth="1"/>
    <col min="12030" max="12030" width="13" style="2" customWidth="1"/>
    <col min="12031" max="12037" width="9.625" style="2" customWidth="1"/>
    <col min="12038" max="12039" width="11.375" style="2" customWidth="1"/>
    <col min="12040" max="12041" width="9.125" style="2"/>
    <col min="12042" max="12042" width="18.375" style="2" customWidth="1"/>
    <col min="12043" max="12283" width="9.125" style="2"/>
    <col min="12284" max="12284" width="3.375" style="2" customWidth="1"/>
    <col min="12285" max="12285" width="32.25" style="2" customWidth="1"/>
    <col min="12286" max="12286" width="13" style="2" customWidth="1"/>
    <col min="12287" max="12293" width="9.625" style="2" customWidth="1"/>
    <col min="12294" max="12295" width="11.375" style="2" customWidth="1"/>
    <col min="12296" max="12297" width="9.125" style="2"/>
    <col min="12298" max="12298" width="18.375" style="2" customWidth="1"/>
    <col min="12299" max="12539" width="9.125" style="2"/>
    <col min="12540" max="12540" width="3.375" style="2" customWidth="1"/>
    <col min="12541" max="12541" width="32.25" style="2" customWidth="1"/>
    <col min="12542" max="12542" width="13" style="2" customWidth="1"/>
    <col min="12543" max="12549" width="9.625" style="2" customWidth="1"/>
    <col min="12550" max="12551" width="11.375" style="2" customWidth="1"/>
    <col min="12552" max="12553" width="9.125" style="2"/>
    <col min="12554" max="12554" width="18.375" style="2" customWidth="1"/>
    <col min="12555" max="12795" width="9.125" style="2"/>
    <col min="12796" max="12796" width="3.375" style="2" customWidth="1"/>
    <col min="12797" max="12797" width="32.25" style="2" customWidth="1"/>
    <col min="12798" max="12798" width="13" style="2" customWidth="1"/>
    <col min="12799" max="12805" width="9.625" style="2" customWidth="1"/>
    <col min="12806" max="12807" width="11.375" style="2" customWidth="1"/>
    <col min="12808" max="12809" width="9.125" style="2"/>
    <col min="12810" max="12810" width="18.375" style="2" customWidth="1"/>
    <col min="12811" max="13051" width="9.125" style="2"/>
    <col min="13052" max="13052" width="3.375" style="2" customWidth="1"/>
    <col min="13053" max="13053" width="32.25" style="2" customWidth="1"/>
    <col min="13054" max="13054" width="13" style="2" customWidth="1"/>
    <col min="13055" max="13061" width="9.625" style="2" customWidth="1"/>
    <col min="13062" max="13063" width="11.375" style="2" customWidth="1"/>
    <col min="13064" max="13065" width="9.125" style="2"/>
    <col min="13066" max="13066" width="18.375" style="2" customWidth="1"/>
    <col min="13067" max="13307" width="9.125" style="2"/>
    <col min="13308" max="13308" width="3.375" style="2" customWidth="1"/>
    <col min="13309" max="13309" width="32.25" style="2" customWidth="1"/>
    <col min="13310" max="13310" width="13" style="2" customWidth="1"/>
    <col min="13311" max="13317" width="9.625" style="2" customWidth="1"/>
    <col min="13318" max="13319" width="11.375" style="2" customWidth="1"/>
    <col min="13320" max="13321" width="9.125" style="2"/>
    <col min="13322" max="13322" width="18.375" style="2" customWidth="1"/>
    <col min="13323" max="13563" width="9.125" style="2"/>
    <col min="13564" max="13564" width="3.375" style="2" customWidth="1"/>
    <col min="13565" max="13565" width="32.25" style="2" customWidth="1"/>
    <col min="13566" max="13566" width="13" style="2" customWidth="1"/>
    <col min="13567" max="13573" width="9.625" style="2" customWidth="1"/>
    <col min="13574" max="13575" width="11.375" style="2" customWidth="1"/>
    <col min="13576" max="13577" width="9.125" style="2"/>
    <col min="13578" max="13578" width="18.375" style="2" customWidth="1"/>
    <col min="13579" max="13819" width="9.125" style="2"/>
    <col min="13820" max="13820" width="3.375" style="2" customWidth="1"/>
    <col min="13821" max="13821" width="32.25" style="2" customWidth="1"/>
    <col min="13822" max="13822" width="13" style="2" customWidth="1"/>
    <col min="13823" max="13829" width="9.625" style="2" customWidth="1"/>
    <col min="13830" max="13831" width="11.375" style="2" customWidth="1"/>
    <col min="13832" max="13833" width="9.125" style="2"/>
    <col min="13834" max="13834" width="18.375" style="2" customWidth="1"/>
    <col min="13835" max="14075" width="9.125" style="2"/>
    <col min="14076" max="14076" width="3.375" style="2" customWidth="1"/>
    <col min="14077" max="14077" width="32.25" style="2" customWidth="1"/>
    <col min="14078" max="14078" width="13" style="2" customWidth="1"/>
    <col min="14079" max="14085" width="9.625" style="2" customWidth="1"/>
    <col min="14086" max="14087" width="11.375" style="2" customWidth="1"/>
    <col min="14088" max="14089" width="9.125" style="2"/>
    <col min="14090" max="14090" width="18.375" style="2" customWidth="1"/>
    <col min="14091" max="14331" width="9.125" style="2"/>
    <col min="14332" max="14332" width="3.375" style="2" customWidth="1"/>
    <col min="14333" max="14333" width="32.25" style="2" customWidth="1"/>
    <col min="14334" max="14334" width="13" style="2" customWidth="1"/>
    <col min="14335" max="14341" width="9.625" style="2" customWidth="1"/>
    <col min="14342" max="14343" width="11.375" style="2" customWidth="1"/>
    <col min="14344" max="14345" width="9.125" style="2"/>
    <col min="14346" max="14346" width="18.375" style="2" customWidth="1"/>
    <col min="14347" max="14587" width="9.125" style="2"/>
    <col min="14588" max="14588" width="3.375" style="2" customWidth="1"/>
    <col min="14589" max="14589" width="32.25" style="2" customWidth="1"/>
    <col min="14590" max="14590" width="13" style="2" customWidth="1"/>
    <col min="14591" max="14597" width="9.625" style="2" customWidth="1"/>
    <col min="14598" max="14599" width="11.375" style="2" customWidth="1"/>
    <col min="14600" max="14601" width="9.125" style="2"/>
    <col min="14602" max="14602" width="18.375" style="2" customWidth="1"/>
    <col min="14603" max="14843" width="9.125" style="2"/>
    <col min="14844" max="14844" width="3.375" style="2" customWidth="1"/>
    <col min="14845" max="14845" width="32.25" style="2" customWidth="1"/>
    <col min="14846" max="14846" width="13" style="2" customWidth="1"/>
    <col min="14847" max="14853" width="9.625" style="2" customWidth="1"/>
    <col min="14854" max="14855" width="11.375" style="2" customWidth="1"/>
    <col min="14856" max="14857" width="9.125" style="2"/>
    <col min="14858" max="14858" width="18.375" style="2" customWidth="1"/>
    <col min="14859" max="15099" width="9.125" style="2"/>
    <col min="15100" max="15100" width="3.375" style="2" customWidth="1"/>
    <col min="15101" max="15101" width="32.25" style="2" customWidth="1"/>
    <col min="15102" max="15102" width="13" style="2" customWidth="1"/>
    <col min="15103" max="15109" width="9.625" style="2" customWidth="1"/>
    <col min="15110" max="15111" width="11.375" style="2" customWidth="1"/>
    <col min="15112" max="15113" width="9.125" style="2"/>
    <col min="15114" max="15114" width="18.375" style="2" customWidth="1"/>
    <col min="15115" max="15355" width="9.125" style="2"/>
    <col min="15356" max="15356" width="3.375" style="2" customWidth="1"/>
    <col min="15357" max="15357" width="32.25" style="2" customWidth="1"/>
    <col min="15358" max="15358" width="13" style="2" customWidth="1"/>
    <col min="15359" max="15365" width="9.625" style="2" customWidth="1"/>
    <col min="15366" max="15367" width="11.375" style="2" customWidth="1"/>
    <col min="15368" max="15369" width="9.125" style="2"/>
    <col min="15370" max="15370" width="18.375" style="2" customWidth="1"/>
    <col min="15371" max="15611" width="9.125" style="2"/>
    <col min="15612" max="15612" width="3.375" style="2" customWidth="1"/>
    <col min="15613" max="15613" width="32.25" style="2" customWidth="1"/>
    <col min="15614" max="15614" width="13" style="2" customWidth="1"/>
    <col min="15615" max="15621" width="9.625" style="2" customWidth="1"/>
    <col min="15622" max="15623" width="11.375" style="2" customWidth="1"/>
    <col min="15624" max="15625" width="9.125" style="2"/>
    <col min="15626" max="15626" width="18.375" style="2" customWidth="1"/>
    <col min="15627" max="15867" width="9.125" style="2"/>
    <col min="15868" max="15868" width="3.375" style="2" customWidth="1"/>
    <col min="15869" max="15869" width="32.25" style="2" customWidth="1"/>
    <col min="15870" max="15870" width="13" style="2" customWidth="1"/>
    <col min="15871" max="15877" width="9.625" style="2" customWidth="1"/>
    <col min="15878" max="15879" width="11.375" style="2" customWidth="1"/>
    <col min="15880" max="15881" width="9.125" style="2"/>
    <col min="15882" max="15882" width="18.375" style="2" customWidth="1"/>
    <col min="15883" max="16123" width="9.125" style="2"/>
    <col min="16124" max="16124" width="3.375" style="2" customWidth="1"/>
    <col min="16125" max="16125" width="32.25" style="2" customWidth="1"/>
    <col min="16126" max="16126" width="13" style="2" customWidth="1"/>
    <col min="16127" max="16133" width="9.625" style="2" customWidth="1"/>
    <col min="16134" max="16135" width="11.375" style="2" customWidth="1"/>
    <col min="16136" max="16137" width="9.125" style="2"/>
    <col min="16138" max="16138" width="18.375" style="2" customWidth="1"/>
    <col min="16139" max="16384" width="9.125" style="2"/>
  </cols>
  <sheetData>
    <row r="1" spans="1:33" ht="15.75" thickBot="1" x14ac:dyDescent="0.3"/>
    <row r="2" spans="1:33" x14ac:dyDescent="0.25">
      <c r="A2" s="99"/>
      <c r="B2" s="97"/>
      <c r="C2" s="101">
        <v>1</v>
      </c>
      <c r="D2" s="101">
        <v>2</v>
      </c>
      <c r="E2" s="101">
        <v>3</v>
      </c>
      <c r="F2" s="101">
        <v>4</v>
      </c>
      <c r="G2" s="101">
        <v>5</v>
      </c>
      <c r="H2" s="101">
        <v>6</v>
      </c>
      <c r="I2" s="101">
        <v>7</v>
      </c>
      <c r="J2" s="101">
        <v>8</v>
      </c>
      <c r="K2" s="101">
        <v>9</v>
      </c>
      <c r="L2" s="101">
        <v>10</v>
      </c>
      <c r="M2" s="101">
        <v>11</v>
      </c>
      <c r="N2" s="101">
        <v>12</v>
      </c>
      <c r="O2" s="101">
        <v>13</v>
      </c>
      <c r="P2" s="101">
        <v>14</v>
      </c>
      <c r="Q2" s="101">
        <v>15</v>
      </c>
      <c r="R2" s="101">
        <v>16</v>
      </c>
      <c r="S2" s="101">
        <v>17</v>
      </c>
      <c r="T2" s="101">
        <v>18</v>
      </c>
      <c r="U2" s="101">
        <v>19</v>
      </c>
      <c r="V2" s="101">
        <v>20</v>
      </c>
      <c r="W2" s="101">
        <v>21</v>
      </c>
      <c r="X2" s="101">
        <v>22</v>
      </c>
      <c r="Y2" s="101">
        <v>23</v>
      </c>
      <c r="Z2" s="101">
        <v>24</v>
      </c>
      <c r="AA2" s="101">
        <v>25</v>
      </c>
      <c r="AB2" s="101">
        <v>26</v>
      </c>
      <c r="AC2" s="101">
        <v>27</v>
      </c>
      <c r="AD2" s="101">
        <v>28</v>
      </c>
      <c r="AE2" s="101">
        <v>29</v>
      </c>
      <c r="AF2" s="101">
        <v>30</v>
      </c>
      <c r="AG2" s="102">
        <v>31</v>
      </c>
    </row>
    <row r="3" spans="1:33" x14ac:dyDescent="0.25">
      <c r="A3" s="103" t="s">
        <v>5</v>
      </c>
      <c r="B3" s="104" t="s">
        <v>6</v>
      </c>
      <c r="C3" s="105">
        <f>'1'!K8</f>
        <v>12542.857142857143</v>
      </c>
      <c r="D3" s="105">
        <f>'2'!K8</f>
        <v>12542.857142857143</v>
      </c>
      <c r="E3" s="105">
        <f>'3'!K8</f>
        <v>12685.714285714286</v>
      </c>
      <c r="F3" s="105">
        <f>'4'!K8</f>
        <v>12685.714285714286</v>
      </c>
      <c r="G3" s="105">
        <f>'5'!K8</f>
        <v>12685.714285714286</v>
      </c>
      <c r="H3" s="105">
        <f>'6'!K8</f>
        <v>12900</v>
      </c>
      <c r="I3" s="105">
        <f>'7'!K8</f>
        <v>12900</v>
      </c>
      <c r="J3" s="105">
        <f>'8'!K8</f>
        <v>12900</v>
      </c>
      <c r="K3" s="105">
        <f>'9'!K8</f>
        <v>12900</v>
      </c>
      <c r="L3" s="105">
        <f>'10'!K8</f>
        <v>12971.428571428571</v>
      </c>
      <c r="M3" s="105">
        <f>'11'!K8</f>
        <v>12971.428571428571</v>
      </c>
      <c r="N3" s="105">
        <f>'12'!K8</f>
        <v>12828.571428571429</v>
      </c>
      <c r="O3" s="105">
        <f>'13'!K8</f>
        <v>13114.285714285714</v>
      </c>
      <c r="P3" s="105">
        <f>'14'!K8</f>
        <v>13257.142857142857</v>
      </c>
      <c r="Q3" s="105">
        <f>'15'!K8</f>
        <v>13257.142857142857</v>
      </c>
      <c r="R3" s="105">
        <f>'16'!K8</f>
        <v>13328.571428571429</v>
      </c>
      <c r="S3" s="105">
        <f>'17'!K8</f>
        <v>13328.571428571429</v>
      </c>
      <c r="T3" s="105">
        <f>'18'!K8</f>
        <v>13400</v>
      </c>
      <c r="U3" s="105">
        <f>'19'!K8</f>
        <v>13400</v>
      </c>
      <c r="V3" s="105">
        <f>'20'!K8</f>
        <v>13328.571428571429</v>
      </c>
      <c r="W3" s="105">
        <f>'21'!K8</f>
        <v>13328.571428571429</v>
      </c>
      <c r="X3" s="105">
        <f>'22'!K8</f>
        <v>13328.571428571429</v>
      </c>
      <c r="Y3" s="105">
        <f>'23'!K8</f>
        <v>13328.571428571429</v>
      </c>
      <c r="Z3" s="105">
        <f>'24'!K8</f>
        <v>13328.571428571429</v>
      </c>
      <c r="AA3" s="105">
        <f>'25'!K8</f>
        <v>13328.571428571429</v>
      </c>
      <c r="AB3" s="105">
        <f>'26'!K8</f>
        <v>13328.571428571429</v>
      </c>
      <c r="AC3" s="105">
        <f>'27'!K8</f>
        <v>13328.571428571429</v>
      </c>
      <c r="AD3" s="105">
        <f>'28'!K8</f>
        <v>13328.571428571429</v>
      </c>
      <c r="AE3" s="105" t="e">
        <f>#REF!</f>
        <v>#REF!</v>
      </c>
      <c r="AF3" s="105" t="e">
        <f>#REF!</f>
        <v>#REF!</v>
      </c>
      <c r="AG3" s="105" t="e">
        <f>#REF!</f>
        <v>#REF!</v>
      </c>
    </row>
    <row r="4" spans="1:33" x14ac:dyDescent="0.25">
      <c r="A4" s="103" t="s">
        <v>7</v>
      </c>
      <c r="B4" s="104" t="s">
        <v>6</v>
      </c>
      <c r="C4" s="105">
        <f>'1'!K9</f>
        <v>11428.571428571429</v>
      </c>
      <c r="D4" s="105">
        <f>'2'!K9</f>
        <v>11428.571428571429</v>
      </c>
      <c r="E4" s="105">
        <f>'3'!K9</f>
        <v>11500</v>
      </c>
      <c r="F4" s="105">
        <f>'4'!K9</f>
        <v>11357.142857142857</v>
      </c>
      <c r="G4" s="105">
        <f>'5'!K9</f>
        <v>11357.142857142857</v>
      </c>
      <c r="H4" s="105">
        <f>'6'!K9</f>
        <v>11714.285714285714</v>
      </c>
      <c r="I4" s="105">
        <f>'7'!K9</f>
        <v>11714.285714285714</v>
      </c>
      <c r="J4" s="105">
        <f>'8'!K9</f>
        <v>11928.571428571429</v>
      </c>
      <c r="K4" s="105">
        <f>'9'!K9</f>
        <v>11928.571428571429</v>
      </c>
      <c r="L4" s="105">
        <f>'10'!K9</f>
        <v>12000</v>
      </c>
      <c r="M4" s="105">
        <f>'11'!K9</f>
        <v>11714.285714285714</v>
      </c>
      <c r="N4" s="105">
        <f>'12'!K9</f>
        <v>9035.7142857142862</v>
      </c>
      <c r="O4" s="105">
        <f>'13'!K9</f>
        <v>8971.4285714285706</v>
      </c>
      <c r="P4" s="105">
        <f>'14'!K9</f>
        <v>8971.4285714285706</v>
      </c>
      <c r="Q4" s="105">
        <f>'15'!K9</f>
        <v>8971.4285714285706</v>
      </c>
      <c r="R4" s="105">
        <f>'16'!K9</f>
        <v>9028.5714285714294</v>
      </c>
      <c r="S4" s="105">
        <f>'17'!K9</f>
        <v>8971.4285714285706</v>
      </c>
      <c r="T4" s="105">
        <f>'18'!K9</f>
        <v>8971.4285714285706</v>
      </c>
      <c r="U4" s="105">
        <f>'19'!K9</f>
        <v>8971.4285714285706</v>
      </c>
      <c r="V4" s="105">
        <f>'20'!K9</f>
        <v>8971.4285714285706</v>
      </c>
      <c r="W4" s="105">
        <f>'21'!K9</f>
        <v>8971.4285714285706</v>
      </c>
      <c r="X4" s="105">
        <f>'22'!K9</f>
        <v>8971.4285714285706</v>
      </c>
      <c r="Y4" s="105">
        <f>'23'!K9</f>
        <v>8971.4285714285706</v>
      </c>
      <c r="Z4" s="105">
        <f>'24'!K9</f>
        <v>8971.4285714285706</v>
      </c>
      <c r="AA4" s="105">
        <f>'25'!K9</f>
        <v>8971.4285714285706</v>
      </c>
      <c r="AB4" s="105">
        <f>'26'!K9</f>
        <v>8971.4285714285706</v>
      </c>
      <c r="AC4" s="105">
        <f>'27'!K9</f>
        <v>8971.4285714285706</v>
      </c>
      <c r="AD4" s="105">
        <f>'28'!K9</f>
        <v>8971.4285714285706</v>
      </c>
      <c r="AE4" s="105" t="e">
        <f>#REF!</f>
        <v>#REF!</v>
      </c>
      <c r="AF4" s="105" t="e">
        <f>#REF!</f>
        <v>#REF!</v>
      </c>
      <c r="AG4" s="105" t="e">
        <f>#REF!</f>
        <v>#REF!</v>
      </c>
    </row>
    <row r="5" spans="1:33" x14ac:dyDescent="0.25">
      <c r="A5" s="103" t="s">
        <v>8</v>
      </c>
      <c r="B5" s="104" t="s">
        <v>6</v>
      </c>
      <c r="C5" s="105">
        <f>'1'!K10</f>
        <v>10575</v>
      </c>
      <c r="D5" s="105">
        <f>'2'!K10</f>
        <v>10575</v>
      </c>
      <c r="E5" s="105">
        <f>'3'!K10</f>
        <v>10741.666666666666</v>
      </c>
      <c r="F5" s="105">
        <f>'4'!K10</f>
        <v>6908.333333333333</v>
      </c>
      <c r="G5" s="105">
        <f>'5'!K10</f>
        <v>8741.6666666666661</v>
      </c>
      <c r="H5" s="105">
        <f>'6'!K10</f>
        <v>7158.333333333333</v>
      </c>
      <c r="I5" s="105">
        <f>'7'!K10</f>
        <v>7158.333333333333</v>
      </c>
      <c r="J5" s="105">
        <f>'8'!K10</f>
        <v>7158.333333333333</v>
      </c>
      <c r="K5" s="105">
        <f>'9'!K10</f>
        <v>7158.333333333333</v>
      </c>
      <c r="L5" s="105">
        <f>'10'!K10</f>
        <v>7757.1428571428569</v>
      </c>
      <c r="M5" s="105">
        <f>'11'!K10</f>
        <v>7757.1428571428569</v>
      </c>
      <c r="N5" s="105">
        <f>'12'!K10</f>
        <v>9500</v>
      </c>
      <c r="O5" s="105">
        <f>'13'!K10</f>
        <v>9500</v>
      </c>
      <c r="P5" s="105">
        <f>'14'!K10</f>
        <v>9500</v>
      </c>
      <c r="Q5" s="105">
        <f>'15'!K10</f>
        <v>9500</v>
      </c>
      <c r="R5" s="105">
        <f>'16'!K10</f>
        <v>9500</v>
      </c>
      <c r="S5" s="105">
        <f>'17'!K10</f>
        <v>9500</v>
      </c>
      <c r="T5" s="105">
        <f>'18'!K10</f>
        <v>9500</v>
      </c>
      <c r="U5" s="105">
        <f>'19'!K10</f>
        <v>9500</v>
      </c>
      <c r="V5" s="105">
        <f>'20'!K10</f>
        <v>9500</v>
      </c>
      <c r="W5" s="105">
        <f>'21'!K10</f>
        <v>9500</v>
      </c>
      <c r="X5" s="105">
        <f>'22'!K10</f>
        <v>9500</v>
      </c>
      <c r="Y5" s="105">
        <f>'23'!K10</f>
        <v>9500</v>
      </c>
      <c r="Z5" s="105">
        <f>'24'!K10</f>
        <v>9500</v>
      </c>
      <c r="AA5" s="105">
        <f>'25'!K10</f>
        <v>9500</v>
      </c>
      <c r="AB5" s="105">
        <f>'26'!K10</f>
        <v>9500</v>
      </c>
      <c r="AC5" s="105">
        <f>'27'!K10</f>
        <v>9500</v>
      </c>
      <c r="AD5" s="105">
        <f>'28'!K10</f>
        <v>9500</v>
      </c>
      <c r="AE5" s="105" t="e">
        <f>#REF!</f>
        <v>#REF!</v>
      </c>
      <c r="AF5" s="105" t="e">
        <f>#REF!</f>
        <v>#REF!</v>
      </c>
      <c r="AG5" s="105" t="e">
        <f>#REF!</f>
        <v>#REF!</v>
      </c>
    </row>
    <row r="6" spans="1:33" x14ac:dyDescent="0.25">
      <c r="A6" s="106"/>
      <c r="B6" s="107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9"/>
      <c r="B7" s="110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</row>
    <row r="8" spans="1:33" x14ac:dyDescent="0.25">
      <c r="A8" s="109"/>
      <c r="B8" s="110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</row>
    <row r="9" spans="1:33" x14ac:dyDescent="0.25">
      <c r="A9" s="109"/>
      <c r="B9" s="110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</row>
    <row r="10" spans="1:33" x14ac:dyDescent="0.25">
      <c r="A10" s="109"/>
      <c r="B10" s="110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</row>
    <row r="11" spans="1:33" x14ac:dyDescent="0.25">
      <c r="A11" s="109"/>
      <c r="B11" s="110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</row>
    <row r="12" spans="1:33" x14ac:dyDescent="0.25">
      <c r="A12" s="109"/>
      <c r="B12" s="110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</row>
    <row r="13" spans="1:33" x14ac:dyDescent="0.25">
      <c r="A13" s="109"/>
      <c r="B13" s="110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</row>
    <row r="14" spans="1:33" x14ac:dyDescent="0.25">
      <c r="A14" s="109"/>
      <c r="B14" s="110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</row>
    <row r="15" spans="1:33" x14ac:dyDescent="0.25">
      <c r="A15" s="109"/>
      <c r="B15" s="110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</row>
    <row r="16" spans="1:33" x14ac:dyDescent="0.25">
      <c r="A16" s="109"/>
      <c r="B16" s="110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</row>
    <row r="17" spans="1:33" x14ac:dyDescent="0.25">
      <c r="A17" s="109"/>
      <c r="B17" s="110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</row>
    <row r="18" spans="1:33" x14ac:dyDescent="0.25">
      <c r="A18" s="109"/>
      <c r="B18" s="110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</row>
    <row r="19" spans="1:33" x14ac:dyDescent="0.25">
      <c r="A19" s="109"/>
      <c r="B19" s="110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</row>
    <row r="20" spans="1:33" x14ac:dyDescent="0.25">
      <c r="A20" s="109"/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</row>
    <row r="21" spans="1:33" x14ac:dyDescent="0.25">
      <c r="A21" s="109"/>
      <c r="B21" s="110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</row>
    <row r="22" spans="1:33" x14ac:dyDescent="0.25">
      <c r="A22" s="109"/>
      <c r="B22" s="110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</row>
    <row r="23" spans="1:33" x14ac:dyDescent="0.25">
      <c r="A23" s="112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</row>
    <row r="24" spans="1:33" x14ac:dyDescent="0.25">
      <c r="A24" s="100"/>
      <c r="B24" s="98"/>
      <c r="C24" s="102">
        <v>1</v>
      </c>
      <c r="D24" s="102">
        <v>2</v>
      </c>
      <c r="E24" s="102">
        <v>3</v>
      </c>
      <c r="F24" s="102">
        <v>4</v>
      </c>
      <c r="G24" s="102">
        <v>5</v>
      </c>
      <c r="H24" s="102">
        <v>6</v>
      </c>
      <c r="I24" s="102">
        <v>7</v>
      </c>
      <c r="J24" s="102">
        <v>8</v>
      </c>
      <c r="K24" s="102">
        <v>9</v>
      </c>
      <c r="L24" s="102">
        <v>10</v>
      </c>
      <c r="M24" s="102">
        <v>11</v>
      </c>
      <c r="N24" s="102">
        <v>12</v>
      </c>
      <c r="O24" s="102">
        <v>13</v>
      </c>
      <c r="P24" s="102">
        <v>14</v>
      </c>
      <c r="Q24" s="102">
        <v>15</v>
      </c>
      <c r="R24" s="102">
        <v>16</v>
      </c>
      <c r="S24" s="102">
        <v>17</v>
      </c>
      <c r="T24" s="102">
        <v>18</v>
      </c>
      <c r="U24" s="102">
        <v>19</v>
      </c>
      <c r="V24" s="102">
        <v>20</v>
      </c>
      <c r="W24" s="102">
        <v>21</v>
      </c>
      <c r="X24" s="102">
        <v>22</v>
      </c>
      <c r="Y24" s="102">
        <v>23</v>
      </c>
      <c r="Z24" s="102">
        <v>24</v>
      </c>
      <c r="AA24" s="102">
        <v>25</v>
      </c>
      <c r="AB24" s="102">
        <v>26</v>
      </c>
      <c r="AC24" s="102">
        <v>27</v>
      </c>
      <c r="AD24" s="102">
        <v>28</v>
      </c>
      <c r="AE24" s="102">
        <v>29</v>
      </c>
      <c r="AF24" s="102">
        <v>30</v>
      </c>
      <c r="AG24" s="102">
        <v>31</v>
      </c>
    </row>
    <row r="25" spans="1:33" x14ac:dyDescent="0.25">
      <c r="A25" s="115" t="s">
        <v>12</v>
      </c>
      <c r="B25" s="104" t="s">
        <v>6</v>
      </c>
      <c r="C25" s="105">
        <f>'1'!K14</f>
        <v>13142.857142857143</v>
      </c>
      <c r="D25" s="105">
        <f>'2'!K14</f>
        <v>13142.857142857143</v>
      </c>
      <c r="E25" s="105">
        <f>'3'!K14</f>
        <v>13142.857142857143</v>
      </c>
      <c r="F25" s="105">
        <f>'4'!K14</f>
        <v>13142.857142857143</v>
      </c>
      <c r="G25" s="105">
        <f>'5'!K14</f>
        <v>13142.857142857143</v>
      </c>
      <c r="H25" s="105">
        <f>'6'!K14</f>
        <v>13142.857142857143</v>
      </c>
      <c r="I25" s="105">
        <f>'7'!K14</f>
        <v>13142.857142857143</v>
      </c>
      <c r="J25" s="105">
        <f>'8'!K14</f>
        <v>13142.857142857143</v>
      </c>
      <c r="K25" s="105">
        <f>'9'!K14</f>
        <v>13142.857142857143</v>
      </c>
      <c r="L25" s="105">
        <f>'10'!K14</f>
        <v>13071.428571428571</v>
      </c>
      <c r="M25" s="105">
        <f>'11'!K14</f>
        <v>13071.428571428571</v>
      </c>
      <c r="N25" s="105">
        <f>'12'!K14</f>
        <v>16142.857142857143</v>
      </c>
      <c r="O25" s="105">
        <f>'13'!K14</f>
        <v>16142.857142857143</v>
      </c>
      <c r="P25" s="105">
        <f>'14'!K14</f>
        <v>16142.857142857143</v>
      </c>
      <c r="Q25" s="105">
        <f>'15'!K14</f>
        <v>16142.857142857143</v>
      </c>
      <c r="R25" s="105">
        <f>'16'!K14</f>
        <v>16142.857142857143</v>
      </c>
      <c r="S25" s="105">
        <f>'17'!K14</f>
        <v>16142.857142857143</v>
      </c>
      <c r="T25" s="105">
        <f>'18'!K14</f>
        <v>16142.857142857143</v>
      </c>
      <c r="U25" s="105">
        <f>'19'!K14</f>
        <v>16142.857142857143</v>
      </c>
      <c r="V25" s="105">
        <f>'20'!K14</f>
        <v>16142.857142857143</v>
      </c>
      <c r="W25" s="105">
        <f>'21'!K14</f>
        <v>16142.857142857143</v>
      </c>
      <c r="X25" s="105">
        <f>'22'!K14</f>
        <v>16142.857142857143</v>
      </c>
      <c r="Y25" s="105">
        <f>'23'!K14</f>
        <v>16142.857142857143</v>
      </c>
      <c r="Z25" s="105">
        <f>'24'!K14</f>
        <v>16142.857142857143</v>
      </c>
      <c r="AA25" s="105">
        <f>'25'!K14</f>
        <v>16142.857142857143</v>
      </c>
      <c r="AB25" s="105">
        <f>'26'!K14</f>
        <v>16142.857142857143</v>
      </c>
      <c r="AC25" s="105">
        <f>'27'!K14</f>
        <v>16142.857142857143</v>
      </c>
      <c r="AD25" s="105">
        <f>'28'!K14</f>
        <v>16142.857142857143</v>
      </c>
      <c r="AE25" s="105" t="e">
        <f>#REF!</f>
        <v>#REF!</v>
      </c>
      <c r="AF25" s="105" t="e">
        <f>#REF!</f>
        <v>#REF!</v>
      </c>
      <c r="AG25" s="105" t="e">
        <f>#REF!</f>
        <v>#REF!</v>
      </c>
    </row>
    <row r="26" spans="1:33" x14ac:dyDescent="0.25">
      <c r="A26" s="116"/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</row>
    <row r="27" spans="1:33" x14ac:dyDescent="0.25">
      <c r="A27" s="117"/>
      <c r="B27" s="110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</row>
    <row r="28" spans="1:33" x14ac:dyDescent="0.25">
      <c r="A28" s="117"/>
      <c r="B28" s="110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</row>
    <row r="29" spans="1:33" x14ac:dyDescent="0.25">
      <c r="A29" s="117"/>
      <c r="B29" s="110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</row>
    <row r="30" spans="1:33" x14ac:dyDescent="0.25">
      <c r="A30" s="117"/>
      <c r="B30" s="110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</row>
    <row r="31" spans="1:33" x14ac:dyDescent="0.25">
      <c r="A31" s="117"/>
      <c r="B31" s="110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</row>
    <row r="32" spans="1:33" x14ac:dyDescent="0.25">
      <c r="A32" s="117"/>
      <c r="B32" s="110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</row>
    <row r="33" spans="1:33" x14ac:dyDescent="0.25">
      <c r="A33" s="117"/>
      <c r="B33" s="110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</row>
    <row r="34" spans="1:33" x14ac:dyDescent="0.25">
      <c r="A34" s="117"/>
      <c r="B34" s="110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</row>
    <row r="35" spans="1:33" x14ac:dyDescent="0.25">
      <c r="A35" s="117"/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</row>
    <row r="36" spans="1:33" x14ac:dyDescent="0.25">
      <c r="A36" s="117"/>
      <c r="B36" s="110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</row>
    <row r="37" spans="1:33" x14ac:dyDescent="0.25">
      <c r="A37" s="117"/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</row>
    <row r="38" spans="1:33" x14ac:dyDescent="0.25">
      <c r="A38" s="117"/>
      <c r="B38" s="110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</row>
    <row r="39" spans="1:33" x14ac:dyDescent="0.25">
      <c r="A39" s="117"/>
      <c r="B39" s="110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</row>
    <row r="40" spans="1:33" x14ac:dyDescent="0.25">
      <c r="A40" s="117"/>
      <c r="B40" s="110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</row>
    <row r="41" spans="1:33" x14ac:dyDescent="0.25">
      <c r="A41" s="117"/>
      <c r="B41" s="110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</row>
    <row r="42" spans="1:33" x14ac:dyDescent="0.25">
      <c r="A42" s="117"/>
      <c r="B42" s="110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</row>
    <row r="43" spans="1:33" x14ac:dyDescent="0.25">
      <c r="A43" s="117"/>
      <c r="B43" s="110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</row>
    <row r="44" spans="1:33" x14ac:dyDescent="0.25">
      <c r="A44" s="117"/>
      <c r="B44" s="110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</row>
    <row r="45" spans="1:33" x14ac:dyDescent="0.25">
      <c r="A45" s="118"/>
      <c r="B45" s="113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</row>
    <row r="46" spans="1:33" x14ac:dyDescent="0.25">
      <c r="A46" s="100"/>
      <c r="B46" s="98"/>
      <c r="C46" s="102">
        <v>1</v>
      </c>
      <c r="D46" s="102">
        <v>2</v>
      </c>
      <c r="E46" s="102">
        <v>3</v>
      </c>
      <c r="F46" s="102">
        <v>4</v>
      </c>
      <c r="G46" s="102">
        <v>5</v>
      </c>
      <c r="H46" s="102">
        <v>6</v>
      </c>
      <c r="I46" s="102">
        <v>7</v>
      </c>
      <c r="J46" s="102">
        <v>8</v>
      </c>
      <c r="K46" s="102">
        <v>9</v>
      </c>
      <c r="L46" s="102">
        <v>10</v>
      </c>
      <c r="M46" s="102">
        <v>11</v>
      </c>
      <c r="N46" s="102">
        <v>12</v>
      </c>
      <c r="O46" s="102">
        <v>13</v>
      </c>
      <c r="P46" s="102">
        <v>14</v>
      </c>
      <c r="Q46" s="102">
        <v>15</v>
      </c>
      <c r="R46" s="102">
        <v>16</v>
      </c>
      <c r="S46" s="102">
        <v>17</v>
      </c>
      <c r="T46" s="102">
        <v>18</v>
      </c>
      <c r="U46" s="102">
        <v>19</v>
      </c>
      <c r="V46" s="102">
        <v>20</v>
      </c>
      <c r="W46" s="102">
        <v>21</v>
      </c>
      <c r="X46" s="102">
        <v>22</v>
      </c>
      <c r="Y46" s="102">
        <v>23</v>
      </c>
      <c r="Z46" s="102">
        <v>24</v>
      </c>
      <c r="AA46" s="102">
        <v>25</v>
      </c>
      <c r="AB46" s="102">
        <v>26</v>
      </c>
      <c r="AC46" s="102">
        <v>27</v>
      </c>
      <c r="AD46" s="102">
        <v>28</v>
      </c>
      <c r="AE46" s="102">
        <v>29</v>
      </c>
      <c r="AF46" s="102">
        <v>30</v>
      </c>
      <c r="AG46" s="102">
        <v>31</v>
      </c>
    </row>
    <row r="47" spans="1:33" x14ac:dyDescent="0.25">
      <c r="A47" s="119" t="s">
        <v>15</v>
      </c>
      <c r="B47" s="104" t="s">
        <v>6</v>
      </c>
      <c r="C47" s="105">
        <f>'1'!K17</f>
        <v>16214.285714285714</v>
      </c>
      <c r="D47" s="105">
        <f>'2'!K17</f>
        <v>16214.285714285714</v>
      </c>
      <c r="E47" s="105">
        <f>'3'!K17</f>
        <v>16214.285714285714</v>
      </c>
      <c r="F47" s="105">
        <f>'4'!K17</f>
        <v>16214.285714285714</v>
      </c>
      <c r="G47" s="105">
        <f>'5'!K17</f>
        <v>16214.285714285714</v>
      </c>
      <c r="H47" s="105">
        <f>'6'!K17</f>
        <v>16071.428571428571</v>
      </c>
      <c r="I47" s="105">
        <f>'7'!K17</f>
        <v>16071.428571428571</v>
      </c>
      <c r="J47" s="105">
        <f>'8'!K17</f>
        <v>16000</v>
      </c>
      <c r="K47" s="105">
        <f>'9'!K17</f>
        <v>16000</v>
      </c>
      <c r="L47" s="105">
        <f>'10'!K17</f>
        <v>16000</v>
      </c>
      <c r="M47" s="105">
        <f>'11'!K17</f>
        <v>16000</v>
      </c>
      <c r="N47" s="105">
        <f>'12'!K17</f>
        <v>14000</v>
      </c>
      <c r="O47" s="105">
        <f>'13'!K17</f>
        <v>14000</v>
      </c>
      <c r="P47" s="105">
        <f>'14'!K17</f>
        <v>14000</v>
      </c>
      <c r="Q47" s="105">
        <f>'15'!K17</f>
        <v>14000</v>
      </c>
      <c r="R47" s="105">
        <f>'16'!K17</f>
        <v>14000</v>
      </c>
      <c r="S47" s="105">
        <f>'17'!K17</f>
        <v>14000</v>
      </c>
      <c r="T47" s="105">
        <f>'18'!K17</f>
        <v>14000</v>
      </c>
      <c r="U47" s="105">
        <f>'19'!K17</f>
        <v>14000</v>
      </c>
      <c r="V47" s="105">
        <f>'20'!K17</f>
        <v>14000</v>
      </c>
      <c r="W47" s="105">
        <f>'21'!K17</f>
        <v>14000</v>
      </c>
      <c r="X47" s="105">
        <f>'22'!K17</f>
        <v>14000</v>
      </c>
      <c r="Y47" s="105">
        <f>'23'!K17</f>
        <v>14000</v>
      </c>
      <c r="Z47" s="105">
        <f>'24'!K17</f>
        <v>14000</v>
      </c>
      <c r="AA47" s="105">
        <f>'25'!K17</f>
        <v>14000</v>
      </c>
      <c r="AB47" s="105">
        <f>'26'!K17</f>
        <v>14000</v>
      </c>
      <c r="AC47" s="105">
        <f>'27'!K17</f>
        <v>14000</v>
      </c>
      <c r="AD47" s="105">
        <f>'28'!K17</f>
        <v>14000</v>
      </c>
      <c r="AE47" s="105" t="e">
        <f>#REF!</f>
        <v>#REF!</v>
      </c>
      <c r="AF47" s="105" t="e">
        <f>#REF!</f>
        <v>#REF!</v>
      </c>
      <c r="AG47" s="105" t="e">
        <f>#REF!</f>
        <v>#REF!</v>
      </c>
    </row>
    <row r="48" spans="1:33" x14ac:dyDescent="0.25">
      <c r="A48" s="120"/>
      <c r="B48" s="120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</row>
    <row r="49" spans="1:33" x14ac:dyDescent="0.25">
      <c r="A49" s="122"/>
      <c r="B49" s="122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</row>
    <row r="50" spans="1:33" x14ac:dyDescent="0.25">
      <c r="A50" s="122"/>
      <c r="B50" s="122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</row>
    <row r="51" spans="1:33" x14ac:dyDescent="0.25">
      <c r="A51" s="122"/>
      <c r="B51" s="122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</row>
    <row r="52" spans="1:33" x14ac:dyDescent="0.25">
      <c r="A52" s="122"/>
      <c r="B52" s="122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</row>
    <row r="53" spans="1:33" x14ac:dyDescent="0.25">
      <c r="A53" s="122"/>
      <c r="B53" s="122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</row>
    <row r="54" spans="1:33" x14ac:dyDescent="0.25">
      <c r="A54" s="122"/>
      <c r="B54" s="122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</row>
    <row r="55" spans="1:33" x14ac:dyDescent="0.25">
      <c r="A55" s="122"/>
      <c r="B55" s="122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</row>
    <row r="56" spans="1:33" x14ac:dyDescent="0.25">
      <c r="A56" s="122"/>
      <c r="B56" s="122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</row>
    <row r="57" spans="1:33" x14ac:dyDescent="0.25">
      <c r="A57" s="122"/>
      <c r="B57" s="122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</row>
    <row r="58" spans="1:33" x14ac:dyDescent="0.25">
      <c r="A58" s="122"/>
      <c r="B58" s="122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</row>
    <row r="59" spans="1:33" x14ac:dyDescent="0.25">
      <c r="A59" s="122"/>
      <c r="B59" s="122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</row>
    <row r="60" spans="1:33" x14ac:dyDescent="0.25">
      <c r="A60" s="122"/>
      <c r="B60" s="122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</row>
    <row r="61" spans="1:33" x14ac:dyDescent="0.25">
      <c r="A61" s="122"/>
      <c r="B61" s="122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</row>
    <row r="62" spans="1:33" x14ac:dyDescent="0.25">
      <c r="A62" s="122"/>
      <c r="B62" s="122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</row>
    <row r="63" spans="1:33" x14ac:dyDescent="0.25">
      <c r="A63" s="122"/>
      <c r="B63" s="122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</row>
    <row r="64" spans="1:33" x14ac:dyDescent="0.25">
      <c r="A64" s="122"/>
      <c r="B64" s="122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</row>
    <row r="65" spans="1:33" x14ac:dyDescent="0.25">
      <c r="A65" s="122"/>
      <c r="B65" s="122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</row>
    <row r="66" spans="1:33" x14ac:dyDescent="0.25">
      <c r="A66" s="122"/>
      <c r="B66" s="122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</row>
    <row r="67" spans="1:33" x14ac:dyDescent="0.25">
      <c r="A67" s="122"/>
      <c r="B67" s="122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</row>
    <row r="68" spans="1:33" x14ac:dyDescent="0.25">
      <c r="A68" s="122"/>
      <c r="B68" s="122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</row>
    <row r="69" spans="1:33" x14ac:dyDescent="0.25">
      <c r="A69" s="122"/>
      <c r="B69" s="122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</row>
    <row r="70" spans="1:33" x14ac:dyDescent="0.25">
      <c r="A70" s="122"/>
      <c r="B70" s="122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</row>
    <row r="71" spans="1:33" x14ac:dyDescent="0.25">
      <c r="A71" s="122"/>
      <c r="B71" s="122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</row>
    <row r="72" spans="1:33" x14ac:dyDescent="0.25">
      <c r="A72" s="122"/>
      <c r="B72" s="122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</row>
    <row r="73" spans="1:33" x14ac:dyDescent="0.25">
      <c r="A73" s="122"/>
      <c r="B73" s="122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</row>
    <row r="74" spans="1:33" x14ac:dyDescent="0.25">
      <c r="A74" s="118"/>
      <c r="B74" s="113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</row>
    <row r="75" spans="1:33" x14ac:dyDescent="0.25">
      <c r="A75" s="100"/>
      <c r="B75" s="98"/>
      <c r="C75" s="102">
        <v>1</v>
      </c>
      <c r="D75" s="102">
        <v>2</v>
      </c>
      <c r="E75" s="102">
        <v>3</v>
      </c>
      <c r="F75" s="102">
        <v>4</v>
      </c>
      <c r="G75" s="102">
        <v>5</v>
      </c>
      <c r="H75" s="102">
        <v>6</v>
      </c>
      <c r="I75" s="102">
        <v>7</v>
      </c>
      <c r="J75" s="102">
        <v>8</v>
      </c>
      <c r="K75" s="102">
        <v>9</v>
      </c>
      <c r="L75" s="102">
        <v>10</v>
      </c>
      <c r="M75" s="102">
        <v>11</v>
      </c>
      <c r="N75" s="102">
        <v>12</v>
      </c>
      <c r="O75" s="102">
        <v>13</v>
      </c>
      <c r="P75" s="102">
        <v>14</v>
      </c>
      <c r="Q75" s="102">
        <v>15</v>
      </c>
      <c r="R75" s="102">
        <v>16</v>
      </c>
      <c r="S75" s="102">
        <v>17</v>
      </c>
      <c r="T75" s="102">
        <v>18</v>
      </c>
      <c r="U75" s="102">
        <v>19</v>
      </c>
      <c r="V75" s="102">
        <v>20</v>
      </c>
      <c r="W75" s="102">
        <v>21</v>
      </c>
      <c r="X75" s="102">
        <v>22</v>
      </c>
      <c r="Y75" s="102">
        <v>23</v>
      </c>
      <c r="Z75" s="102">
        <v>24</v>
      </c>
      <c r="AA75" s="102">
        <v>25</v>
      </c>
      <c r="AB75" s="102">
        <v>26</v>
      </c>
      <c r="AC75" s="102">
        <v>27</v>
      </c>
      <c r="AD75" s="102">
        <v>28</v>
      </c>
      <c r="AE75" s="102">
        <v>29</v>
      </c>
      <c r="AF75" s="102">
        <v>30</v>
      </c>
      <c r="AG75" s="102">
        <v>31</v>
      </c>
    </row>
    <row r="76" spans="1:33" x14ac:dyDescent="0.25">
      <c r="A76" s="119" t="s">
        <v>22</v>
      </c>
      <c r="B76" s="104" t="s">
        <v>6</v>
      </c>
      <c r="C76" s="105">
        <f>'1'!K24</f>
        <v>29714.285714285714</v>
      </c>
      <c r="D76" s="105">
        <f>'2'!K24</f>
        <v>30285.714285714286</v>
      </c>
      <c r="E76" s="105">
        <f>'3'!K24</f>
        <v>30714.285714285714</v>
      </c>
      <c r="F76" s="105">
        <f>'4'!K24</f>
        <v>30714.285714285714</v>
      </c>
      <c r="G76" s="105">
        <f>'5'!K24</f>
        <v>30428.571428571428</v>
      </c>
      <c r="H76" s="105">
        <f>'6'!K24</f>
        <v>30714.285714285714</v>
      </c>
      <c r="I76" s="105">
        <f>'7'!K24</f>
        <v>30714.285714285714</v>
      </c>
      <c r="J76" s="105">
        <f>'8'!K24</f>
        <v>30857.142857142859</v>
      </c>
      <c r="K76" s="105">
        <f>'9'!K24</f>
        <v>31142.857142857141</v>
      </c>
      <c r="L76" s="105">
        <f>'10'!K24</f>
        <v>31142.857142857141</v>
      </c>
      <c r="M76" s="105">
        <f>'11'!K24</f>
        <v>31142.857142857141</v>
      </c>
      <c r="N76" s="105">
        <f>'12'!K24</f>
        <v>30857.142857142859</v>
      </c>
      <c r="O76" s="105">
        <f>'13'!K24</f>
        <v>30857.142857142859</v>
      </c>
      <c r="P76" s="105">
        <f>'14'!K24</f>
        <v>30857.142857142859</v>
      </c>
      <c r="Q76" s="105">
        <f>'15'!K24</f>
        <v>31142.857142857141</v>
      </c>
      <c r="R76" s="105">
        <f>'16'!K24</f>
        <v>31000</v>
      </c>
      <c r="S76" s="105">
        <f>'17'!K24</f>
        <v>30571.428571428572</v>
      </c>
      <c r="T76" s="105">
        <f>'18'!K24</f>
        <v>30571.428571428572</v>
      </c>
      <c r="U76" s="105">
        <f>'19'!K24</f>
        <v>30285.714285714286</v>
      </c>
      <c r="V76" s="105">
        <f>'20'!K24</f>
        <v>30000</v>
      </c>
      <c r="W76" s="105">
        <f>'21'!K24</f>
        <v>30285.714285714286</v>
      </c>
      <c r="X76" s="105">
        <f>'22'!K24</f>
        <v>30285.714285714286</v>
      </c>
      <c r="Y76" s="105">
        <f>'23'!K24</f>
        <v>30428.571428571428</v>
      </c>
      <c r="Z76" s="105">
        <f>'24'!K24</f>
        <v>31000</v>
      </c>
      <c r="AA76" s="105">
        <f>'25'!K24</f>
        <v>30714.285714285714</v>
      </c>
      <c r="AB76" s="105">
        <f>'26'!K24</f>
        <v>30857.142857142859</v>
      </c>
      <c r="AC76" s="105">
        <f>'27'!K24</f>
        <v>30857.142857142859</v>
      </c>
      <c r="AD76" s="105">
        <f>'28'!K24</f>
        <v>30857.142857142859</v>
      </c>
      <c r="AE76" s="105" t="e">
        <f>#REF!</f>
        <v>#REF!</v>
      </c>
      <c r="AF76" s="105" t="e">
        <f>#REF!</f>
        <v>#REF!</v>
      </c>
      <c r="AG76" s="105" t="e">
        <f>#REF!</f>
        <v>#REF!</v>
      </c>
    </row>
    <row r="77" spans="1:33" x14ac:dyDescent="0.25">
      <c r="A77" s="123"/>
      <c r="B77" s="110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</row>
    <row r="78" spans="1:33" x14ac:dyDescent="0.25">
      <c r="A78" s="123"/>
      <c r="B78" s="110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</row>
    <row r="79" spans="1:33" x14ac:dyDescent="0.25">
      <c r="A79" s="123"/>
      <c r="B79" s="110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</row>
    <row r="80" spans="1:33" x14ac:dyDescent="0.25">
      <c r="A80" s="123"/>
      <c r="B80" s="110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</row>
    <row r="81" spans="1:33" x14ac:dyDescent="0.25">
      <c r="A81" s="123"/>
      <c r="B81" s="110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</row>
    <row r="82" spans="1:33" x14ac:dyDescent="0.25">
      <c r="A82" s="123"/>
      <c r="B82" s="110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</row>
    <row r="83" spans="1:33" x14ac:dyDescent="0.25">
      <c r="A83" s="123"/>
      <c r="B83" s="110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</row>
    <row r="84" spans="1:33" x14ac:dyDescent="0.25">
      <c r="A84" s="123"/>
      <c r="B84" s="110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</row>
    <row r="85" spans="1:33" x14ac:dyDescent="0.25">
      <c r="A85" s="123"/>
      <c r="B85" s="110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</row>
    <row r="86" spans="1:33" x14ac:dyDescent="0.25">
      <c r="A86" s="123"/>
      <c r="B86" s="110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</row>
    <row r="87" spans="1:33" x14ac:dyDescent="0.25">
      <c r="A87" s="123"/>
      <c r="B87" s="110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</row>
    <row r="88" spans="1:33" x14ac:dyDescent="0.25">
      <c r="A88" s="123"/>
      <c r="B88" s="110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</row>
    <row r="89" spans="1:33" x14ac:dyDescent="0.25">
      <c r="A89" s="123"/>
      <c r="B89" s="110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</row>
    <row r="90" spans="1:33" x14ac:dyDescent="0.25">
      <c r="A90" s="123"/>
      <c r="B90" s="110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</row>
    <row r="91" spans="1:33" x14ac:dyDescent="0.25">
      <c r="A91" s="123"/>
      <c r="B91" s="110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</row>
    <row r="92" spans="1:33" x14ac:dyDescent="0.25">
      <c r="A92" s="123"/>
      <c r="B92" s="110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</row>
    <row r="93" spans="1:33" x14ac:dyDescent="0.25">
      <c r="A93" s="123"/>
      <c r="B93" s="110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</row>
    <row r="94" spans="1:33" x14ac:dyDescent="0.25">
      <c r="A94" s="123"/>
      <c r="B94" s="110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</row>
    <row r="95" spans="1:33" x14ac:dyDescent="0.25">
      <c r="A95" s="118"/>
      <c r="B95" s="113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</row>
    <row r="96" spans="1:33" x14ac:dyDescent="0.25">
      <c r="A96" s="100"/>
      <c r="B96" s="98"/>
      <c r="C96" s="102">
        <v>1</v>
      </c>
      <c r="D96" s="102">
        <v>2</v>
      </c>
      <c r="E96" s="102">
        <v>3</v>
      </c>
      <c r="F96" s="102">
        <v>4</v>
      </c>
      <c r="G96" s="102">
        <v>5</v>
      </c>
      <c r="H96" s="102">
        <v>6</v>
      </c>
      <c r="I96" s="102">
        <v>7</v>
      </c>
      <c r="J96" s="102">
        <v>8</v>
      </c>
      <c r="K96" s="102">
        <v>9</v>
      </c>
      <c r="L96" s="102">
        <v>10</v>
      </c>
      <c r="M96" s="102">
        <v>11</v>
      </c>
      <c r="N96" s="102">
        <v>12</v>
      </c>
      <c r="O96" s="102">
        <v>13</v>
      </c>
      <c r="P96" s="102">
        <v>14</v>
      </c>
      <c r="Q96" s="102">
        <v>15</v>
      </c>
      <c r="R96" s="102">
        <v>16</v>
      </c>
      <c r="S96" s="102">
        <v>17</v>
      </c>
      <c r="T96" s="102">
        <v>18</v>
      </c>
      <c r="U96" s="102">
        <v>19</v>
      </c>
      <c r="V96" s="102">
        <v>20</v>
      </c>
      <c r="W96" s="102">
        <v>21</v>
      </c>
      <c r="X96" s="102">
        <v>22</v>
      </c>
      <c r="Y96" s="102">
        <v>23</v>
      </c>
      <c r="Z96" s="102">
        <v>24</v>
      </c>
      <c r="AA96" s="102">
        <v>25</v>
      </c>
      <c r="AB96" s="102">
        <v>26</v>
      </c>
      <c r="AC96" s="102">
        <v>27</v>
      </c>
      <c r="AD96" s="102">
        <v>28</v>
      </c>
      <c r="AE96" s="102">
        <v>29</v>
      </c>
      <c r="AF96" s="102">
        <v>30</v>
      </c>
      <c r="AG96" s="102">
        <v>31</v>
      </c>
    </row>
    <row r="97" spans="1:33" x14ac:dyDescent="0.25">
      <c r="A97" s="119" t="s">
        <v>105</v>
      </c>
      <c r="B97" s="104" t="s">
        <v>6</v>
      </c>
      <c r="C97" s="105">
        <f>'1'!K33</f>
        <v>26500</v>
      </c>
      <c r="D97" s="105">
        <f>'2'!K33</f>
        <v>26500</v>
      </c>
      <c r="E97" s="105">
        <f>'3'!K33</f>
        <v>26214.285714285714</v>
      </c>
      <c r="F97" s="105">
        <f>'4'!K33</f>
        <v>26071.428571428572</v>
      </c>
      <c r="G97" s="105">
        <f>'5'!K33</f>
        <v>26071.428571428572</v>
      </c>
      <c r="H97" s="105">
        <f>'6'!K33</f>
        <v>26142.857142857141</v>
      </c>
      <c r="I97" s="105">
        <f>'7'!K33</f>
        <v>26285.714285714286</v>
      </c>
      <c r="J97" s="105">
        <f>'8'!K33</f>
        <v>26571.428571428572</v>
      </c>
      <c r="K97" s="105">
        <f>'9'!K33</f>
        <v>26571.428571428572</v>
      </c>
      <c r="L97" s="105">
        <f>'10'!K33</f>
        <v>26714.285714285714</v>
      </c>
      <c r="M97" s="105">
        <f>'11'!K33</f>
        <v>26857.142857142859</v>
      </c>
      <c r="N97" s="105">
        <f>'12'!K33</f>
        <v>27000</v>
      </c>
      <c r="O97" s="105">
        <f>'13'!K33</f>
        <v>26642.857142857141</v>
      </c>
      <c r="P97" s="105">
        <f>'14'!K33</f>
        <v>26642.857142857141</v>
      </c>
      <c r="Q97" s="105">
        <f>'15'!K33</f>
        <v>26642.857142857141</v>
      </c>
      <c r="R97" s="105">
        <f>'16'!K33</f>
        <v>26642.857142857141</v>
      </c>
      <c r="S97" s="105">
        <f>'17'!K33</f>
        <v>26500</v>
      </c>
      <c r="T97" s="105">
        <f>'18'!K33</f>
        <v>26500</v>
      </c>
      <c r="U97" s="105">
        <f>'19'!K33</f>
        <v>26357.142857142859</v>
      </c>
      <c r="V97" s="105">
        <f>'20'!K33</f>
        <v>26142.857142857141</v>
      </c>
      <c r="W97" s="105">
        <f>'21'!K33</f>
        <v>26142.857142857141</v>
      </c>
      <c r="X97" s="105">
        <f>'22'!K33</f>
        <v>26142.857142857141</v>
      </c>
      <c r="Y97" s="105">
        <f>'23'!K33</f>
        <v>26142.857142857141</v>
      </c>
      <c r="Z97" s="105">
        <f>'24'!K33</f>
        <v>26142.857142857141</v>
      </c>
      <c r="AA97" s="105">
        <f>'25'!K33</f>
        <v>25928.571428571428</v>
      </c>
      <c r="AB97" s="105">
        <f>'26'!K33</f>
        <v>25928.571428571428</v>
      </c>
      <c r="AC97" s="105">
        <f>'27'!K33</f>
        <v>25714.285714285714</v>
      </c>
      <c r="AD97" s="105">
        <f>'28'!K33</f>
        <v>25714.285714285714</v>
      </c>
      <c r="AE97" s="105" t="e">
        <f>#REF!</f>
        <v>#REF!</v>
      </c>
      <c r="AF97" s="105" t="e">
        <f>#REF!</f>
        <v>#REF!</v>
      </c>
      <c r="AG97" s="105" t="e">
        <f>#REF!</f>
        <v>#REF!</v>
      </c>
    </row>
    <row r="98" spans="1:33" x14ac:dyDescent="0.25">
      <c r="A98" s="121"/>
      <c r="B98" s="107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</row>
    <row r="99" spans="1:33" x14ac:dyDescent="0.25">
      <c r="A99" s="122"/>
      <c r="B99" s="122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</row>
    <row r="100" spans="1:33" x14ac:dyDescent="0.25">
      <c r="A100" s="122"/>
      <c r="B100" s="122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</row>
    <row r="101" spans="1:33" x14ac:dyDescent="0.25">
      <c r="A101" s="122"/>
      <c r="B101" s="122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</row>
    <row r="102" spans="1:33" x14ac:dyDescent="0.25">
      <c r="A102" s="122"/>
      <c r="B102" s="122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</row>
    <row r="103" spans="1:33" x14ac:dyDescent="0.25">
      <c r="A103" s="122"/>
      <c r="B103" s="122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</row>
    <row r="104" spans="1:33" x14ac:dyDescent="0.25">
      <c r="A104" s="122"/>
      <c r="B104" s="122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</row>
    <row r="105" spans="1:33" x14ac:dyDescent="0.25">
      <c r="A105" s="122"/>
      <c r="B105" s="122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</row>
    <row r="106" spans="1:33" x14ac:dyDescent="0.25">
      <c r="A106" s="122"/>
      <c r="B106" s="122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</row>
    <row r="107" spans="1:33" x14ac:dyDescent="0.25">
      <c r="A107" s="122"/>
      <c r="B107" s="122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</row>
    <row r="108" spans="1:33" x14ac:dyDescent="0.25">
      <c r="A108" s="122"/>
      <c r="B108" s="122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</row>
    <row r="109" spans="1:33" x14ac:dyDescent="0.25">
      <c r="A109" s="122"/>
      <c r="B109" s="122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</row>
    <row r="110" spans="1:33" x14ac:dyDescent="0.25">
      <c r="A110" s="122"/>
      <c r="B110" s="122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</row>
    <row r="111" spans="1:33" x14ac:dyDescent="0.25">
      <c r="A111" s="122"/>
      <c r="B111" s="122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</row>
    <row r="112" spans="1:33" x14ac:dyDescent="0.25">
      <c r="A112" s="122"/>
      <c r="B112" s="122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</row>
    <row r="113" spans="1:33" x14ac:dyDescent="0.25">
      <c r="A113" s="122"/>
      <c r="B113" s="122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</row>
    <row r="114" spans="1:33" x14ac:dyDescent="0.25">
      <c r="A114" s="122"/>
      <c r="B114" s="122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</row>
    <row r="115" spans="1:33" x14ac:dyDescent="0.25">
      <c r="A115" s="118"/>
      <c r="B115" s="113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</row>
    <row r="116" spans="1:33" x14ac:dyDescent="0.25">
      <c r="A116" s="100"/>
      <c r="B116" s="98"/>
      <c r="C116" s="102">
        <v>1</v>
      </c>
      <c r="D116" s="102">
        <v>2</v>
      </c>
      <c r="E116" s="102">
        <v>3</v>
      </c>
      <c r="F116" s="102">
        <v>4</v>
      </c>
      <c r="G116" s="102">
        <v>5</v>
      </c>
      <c r="H116" s="102">
        <v>6</v>
      </c>
      <c r="I116" s="102">
        <v>7</v>
      </c>
      <c r="J116" s="102">
        <v>8</v>
      </c>
      <c r="K116" s="102">
        <v>9</v>
      </c>
      <c r="L116" s="102">
        <v>10</v>
      </c>
      <c r="M116" s="102">
        <v>11</v>
      </c>
      <c r="N116" s="102">
        <v>12</v>
      </c>
      <c r="O116" s="102">
        <v>13</v>
      </c>
      <c r="P116" s="102">
        <v>14</v>
      </c>
      <c r="Q116" s="102">
        <v>15</v>
      </c>
      <c r="R116" s="102">
        <v>16</v>
      </c>
      <c r="S116" s="102">
        <v>17</v>
      </c>
      <c r="T116" s="102">
        <v>18</v>
      </c>
      <c r="U116" s="102">
        <v>19</v>
      </c>
      <c r="V116" s="102">
        <v>20</v>
      </c>
      <c r="W116" s="102">
        <v>21</v>
      </c>
      <c r="X116" s="102">
        <v>22</v>
      </c>
      <c r="Y116" s="102">
        <v>23</v>
      </c>
      <c r="Z116" s="102">
        <v>24</v>
      </c>
      <c r="AA116" s="102">
        <v>25</v>
      </c>
      <c r="AB116" s="102">
        <v>26</v>
      </c>
      <c r="AC116" s="102">
        <v>27</v>
      </c>
      <c r="AD116" s="102">
        <v>28</v>
      </c>
      <c r="AE116" s="102">
        <v>29</v>
      </c>
      <c r="AF116" s="102">
        <v>30</v>
      </c>
      <c r="AG116" s="102">
        <v>31</v>
      </c>
    </row>
    <row r="117" spans="1:33" x14ac:dyDescent="0.25">
      <c r="A117" s="119" t="s">
        <v>48</v>
      </c>
      <c r="B117" s="104" t="s">
        <v>49</v>
      </c>
      <c r="C117" s="105">
        <f>'1'!K45</f>
        <v>4000</v>
      </c>
      <c r="D117" s="105">
        <f>'2'!K45</f>
        <v>4000</v>
      </c>
      <c r="E117" s="105">
        <f>'3'!K45</f>
        <v>4000</v>
      </c>
      <c r="F117" s="105">
        <f>'4'!K45</f>
        <v>3916.6666666666665</v>
      </c>
      <c r="G117" s="105">
        <f>'5'!K45</f>
        <v>3916.6666666666665</v>
      </c>
      <c r="H117" s="105">
        <f>'6'!K45</f>
        <v>3916.6666666666665</v>
      </c>
      <c r="I117" s="105">
        <f>'7'!K45</f>
        <v>3916.6666666666665</v>
      </c>
      <c r="J117" s="105">
        <f>'8'!K45</f>
        <v>3916.6666666666665</v>
      </c>
      <c r="K117" s="105">
        <f>'9'!K45</f>
        <v>3916.6666666666665</v>
      </c>
      <c r="L117" s="105">
        <f>'10'!K45</f>
        <v>3916.6666666666665</v>
      </c>
      <c r="M117" s="105">
        <f>'11'!K45</f>
        <v>3916.6666666666665</v>
      </c>
      <c r="N117" s="105">
        <f>'12'!K45</f>
        <v>4000</v>
      </c>
      <c r="O117" s="105">
        <f>'13'!K45</f>
        <v>4000</v>
      </c>
      <c r="P117" s="105">
        <f>'14'!K45</f>
        <v>3916.6666666666665</v>
      </c>
      <c r="Q117" s="105">
        <f>'15'!K45</f>
        <v>3916.6666666666665</v>
      </c>
      <c r="R117" s="105">
        <f>'16'!K45</f>
        <v>3916.6666666666665</v>
      </c>
      <c r="S117" s="105">
        <f>'17'!K45</f>
        <v>3916.6666666666665</v>
      </c>
      <c r="T117" s="105">
        <f>'18'!K45</f>
        <v>3916.6666666666665</v>
      </c>
      <c r="U117" s="105">
        <f>'19'!K45</f>
        <v>3916.6666666666665</v>
      </c>
      <c r="V117" s="105">
        <f>'20'!K45</f>
        <v>3916.6666666666665</v>
      </c>
      <c r="W117" s="105">
        <f>'21'!K45</f>
        <v>3916.6666666666665</v>
      </c>
      <c r="X117" s="105">
        <f>'22'!K45</f>
        <v>9166.6666666666661</v>
      </c>
      <c r="Y117" s="105">
        <f>'23'!K45</f>
        <v>9166.6666666666661</v>
      </c>
      <c r="Z117" s="105">
        <f>'24'!K45</f>
        <v>9166.6666666666661</v>
      </c>
      <c r="AA117" s="105">
        <f>'25'!K45</f>
        <v>9166.6666666666661</v>
      </c>
      <c r="AB117" s="105">
        <f>'26'!K45</f>
        <v>9166.6666666666661</v>
      </c>
      <c r="AC117" s="105">
        <f>'27'!K45</f>
        <v>9166.6666666666661</v>
      </c>
      <c r="AD117" s="105">
        <f>'28'!K45</f>
        <v>9166.6666666666661</v>
      </c>
      <c r="AE117" s="105" t="e">
        <f>#REF!</f>
        <v>#REF!</v>
      </c>
      <c r="AF117" s="105" t="e">
        <f>#REF!</f>
        <v>#REF!</v>
      </c>
      <c r="AG117" s="105" t="e">
        <f>#REF!</f>
        <v>#REF!</v>
      </c>
    </row>
    <row r="118" spans="1:33" x14ac:dyDescent="0.25">
      <c r="A118" s="120"/>
      <c r="B118" s="107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</row>
    <row r="119" spans="1:33" x14ac:dyDescent="0.25">
      <c r="A119" s="122"/>
      <c r="B119" s="110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</row>
    <row r="120" spans="1:33" x14ac:dyDescent="0.25">
      <c r="A120" s="122"/>
      <c r="B120" s="110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</row>
    <row r="121" spans="1:33" x14ac:dyDescent="0.25">
      <c r="A121" s="122"/>
      <c r="B121" s="110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</row>
    <row r="122" spans="1:33" x14ac:dyDescent="0.25">
      <c r="A122" s="122"/>
      <c r="B122" s="110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</row>
    <row r="123" spans="1:33" x14ac:dyDescent="0.25">
      <c r="A123" s="122"/>
      <c r="B123" s="110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</row>
    <row r="124" spans="1:33" x14ac:dyDescent="0.25">
      <c r="A124" s="122"/>
      <c r="B124" s="110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</row>
    <row r="125" spans="1:33" x14ac:dyDescent="0.25">
      <c r="A125" s="122"/>
      <c r="B125" s="110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</row>
    <row r="126" spans="1:33" x14ac:dyDescent="0.25">
      <c r="A126" s="122"/>
      <c r="B126" s="110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</row>
    <row r="127" spans="1:33" x14ac:dyDescent="0.25">
      <c r="A127" s="122"/>
      <c r="B127" s="110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</row>
    <row r="128" spans="1:33" x14ac:dyDescent="0.25">
      <c r="A128" s="122"/>
      <c r="B128" s="110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</row>
    <row r="129" spans="1:33" x14ac:dyDescent="0.25">
      <c r="A129" s="122"/>
      <c r="B129" s="110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</row>
    <row r="130" spans="1:33" x14ac:dyDescent="0.25">
      <c r="A130" s="122"/>
      <c r="B130" s="110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</row>
    <row r="131" spans="1:33" x14ac:dyDescent="0.25">
      <c r="A131" s="122"/>
      <c r="B131" s="110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</row>
    <row r="132" spans="1:33" x14ac:dyDescent="0.25">
      <c r="A132" s="122"/>
      <c r="B132" s="110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</row>
    <row r="133" spans="1:33" x14ac:dyDescent="0.25">
      <c r="A133" s="122"/>
      <c r="B133" s="110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</row>
    <row r="134" spans="1:33" x14ac:dyDescent="0.25">
      <c r="A134" s="122"/>
      <c r="B134" s="110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</row>
    <row r="135" spans="1:33" x14ac:dyDescent="0.25">
      <c r="A135" s="122"/>
      <c r="B135" s="110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</row>
    <row r="136" spans="1:33" x14ac:dyDescent="0.25">
      <c r="A136" s="122"/>
      <c r="B136" s="110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</row>
    <row r="137" spans="1:33" x14ac:dyDescent="0.25">
      <c r="A137" s="122"/>
      <c r="B137" s="110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</row>
    <row r="138" spans="1:33" x14ac:dyDescent="0.25">
      <c r="A138" s="122"/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</row>
    <row r="139" spans="1:33" x14ac:dyDescent="0.25">
      <c r="A139" s="122"/>
      <c r="B139" s="110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</row>
    <row r="140" spans="1:33" x14ac:dyDescent="0.25">
      <c r="A140" s="122"/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</row>
    <row r="141" spans="1:33" x14ac:dyDescent="0.25">
      <c r="A141" s="122"/>
      <c r="B141" s="110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</row>
    <row r="142" spans="1:33" x14ac:dyDescent="0.25">
      <c r="A142" s="122"/>
      <c r="B142" s="110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</row>
    <row r="143" spans="1:33" x14ac:dyDescent="0.25">
      <c r="A143" s="122"/>
      <c r="B143" s="110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</row>
    <row r="144" spans="1:33" x14ac:dyDescent="0.25">
      <c r="A144" s="122"/>
      <c r="B144" s="110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</row>
    <row r="145" spans="1:33" x14ac:dyDescent="0.25">
      <c r="A145" s="122"/>
      <c r="B145" s="110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</row>
    <row r="146" spans="1:33" x14ac:dyDescent="0.25">
      <c r="A146" s="122"/>
      <c r="B146" s="110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</row>
    <row r="147" spans="1:33" x14ac:dyDescent="0.25">
      <c r="A147" s="122"/>
      <c r="B147" s="110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</row>
    <row r="148" spans="1:33" x14ac:dyDescent="0.25">
      <c r="A148" s="118"/>
      <c r="B148" s="113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</row>
    <row r="149" spans="1:33" x14ac:dyDescent="0.25">
      <c r="A149" s="100"/>
      <c r="B149" s="98"/>
      <c r="C149" s="102">
        <v>1</v>
      </c>
      <c r="D149" s="102">
        <v>2</v>
      </c>
      <c r="E149" s="102">
        <v>3</v>
      </c>
      <c r="F149" s="102">
        <v>4</v>
      </c>
      <c r="G149" s="102">
        <v>5</v>
      </c>
      <c r="H149" s="102">
        <v>6</v>
      </c>
      <c r="I149" s="102">
        <v>7</v>
      </c>
      <c r="J149" s="102">
        <v>8</v>
      </c>
      <c r="K149" s="102">
        <v>9</v>
      </c>
      <c r="L149" s="102">
        <v>10</v>
      </c>
      <c r="M149" s="102">
        <v>11</v>
      </c>
      <c r="N149" s="102">
        <v>12</v>
      </c>
      <c r="O149" s="102">
        <v>13</v>
      </c>
      <c r="P149" s="102">
        <v>14</v>
      </c>
      <c r="Q149" s="102">
        <v>15</v>
      </c>
      <c r="R149" s="102">
        <v>16</v>
      </c>
      <c r="S149" s="102">
        <v>17</v>
      </c>
      <c r="T149" s="102">
        <v>18</v>
      </c>
      <c r="U149" s="102">
        <v>19</v>
      </c>
      <c r="V149" s="102">
        <v>20</v>
      </c>
      <c r="W149" s="102">
        <v>21</v>
      </c>
      <c r="X149" s="102">
        <v>22</v>
      </c>
      <c r="Y149" s="102">
        <v>23</v>
      </c>
      <c r="Z149" s="102">
        <v>24</v>
      </c>
      <c r="AA149" s="102">
        <v>25</v>
      </c>
      <c r="AB149" s="102">
        <v>26</v>
      </c>
      <c r="AC149" s="102">
        <v>27</v>
      </c>
      <c r="AD149" s="102">
        <v>28</v>
      </c>
      <c r="AE149" s="102">
        <v>29</v>
      </c>
      <c r="AF149" s="102">
        <v>30</v>
      </c>
      <c r="AG149" s="102">
        <v>31</v>
      </c>
    </row>
    <row r="150" spans="1:33" x14ac:dyDescent="0.25">
      <c r="A150" s="119" t="s">
        <v>53</v>
      </c>
      <c r="B150" s="104" t="s">
        <v>6</v>
      </c>
      <c r="C150" s="105">
        <f>'1'!K49</f>
        <v>15583.333333333334</v>
      </c>
      <c r="D150" s="105">
        <f>'2'!K49</f>
        <v>15583.333333333334</v>
      </c>
      <c r="E150" s="105">
        <f>'3'!K49</f>
        <v>15750</v>
      </c>
      <c r="F150" s="105">
        <f>'4'!K49</f>
        <v>15750</v>
      </c>
      <c r="G150" s="105">
        <f>'5'!K49</f>
        <v>15750</v>
      </c>
      <c r="H150" s="105">
        <f>'6'!K49</f>
        <v>15750</v>
      </c>
      <c r="I150" s="105">
        <f>'7'!K49</f>
        <v>15750</v>
      </c>
      <c r="J150" s="105">
        <f>'8'!K49</f>
        <v>16166.666666666666</v>
      </c>
      <c r="K150" s="105">
        <f>'9'!K49</f>
        <v>16166.666666666666</v>
      </c>
      <c r="L150" s="105">
        <f>'10'!K49</f>
        <v>16166.666666666666</v>
      </c>
      <c r="M150" s="105">
        <f>'11'!K49</f>
        <v>16166.666666666666</v>
      </c>
      <c r="N150" s="105">
        <f>'12'!K49</f>
        <v>16166.666666666666</v>
      </c>
      <c r="O150" s="105">
        <f>'13'!K49</f>
        <v>16166.666666666666</v>
      </c>
      <c r="P150" s="105">
        <f>'14'!K49</f>
        <v>16166.666666666666</v>
      </c>
      <c r="Q150" s="105">
        <f>'15'!K49</f>
        <v>15833.333333333334</v>
      </c>
      <c r="R150" s="105">
        <f>'16'!K49</f>
        <v>15833.333333333334</v>
      </c>
      <c r="S150" s="105">
        <f>'17'!K49</f>
        <v>15833.333333333334</v>
      </c>
      <c r="T150" s="105">
        <f>'18'!K49</f>
        <v>15833.333333333334</v>
      </c>
      <c r="U150" s="105">
        <f>'19'!K49</f>
        <v>15833.333333333334</v>
      </c>
      <c r="V150" s="105">
        <f>'20'!K49</f>
        <v>15833.333333333334</v>
      </c>
      <c r="W150" s="105">
        <f>'21'!K49</f>
        <v>15833.333333333334</v>
      </c>
      <c r="X150" s="105">
        <f>'22'!K49</f>
        <v>0</v>
      </c>
      <c r="Y150" s="105">
        <f>'23'!K49</f>
        <v>0</v>
      </c>
      <c r="Z150" s="105">
        <f>'24'!K49</f>
        <v>0</v>
      </c>
      <c r="AA150" s="105">
        <f>'25'!K49</f>
        <v>0</v>
      </c>
      <c r="AB150" s="105">
        <f>'26'!K49</f>
        <v>0</v>
      </c>
      <c r="AC150" s="105">
        <f>'27'!K49</f>
        <v>0</v>
      </c>
      <c r="AD150" s="105">
        <f>'28'!K49</f>
        <v>0</v>
      </c>
      <c r="AE150" s="105" t="e">
        <f>#REF!</f>
        <v>#REF!</v>
      </c>
      <c r="AF150" s="105" t="e">
        <f>#REF!</f>
        <v>#REF!</v>
      </c>
      <c r="AG150" s="105" t="e">
        <f>#REF!</f>
        <v>#REF!</v>
      </c>
    </row>
    <row r="151" spans="1:33" x14ac:dyDescent="0.25">
      <c r="A151" s="121"/>
      <c r="B151" s="107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</row>
    <row r="152" spans="1:33" x14ac:dyDescent="0.25">
      <c r="A152" s="123"/>
      <c r="B152" s="110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</row>
    <row r="153" spans="1:33" x14ac:dyDescent="0.25">
      <c r="A153" s="123"/>
      <c r="B153" s="110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</row>
    <row r="154" spans="1:33" x14ac:dyDescent="0.25">
      <c r="A154" s="123"/>
      <c r="B154" s="110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</row>
    <row r="155" spans="1:33" x14ac:dyDescent="0.25">
      <c r="A155" s="123"/>
      <c r="B155" s="110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</row>
    <row r="156" spans="1:33" x14ac:dyDescent="0.25">
      <c r="A156" s="123"/>
      <c r="B156" s="110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</row>
    <row r="157" spans="1:33" x14ac:dyDescent="0.25">
      <c r="A157" s="123"/>
      <c r="B157" s="110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</row>
    <row r="158" spans="1:33" x14ac:dyDescent="0.25">
      <c r="A158" s="123"/>
      <c r="B158" s="110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</row>
    <row r="159" spans="1:33" x14ac:dyDescent="0.25">
      <c r="A159" s="123"/>
      <c r="B159" s="110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</row>
    <row r="160" spans="1:33" x14ac:dyDescent="0.25">
      <c r="A160" s="123"/>
      <c r="B160" s="110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</row>
    <row r="161" spans="1:33" x14ac:dyDescent="0.25">
      <c r="A161" s="123"/>
      <c r="B161" s="110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</row>
    <row r="162" spans="1:33" x14ac:dyDescent="0.25">
      <c r="A162" s="123"/>
      <c r="B162" s="110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</row>
    <row r="163" spans="1:33" x14ac:dyDescent="0.25">
      <c r="A163" s="123"/>
      <c r="B163" s="110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</row>
    <row r="164" spans="1:33" x14ac:dyDescent="0.25">
      <c r="A164" s="123"/>
      <c r="B164" s="110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</row>
    <row r="165" spans="1:33" x14ac:dyDescent="0.25">
      <c r="A165" s="123"/>
      <c r="B165" s="110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</row>
    <row r="166" spans="1:33" x14ac:dyDescent="0.25">
      <c r="A166" s="123"/>
      <c r="B166" s="110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</row>
    <row r="167" spans="1:33" x14ac:dyDescent="0.25">
      <c r="A167" s="122"/>
      <c r="B167" s="110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</row>
    <row r="168" spans="1:33" x14ac:dyDescent="0.25">
      <c r="A168" s="118"/>
      <c r="B168" s="113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</row>
    <row r="169" spans="1:33" x14ac:dyDescent="0.25">
      <c r="A169" s="100"/>
      <c r="B169" s="98"/>
      <c r="C169" s="102">
        <v>1</v>
      </c>
      <c r="D169" s="102">
        <v>2</v>
      </c>
      <c r="E169" s="102">
        <v>3</v>
      </c>
      <c r="F169" s="102">
        <v>4</v>
      </c>
      <c r="G169" s="102">
        <v>5</v>
      </c>
      <c r="H169" s="102">
        <v>6</v>
      </c>
      <c r="I169" s="102">
        <v>7</v>
      </c>
      <c r="J169" s="102">
        <v>8</v>
      </c>
      <c r="K169" s="102">
        <v>9</v>
      </c>
      <c r="L169" s="102">
        <v>10</v>
      </c>
      <c r="M169" s="102">
        <v>11</v>
      </c>
      <c r="N169" s="102">
        <v>12</v>
      </c>
      <c r="O169" s="102">
        <v>13</v>
      </c>
      <c r="P169" s="102">
        <v>14</v>
      </c>
      <c r="Q169" s="102">
        <v>15</v>
      </c>
      <c r="R169" s="102">
        <v>16</v>
      </c>
      <c r="S169" s="102">
        <v>17</v>
      </c>
      <c r="T169" s="102">
        <v>18</v>
      </c>
      <c r="U169" s="102">
        <v>19</v>
      </c>
      <c r="V169" s="102">
        <v>20</v>
      </c>
      <c r="W169" s="102">
        <v>21</v>
      </c>
      <c r="X169" s="102">
        <v>22</v>
      </c>
      <c r="Y169" s="102">
        <v>23</v>
      </c>
      <c r="Z169" s="102">
        <v>24</v>
      </c>
      <c r="AA169" s="102">
        <v>25</v>
      </c>
      <c r="AB169" s="102">
        <v>26</v>
      </c>
      <c r="AC169" s="102">
        <v>27</v>
      </c>
      <c r="AD169" s="102">
        <v>28</v>
      </c>
      <c r="AE169" s="102">
        <v>29</v>
      </c>
      <c r="AF169" s="102">
        <v>30</v>
      </c>
      <c r="AG169" s="102">
        <v>31</v>
      </c>
    </row>
    <row r="170" spans="1:33" x14ac:dyDescent="0.25">
      <c r="A170" s="119" t="s">
        <v>61</v>
      </c>
      <c r="B170" s="104" t="s">
        <v>6</v>
      </c>
      <c r="C170" s="105">
        <f>'1'!K56</f>
        <v>27714.285714285714</v>
      </c>
      <c r="D170" s="105">
        <f>'2'!K56</f>
        <v>28000</v>
      </c>
      <c r="E170" s="105">
        <f>'3'!K56</f>
        <v>28000</v>
      </c>
      <c r="F170" s="105">
        <f>'4'!K56</f>
        <v>28142.857142857141</v>
      </c>
      <c r="G170" s="105">
        <f>'5'!K56</f>
        <v>28857.142857142859</v>
      </c>
      <c r="H170" s="105">
        <f>'6'!K56</f>
        <v>29142.857142857141</v>
      </c>
      <c r="I170" s="105">
        <f>'7'!K56</f>
        <v>31428.571428571428</v>
      </c>
      <c r="J170" s="105">
        <f>'8'!K56</f>
        <v>32142.857142857141</v>
      </c>
      <c r="K170" s="105">
        <f>'9'!K56</f>
        <v>32571.428571428572</v>
      </c>
      <c r="L170" s="105">
        <f>'10'!K56</f>
        <v>31428.571428571428</v>
      </c>
      <c r="M170" s="105">
        <f>'11'!K56</f>
        <v>31428.571428571428</v>
      </c>
      <c r="N170" s="105">
        <f>'12'!K56</f>
        <v>31428.571428571428</v>
      </c>
      <c r="O170" s="105">
        <f>'13'!K56</f>
        <v>32142.857142857141</v>
      </c>
      <c r="P170" s="105">
        <f>'14'!K56</f>
        <v>32428.571428571428</v>
      </c>
      <c r="Q170" s="105">
        <f>'15'!K56</f>
        <v>33428.571428571428</v>
      </c>
      <c r="R170" s="105">
        <f>'16'!K56</f>
        <v>35285.714285714283</v>
      </c>
      <c r="S170" s="105">
        <f>'17'!K56</f>
        <v>36714.285714285717</v>
      </c>
      <c r="T170" s="105">
        <f>'18'!K56</f>
        <v>37142.857142857145</v>
      </c>
      <c r="U170" s="105">
        <f>'19'!K56</f>
        <v>37142.857142857145</v>
      </c>
      <c r="V170" s="105">
        <f>'20'!K56</f>
        <v>37428.571428571428</v>
      </c>
      <c r="W170" s="105">
        <f>'21'!K56</f>
        <v>37714.285714285717</v>
      </c>
      <c r="X170" s="105">
        <f>'22'!K56</f>
        <v>0</v>
      </c>
      <c r="Y170" s="105">
        <f>'23'!K56</f>
        <v>0</v>
      </c>
      <c r="Z170" s="105">
        <f>'24'!K56</f>
        <v>0</v>
      </c>
      <c r="AA170" s="105">
        <f>'25'!K56</f>
        <v>0</v>
      </c>
      <c r="AB170" s="105">
        <f>'26'!K56</f>
        <v>0</v>
      </c>
      <c r="AC170" s="105">
        <f>'27'!K56</f>
        <v>0</v>
      </c>
      <c r="AD170" s="105">
        <f>'28'!K56</f>
        <v>0</v>
      </c>
      <c r="AE170" s="105" t="e">
        <f>#REF!</f>
        <v>#REF!</v>
      </c>
      <c r="AF170" s="105" t="e">
        <f>#REF!</f>
        <v>#REF!</v>
      </c>
      <c r="AG170" s="105" t="e">
        <f>#REF!</f>
        <v>#REF!</v>
      </c>
    </row>
    <row r="171" spans="1:33" x14ac:dyDescent="0.25">
      <c r="A171" s="119" t="s">
        <v>62</v>
      </c>
      <c r="B171" s="104" t="s">
        <v>6</v>
      </c>
      <c r="C171" s="105">
        <f>'1'!K57</f>
        <v>38750</v>
      </c>
      <c r="D171" s="105">
        <f>'2'!K57</f>
        <v>37500</v>
      </c>
      <c r="E171" s="105">
        <f>'3'!K57</f>
        <v>38750</v>
      </c>
      <c r="F171" s="105">
        <f>'4'!K57</f>
        <v>38750</v>
      </c>
      <c r="G171" s="105">
        <f>'5'!K57</f>
        <v>38750</v>
      </c>
      <c r="H171" s="105">
        <f>'6'!K57</f>
        <v>36750</v>
      </c>
      <c r="I171" s="105">
        <f>'7'!K57</f>
        <v>40000</v>
      </c>
      <c r="J171" s="105">
        <f>'8'!K57</f>
        <v>41250</v>
      </c>
      <c r="K171" s="105">
        <f>'9'!K57</f>
        <v>40000</v>
      </c>
      <c r="L171" s="105">
        <f>'10'!K57</f>
        <v>40000</v>
      </c>
      <c r="M171" s="105">
        <f>'11'!K57</f>
        <v>40000</v>
      </c>
      <c r="N171" s="105">
        <f>'12'!K57</f>
        <v>40000</v>
      </c>
      <c r="O171" s="105">
        <f>'13'!K57</f>
        <v>41250</v>
      </c>
      <c r="P171" s="105">
        <f>'14'!K57</f>
        <v>46250</v>
      </c>
      <c r="Q171" s="105">
        <f>'15'!K57</f>
        <v>47500</v>
      </c>
      <c r="R171" s="105">
        <f>'16'!K57</f>
        <v>51250</v>
      </c>
      <c r="S171" s="105">
        <f>'17'!K57</f>
        <v>51250</v>
      </c>
      <c r="T171" s="105">
        <f>'18'!K57</f>
        <v>51250</v>
      </c>
      <c r="U171" s="105">
        <f>'19'!K57</f>
        <v>52500</v>
      </c>
      <c r="V171" s="105">
        <f>'20'!K57</f>
        <v>50000</v>
      </c>
      <c r="W171" s="105">
        <f>'21'!K57</f>
        <v>50000</v>
      </c>
      <c r="X171" s="105">
        <f>'22'!K57</f>
        <v>3200</v>
      </c>
      <c r="Y171" s="105">
        <f>'23'!K57</f>
        <v>3200</v>
      </c>
      <c r="Z171" s="105">
        <f>'24'!K57</f>
        <v>3200</v>
      </c>
      <c r="AA171" s="105">
        <f>'25'!K57</f>
        <v>3200</v>
      </c>
      <c r="AB171" s="105">
        <f>'26'!K57</f>
        <v>3200</v>
      </c>
      <c r="AC171" s="105">
        <f>'27'!K57</f>
        <v>3200</v>
      </c>
      <c r="AD171" s="105">
        <f>'28'!K57</f>
        <v>3200</v>
      </c>
      <c r="AE171" s="105" t="e">
        <f>#REF!</f>
        <v>#REF!</v>
      </c>
      <c r="AF171" s="105" t="e">
        <f>#REF!</f>
        <v>#REF!</v>
      </c>
      <c r="AG171" s="105" t="e">
        <f>#REF!</f>
        <v>#REF!</v>
      </c>
    </row>
    <row r="172" spans="1:33" x14ac:dyDescent="0.25">
      <c r="A172" s="119" t="s">
        <v>63</v>
      </c>
      <c r="B172" s="104" t="s">
        <v>6</v>
      </c>
      <c r="C172" s="105">
        <f>'1'!K58</f>
        <v>51428.571428571428</v>
      </c>
      <c r="D172" s="105">
        <f>'2'!K58</f>
        <v>50000</v>
      </c>
      <c r="E172" s="105">
        <f>'3'!K58</f>
        <v>48428.571428571428</v>
      </c>
      <c r="F172" s="105">
        <f>'4'!K58</f>
        <v>49142.857142857145</v>
      </c>
      <c r="G172" s="105">
        <f>'5'!K58</f>
        <v>49857.142857142855</v>
      </c>
      <c r="H172" s="105">
        <f>'6'!K58</f>
        <v>48428.571428571428</v>
      </c>
      <c r="I172" s="105">
        <f>'7'!K58</f>
        <v>56142.857142857145</v>
      </c>
      <c r="J172" s="105">
        <f>'8'!K58</f>
        <v>57142.857142857145</v>
      </c>
      <c r="K172" s="105">
        <f>'9'!K58</f>
        <v>56428.571428571428</v>
      </c>
      <c r="L172" s="105">
        <f>'10'!K58</f>
        <v>57857.142857142855</v>
      </c>
      <c r="M172" s="105">
        <f>'11'!K58</f>
        <v>55714.285714285717</v>
      </c>
      <c r="N172" s="105">
        <f>'12'!K58</f>
        <v>56428.571428571428</v>
      </c>
      <c r="O172" s="105">
        <f>'13'!K58</f>
        <v>57857.142857142855</v>
      </c>
      <c r="P172" s="105">
        <f>'14'!K58</f>
        <v>57142.857142857145</v>
      </c>
      <c r="Q172" s="105">
        <f>'15'!K58</f>
        <v>56428.571428571428</v>
      </c>
      <c r="R172" s="105">
        <f>'16'!K58</f>
        <v>60714.285714285717</v>
      </c>
      <c r="S172" s="105">
        <f>'17'!K58</f>
        <v>62142.857142857145</v>
      </c>
      <c r="T172" s="105">
        <f>'18'!K58</f>
        <v>61428.571428571428</v>
      </c>
      <c r="U172" s="105">
        <f>'19'!K58</f>
        <v>61428.571428571428</v>
      </c>
      <c r="V172" s="105">
        <f>'20'!K58</f>
        <v>60714.285714285717</v>
      </c>
      <c r="W172" s="105">
        <f>'21'!K58</f>
        <v>59285.714285714283</v>
      </c>
      <c r="X172" s="105">
        <f>'22'!K58</f>
        <v>0</v>
      </c>
      <c r="Y172" s="105">
        <f>'23'!K58</f>
        <v>0</v>
      </c>
      <c r="Z172" s="105">
        <f>'24'!K58</f>
        <v>0</v>
      </c>
      <c r="AA172" s="105">
        <f>'25'!K58</f>
        <v>0</v>
      </c>
      <c r="AB172" s="105">
        <f>'26'!K58</f>
        <v>0</v>
      </c>
      <c r="AC172" s="105">
        <f>'27'!K58</f>
        <v>0</v>
      </c>
      <c r="AD172" s="105">
        <f>'28'!K58</f>
        <v>0</v>
      </c>
      <c r="AE172" s="105" t="e">
        <f>#REF!</f>
        <v>#REF!</v>
      </c>
      <c r="AF172" s="105" t="e">
        <f>#REF!</f>
        <v>#REF!</v>
      </c>
      <c r="AG172" s="105" t="e">
        <f>#REF!</f>
        <v>#REF!</v>
      </c>
    </row>
    <row r="173" spans="1:33" x14ac:dyDescent="0.25">
      <c r="A173" s="120"/>
      <c r="B173" s="107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</row>
    <row r="174" spans="1:33" x14ac:dyDescent="0.25">
      <c r="A174" s="122"/>
      <c r="B174" s="110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</row>
    <row r="175" spans="1:33" x14ac:dyDescent="0.25">
      <c r="A175" s="122"/>
      <c r="B175" s="110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</row>
    <row r="176" spans="1:33" x14ac:dyDescent="0.25">
      <c r="A176" s="122"/>
      <c r="B176" s="110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</row>
    <row r="177" spans="1:33" x14ac:dyDescent="0.25">
      <c r="A177" s="122"/>
      <c r="B177" s="110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</row>
    <row r="178" spans="1:33" x14ac:dyDescent="0.25">
      <c r="A178" s="122"/>
      <c r="B178" s="110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</row>
    <row r="179" spans="1:33" x14ac:dyDescent="0.25">
      <c r="A179" s="122"/>
      <c r="B179" s="110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</row>
    <row r="180" spans="1:33" x14ac:dyDescent="0.25">
      <c r="A180" s="122"/>
      <c r="B180" s="110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</row>
    <row r="181" spans="1:33" x14ac:dyDescent="0.25">
      <c r="A181" s="122"/>
      <c r="B181" s="110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</row>
    <row r="182" spans="1:33" x14ac:dyDescent="0.25">
      <c r="A182" s="122"/>
      <c r="B182" s="110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</row>
    <row r="183" spans="1:33" x14ac:dyDescent="0.25">
      <c r="A183" s="122"/>
      <c r="B183" s="110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</row>
    <row r="184" spans="1:33" x14ac:dyDescent="0.25">
      <c r="A184" s="122"/>
      <c r="B184" s="110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</row>
    <row r="185" spans="1:33" x14ac:dyDescent="0.25">
      <c r="A185" s="122"/>
      <c r="B185" s="110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</row>
    <row r="186" spans="1:33" x14ac:dyDescent="0.25">
      <c r="A186" s="122"/>
      <c r="B186" s="110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</row>
    <row r="187" spans="1:33" x14ac:dyDescent="0.25">
      <c r="A187" s="122"/>
      <c r="B187" s="110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</row>
    <row r="188" spans="1:33" x14ac:dyDescent="0.25">
      <c r="A188" s="122"/>
      <c r="B188" s="110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</row>
    <row r="189" spans="1:33" x14ac:dyDescent="0.25">
      <c r="A189" s="122"/>
      <c r="B189" s="110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</row>
    <row r="190" spans="1:33" x14ac:dyDescent="0.25">
      <c r="A190" s="122"/>
      <c r="B190" s="110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</row>
    <row r="191" spans="1:33" x14ac:dyDescent="0.25">
      <c r="A191" s="122"/>
      <c r="B191" s="110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</row>
    <row r="192" spans="1:33" x14ac:dyDescent="0.25">
      <c r="A192" s="118"/>
      <c r="B192" s="113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</row>
    <row r="193" spans="1:33" x14ac:dyDescent="0.25">
      <c r="A193" s="100"/>
      <c r="B193" s="98"/>
      <c r="C193" s="102">
        <v>1</v>
      </c>
      <c r="D193" s="102">
        <v>2</v>
      </c>
      <c r="E193" s="102">
        <v>3</v>
      </c>
      <c r="F193" s="102">
        <v>4</v>
      </c>
      <c r="G193" s="102">
        <v>5</v>
      </c>
      <c r="H193" s="102">
        <v>6</v>
      </c>
      <c r="I193" s="102">
        <v>7</v>
      </c>
      <c r="J193" s="102">
        <v>8</v>
      </c>
      <c r="K193" s="102">
        <v>9</v>
      </c>
      <c r="L193" s="102">
        <v>10</v>
      </c>
      <c r="M193" s="102">
        <v>11</v>
      </c>
      <c r="N193" s="102">
        <v>12</v>
      </c>
      <c r="O193" s="102">
        <v>13</v>
      </c>
      <c r="P193" s="102">
        <v>14</v>
      </c>
      <c r="Q193" s="102">
        <v>15</v>
      </c>
      <c r="R193" s="102">
        <v>16</v>
      </c>
      <c r="S193" s="102">
        <v>17</v>
      </c>
      <c r="T193" s="102">
        <v>18</v>
      </c>
      <c r="U193" s="102">
        <v>19</v>
      </c>
      <c r="V193" s="102">
        <v>20</v>
      </c>
      <c r="W193" s="102">
        <v>21</v>
      </c>
      <c r="X193" s="102">
        <v>22</v>
      </c>
      <c r="Y193" s="102">
        <v>23</v>
      </c>
      <c r="Z193" s="102">
        <v>24</v>
      </c>
      <c r="AA193" s="102">
        <v>25</v>
      </c>
      <c r="AB193" s="102">
        <v>26</v>
      </c>
      <c r="AC193" s="102">
        <v>27</v>
      </c>
      <c r="AD193" s="102">
        <v>28</v>
      </c>
      <c r="AE193" s="102">
        <v>29</v>
      </c>
      <c r="AF193" s="102">
        <v>30</v>
      </c>
      <c r="AG193" s="102">
        <v>31</v>
      </c>
    </row>
    <row r="194" spans="1:33" x14ac:dyDescent="0.25">
      <c r="A194" s="119" t="s">
        <v>68</v>
      </c>
      <c r="B194" s="104" t="s">
        <v>6</v>
      </c>
      <c r="C194" s="105">
        <f>'1'!K62</f>
        <v>29714.285714285714</v>
      </c>
      <c r="D194" s="105">
        <f>'2'!K62</f>
        <v>31428.571428571428</v>
      </c>
      <c r="E194" s="105">
        <f>'3'!K62</f>
        <v>31285.714285714286</v>
      </c>
      <c r="F194" s="105">
        <f>'4'!K62</f>
        <v>31142.857142857141</v>
      </c>
      <c r="G194" s="105">
        <f>'5'!K62</f>
        <v>30857.142857142859</v>
      </c>
      <c r="H194" s="105">
        <f>'6'!K62</f>
        <v>31285.714285714286</v>
      </c>
      <c r="I194" s="105">
        <f>'7'!K62</f>
        <v>30714.285714285714</v>
      </c>
      <c r="J194" s="105">
        <f>'8'!K62</f>
        <v>30571.428571428572</v>
      </c>
      <c r="K194" s="105">
        <f>'9'!K62</f>
        <v>30714.285714285714</v>
      </c>
      <c r="L194" s="105">
        <f>'10'!K62</f>
        <v>30571.428571428572</v>
      </c>
      <c r="M194" s="105">
        <f>'11'!K62</f>
        <v>30285.714285714286</v>
      </c>
      <c r="N194" s="105">
        <f>'12'!K62</f>
        <v>30285.714285714286</v>
      </c>
      <c r="O194" s="105">
        <f>'13'!K62</f>
        <v>30285.714285714286</v>
      </c>
      <c r="P194" s="105">
        <f>'14'!K62</f>
        <v>30142.857142857141</v>
      </c>
      <c r="Q194" s="105">
        <f>'15'!K62</f>
        <v>30428.571428571428</v>
      </c>
      <c r="R194" s="105">
        <f>'16'!K62</f>
        <v>30714.285714285714</v>
      </c>
      <c r="S194" s="105">
        <f>'17'!K62</f>
        <v>30285.714285714286</v>
      </c>
      <c r="T194" s="105">
        <f>'18'!K62</f>
        <v>30285.714285714286</v>
      </c>
      <c r="U194" s="105">
        <f>'19'!K62</f>
        <v>30285.714285714286</v>
      </c>
      <c r="V194" s="105">
        <f>'20'!K62</f>
        <v>30285.714285714286</v>
      </c>
      <c r="W194" s="105">
        <f>'21'!K62</f>
        <v>29714.285714285714</v>
      </c>
      <c r="X194" s="105">
        <f>'22'!K62</f>
        <v>0</v>
      </c>
      <c r="Y194" s="105">
        <f>'23'!K62</f>
        <v>0</v>
      </c>
      <c r="Z194" s="105">
        <f>'24'!K62</f>
        <v>0</v>
      </c>
      <c r="AA194" s="105">
        <f>'25'!K62</f>
        <v>0</v>
      </c>
      <c r="AB194" s="105">
        <f>'26'!K62</f>
        <v>0</v>
      </c>
      <c r="AC194" s="105">
        <f>'27'!K62</f>
        <v>0</v>
      </c>
      <c r="AD194" s="105">
        <f>'28'!K62</f>
        <v>0</v>
      </c>
      <c r="AE194" s="105" t="e">
        <f>#REF!</f>
        <v>#REF!</v>
      </c>
      <c r="AF194" s="105" t="e">
        <f>#REF!</f>
        <v>#REF!</v>
      </c>
      <c r="AG194" s="105" t="e">
        <f>#REF!</f>
        <v>#REF!</v>
      </c>
    </row>
    <row r="195" spans="1:33" x14ac:dyDescent="0.25">
      <c r="A195" s="119" t="s">
        <v>69</v>
      </c>
      <c r="B195" s="104" t="s">
        <v>6</v>
      </c>
      <c r="C195" s="105">
        <f>'1'!K63</f>
        <v>26000</v>
      </c>
      <c r="D195" s="105">
        <f>'2'!K63</f>
        <v>26285.714285714286</v>
      </c>
      <c r="E195" s="105">
        <f>'3'!K63</f>
        <v>26285.714285714286</v>
      </c>
      <c r="F195" s="105">
        <f>'4'!K63</f>
        <v>26000</v>
      </c>
      <c r="G195" s="105">
        <f>'5'!K63</f>
        <v>25714.285714285714</v>
      </c>
      <c r="H195" s="105">
        <f>'6'!K63</f>
        <v>26142.857142857141</v>
      </c>
      <c r="I195" s="105">
        <f>'7'!K63</f>
        <v>26142.857142857141</v>
      </c>
      <c r="J195" s="105">
        <f>'8'!K63</f>
        <v>26000</v>
      </c>
      <c r="K195" s="105">
        <f>'9'!K63</f>
        <v>26142.857142857141</v>
      </c>
      <c r="L195" s="105">
        <f>'10'!K63</f>
        <v>26000</v>
      </c>
      <c r="M195" s="105">
        <f>'11'!K63</f>
        <v>25714.285714285714</v>
      </c>
      <c r="N195" s="105">
        <f>'12'!K63</f>
        <v>25428.571428571428</v>
      </c>
      <c r="O195" s="105">
        <f>'13'!K63</f>
        <v>25714.285714285714</v>
      </c>
      <c r="P195" s="105">
        <f>'14'!K63</f>
        <v>24857.142857142859</v>
      </c>
      <c r="Q195" s="105">
        <f>'15'!K63</f>
        <v>25285.714285714286</v>
      </c>
      <c r="R195" s="105">
        <f>'16'!K63</f>
        <v>25428.571428571428</v>
      </c>
      <c r="S195" s="105">
        <f>'17'!K63</f>
        <v>25428.571428571428</v>
      </c>
      <c r="T195" s="105">
        <f>'18'!K63</f>
        <v>25714.285714285714</v>
      </c>
      <c r="U195" s="105">
        <f>'19'!K63</f>
        <v>25714.285714285714</v>
      </c>
      <c r="V195" s="105">
        <f>'20'!K63</f>
        <v>25714.285714285714</v>
      </c>
      <c r="W195" s="105">
        <f>'21'!K63</f>
        <v>26000</v>
      </c>
      <c r="X195" s="105">
        <f>'22'!K63</f>
        <v>18166.666666666668</v>
      </c>
      <c r="Y195" s="105">
        <f>'23'!K63</f>
        <v>18166.666666666668</v>
      </c>
      <c r="Z195" s="105">
        <f>'24'!K63</f>
        <v>18166.666666666668</v>
      </c>
      <c r="AA195" s="105">
        <f>'25'!K63</f>
        <v>18166.666666666668</v>
      </c>
      <c r="AB195" s="105">
        <f>'26'!K63</f>
        <v>18166.666666666668</v>
      </c>
      <c r="AC195" s="105">
        <f>'27'!K63</f>
        <v>18166.666666666668</v>
      </c>
      <c r="AD195" s="105">
        <f>'28'!K63</f>
        <v>18166.666666666668</v>
      </c>
      <c r="AE195" s="105" t="e">
        <f>#REF!</f>
        <v>#REF!</v>
      </c>
      <c r="AF195" s="105" t="e">
        <f>#REF!</f>
        <v>#REF!</v>
      </c>
      <c r="AG195" s="105" t="e">
        <f>#REF!</f>
        <v>#REF!</v>
      </c>
    </row>
    <row r="196" spans="1:33" x14ac:dyDescent="0.25">
      <c r="A196" s="119" t="s">
        <v>70</v>
      </c>
      <c r="B196" s="104" t="s">
        <v>6</v>
      </c>
      <c r="C196" s="105">
        <f>'1'!K64</f>
        <v>37000</v>
      </c>
      <c r="D196" s="105">
        <f>'2'!K64</f>
        <v>39142.857142857145</v>
      </c>
      <c r="E196" s="105">
        <f>'3'!K64</f>
        <v>39714.285714285717</v>
      </c>
      <c r="F196" s="105">
        <f>'4'!K64</f>
        <v>39000</v>
      </c>
      <c r="G196" s="105">
        <f>'5'!K64</f>
        <v>39000</v>
      </c>
      <c r="H196" s="105">
        <f>'6'!K64</f>
        <v>38571.428571428572</v>
      </c>
      <c r="I196" s="105">
        <f>'7'!K64</f>
        <v>37428.571428571428</v>
      </c>
      <c r="J196" s="105">
        <f>'8'!K64</f>
        <v>36857.142857142855</v>
      </c>
      <c r="K196" s="105">
        <f>'9'!K64</f>
        <v>36571.428571428572</v>
      </c>
      <c r="L196" s="105">
        <f>'10'!K64</f>
        <v>35428.571428571428</v>
      </c>
      <c r="M196" s="105">
        <f>'11'!K64</f>
        <v>35000</v>
      </c>
      <c r="N196" s="105">
        <f>'12'!K64</f>
        <v>35857.142857142855</v>
      </c>
      <c r="O196" s="105">
        <f>'13'!K64</f>
        <v>35571.428571428572</v>
      </c>
      <c r="P196" s="105">
        <f>'14'!K64</f>
        <v>36000</v>
      </c>
      <c r="Q196" s="105">
        <f>'15'!K64</f>
        <v>35285.714285714283</v>
      </c>
      <c r="R196" s="105">
        <f>'16'!K64</f>
        <v>34000</v>
      </c>
      <c r="S196" s="105">
        <f>'17'!K64</f>
        <v>33285.714285714283</v>
      </c>
      <c r="T196" s="105">
        <f>'18'!K64</f>
        <v>32714.285714285714</v>
      </c>
      <c r="U196" s="105">
        <f>'19'!K64</f>
        <v>33000</v>
      </c>
      <c r="V196" s="105">
        <f>'20'!K64</f>
        <v>33142.857142857145</v>
      </c>
      <c r="W196" s="105">
        <f>'21'!K64</f>
        <v>30285.714285714286</v>
      </c>
      <c r="X196" s="105">
        <f>'22'!K64</f>
        <v>0</v>
      </c>
      <c r="Y196" s="105">
        <f>'23'!K64</f>
        <v>0</v>
      </c>
      <c r="Z196" s="105">
        <f>'24'!K64</f>
        <v>0</v>
      </c>
      <c r="AA196" s="105">
        <f>'25'!K64</f>
        <v>0</v>
      </c>
      <c r="AB196" s="105">
        <f>'26'!K64</f>
        <v>0</v>
      </c>
      <c r="AC196" s="105">
        <f>'27'!K64</f>
        <v>0</v>
      </c>
      <c r="AD196" s="105">
        <f>'28'!K64</f>
        <v>0</v>
      </c>
      <c r="AE196" s="105" t="e">
        <f>#REF!</f>
        <v>#REF!</v>
      </c>
      <c r="AF196" s="105" t="e">
        <f>#REF!</f>
        <v>#REF!</v>
      </c>
      <c r="AG196" s="105" t="e">
        <f>#REF!</f>
        <v>#REF!</v>
      </c>
    </row>
    <row r="197" spans="1:33" x14ac:dyDescent="0.25">
      <c r="A197" s="119" t="s">
        <v>71</v>
      </c>
      <c r="B197" s="104" t="s">
        <v>6</v>
      </c>
      <c r="C197" s="105">
        <f>'1'!K65</f>
        <v>21714.285714285714</v>
      </c>
      <c r="D197" s="105">
        <f>'2'!K65</f>
        <v>21714.285714285714</v>
      </c>
      <c r="E197" s="105">
        <f>'3'!K65</f>
        <v>21714.285714285714</v>
      </c>
      <c r="F197" s="105">
        <f>'4'!K65</f>
        <v>21714.285714285714</v>
      </c>
      <c r="G197" s="105">
        <f>'5'!K65</f>
        <v>22000</v>
      </c>
      <c r="H197" s="105">
        <f>'6'!K65</f>
        <v>21428.571428571428</v>
      </c>
      <c r="I197" s="105">
        <f>'7'!K65</f>
        <v>21000</v>
      </c>
      <c r="J197" s="105">
        <f>'8'!K65</f>
        <v>21000</v>
      </c>
      <c r="K197" s="105">
        <f>'9'!K65</f>
        <v>21000</v>
      </c>
      <c r="L197" s="105">
        <f>'10'!K65</f>
        <v>21000</v>
      </c>
      <c r="M197" s="105">
        <f>'11'!K65</f>
        <v>21428.571428571428</v>
      </c>
      <c r="N197" s="105">
        <f>'12'!K65</f>
        <v>21428.571428571428</v>
      </c>
      <c r="O197" s="105">
        <f>'13'!K65</f>
        <v>21714.285714285714</v>
      </c>
      <c r="P197" s="105">
        <f>'14'!K65</f>
        <v>21714.285714285714</v>
      </c>
      <c r="Q197" s="105">
        <f>'15'!K65</f>
        <v>21428.571428571428</v>
      </c>
      <c r="R197" s="105">
        <f>'16'!K65</f>
        <v>21428.571428571428</v>
      </c>
      <c r="S197" s="105">
        <f>'17'!K65</f>
        <v>21428.571428571428</v>
      </c>
      <c r="T197" s="105">
        <f>'18'!K65</f>
        <v>21428.571428571428</v>
      </c>
      <c r="U197" s="105">
        <f>'19'!K65</f>
        <v>21428.571428571428</v>
      </c>
      <c r="V197" s="105">
        <f>'20'!K65</f>
        <v>21428.571428571428</v>
      </c>
      <c r="W197" s="105">
        <f>'21'!K65</f>
        <v>21428.571428571428</v>
      </c>
      <c r="X197" s="105">
        <f>'22'!K65</f>
        <v>30285.714285714286</v>
      </c>
      <c r="Y197" s="105">
        <f>'23'!K65</f>
        <v>30571.428571428572</v>
      </c>
      <c r="Z197" s="105">
        <f>'24'!K65</f>
        <v>29857.142857142859</v>
      </c>
      <c r="AA197" s="105">
        <f>'25'!K65</f>
        <v>30285.714285714286</v>
      </c>
      <c r="AB197" s="105">
        <f>'26'!K65</f>
        <v>30285.714285714286</v>
      </c>
      <c r="AC197" s="105">
        <f>'27'!K65</f>
        <v>31571.428571428572</v>
      </c>
      <c r="AD197" s="105">
        <f>'28'!K65</f>
        <v>32000</v>
      </c>
      <c r="AE197" s="105" t="e">
        <f>#REF!</f>
        <v>#REF!</v>
      </c>
      <c r="AF197" s="105" t="e">
        <f>#REF!</f>
        <v>#REF!</v>
      </c>
      <c r="AG197" s="105" t="e">
        <f>#REF!</f>
        <v>#REF!</v>
      </c>
    </row>
    <row r="198" spans="1:33" x14ac:dyDescent="0.25">
      <c r="A198" s="120"/>
      <c r="B198" s="107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</row>
    <row r="199" spans="1:33" x14ac:dyDescent="0.25">
      <c r="A199" s="123"/>
      <c r="B199" s="110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</row>
    <row r="200" spans="1:33" x14ac:dyDescent="0.25">
      <c r="A200" s="123"/>
      <c r="B200" s="110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</row>
    <row r="201" spans="1:33" x14ac:dyDescent="0.25">
      <c r="A201" s="122"/>
      <c r="B201" s="110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</row>
    <row r="202" spans="1:33" x14ac:dyDescent="0.25">
      <c r="A202" s="123"/>
      <c r="B202" s="110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</row>
    <row r="203" spans="1:33" x14ac:dyDescent="0.25">
      <c r="A203" s="123"/>
      <c r="B203" s="110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</row>
    <row r="204" spans="1:33" x14ac:dyDescent="0.25">
      <c r="A204" s="123"/>
      <c r="B204" s="110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</row>
    <row r="205" spans="1:33" x14ac:dyDescent="0.25">
      <c r="A205" s="123"/>
      <c r="B205" s="110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</row>
    <row r="206" spans="1:33" x14ac:dyDescent="0.25">
      <c r="A206" s="123"/>
      <c r="B206" s="110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</row>
    <row r="207" spans="1:33" x14ac:dyDescent="0.25">
      <c r="A207" s="123"/>
      <c r="B207" s="110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</row>
    <row r="208" spans="1:33" x14ac:dyDescent="0.25">
      <c r="A208" s="123"/>
      <c r="B208" s="110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</row>
    <row r="209" spans="1:33" x14ac:dyDescent="0.25">
      <c r="A209" s="123"/>
      <c r="B209" s="110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</row>
    <row r="210" spans="1:33" x14ac:dyDescent="0.25">
      <c r="A210" s="123"/>
      <c r="B210" s="110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</row>
    <row r="211" spans="1:33" x14ac:dyDescent="0.25">
      <c r="A211" s="122"/>
      <c r="B211" s="110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</row>
    <row r="212" spans="1:33" x14ac:dyDescent="0.25">
      <c r="A212" s="123"/>
      <c r="B212" s="110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</row>
    <row r="214" spans="1:33" x14ac:dyDescent="0.25">
      <c r="A214" s="117"/>
    </row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</sheetData>
  <pageMargins left="0.7" right="0.45" top="0.75" bottom="0.25" header="0.3" footer="0.3"/>
  <pageSetup paperSize="5" scale="5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0ABF-B352-4B52-A28D-FCEFBF222C1A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110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5</v>
      </c>
      <c r="C8" s="14" t="s">
        <v>6</v>
      </c>
      <c r="D8" s="15">
        <v>12500</v>
      </c>
      <c r="E8" s="95">
        <v>12500</v>
      </c>
      <c r="F8" s="95">
        <v>12000</v>
      </c>
      <c r="G8" s="29">
        <v>12800</v>
      </c>
      <c r="H8" s="42">
        <v>12500</v>
      </c>
      <c r="I8" s="42">
        <v>13000</v>
      </c>
      <c r="J8" s="18">
        <v>12500</v>
      </c>
      <c r="K8" s="19">
        <f>AVERAGE(D8:J8)</f>
        <v>12542.857142857143</v>
      </c>
      <c r="L8" s="1"/>
      <c r="M8" s="20"/>
      <c r="N8" s="5"/>
    </row>
    <row r="9" spans="1:14" ht="15.75" x14ac:dyDescent="0.25">
      <c r="A9" s="183"/>
      <c r="B9" s="13" t="s">
        <v>7</v>
      </c>
      <c r="C9" s="14" t="s">
        <v>6</v>
      </c>
      <c r="D9" s="23">
        <v>11000</v>
      </c>
      <c r="E9" s="16">
        <v>12500</v>
      </c>
      <c r="F9" s="16">
        <v>11500</v>
      </c>
      <c r="G9" s="21">
        <v>12000</v>
      </c>
      <c r="H9" s="17">
        <v>10500</v>
      </c>
      <c r="I9" s="17">
        <v>11500</v>
      </c>
      <c r="J9" s="94">
        <v>11000</v>
      </c>
      <c r="K9" s="22">
        <f t="shared" ref="K9:K72" si="0">AVERAGE(D9:J9)</f>
        <v>11428.571428571429</v>
      </c>
      <c r="M9" s="5"/>
      <c r="N9" s="5"/>
    </row>
    <row r="10" spans="1:14" ht="15.75" x14ac:dyDescent="0.25">
      <c r="A10" s="183"/>
      <c r="B10" s="13" t="s">
        <v>8</v>
      </c>
      <c r="C10" s="14" t="s">
        <v>6</v>
      </c>
      <c r="D10" s="43">
        <v>12000</v>
      </c>
      <c r="E10" s="16">
        <v>11500</v>
      </c>
      <c r="F10" s="24">
        <v>10500</v>
      </c>
      <c r="G10" s="25">
        <v>9450</v>
      </c>
      <c r="H10" s="26">
        <v>9500</v>
      </c>
      <c r="I10" s="27">
        <v>10500</v>
      </c>
      <c r="J10" s="27" t="s">
        <v>100</v>
      </c>
      <c r="K10" s="22">
        <f t="shared" si="0"/>
        <v>10575</v>
      </c>
      <c r="M10" s="5"/>
      <c r="N10" s="5"/>
    </row>
    <row r="11" spans="1:14" ht="15.75" x14ac:dyDescent="0.25">
      <c r="A11" s="183"/>
      <c r="B11" s="13" t="s">
        <v>9</v>
      </c>
      <c r="C11" s="14" t="s">
        <v>6</v>
      </c>
      <c r="D11" s="43" t="s">
        <v>100</v>
      </c>
      <c r="E11" s="29" t="s">
        <v>100</v>
      </c>
      <c r="F11" s="30" t="s">
        <v>100</v>
      </c>
      <c r="G11" s="21">
        <v>11000</v>
      </c>
      <c r="H11" s="26" t="s">
        <v>100</v>
      </c>
      <c r="I11" s="27">
        <v>11000</v>
      </c>
      <c r="J11" s="94">
        <v>8000</v>
      </c>
      <c r="K11" s="22">
        <f>AVERAGE(D11:J11)</f>
        <v>10000</v>
      </c>
      <c r="M11" s="5"/>
      <c r="N11" s="5"/>
    </row>
    <row r="12" spans="1:14" ht="15.75" x14ac:dyDescent="0.25">
      <c r="A12" s="184"/>
      <c r="B12" s="13" t="s">
        <v>10</v>
      </c>
      <c r="C12" s="14" t="s">
        <v>6</v>
      </c>
      <c r="D12" s="43" t="s">
        <v>100</v>
      </c>
      <c r="E12" s="29">
        <v>23000</v>
      </c>
      <c r="F12" s="30" t="s">
        <v>100</v>
      </c>
      <c r="G12" s="21">
        <v>18000</v>
      </c>
      <c r="H12" s="26" t="s">
        <v>100</v>
      </c>
      <c r="I12" s="27">
        <v>18000</v>
      </c>
      <c r="J12" s="94">
        <v>18000</v>
      </c>
      <c r="K12" s="22">
        <f t="shared" si="0"/>
        <v>19250</v>
      </c>
      <c r="M12" s="5"/>
      <c r="N12" s="5"/>
    </row>
    <row r="13" spans="1:14" ht="15.75" x14ac:dyDescent="0.25">
      <c r="A13" s="182">
        <v>2</v>
      </c>
      <c r="B13" s="32" t="s">
        <v>11</v>
      </c>
      <c r="C13" s="33"/>
      <c r="D13" s="34"/>
      <c r="E13" s="35"/>
      <c r="F13" s="36"/>
      <c r="G13" s="37"/>
      <c r="H13" s="38"/>
      <c r="I13" s="38"/>
      <c r="J13" s="38"/>
      <c r="K13" s="39"/>
      <c r="M13" s="5"/>
      <c r="N13" s="40"/>
    </row>
    <row r="14" spans="1:14" ht="15.75" x14ac:dyDescent="0.25">
      <c r="A14" s="183"/>
      <c r="B14" s="41" t="s">
        <v>12</v>
      </c>
      <c r="C14" s="14" t="s">
        <v>6</v>
      </c>
      <c r="D14" s="23">
        <v>13000</v>
      </c>
      <c r="E14" s="16">
        <v>13000</v>
      </c>
      <c r="F14" s="16">
        <v>13500</v>
      </c>
      <c r="G14" s="16">
        <v>13000</v>
      </c>
      <c r="H14" s="17">
        <v>13000</v>
      </c>
      <c r="I14" s="17">
        <v>13500</v>
      </c>
      <c r="J14" s="42">
        <v>13000</v>
      </c>
      <c r="K14" s="22">
        <f t="shared" si="0"/>
        <v>13142.857142857143</v>
      </c>
      <c r="M14" s="5"/>
      <c r="N14" s="5"/>
    </row>
    <row r="15" spans="1:14" ht="15.75" x14ac:dyDescent="0.25">
      <c r="A15" s="184"/>
      <c r="B15" s="13" t="s">
        <v>13</v>
      </c>
      <c r="C15" s="14" t="s">
        <v>6</v>
      </c>
      <c r="D15" s="43">
        <v>15000</v>
      </c>
      <c r="E15" s="29">
        <v>16000</v>
      </c>
      <c r="F15" s="24">
        <v>17000</v>
      </c>
      <c r="G15" s="21">
        <v>19000</v>
      </c>
      <c r="H15" s="17">
        <v>15000</v>
      </c>
      <c r="I15" s="17">
        <v>16000</v>
      </c>
      <c r="J15" s="42">
        <v>16000</v>
      </c>
      <c r="K15" s="22">
        <f t="shared" si="0"/>
        <v>16285.714285714286</v>
      </c>
      <c r="M15" s="5"/>
      <c r="N15" s="5"/>
    </row>
    <row r="16" spans="1:14" ht="15.75" x14ac:dyDescent="0.25">
      <c r="A16" s="182"/>
      <c r="B16" s="32" t="s">
        <v>14</v>
      </c>
      <c r="C16" s="44"/>
      <c r="D16" s="45"/>
      <c r="E16" s="46"/>
      <c r="F16" s="47"/>
      <c r="G16" s="47"/>
      <c r="H16" s="48"/>
      <c r="I16" s="48"/>
      <c r="J16" s="49"/>
      <c r="K16" s="39"/>
      <c r="M16" s="5"/>
      <c r="N16" s="5"/>
    </row>
    <row r="17" spans="1:14" ht="15.75" x14ac:dyDescent="0.25">
      <c r="A17" s="184"/>
      <c r="B17" s="13" t="s">
        <v>15</v>
      </c>
      <c r="C17" s="14" t="s">
        <v>6</v>
      </c>
      <c r="D17" s="23">
        <v>16000</v>
      </c>
      <c r="E17" s="29">
        <v>16000</v>
      </c>
      <c r="F17" s="16">
        <v>17000</v>
      </c>
      <c r="G17" s="16">
        <v>16000</v>
      </c>
      <c r="H17" s="17">
        <v>16000</v>
      </c>
      <c r="I17" s="17">
        <v>16500</v>
      </c>
      <c r="J17" s="42">
        <v>16000</v>
      </c>
      <c r="K17" s="22">
        <f t="shared" si="0"/>
        <v>16214.285714285714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110000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109142.85714285714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100000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99166.666666666672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28000</v>
      </c>
      <c r="F24" s="16">
        <v>30000</v>
      </c>
      <c r="G24" s="16">
        <v>30000</v>
      </c>
      <c r="H24" s="42">
        <v>31000</v>
      </c>
      <c r="I24" s="17">
        <v>29000</v>
      </c>
      <c r="J24" s="42">
        <v>30000</v>
      </c>
      <c r="K24" s="22">
        <f t="shared" si="0"/>
        <v>29714.285714285714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42000</v>
      </c>
      <c r="E26" s="16">
        <v>44000</v>
      </c>
      <c r="F26" s="29">
        <v>35000</v>
      </c>
      <c r="G26" s="16">
        <v>40000</v>
      </c>
      <c r="H26" s="17">
        <v>30000</v>
      </c>
      <c r="I26" s="26">
        <v>38000</v>
      </c>
      <c r="J26" s="42">
        <v>35000</v>
      </c>
      <c r="K26" s="22">
        <f t="shared" si="0"/>
        <v>37714.285714285717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60000</v>
      </c>
      <c r="F28" s="58">
        <v>60000</v>
      </c>
      <c r="G28" s="21">
        <v>85000</v>
      </c>
      <c r="H28" s="17">
        <v>58000</v>
      </c>
      <c r="I28" s="26">
        <v>68000</v>
      </c>
      <c r="J28" s="28">
        <v>55000</v>
      </c>
      <c r="K28" s="22">
        <f t="shared" si="0"/>
        <v>64333.333333333336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>
        <v>25000</v>
      </c>
      <c r="H29" s="17">
        <v>23000</v>
      </c>
      <c r="I29" s="26">
        <v>24000</v>
      </c>
      <c r="J29" s="28">
        <v>26000</v>
      </c>
      <c r="K29" s="22">
        <f t="shared" si="0"/>
        <v>24500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36000</v>
      </c>
      <c r="F30" s="16">
        <v>38000</v>
      </c>
      <c r="G30" s="16">
        <v>40000</v>
      </c>
      <c r="H30" s="17">
        <v>28000</v>
      </c>
      <c r="I30" s="26">
        <v>38000</v>
      </c>
      <c r="J30" s="42">
        <v>40000</v>
      </c>
      <c r="K30" s="22">
        <f t="shared" si="0"/>
        <v>37142.857142857145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100000</v>
      </c>
      <c r="G31" s="16">
        <v>60000</v>
      </c>
      <c r="H31" s="17">
        <v>80000</v>
      </c>
      <c r="I31" s="26" t="s">
        <v>100</v>
      </c>
      <c r="J31" s="28" t="s">
        <v>100</v>
      </c>
      <c r="K31" s="22">
        <f t="shared" si="0"/>
        <v>84000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26000</v>
      </c>
      <c r="F33" s="16">
        <v>27000</v>
      </c>
      <c r="G33" s="16">
        <v>27000</v>
      </c>
      <c r="H33" s="17">
        <v>26000</v>
      </c>
      <c r="I33" s="17">
        <v>27000</v>
      </c>
      <c r="J33" s="42">
        <v>26500</v>
      </c>
      <c r="K33" s="22">
        <f t="shared" si="0"/>
        <v>26500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2200</v>
      </c>
      <c r="G34" s="16">
        <v>2400</v>
      </c>
      <c r="H34" s="17">
        <v>2000</v>
      </c>
      <c r="I34" s="17">
        <v>2500</v>
      </c>
      <c r="J34" s="42">
        <v>3000</v>
      </c>
      <c r="K34" s="22">
        <f t="shared" si="0"/>
        <v>2371.4285714285716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f t="shared" si="0"/>
        <v>19700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8000</v>
      </c>
      <c r="G42" s="16">
        <v>11000</v>
      </c>
      <c r="H42" s="17">
        <v>9000</v>
      </c>
      <c r="I42" s="55">
        <v>10000</v>
      </c>
      <c r="J42" s="42">
        <v>8000</v>
      </c>
      <c r="K42" s="22">
        <f t="shared" si="0"/>
        <v>9285.7142857142862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2500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4000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12500</v>
      </c>
      <c r="G47" s="16">
        <v>12000</v>
      </c>
      <c r="H47" s="17">
        <v>11500</v>
      </c>
      <c r="I47" s="17">
        <v>11000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16000</v>
      </c>
      <c r="G49" s="16">
        <v>18000</v>
      </c>
      <c r="H49" s="17">
        <v>11500</v>
      </c>
      <c r="I49" s="26">
        <v>17000</v>
      </c>
      <c r="J49" s="56" t="s">
        <v>100</v>
      </c>
      <c r="K49" s="22">
        <f t="shared" si="0"/>
        <v>15583.333333333334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24000</v>
      </c>
      <c r="E51" s="16">
        <v>23000</v>
      </c>
      <c r="F51" s="16">
        <v>25000</v>
      </c>
      <c r="G51" s="16">
        <v>26000</v>
      </c>
      <c r="H51" s="17">
        <v>23000</v>
      </c>
      <c r="I51" s="17">
        <v>26000</v>
      </c>
      <c r="J51" s="56">
        <v>25000</v>
      </c>
      <c r="K51" s="22">
        <f t="shared" si="0"/>
        <v>24571.428571428572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28000</v>
      </c>
      <c r="E52" s="16">
        <v>30000</v>
      </c>
      <c r="F52" s="16">
        <v>28000</v>
      </c>
      <c r="G52" s="16">
        <v>30000</v>
      </c>
      <c r="H52" s="17">
        <v>26000</v>
      </c>
      <c r="I52" s="17">
        <v>30000</v>
      </c>
      <c r="J52" s="56">
        <v>28000</v>
      </c>
      <c r="K52" s="22">
        <f t="shared" si="0"/>
        <v>28571.428571428572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3200</v>
      </c>
      <c r="H54" s="51" t="s">
        <v>100</v>
      </c>
      <c r="I54" s="27">
        <v>3500</v>
      </c>
      <c r="J54" s="42">
        <v>2500</v>
      </c>
      <c r="K54" s="22">
        <f t="shared" si="0"/>
        <v>3066.6666666666665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24000</v>
      </c>
      <c r="E56" s="16">
        <v>30000</v>
      </c>
      <c r="F56" s="16">
        <v>25000</v>
      </c>
      <c r="G56" s="16">
        <v>35000</v>
      </c>
      <c r="H56" s="17">
        <v>20000</v>
      </c>
      <c r="I56" s="17">
        <v>35000</v>
      </c>
      <c r="J56" s="42">
        <v>25000</v>
      </c>
      <c r="K56" s="22">
        <f t="shared" si="0"/>
        <v>27714.285714285714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40000</v>
      </c>
      <c r="E57" s="16">
        <v>35000</v>
      </c>
      <c r="F57" s="16">
        <v>40000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38750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45000</v>
      </c>
      <c r="E58" s="16">
        <v>55000</v>
      </c>
      <c r="F58" s="16">
        <v>50000</v>
      </c>
      <c r="G58" s="16">
        <v>55000</v>
      </c>
      <c r="H58" s="17">
        <v>50000</v>
      </c>
      <c r="I58" s="17">
        <v>50000</v>
      </c>
      <c r="J58" s="42">
        <v>55000</v>
      </c>
      <c r="K58" s="22">
        <f t="shared" si="0"/>
        <v>51428.571428571428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28000</v>
      </c>
      <c r="F62" s="16">
        <v>30000</v>
      </c>
      <c r="G62" s="16">
        <v>30000</v>
      </c>
      <c r="H62" s="17">
        <v>27000</v>
      </c>
      <c r="I62" s="17">
        <v>35000</v>
      </c>
      <c r="J62" s="42">
        <v>30000</v>
      </c>
      <c r="K62" s="22">
        <f t="shared" si="0"/>
        <v>29714.285714285714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26000</v>
      </c>
      <c r="F63" s="16">
        <v>28000</v>
      </c>
      <c r="G63" s="16">
        <v>25000</v>
      </c>
      <c r="H63" s="17">
        <v>25000</v>
      </c>
      <c r="I63" s="17">
        <v>27000</v>
      </c>
      <c r="J63" s="42">
        <v>25000</v>
      </c>
      <c r="K63" s="22">
        <f t="shared" si="0"/>
        <v>26000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36000</v>
      </c>
      <c r="E64" s="16">
        <v>28000</v>
      </c>
      <c r="F64" s="16">
        <v>40000</v>
      </c>
      <c r="G64" s="16">
        <v>35000</v>
      </c>
      <c r="H64" s="17">
        <v>35000</v>
      </c>
      <c r="I64" s="17">
        <v>40000</v>
      </c>
      <c r="J64" s="42">
        <v>45000</v>
      </c>
      <c r="K64" s="22">
        <f t="shared" si="0"/>
        <v>37000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25000</v>
      </c>
      <c r="J65" s="56">
        <v>22000</v>
      </c>
      <c r="K65" s="22">
        <f t="shared" si="0"/>
        <v>21714.285714285714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6000</v>
      </c>
      <c r="I67" s="17">
        <v>6000</v>
      </c>
      <c r="J67" s="56">
        <v>5000</v>
      </c>
      <c r="K67" s="22">
        <f t="shared" si="0"/>
        <v>5857.1428571428569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6000</v>
      </c>
      <c r="I68" s="26">
        <v>6000</v>
      </c>
      <c r="J68" s="28">
        <v>6000</v>
      </c>
      <c r="K68" s="22">
        <f t="shared" si="0"/>
        <v>5800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10000</v>
      </c>
      <c r="E70" s="16">
        <v>13000</v>
      </c>
      <c r="F70" s="16">
        <v>10000</v>
      </c>
      <c r="G70" s="16">
        <v>8000</v>
      </c>
      <c r="H70" s="17">
        <v>11000</v>
      </c>
      <c r="I70" s="27">
        <v>10000</v>
      </c>
      <c r="J70" s="42">
        <v>10000</v>
      </c>
      <c r="K70" s="22">
        <f t="shared" si="0"/>
        <v>10285.714285714286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5000</v>
      </c>
      <c r="I71" s="27">
        <v>13000</v>
      </c>
      <c r="J71" s="42">
        <v>15000</v>
      </c>
      <c r="K71" s="22">
        <f t="shared" si="0"/>
        <v>11285.714285714286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15000</v>
      </c>
      <c r="E72" s="16">
        <v>15000</v>
      </c>
      <c r="F72" s="16">
        <v>18000</v>
      </c>
      <c r="G72" s="16">
        <v>15000</v>
      </c>
      <c r="H72" s="17">
        <v>15000</v>
      </c>
      <c r="I72" s="17">
        <v>14000</v>
      </c>
      <c r="J72" s="42">
        <v>20000</v>
      </c>
      <c r="K72" s="22">
        <f t="shared" si="0"/>
        <v>16000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14000</v>
      </c>
      <c r="E73" s="16">
        <v>8000</v>
      </c>
      <c r="F73" s="16">
        <v>8000</v>
      </c>
      <c r="G73" s="16">
        <v>20000</v>
      </c>
      <c r="H73" s="17">
        <v>5000</v>
      </c>
      <c r="I73" s="55">
        <v>10000</v>
      </c>
      <c r="J73" s="42">
        <v>8000</v>
      </c>
      <c r="K73" s="22">
        <f t="shared" ref="K73:K80" si="1">AVERAGE(D73:J73)</f>
        <v>10428.571428571429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10000</v>
      </c>
      <c r="F74" s="16">
        <v>12000</v>
      </c>
      <c r="G74" s="16">
        <v>13000</v>
      </c>
      <c r="H74" s="17">
        <v>10000</v>
      </c>
      <c r="I74" s="17">
        <v>13000</v>
      </c>
      <c r="J74" s="42">
        <v>10000</v>
      </c>
      <c r="K74" s="22">
        <f t="shared" si="1"/>
        <v>11000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12000</v>
      </c>
      <c r="F75" s="30" t="s">
        <v>100</v>
      </c>
      <c r="G75" s="21">
        <v>10000</v>
      </c>
      <c r="H75" s="87">
        <v>9000</v>
      </c>
      <c r="I75" s="88">
        <v>10000</v>
      </c>
      <c r="J75" s="89">
        <v>7000</v>
      </c>
      <c r="K75" s="22">
        <f t="shared" si="1"/>
        <v>9600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1000</v>
      </c>
      <c r="G76" s="21">
        <v>2000</v>
      </c>
      <c r="H76" s="17">
        <v>1500</v>
      </c>
      <c r="I76" s="26">
        <v>2000</v>
      </c>
      <c r="J76" s="28">
        <v>1000</v>
      </c>
      <c r="K76" s="22">
        <f t="shared" si="1"/>
        <v>1500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1000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1400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1000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1700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61:A65"/>
    <mergeCell ref="A35:A37"/>
    <mergeCell ref="A38:A40"/>
    <mergeCell ref="A44:A45"/>
    <mergeCell ref="A46:A47"/>
    <mergeCell ref="A48:A52"/>
    <mergeCell ref="A55:A58"/>
    <mergeCell ref="A32:A34"/>
    <mergeCell ref="H4:H6"/>
    <mergeCell ref="I4:I6"/>
    <mergeCell ref="K4:K6"/>
    <mergeCell ref="A7:A12"/>
    <mergeCell ref="A13:A15"/>
    <mergeCell ref="A16:A17"/>
    <mergeCell ref="A18:A19"/>
    <mergeCell ref="A20:A24"/>
    <mergeCell ref="A25:A31"/>
    <mergeCell ref="F4:F6"/>
    <mergeCell ref="G4:G6"/>
    <mergeCell ref="A1:K1"/>
    <mergeCell ref="A2:K2"/>
    <mergeCell ref="A3:K3"/>
    <mergeCell ref="J4:J6"/>
    <mergeCell ref="A4:A6"/>
    <mergeCell ref="B4:B6"/>
    <mergeCell ref="C4:C6"/>
    <mergeCell ref="D4:D6"/>
    <mergeCell ref="E4:E6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ABA5-F302-4DE5-9E29-E735C332E14F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111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5</v>
      </c>
      <c r="C8" s="14" t="s">
        <v>6</v>
      </c>
      <c r="D8" s="15">
        <v>12500</v>
      </c>
      <c r="E8" s="95">
        <v>12500</v>
      </c>
      <c r="F8" s="95">
        <v>12000</v>
      </c>
      <c r="G8" s="29">
        <v>12800</v>
      </c>
      <c r="H8" s="42">
        <v>12500</v>
      </c>
      <c r="I8" s="42">
        <v>13000</v>
      </c>
      <c r="J8" s="18">
        <v>12500</v>
      </c>
      <c r="K8" s="19">
        <f>AVERAGE(D8:J8)</f>
        <v>12542.857142857143</v>
      </c>
      <c r="L8" s="1"/>
      <c r="M8" s="20"/>
      <c r="N8" s="5"/>
    </row>
    <row r="9" spans="1:14" ht="15.75" x14ac:dyDescent="0.25">
      <c r="A9" s="183"/>
      <c r="B9" s="13" t="s">
        <v>7</v>
      </c>
      <c r="C9" s="14" t="s">
        <v>6</v>
      </c>
      <c r="D9" s="23">
        <v>11000</v>
      </c>
      <c r="E9" s="16">
        <v>12500</v>
      </c>
      <c r="F9" s="16">
        <v>11500</v>
      </c>
      <c r="G9" s="21">
        <v>12000</v>
      </c>
      <c r="H9" s="17">
        <v>10500</v>
      </c>
      <c r="I9" s="17">
        <v>11500</v>
      </c>
      <c r="J9" s="94">
        <v>11000</v>
      </c>
      <c r="K9" s="22">
        <f t="shared" ref="K9:K72" si="0">AVERAGE(D9:J9)</f>
        <v>11428.571428571429</v>
      </c>
      <c r="M9" s="5"/>
      <c r="N9" s="5"/>
    </row>
    <row r="10" spans="1:14" ht="15.75" x14ac:dyDescent="0.25">
      <c r="A10" s="183"/>
      <c r="B10" s="13" t="s">
        <v>8</v>
      </c>
      <c r="C10" s="14" t="s">
        <v>6</v>
      </c>
      <c r="D10" s="43">
        <v>12000</v>
      </c>
      <c r="E10" s="16">
        <v>11500</v>
      </c>
      <c r="F10" s="24">
        <v>10500</v>
      </c>
      <c r="G10" s="25">
        <v>9450</v>
      </c>
      <c r="H10" s="26">
        <v>9500</v>
      </c>
      <c r="I10" s="27">
        <v>10500</v>
      </c>
      <c r="J10" s="27" t="s">
        <v>100</v>
      </c>
      <c r="K10" s="22">
        <f t="shared" si="0"/>
        <v>10575</v>
      </c>
      <c r="M10" s="5"/>
      <c r="N10" s="5"/>
    </row>
    <row r="11" spans="1:14" ht="15.75" x14ac:dyDescent="0.25">
      <c r="A11" s="183"/>
      <c r="B11" s="13" t="s">
        <v>9</v>
      </c>
      <c r="C11" s="14" t="s">
        <v>6</v>
      </c>
      <c r="D11" s="43" t="s">
        <v>100</v>
      </c>
      <c r="E11" s="29" t="s">
        <v>100</v>
      </c>
      <c r="F11" s="30" t="s">
        <v>100</v>
      </c>
      <c r="G11" s="21">
        <v>11000</v>
      </c>
      <c r="H11" s="26" t="s">
        <v>100</v>
      </c>
      <c r="I11" s="27">
        <v>11000</v>
      </c>
      <c r="J11" s="94">
        <v>8000</v>
      </c>
      <c r="K11" s="22">
        <f>AVERAGE(D11:J11)</f>
        <v>10000</v>
      </c>
      <c r="M11" s="5"/>
      <c r="N11" s="5"/>
    </row>
    <row r="12" spans="1:14" ht="15.75" x14ac:dyDescent="0.25">
      <c r="A12" s="184"/>
      <c r="B12" s="13" t="s">
        <v>10</v>
      </c>
      <c r="C12" s="14" t="s">
        <v>6</v>
      </c>
      <c r="D12" s="43" t="s">
        <v>100</v>
      </c>
      <c r="E12" s="29">
        <v>23000</v>
      </c>
      <c r="F12" s="30" t="s">
        <v>100</v>
      </c>
      <c r="G12" s="21">
        <v>18000</v>
      </c>
      <c r="H12" s="26" t="s">
        <v>100</v>
      </c>
      <c r="I12" s="27">
        <v>18000</v>
      </c>
      <c r="J12" s="94">
        <v>18000</v>
      </c>
      <c r="K12" s="22">
        <f t="shared" si="0"/>
        <v>19250</v>
      </c>
      <c r="M12" s="5"/>
      <c r="N12" s="5"/>
    </row>
    <row r="13" spans="1:14" ht="15.75" x14ac:dyDescent="0.25">
      <c r="A13" s="182">
        <v>2</v>
      </c>
      <c r="B13" s="32" t="s">
        <v>11</v>
      </c>
      <c r="C13" s="33"/>
      <c r="D13" s="34"/>
      <c r="E13" s="35"/>
      <c r="F13" s="36"/>
      <c r="G13" s="37"/>
      <c r="H13" s="38"/>
      <c r="I13" s="38"/>
      <c r="J13" s="38"/>
      <c r="K13" s="39"/>
      <c r="M13" s="5"/>
      <c r="N13" s="40"/>
    </row>
    <row r="14" spans="1:14" ht="15.75" x14ac:dyDescent="0.25">
      <c r="A14" s="183"/>
      <c r="B14" s="41" t="s">
        <v>12</v>
      </c>
      <c r="C14" s="14" t="s">
        <v>6</v>
      </c>
      <c r="D14" s="23">
        <v>13000</v>
      </c>
      <c r="E14" s="16">
        <v>13000</v>
      </c>
      <c r="F14" s="16">
        <v>13500</v>
      </c>
      <c r="G14" s="16">
        <v>13000</v>
      </c>
      <c r="H14" s="17">
        <v>13000</v>
      </c>
      <c r="I14" s="17">
        <v>13500</v>
      </c>
      <c r="J14" s="42">
        <v>13000</v>
      </c>
      <c r="K14" s="22">
        <f t="shared" si="0"/>
        <v>13142.857142857143</v>
      </c>
      <c r="M14" s="5"/>
      <c r="N14" s="5"/>
    </row>
    <row r="15" spans="1:14" ht="15.75" x14ac:dyDescent="0.25">
      <c r="A15" s="184"/>
      <c r="B15" s="13" t="s">
        <v>13</v>
      </c>
      <c r="C15" s="14" t="s">
        <v>6</v>
      </c>
      <c r="D15" s="43">
        <v>15000</v>
      </c>
      <c r="E15" s="29">
        <v>16000</v>
      </c>
      <c r="F15" s="24">
        <v>17000</v>
      </c>
      <c r="G15" s="21">
        <v>19000</v>
      </c>
      <c r="H15" s="17">
        <v>15000</v>
      </c>
      <c r="I15" s="17">
        <v>16000</v>
      </c>
      <c r="J15" s="42">
        <v>16000</v>
      </c>
      <c r="K15" s="22">
        <f t="shared" si="0"/>
        <v>16285.714285714286</v>
      </c>
      <c r="M15" s="5"/>
      <c r="N15" s="5"/>
    </row>
    <row r="16" spans="1:14" ht="15.75" x14ac:dyDescent="0.25">
      <c r="A16" s="182"/>
      <c r="B16" s="32" t="s">
        <v>14</v>
      </c>
      <c r="C16" s="44"/>
      <c r="D16" s="45"/>
      <c r="E16" s="46"/>
      <c r="F16" s="47"/>
      <c r="G16" s="47"/>
      <c r="H16" s="48"/>
      <c r="I16" s="48"/>
      <c r="J16" s="49"/>
      <c r="K16" s="39"/>
      <c r="M16" s="5"/>
      <c r="N16" s="5"/>
    </row>
    <row r="17" spans="1:14" ht="15.75" x14ac:dyDescent="0.25">
      <c r="A17" s="184"/>
      <c r="B17" s="13" t="s">
        <v>15</v>
      </c>
      <c r="C17" s="14" t="s">
        <v>6</v>
      </c>
      <c r="D17" s="23">
        <v>16000</v>
      </c>
      <c r="E17" s="29">
        <v>16000</v>
      </c>
      <c r="F17" s="16">
        <v>17000</v>
      </c>
      <c r="G17" s="16">
        <v>16000</v>
      </c>
      <c r="H17" s="17">
        <v>16000</v>
      </c>
      <c r="I17" s="17">
        <v>16500</v>
      </c>
      <c r="J17" s="42">
        <v>16000</v>
      </c>
      <c r="K17" s="22">
        <f t="shared" si="0"/>
        <v>16214.285714285714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150000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114857.14285714286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29000</v>
      </c>
      <c r="F24" s="16">
        <v>31000</v>
      </c>
      <c r="G24" s="16">
        <v>30000</v>
      </c>
      <c r="H24" s="42">
        <v>32000</v>
      </c>
      <c r="I24" s="17">
        <v>30000</v>
      </c>
      <c r="J24" s="42">
        <v>30000</v>
      </c>
      <c r="K24" s="22">
        <f t="shared" si="0"/>
        <v>30285.714285714286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42000</v>
      </c>
      <c r="E26" s="16">
        <v>44000</v>
      </c>
      <c r="F26" s="29">
        <v>35000</v>
      </c>
      <c r="G26" s="16">
        <v>40000</v>
      </c>
      <c r="H26" s="17">
        <v>30000</v>
      </c>
      <c r="I26" s="26">
        <v>38000</v>
      </c>
      <c r="J26" s="42">
        <v>35000</v>
      </c>
      <c r="K26" s="22">
        <f t="shared" si="0"/>
        <v>37714.285714285717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60000</v>
      </c>
      <c r="F28" s="58">
        <v>60000</v>
      </c>
      <c r="G28" s="21">
        <v>85000</v>
      </c>
      <c r="H28" s="17">
        <v>58000</v>
      </c>
      <c r="I28" s="26">
        <v>65000</v>
      </c>
      <c r="J28" s="28">
        <v>55000</v>
      </c>
      <c r="K28" s="22">
        <f t="shared" si="0"/>
        <v>63833.333333333336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>
        <v>25000</v>
      </c>
      <c r="H29" s="17">
        <v>23000</v>
      </c>
      <c r="I29" s="26">
        <v>24000</v>
      </c>
      <c r="J29" s="28">
        <v>26000</v>
      </c>
      <c r="K29" s="22">
        <f t="shared" si="0"/>
        <v>24500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36000</v>
      </c>
      <c r="F30" s="16">
        <v>40000</v>
      </c>
      <c r="G30" s="16">
        <v>40000</v>
      </c>
      <c r="H30" s="17">
        <v>28000</v>
      </c>
      <c r="I30" s="26">
        <v>38000</v>
      </c>
      <c r="J30" s="42">
        <v>40000</v>
      </c>
      <c r="K30" s="22">
        <f t="shared" si="0"/>
        <v>37428.571428571428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100000</v>
      </c>
      <c r="G31" s="16">
        <v>60000</v>
      </c>
      <c r="H31" s="17">
        <v>80000</v>
      </c>
      <c r="I31" s="26" t="s">
        <v>100</v>
      </c>
      <c r="J31" s="28" t="s">
        <v>100</v>
      </c>
      <c r="K31" s="22">
        <f t="shared" si="0"/>
        <v>84000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27000</v>
      </c>
      <c r="F33" s="16">
        <v>27000</v>
      </c>
      <c r="G33" s="16">
        <v>27000</v>
      </c>
      <c r="H33" s="17">
        <v>25000</v>
      </c>
      <c r="I33" s="17">
        <v>27000</v>
      </c>
      <c r="J33" s="42">
        <v>26500</v>
      </c>
      <c r="K33" s="22">
        <f t="shared" si="0"/>
        <v>26500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2500</v>
      </c>
      <c r="G34" s="16">
        <v>2400</v>
      </c>
      <c r="H34" s="17">
        <v>2000</v>
      </c>
      <c r="I34" s="17">
        <v>2500</v>
      </c>
      <c r="J34" s="42">
        <v>3000</v>
      </c>
      <c r="K34" s="22">
        <f t="shared" si="0"/>
        <v>2414.2857142857142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f t="shared" si="0"/>
        <v>19700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8000</v>
      </c>
      <c r="G42" s="16">
        <v>11000</v>
      </c>
      <c r="H42" s="17">
        <v>9000</v>
      </c>
      <c r="I42" s="55">
        <v>10000</v>
      </c>
      <c r="J42" s="42">
        <v>8000</v>
      </c>
      <c r="K42" s="22">
        <f t="shared" si="0"/>
        <v>9285.7142857142862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2500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4000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12500</v>
      </c>
      <c r="G47" s="16">
        <v>12000</v>
      </c>
      <c r="H47" s="17">
        <v>11500</v>
      </c>
      <c r="I47" s="17">
        <v>11000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16000</v>
      </c>
      <c r="G49" s="16">
        <v>18000</v>
      </c>
      <c r="H49" s="17">
        <v>11500</v>
      </c>
      <c r="I49" s="26">
        <v>17000</v>
      </c>
      <c r="J49" s="56" t="s">
        <v>100</v>
      </c>
      <c r="K49" s="22">
        <f t="shared" si="0"/>
        <v>15583.333333333334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24000</v>
      </c>
      <c r="E51" s="16">
        <v>23000</v>
      </c>
      <c r="F51" s="16">
        <v>25000</v>
      </c>
      <c r="G51" s="16">
        <v>26000</v>
      </c>
      <c r="H51" s="17">
        <v>23000</v>
      </c>
      <c r="I51" s="17">
        <v>26000</v>
      </c>
      <c r="J51" s="56">
        <v>25000</v>
      </c>
      <c r="K51" s="22">
        <f t="shared" si="0"/>
        <v>24571.428571428572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28000</v>
      </c>
      <c r="E52" s="16">
        <v>30000</v>
      </c>
      <c r="F52" s="16">
        <v>28000</v>
      </c>
      <c r="G52" s="16">
        <v>30000</v>
      </c>
      <c r="H52" s="17">
        <v>26000</v>
      </c>
      <c r="I52" s="17">
        <v>30000</v>
      </c>
      <c r="J52" s="56">
        <v>28000</v>
      </c>
      <c r="K52" s="22">
        <f t="shared" si="0"/>
        <v>28571.428571428572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3200</v>
      </c>
      <c r="H54" s="51" t="s">
        <v>100</v>
      </c>
      <c r="I54" s="27">
        <v>3500</v>
      </c>
      <c r="J54" s="42">
        <v>2500</v>
      </c>
      <c r="K54" s="22">
        <f t="shared" si="0"/>
        <v>3066.6666666666665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24000</v>
      </c>
      <c r="E56" s="16">
        <v>30000</v>
      </c>
      <c r="F56" s="16">
        <v>25000</v>
      </c>
      <c r="G56" s="16">
        <v>35000</v>
      </c>
      <c r="H56" s="17">
        <v>22000</v>
      </c>
      <c r="I56" s="17">
        <v>35000</v>
      </c>
      <c r="J56" s="42">
        <v>25000</v>
      </c>
      <c r="K56" s="22">
        <f t="shared" si="0"/>
        <v>28000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40000</v>
      </c>
      <c r="E57" s="16">
        <v>35000</v>
      </c>
      <c r="F57" s="16">
        <v>35000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37500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45000</v>
      </c>
      <c r="E58" s="16">
        <v>55000</v>
      </c>
      <c r="F58" s="16">
        <v>50000</v>
      </c>
      <c r="G58" s="16">
        <v>55000</v>
      </c>
      <c r="H58" s="17">
        <v>40000</v>
      </c>
      <c r="I58" s="17">
        <v>50000</v>
      </c>
      <c r="J58" s="42">
        <v>55000</v>
      </c>
      <c r="K58" s="22">
        <f t="shared" si="0"/>
        <v>50000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40000</v>
      </c>
      <c r="F62" s="16">
        <v>30000</v>
      </c>
      <c r="G62" s="16">
        <v>30000</v>
      </c>
      <c r="H62" s="17">
        <v>27000</v>
      </c>
      <c r="I62" s="17">
        <v>35000</v>
      </c>
      <c r="J62" s="42">
        <v>30000</v>
      </c>
      <c r="K62" s="22">
        <f t="shared" si="0"/>
        <v>31428.571428571428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28000</v>
      </c>
      <c r="F63" s="16">
        <v>28000</v>
      </c>
      <c r="G63" s="16">
        <v>25000</v>
      </c>
      <c r="H63" s="17">
        <v>25000</v>
      </c>
      <c r="I63" s="17">
        <v>27000</v>
      </c>
      <c r="J63" s="42">
        <v>25000</v>
      </c>
      <c r="K63" s="22">
        <f t="shared" si="0"/>
        <v>26285.714285714286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36000</v>
      </c>
      <c r="E64" s="16">
        <v>38000</v>
      </c>
      <c r="F64" s="16">
        <v>42000</v>
      </c>
      <c r="G64" s="16">
        <v>35000</v>
      </c>
      <c r="H64" s="17">
        <v>38000</v>
      </c>
      <c r="I64" s="17">
        <v>40000</v>
      </c>
      <c r="J64" s="42">
        <v>45000</v>
      </c>
      <c r="K64" s="22">
        <f t="shared" si="0"/>
        <v>39142.857142857145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25000</v>
      </c>
      <c r="J65" s="56">
        <v>22000</v>
      </c>
      <c r="K65" s="22">
        <f t="shared" si="0"/>
        <v>21714.285714285714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10000</v>
      </c>
      <c r="E70" s="16">
        <v>13000</v>
      </c>
      <c r="F70" s="16">
        <v>12000</v>
      </c>
      <c r="G70" s="16">
        <v>8000</v>
      </c>
      <c r="H70" s="17">
        <v>11000</v>
      </c>
      <c r="I70" s="27">
        <v>10000</v>
      </c>
      <c r="J70" s="42">
        <v>10000</v>
      </c>
      <c r="K70" s="22">
        <f t="shared" si="0"/>
        <v>10571.428571428571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5000</v>
      </c>
      <c r="I71" s="27">
        <v>15000</v>
      </c>
      <c r="J71" s="42">
        <v>15000</v>
      </c>
      <c r="K71" s="22">
        <f t="shared" si="0"/>
        <v>11571.428571428571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15000</v>
      </c>
      <c r="E72" s="16">
        <v>15000</v>
      </c>
      <c r="F72" s="16">
        <v>18000</v>
      </c>
      <c r="G72" s="16">
        <v>15000</v>
      </c>
      <c r="H72" s="17">
        <v>15000</v>
      </c>
      <c r="I72" s="17">
        <v>14000</v>
      </c>
      <c r="J72" s="42">
        <v>20000</v>
      </c>
      <c r="K72" s="22">
        <f t="shared" si="0"/>
        <v>16000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14000</v>
      </c>
      <c r="E73" s="16">
        <v>8000</v>
      </c>
      <c r="F73" s="16">
        <v>16000</v>
      </c>
      <c r="G73" s="16">
        <v>20000</v>
      </c>
      <c r="H73" s="17">
        <v>5000</v>
      </c>
      <c r="I73" s="55">
        <v>8000</v>
      </c>
      <c r="J73" s="42">
        <v>8000</v>
      </c>
      <c r="K73" s="22">
        <f t="shared" ref="K73:K80" si="1">AVERAGE(D73:J73)</f>
        <v>11285.714285714286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10000</v>
      </c>
      <c r="F74" s="16">
        <v>12000</v>
      </c>
      <c r="G74" s="16">
        <v>13000</v>
      </c>
      <c r="H74" s="17">
        <v>10000</v>
      </c>
      <c r="I74" s="17">
        <v>13000</v>
      </c>
      <c r="J74" s="42">
        <v>10000</v>
      </c>
      <c r="K74" s="22">
        <f t="shared" si="1"/>
        <v>11000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12000</v>
      </c>
      <c r="F75" s="30" t="s">
        <v>100</v>
      </c>
      <c r="G75" s="21">
        <v>10000</v>
      </c>
      <c r="H75" s="87">
        <v>9000</v>
      </c>
      <c r="I75" s="88">
        <v>10000</v>
      </c>
      <c r="J75" s="89">
        <v>7000</v>
      </c>
      <c r="K75" s="22">
        <f t="shared" si="1"/>
        <v>9600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1000</v>
      </c>
      <c r="K76" s="22">
        <f t="shared" si="1"/>
        <v>1700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61:A65"/>
    <mergeCell ref="A35:A37"/>
    <mergeCell ref="A38:A40"/>
    <mergeCell ref="A44:A45"/>
    <mergeCell ref="A46:A47"/>
    <mergeCell ref="A48:A52"/>
    <mergeCell ref="A55:A58"/>
    <mergeCell ref="A32:A34"/>
    <mergeCell ref="H4:H6"/>
    <mergeCell ref="I4:I6"/>
    <mergeCell ref="K4:K6"/>
    <mergeCell ref="A7:A12"/>
    <mergeCell ref="A13:A15"/>
    <mergeCell ref="A16:A17"/>
    <mergeCell ref="A18:A19"/>
    <mergeCell ref="A20:A24"/>
    <mergeCell ref="A25:A31"/>
    <mergeCell ref="F4:F6"/>
    <mergeCell ref="G4:G6"/>
    <mergeCell ref="A1:K1"/>
    <mergeCell ref="A2:K2"/>
    <mergeCell ref="A3:K3"/>
    <mergeCell ref="J4:J6"/>
    <mergeCell ref="A4:A6"/>
    <mergeCell ref="B4:B6"/>
    <mergeCell ref="C4:C6"/>
    <mergeCell ref="D4:D6"/>
    <mergeCell ref="E4:E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CF76-52D2-423F-AB4F-CE8C8034222E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112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5</v>
      </c>
      <c r="C8" s="14" t="s">
        <v>6</v>
      </c>
      <c r="D8" s="15">
        <v>12000</v>
      </c>
      <c r="E8" s="95">
        <v>12500</v>
      </c>
      <c r="F8" s="95">
        <v>13500</v>
      </c>
      <c r="G8" s="29">
        <v>12800</v>
      </c>
      <c r="H8" s="42">
        <v>12500</v>
      </c>
      <c r="I8" s="42">
        <v>13000</v>
      </c>
      <c r="J8" s="18">
        <v>12500</v>
      </c>
      <c r="K8" s="19">
        <f>AVERAGE(D8:J8)</f>
        <v>12685.714285714286</v>
      </c>
      <c r="L8" s="1"/>
      <c r="M8" s="20"/>
      <c r="N8" s="5"/>
    </row>
    <row r="9" spans="1:14" ht="15.75" x14ac:dyDescent="0.25">
      <c r="A9" s="183"/>
      <c r="B9" s="13" t="s">
        <v>7</v>
      </c>
      <c r="C9" s="14" t="s">
        <v>6</v>
      </c>
      <c r="D9" s="23">
        <v>11000</v>
      </c>
      <c r="E9" s="16">
        <v>12500</v>
      </c>
      <c r="F9" s="16">
        <v>12000</v>
      </c>
      <c r="G9" s="21">
        <v>12000</v>
      </c>
      <c r="H9" s="17">
        <v>10500</v>
      </c>
      <c r="I9" s="17">
        <v>11500</v>
      </c>
      <c r="J9" s="94">
        <v>11000</v>
      </c>
      <c r="K9" s="22">
        <f t="shared" ref="K9:K72" si="0">AVERAGE(D9:J9)</f>
        <v>11500</v>
      </c>
      <c r="M9" s="5"/>
      <c r="N9" s="5"/>
    </row>
    <row r="10" spans="1:14" ht="15.75" x14ac:dyDescent="0.25">
      <c r="A10" s="183"/>
      <c r="B10" s="13" t="s">
        <v>8</v>
      </c>
      <c r="C10" s="14" t="s">
        <v>6</v>
      </c>
      <c r="D10" s="43">
        <v>11000</v>
      </c>
      <c r="E10" s="16">
        <v>12000</v>
      </c>
      <c r="F10" s="24">
        <v>12000</v>
      </c>
      <c r="G10" s="25">
        <v>9450</v>
      </c>
      <c r="H10" s="26">
        <v>9500</v>
      </c>
      <c r="I10" s="27">
        <v>10500</v>
      </c>
      <c r="J10" s="27" t="s">
        <v>100</v>
      </c>
      <c r="K10" s="22">
        <f t="shared" si="0"/>
        <v>10741.666666666666</v>
      </c>
      <c r="M10" s="5"/>
      <c r="N10" s="5"/>
    </row>
    <row r="11" spans="1:14" ht="15.75" x14ac:dyDescent="0.25">
      <c r="A11" s="183"/>
      <c r="B11" s="13" t="s">
        <v>9</v>
      </c>
      <c r="C11" s="14" t="s">
        <v>6</v>
      </c>
      <c r="D11" s="43" t="s">
        <v>100</v>
      </c>
      <c r="E11" s="29" t="s">
        <v>100</v>
      </c>
      <c r="F11" s="30" t="s">
        <v>100</v>
      </c>
      <c r="G11" s="21">
        <v>11000</v>
      </c>
      <c r="H11" s="26" t="s">
        <v>100</v>
      </c>
      <c r="I11" s="27">
        <v>11000</v>
      </c>
      <c r="J11" s="94">
        <v>8000</v>
      </c>
      <c r="K11" s="22">
        <f>AVERAGE(D11:J11)</f>
        <v>10000</v>
      </c>
      <c r="M11" s="5"/>
      <c r="N11" s="5"/>
    </row>
    <row r="12" spans="1:14" ht="15.75" x14ac:dyDescent="0.25">
      <c r="A12" s="184"/>
      <c r="B12" s="13" t="s">
        <v>10</v>
      </c>
      <c r="C12" s="14" t="s">
        <v>6</v>
      </c>
      <c r="D12" s="43" t="s">
        <v>100</v>
      </c>
      <c r="E12" s="29">
        <v>23000</v>
      </c>
      <c r="F12" s="30" t="s">
        <v>100</v>
      </c>
      <c r="G12" s="21">
        <v>18000</v>
      </c>
      <c r="H12" s="26" t="s">
        <v>100</v>
      </c>
      <c r="I12" s="27">
        <v>18000</v>
      </c>
      <c r="J12" s="94">
        <v>18000</v>
      </c>
      <c r="K12" s="22">
        <f t="shared" si="0"/>
        <v>19250</v>
      </c>
      <c r="M12" s="5"/>
      <c r="N12" s="5"/>
    </row>
    <row r="13" spans="1:14" ht="15.75" x14ac:dyDescent="0.25">
      <c r="A13" s="182">
        <v>2</v>
      </c>
      <c r="B13" s="32" t="s">
        <v>11</v>
      </c>
      <c r="C13" s="33"/>
      <c r="D13" s="34"/>
      <c r="E13" s="35"/>
      <c r="F13" s="36"/>
      <c r="G13" s="37"/>
      <c r="H13" s="38"/>
      <c r="I13" s="38"/>
      <c r="J13" s="38"/>
      <c r="K13" s="39"/>
      <c r="M13" s="5"/>
      <c r="N13" s="40"/>
    </row>
    <row r="14" spans="1:14" ht="15.75" x14ac:dyDescent="0.25">
      <c r="A14" s="183"/>
      <c r="B14" s="41" t="s">
        <v>12</v>
      </c>
      <c r="C14" s="14" t="s">
        <v>6</v>
      </c>
      <c r="D14" s="23">
        <v>13000</v>
      </c>
      <c r="E14" s="16">
        <v>13000</v>
      </c>
      <c r="F14" s="16">
        <v>13500</v>
      </c>
      <c r="G14" s="16">
        <v>13000</v>
      </c>
      <c r="H14" s="17">
        <v>13000</v>
      </c>
      <c r="I14" s="17">
        <v>13500</v>
      </c>
      <c r="J14" s="42">
        <v>13000</v>
      </c>
      <c r="K14" s="22">
        <f t="shared" si="0"/>
        <v>13142.857142857143</v>
      </c>
      <c r="M14" s="5"/>
      <c r="N14" s="5"/>
    </row>
    <row r="15" spans="1:14" ht="15.75" x14ac:dyDescent="0.25">
      <c r="A15" s="184"/>
      <c r="B15" s="13" t="s">
        <v>13</v>
      </c>
      <c r="C15" s="14" t="s">
        <v>6</v>
      </c>
      <c r="D15" s="43">
        <v>15000</v>
      </c>
      <c r="E15" s="29">
        <v>16000</v>
      </c>
      <c r="F15" s="24">
        <v>16000</v>
      </c>
      <c r="G15" s="21">
        <v>19000</v>
      </c>
      <c r="H15" s="17">
        <v>15000</v>
      </c>
      <c r="I15" s="17">
        <v>16000</v>
      </c>
      <c r="J15" s="42">
        <v>16000</v>
      </c>
      <c r="K15" s="22">
        <f t="shared" si="0"/>
        <v>16142.857142857143</v>
      </c>
      <c r="M15" s="5"/>
      <c r="N15" s="5"/>
    </row>
    <row r="16" spans="1:14" ht="15.75" x14ac:dyDescent="0.25">
      <c r="A16" s="182"/>
      <c r="B16" s="32" t="s">
        <v>14</v>
      </c>
      <c r="C16" s="44"/>
      <c r="D16" s="45"/>
      <c r="E16" s="46"/>
      <c r="F16" s="47"/>
      <c r="G16" s="47"/>
      <c r="H16" s="48"/>
      <c r="I16" s="48"/>
      <c r="J16" s="49"/>
      <c r="K16" s="39"/>
      <c r="M16" s="5"/>
      <c r="N16" s="5"/>
    </row>
    <row r="17" spans="1:14" ht="15.75" x14ac:dyDescent="0.25">
      <c r="A17" s="184"/>
      <c r="B17" s="13" t="s">
        <v>15</v>
      </c>
      <c r="C17" s="14" t="s">
        <v>6</v>
      </c>
      <c r="D17" s="23">
        <v>16000</v>
      </c>
      <c r="E17" s="29">
        <v>16000</v>
      </c>
      <c r="F17" s="16">
        <v>17000</v>
      </c>
      <c r="G17" s="16">
        <v>16000</v>
      </c>
      <c r="H17" s="17">
        <v>16000</v>
      </c>
      <c r="I17" s="17">
        <v>16500</v>
      </c>
      <c r="J17" s="42">
        <v>16000</v>
      </c>
      <c r="K17" s="22">
        <f t="shared" si="0"/>
        <v>16214.285714285714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150000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114857.14285714286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29000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30714.285714285714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48000</v>
      </c>
      <c r="E26" s="16">
        <v>44000</v>
      </c>
      <c r="F26" s="29">
        <v>35000</v>
      </c>
      <c r="G26" s="16">
        <v>40000</v>
      </c>
      <c r="H26" s="17">
        <v>30000</v>
      </c>
      <c r="I26" s="26">
        <v>38000</v>
      </c>
      <c r="J26" s="42">
        <v>35000</v>
      </c>
      <c r="K26" s="22">
        <f t="shared" si="0"/>
        <v>38571.428571428572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60000</v>
      </c>
      <c r="F28" s="58">
        <v>60000</v>
      </c>
      <c r="G28" s="21">
        <v>85000</v>
      </c>
      <c r="H28" s="17">
        <v>58000</v>
      </c>
      <c r="I28" s="26">
        <v>65000</v>
      </c>
      <c r="J28" s="28">
        <v>55000</v>
      </c>
      <c r="K28" s="22">
        <f t="shared" si="0"/>
        <v>63833.333333333336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>
        <v>25000</v>
      </c>
      <c r="H29" s="17">
        <v>23000</v>
      </c>
      <c r="I29" s="26">
        <v>24000</v>
      </c>
      <c r="J29" s="28">
        <v>26000</v>
      </c>
      <c r="K29" s="22">
        <f t="shared" si="0"/>
        <v>24500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36000</v>
      </c>
      <c r="F30" s="16">
        <v>40000</v>
      </c>
      <c r="G30" s="16">
        <v>40000</v>
      </c>
      <c r="H30" s="17">
        <v>28000</v>
      </c>
      <c r="I30" s="26">
        <v>38000</v>
      </c>
      <c r="J30" s="42">
        <v>30000</v>
      </c>
      <c r="K30" s="22">
        <f t="shared" si="0"/>
        <v>36000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100000</v>
      </c>
      <c r="G31" s="16">
        <v>60000</v>
      </c>
      <c r="H31" s="17">
        <v>80000</v>
      </c>
      <c r="I31" s="26" t="s">
        <v>100</v>
      </c>
      <c r="J31" s="28" t="s">
        <v>100</v>
      </c>
      <c r="K31" s="22">
        <f t="shared" si="0"/>
        <v>84000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27000</v>
      </c>
      <c r="F33" s="16">
        <v>26000</v>
      </c>
      <c r="G33" s="16">
        <v>26000</v>
      </c>
      <c r="H33" s="17">
        <v>25000</v>
      </c>
      <c r="I33" s="17">
        <v>27000</v>
      </c>
      <c r="J33" s="42">
        <v>26500</v>
      </c>
      <c r="K33" s="22">
        <f t="shared" si="0"/>
        <v>26214.285714285714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2400</v>
      </c>
      <c r="H34" s="17">
        <v>2000</v>
      </c>
      <c r="I34" s="17">
        <v>2500</v>
      </c>
      <c r="J34" s="42">
        <v>3000</v>
      </c>
      <c r="K34" s="22">
        <f t="shared" si="0"/>
        <v>2342.8571428571427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f t="shared" si="0"/>
        <v>19700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>
        <v>11000</v>
      </c>
      <c r="H42" s="17">
        <v>9000</v>
      </c>
      <c r="I42" s="55">
        <v>10000</v>
      </c>
      <c r="J42" s="42">
        <v>8000</v>
      </c>
      <c r="K42" s="22">
        <f t="shared" si="0"/>
        <v>9428.5714285714294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2500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4000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12500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10714.285714285714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11500</v>
      </c>
      <c r="I49" s="26">
        <v>17000</v>
      </c>
      <c r="J49" s="56" t="s">
        <v>100</v>
      </c>
      <c r="K49" s="22">
        <f t="shared" si="0"/>
        <v>15750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24000</v>
      </c>
      <c r="E51" s="16">
        <v>23000</v>
      </c>
      <c r="F51" s="16">
        <v>26000</v>
      </c>
      <c r="G51" s="16">
        <v>26000</v>
      </c>
      <c r="H51" s="17">
        <v>23000</v>
      </c>
      <c r="I51" s="17">
        <v>26000</v>
      </c>
      <c r="J51" s="56">
        <v>25000</v>
      </c>
      <c r="K51" s="22">
        <f t="shared" si="0"/>
        <v>24714.285714285714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28000</v>
      </c>
      <c r="E52" s="16">
        <v>30000</v>
      </c>
      <c r="F52" s="16">
        <v>28000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28428.571428571428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3200</v>
      </c>
      <c r="H54" s="51" t="s">
        <v>100</v>
      </c>
      <c r="I54" s="27">
        <v>3500</v>
      </c>
      <c r="J54" s="42">
        <v>2500</v>
      </c>
      <c r="K54" s="22">
        <f t="shared" si="0"/>
        <v>3066.6666666666665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24000</v>
      </c>
      <c r="E56" s="16">
        <v>40000</v>
      </c>
      <c r="F56" s="16">
        <v>25000</v>
      </c>
      <c r="G56" s="16">
        <v>30000</v>
      </c>
      <c r="H56" s="17">
        <v>22000</v>
      </c>
      <c r="I56" s="17">
        <v>30000</v>
      </c>
      <c r="J56" s="42">
        <v>25000</v>
      </c>
      <c r="K56" s="22">
        <f t="shared" si="0"/>
        <v>28000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45000</v>
      </c>
      <c r="E57" s="16">
        <v>35000</v>
      </c>
      <c r="F57" s="16">
        <v>35000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38750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44000</v>
      </c>
      <c r="E58" s="16">
        <v>45000</v>
      </c>
      <c r="F58" s="16">
        <v>50000</v>
      </c>
      <c r="G58" s="16">
        <v>55000</v>
      </c>
      <c r="H58" s="17">
        <v>40000</v>
      </c>
      <c r="I58" s="17">
        <v>50000</v>
      </c>
      <c r="J58" s="42">
        <v>55000</v>
      </c>
      <c r="K58" s="22">
        <f t="shared" si="0"/>
        <v>48428.571428571428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27000</v>
      </c>
      <c r="E62" s="16">
        <v>40000</v>
      </c>
      <c r="F62" s="16">
        <v>30000</v>
      </c>
      <c r="G62" s="16">
        <v>30000</v>
      </c>
      <c r="H62" s="17">
        <v>27000</v>
      </c>
      <c r="I62" s="17">
        <v>35000</v>
      </c>
      <c r="J62" s="42">
        <v>30000</v>
      </c>
      <c r="K62" s="22">
        <f t="shared" si="0"/>
        <v>31285.714285714286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28000</v>
      </c>
      <c r="F63" s="16">
        <v>28000</v>
      </c>
      <c r="G63" s="16">
        <v>25000</v>
      </c>
      <c r="H63" s="17">
        <v>25000</v>
      </c>
      <c r="I63" s="17">
        <v>27000</v>
      </c>
      <c r="J63" s="42">
        <v>25000</v>
      </c>
      <c r="K63" s="22">
        <f t="shared" si="0"/>
        <v>26285.714285714286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40000</v>
      </c>
      <c r="E64" s="16">
        <v>38000</v>
      </c>
      <c r="F64" s="16">
        <v>42000</v>
      </c>
      <c r="G64" s="16">
        <v>35000</v>
      </c>
      <c r="H64" s="17">
        <v>38000</v>
      </c>
      <c r="I64" s="17">
        <v>40000</v>
      </c>
      <c r="J64" s="42">
        <v>45000</v>
      </c>
      <c r="K64" s="22">
        <f t="shared" si="0"/>
        <v>39714.285714285717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25000</v>
      </c>
      <c r="J65" s="56">
        <v>22000</v>
      </c>
      <c r="K65" s="22">
        <f t="shared" si="0"/>
        <v>21714.285714285714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10000</v>
      </c>
      <c r="E70" s="16">
        <v>13000</v>
      </c>
      <c r="F70" s="16">
        <v>12000</v>
      </c>
      <c r="G70" s="16">
        <v>8000</v>
      </c>
      <c r="H70" s="17">
        <v>11000</v>
      </c>
      <c r="I70" s="27">
        <v>10000</v>
      </c>
      <c r="J70" s="42">
        <v>10000</v>
      </c>
      <c r="K70" s="22">
        <f t="shared" si="0"/>
        <v>10571.428571428571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5000</v>
      </c>
      <c r="I71" s="27">
        <v>15000</v>
      </c>
      <c r="J71" s="42">
        <v>15000</v>
      </c>
      <c r="K71" s="22">
        <f t="shared" si="0"/>
        <v>11571.428571428571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13000</v>
      </c>
      <c r="E72" s="16">
        <v>15000</v>
      </c>
      <c r="F72" s="16">
        <v>18000</v>
      </c>
      <c r="G72" s="16">
        <v>15000</v>
      </c>
      <c r="H72" s="17">
        <v>15000</v>
      </c>
      <c r="I72" s="17">
        <v>14000</v>
      </c>
      <c r="J72" s="42">
        <v>20000</v>
      </c>
      <c r="K72" s="22">
        <f t="shared" si="0"/>
        <v>15714.285714285714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14000</v>
      </c>
      <c r="E73" s="16">
        <v>8000</v>
      </c>
      <c r="F73" s="16">
        <v>16000</v>
      </c>
      <c r="G73" s="16">
        <v>20000</v>
      </c>
      <c r="H73" s="17">
        <v>5000</v>
      </c>
      <c r="I73" s="55">
        <v>8000</v>
      </c>
      <c r="J73" s="42">
        <v>8000</v>
      </c>
      <c r="K73" s="22">
        <f t="shared" ref="K73:K80" si="1">AVERAGE(D73:J73)</f>
        <v>11285.714285714286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10000</v>
      </c>
      <c r="F74" s="16">
        <v>12000</v>
      </c>
      <c r="G74" s="16">
        <v>13000</v>
      </c>
      <c r="H74" s="17">
        <v>10000</v>
      </c>
      <c r="I74" s="17">
        <v>13000</v>
      </c>
      <c r="J74" s="42">
        <v>10000</v>
      </c>
      <c r="K74" s="22">
        <f t="shared" si="1"/>
        <v>11000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12000</v>
      </c>
      <c r="F75" s="30" t="s">
        <v>100</v>
      </c>
      <c r="G75" s="21">
        <v>10000</v>
      </c>
      <c r="H75" s="87">
        <v>9000</v>
      </c>
      <c r="I75" s="88">
        <v>10000</v>
      </c>
      <c r="J75" s="89">
        <v>7000</v>
      </c>
      <c r="K75" s="22">
        <f t="shared" si="1"/>
        <v>9600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1000</v>
      </c>
      <c r="K76" s="22">
        <f t="shared" si="1"/>
        <v>1700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61:A65"/>
    <mergeCell ref="A35:A37"/>
    <mergeCell ref="A38:A40"/>
    <mergeCell ref="A44:A45"/>
    <mergeCell ref="A46:A47"/>
    <mergeCell ref="A48:A52"/>
    <mergeCell ref="A55:A58"/>
    <mergeCell ref="A32:A34"/>
    <mergeCell ref="H4:H6"/>
    <mergeCell ref="I4:I6"/>
    <mergeCell ref="K4:K6"/>
    <mergeCell ref="A7:A12"/>
    <mergeCell ref="A13:A15"/>
    <mergeCell ref="A16:A17"/>
    <mergeCell ref="A18:A19"/>
    <mergeCell ref="A20:A24"/>
    <mergeCell ref="A25:A31"/>
    <mergeCell ref="F4:F6"/>
    <mergeCell ref="G4:G6"/>
    <mergeCell ref="A1:K1"/>
    <mergeCell ref="A2:K2"/>
    <mergeCell ref="A3:K3"/>
    <mergeCell ref="J4:J6"/>
    <mergeCell ref="A4:A6"/>
    <mergeCell ref="B4:B6"/>
    <mergeCell ref="C4:C6"/>
    <mergeCell ref="D4:D6"/>
    <mergeCell ref="E4:E6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BF32-7777-4C27-B15A-F3E554CE08DA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113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201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202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3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5</v>
      </c>
      <c r="C8" s="14" t="s">
        <v>6</v>
      </c>
      <c r="D8" s="15">
        <v>12000</v>
      </c>
      <c r="E8" s="95">
        <v>12500</v>
      </c>
      <c r="F8" s="95">
        <v>13500</v>
      </c>
      <c r="G8" s="29">
        <v>12800</v>
      </c>
      <c r="H8" s="42">
        <v>12500</v>
      </c>
      <c r="I8" s="42">
        <v>13000</v>
      </c>
      <c r="J8" s="18">
        <v>12500</v>
      </c>
      <c r="K8" s="19">
        <f>AVERAGE(D8:J8)</f>
        <v>12685.714285714286</v>
      </c>
      <c r="L8" s="1"/>
      <c r="M8" s="20"/>
      <c r="N8" s="5"/>
    </row>
    <row r="9" spans="1:14" ht="15.75" x14ac:dyDescent="0.25">
      <c r="A9" s="183"/>
      <c r="B9" s="13" t="s">
        <v>7</v>
      </c>
      <c r="C9" s="14" t="s">
        <v>6</v>
      </c>
      <c r="D9" s="23">
        <v>11000</v>
      </c>
      <c r="E9" s="16">
        <v>11500</v>
      </c>
      <c r="F9" s="16">
        <v>12000</v>
      </c>
      <c r="G9" s="21">
        <v>12000</v>
      </c>
      <c r="H9" s="17">
        <v>10500</v>
      </c>
      <c r="I9" s="17">
        <v>11500</v>
      </c>
      <c r="J9" s="94">
        <v>11000</v>
      </c>
      <c r="K9" s="22">
        <f t="shared" ref="K9:K72" si="0">AVERAGE(D9:J9)</f>
        <v>11357.142857142857</v>
      </c>
      <c r="M9" s="5"/>
      <c r="N9" s="5"/>
    </row>
    <row r="10" spans="1:14" ht="15.75" x14ac:dyDescent="0.25">
      <c r="A10" s="183"/>
      <c r="B10" s="13" t="s">
        <v>8</v>
      </c>
      <c r="C10" s="14" t="s">
        <v>6</v>
      </c>
      <c r="D10" s="43">
        <v>0</v>
      </c>
      <c r="E10" s="16">
        <v>0</v>
      </c>
      <c r="F10" s="24">
        <v>12000</v>
      </c>
      <c r="G10" s="25">
        <v>9450</v>
      </c>
      <c r="H10" s="26">
        <v>9500</v>
      </c>
      <c r="I10" s="27">
        <v>10500</v>
      </c>
      <c r="J10" s="27" t="s">
        <v>100</v>
      </c>
      <c r="K10" s="22">
        <f t="shared" si="0"/>
        <v>6908.333333333333</v>
      </c>
      <c r="M10" s="5"/>
      <c r="N10" s="5"/>
    </row>
    <row r="11" spans="1:14" ht="15.75" x14ac:dyDescent="0.25">
      <c r="A11" s="183"/>
      <c r="B11" s="13" t="s">
        <v>9</v>
      </c>
      <c r="C11" s="14" t="s">
        <v>6</v>
      </c>
      <c r="D11" s="43" t="s">
        <v>100</v>
      </c>
      <c r="E11" s="29" t="s">
        <v>100</v>
      </c>
      <c r="F11" s="30" t="s">
        <v>100</v>
      </c>
      <c r="G11" s="21">
        <v>11000</v>
      </c>
      <c r="H11" s="26" t="s">
        <v>100</v>
      </c>
      <c r="I11" s="27">
        <v>11000</v>
      </c>
      <c r="J11" s="94">
        <v>8000</v>
      </c>
      <c r="K11" s="22">
        <f>AVERAGE(D11:J11)</f>
        <v>10000</v>
      </c>
      <c r="M11" s="5"/>
      <c r="N11" s="5"/>
    </row>
    <row r="12" spans="1:14" ht="15.75" x14ac:dyDescent="0.25">
      <c r="A12" s="184"/>
      <c r="B12" s="13" t="s">
        <v>10</v>
      </c>
      <c r="C12" s="14" t="s">
        <v>6</v>
      </c>
      <c r="D12" s="43" t="s">
        <v>100</v>
      </c>
      <c r="E12" s="29">
        <v>23000</v>
      </c>
      <c r="F12" s="30" t="s">
        <v>100</v>
      </c>
      <c r="G12" s="21">
        <v>18000</v>
      </c>
      <c r="H12" s="26" t="s">
        <v>100</v>
      </c>
      <c r="I12" s="27">
        <v>18000</v>
      </c>
      <c r="J12" s="94">
        <v>18000</v>
      </c>
      <c r="K12" s="22">
        <f t="shared" si="0"/>
        <v>19250</v>
      </c>
      <c r="M12" s="5"/>
      <c r="N12" s="5"/>
    </row>
    <row r="13" spans="1:14" ht="15.75" x14ac:dyDescent="0.25">
      <c r="A13" s="182">
        <v>2</v>
      </c>
      <c r="B13" s="32" t="s">
        <v>11</v>
      </c>
      <c r="C13" s="33"/>
      <c r="D13" s="34"/>
      <c r="E13" s="35"/>
      <c r="F13" s="36"/>
      <c r="G13" s="37"/>
      <c r="H13" s="38"/>
      <c r="I13" s="38"/>
      <c r="J13" s="38"/>
      <c r="K13" s="39"/>
      <c r="M13" s="5"/>
      <c r="N13" s="40"/>
    </row>
    <row r="14" spans="1:14" ht="15.75" x14ac:dyDescent="0.25">
      <c r="A14" s="183"/>
      <c r="B14" s="41" t="s">
        <v>12</v>
      </c>
      <c r="C14" s="14" t="s">
        <v>6</v>
      </c>
      <c r="D14" s="23">
        <v>13000</v>
      </c>
      <c r="E14" s="16">
        <v>13000</v>
      </c>
      <c r="F14" s="16">
        <v>13500</v>
      </c>
      <c r="G14" s="16">
        <v>13000</v>
      </c>
      <c r="H14" s="17">
        <v>13000</v>
      </c>
      <c r="I14" s="17">
        <v>13500</v>
      </c>
      <c r="J14" s="42">
        <v>13000</v>
      </c>
      <c r="K14" s="22">
        <f t="shared" si="0"/>
        <v>13142.857142857143</v>
      </c>
      <c r="M14" s="5"/>
      <c r="N14" s="5"/>
    </row>
    <row r="15" spans="1:14" ht="15.75" x14ac:dyDescent="0.25">
      <c r="A15" s="184"/>
      <c r="B15" s="13" t="s">
        <v>13</v>
      </c>
      <c r="C15" s="14" t="s">
        <v>6</v>
      </c>
      <c r="D15" s="43">
        <v>15000</v>
      </c>
      <c r="E15" s="29">
        <v>16000</v>
      </c>
      <c r="F15" s="24">
        <v>16000</v>
      </c>
      <c r="G15" s="21">
        <v>19000</v>
      </c>
      <c r="H15" s="17">
        <v>15000</v>
      </c>
      <c r="I15" s="17">
        <v>16000</v>
      </c>
      <c r="J15" s="42">
        <v>16000</v>
      </c>
      <c r="K15" s="22">
        <f t="shared" si="0"/>
        <v>16142.857142857143</v>
      </c>
      <c r="M15" s="5"/>
      <c r="N15" s="5"/>
    </row>
    <row r="16" spans="1:14" ht="15.75" x14ac:dyDescent="0.25">
      <c r="A16" s="182"/>
      <c r="B16" s="32" t="s">
        <v>14</v>
      </c>
      <c r="C16" s="44"/>
      <c r="D16" s="45"/>
      <c r="E16" s="46"/>
      <c r="F16" s="47"/>
      <c r="G16" s="47"/>
      <c r="H16" s="48"/>
      <c r="I16" s="48"/>
      <c r="J16" s="49"/>
      <c r="K16" s="39"/>
      <c r="M16" s="5"/>
      <c r="N16" s="5"/>
    </row>
    <row r="17" spans="1:14" ht="15.75" x14ac:dyDescent="0.25">
      <c r="A17" s="184"/>
      <c r="B17" s="13" t="s">
        <v>15</v>
      </c>
      <c r="C17" s="14" t="s">
        <v>6</v>
      </c>
      <c r="D17" s="23">
        <v>16000</v>
      </c>
      <c r="E17" s="29">
        <v>16000</v>
      </c>
      <c r="F17" s="16">
        <v>17000</v>
      </c>
      <c r="G17" s="16">
        <v>16000</v>
      </c>
      <c r="H17" s="17">
        <v>16000</v>
      </c>
      <c r="I17" s="17">
        <v>16500</v>
      </c>
      <c r="J17" s="42">
        <v>16000</v>
      </c>
      <c r="K17" s="22">
        <f t="shared" si="0"/>
        <v>16214.285714285714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29000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30714.285714285714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48000</v>
      </c>
      <c r="E26" s="16">
        <v>44000</v>
      </c>
      <c r="F26" s="29">
        <v>35000</v>
      </c>
      <c r="G26" s="16">
        <v>40000</v>
      </c>
      <c r="H26" s="17">
        <v>30000</v>
      </c>
      <c r="I26" s="26">
        <v>38000</v>
      </c>
      <c r="J26" s="42">
        <v>35000</v>
      </c>
      <c r="K26" s="22">
        <f t="shared" si="0"/>
        <v>38571.428571428572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60000</v>
      </c>
      <c r="F28" s="58">
        <v>60000</v>
      </c>
      <c r="G28" s="21">
        <v>85000</v>
      </c>
      <c r="H28" s="17">
        <v>58000</v>
      </c>
      <c r="I28" s="26">
        <v>65000</v>
      </c>
      <c r="J28" s="28">
        <v>55000</v>
      </c>
      <c r="K28" s="22">
        <f t="shared" si="0"/>
        <v>63833.333333333336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>
        <v>25000</v>
      </c>
      <c r="H29" s="17">
        <v>23000</v>
      </c>
      <c r="I29" s="26">
        <v>24000</v>
      </c>
      <c r="J29" s="28">
        <v>26000</v>
      </c>
      <c r="K29" s="22">
        <f t="shared" si="0"/>
        <v>24500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36000</v>
      </c>
      <c r="F30" s="16">
        <v>40000</v>
      </c>
      <c r="G30" s="16">
        <v>40000</v>
      </c>
      <c r="H30" s="17">
        <v>28000</v>
      </c>
      <c r="I30" s="26">
        <v>38000</v>
      </c>
      <c r="J30" s="42">
        <v>30000</v>
      </c>
      <c r="K30" s="22">
        <f t="shared" si="0"/>
        <v>36000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16">
        <v>60000</v>
      </c>
      <c r="H31" s="17">
        <v>80000</v>
      </c>
      <c r="I31" s="26" t="s">
        <v>100</v>
      </c>
      <c r="J31" s="28" t="s">
        <v>100</v>
      </c>
      <c r="K31" s="22">
        <f t="shared" si="0"/>
        <v>80000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27000</v>
      </c>
      <c r="F33" s="16">
        <v>26000</v>
      </c>
      <c r="G33" s="16">
        <v>26000</v>
      </c>
      <c r="H33" s="17">
        <v>25000</v>
      </c>
      <c r="I33" s="17">
        <v>26000</v>
      </c>
      <c r="J33" s="42">
        <v>26500</v>
      </c>
      <c r="K33" s="22">
        <f t="shared" si="0"/>
        <v>26071.428571428572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2400</v>
      </c>
      <c r="H34" s="17">
        <v>2000</v>
      </c>
      <c r="I34" s="17">
        <v>2500</v>
      </c>
      <c r="J34" s="42">
        <v>3000</v>
      </c>
      <c r="K34" s="22">
        <f t="shared" si="0"/>
        <v>2342.8571428571427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f t="shared" si="0"/>
        <v>19700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>
        <v>11000</v>
      </c>
      <c r="H42" s="17">
        <v>9000</v>
      </c>
      <c r="I42" s="55">
        <v>10000</v>
      </c>
      <c r="J42" s="42">
        <v>8000</v>
      </c>
      <c r="K42" s="22">
        <f t="shared" si="0"/>
        <v>9428.5714285714294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12500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10714.285714285714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11500</v>
      </c>
      <c r="I49" s="26">
        <v>17000</v>
      </c>
      <c r="J49" s="56" t="s">
        <v>100</v>
      </c>
      <c r="K49" s="22">
        <f t="shared" si="0"/>
        <v>15750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24000</v>
      </c>
      <c r="E51" s="16">
        <v>23000</v>
      </c>
      <c r="F51" s="16">
        <v>26000</v>
      </c>
      <c r="G51" s="16">
        <v>26000</v>
      </c>
      <c r="H51" s="17">
        <v>23000</v>
      </c>
      <c r="I51" s="17">
        <v>26000</v>
      </c>
      <c r="J51" s="56">
        <v>25000</v>
      </c>
      <c r="K51" s="22">
        <f t="shared" si="0"/>
        <v>24714.285714285714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28000</v>
      </c>
      <c r="E52" s="16">
        <v>30000</v>
      </c>
      <c r="F52" s="16">
        <v>28000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28428.571428571428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3200</v>
      </c>
      <c r="H54" s="51" t="s">
        <v>100</v>
      </c>
      <c r="I54" s="27">
        <v>3500</v>
      </c>
      <c r="J54" s="42">
        <v>2500</v>
      </c>
      <c r="K54" s="22">
        <f t="shared" si="0"/>
        <v>3066.6666666666665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24000</v>
      </c>
      <c r="E56" s="16">
        <v>40000</v>
      </c>
      <c r="F56" s="16">
        <v>25000</v>
      </c>
      <c r="G56" s="16">
        <v>30000</v>
      </c>
      <c r="H56" s="17">
        <v>23000</v>
      </c>
      <c r="I56" s="17">
        <v>30000</v>
      </c>
      <c r="J56" s="42">
        <v>25000</v>
      </c>
      <c r="K56" s="22">
        <f t="shared" si="0"/>
        <v>28142.857142857141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45000</v>
      </c>
      <c r="E57" s="16">
        <v>35000</v>
      </c>
      <c r="F57" s="16">
        <v>35000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38750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44000</v>
      </c>
      <c r="E58" s="16">
        <v>45000</v>
      </c>
      <c r="F58" s="16">
        <v>55000</v>
      </c>
      <c r="G58" s="16">
        <v>55000</v>
      </c>
      <c r="H58" s="17">
        <v>40000</v>
      </c>
      <c r="I58" s="17">
        <v>50000</v>
      </c>
      <c r="J58" s="42">
        <v>55000</v>
      </c>
      <c r="K58" s="22">
        <f t="shared" si="0"/>
        <v>49142.857142857145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27000</v>
      </c>
      <c r="E62" s="16">
        <v>40000</v>
      </c>
      <c r="F62" s="16">
        <v>30000</v>
      </c>
      <c r="G62" s="16">
        <v>30000</v>
      </c>
      <c r="H62" s="17">
        <v>26000</v>
      </c>
      <c r="I62" s="17">
        <v>35000</v>
      </c>
      <c r="J62" s="42">
        <v>30000</v>
      </c>
      <c r="K62" s="22">
        <f t="shared" si="0"/>
        <v>31142.857142857141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28000</v>
      </c>
      <c r="F63" s="16">
        <v>28000</v>
      </c>
      <c r="G63" s="16">
        <v>25000</v>
      </c>
      <c r="H63" s="17">
        <v>23000</v>
      </c>
      <c r="I63" s="17">
        <v>27000</v>
      </c>
      <c r="J63" s="42">
        <v>25000</v>
      </c>
      <c r="K63" s="22">
        <f t="shared" si="0"/>
        <v>26000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40000</v>
      </c>
      <c r="E64" s="16">
        <v>38000</v>
      </c>
      <c r="F64" s="16">
        <v>40000</v>
      </c>
      <c r="G64" s="16">
        <v>35000</v>
      </c>
      <c r="H64" s="17">
        <v>35000</v>
      </c>
      <c r="I64" s="17">
        <v>40000</v>
      </c>
      <c r="J64" s="42">
        <v>45000</v>
      </c>
      <c r="K64" s="22">
        <f t="shared" si="0"/>
        <v>39000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25000</v>
      </c>
      <c r="J65" s="56">
        <v>22000</v>
      </c>
      <c r="K65" s="22">
        <f t="shared" si="0"/>
        <v>21714.285714285714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10000</v>
      </c>
      <c r="E70" s="16">
        <v>13000</v>
      </c>
      <c r="F70" s="16">
        <v>12000</v>
      </c>
      <c r="G70" s="16">
        <v>8000</v>
      </c>
      <c r="H70" s="17">
        <v>9000</v>
      </c>
      <c r="I70" s="27">
        <v>10000</v>
      </c>
      <c r="J70" s="42">
        <v>10000</v>
      </c>
      <c r="K70" s="22">
        <f t="shared" si="0"/>
        <v>10285.714285714286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15000</v>
      </c>
      <c r="J71" s="42">
        <v>15000</v>
      </c>
      <c r="K71" s="22">
        <f t="shared" si="0"/>
        <v>12285.714285714286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13000</v>
      </c>
      <c r="E72" s="16">
        <v>15000</v>
      </c>
      <c r="F72" s="16">
        <v>18000</v>
      </c>
      <c r="G72" s="16">
        <v>15000</v>
      </c>
      <c r="H72" s="17">
        <v>15000</v>
      </c>
      <c r="I72" s="17">
        <v>14000</v>
      </c>
      <c r="J72" s="42">
        <v>20000</v>
      </c>
      <c r="K72" s="22">
        <f t="shared" si="0"/>
        <v>15714.285714285714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14000</v>
      </c>
      <c r="E73" s="16">
        <v>8000</v>
      </c>
      <c r="F73" s="16">
        <v>16000</v>
      </c>
      <c r="G73" s="16">
        <v>20000</v>
      </c>
      <c r="H73" s="17">
        <v>5000</v>
      </c>
      <c r="I73" s="55">
        <v>8000</v>
      </c>
      <c r="J73" s="42">
        <v>8000</v>
      </c>
      <c r="K73" s="22">
        <f t="shared" ref="K73:K80" si="1">AVERAGE(D73:J73)</f>
        <v>11285.714285714286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10000</v>
      </c>
      <c r="F74" s="16">
        <v>12000</v>
      </c>
      <c r="G74" s="16">
        <v>13000</v>
      </c>
      <c r="H74" s="17">
        <v>10000</v>
      </c>
      <c r="I74" s="17">
        <v>13000</v>
      </c>
      <c r="J74" s="42">
        <v>10000</v>
      </c>
      <c r="K74" s="22">
        <f t="shared" si="1"/>
        <v>11000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12000</v>
      </c>
      <c r="F75" s="30" t="s">
        <v>100</v>
      </c>
      <c r="G75" s="21">
        <v>10000</v>
      </c>
      <c r="H75" s="87">
        <v>9000</v>
      </c>
      <c r="I75" s="88">
        <v>10000</v>
      </c>
      <c r="J75" s="89">
        <v>7000</v>
      </c>
      <c r="K75" s="22">
        <f t="shared" si="1"/>
        <v>9600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1000</v>
      </c>
      <c r="K76" s="22">
        <f t="shared" si="1"/>
        <v>1700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61:A65"/>
    <mergeCell ref="A16:A17"/>
    <mergeCell ref="A18:A19"/>
    <mergeCell ref="A20:A24"/>
    <mergeCell ref="A25:A31"/>
    <mergeCell ref="A32:A34"/>
    <mergeCell ref="A35:A37"/>
    <mergeCell ref="A38:A40"/>
    <mergeCell ref="A44:A45"/>
    <mergeCell ref="A46:A47"/>
    <mergeCell ref="A48:A52"/>
    <mergeCell ref="A55:A58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AE36-EC26-4BD8-ABC0-1179920C4ED7}">
  <dimension ref="A1:W84"/>
  <sheetViews>
    <sheetView workbookViewId="0">
      <selection sqref="A1:W84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23" ht="32.25" customHeight="1" x14ac:dyDescent="0.25">
      <c r="A1" s="204" t="s">
        <v>89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137"/>
      <c r="M1" s="138"/>
      <c r="N1" s="138"/>
      <c r="O1" s="137"/>
      <c r="P1" s="137"/>
      <c r="Q1" s="137"/>
      <c r="R1" s="137"/>
      <c r="S1" s="137"/>
      <c r="T1" s="137"/>
      <c r="U1" s="137"/>
      <c r="V1" s="137"/>
      <c r="W1" s="137"/>
    </row>
    <row r="2" spans="1:23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37"/>
      <c r="M2" s="138"/>
      <c r="N2" s="138"/>
      <c r="O2" s="137"/>
      <c r="P2" s="137"/>
      <c r="Q2" s="137"/>
      <c r="R2" s="137"/>
      <c r="S2" s="137"/>
      <c r="T2" s="137"/>
      <c r="U2" s="137"/>
      <c r="V2" s="137"/>
      <c r="W2" s="137"/>
    </row>
    <row r="3" spans="1:23" ht="27.75" customHeight="1" thickBot="1" x14ac:dyDescent="0.3">
      <c r="A3" s="171" t="s">
        <v>114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L3" s="137"/>
      <c r="M3" s="138"/>
      <c r="N3" s="138"/>
      <c r="O3" s="137"/>
      <c r="P3" s="137"/>
      <c r="Q3" s="137"/>
      <c r="R3" s="137"/>
      <c r="S3" s="137"/>
      <c r="T3" s="137"/>
      <c r="U3" s="137"/>
      <c r="V3" s="137"/>
      <c r="W3" s="137"/>
    </row>
    <row r="4" spans="1:23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201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L4" s="137"/>
      <c r="M4" s="138"/>
      <c r="N4" s="138"/>
      <c r="O4" s="137"/>
      <c r="P4" s="137"/>
      <c r="Q4" s="137"/>
      <c r="R4" s="137"/>
      <c r="S4" s="137"/>
      <c r="T4" s="137"/>
      <c r="U4" s="137"/>
      <c r="V4" s="137"/>
      <c r="W4" s="137"/>
    </row>
    <row r="5" spans="1:23" ht="15" customHeight="1" x14ac:dyDescent="0.25">
      <c r="A5" s="163"/>
      <c r="B5" s="166"/>
      <c r="C5" s="163"/>
      <c r="D5" s="177"/>
      <c r="E5" s="180"/>
      <c r="F5" s="196"/>
      <c r="G5" s="202"/>
      <c r="H5" s="186"/>
      <c r="I5" s="189"/>
      <c r="J5" s="174"/>
      <c r="K5" s="192"/>
      <c r="L5" s="137"/>
      <c r="M5" s="138"/>
      <c r="N5" s="138"/>
      <c r="O5" s="137"/>
      <c r="P5" s="137"/>
      <c r="Q5" s="137"/>
      <c r="R5" s="137"/>
      <c r="S5" s="137"/>
      <c r="T5" s="137"/>
      <c r="U5" s="137"/>
      <c r="V5" s="137"/>
      <c r="W5" s="137"/>
    </row>
    <row r="6" spans="1:23" ht="16.5" thickBot="1" x14ac:dyDescent="0.3">
      <c r="A6" s="164"/>
      <c r="B6" s="167"/>
      <c r="C6" s="164"/>
      <c r="D6" s="178"/>
      <c r="E6" s="181"/>
      <c r="F6" s="197"/>
      <c r="G6" s="203"/>
      <c r="H6" s="187"/>
      <c r="I6" s="190"/>
      <c r="J6" s="175"/>
      <c r="K6" s="193"/>
      <c r="L6" s="137"/>
      <c r="M6" s="138"/>
      <c r="N6" s="138"/>
      <c r="O6" s="137"/>
      <c r="P6" s="137"/>
      <c r="Q6" s="137"/>
      <c r="R6" s="137"/>
      <c r="S6" s="137"/>
      <c r="T6" s="137"/>
      <c r="U6" s="137"/>
      <c r="V6" s="137"/>
      <c r="W6" s="137"/>
    </row>
    <row r="7" spans="1:23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L7" s="137"/>
      <c r="M7" s="138"/>
      <c r="N7" s="138"/>
      <c r="O7" s="137"/>
      <c r="P7" s="137"/>
      <c r="Q7" s="137"/>
      <c r="R7" s="137"/>
      <c r="S7" s="137"/>
      <c r="T7" s="137"/>
      <c r="U7" s="137"/>
      <c r="V7" s="137"/>
      <c r="W7" s="137"/>
    </row>
    <row r="8" spans="1:23" ht="15.75" x14ac:dyDescent="0.25">
      <c r="A8" s="183"/>
      <c r="B8" s="13" t="s">
        <v>5</v>
      </c>
      <c r="C8" s="14" t="s">
        <v>6</v>
      </c>
      <c r="D8" s="15">
        <v>12000</v>
      </c>
      <c r="E8" s="95">
        <v>12500</v>
      </c>
      <c r="F8" s="95">
        <v>13500</v>
      </c>
      <c r="G8" s="29">
        <v>12800</v>
      </c>
      <c r="H8" s="42">
        <v>12500</v>
      </c>
      <c r="I8" s="42">
        <v>13000</v>
      </c>
      <c r="J8" s="18">
        <v>12500</v>
      </c>
      <c r="K8" s="19">
        <v>12685.714285714286</v>
      </c>
      <c r="L8" s="142"/>
      <c r="M8" s="139"/>
      <c r="N8" s="138"/>
      <c r="O8" s="137"/>
      <c r="P8" s="137"/>
      <c r="Q8" s="137"/>
      <c r="R8" s="137"/>
      <c r="S8" s="137"/>
      <c r="T8" s="137"/>
      <c r="U8" s="137"/>
      <c r="V8" s="137"/>
      <c r="W8" s="137"/>
    </row>
    <row r="9" spans="1:23" ht="15.75" x14ac:dyDescent="0.25">
      <c r="A9" s="183"/>
      <c r="B9" s="13" t="s">
        <v>7</v>
      </c>
      <c r="C9" s="14" t="s">
        <v>6</v>
      </c>
      <c r="D9" s="23">
        <v>11000</v>
      </c>
      <c r="E9" s="16">
        <v>11500</v>
      </c>
      <c r="F9" s="16">
        <v>12000</v>
      </c>
      <c r="G9" s="21">
        <v>12000</v>
      </c>
      <c r="H9" s="17">
        <v>10500</v>
      </c>
      <c r="I9" s="17">
        <v>11500</v>
      </c>
      <c r="J9" s="94">
        <v>11000</v>
      </c>
      <c r="K9" s="22">
        <v>11357.142857142857</v>
      </c>
      <c r="L9" s="137"/>
      <c r="M9" s="138"/>
      <c r="N9" s="138"/>
      <c r="O9" s="137"/>
      <c r="P9" s="137"/>
      <c r="Q9" s="137"/>
      <c r="R9" s="137"/>
      <c r="S9" s="137"/>
      <c r="T9" s="137"/>
      <c r="U9" s="137"/>
      <c r="V9" s="137"/>
      <c r="W9" s="137"/>
    </row>
    <row r="10" spans="1:23" ht="15.75" x14ac:dyDescent="0.25">
      <c r="A10" s="183"/>
      <c r="B10" s="13" t="s">
        <v>8</v>
      </c>
      <c r="C10" s="14" t="s">
        <v>6</v>
      </c>
      <c r="D10" s="43">
        <v>11000</v>
      </c>
      <c r="E10" s="16">
        <v>0</v>
      </c>
      <c r="F10" s="24">
        <v>12000</v>
      </c>
      <c r="G10" s="25">
        <v>9450</v>
      </c>
      <c r="H10" s="26">
        <v>9500</v>
      </c>
      <c r="I10" s="27">
        <v>10500</v>
      </c>
      <c r="J10" s="27" t="s">
        <v>100</v>
      </c>
      <c r="K10" s="22">
        <v>8741.6666666666661</v>
      </c>
      <c r="L10" s="137"/>
      <c r="M10" s="138"/>
      <c r="N10" s="138"/>
      <c r="O10" s="137"/>
      <c r="P10" s="137"/>
      <c r="Q10" s="137"/>
      <c r="R10" s="137"/>
      <c r="S10" s="137"/>
      <c r="T10" s="137"/>
      <c r="U10" s="137"/>
      <c r="V10" s="137"/>
      <c r="W10" s="137"/>
    </row>
    <row r="11" spans="1:23" ht="15.75" x14ac:dyDescent="0.25">
      <c r="A11" s="183"/>
      <c r="B11" s="13" t="s">
        <v>9</v>
      </c>
      <c r="C11" s="14" t="s">
        <v>6</v>
      </c>
      <c r="D11" s="43" t="s">
        <v>100</v>
      </c>
      <c r="E11" s="29" t="s">
        <v>100</v>
      </c>
      <c r="F11" s="30" t="s">
        <v>100</v>
      </c>
      <c r="G11" s="21">
        <v>11000</v>
      </c>
      <c r="H11" s="26" t="s">
        <v>100</v>
      </c>
      <c r="I11" s="27">
        <v>11000</v>
      </c>
      <c r="J11" s="94">
        <v>8000</v>
      </c>
      <c r="K11" s="22">
        <v>10000</v>
      </c>
      <c r="L11" s="137"/>
      <c r="M11" s="138"/>
      <c r="N11" s="138"/>
      <c r="O11" s="137"/>
      <c r="P11" s="137"/>
      <c r="Q11" s="137"/>
      <c r="R11" s="137"/>
      <c r="S11" s="137"/>
      <c r="T11" s="137"/>
      <c r="U11" s="137"/>
      <c r="V11" s="137"/>
      <c r="W11" s="137"/>
    </row>
    <row r="12" spans="1:23" ht="15.75" x14ac:dyDescent="0.25">
      <c r="A12" s="184"/>
      <c r="B12" s="13" t="s">
        <v>10</v>
      </c>
      <c r="C12" s="14" t="s">
        <v>6</v>
      </c>
      <c r="D12" s="43" t="s">
        <v>100</v>
      </c>
      <c r="E12" s="29">
        <v>23000</v>
      </c>
      <c r="F12" s="30" t="s">
        <v>100</v>
      </c>
      <c r="G12" s="21">
        <v>18000</v>
      </c>
      <c r="H12" s="26" t="s">
        <v>100</v>
      </c>
      <c r="I12" s="27">
        <v>18000</v>
      </c>
      <c r="J12" s="94">
        <v>18000</v>
      </c>
      <c r="K12" s="22">
        <v>19250</v>
      </c>
      <c r="L12" s="137"/>
      <c r="M12" s="138"/>
      <c r="N12" s="138"/>
      <c r="O12" s="137"/>
      <c r="P12" s="137"/>
      <c r="Q12" s="137"/>
      <c r="R12" s="137"/>
      <c r="S12" s="137"/>
      <c r="T12" s="137"/>
      <c r="U12" s="137"/>
      <c r="V12" s="137"/>
      <c r="W12" s="137"/>
    </row>
    <row r="13" spans="1:23" ht="15.75" x14ac:dyDescent="0.25">
      <c r="A13" s="182">
        <v>2</v>
      </c>
      <c r="B13" s="32" t="s">
        <v>11</v>
      </c>
      <c r="C13" s="33"/>
      <c r="D13" s="34"/>
      <c r="E13" s="35"/>
      <c r="F13" s="36"/>
      <c r="G13" s="37"/>
      <c r="H13" s="38"/>
      <c r="I13" s="38"/>
      <c r="J13" s="38"/>
      <c r="K13" s="39"/>
      <c r="L13" s="137"/>
      <c r="M13" s="138"/>
      <c r="N13" s="140"/>
      <c r="O13" s="137"/>
      <c r="P13" s="137"/>
      <c r="Q13" s="137"/>
      <c r="R13" s="137"/>
      <c r="S13" s="137"/>
      <c r="T13" s="137"/>
      <c r="U13" s="137"/>
      <c r="V13" s="137"/>
      <c r="W13" s="137"/>
    </row>
    <row r="14" spans="1:23" ht="15.75" x14ac:dyDescent="0.25">
      <c r="A14" s="183"/>
      <c r="B14" s="41" t="s">
        <v>12</v>
      </c>
      <c r="C14" s="14" t="s">
        <v>6</v>
      </c>
      <c r="D14" s="23">
        <v>13000</v>
      </c>
      <c r="E14" s="16">
        <v>13000</v>
      </c>
      <c r="F14" s="16">
        <v>13500</v>
      </c>
      <c r="G14" s="16">
        <v>13000</v>
      </c>
      <c r="H14" s="17">
        <v>13000</v>
      </c>
      <c r="I14" s="17">
        <v>13500</v>
      </c>
      <c r="J14" s="42">
        <v>13000</v>
      </c>
      <c r="K14" s="22">
        <v>13142.857142857143</v>
      </c>
      <c r="L14" s="137"/>
      <c r="M14" s="138"/>
      <c r="N14" s="138"/>
      <c r="O14" s="137"/>
      <c r="P14" s="137"/>
      <c r="Q14" s="137"/>
      <c r="R14" s="137"/>
      <c r="S14" s="137"/>
      <c r="T14" s="137"/>
      <c r="U14" s="137"/>
      <c r="V14" s="137"/>
      <c r="W14" s="137"/>
    </row>
    <row r="15" spans="1:23" ht="15.75" x14ac:dyDescent="0.25">
      <c r="A15" s="184"/>
      <c r="B15" s="13" t="s">
        <v>13</v>
      </c>
      <c r="C15" s="14" t="s">
        <v>6</v>
      </c>
      <c r="D15" s="43">
        <v>15000</v>
      </c>
      <c r="E15" s="29">
        <v>16000</v>
      </c>
      <c r="F15" s="24">
        <v>16000</v>
      </c>
      <c r="G15" s="21">
        <v>19000</v>
      </c>
      <c r="H15" s="17">
        <v>15000</v>
      </c>
      <c r="I15" s="17">
        <v>16000</v>
      </c>
      <c r="J15" s="42">
        <v>16000</v>
      </c>
      <c r="K15" s="22">
        <v>16142.857142857143</v>
      </c>
      <c r="L15" s="137"/>
      <c r="M15" s="138"/>
      <c r="N15" s="138"/>
      <c r="O15" s="137"/>
      <c r="P15" s="137"/>
      <c r="Q15" s="137"/>
      <c r="R15" s="137"/>
      <c r="S15" s="137"/>
      <c r="T15" s="137"/>
      <c r="U15" s="137"/>
      <c r="V15" s="137"/>
      <c r="W15" s="137"/>
    </row>
    <row r="16" spans="1:23" ht="15.75" x14ac:dyDescent="0.25">
      <c r="A16" s="182"/>
      <c r="B16" s="32" t="s">
        <v>14</v>
      </c>
      <c r="C16" s="44"/>
      <c r="D16" s="45"/>
      <c r="E16" s="46"/>
      <c r="F16" s="47"/>
      <c r="G16" s="47"/>
      <c r="H16" s="48"/>
      <c r="I16" s="48"/>
      <c r="J16" s="49"/>
      <c r="K16" s="39"/>
      <c r="L16" s="137"/>
      <c r="M16" s="138"/>
      <c r="N16" s="138"/>
      <c r="O16" s="137"/>
      <c r="P16" s="137"/>
      <c r="Q16" s="137"/>
      <c r="R16" s="137"/>
      <c r="S16" s="137"/>
      <c r="T16" s="137"/>
      <c r="U16" s="137"/>
      <c r="V16" s="137"/>
      <c r="W16" s="137"/>
    </row>
    <row r="17" spans="1:14" ht="15.75" x14ac:dyDescent="0.25">
      <c r="A17" s="184"/>
      <c r="B17" s="13" t="s">
        <v>15</v>
      </c>
      <c r="C17" s="14" t="s">
        <v>6</v>
      </c>
      <c r="D17" s="23">
        <v>16000</v>
      </c>
      <c r="E17" s="29">
        <v>16000</v>
      </c>
      <c r="F17" s="16">
        <v>17000</v>
      </c>
      <c r="G17" s="16">
        <v>16000</v>
      </c>
      <c r="H17" s="17">
        <v>16000</v>
      </c>
      <c r="I17" s="17">
        <v>16500</v>
      </c>
      <c r="J17" s="42">
        <v>16000</v>
      </c>
      <c r="K17" s="22">
        <v>16214.285714285714</v>
      </c>
      <c r="L17" s="137"/>
      <c r="M17" s="138"/>
      <c r="N17" s="138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L18" s="137"/>
      <c r="M18" s="138"/>
      <c r="N18" s="138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v>19000</v>
      </c>
      <c r="L19" s="137"/>
      <c r="M19" s="138"/>
      <c r="N19" s="138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L20" s="137"/>
      <c r="M20" s="138"/>
      <c r="N20" s="138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v>118142.85714285714</v>
      </c>
      <c r="L21" s="137"/>
      <c r="M21" s="138"/>
      <c r="N21" s="138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v>109857.14285714286</v>
      </c>
      <c r="L22" s="137"/>
      <c r="M22" s="138"/>
      <c r="N22" s="138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v>100000</v>
      </c>
      <c r="L23" s="137"/>
      <c r="M23" s="138"/>
      <c r="N23" s="138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29000</v>
      </c>
      <c r="F24" s="16">
        <v>30000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v>30428.571428571428</v>
      </c>
      <c r="L24" s="137"/>
      <c r="M24" s="138"/>
      <c r="N24" s="138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L25" s="137"/>
      <c r="M25" s="138"/>
      <c r="N25" s="138"/>
    </row>
    <row r="26" spans="1:14" ht="15.75" x14ac:dyDescent="0.25">
      <c r="A26" s="183"/>
      <c r="B26" s="13" t="s">
        <v>24</v>
      </c>
      <c r="C26" s="14" t="s">
        <v>6</v>
      </c>
      <c r="D26" s="43">
        <v>48000</v>
      </c>
      <c r="E26" s="16">
        <v>44000</v>
      </c>
      <c r="F26" s="29">
        <v>40000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v>39571.428571428572</v>
      </c>
      <c r="L26" s="137"/>
      <c r="M26" s="138"/>
      <c r="N26" s="138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v>28500</v>
      </c>
      <c r="L27" s="137" t="s">
        <v>101</v>
      </c>
      <c r="M27" s="138"/>
      <c r="N27" s="138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60000</v>
      </c>
      <c r="F28" s="58">
        <v>70000</v>
      </c>
      <c r="G28" s="21">
        <v>85000</v>
      </c>
      <c r="H28" s="17">
        <v>58000</v>
      </c>
      <c r="I28" s="26">
        <v>65000</v>
      </c>
      <c r="J28" s="28">
        <v>55000</v>
      </c>
      <c r="K28" s="22">
        <v>65500</v>
      </c>
      <c r="L28" s="137"/>
      <c r="M28" s="138"/>
      <c r="N28" s="138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>
        <v>25000</v>
      </c>
      <c r="H29" s="17">
        <v>23000</v>
      </c>
      <c r="I29" s="26">
        <v>24000</v>
      </c>
      <c r="J29" s="28">
        <v>26000</v>
      </c>
      <c r="K29" s="22">
        <v>24500</v>
      </c>
      <c r="L29" s="137"/>
      <c r="M29" s="138"/>
      <c r="N29" s="138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36000</v>
      </c>
      <c r="F30" s="16">
        <v>40000</v>
      </c>
      <c r="G30" s="16">
        <v>40000</v>
      </c>
      <c r="H30" s="17">
        <v>28000</v>
      </c>
      <c r="I30" s="26">
        <v>38000</v>
      </c>
      <c r="J30" s="42">
        <v>30000</v>
      </c>
      <c r="K30" s="22">
        <v>36000</v>
      </c>
      <c r="L30" s="137"/>
      <c r="M30" s="138"/>
      <c r="N30" s="138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90000</v>
      </c>
      <c r="G31" s="16">
        <v>60000</v>
      </c>
      <c r="H31" s="17">
        <v>80000</v>
      </c>
      <c r="I31" s="26" t="s">
        <v>100</v>
      </c>
      <c r="J31" s="28" t="s">
        <v>100</v>
      </c>
      <c r="K31" s="22">
        <v>82000</v>
      </c>
      <c r="L31" s="137"/>
      <c r="M31" s="138"/>
      <c r="N31" s="138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L32" s="137"/>
      <c r="M32" s="138"/>
      <c r="N32" s="138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27000</v>
      </c>
      <c r="F33" s="16">
        <v>26000</v>
      </c>
      <c r="G33" s="16">
        <v>26000</v>
      </c>
      <c r="H33" s="17">
        <v>25000</v>
      </c>
      <c r="I33" s="17">
        <v>26000</v>
      </c>
      <c r="J33" s="42">
        <v>26500</v>
      </c>
      <c r="K33" s="22">
        <v>26071.428571428572</v>
      </c>
      <c r="L33" s="137"/>
      <c r="M33" s="138"/>
      <c r="N33" s="138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2400</v>
      </c>
      <c r="H34" s="17">
        <v>2000</v>
      </c>
      <c r="I34" s="17">
        <v>2500</v>
      </c>
      <c r="J34" s="42">
        <v>3000</v>
      </c>
      <c r="K34" s="22">
        <v>2342.8571428571427</v>
      </c>
      <c r="L34" s="137"/>
      <c r="M34" s="138"/>
      <c r="N34" s="138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L35" s="137"/>
      <c r="M35" s="138"/>
      <c r="N35" s="138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v>11500</v>
      </c>
      <c r="L36" s="137"/>
      <c r="M36" s="138"/>
      <c r="N36" s="138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v>40200</v>
      </c>
      <c r="L37" s="137"/>
      <c r="M37" s="138"/>
      <c r="N37" s="138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L38" s="137"/>
      <c r="M38" s="138"/>
      <c r="N38" s="138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v>19700</v>
      </c>
      <c r="L39" s="137"/>
      <c r="M39" s="138"/>
      <c r="N39" s="138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v>2000</v>
      </c>
      <c r="L40" s="137"/>
      <c r="M40" s="138"/>
      <c r="N40" s="138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L41" s="137"/>
      <c r="M41" s="138"/>
      <c r="N41" s="138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>
        <v>11000</v>
      </c>
      <c r="H42" s="17">
        <v>9000</v>
      </c>
      <c r="I42" s="55">
        <v>10000</v>
      </c>
      <c r="J42" s="42">
        <v>8000</v>
      </c>
      <c r="K42" s="22">
        <v>9428.5714285714294</v>
      </c>
      <c r="L42" s="137"/>
      <c r="M42" s="138"/>
      <c r="N42" s="138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v>8600</v>
      </c>
      <c r="L43" s="137"/>
      <c r="M43" s="138"/>
      <c r="N43" s="138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L44" s="137"/>
      <c r="M44" s="138"/>
      <c r="N44" s="138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v>3916.6666666666665</v>
      </c>
      <c r="L45" s="137"/>
      <c r="M45" s="138"/>
      <c r="N45" s="138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L46" s="137"/>
      <c r="M46" s="138"/>
      <c r="N46" s="138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12500</v>
      </c>
      <c r="G47" s="16">
        <v>12000</v>
      </c>
      <c r="H47" s="17">
        <v>11500</v>
      </c>
      <c r="I47" s="17">
        <v>11500</v>
      </c>
      <c r="J47" s="42">
        <v>7000</v>
      </c>
      <c r="K47" s="22">
        <v>10714.285714285714</v>
      </c>
      <c r="L47" s="137"/>
      <c r="M47" s="138"/>
      <c r="N47" s="138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L48" s="137"/>
      <c r="M48" s="138"/>
      <c r="N48" s="138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11500</v>
      </c>
      <c r="I49" s="26">
        <v>17000</v>
      </c>
      <c r="J49" s="56" t="s">
        <v>100</v>
      </c>
      <c r="K49" s="22">
        <v>15750</v>
      </c>
      <c r="L49" s="137"/>
      <c r="M49" s="138"/>
      <c r="N49" s="138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v>13166.666666666666</v>
      </c>
      <c r="L50" s="137"/>
      <c r="M50" s="138" t="s">
        <v>103</v>
      </c>
      <c r="N50" s="138"/>
    </row>
    <row r="51" spans="1:14" ht="15.75" x14ac:dyDescent="0.25">
      <c r="A51" s="183"/>
      <c r="B51" s="13" t="s">
        <v>55</v>
      </c>
      <c r="C51" s="14" t="s">
        <v>6</v>
      </c>
      <c r="D51" s="23">
        <v>24000</v>
      </c>
      <c r="E51" s="16">
        <v>23000</v>
      </c>
      <c r="F51" s="16">
        <v>26000</v>
      </c>
      <c r="G51" s="16">
        <v>26000</v>
      </c>
      <c r="H51" s="17">
        <v>23000</v>
      </c>
      <c r="I51" s="17">
        <v>26000</v>
      </c>
      <c r="J51" s="56">
        <v>25000</v>
      </c>
      <c r="K51" s="22">
        <v>24714.285714285714</v>
      </c>
      <c r="L51" s="137"/>
      <c r="M51" s="138"/>
      <c r="N51" s="141"/>
    </row>
    <row r="52" spans="1:14" ht="15.75" x14ac:dyDescent="0.25">
      <c r="A52" s="184"/>
      <c r="B52" s="13" t="s">
        <v>56</v>
      </c>
      <c r="C52" s="14" t="s">
        <v>6</v>
      </c>
      <c r="D52" s="23">
        <v>28000</v>
      </c>
      <c r="E52" s="16">
        <v>30000</v>
      </c>
      <c r="F52" s="16">
        <v>28000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v>28428.571428571428</v>
      </c>
      <c r="L52" s="137"/>
      <c r="M52" s="138"/>
      <c r="N52" s="138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L53" s="137"/>
      <c r="M53" s="138"/>
      <c r="N53" s="138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3200</v>
      </c>
      <c r="H54" s="51" t="s">
        <v>100</v>
      </c>
      <c r="I54" s="27">
        <v>3500</v>
      </c>
      <c r="J54" s="42">
        <v>2500</v>
      </c>
      <c r="K54" s="22">
        <v>3066.6666666666665</v>
      </c>
      <c r="L54" s="137"/>
      <c r="M54" s="138"/>
      <c r="N54" s="138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L55" s="137"/>
      <c r="M55" s="138"/>
      <c r="N55" s="138"/>
    </row>
    <row r="56" spans="1:14" ht="15.75" x14ac:dyDescent="0.25">
      <c r="A56" s="183"/>
      <c r="B56" s="13" t="s">
        <v>61</v>
      </c>
      <c r="C56" s="14" t="s">
        <v>6</v>
      </c>
      <c r="D56" s="23">
        <v>24000</v>
      </c>
      <c r="E56" s="16">
        <v>40000</v>
      </c>
      <c r="F56" s="16">
        <v>30000</v>
      </c>
      <c r="G56" s="16">
        <v>30000</v>
      </c>
      <c r="H56" s="17">
        <v>23000</v>
      </c>
      <c r="I56" s="17">
        <v>30000</v>
      </c>
      <c r="J56" s="42">
        <v>25000</v>
      </c>
      <c r="K56" s="22">
        <v>28857.142857142859</v>
      </c>
      <c r="L56" s="137"/>
      <c r="M56" s="138"/>
      <c r="N56" s="138"/>
    </row>
    <row r="57" spans="1:14" ht="15.75" x14ac:dyDescent="0.25">
      <c r="A57" s="183"/>
      <c r="B57" s="13" t="s">
        <v>62</v>
      </c>
      <c r="C57" s="14" t="s">
        <v>6</v>
      </c>
      <c r="D57" s="43">
        <v>45000</v>
      </c>
      <c r="E57" s="16">
        <v>35000</v>
      </c>
      <c r="F57" s="16">
        <v>35000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v>38750</v>
      </c>
      <c r="L57" s="137"/>
      <c r="M57" s="138"/>
      <c r="N57" s="138"/>
    </row>
    <row r="58" spans="1:14" ht="15.75" x14ac:dyDescent="0.25">
      <c r="A58" s="184"/>
      <c r="B58" s="13" t="s">
        <v>63</v>
      </c>
      <c r="C58" s="14" t="s">
        <v>6</v>
      </c>
      <c r="D58" s="23">
        <v>44000</v>
      </c>
      <c r="E58" s="16">
        <v>45000</v>
      </c>
      <c r="F58" s="16">
        <v>55000</v>
      </c>
      <c r="G58" s="16">
        <v>55000</v>
      </c>
      <c r="H58" s="17">
        <v>45000</v>
      </c>
      <c r="I58" s="17">
        <v>50000</v>
      </c>
      <c r="J58" s="42">
        <v>55000</v>
      </c>
      <c r="K58" s="22">
        <v>49857.142857142855</v>
      </c>
      <c r="L58" s="137"/>
      <c r="M58" s="138"/>
      <c r="N58" s="138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L59" s="137"/>
      <c r="M59" s="138"/>
      <c r="N59" s="138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v>18166.666666666668</v>
      </c>
      <c r="L60" s="137"/>
      <c r="M60" s="138"/>
      <c r="N60" s="138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L61" s="137"/>
      <c r="M61" s="138"/>
      <c r="N61" s="138"/>
    </row>
    <row r="62" spans="1:14" ht="15.75" x14ac:dyDescent="0.25">
      <c r="A62" s="183"/>
      <c r="B62" s="13" t="s">
        <v>68</v>
      </c>
      <c r="C62" s="14" t="s">
        <v>6</v>
      </c>
      <c r="D62" s="23">
        <v>27000</v>
      </c>
      <c r="E62" s="16">
        <v>40000</v>
      </c>
      <c r="F62" s="16">
        <v>28000</v>
      </c>
      <c r="G62" s="16">
        <v>30000</v>
      </c>
      <c r="H62" s="17">
        <v>26000</v>
      </c>
      <c r="I62" s="17">
        <v>35000</v>
      </c>
      <c r="J62" s="42">
        <v>30000</v>
      </c>
      <c r="K62" s="22">
        <v>30857.142857142859</v>
      </c>
      <c r="L62" s="137"/>
      <c r="M62" s="138"/>
      <c r="N62" s="138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28000</v>
      </c>
      <c r="F63" s="16">
        <v>26000</v>
      </c>
      <c r="G63" s="16">
        <v>25000</v>
      </c>
      <c r="H63" s="17">
        <v>23000</v>
      </c>
      <c r="I63" s="17">
        <v>27000</v>
      </c>
      <c r="J63" s="42">
        <v>25000</v>
      </c>
      <c r="K63" s="22">
        <v>25714.285714285714</v>
      </c>
      <c r="L63" s="137"/>
      <c r="M63" s="138"/>
      <c r="N63" s="138"/>
    </row>
    <row r="64" spans="1:14" ht="15.75" x14ac:dyDescent="0.25">
      <c r="A64" s="183"/>
      <c r="B64" s="13" t="s">
        <v>70</v>
      </c>
      <c r="C64" s="14" t="s">
        <v>6</v>
      </c>
      <c r="D64" s="23">
        <v>40000</v>
      </c>
      <c r="E64" s="16">
        <v>38000</v>
      </c>
      <c r="F64" s="16">
        <v>40000</v>
      </c>
      <c r="G64" s="16">
        <v>35000</v>
      </c>
      <c r="H64" s="17">
        <v>35000</v>
      </c>
      <c r="I64" s="17">
        <v>40000</v>
      </c>
      <c r="J64" s="42">
        <v>45000</v>
      </c>
      <c r="K64" s="22">
        <v>39000</v>
      </c>
      <c r="L64" s="137"/>
      <c r="M64" s="138"/>
      <c r="N64" s="138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22000</v>
      </c>
      <c r="G65" s="21">
        <v>25000</v>
      </c>
      <c r="H65" s="17">
        <v>20000</v>
      </c>
      <c r="I65" s="26">
        <v>25000</v>
      </c>
      <c r="J65" s="56">
        <v>22000</v>
      </c>
      <c r="K65" s="22">
        <v>22000</v>
      </c>
      <c r="L65" s="137"/>
      <c r="M65" s="138"/>
      <c r="N65" s="138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L66" s="137"/>
      <c r="M66" s="138"/>
      <c r="N66" s="138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v>5571.4285714285716</v>
      </c>
      <c r="L67" s="137"/>
      <c r="M67" s="138"/>
      <c r="N67" s="138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v>5600</v>
      </c>
      <c r="L68" s="137"/>
      <c r="M68" s="138"/>
      <c r="N68" s="138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L69" s="137"/>
      <c r="M69" s="138"/>
      <c r="N69" s="138"/>
    </row>
    <row r="70" spans="1:14" ht="15.75" x14ac:dyDescent="0.25">
      <c r="A70" s="86"/>
      <c r="B70" s="13" t="s">
        <v>76</v>
      </c>
      <c r="C70" s="68" t="s">
        <v>6</v>
      </c>
      <c r="D70" s="23">
        <v>10000</v>
      </c>
      <c r="E70" s="16">
        <v>13000</v>
      </c>
      <c r="F70" s="16">
        <v>10000</v>
      </c>
      <c r="G70" s="16">
        <v>8000</v>
      </c>
      <c r="H70" s="17">
        <v>9000</v>
      </c>
      <c r="I70" s="27">
        <v>10000</v>
      </c>
      <c r="J70" s="42">
        <v>10000</v>
      </c>
      <c r="K70" s="22">
        <v>10000</v>
      </c>
      <c r="L70" s="137"/>
      <c r="M70" s="138"/>
      <c r="N70" s="138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15000</v>
      </c>
      <c r="J71" s="42">
        <v>15000</v>
      </c>
      <c r="K71" s="22">
        <v>12285.714285714286</v>
      </c>
      <c r="L71" s="137"/>
      <c r="M71" s="138"/>
      <c r="N71" s="138"/>
    </row>
    <row r="72" spans="1:14" ht="15.75" x14ac:dyDescent="0.25">
      <c r="A72" s="86"/>
      <c r="B72" s="13" t="s">
        <v>78</v>
      </c>
      <c r="C72" s="68" t="s">
        <v>6</v>
      </c>
      <c r="D72" s="23">
        <v>13000</v>
      </c>
      <c r="E72" s="16">
        <v>15000</v>
      </c>
      <c r="F72" s="16">
        <v>16000</v>
      </c>
      <c r="G72" s="16">
        <v>15000</v>
      </c>
      <c r="H72" s="17">
        <v>15000</v>
      </c>
      <c r="I72" s="17">
        <v>14000</v>
      </c>
      <c r="J72" s="42">
        <v>20000</v>
      </c>
      <c r="K72" s="22">
        <v>15428.571428571429</v>
      </c>
      <c r="L72" s="137"/>
      <c r="M72" s="138"/>
      <c r="N72" s="138"/>
    </row>
    <row r="73" spans="1:14" ht="15.75" x14ac:dyDescent="0.25">
      <c r="A73" s="86"/>
      <c r="B73" s="13" t="s">
        <v>79</v>
      </c>
      <c r="C73" s="68" t="s">
        <v>6</v>
      </c>
      <c r="D73" s="23">
        <v>14000</v>
      </c>
      <c r="E73" s="16">
        <v>8000</v>
      </c>
      <c r="F73" s="16">
        <v>18000</v>
      </c>
      <c r="G73" s="16">
        <v>20000</v>
      </c>
      <c r="H73" s="17">
        <v>5000</v>
      </c>
      <c r="I73" s="55">
        <v>8000</v>
      </c>
      <c r="J73" s="42">
        <v>8000</v>
      </c>
      <c r="K73" s="22">
        <v>11571.428571428571</v>
      </c>
      <c r="L73" s="137"/>
      <c r="M73" s="138"/>
      <c r="N73" s="138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10000</v>
      </c>
      <c r="F74" s="16">
        <v>12000</v>
      </c>
      <c r="G74" s="16">
        <v>13000</v>
      </c>
      <c r="H74" s="17">
        <v>10000</v>
      </c>
      <c r="I74" s="17">
        <v>13000</v>
      </c>
      <c r="J74" s="42">
        <v>10000</v>
      </c>
      <c r="K74" s="22">
        <v>11000</v>
      </c>
      <c r="L74" s="137"/>
      <c r="M74" s="138"/>
      <c r="N74" s="138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12000</v>
      </c>
      <c r="F75" s="30" t="s">
        <v>100</v>
      </c>
      <c r="G75" s="21">
        <v>10000</v>
      </c>
      <c r="H75" s="87">
        <v>9000</v>
      </c>
      <c r="I75" s="88">
        <v>10000</v>
      </c>
      <c r="J75" s="89">
        <v>7000</v>
      </c>
      <c r="K75" s="22">
        <v>9600</v>
      </c>
      <c r="L75" s="137"/>
      <c r="M75" s="138"/>
      <c r="N75" s="138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1000</v>
      </c>
      <c r="K76" s="22">
        <v>1700</v>
      </c>
      <c r="L76" s="137"/>
      <c r="M76" s="138"/>
      <c r="N76" s="138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v>1500</v>
      </c>
      <c r="L77" s="137"/>
      <c r="M77" s="138"/>
      <c r="N77" s="138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v>1900</v>
      </c>
      <c r="L78" s="137"/>
      <c r="M78" s="138"/>
      <c r="N78" s="138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L79" s="137"/>
      <c r="M79" s="138"/>
      <c r="N79" s="138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v>18000</v>
      </c>
      <c r="L80" s="137"/>
      <c r="M80" s="138"/>
      <c r="N80" s="138"/>
    </row>
    <row r="81" spans="1:14" ht="15.75" x14ac:dyDescent="0.25">
      <c r="A81" s="137"/>
      <c r="B81" s="137"/>
      <c r="C81" s="137"/>
      <c r="D81" s="137"/>
      <c r="E81" s="143"/>
      <c r="F81" s="137"/>
      <c r="G81" s="137"/>
      <c r="H81" s="137"/>
      <c r="I81" s="137"/>
      <c r="J81" s="144"/>
      <c r="K81" s="137"/>
      <c r="L81" s="137"/>
      <c r="M81" s="138"/>
      <c r="N81" s="138"/>
    </row>
    <row r="82" spans="1:14" ht="15.75" x14ac:dyDescent="0.25">
      <c r="A82" s="137"/>
      <c r="B82" s="92"/>
      <c r="C82" s="137"/>
      <c r="D82" s="137"/>
      <c r="E82" s="137"/>
      <c r="F82" s="137"/>
      <c r="G82" s="137"/>
      <c r="H82" s="137"/>
      <c r="I82" s="137"/>
      <c r="J82" s="144"/>
      <c r="K82" s="137"/>
      <c r="L82" s="137"/>
      <c r="M82" s="138"/>
      <c r="N82" s="138"/>
    </row>
    <row r="83" spans="1:14" ht="15.75" x14ac:dyDescent="0.25">
      <c r="A83" s="137"/>
      <c r="B83" s="137"/>
      <c r="C83" s="137"/>
      <c r="D83" s="137"/>
      <c r="E83" s="137"/>
      <c r="F83" s="137"/>
      <c r="G83" s="137"/>
      <c r="H83" s="137"/>
      <c r="I83" s="137"/>
      <c r="J83" s="144"/>
      <c r="K83" s="137"/>
      <c r="L83" s="137"/>
      <c r="M83" s="138"/>
      <c r="N83" s="138"/>
    </row>
    <row r="84" spans="1:14" ht="15.75" x14ac:dyDescent="0.25">
      <c r="A84" s="138"/>
      <c r="B84" s="138"/>
      <c r="C84" s="138"/>
      <c r="D84" s="141"/>
      <c r="E84" s="138"/>
      <c r="F84" s="138"/>
      <c r="G84" s="138"/>
      <c r="H84" s="138"/>
      <c r="I84" s="138"/>
      <c r="J84" s="140"/>
      <c r="K84" s="138"/>
      <c r="L84" s="138"/>
      <c r="M84" s="138"/>
      <c r="N84" s="138"/>
    </row>
  </sheetData>
  <mergeCells count="28">
    <mergeCell ref="A61:A65"/>
    <mergeCell ref="A25:A31"/>
    <mergeCell ref="A32:A34"/>
    <mergeCell ref="A35:A37"/>
    <mergeCell ref="A38:A40"/>
    <mergeCell ref="A44:A45"/>
    <mergeCell ref="A46:A47"/>
    <mergeCell ref="A48:A52"/>
    <mergeCell ref="A55:A58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  <mergeCell ref="A18:A19"/>
    <mergeCell ref="J4:J6"/>
    <mergeCell ref="H4:H6"/>
    <mergeCell ref="A20:A24"/>
    <mergeCell ref="A7:A12"/>
    <mergeCell ref="A13:A15"/>
    <mergeCell ref="A16:A17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2F9B-1029-4E1A-983E-FD2B8CD3191D}">
  <dimension ref="A1:W84"/>
  <sheetViews>
    <sheetView workbookViewId="0">
      <selection sqref="A1:W84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23" ht="32.25" customHeight="1" x14ac:dyDescent="0.25">
      <c r="A1" s="204" t="s">
        <v>89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137"/>
      <c r="M1" s="138"/>
      <c r="N1" s="138"/>
      <c r="O1" s="137"/>
      <c r="P1" s="137"/>
      <c r="Q1" s="137"/>
      <c r="R1" s="137"/>
      <c r="S1" s="137"/>
      <c r="T1" s="137"/>
      <c r="U1" s="137"/>
      <c r="V1" s="137"/>
      <c r="W1" s="137"/>
    </row>
    <row r="2" spans="1:23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37"/>
      <c r="M2" s="138"/>
      <c r="N2" s="138"/>
      <c r="O2" s="137"/>
      <c r="P2" s="137"/>
      <c r="Q2" s="137"/>
      <c r="R2" s="137"/>
      <c r="S2" s="137"/>
      <c r="T2" s="137"/>
      <c r="U2" s="137"/>
      <c r="V2" s="137"/>
      <c r="W2" s="137"/>
    </row>
    <row r="3" spans="1:23" ht="27.75" customHeight="1" thickBot="1" x14ac:dyDescent="0.3">
      <c r="A3" s="171" t="s">
        <v>115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L3" s="137"/>
      <c r="M3" s="138"/>
      <c r="N3" s="138"/>
      <c r="O3" s="137"/>
      <c r="P3" s="137"/>
      <c r="Q3" s="137"/>
      <c r="R3" s="137"/>
      <c r="S3" s="137"/>
      <c r="T3" s="137"/>
      <c r="U3" s="137"/>
      <c r="V3" s="137"/>
      <c r="W3" s="137"/>
    </row>
    <row r="4" spans="1:23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201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L4" s="137"/>
      <c r="M4" s="138"/>
      <c r="N4" s="138"/>
      <c r="O4" s="137"/>
      <c r="P4" s="137"/>
      <c r="Q4" s="137"/>
      <c r="R4" s="137"/>
      <c r="S4" s="137"/>
      <c r="T4" s="137"/>
      <c r="U4" s="137"/>
      <c r="V4" s="137"/>
      <c r="W4" s="137"/>
    </row>
    <row r="5" spans="1:23" ht="15" customHeight="1" x14ac:dyDescent="0.25">
      <c r="A5" s="163"/>
      <c r="B5" s="166"/>
      <c r="C5" s="163"/>
      <c r="D5" s="177"/>
      <c r="E5" s="180"/>
      <c r="F5" s="196"/>
      <c r="G5" s="202"/>
      <c r="H5" s="186"/>
      <c r="I5" s="189"/>
      <c r="J5" s="174"/>
      <c r="K5" s="192"/>
      <c r="L5" s="137"/>
      <c r="M5" s="138"/>
      <c r="N5" s="138"/>
      <c r="O5" s="137"/>
      <c r="P5" s="137"/>
      <c r="Q5" s="137"/>
      <c r="R5" s="137"/>
      <c r="S5" s="137"/>
      <c r="T5" s="137"/>
      <c r="U5" s="137"/>
      <c r="V5" s="137"/>
      <c r="W5" s="137"/>
    </row>
    <row r="6" spans="1:23" ht="16.5" thickBot="1" x14ac:dyDescent="0.3">
      <c r="A6" s="164"/>
      <c r="B6" s="167"/>
      <c r="C6" s="164"/>
      <c r="D6" s="178"/>
      <c r="E6" s="181"/>
      <c r="F6" s="197"/>
      <c r="G6" s="203"/>
      <c r="H6" s="187"/>
      <c r="I6" s="190"/>
      <c r="J6" s="175"/>
      <c r="K6" s="193"/>
      <c r="L6" s="137"/>
      <c r="M6" s="138"/>
      <c r="N6" s="138"/>
      <c r="O6" s="137"/>
      <c r="P6" s="137"/>
      <c r="Q6" s="137"/>
      <c r="R6" s="137"/>
      <c r="S6" s="137"/>
      <c r="T6" s="137"/>
      <c r="U6" s="137"/>
      <c r="V6" s="137"/>
      <c r="W6" s="137"/>
    </row>
    <row r="7" spans="1:23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L7" s="137"/>
      <c r="M7" s="138"/>
      <c r="N7" s="138"/>
      <c r="O7" s="137"/>
      <c r="P7" s="137"/>
      <c r="Q7" s="137"/>
      <c r="R7" s="137"/>
      <c r="S7" s="137"/>
      <c r="T7" s="137"/>
      <c r="U7" s="137"/>
      <c r="V7" s="137"/>
      <c r="W7" s="137"/>
    </row>
    <row r="8" spans="1:23" ht="15.75" x14ac:dyDescent="0.25">
      <c r="A8" s="183"/>
      <c r="B8" s="13" t="s">
        <v>5</v>
      </c>
      <c r="C8" s="14" t="s">
        <v>6</v>
      </c>
      <c r="D8" s="15">
        <v>12800</v>
      </c>
      <c r="E8" s="95">
        <v>12500</v>
      </c>
      <c r="F8" s="95">
        <v>13500</v>
      </c>
      <c r="G8" s="29">
        <v>13000</v>
      </c>
      <c r="H8" s="42">
        <v>13000</v>
      </c>
      <c r="I8" s="42">
        <v>13000</v>
      </c>
      <c r="J8" s="18">
        <v>12500</v>
      </c>
      <c r="K8" s="19">
        <v>12900</v>
      </c>
      <c r="L8" s="142"/>
      <c r="M8" s="139"/>
      <c r="N8" s="138"/>
      <c r="O8" s="137"/>
      <c r="P8" s="137"/>
      <c r="Q8" s="137"/>
      <c r="R8" s="137"/>
      <c r="S8" s="137"/>
      <c r="T8" s="137"/>
      <c r="U8" s="137"/>
      <c r="V8" s="137"/>
      <c r="W8" s="137"/>
    </row>
    <row r="9" spans="1:23" ht="15.75" x14ac:dyDescent="0.25">
      <c r="A9" s="183"/>
      <c r="B9" s="13" t="s">
        <v>7</v>
      </c>
      <c r="C9" s="14" t="s">
        <v>6</v>
      </c>
      <c r="D9" s="23">
        <v>12000</v>
      </c>
      <c r="E9" s="16">
        <v>11500</v>
      </c>
      <c r="F9" s="16">
        <v>12000</v>
      </c>
      <c r="G9" s="21">
        <v>12000</v>
      </c>
      <c r="H9" s="17">
        <v>12000</v>
      </c>
      <c r="I9" s="17">
        <v>11500</v>
      </c>
      <c r="J9" s="94">
        <v>11000</v>
      </c>
      <c r="K9" s="22">
        <v>11714.285714285714</v>
      </c>
      <c r="L9" s="137"/>
      <c r="M9" s="138"/>
      <c r="N9" s="138"/>
      <c r="O9" s="137"/>
      <c r="P9" s="137"/>
      <c r="Q9" s="137"/>
      <c r="R9" s="137"/>
      <c r="S9" s="137"/>
      <c r="T9" s="137"/>
      <c r="U9" s="137"/>
      <c r="V9" s="137"/>
      <c r="W9" s="137"/>
    </row>
    <row r="10" spans="1:23" ht="15.75" x14ac:dyDescent="0.25">
      <c r="A10" s="183"/>
      <c r="B10" s="13" t="s">
        <v>8</v>
      </c>
      <c r="C10" s="14" t="s">
        <v>6</v>
      </c>
      <c r="D10" s="43">
        <v>0</v>
      </c>
      <c r="E10" s="16">
        <v>0</v>
      </c>
      <c r="F10" s="24">
        <v>12000</v>
      </c>
      <c r="G10" s="25">
        <v>9450</v>
      </c>
      <c r="H10" s="26">
        <v>11000</v>
      </c>
      <c r="I10" s="27">
        <v>10500</v>
      </c>
      <c r="J10" s="27" t="s">
        <v>100</v>
      </c>
      <c r="K10" s="22">
        <v>7158.333333333333</v>
      </c>
      <c r="L10" s="137"/>
      <c r="M10" s="138"/>
      <c r="N10" s="138"/>
      <c r="O10" s="137"/>
      <c r="P10" s="137"/>
      <c r="Q10" s="137"/>
      <c r="R10" s="137"/>
      <c r="S10" s="137"/>
      <c r="T10" s="137"/>
      <c r="U10" s="137"/>
      <c r="V10" s="137"/>
      <c r="W10" s="137"/>
    </row>
    <row r="11" spans="1:23" ht="15.75" x14ac:dyDescent="0.25">
      <c r="A11" s="183"/>
      <c r="B11" s="13" t="s">
        <v>9</v>
      </c>
      <c r="C11" s="14" t="s">
        <v>6</v>
      </c>
      <c r="D11" s="43" t="s">
        <v>100</v>
      </c>
      <c r="E11" s="29" t="s">
        <v>100</v>
      </c>
      <c r="F11" s="30" t="s">
        <v>100</v>
      </c>
      <c r="G11" s="21">
        <v>11000</v>
      </c>
      <c r="H11" s="26" t="s">
        <v>100</v>
      </c>
      <c r="I11" s="27">
        <v>11000</v>
      </c>
      <c r="J11" s="94">
        <v>8000</v>
      </c>
      <c r="K11" s="22">
        <v>10000</v>
      </c>
      <c r="L11" s="137"/>
      <c r="M11" s="138"/>
      <c r="N11" s="138"/>
      <c r="O11" s="137"/>
      <c r="P11" s="137"/>
      <c r="Q11" s="137"/>
      <c r="R11" s="137"/>
      <c r="S11" s="137"/>
      <c r="T11" s="137"/>
      <c r="U11" s="137"/>
      <c r="V11" s="137"/>
      <c r="W11" s="137"/>
    </row>
    <row r="12" spans="1:23" ht="15.75" x14ac:dyDescent="0.25">
      <c r="A12" s="184"/>
      <c r="B12" s="13" t="s">
        <v>10</v>
      </c>
      <c r="C12" s="14" t="s">
        <v>6</v>
      </c>
      <c r="D12" s="43" t="s">
        <v>100</v>
      </c>
      <c r="E12" s="29">
        <v>23000</v>
      </c>
      <c r="F12" s="30" t="s">
        <v>100</v>
      </c>
      <c r="G12" s="21">
        <v>18000</v>
      </c>
      <c r="H12" s="26" t="s">
        <v>100</v>
      </c>
      <c r="I12" s="27">
        <v>18000</v>
      </c>
      <c r="J12" s="94">
        <v>18000</v>
      </c>
      <c r="K12" s="22">
        <v>19250</v>
      </c>
      <c r="L12" s="137"/>
      <c r="M12" s="138"/>
      <c r="N12" s="138"/>
      <c r="O12" s="137"/>
      <c r="P12" s="137"/>
      <c r="Q12" s="137"/>
      <c r="R12" s="137"/>
      <c r="S12" s="137"/>
      <c r="T12" s="137"/>
      <c r="U12" s="137"/>
      <c r="V12" s="137"/>
      <c r="W12" s="137"/>
    </row>
    <row r="13" spans="1:23" ht="15.75" x14ac:dyDescent="0.25">
      <c r="A13" s="182">
        <v>2</v>
      </c>
      <c r="B13" s="32" t="s">
        <v>11</v>
      </c>
      <c r="C13" s="33"/>
      <c r="D13" s="34"/>
      <c r="E13" s="35"/>
      <c r="F13" s="36"/>
      <c r="G13" s="37"/>
      <c r="H13" s="38"/>
      <c r="I13" s="38"/>
      <c r="J13" s="38"/>
      <c r="K13" s="39"/>
      <c r="L13" s="137"/>
      <c r="M13" s="138"/>
      <c r="N13" s="140"/>
      <c r="O13" s="137"/>
      <c r="P13" s="137"/>
      <c r="Q13" s="137"/>
      <c r="R13" s="137"/>
      <c r="S13" s="137"/>
      <c r="T13" s="137"/>
      <c r="U13" s="137"/>
      <c r="V13" s="137"/>
      <c r="W13" s="137"/>
    </row>
    <row r="14" spans="1:23" ht="15.75" x14ac:dyDescent="0.25">
      <c r="A14" s="183"/>
      <c r="B14" s="41" t="s">
        <v>12</v>
      </c>
      <c r="C14" s="14" t="s">
        <v>6</v>
      </c>
      <c r="D14" s="23">
        <v>13000</v>
      </c>
      <c r="E14" s="16">
        <v>13000</v>
      </c>
      <c r="F14" s="16">
        <v>13500</v>
      </c>
      <c r="G14" s="16">
        <v>13000</v>
      </c>
      <c r="H14" s="17">
        <v>13000</v>
      </c>
      <c r="I14" s="17">
        <v>13500</v>
      </c>
      <c r="J14" s="42">
        <v>13000</v>
      </c>
      <c r="K14" s="22">
        <v>13142.857142857143</v>
      </c>
      <c r="L14" s="137"/>
      <c r="M14" s="138"/>
      <c r="N14" s="138"/>
      <c r="O14" s="137"/>
      <c r="P14" s="137"/>
      <c r="Q14" s="137"/>
      <c r="R14" s="137"/>
      <c r="S14" s="137"/>
      <c r="T14" s="137"/>
      <c r="U14" s="137"/>
      <c r="V14" s="137"/>
      <c r="W14" s="137"/>
    </row>
    <row r="15" spans="1:23" ht="15.75" x14ac:dyDescent="0.25">
      <c r="A15" s="184"/>
      <c r="B15" s="13" t="s">
        <v>13</v>
      </c>
      <c r="C15" s="14" t="s">
        <v>6</v>
      </c>
      <c r="D15" s="43">
        <v>15000</v>
      </c>
      <c r="E15" s="29">
        <v>16000</v>
      </c>
      <c r="F15" s="24">
        <v>16000</v>
      </c>
      <c r="G15" s="21">
        <v>19000</v>
      </c>
      <c r="H15" s="17">
        <v>15000</v>
      </c>
      <c r="I15" s="17">
        <v>16000</v>
      </c>
      <c r="J15" s="42">
        <v>16000</v>
      </c>
      <c r="K15" s="22">
        <v>16142.857142857143</v>
      </c>
      <c r="L15" s="137"/>
      <c r="M15" s="138"/>
      <c r="N15" s="138"/>
      <c r="O15" s="137"/>
      <c r="P15" s="137"/>
      <c r="Q15" s="137"/>
      <c r="R15" s="137"/>
      <c r="S15" s="137"/>
      <c r="T15" s="137"/>
      <c r="U15" s="137"/>
      <c r="V15" s="137"/>
      <c r="W15" s="137"/>
    </row>
    <row r="16" spans="1:23" ht="15.75" x14ac:dyDescent="0.25">
      <c r="A16" s="182"/>
      <c r="B16" s="32" t="s">
        <v>14</v>
      </c>
      <c r="C16" s="44"/>
      <c r="D16" s="45"/>
      <c r="E16" s="46"/>
      <c r="F16" s="47"/>
      <c r="G16" s="47"/>
      <c r="H16" s="48"/>
      <c r="I16" s="48"/>
      <c r="J16" s="49"/>
      <c r="K16" s="39"/>
      <c r="L16" s="137"/>
      <c r="M16" s="138"/>
      <c r="N16" s="138"/>
      <c r="O16" s="137"/>
      <c r="P16" s="137"/>
      <c r="Q16" s="137"/>
      <c r="R16" s="137"/>
      <c r="S16" s="137"/>
      <c r="T16" s="137"/>
      <c r="U16" s="137"/>
      <c r="V16" s="137"/>
      <c r="W16" s="137"/>
    </row>
    <row r="17" spans="1:14" ht="15.75" x14ac:dyDescent="0.25">
      <c r="A17" s="184"/>
      <c r="B17" s="13" t="s">
        <v>15</v>
      </c>
      <c r="C17" s="14" t="s">
        <v>6</v>
      </c>
      <c r="D17" s="23">
        <v>16000</v>
      </c>
      <c r="E17" s="29">
        <v>16000</v>
      </c>
      <c r="F17" s="16">
        <v>17000</v>
      </c>
      <c r="G17" s="16">
        <v>16000</v>
      </c>
      <c r="H17" s="17">
        <v>15000</v>
      </c>
      <c r="I17" s="17">
        <v>16500</v>
      </c>
      <c r="J17" s="42">
        <v>16000</v>
      </c>
      <c r="K17" s="22">
        <v>16071.428571428571</v>
      </c>
      <c r="L17" s="137"/>
      <c r="M17" s="138"/>
      <c r="N17" s="138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L18" s="137"/>
      <c r="M18" s="138"/>
      <c r="N18" s="138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v>19000</v>
      </c>
      <c r="L19" s="137"/>
      <c r="M19" s="138"/>
      <c r="N19" s="138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L20" s="137"/>
      <c r="M20" s="138"/>
      <c r="N20" s="138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v>118142.85714285714</v>
      </c>
      <c r="L21" s="137"/>
      <c r="M21" s="138"/>
      <c r="N21" s="138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v>109857.14285714286</v>
      </c>
      <c r="L22" s="137"/>
      <c r="M22" s="138"/>
      <c r="N22" s="138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v>100000</v>
      </c>
      <c r="L23" s="137"/>
      <c r="M23" s="138"/>
      <c r="N23" s="138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29000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v>30714.285714285714</v>
      </c>
      <c r="L24" s="137"/>
      <c r="M24" s="138"/>
      <c r="N24" s="138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L25" s="137"/>
      <c r="M25" s="138"/>
      <c r="N25" s="138"/>
    </row>
    <row r="26" spans="1:14" ht="15.75" x14ac:dyDescent="0.25">
      <c r="A26" s="183"/>
      <c r="B26" s="13" t="s">
        <v>24</v>
      </c>
      <c r="C26" s="14" t="s">
        <v>6</v>
      </c>
      <c r="D26" s="43">
        <v>48000</v>
      </c>
      <c r="E26" s="16">
        <v>44000</v>
      </c>
      <c r="F26" s="29">
        <v>40000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v>39571.428571428572</v>
      </c>
      <c r="L26" s="137"/>
      <c r="M26" s="138"/>
      <c r="N26" s="138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28000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v>28166.666666666668</v>
      </c>
      <c r="L27" s="137" t="s">
        <v>101</v>
      </c>
      <c r="M27" s="138"/>
      <c r="N27" s="138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60000</v>
      </c>
      <c r="F28" s="58">
        <v>60000</v>
      </c>
      <c r="G28" s="21">
        <v>85000</v>
      </c>
      <c r="H28" s="17">
        <v>58000</v>
      </c>
      <c r="I28" s="26">
        <v>65000</v>
      </c>
      <c r="J28" s="28">
        <v>55000</v>
      </c>
      <c r="K28" s="22">
        <v>63833.333333333336</v>
      </c>
      <c r="L28" s="137"/>
      <c r="M28" s="138"/>
      <c r="N28" s="138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>
        <v>25000</v>
      </c>
      <c r="H29" s="17">
        <v>23000</v>
      </c>
      <c r="I29" s="26">
        <v>24000</v>
      </c>
      <c r="J29" s="28">
        <v>26000</v>
      </c>
      <c r="K29" s="22">
        <v>24500</v>
      </c>
      <c r="L29" s="137"/>
      <c r="M29" s="138"/>
      <c r="N29" s="138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36000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30000</v>
      </c>
      <c r="K30" s="22">
        <v>36285.714285714283</v>
      </c>
      <c r="L30" s="137"/>
      <c r="M30" s="138"/>
      <c r="N30" s="138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16">
        <v>60000</v>
      </c>
      <c r="H31" s="17">
        <v>80000</v>
      </c>
      <c r="I31" s="26" t="s">
        <v>100</v>
      </c>
      <c r="J31" s="28" t="s">
        <v>100</v>
      </c>
      <c r="K31" s="22">
        <v>80000</v>
      </c>
      <c r="L31" s="137"/>
      <c r="M31" s="138"/>
      <c r="N31" s="138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L32" s="137"/>
      <c r="M32" s="138"/>
      <c r="N32" s="138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27000</v>
      </c>
      <c r="F33" s="16">
        <v>26000</v>
      </c>
      <c r="G33" s="16">
        <v>26000</v>
      </c>
      <c r="H33" s="17">
        <v>25000</v>
      </c>
      <c r="I33" s="17">
        <v>26000</v>
      </c>
      <c r="J33" s="42">
        <v>27000</v>
      </c>
      <c r="K33" s="22">
        <v>26142.857142857141</v>
      </c>
      <c r="L33" s="137"/>
      <c r="M33" s="138"/>
      <c r="N33" s="138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2400</v>
      </c>
      <c r="H34" s="17">
        <v>2000</v>
      </c>
      <c r="I34" s="17">
        <v>2500</v>
      </c>
      <c r="J34" s="42">
        <v>3000</v>
      </c>
      <c r="K34" s="22">
        <v>2342.8571428571427</v>
      </c>
      <c r="L34" s="137"/>
      <c r="M34" s="138"/>
      <c r="N34" s="138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L35" s="137"/>
      <c r="M35" s="138"/>
      <c r="N35" s="138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v>11500</v>
      </c>
      <c r="L36" s="137"/>
      <c r="M36" s="138"/>
      <c r="N36" s="138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v>40200</v>
      </c>
      <c r="L37" s="137"/>
      <c r="M37" s="138"/>
      <c r="N37" s="138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L38" s="137"/>
      <c r="M38" s="138"/>
      <c r="N38" s="138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v>19700</v>
      </c>
      <c r="L39" s="137"/>
      <c r="M39" s="138"/>
      <c r="N39" s="138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v>2000</v>
      </c>
      <c r="L40" s="137"/>
      <c r="M40" s="138"/>
      <c r="N40" s="138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L41" s="137"/>
      <c r="M41" s="138"/>
      <c r="N41" s="138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>
        <v>11000</v>
      </c>
      <c r="H42" s="17">
        <v>9000</v>
      </c>
      <c r="I42" s="55">
        <v>10000</v>
      </c>
      <c r="J42" s="42">
        <v>8000</v>
      </c>
      <c r="K42" s="22">
        <v>9428.5714285714294</v>
      </c>
      <c r="L42" s="137"/>
      <c r="M42" s="138"/>
      <c r="N42" s="138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v>8600</v>
      </c>
      <c r="L43" s="137"/>
      <c r="M43" s="138"/>
      <c r="N43" s="138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L44" s="137"/>
      <c r="M44" s="138"/>
      <c r="N44" s="138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v>3916.6666666666665</v>
      </c>
      <c r="L45" s="137"/>
      <c r="M45" s="138"/>
      <c r="N45" s="138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L46" s="137"/>
      <c r="M46" s="138"/>
      <c r="N46" s="138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12500</v>
      </c>
      <c r="G47" s="16">
        <v>12000</v>
      </c>
      <c r="H47" s="17">
        <v>11500</v>
      </c>
      <c r="I47" s="17">
        <v>11500</v>
      </c>
      <c r="J47" s="42">
        <v>7000</v>
      </c>
      <c r="K47" s="22">
        <v>10714.285714285714</v>
      </c>
      <c r="L47" s="137"/>
      <c r="M47" s="138"/>
      <c r="N47" s="138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L48" s="137"/>
      <c r="M48" s="138"/>
      <c r="N48" s="138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11500</v>
      </c>
      <c r="I49" s="26">
        <v>17000</v>
      </c>
      <c r="J49" s="56" t="s">
        <v>100</v>
      </c>
      <c r="K49" s="22">
        <v>15750</v>
      </c>
      <c r="L49" s="137"/>
      <c r="M49" s="138"/>
      <c r="N49" s="138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v>13166.666666666666</v>
      </c>
      <c r="L50" s="137"/>
      <c r="M50" s="138" t="s">
        <v>103</v>
      </c>
      <c r="N50" s="138"/>
    </row>
    <row r="51" spans="1:14" ht="15.75" x14ac:dyDescent="0.25">
      <c r="A51" s="183"/>
      <c r="B51" s="13" t="s">
        <v>55</v>
      </c>
      <c r="C51" s="14" t="s">
        <v>6</v>
      </c>
      <c r="D51" s="23">
        <v>24000</v>
      </c>
      <c r="E51" s="16">
        <v>23000</v>
      </c>
      <c r="F51" s="16">
        <v>26000</v>
      </c>
      <c r="G51" s="16">
        <v>26000</v>
      </c>
      <c r="H51" s="17">
        <v>23000</v>
      </c>
      <c r="I51" s="17">
        <v>26000</v>
      </c>
      <c r="J51" s="56">
        <v>25000</v>
      </c>
      <c r="K51" s="22">
        <v>24714.285714285714</v>
      </c>
      <c r="L51" s="137"/>
      <c r="M51" s="138"/>
      <c r="N51" s="141"/>
    </row>
    <row r="52" spans="1:14" ht="15.75" x14ac:dyDescent="0.25">
      <c r="A52" s="184"/>
      <c r="B52" s="13" t="s">
        <v>56</v>
      </c>
      <c r="C52" s="14" t="s">
        <v>6</v>
      </c>
      <c r="D52" s="23">
        <v>28000</v>
      </c>
      <c r="E52" s="16">
        <v>30000</v>
      </c>
      <c r="F52" s="16">
        <v>28000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v>28428.571428571428</v>
      </c>
      <c r="L52" s="137"/>
      <c r="M52" s="138"/>
      <c r="N52" s="138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L53" s="137"/>
      <c r="M53" s="138"/>
      <c r="N53" s="138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3200</v>
      </c>
      <c r="H54" s="51" t="s">
        <v>100</v>
      </c>
      <c r="I54" s="27">
        <v>3500</v>
      </c>
      <c r="J54" s="42">
        <v>2500</v>
      </c>
      <c r="K54" s="22">
        <v>3066.6666666666665</v>
      </c>
      <c r="L54" s="137"/>
      <c r="M54" s="138"/>
      <c r="N54" s="138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L55" s="137"/>
      <c r="M55" s="138"/>
      <c r="N55" s="138"/>
    </row>
    <row r="56" spans="1:14" ht="15.75" x14ac:dyDescent="0.25">
      <c r="A56" s="183"/>
      <c r="B56" s="13" t="s">
        <v>61</v>
      </c>
      <c r="C56" s="14" t="s">
        <v>6</v>
      </c>
      <c r="D56" s="23">
        <v>24000</v>
      </c>
      <c r="E56" s="16">
        <v>40000</v>
      </c>
      <c r="F56" s="16">
        <v>25000</v>
      </c>
      <c r="G56" s="16">
        <v>30000</v>
      </c>
      <c r="H56" s="17">
        <v>25000</v>
      </c>
      <c r="I56" s="17">
        <v>30000</v>
      </c>
      <c r="J56" s="42">
        <v>30000</v>
      </c>
      <c r="K56" s="22">
        <v>29142.857142857141</v>
      </c>
      <c r="L56" s="137"/>
      <c r="M56" s="138"/>
      <c r="N56" s="138"/>
    </row>
    <row r="57" spans="1:14" ht="15.75" x14ac:dyDescent="0.25">
      <c r="A57" s="183"/>
      <c r="B57" s="13" t="s">
        <v>62</v>
      </c>
      <c r="C57" s="14" t="s">
        <v>6</v>
      </c>
      <c r="D57" s="43">
        <v>45000</v>
      </c>
      <c r="E57" s="16">
        <v>30000</v>
      </c>
      <c r="F57" s="16">
        <v>32000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v>36750</v>
      </c>
      <c r="L57" s="137"/>
      <c r="M57" s="138"/>
      <c r="N57" s="138"/>
    </row>
    <row r="58" spans="1:14" ht="15.75" x14ac:dyDescent="0.25">
      <c r="A58" s="184"/>
      <c r="B58" s="13" t="s">
        <v>63</v>
      </c>
      <c r="C58" s="14" t="s">
        <v>6</v>
      </c>
      <c r="D58" s="23">
        <v>44000</v>
      </c>
      <c r="E58" s="16">
        <v>55000</v>
      </c>
      <c r="F58" s="16">
        <v>45000</v>
      </c>
      <c r="G58" s="16">
        <v>55000</v>
      </c>
      <c r="H58" s="17">
        <v>25000</v>
      </c>
      <c r="I58" s="17">
        <v>55000</v>
      </c>
      <c r="J58" s="42">
        <v>60000</v>
      </c>
      <c r="K58" s="22">
        <v>48428.571428571428</v>
      </c>
      <c r="L58" s="137"/>
      <c r="M58" s="138"/>
      <c r="N58" s="138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L59" s="137"/>
      <c r="M59" s="138"/>
      <c r="N59" s="138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v>18166.666666666668</v>
      </c>
      <c r="L60" s="137"/>
      <c r="M60" s="138"/>
      <c r="N60" s="138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L61" s="137"/>
      <c r="M61" s="138"/>
      <c r="N61" s="138"/>
    </row>
    <row r="62" spans="1:14" ht="15.75" x14ac:dyDescent="0.25">
      <c r="A62" s="183"/>
      <c r="B62" s="13" t="s">
        <v>68</v>
      </c>
      <c r="C62" s="14" t="s">
        <v>6</v>
      </c>
      <c r="D62" s="23">
        <v>27000</v>
      </c>
      <c r="E62" s="16">
        <v>40000</v>
      </c>
      <c r="F62" s="16">
        <v>30000</v>
      </c>
      <c r="G62" s="16">
        <v>30000</v>
      </c>
      <c r="H62" s="17">
        <v>27000</v>
      </c>
      <c r="I62" s="17">
        <v>35000</v>
      </c>
      <c r="J62" s="42">
        <v>30000</v>
      </c>
      <c r="K62" s="22">
        <v>31285.714285714286</v>
      </c>
      <c r="L62" s="137"/>
      <c r="M62" s="138"/>
      <c r="N62" s="138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28000</v>
      </c>
      <c r="F63" s="16">
        <v>28000</v>
      </c>
      <c r="G63" s="16">
        <v>25000</v>
      </c>
      <c r="H63" s="17">
        <v>24000</v>
      </c>
      <c r="I63" s="17">
        <v>27000</v>
      </c>
      <c r="J63" s="42">
        <v>25000</v>
      </c>
      <c r="K63" s="22">
        <v>26142.857142857141</v>
      </c>
      <c r="L63" s="137"/>
      <c r="M63" s="138"/>
      <c r="N63" s="138"/>
    </row>
    <row r="64" spans="1:14" ht="15.75" x14ac:dyDescent="0.25">
      <c r="A64" s="183"/>
      <c r="B64" s="13" t="s">
        <v>70</v>
      </c>
      <c r="C64" s="14" t="s">
        <v>6</v>
      </c>
      <c r="D64" s="23">
        <v>40000</v>
      </c>
      <c r="E64" s="16">
        <v>38000</v>
      </c>
      <c r="F64" s="16">
        <v>40000</v>
      </c>
      <c r="G64" s="16">
        <v>35000</v>
      </c>
      <c r="H64" s="17">
        <v>35000</v>
      </c>
      <c r="I64" s="17">
        <v>42000</v>
      </c>
      <c r="J64" s="42">
        <v>40000</v>
      </c>
      <c r="K64" s="22">
        <v>38571.428571428572</v>
      </c>
      <c r="L64" s="137"/>
      <c r="M64" s="138"/>
      <c r="N64" s="138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v>21428.571428571428</v>
      </c>
      <c r="L65" s="137"/>
      <c r="M65" s="138"/>
      <c r="N65" s="138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L66" s="137"/>
      <c r="M66" s="138"/>
      <c r="N66" s="138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v>5571.4285714285716</v>
      </c>
      <c r="L67" s="137"/>
      <c r="M67" s="138"/>
      <c r="N67" s="138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v>5600</v>
      </c>
      <c r="L68" s="137"/>
      <c r="M68" s="138"/>
      <c r="N68" s="138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L69" s="137"/>
      <c r="M69" s="138"/>
      <c r="N69" s="138"/>
    </row>
    <row r="70" spans="1:14" ht="15.75" x14ac:dyDescent="0.25">
      <c r="A70" s="86"/>
      <c r="B70" s="13" t="s">
        <v>76</v>
      </c>
      <c r="C70" s="68" t="s">
        <v>6</v>
      </c>
      <c r="D70" s="23">
        <v>10000</v>
      </c>
      <c r="E70" s="16">
        <v>12000</v>
      </c>
      <c r="F70" s="16">
        <v>12000</v>
      </c>
      <c r="G70" s="16">
        <v>8000</v>
      </c>
      <c r="H70" s="17">
        <v>9000</v>
      </c>
      <c r="I70" s="27">
        <v>10000</v>
      </c>
      <c r="J70" s="42">
        <v>9000</v>
      </c>
      <c r="K70" s="22">
        <v>10000</v>
      </c>
      <c r="L70" s="137"/>
      <c r="M70" s="138"/>
      <c r="N70" s="138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v>11857.142857142857</v>
      </c>
      <c r="L71" s="137"/>
      <c r="M71" s="138"/>
      <c r="N71" s="138"/>
    </row>
    <row r="72" spans="1:14" ht="15.75" x14ac:dyDescent="0.25">
      <c r="A72" s="86"/>
      <c r="B72" s="13" t="s">
        <v>78</v>
      </c>
      <c r="C72" s="68" t="s">
        <v>6</v>
      </c>
      <c r="D72" s="23">
        <v>13000</v>
      </c>
      <c r="E72" s="16">
        <v>15000</v>
      </c>
      <c r="F72" s="16">
        <v>18000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v>15285.714285714286</v>
      </c>
      <c r="L72" s="137"/>
      <c r="M72" s="138"/>
      <c r="N72" s="138"/>
    </row>
    <row r="73" spans="1:14" ht="15.75" x14ac:dyDescent="0.25">
      <c r="A73" s="86"/>
      <c r="B73" s="13" t="s">
        <v>79</v>
      </c>
      <c r="C73" s="68" t="s">
        <v>6</v>
      </c>
      <c r="D73" s="23">
        <v>14000</v>
      </c>
      <c r="E73" s="16">
        <v>8000</v>
      </c>
      <c r="F73" s="16">
        <v>16000</v>
      </c>
      <c r="G73" s="16">
        <v>20000</v>
      </c>
      <c r="H73" s="17">
        <v>5000</v>
      </c>
      <c r="I73" s="55">
        <v>8000</v>
      </c>
      <c r="J73" s="42">
        <v>6000</v>
      </c>
      <c r="K73" s="22">
        <v>11000</v>
      </c>
      <c r="L73" s="137"/>
      <c r="M73" s="138"/>
      <c r="N73" s="138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10000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v>10571.428571428571</v>
      </c>
      <c r="L74" s="137"/>
      <c r="M74" s="138"/>
      <c r="N74" s="138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12000</v>
      </c>
      <c r="F75" s="30" t="s">
        <v>100</v>
      </c>
      <c r="G75" s="21">
        <v>10000</v>
      </c>
      <c r="H75" s="87">
        <v>9000</v>
      </c>
      <c r="I75" s="88">
        <v>10000</v>
      </c>
      <c r="J75" s="89">
        <v>7000</v>
      </c>
      <c r="K75" s="22">
        <v>9600</v>
      </c>
      <c r="L75" s="137"/>
      <c r="M75" s="138"/>
      <c r="N75" s="138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v>1800</v>
      </c>
      <c r="L76" s="137"/>
      <c r="M76" s="138"/>
      <c r="N76" s="138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v>1500</v>
      </c>
      <c r="L77" s="137"/>
      <c r="M77" s="138"/>
      <c r="N77" s="138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v>1900</v>
      </c>
      <c r="L78" s="137"/>
      <c r="M78" s="138"/>
      <c r="N78" s="138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L79" s="137"/>
      <c r="M79" s="138"/>
      <c r="N79" s="138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v>18000</v>
      </c>
      <c r="L80" s="137"/>
      <c r="M80" s="138"/>
      <c r="N80" s="138"/>
    </row>
    <row r="81" spans="1:14" ht="15.75" x14ac:dyDescent="0.25">
      <c r="A81" s="137"/>
      <c r="B81" s="137"/>
      <c r="C81" s="137"/>
      <c r="D81" s="137"/>
      <c r="E81" s="143"/>
      <c r="F81" s="137"/>
      <c r="G81" s="137"/>
      <c r="H81" s="137"/>
      <c r="I81" s="137"/>
      <c r="J81" s="144"/>
      <c r="K81" s="137"/>
      <c r="L81" s="137"/>
      <c r="M81" s="138"/>
      <c r="N81" s="138"/>
    </row>
    <row r="82" spans="1:14" ht="15.75" x14ac:dyDescent="0.25">
      <c r="A82" s="137"/>
      <c r="B82" s="92"/>
      <c r="C82" s="137"/>
      <c r="D82" s="137"/>
      <c r="E82" s="137"/>
      <c r="F82" s="137"/>
      <c r="G82" s="137"/>
      <c r="H82" s="137"/>
      <c r="I82" s="137"/>
      <c r="J82" s="144"/>
      <c r="K82" s="137"/>
      <c r="L82" s="137"/>
      <c r="M82" s="138"/>
      <c r="N82" s="138"/>
    </row>
    <row r="83" spans="1:14" ht="15.75" x14ac:dyDescent="0.25">
      <c r="A83" s="137"/>
      <c r="B83" s="137"/>
      <c r="C83" s="137"/>
      <c r="D83" s="137"/>
      <c r="E83" s="137"/>
      <c r="F83" s="137"/>
      <c r="G83" s="137"/>
      <c r="H83" s="137"/>
      <c r="I83" s="137"/>
      <c r="J83" s="144"/>
      <c r="K83" s="137"/>
      <c r="L83" s="137"/>
      <c r="M83" s="138"/>
      <c r="N83" s="138"/>
    </row>
    <row r="84" spans="1:14" ht="15.75" x14ac:dyDescent="0.25">
      <c r="A84" s="138"/>
      <c r="B84" s="138"/>
      <c r="C84" s="138"/>
      <c r="D84" s="141"/>
      <c r="E84" s="138"/>
      <c r="F84" s="138"/>
      <c r="G84" s="138"/>
      <c r="H84" s="138"/>
      <c r="I84" s="138"/>
      <c r="J84" s="140"/>
      <c r="K84" s="138"/>
      <c r="L84" s="138"/>
      <c r="M84" s="138"/>
      <c r="N84" s="138"/>
    </row>
  </sheetData>
  <mergeCells count="28">
    <mergeCell ref="A18:A19"/>
    <mergeCell ref="A20:A24"/>
    <mergeCell ref="A7:A12"/>
    <mergeCell ref="A13:A15"/>
    <mergeCell ref="A16:A17"/>
    <mergeCell ref="D4:D6"/>
    <mergeCell ref="E4:E6"/>
    <mergeCell ref="A1:K1"/>
    <mergeCell ref="A2:K2"/>
    <mergeCell ref="A3:K3"/>
    <mergeCell ref="A4:A6"/>
    <mergeCell ref="B4:B6"/>
    <mergeCell ref="C4:C6"/>
    <mergeCell ref="K4:K6"/>
    <mergeCell ref="F4:F6"/>
    <mergeCell ref="J4:J6"/>
    <mergeCell ref="H4:H6"/>
    <mergeCell ref="I4:I6"/>
    <mergeCell ref="G4:G6"/>
    <mergeCell ref="A48:A52"/>
    <mergeCell ref="A55:A58"/>
    <mergeCell ref="A61:A65"/>
    <mergeCell ref="A25:A31"/>
    <mergeCell ref="A32:A34"/>
    <mergeCell ref="A35:A37"/>
    <mergeCell ref="A38:A40"/>
    <mergeCell ref="A44:A45"/>
    <mergeCell ref="A46:A47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FB16-EC66-4B10-94FF-755E6DB6B903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116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201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202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3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5</v>
      </c>
      <c r="C8" s="14" t="s">
        <v>6</v>
      </c>
      <c r="D8" s="15">
        <v>12800</v>
      </c>
      <c r="E8" s="95">
        <v>12500</v>
      </c>
      <c r="F8" s="95">
        <v>13500</v>
      </c>
      <c r="G8" s="29">
        <v>13000</v>
      </c>
      <c r="H8" s="42">
        <v>13000</v>
      </c>
      <c r="I8" s="42">
        <v>13000</v>
      </c>
      <c r="J8" s="18">
        <v>12500</v>
      </c>
      <c r="K8" s="19">
        <f>AVERAGE(D8:J8)</f>
        <v>12900</v>
      </c>
      <c r="L8" s="1"/>
      <c r="M8" s="20"/>
      <c r="N8" s="5"/>
    </row>
    <row r="9" spans="1:14" ht="15.75" x14ac:dyDescent="0.25">
      <c r="A9" s="183"/>
      <c r="B9" s="13" t="s">
        <v>7</v>
      </c>
      <c r="C9" s="14" t="s">
        <v>6</v>
      </c>
      <c r="D9" s="23">
        <v>12000</v>
      </c>
      <c r="E9" s="16">
        <v>11500</v>
      </c>
      <c r="F9" s="16">
        <v>12000</v>
      </c>
      <c r="G9" s="21">
        <v>12000</v>
      </c>
      <c r="H9" s="17">
        <v>12000</v>
      </c>
      <c r="I9" s="17">
        <v>11500</v>
      </c>
      <c r="J9" s="94">
        <v>11000</v>
      </c>
      <c r="K9" s="22">
        <f t="shared" ref="K9:K72" si="0">AVERAGE(D9:J9)</f>
        <v>11714.285714285714</v>
      </c>
      <c r="M9" s="5"/>
      <c r="N9" s="5"/>
    </row>
    <row r="10" spans="1:14" ht="15.75" x14ac:dyDescent="0.25">
      <c r="A10" s="183"/>
      <c r="B10" s="13" t="s">
        <v>8</v>
      </c>
      <c r="C10" s="14" t="s">
        <v>6</v>
      </c>
      <c r="D10" s="43">
        <v>0</v>
      </c>
      <c r="E10" s="16">
        <v>0</v>
      </c>
      <c r="F10" s="24">
        <v>12000</v>
      </c>
      <c r="G10" s="25">
        <v>9450</v>
      </c>
      <c r="H10" s="26">
        <v>11000</v>
      </c>
      <c r="I10" s="27">
        <v>10500</v>
      </c>
      <c r="J10" s="27" t="s">
        <v>100</v>
      </c>
      <c r="K10" s="22">
        <f t="shared" si="0"/>
        <v>7158.333333333333</v>
      </c>
      <c r="M10" s="5"/>
      <c r="N10" s="5"/>
    </row>
    <row r="11" spans="1:14" ht="15.75" x14ac:dyDescent="0.25">
      <c r="A11" s="183"/>
      <c r="B11" s="13" t="s">
        <v>9</v>
      </c>
      <c r="C11" s="14" t="s">
        <v>6</v>
      </c>
      <c r="D11" s="43" t="s">
        <v>100</v>
      </c>
      <c r="E11" s="29" t="s">
        <v>100</v>
      </c>
      <c r="F11" s="30" t="s">
        <v>100</v>
      </c>
      <c r="G11" s="21">
        <v>11000</v>
      </c>
      <c r="H11" s="26" t="s">
        <v>100</v>
      </c>
      <c r="I11" s="27">
        <v>11000</v>
      </c>
      <c r="J11" s="94">
        <v>8000</v>
      </c>
      <c r="K11" s="22">
        <f>AVERAGE(D11:J11)</f>
        <v>10000</v>
      </c>
      <c r="M11" s="5"/>
      <c r="N11" s="5"/>
    </row>
    <row r="12" spans="1:14" ht="15.75" x14ac:dyDescent="0.25">
      <c r="A12" s="184"/>
      <c r="B12" s="13" t="s">
        <v>10</v>
      </c>
      <c r="C12" s="14" t="s">
        <v>6</v>
      </c>
      <c r="D12" s="43" t="s">
        <v>100</v>
      </c>
      <c r="E12" s="29">
        <v>23000</v>
      </c>
      <c r="F12" s="30" t="s">
        <v>100</v>
      </c>
      <c r="G12" s="21">
        <v>18000</v>
      </c>
      <c r="H12" s="26" t="s">
        <v>100</v>
      </c>
      <c r="I12" s="27">
        <v>18000</v>
      </c>
      <c r="J12" s="94">
        <v>18000</v>
      </c>
      <c r="K12" s="22">
        <f t="shared" si="0"/>
        <v>19250</v>
      </c>
      <c r="M12" s="5"/>
      <c r="N12" s="5"/>
    </row>
    <row r="13" spans="1:14" ht="15.75" x14ac:dyDescent="0.25">
      <c r="A13" s="182">
        <v>2</v>
      </c>
      <c r="B13" s="32" t="s">
        <v>11</v>
      </c>
      <c r="C13" s="33"/>
      <c r="D13" s="34"/>
      <c r="E13" s="35"/>
      <c r="F13" s="36"/>
      <c r="G13" s="37"/>
      <c r="H13" s="38"/>
      <c r="I13" s="38"/>
      <c r="J13" s="38"/>
      <c r="K13" s="39"/>
      <c r="M13" s="5"/>
      <c r="N13" s="40"/>
    </row>
    <row r="14" spans="1:14" ht="15.75" x14ac:dyDescent="0.25">
      <c r="A14" s="183"/>
      <c r="B14" s="41" t="s">
        <v>12</v>
      </c>
      <c r="C14" s="14" t="s">
        <v>6</v>
      </c>
      <c r="D14" s="23">
        <v>13000</v>
      </c>
      <c r="E14" s="16">
        <v>13000</v>
      </c>
      <c r="F14" s="16">
        <v>13500</v>
      </c>
      <c r="G14" s="16">
        <v>13000</v>
      </c>
      <c r="H14" s="17">
        <v>13000</v>
      </c>
      <c r="I14" s="17">
        <v>13500</v>
      </c>
      <c r="J14" s="42">
        <v>13000</v>
      </c>
      <c r="K14" s="22">
        <f t="shared" si="0"/>
        <v>13142.857142857143</v>
      </c>
      <c r="M14" s="5"/>
      <c r="N14" s="5"/>
    </row>
    <row r="15" spans="1:14" ht="15.75" x14ac:dyDescent="0.25">
      <c r="A15" s="184"/>
      <c r="B15" s="13" t="s">
        <v>13</v>
      </c>
      <c r="C15" s="14" t="s">
        <v>6</v>
      </c>
      <c r="D15" s="43">
        <v>15000</v>
      </c>
      <c r="E15" s="29">
        <v>16000</v>
      </c>
      <c r="F15" s="24">
        <v>16000</v>
      </c>
      <c r="G15" s="21">
        <v>19000</v>
      </c>
      <c r="H15" s="17">
        <v>15000</v>
      </c>
      <c r="I15" s="17">
        <v>16000</v>
      </c>
      <c r="J15" s="42">
        <v>16000</v>
      </c>
      <c r="K15" s="22">
        <f t="shared" si="0"/>
        <v>16142.857142857143</v>
      </c>
      <c r="M15" s="5"/>
      <c r="N15" s="5"/>
    </row>
    <row r="16" spans="1:14" ht="15.75" x14ac:dyDescent="0.25">
      <c r="A16" s="182"/>
      <c r="B16" s="32" t="s">
        <v>14</v>
      </c>
      <c r="C16" s="44"/>
      <c r="D16" s="45"/>
      <c r="E16" s="46"/>
      <c r="F16" s="47"/>
      <c r="G16" s="47"/>
      <c r="H16" s="48"/>
      <c r="I16" s="48"/>
      <c r="J16" s="49"/>
      <c r="K16" s="39"/>
      <c r="M16" s="5"/>
      <c r="N16" s="5"/>
    </row>
    <row r="17" spans="1:14" ht="15.75" x14ac:dyDescent="0.25">
      <c r="A17" s="184"/>
      <c r="B17" s="13" t="s">
        <v>15</v>
      </c>
      <c r="C17" s="14" t="s">
        <v>6</v>
      </c>
      <c r="D17" s="23">
        <v>16000</v>
      </c>
      <c r="E17" s="29">
        <v>16000</v>
      </c>
      <c r="F17" s="16">
        <v>17000</v>
      </c>
      <c r="G17" s="16">
        <v>16000</v>
      </c>
      <c r="H17" s="17">
        <v>15000</v>
      </c>
      <c r="I17" s="17">
        <v>16500</v>
      </c>
      <c r="J17" s="42">
        <v>16000</v>
      </c>
      <c r="K17" s="22">
        <f t="shared" si="0"/>
        <v>16071.428571428571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29000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30714.285714285714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48000</v>
      </c>
      <c r="E26" s="16">
        <v>44000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38857.142857142855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28000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28166.666666666668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60000</v>
      </c>
      <c r="F28" s="58">
        <v>60000</v>
      </c>
      <c r="G28" s="21">
        <v>85000</v>
      </c>
      <c r="H28" s="17">
        <v>58000</v>
      </c>
      <c r="I28" s="26">
        <v>70000</v>
      </c>
      <c r="J28" s="28">
        <v>55000</v>
      </c>
      <c r="K28" s="22">
        <f t="shared" si="0"/>
        <v>64666.666666666664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>
        <v>25000</v>
      </c>
      <c r="H29" s="17">
        <v>23000</v>
      </c>
      <c r="I29" s="26">
        <v>24000</v>
      </c>
      <c r="J29" s="28">
        <v>26000</v>
      </c>
      <c r="K29" s="22">
        <f t="shared" si="0"/>
        <v>24500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30000</v>
      </c>
      <c r="K30" s="22">
        <f t="shared" si="0"/>
        <v>36571.428571428572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16">
        <v>60000</v>
      </c>
      <c r="H31" s="17">
        <v>80000</v>
      </c>
      <c r="I31" s="26" t="s">
        <v>100</v>
      </c>
      <c r="J31" s="28" t="s">
        <v>100</v>
      </c>
      <c r="K31" s="22">
        <f t="shared" si="0"/>
        <v>80000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27000</v>
      </c>
      <c r="F33" s="16">
        <v>26000</v>
      </c>
      <c r="G33" s="16">
        <v>26000</v>
      </c>
      <c r="H33" s="17">
        <v>26000</v>
      </c>
      <c r="I33" s="17">
        <v>26000</v>
      </c>
      <c r="J33" s="42">
        <v>27000</v>
      </c>
      <c r="K33" s="22">
        <f t="shared" si="0"/>
        <v>26285.714285714286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2400</v>
      </c>
      <c r="H34" s="17">
        <v>2000</v>
      </c>
      <c r="I34" s="17">
        <v>2500</v>
      </c>
      <c r="J34" s="42">
        <v>3000</v>
      </c>
      <c r="K34" s="22">
        <f t="shared" si="0"/>
        <v>2342.8571428571427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f t="shared" si="0"/>
        <v>19700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>
        <v>11000</v>
      </c>
      <c r="H42" s="17">
        <v>9000</v>
      </c>
      <c r="I42" s="55">
        <v>10000</v>
      </c>
      <c r="J42" s="42">
        <v>8000</v>
      </c>
      <c r="K42" s="22">
        <f t="shared" si="0"/>
        <v>9428.5714285714294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12500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10714.285714285714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11500</v>
      </c>
      <c r="I49" s="26">
        <v>17000</v>
      </c>
      <c r="J49" s="56" t="s">
        <v>100</v>
      </c>
      <c r="K49" s="22">
        <f t="shared" si="0"/>
        <v>15750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26000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24428.571428571428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28000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28142.857142857141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3200</v>
      </c>
      <c r="H54" s="51" t="s">
        <v>100</v>
      </c>
      <c r="I54" s="27">
        <v>3500</v>
      </c>
      <c r="J54" s="42">
        <v>2500</v>
      </c>
      <c r="K54" s="22">
        <f t="shared" si="0"/>
        <v>3066.6666666666665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30000</v>
      </c>
      <c r="E56" s="16">
        <v>40000</v>
      </c>
      <c r="F56" s="16">
        <v>30000</v>
      </c>
      <c r="G56" s="16">
        <v>30000</v>
      </c>
      <c r="H56" s="17">
        <v>25000</v>
      </c>
      <c r="I56" s="17">
        <v>35000</v>
      </c>
      <c r="J56" s="42">
        <v>30000</v>
      </c>
      <c r="K56" s="22">
        <f t="shared" si="0"/>
        <v>31428.571428571428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40000</v>
      </c>
      <c r="E57" s="16">
        <v>40000</v>
      </c>
      <c r="F57" s="16">
        <v>40000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40000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60000</v>
      </c>
      <c r="E58" s="16">
        <v>55000</v>
      </c>
      <c r="F58" s="16">
        <v>55000</v>
      </c>
      <c r="G58" s="16">
        <v>55000</v>
      </c>
      <c r="H58" s="17">
        <v>53000</v>
      </c>
      <c r="I58" s="17">
        <v>55000</v>
      </c>
      <c r="J58" s="42">
        <v>60000</v>
      </c>
      <c r="K58" s="22">
        <f t="shared" si="0"/>
        <v>56142.857142857145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30000</v>
      </c>
      <c r="E62" s="16">
        <v>28000</v>
      </c>
      <c r="F62" s="16">
        <v>30000</v>
      </c>
      <c r="G62" s="16">
        <v>30000</v>
      </c>
      <c r="H62" s="17">
        <v>27000</v>
      </c>
      <c r="I62" s="17">
        <v>35000</v>
      </c>
      <c r="J62" s="42">
        <v>35000</v>
      </c>
      <c r="K62" s="22">
        <f t="shared" si="0"/>
        <v>30714.285714285714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28000</v>
      </c>
      <c r="E63" s="16">
        <v>26000</v>
      </c>
      <c r="F63" s="16">
        <v>28000</v>
      </c>
      <c r="G63" s="16">
        <v>25000</v>
      </c>
      <c r="H63" s="17">
        <v>24000</v>
      </c>
      <c r="I63" s="17">
        <v>27000</v>
      </c>
      <c r="J63" s="42">
        <v>25000</v>
      </c>
      <c r="K63" s="22">
        <f t="shared" si="0"/>
        <v>26142.857142857141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35000</v>
      </c>
      <c r="E64" s="16">
        <v>38000</v>
      </c>
      <c r="F64" s="16">
        <v>42000</v>
      </c>
      <c r="G64" s="16">
        <v>35000</v>
      </c>
      <c r="H64" s="17">
        <v>30000</v>
      </c>
      <c r="I64" s="17">
        <v>42000</v>
      </c>
      <c r="J64" s="42">
        <v>40000</v>
      </c>
      <c r="K64" s="22">
        <f t="shared" si="0"/>
        <v>37428.571428571428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15000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21000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7000</v>
      </c>
      <c r="E70" s="16">
        <v>9000</v>
      </c>
      <c r="F70" s="16">
        <v>9000</v>
      </c>
      <c r="G70" s="16">
        <v>8000</v>
      </c>
      <c r="H70" s="17">
        <v>9000</v>
      </c>
      <c r="I70" s="27">
        <v>10000</v>
      </c>
      <c r="J70" s="42">
        <v>9000</v>
      </c>
      <c r="K70" s="22">
        <f t="shared" si="0"/>
        <v>8714.2857142857138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12000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12142.857142857143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15000</v>
      </c>
      <c r="E72" s="16">
        <v>17000</v>
      </c>
      <c r="F72" s="16">
        <v>18000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15857.142857142857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15000</v>
      </c>
      <c r="E73" s="16">
        <v>12000</v>
      </c>
      <c r="F73" s="16">
        <v>17000</v>
      </c>
      <c r="G73" s="16">
        <v>20000</v>
      </c>
      <c r="H73" s="17">
        <v>5000</v>
      </c>
      <c r="I73" s="55">
        <v>8000</v>
      </c>
      <c r="J73" s="42">
        <v>6000</v>
      </c>
      <c r="K73" s="22">
        <f t="shared" ref="K73:K80" si="1">AVERAGE(D73:J73)</f>
        <v>11857.142857142857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8000</v>
      </c>
      <c r="E74" s="16">
        <v>11000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10571.428571428571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8000</v>
      </c>
      <c r="F75" s="30" t="s">
        <v>100</v>
      </c>
      <c r="G75" s="21">
        <v>10000</v>
      </c>
      <c r="H75" s="87">
        <v>9000</v>
      </c>
      <c r="I75" s="88">
        <v>10000</v>
      </c>
      <c r="J75" s="89">
        <v>7000</v>
      </c>
      <c r="K75" s="22">
        <f t="shared" si="1"/>
        <v>8800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13:A15"/>
    <mergeCell ref="A7:A12"/>
    <mergeCell ref="A61:A65"/>
    <mergeCell ref="A16:A17"/>
    <mergeCell ref="A18:A19"/>
    <mergeCell ref="A20:A24"/>
    <mergeCell ref="A25:A31"/>
    <mergeCell ref="A32:A34"/>
    <mergeCell ref="A35:A37"/>
    <mergeCell ref="A38:A40"/>
    <mergeCell ref="A44:A45"/>
    <mergeCell ref="A46:A47"/>
    <mergeCell ref="A48:A52"/>
    <mergeCell ref="A55:A58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7700-DCB1-446F-B100-FFCBEC3F0736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117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201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202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3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5</v>
      </c>
      <c r="C8" s="14" t="s">
        <v>6</v>
      </c>
      <c r="D8" s="15">
        <v>12800</v>
      </c>
      <c r="E8" s="95">
        <v>12500</v>
      </c>
      <c r="F8" s="95">
        <v>13000</v>
      </c>
      <c r="G8" s="29">
        <v>13000</v>
      </c>
      <c r="H8" s="42">
        <v>13000</v>
      </c>
      <c r="I8" s="42">
        <v>13500</v>
      </c>
      <c r="J8" s="18">
        <v>12500</v>
      </c>
      <c r="K8" s="19">
        <f>AVERAGE(D8:J8)</f>
        <v>12900</v>
      </c>
      <c r="L8" s="1"/>
      <c r="M8" s="20"/>
      <c r="N8" s="5"/>
    </row>
    <row r="9" spans="1:14" ht="15.75" x14ac:dyDescent="0.25">
      <c r="A9" s="183"/>
      <c r="B9" s="13" t="s">
        <v>7</v>
      </c>
      <c r="C9" s="14" t="s">
        <v>6</v>
      </c>
      <c r="D9" s="23">
        <v>12000</v>
      </c>
      <c r="E9" s="16">
        <v>11500</v>
      </c>
      <c r="F9" s="16">
        <v>13000</v>
      </c>
      <c r="G9" s="21">
        <v>12000</v>
      </c>
      <c r="H9" s="17">
        <v>12000</v>
      </c>
      <c r="I9" s="17">
        <v>12000</v>
      </c>
      <c r="J9" s="94">
        <v>11000</v>
      </c>
      <c r="K9" s="22">
        <f t="shared" ref="K9:K72" si="0">AVERAGE(D9:J9)</f>
        <v>11928.571428571429</v>
      </c>
      <c r="M9" s="5"/>
      <c r="N9" s="5"/>
    </row>
    <row r="10" spans="1:14" ht="15.75" x14ac:dyDescent="0.25">
      <c r="A10" s="183"/>
      <c r="B10" s="13" t="s">
        <v>8</v>
      </c>
      <c r="C10" s="14" t="s">
        <v>6</v>
      </c>
      <c r="D10" s="43">
        <v>0</v>
      </c>
      <c r="E10" s="16">
        <v>0</v>
      </c>
      <c r="F10" s="24">
        <v>12000</v>
      </c>
      <c r="G10" s="25">
        <v>9450</v>
      </c>
      <c r="H10" s="26">
        <v>11000</v>
      </c>
      <c r="I10" s="27">
        <v>10500</v>
      </c>
      <c r="J10" s="27" t="s">
        <v>100</v>
      </c>
      <c r="K10" s="22">
        <f t="shared" si="0"/>
        <v>7158.333333333333</v>
      </c>
      <c r="M10" s="5"/>
      <c r="N10" s="5"/>
    </row>
    <row r="11" spans="1:14" ht="15.75" x14ac:dyDescent="0.25">
      <c r="A11" s="183"/>
      <c r="B11" s="13" t="s">
        <v>9</v>
      </c>
      <c r="C11" s="14" t="s">
        <v>6</v>
      </c>
      <c r="D11" s="43" t="s">
        <v>100</v>
      </c>
      <c r="E11" s="29" t="s">
        <v>100</v>
      </c>
      <c r="F11" s="30" t="s">
        <v>100</v>
      </c>
      <c r="G11" s="21">
        <v>11000</v>
      </c>
      <c r="H11" s="26" t="s">
        <v>100</v>
      </c>
      <c r="I11" s="27">
        <v>11000</v>
      </c>
      <c r="J11" s="94">
        <v>8000</v>
      </c>
      <c r="K11" s="22">
        <f>AVERAGE(D11:J11)</f>
        <v>10000</v>
      </c>
      <c r="M11" s="5"/>
      <c r="N11" s="5"/>
    </row>
    <row r="12" spans="1:14" ht="15.75" x14ac:dyDescent="0.25">
      <c r="A12" s="184"/>
      <c r="B12" s="13" t="s">
        <v>10</v>
      </c>
      <c r="C12" s="14" t="s">
        <v>6</v>
      </c>
      <c r="D12" s="43" t="s">
        <v>100</v>
      </c>
      <c r="E12" s="29">
        <v>23000</v>
      </c>
      <c r="F12" s="30" t="s">
        <v>100</v>
      </c>
      <c r="G12" s="21">
        <v>18000</v>
      </c>
      <c r="H12" s="26" t="s">
        <v>100</v>
      </c>
      <c r="I12" s="27">
        <v>20000</v>
      </c>
      <c r="J12" s="94">
        <v>18000</v>
      </c>
      <c r="K12" s="22">
        <f t="shared" si="0"/>
        <v>19750</v>
      </c>
      <c r="M12" s="5"/>
      <c r="N12" s="5"/>
    </row>
    <row r="13" spans="1:14" ht="15.75" x14ac:dyDescent="0.25">
      <c r="A13" s="182">
        <v>2</v>
      </c>
      <c r="B13" s="32" t="s">
        <v>11</v>
      </c>
      <c r="C13" s="33"/>
      <c r="D13" s="34"/>
      <c r="E13" s="35"/>
      <c r="F13" s="36"/>
      <c r="G13" s="37"/>
      <c r="H13" s="38"/>
      <c r="I13" s="38"/>
      <c r="J13" s="38"/>
      <c r="K13" s="39"/>
      <c r="M13" s="5"/>
      <c r="N13" s="40"/>
    </row>
    <row r="14" spans="1:14" ht="15.75" x14ac:dyDescent="0.25">
      <c r="A14" s="183"/>
      <c r="B14" s="41" t="s">
        <v>12</v>
      </c>
      <c r="C14" s="14" t="s">
        <v>6</v>
      </c>
      <c r="D14" s="23">
        <v>13000</v>
      </c>
      <c r="E14" s="16">
        <v>13000</v>
      </c>
      <c r="F14" s="16">
        <v>13500</v>
      </c>
      <c r="G14" s="16">
        <v>13000</v>
      </c>
      <c r="H14" s="17">
        <v>13000</v>
      </c>
      <c r="I14" s="17">
        <v>13500</v>
      </c>
      <c r="J14" s="42">
        <v>13000</v>
      </c>
      <c r="K14" s="22">
        <f t="shared" si="0"/>
        <v>13142.857142857143</v>
      </c>
      <c r="M14" s="5"/>
      <c r="N14" s="5"/>
    </row>
    <row r="15" spans="1:14" ht="15.75" x14ac:dyDescent="0.25">
      <c r="A15" s="184"/>
      <c r="B15" s="13" t="s">
        <v>13</v>
      </c>
      <c r="C15" s="14" t="s">
        <v>6</v>
      </c>
      <c r="D15" s="43">
        <v>15000</v>
      </c>
      <c r="E15" s="29">
        <v>16000</v>
      </c>
      <c r="F15" s="24">
        <v>16000</v>
      </c>
      <c r="G15" s="21">
        <v>19000</v>
      </c>
      <c r="H15" s="17">
        <v>15000</v>
      </c>
      <c r="I15" s="17">
        <v>16000</v>
      </c>
      <c r="J15" s="42">
        <v>16000</v>
      </c>
      <c r="K15" s="22">
        <f t="shared" si="0"/>
        <v>16142.857142857143</v>
      </c>
      <c r="M15" s="5"/>
      <c r="N15" s="5"/>
    </row>
    <row r="16" spans="1:14" ht="15.75" x14ac:dyDescent="0.25">
      <c r="A16" s="182"/>
      <c r="B16" s="32" t="s">
        <v>14</v>
      </c>
      <c r="C16" s="44"/>
      <c r="D16" s="45"/>
      <c r="E16" s="46"/>
      <c r="F16" s="47"/>
      <c r="G16" s="47"/>
      <c r="H16" s="48"/>
      <c r="I16" s="48"/>
      <c r="J16" s="49"/>
      <c r="K16" s="39"/>
      <c r="M16" s="5"/>
      <c r="N16" s="5"/>
    </row>
    <row r="17" spans="1:14" ht="15.75" x14ac:dyDescent="0.25">
      <c r="A17" s="184"/>
      <c r="B17" s="13" t="s">
        <v>15</v>
      </c>
      <c r="C17" s="14" t="s">
        <v>6</v>
      </c>
      <c r="D17" s="23">
        <v>16000</v>
      </c>
      <c r="E17" s="29">
        <v>16000</v>
      </c>
      <c r="F17" s="16">
        <v>17000</v>
      </c>
      <c r="G17" s="16">
        <v>16000</v>
      </c>
      <c r="H17" s="17">
        <v>15000</v>
      </c>
      <c r="I17" s="17">
        <v>16000</v>
      </c>
      <c r="J17" s="42">
        <v>16000</v>
      </c>
      <c r="K17" s="22">
        <f t="shared" si="0"/>
        <v>16000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30857.142857142859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48000</v>
      </c>
      <c r="E26" s="16">
        <v>44000</v>
      </c>
      <c r="F26" s="29">
        <v>40000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39571.428571428572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28000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28166.666666666668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85000</v>
      </c>
      <c r="H28" s="17">
        <v>58000</v>
      </c>
      <c r="I28" s="26">
        <v>70000</v>
      </c>
      <c r="J28" s="28">
        <v>55000</v>
      </c>
      <c r="K28" s="22">
        <f t="shared" si="0"/>
        <v>66333.333333333328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>
        <v>25000</v>
      </c>
      <c r="H29" s="17">
        <v>23000</v>
      </c>
      <c r="I29" s="26">
        <v>24000</v>
      </c>
      <c r="J29" s="28">
        <v>26000</v>
      </c>
      <c r="K29" s="22">
        <f t="shared" si="0"/>
        <v>24500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30000</v>
      </c>
      <c r="K30" s="22">
        <f t="shared" si="0"/>
        <v>36571.428571428572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16">
        <v>60000</v>
      </c>
      <c r="H31" s="17">
        <v>80000</v>
      </c>
      <c r="I31" s="26" t="s">
        <v>100</v>
      </c>
      <c r="J31" s="28" t="s">
        <v>100</v>
      </c>
      <c r="K31" s="22">
        <f t="shared" si="0"/>
        <v>80000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27000</v>
      </c>
      <c r="F33" s="16">
        <v>26000</v>
      </c>
      <c r="G33" s="16">
        <v>27000</v>
      </c>
      <c r="H33" s="17">
        <v>26000</v>
      </c>
      <c r="I33" s="17">
        <v>27000</v>
      </c>
      <c r="J33" s="42">
        <v>27000</v>
      </c>
      <c r="K33" s="22">
        <f t="shared" si="0"/>
        <v>26571.428571428572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f t="shared" si="0"/>
        <v>19700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>
        <v>11000</v>
      </c>
      <c r="H42" s="17">
        <v>9000</v>
      </c>
      <c r="I42" s="55">
        <v>10000</v>
      </c>
      <c r="J42" s="42">
        <v>8000</v>
      </c>
      <c r="K42" s="22">
        <f t="shared" si="0"/>
        <v>9428.5714285714294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12500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10714.285714285714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14000</v>
      </c>
      <c r="I49" s="26">
        <v>17000</v>
      </c>
      <c r="J49" s="56" t="s">
        <v>100</v>
      </c>
      <c r="K49" s="22">
        <f t="shared" si="0"/>
        <v>16166.666666666666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26000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24428.571428571428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28000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28142.857142857141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3200</v>
      </c>
      <c r="H54" s="51" t="s">
        <v>100</v>
      </c>
      <c r="I54" s="27">
        <v>3500</v>
      </c>
      <c r="J54" s="42">
        <v>2500</v>
      </c>
      <c r="K54" s="22">
        <f t="shared" si="0"/>
        <v>3066.6666666666665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30000</v>
      </c>
      <c r="E56" s="16">
        <v>40000</v>
      </c>
      <c r="F56" s="16">
        <v>30000</v>
      </c>
      <c r="G56" s="16">
        <v>30000</v>
      </c>
      <c r="H56" s="17">
        <v>30000</v>
      </c>
      <c r="I56" s="17">
        <v>35000</v>
      </c>
      <c r="J56" s="42">
        <v>30000</v>
      </c>
      <c r="K56" s="22">
        <f t="shared" si="0"/>
        <v>32142.857142857141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40000</v>
      </c>
      <c r="E57" s="16">
        <v>40000</v>
      </c>
      <c r="F57" s="16">
        <v>45000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41250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60000</v>
      </c>
      <c r="E58" s="16">
        <v>55000</v>
      </c>
      <c r="F58" s="16">
        <v>60000</v>
      </c>
      <c r="G58" s="16">
        <v>55000</v>
      </c>
      <c r="H58" s="17">
        <v>55000</v>
      </c>
      <c r="I58" s="17">
        <v>55000</v>
      </c>
      <c r="J58" s="42">
        <v>60000</v>
      </c>
      <c r="K58" s="22">
        <f t="shared" si="0"/>
        <v>57142.857142857145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30000</v>
      </c>
      <c r="E62" s="16">
        <v>28000</v>
      </c>
      <c r="F62" s="16">
        <v>30000</v>
      </c>
      <c r="G62" s="16">
        <v>30000</v>
      </c>
      <c r="H62" s="17">
        <v>26000</v>
      </c>
      <c r="I62" s="17">
        <v>35000</v>
      </c>
      <c r="J62" s="42">
        <v>35000</v>
      </c>
      <c r="K62" s="22">
        <f t="shared" si="0"/>
        <v>30571.428571428572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28000</v>
      </c>
      <c r="E63" s="16">
        <v>26000</v>
      </c>
      <c r="F63" s="16">
        <v>28000</v>
      </c>
      <c r="G63" s="16">
        <v>25000</v>
      </c>
      <c r="H63" s="17">
        <v>23000</v>
      </c>
      <c r="I63" s="17">
        <v>27000</v>
      </c>
      <c r="J63" s="42">
        <v>25000</v>
      </c>
      <c r="K63" s="22">
        <f t="shared" si="0"/>
        <v>26000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35000</v>
      </c>
      <c r="E64" s="16">
        <v>36000</v>
      </c>
      <c r="F64" s="16">
        <v>40000</v>
      </c>
      <c r="G64" s="16">
        <v>35000</v>
      </c>
      <c r="H64" s="17">
        <v>30000</v>
      </c>
      <c r="I64" s="17">
        <v>42000</v>
      </c>
      <c r="J64" s="42">
        <v>40000</v>
      </c>
      <c r="K64" s="22">
        <f t="shared" si="0"/>
        <v>36857.142857142855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15000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21000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7000</v>
      </c>
      <c r="E70" s="16">
        <v>9000</v>
      </c>
      <c r="F70" s="16">
        <v>9000</v>
      </c>
      <c r="G70" s="16">
        <v>8000</v>
      </c>
      <c r="H70" s="17">
        <v>9000</v>
      </c>
      <c r="I70" s="27">
        <v>10000</v>
      </c>
      <c r="J70" s="42">
        <v>9000</v>
      </c>
      <c r="K70" s="22">
        <f t="shared" si="0"/>
        <v>8714.2857142857138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12000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12142.857142857143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15000</v>
      </c>
      <c r="E72" s="16">
        <v>17000</v>
      </c>
      <c r="F72" s="16">
        <v>18000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15857.142857142857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15000</v>
      </c>
      <c r="E73" s="16">
        <v>12000</v>
      </c>
      <c r="F73" s="16">
        <v>17000</v>
      </c>
      <c r="G73" s="16">
        <v>20000</v>
      </c>
      <c r="H73" s="17">
        <v>4000</v>
      </c>
      <c r="I73" s="55">
        <v>8000</v>
      </c>
      <c r="J73" s="42">
        <v>6000</v>
      </c>
      <c r="K73" s="22">
        <f t="shared" ref="K73:K80" si="1">AVERAGE(D73:J73)</f>
        <v>11714.285714285714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8000</v>
      </c>
      <c r="E74" s="16">
        <v>11000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10571.428571428571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8000</v>
      </c>
      <c r="F75" s="30" t="s">
        <v>100</v>
      </c>
      <c r="G75" s="21">
        <v>10000</v>
      </c>
      <c r="H75" s="87">
        <v>9000</v>
      </c>
      <c r="I75" s="88">
        <v>10000</v>
      </c>
      <c r="J75" s="89">
        <v>7000</v>
      </c>
      <c r="K75" s="22">
        <f t="shared" si="1"/>
        <v>8800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61:A65"/>
    <mergeCell ref="A16:A17"/>
    <mergeCell ref="A18:A19"/>
    <mergeCell ref="A20:A24"/>
    <mergeCell ref="A25:A31"/>
    <mergeCell ref="A32:A34"/>
    <mergeCell ref="A35:A37"/>
    <mergeCell ref="A38:A40"/>
    <mergeCell ref="A44:A45"/>
    <mergeCell ref="A46:A47"/>
    <mergeCell ref="A48:A52"/>
    <mergeCell ref="A55:A58"/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A9BC-81BF-4A4E-B8BB-61EB36C863E8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118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201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202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3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5</v>
      </c>
      <c r="C8" s="14" t="s">
        <v>6</v>
      </c>
      <c r="D8" s="15">
        <v>12800</v>
      </c>
      <c r="E8" s="95">
        <v>12500</v>
      </c>
      <c r="F8" s="95">
        <v>13000</v>
      </c>
      <c r="G8" s="29">
        <v>13000</v>
      </c>
      <c r="H8" s="42">
        <v>13000</v>
      </c>
      <c r="I8" s="42">
        <v>13500</v>
      </c>
      <c r="J8" s="18">
        <v>12500</v>
      </c>
      <c r="K8" s="19">
        <f>AVERAGE(D8:J8)</f>
        <v>12900</v>
      </c>
      <c r="L8" s="1"/>
      <c r="M8" s="20"/>
      <c r="N8" s="5"/>
    </row>
    <row r="9" spans="1:14" ht="15.75" x14ac:dyDescent="0.25">
      <c r="A9" s="183"/>
      <c r="B9" s="13" t="s">
        <v>7</v>
      </c>
      <c r="C9" s="14" t="s">
        <v>6</v>
      </c>
      <c r="D9" s="23">
        <v>12000</v>
      </c>
      <c r="E9" s="16">
        <v>11500</v>
      </c>
      <c r="F9" s="16">
        <v>13000</v>
      </c>
      <c r="G9" s="21">
        <v>12000</v>
      </c>
      <c r="H9" s="17">
        <v>12000</v>
      </c>
      <c r="I9" s="17">
        <v>12000</v>
      </c>
      <c r="J9" s="94">
        <v>11000</v>
      </c>
      <c r="K9" s="22">
        <f t="shared" ref="K9:K72" si="0">AVERAGE(D9:J9)</f>
        <v>11928.571428571429</v>
      </c>
      <c r="M9" s="5"/>
      <c r="N9" s="5"/>
    </row>
    <row r="10" spans="1:14" ht="15.75" x14ac:dyDescent="0.25">
      <c r="A10" s="183"/>
      <c r="B10" s="13" t="s">
        <v>8</v>
      </c>
      <c r="C10" s="14" t="s">
        <v>6</v>
      </c>
      <c r="D10" s="43">
        <v>0</v>
      </c>
      <c r="E10" s="16">
        <v>0</v>
      </c>
      <c r="F10" s="24">
        <v>12000</v>
      </c>
      <c r="G10" s="25">
        <v>9450</v>
      </c>
      <c r="H10" s="26">
        <v>11000</v>
      </c>
      <c r="I10" s="27">
        <v>10500</v>
      </c>
      <c r="J10" s="27" t="s">
        <v>100</v>
      </c>
      <c r="K10" s="22">
        <f t="shared" si="0"/>
        <v>7158.333333333333</v>
      </c>
      <c r="M10" s="5"/>
      <c r="N10" s="5"/>
    </row>
    <row r="11" spans="1:14" ht="15.75" x14ac:dyDescent="0.25">
      <c r="A11" s="183"/>
      <c r="B11" s="13" t="s">
        <v>9</v>
      </c>
      <c r="C11" s="14" t="s">
        <v>6</v>
      </c>
      <c r="D11" s="43" t="s">
        <v>100</v>
      </c>
      <c r="E11" s="29" t="s">
        <v>100</v>
      </c>
      <c r="F11" s="30" t="s">
        <v>100</v>
      </c>
      <c r="G11" s="21">
        <v>11000</v>
      </c>
      <c r="H11" s="26" t="s">
        <v>100</v>
      </c>
      <c r="I11" s="27">
        <v>11000</v>
      </c>
      <c r="J11" s="94">
        <v>8000</v>
      </c>
      <c r="K11" s="22">
        <f>AVERAGE(D11:J11)</f>
        <v>10000</v>
      </c>
      <c r="M11" s="5"/>
      <c r="N11" s="5"/>
    </row>
    <row r="12" spans="1:14" ht="15.75" x14ac:dyDescent="0.25">
      <c r="A12" s="184"/>
      <c r="B12" s="13" t="s">
        <v>10</v>
      </c>
      <c r="C12" s="14" t="s">
        <v>6</v>
      </c>
      <c r="D12" s="43" t="s">
        <v>100</v>
      </c>
      <c r="E12" s="29">
        <v>23000</v>
      </c>
      <c r="F12" s="30" t="s">
        <v>100</v>
      </c>
      <c r="G12" s="21">
        <v>18000</v>
      </c>
      <c r="H12" s="26" t="s">
        <v>100</v>
      </c>
      <c r="I12" s="27">
        <v>20000</v>
      </c>
      <c r="J12" s="94">
        <v>18000</v>
      </c>
      <c r="K12" s="22">
        <f t="shared" si="0"/>
        <v>19750</v>
      </c>
      <c r="M12" s="5"/>
      <c r="N12" s="5"/>
    </row>
    <row r="13" spans="1:14" ht="15.75" x14ac:dyDescent="0.25">
      <c r="A13" s="182">
        <v>2</v>
      </c>
      <c r="B13" s="32" t="s">
        <v>11</v>
      </c>
      <c r="C13" s="33"/>
      <c r="D13" s="34"/>
      <c r="E13" s="35"/>
      <c r="F13" s="36"/>
      <c r="G13" s="37"/>
      <c r="H13" s="38"/>
      <c r="I13" s="38"/>
      <c r="J13" s="38"/>
      <c r="K13" s="39"/>
      <c r="M13" s="5"/>
      <c r="N13" s="40"/>
    </row>
    <row r="14" spans="1:14" ht="15.75" x14ac:dyDescent="0.25">
      <c r="A14" s="183"/>
      <c r="B14" s="41" t="s">
        <v>12</v>
      </c>
      <c r="C14" s="14" t="s">
        <v>6</v>
      </c>
      <c r="D14" s="23">
        <v>13000</v>
      </c>
      <c r="E14" s="16">
        <v>13000</v>
      </c>
      <c r="F14" s="16">
        <v>13500</v>
      </c>
      <c r="G14" s="16">
        <v>13000</v>
      </c>
      <c r="H14" s="17">
        <v>13000</v>
      </c>
      <c r="I14" s="17">
        <v>13500</v>
      </c>
      <c r="J14" s="42">
        <v>13000</v>
      </c>
      <c r="K14" s="22">
        <f t="shared" si="0"/>
        <v>13142.857142857143</v>
      </c>
      <c r="M14" s="5"/>
      <c r="N14" s="5"/>
    </row>
    <row r="15" spans="1:14" ht="15.75" x14ac:dyDescent="0.25">
      <c r="A15" s="184"/>
      <c r="B15" s="13" t="s">
        <v>13</v>
      </c>
      <c r="C15" s="14" t="s">
        <v>6</v>
      </c>
      <c r="D15" s="43">
        <v>15000</v>
      </c>
      <c r="E15" s="29">
        <v>16000</v>
      </c>
      <c r="F15" s="24">
        <v>16000</v>
      </c>
      <c r="G15" s="21">
        <v>19000</v>
      </c>
      <c r="H15" s="17">
        <v>15000</v>
      </c>
      <c r="I15" s="17">
        <v>16000</v>
      </c>
      <c r="J15" s="42">
        <v>16000</v>
      </c>
      <c r="K15" s="22">
        <f t="shared" si="0"/>
        <v>16142.857142857143</v>
      </c>
      <c r="M15" s="5"/>
      <c r="N15" s="5"/>
    </row>
    <row r="16" spans="1:14" ht="15.75" x14ac:dyDescent="0.25">
      <c r="A16" s="182"/>
      <c r="B16" s="32" t="s">
        <v>14</v>
      </c>
      <c r="C16" s="44"/>
      <c r="D16" s="45"/>
      <c r="E16" s="46"/>
      <c r="F16" s="47"/>
      <c r="G16" s="47"/>
      <c r="H16" s="48"/>
      <c r="I16" s="48"/>
      <c r="J16" s="49"/>
      <c r="K16" s="39"/>
      <c r="M16" s="5"/>
      <c r="N16" s="5"/>
    </row>
    <row r="17" spans="1:14" ht="15.75" x14ac:dyDescent="0.25">
      <c r="A17" s="184"/>
      <c r="B17" s="13" t="s">
        <v>15</v>
      </c>
      <c r="C17" s="14" t="s">
        <v>6</v>
      </c>
      <c r="D17" s="23">
        <v>16000</v>
      </c>
      <c r="E17" s="29">
        <v>16000</v>
      </c>
      <c r="F17" s="16">
        <v>17000</v>
      </c>
      <c r="G17" s="16">
        <v>16000</v>
      </c>
      <c r="H17" s="17">
        <v>15000</v>
      </c>
      <c r="I17" s="17">
        <v>16000</v>
      </c>
      <c r="J17" s="42">
        <v>16000</v>
      </c>
      <c r="K17" s="22">
        <f t="shared" si="0"/>
        <v>16000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32000</v>
      </c>
      <c r="E24" s="16">
        <v>30000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31142.857142857141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48000</v>
      </c>
      <c r="E26" s="16">
        <v>44000</v>
      </c>
      <c r="F26" s="29">
        <v>38000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39285.714285714283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28000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28166.666666666668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85000</v>
      </c>
      <c r="H28" s="17">
        <v>58000</v>
      </c>
      <c r="I28" s="26">
        <v>70000</v>
      </c>
      <c r="J28" s="28">
        <v>55000</v>
      </c>
      <c r="K28" s="22">
        <f t="shared" si="0"/>
        <v>66333.333333333328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>
        <v>25000</v>
      </c>
      <c r="H29" s="17">
        <v>23000</v>
      </c>
      <c r="I29" s="26">
        <v>24000</v>
      </c>
      <c r="J29" s="28">
        <v>26000</v>
      </c>
      <c r="K29" s="22">
        <f t="shared" si="0"/>
        <v>24500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30000</v>
      </c>
      <c r="K30" s="22">
        <f t="shared" si="0"/>
        <v>36571.428571428572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16">
        <v>60000</v>
      </c>
      <c r="H31" s="17">
        <v>80000</v>
      </c>
      <c r="I31" s="26" t="s">
        <v>100</v>
      </c>
      <c r="J31" s="28" t="s">
        <v>100</v>
      </c>
      <c r="K31" s="22">
        <f t="shared" si="0"/>
        <v>80000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27000</v>
      </c>
      <c r="F33" s="16">
        <v>26000</v>
      </c>
      <c r="G33" s="16">
        <v>27000</v>
      </c>
      <c r="H33" s="17">
        <v>26000</v>
      </c>
      <c r="I33" s="17">
        <v>27000</v>
      </c>
      <c r="J33" s="42">
        <v>27000</v>
      </c>
      <c r="K33" s="22">
        <f t="shared" si="0"/>
        <v>26571.428571428572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f t="shared" si="0"/>
        <v>19700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>
        <v>11000</v>
      </c>
      <c r="H42" s="17">
        <v>9000</v>
      </c>
      <c r="I42" s="55">
        <v>10000</v>
      </c>
      <c r="J42" s="42">
        <v>8000</v>
      </c>
      <c r="K42" s="22">
        <f t="shared" si="0"/>
        <v>9428.5714285714294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14000</v>
      </c>
      <c r="I49" s="26">
        <v>17000</v>
      </c>
      <c r="J49" s="56" t="s">
        <v>100</v>
      </c>
      <c r="K49" s="22">
        <f t="shared" si="0"/>
        <v>16166.666666666666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26000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24428.571428571428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28000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28142.857142857141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3200</v>
      </c>
      <c r="H54" s="51" t="s">
        <v>100</v>
      </c>
      <c r="I54" s="27">
        <v>3500</v>
      </c>
      <c r="J54" s="42">
        <v>2500</v>
      </c>
      <c r="K54" s="22">
        <f t="shared" si="0"/>
        <v>3066.6666666666665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30000</v>
      </c>
      <c r="E56" s="16">
        <v>40000</v>
      </c>
      <c r="F56" s="16">
        <v>30000</v>
      </c>
      <c r="G56" s="16">
        <v>35000</v>
      </c>
      <c r="H56" s="17">
        <v>28000</v>
      </c>
      <c r="I56" s="17">
        <v>35000</v>
      </c>
      <c r="J56" s="42">
        <v>30000</v>
      </c>
      <c r="K56" s="22">
        <f t="shared" si="0"/>
        <v>32571.428571428572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40000</v>
      </c>
      <c r="E57" s="16">
        <v>40000</v>
      </c>
      <c r="F57" s="16">
        <v>40000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40000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60000</v>
      </c>
      <c r="E58" s="16">
        <v>55000</v>
      </c>
      <c r="F58" s="16">
        <v>55000</v>
      </c>
      <c r="G58" s="16">
        <v>60000</v>
      </c>
      <c r="H58" s="17">
        <v>50000</v>
      </c>
      <c r="I58" s="17">
        <v>55000</v>
      </c>
      <c r="J58" s="42">
        <v>60000</v>
      </c>
      <c r="K58" s="22">
        <f t="shared" si="0"/>
        <v>56428.571428571428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30000</v>
      </c>
      <c r="E62" s="16">
        <v>28000</v>
      </c>
      <c r="F62" s="16">
        <v>30000</v>
      </c>
      <c r="G62" s="16">
        <v>30000</v>
      </c>
      <c r="H62" s="17">
        <v>27000</v>
      </c>
      <c r="I62" s="17">
        <v>35000</v>
      </c>
      <c r="J62" s="42">
        <v>35000</v>
      </c>
      <c r="K62" s="22">
        <f t="shared" si="0"/>
        <v>30714.285714285714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28000</v>
      </c>
      <c r="E63" s="16">
        <v>26000</v>
      </c>
      <c r="F63" s="16">
        <v>28000</v>
      </c>
      <c r="G63" s="16">
        <v>25000</v>
      </c>
      <c r="H63" s="17">
        <v>24000</v>
      </c>
      <c r="I63" s="17">
        <v>27000</v>
      </c>
      <c r="J63" s="42">
        <v>25000</v>
      </c>
      <c r="K63" s="22">
        <f t="shared" si="0"/>
        <v>26142.857142857141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35000</v>
      </c>
      <c r="E64" s="16">
        <v>36000</v>
      </c>
      <c r="F64" s="16">
        <v>38000</v>
      </c>
      <c r="G64" s="16">
        <v>35000</v>
      </c>
      <c r="H64" s="17">
        <v>30000</v>
      </c>
      <c r="I64" s="17">
        <v>42000</v>
      </c>
      <c r="J64" s="42">
        <v>40000</v>
      </c>
      <c r="K64" s="22">
        <f t="shared" si="0"/>
        <v>36571.428571428572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15000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21000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7000</v>
      </c>
      <c r="E70" s="16">
        <v>9000</v>
      </c>
      <c r="F70" s="16">
        <v>9000</v>
      </c>
      <c r="G70" s="16">
        <v>8000</v>
      </c>
      <c r="H70" s="17">
        <v>9000</v>
      </c>
      <c r="I70" s="27">
        <v>10000</v>
      </c>
      <c r="J70" s="42">
        <v>9000</v>
      </c>
      <c r="K70" s="22">
        <f t="shared" si="0"/>
        <v>8714.2857142857138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12000</v>
      </c>
      <c r="E71" s="16">
        <v>12000</v>
      </c>
      <c r="F71" s="16">
        <v>13000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12285.714285714286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15000</v>
      </c>
      <c r="E72" s="16">
        <v>17000</v>
      </c>
      <c r="F72" s="16">
        <v>18000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15857.142857142857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15000</v>
      </c>
      <c r="E73" s="16">
        <v>12000</v>
      </c>
      <c r="F73" s="16">
        <v>16000</v>
      </c>
      <c r="G73" s="16">
        <v>20000</v>
      </c>
      <c r="H73" s="17">
        <v>4000</v>
      </c>
      <c r="I73" s="55">
        <v>8000</v>
      </c>
      <c r="J73" s="42">
        <v>6000</v>
      </c>
      <c r="K73" s="22">
        <f t="shared" ref="K73:K80" si="1">AVERAGE(D73:J73)</f>
        <v>11571.428571428571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8000</v>
      </c>
      <c r="E74" s="16">
        <v>11000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10571.428571428571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8000</v>
      </c>
      <c r="F75" s="30" t="s">
        <v>100</v>
      </c>
      <c r="G75" s="21">
        <v>10000</v>
      </c>
      <c r="H75" s="87">
        <v>9000</v>
      </c>
      <c r="I75" s="88">
        <v>10000</v>
      </c>
      <c r="J75" s="89">
        <v>7000</v>
      </c>
      <c r="K75" s="22">
        <f t="shared" si="1"/>
        <v>8800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13:A15"/>
    <mergeCell ref="A7:A12"/>
    <mergeCell ref="A61:A65"/>
    <mergeCell ref="A16:A17"/>
    <mergeCell ref="A18:A19"/>
    <mergeCell ref="A20:A24"/>
    <mergeCell ref="A25:A31"/>
    <mergeCell ref="A32:A34"/>
    <mergeCell ref="A35:A37"/>
    <mergeCell ref="A38:A40"/>
    <mergeCell ref="A44:A45"/>
    <mergeCell ref="A46:A47"/>
    <mergeCell ref="A48:A52"/>
    <mergeCell ref="A55:A58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DB74-AE00-4B7B-B18E-5BF94EFB264B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119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205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206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7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5</v>
      </c>
      <c r="C8" s="14" t="s">
        <v>6</v>
      </c>
      <c r="D8" s="15">
        <v>12800</v>
      </c>
      <c r="E8" s="95">
        <v>12500</v>
      </c>
      <c r="F8" s="95">
        <v>13000</v>
      </c>
      <c r="G8" s="29">
        <v>13000</v>
      </c>
      <c r="H8" s="42">
        <v>13000</v>
      </c>
      <c r="I8" s="42">
        <v>13500</v>
      </c>
      <c r="J8" s="18">
        <v>13000</v>
      </c>
      <c r="K8" s="19">
        <f>AVERAGE(D8:J8)</f>
        <v>12971.428571428571</v>
      </c>
      <c r="L8" s="1"/>
      <c r="M8" s="20"/>
      <c r="N8" s="5"/>
    </row>
    <row r="9" spans="1:14" ht="15.75" x14ac:dyDescent="0.25">
      <c r="A9" s="183"/>
      <c r="B9" s="13" t="s">
        <v>7</v>
      </c>
      <c r="C9" s="14" t="s">
        <v>6</v>
      </c>
      <c r="D9" s="23">
        <v>11000</v>
      </c>
      <c r="E9" s="16">
        <v>11500</v>
      </c>
      <c r="F9" s="16">
        <v>13000</v>
      </c>
      <c r="G9" s="21">
        <v>12000</v>
      </c>
      <c r="H9" s="17">
        <v>12000</v>
      </c>
      <c r="I9" s="17">
        <v>12500</v>
      </c>
      <c r="J9" s="94">
        <v>12000</v>
      </c>
      <c r="K9" s="22">
        <f t="shared" ref="K9:K72" si="0">AVERAGE(D9:J9)</f>
        <v>12000</v>
      </c>
      <c r="M9" s="5"/>
      <c r="N9" s="5"/>
    </row>
    <row r="10" spans="1:14" ht="15.75" x14ac:dyDescent="0.25">
      <c r="A10" s="183"/>
      <c r="B10" s="13" t="s">
        <v>8</v>
      </c>
      <c r="C10" s="14" t="s">
        <v>6</v>
      </c>
      <c r="D10" s="43">
        <v>0</v>
      </c>
      <c r="E10" s="16">
        <v>0</v>
      </c>
      <c r="F10" s="24">
        <v>12000</v>
      </c>
      <c r="G10" s="25">
        <v>9800</v>
      </c>
      <c r="H10" s="26">
        <v>11000</v>
      </c>
      <c r="I10" s="27">
        <v>10500</v>
      </c>
      <c r="J10" s="27">
        <v>11000</v>
      </c>
      <c r="K10" s="22">
        <f t="shared" si="0"/>
        <v>7757.1428571428569</v>
      </c>
      <c r="M10" s="5"/>
      <c r="N10" s="5"/>
    </row>
    <row r="11" spans="1:14" ht="15.75" x14ac:dyDescent="0.25">
      <c r="A11" s="183"/>
      <c r="B11" s="13" t="s">
        <v>9</v>
      </c>
      <c r="C11" s="14" t="s">
        <v>6</v>
      </c>
      <c r="D11" s="43" t="s">
        <v>100</v>
      </c>
      <c r="E11" s="29" t="s">
        <v>100</v>
      </c>
      <c r="F11" s="30" t="s">
        <v>100</v>
      </c>
      <c r="G11" s="21">
        <v>12000</v>
      </c>
      <c r="H11" s="26" t="s">
        <v>100</v>
      </c>
      <c r="I11" s="27">
        <v>11000</v>
      </c>
      <c r="J11" s="94">
        <v>8000</v>
      </c>
      <c r="K11" s="22">
        <f>AVERAGE(D11:J11)</f>
        <v>10333.333333333334</v>
      </c>
      <c r="M11" s="5"/>
      <c r="N11" s="5"/>
    </row>
    <row r="12" spans="1:14" ht="15.75" x14ac:dyDescent="0.25">
      <c r="A12" s="184"/>
      <c r="B12" s="13" t="s">
        <v>10</v>
      </c>
      <c r="C12" s="14" t="s">
        <v>6</v>
      </c>
      <c r="D12" s="43" t="s">
        <v>100</v>
      </c>
      <c r="E12" s="29">
        <v>23000</v>
      </c>
      <c r="F12" s="30" t="s">
        <v>100</v>
      </c>
      <c r="G12" s="21">
        <v>18000</v>
      </c>
      <c r="H12" s="26" t="s">
        <v>100</v>
      </c>
      <c r="I12" s="27">
        <v>20000</v>
      </c>
      <c r="J12" s="94">
        <v>18000</v>
      </c>
      <c r="K12" s="22">
        <f t="shared" si="0"/>
        <v>19750</v>
      </c>
      <c r="M12" s="5"/>
      <c r="N12" s="5"/>
    </row>
    <row r="13" spans="1:14" ht="15.75" x14ac:dyDescent="0.25">
      <c r="A13" s="182">
        <v>2</v>
      </c>
      <c r="B13" s="32" t="s">
        <v>11</v>
      </c>
      <c r="C13" s="33"/>
      <c r="D13" s="34"/>
      <c r="E13" s="35"/>
      <c r="F13" s="36"/>
      <c r="G13" s="37"/>
      <c r="H13" s="38"/>
      <c r="I13" s="38"/>
      <c r="J13" s="38"/>
      <c r="K13" s="39"/>
      <c r="M13" s="5"/>
      <c r="N13" s="40"/>
    </row>
    <row r="14" spans="1:14" ht="15.75" x14ac:dyDescent="0.25">
      <c r="A14" s="183"/>
      <c r="B14" s="41" t="s">
        <v>12</v>
      </c>
      <c r="C14" s="14" t="s">
        <v>6</v>
      </c>
      <c r="D14" s="23">
        <v>13000</v>
      </c>
      <c r="E14" s="16">
        <v>13000</v>
      </c>
      <c r="F14" s="16">
        <v>13000</v>
      </c>
      <c r="G14" s="16">
        <v>13000</v>
      </c>
      <c r="H14" s="17">
        <v>13000</v>
      </c>
      <c r="I14" s="17">
        <v>13500</v>
      </c>
      <c r="J14" s="42">
        <v>13000</v>
      </c>
      <c r="K14" s="22">
        <f t="shared" si="0"/>
        <v>13071.428571428571</v>
      </c>
      <c r="M14" s="5"/>
      <c r="N14" s="5"/>
    </row>
    <row r="15" spans="1:14" ht="15.75" x14ac:dyDescent="0.25">
      <c r="A15" s="184"/>
      <c r="B15" s="13" t="s">
        <v>13</v>
      </c>
      <c r="C15" s="14" t="s">
        <v>6</v>
      </c>
      <c r="D15" s="43">
        <v>15000</v>
      </c>
      <c r="E15" s="29">
        <v>16000</v>
      </c>
      <c r="F15" s="24">
        <v>16000</v>
      </c>
      <c r="G15" s="21">
        <v>19000</v>
      </c>
      <c r="H15" s="17">
        <v>15000</v>
      </c>
      <c r="I15" s="17">
        <v>16000</v>
      </c>
      <c r="J15" s="42">
        <v>16000</v>
      </c>
      <c r="K15" s="22">
        <f t="shared" si="0"/>
        <v>16142.857142857143</v>
      </c>
      <c r="M15" s="5"/>
      <c r="N15" s="5"/>
    </row>
    <row r="16" spans="1:14" ht="15.75" x14ac:dyDescent="0.25">
      <c r="A16" s="182"/>
      <c r="B16" s="32" t="s">
        <v>14</v>
      </c>
      <c r="C16" s="44"/>
      <c r="D16" s="45"/>
      <c r="E16" s="46"/>
      <c r="F16" s="47"/>
      <c r="G16" s="47"/>
      <c r="H16" s="48"/>
      <c r="I16" s="48"/>
      <c r="J16" s="49"/>
      <c r="K16" s="39"/>
      <c r="M16" s="5"/>
      <c r="N16" s="5"/>
    </row>
    <row r="17" spans="1:14" ht="15.75" x14ac:dyDescent="0.25">
      <c r="A17" s="184"/>
      <c r="B17" s="13" t="s">
        <v>15</v>
      </c>
      <c r="C17" s="14" t="s">
        <v>6</v>
      </c>
      <c r="D17" s="23">
        <v>16000</v>
      </c>
      <c r="E17" s="29">
        <v>16000</v>
      </c>
      <c r="F17" s="16">
        <v>17000</v>
      </c>
      <c r="G17" s="16">
        <v>16000</v>
      </c>
      <c r="H17" s="17">
        <v>15000</v>
      </c>
      <c r="I17" s="17">
        <v>16000</v>
      </c>
      <c r="J17" s="42">
        <v>16000</v>
      </c>
      <c r="K17" s="22">
        <f t="shared" si="0"/>
        <v>16000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32000</v>
      </c>
      <c r="E24" s="16">
        <v>30000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31142.857142857141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48000</v>
      </c>
      <c r="E26" s="16">
        <v>44000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38857.142857142855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85000</v>
      </c>
      <c r="H28" s="17">
        <v>58000</v>
      </c>
      <c r="I28" s="26">
        <v>70000</v>
      </c>
      <c r="J28" s="28">
        <v>55000</v>
      </c>
      <c r="K28" s="22">
        <f t="shared" si="0"/>
        <v>66333.333333333328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>
        <v>25000</v>
      </c>
      <c r="H29" s="17">
        <v>23000</v>
      </c>
      <c r="I29" s="26">
        <v>24000</v>
      </c>
      <c r="J29" s="28">
        <v>26000</v>
      </c>
      <c r="K29" s="22">
        <f t="shared" si="0"/>
        <v>24500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30000</v>
      </c>
      <c r="K30" s="22">
        <f t="shared" si="0"/>
        <v>36571.428571428572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16">
        <v>60000</v>
      </c>
      <c r="H31" s="17">
        <v>80000</v>
      </c>
      <c r="I31" s="26" t="s">
        <v>100</v>
      </c>
      <c r="J31" s="28" t="s">
        <v>100</v>
      </c>
      <c r="K31" s="22">
        <f t="shared" si="0"/>
        <v>80000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27000</v>
      </c>
      <c r="F33" s="16">
        <v>26000</v>
      </c>
      <c r="G33" s="16">
        <v>27500</v>
      </c>
      <c r="H33" s="17">
        <v>26000</v>
      </c>
      <c r="I33" s="17">
        <v>28000</v>
      </c>
      <c r="J33" s="42">
        <v>26500</v>
      </c>
      <c r="K33" s="22">
        <f t="shared" si="0"/>
        <v>26714.285714285714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f t="shared" si="0"/>
        <v>19700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>
        <v>12000</v>
      </c>
      <c r="H42" s="17">
        <v>9000</v>
      </c>
      <c r="I42" s="55">
        <v>10000</v>
      </c>
      <c r="J42" s="42">
        <v>8000</v>
      </c>
      <c r="K42" s="22">
        <f t="shared" si="0"/>
        <v>9571.4285714285706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0</v>
      </c>
      <c r="H43" s="17">
        <v>6000</v>
      </c>
      <c r="I43" s="26" t="s">
        <v>100</v>
      </c>
      <c r="J43" s="42">
        <v>6000</v>
      </c>
      <c r="K43" s="22">
        <f t="shared" si="0"/>
        <v>6200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11000</v>
      </c>
      <c r="H47" s="17">
        <v>11500</v>
      </c>
      <c r="I47" s="17">
        <v>11500</v>
      </c>
      <c r="J47" s="42">
        <v>7000</v>
      </c>
      <c r="K47" s="22">
        <f t="shared" si="0"/>
        <v>10500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14000</v>
      </c>
      <c r="I49" s="26">
        <v>17000</v>
      </c>
      <c r="J49" s="56" t="s">
        <v>100</v>
      </c>
      <c r="K49" s="22">
        <f t="shared" si="0"/>
        <v>16166.666666666666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3000</v>
      </c>
      <c r="H54" s="51" t="s">
        <v>100</v>
      </c>
      <c r="I54" s="27">
        <v>3500</v>
      </c>
      <c r="J54" s="42">
        <v>2500</v>
      </c>
      <c r="K54" s="22">
        <f t="shared" si="0"/>
        <v>3033.3333333333335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30000</v>
      </c>
      <c r="E56" s="16">
        <v>40000</v>
      </c>
      <c r="F56" s="16">
        <v>30000</v>
      </c>
      <c r="G56" s="16">
        <v>30000</v>
      </c>
      <c r="H56" s="17">
        <v>25000</v>
      </c>
      <c r="I56" s="17">
        <v>35000</v>
      </c>
      <c r="J56" s="42">
        <v>30000</v>
      </c>
      <c r="K56" s="22">
        <f t="shared" si="0"/>
        <v>31428.571428571428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40000</v>
      </c>
      <c r="E57" s="16">
        <v>40000</v>
      </c>
      <c r="F57" s="16">
        <v>40000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40000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60000</v>
      </c>
      <c r="E58" s="16">
        <v>55000</v>
      </c>
      <c r="F58" s="16">
        <v>60000</v>
      </c>
      <c r="G58" s="16">
        <v>60000</v>
      </c>
      <c r="H58" s="17">
        <v>55000</v>
      </c>
      <c r="I58" s="17">
        <v>55000</v>
      </c>
      <c r="J58" s="42">
        <v>60000</v>
      </c>
      <c r="K58" s="22">
        <f t="shared" si="0"/>
        <v>57857.142857142855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30000</v>
      </c>
      <c r="E62" s="16">
        <v>28000</v>
      </c>
      <c r="F62" s="16">
        <v>30000</v>
      </c>
      <c r="G62" s="16">
        <v>30000</v>
      </c>
      <c r="H62" s="17">
        <v>26000</v>
      </c>
      <c r="I62" s="17">
        <v>35000</v>
      </c>
      <c r="J62" s="42">
        <v>35000</v>
      </c>
      <c r="K62" s="22">
        <f t="shared" si="0"/>
        <v>30571.428571428572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28000</v>
      </c>
      <c r="E63" s="16">
        <v>26000</v>
      </c>
      <c r="F63" s="16">
        <v>28000</v>
      </c>
      <c r="G63" s="16">
        <v>25000</v>
      </c>
      <c r="H63" s="17">
        <v>23000</v>
      </c>
      <c r="I63" s="17">
        <v>27000</v>
      </c>
      <c r="J63" s="42">
        <v>25000</v>
      </c>
      <c r="K63" s="22">
        <f t="shared" si="0"/>
        <v>26000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35000</v>
      </c>
      <c r="E64" s="16">
        <v>36000</v>
      </c>
      <c r="F64" s="16">
        <v>35000</v>
      </c>
      <c r="G64" s="16">
        <v>35000</v>
      </c>
      <c r="H64" s="17">
        <v>25000</v>
      </c>
      <c r="I64" s="17">
        <v>42000</v>
      </c>
      <c r="J64" s="42">
        <v>40000</v>
      </c>
      <c r="K64" s="22">
        <f t="shared" si="0"/>
        <v>35428.571428571428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15000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21000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7000</v>
      </c>
      <c r="E70" s="16">
        <v>12000</v>
      </c>
      <c r="F70" s="16">
        <v>9000</v>
      </c>
      <c r="G70" s="16">
        <v>8000</v>
      </c>
      <c r="H70" s="17">
        <v>9000</v>
      </c>
      <c r="I70" s="27">
        <v>10000</v>
      </c>
      <c r="J70" s="42">
        <v>9000</v>
      </c>
      <c r="K70" s="22">
        <f t="shared" si="0"/>
        <v>9142.8571428571431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12000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12142.857142857143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15000</v>
      </c>
      <c r="E72" s="16">
        <v>17000</v>
      </c>
      <c r="F72" s="16">
        <v>18000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15857.142857142857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15000</v>
      </c>
      <c r="E73" s="16">
        <v>12000</v>
      </c>
      <c r="F73" s="16">
        <v>18000</v>
      </c>
      <c r="G73" s="16">
        <v>15000</v>
      </c>
      <c r="H73" s="17">
        <v>4000</v>
      </c>
      <c r="I73" s="55">
        <v>8000</v>
      </c>
      <c r="J73" s="42">
        <v>6000</v>
      </c>
      <c r="K73" s="22">
        <f t="shared" ref="K73:K80" si="1">AVERAGE(D73:J73)</f>
        <v>11142.857142857143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8000</v>
      </c>
      <c r="E74" s="16">
        <v>11000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10571.428571428571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8000</v>
      </c>
      <c r="F75" s="30" t="s">
        <v>100</v>
      </c>
      <c r="G75" s="21">
        <v>10000</v>
      </c>
      <c r="H75" s="87">
        <v>9000</v>
      </c>
      <c r="I75" s="88">
        <v>10000</v>
      </c>
      <c r="J75" s="89">
        <v>7000</v>
      </c>
      <c r="K75" s="22">
        <f t="shared" si="1"/>
        <v>8800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  <mergeCell ref="A61:A65"/>
    <mergeCell ref="A16:A17"/>
    <mergeCell ref="A18:A19"/>
    <mergeCell ref="A20:A24"/>
    <mergeCell ref="A25:A31"/>
    <mergeCell ref="A32:A34"/>
    <mergeCell ref="A35:A37"/>
    <mergeCell ref="A38:A40"/>
    <mergeCell ref="A44:A45"/>
    <mergeCell ref="A46:A47"/>
    <mergeCell ref="A48:A52"/>
    <mergeCell ref="A55:A58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59A6-EB7D-41C0-8B15-214F592F6518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125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205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206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7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5</v>
      </c>
      <c r="C8" s="14" t="s">
        <v>6</v>
      </c>
      <c r="D8" s="15">
        <v>12800</v>
      </c>
      <c r="E8" s="95">
        <v>12500</v>
      </c>
      <c r="F8" s="95">
        <v>13000</v>
      </c>
      <c r="G8" s="29">
        <v>13000</v>
      </c>
      <c r="H8" s="42">
        <v>13000</v>
      </c>
      <c r="I8" s="42">
        <v>13500</v>
      </c>
      <c r="J8" s="18">
        <v>13000</v>
      </c>
      <c r="K8" s="19">
        <f>AVERAGE(D8:J8)</f>
        <v>12971.428571428571</v>
      </c>
      <c r="L8" s="1"/>
      <c r="M8" s="20"/>
      <c r="N8" s="5"/>
    </row>
    <row r="9" spans="1:14" ht="15.75" x14ac:dyDescent="0.25">
      <c r="A9" s="183"/>
      <c r="B9" s="13" t="s">
        <v>7</v>
      </c>
      <c r="C9" s="14" t="s">
        <v>6</v>
      </c>
      <c r="D9" s="23">
        <v>9000</v>
      </c>
      <c r="E9" s="16">
        <v>11500</v>
      </c>
      <c r="F9" s="16">
        <v>13000</v>
      </c>
      <c r="G9" s="21">
        <v>12000</v>
      </c>
      <c r="H9" s="17">
        <v>12000</v>
      </c>
      <c r="I9" s="17">
        <v>12500</v>
      </c>
      <c r="J9" s="94">
        <v>12000</v>
      </c>
      <c r="K9" s="22">
        <f t="shared" ref="K9:K72" si="0">AVERAGE(D9:J9)</f>
        <v>11714.285714285714</v>
      </c>
      <c r="M9" s="5"/>
      <c r="N9" s="5"/>
    </row>
    <row r="10" spans="1:14" ht="15.75" x14ac:dyDescent="0.25">
      <c r="A10" s="183"/>
      <c r="B10" s="13" t="s">
        <v>8</v>
      </c>
      <c r="C10" s="14" t="s">
        <v>6</v>
      </c>
      <c r="D10" s="43">
        <v>0</v>
      </c>
      <c r="E10" s="16">
        <v>0</v>
      </c>
      <c r="F10" s="24">
        <v>12000</v>
      </c>
      <c r="G10" s="25">
        <v>9800</v>
      </c>
      <c r="H10" s="26">
        <v>11000</v>
      </c>
      <c r="I10" s="27">
        <v>10500</v>
      </c>
      <c r="J10" s="27">
        <v>11000</v>
      </c>
      <c r="K10" s="22">
        <f t="shared" si="0"/>
        <v>7757.1428571428569</v>
      </c>
      <c r="M10" s="5"/>
      <c r="N10" s="5"/>
    </row>
    <row r="11" spans="1:14" ht="15.75" x14ac:dyDescent="0.25">
      <c r="A11" s="183"/>
      <c r="B11" s="13" t="s">
        <v>9</v>
      </c>
      <c r="C11" s="14" t="s">
        <v>6</v>
      </c>
      <c r="D11" s="43" t="s">
        <v>100</v>
      </c>
      <c r="E11" s="29" t="s">
        <v>100</v>
      </c>
      <c r="F11" s="30" t="s">
        <v>100</v>
      </c>
      <c r="G11" s="21">
        <v>12000</v>
      </c>
      <c r="H11" s="26" t="s">
        <v>100</v>
      </c>
      <c r="I11" s="27">
        <v>11000</v>
      </c>
      <c r="J11" s="94">
        <v>8000</v>
      </c>
      <c r="K11" s="22">
        <f>AVERAGE(D11:J11)</f>
        <v>10333.333333333334</v>
      </c>
      <c r="M11" s="5"/>
      <c r="N11" s="5"/>
    </row>
    <row r="12" spans="1:14" ht="15.75" x14ac:dyDescent="0.25">
      <c r="A12" s="184"/>
      <c r="B12" s="13" t="s">
        <v>10</v>
      </c>
      <c r="C12" s="14" t="s">
        <v>6</v>
      </c>
      <c r="D12" s="43" t="s">
        <v>100</v>
      </c>
      <c r="E12" s="29">
        <v>23000</v>
      </c>
      <c r="F12" s="30" t="s">
        <v>100</v>
      </c>
      <c r="G12" s="21">
        <v>18000</v>
      </c>
      <c r="H12" s="26" t="s">
        <v>100</v>
      </c>
      <c r="I12" s="27">
        <v>20000</v>
      </c>
      <c r="J12" s="94">
        <v>18000</v>
      </c>
      <c r="K12" s="22">
        <f t="shared" si="0"/>
        <v>19750</v>
      </c>
      <c r="M12" s="5"/>
      <c r="N12" s="5"/>
    </row>
    <row r="13" spans="1:14" ht="15.75" x14ac:dyDescent="0.25">
      <c r="A13" s="182">
        <v>2</v>
      </c>
      <c r="B13" s="32" t="s">
        <v>11</v>
      </c>
      <c r="C13" s="33"/>
      <c r="D13" s="34"/>
      <c r="E13" s="35"/>
      <c r="F13" s="36"/>
      <c r="G13" s="37"/>
      <c r="H13" s="38"/>
      <c r="I13" s="38"/>
      <c r="J13" s="38"/>
      <c r="K13" s="39"/>
      <c r="M13" s="5"/>
      <c r="N13" s="40"/>
    </row>
    <row r="14" spans="1:14" ht="15.75" x14ac:dyDescent="0.25">
      <c r="A14" s="183"/>
      <c r="B14" s="41" t="s">
        <v>12</v>
      </c>
      <c r="C14" s="14" t="s">
        <v>6</v>
      </c>
      <c r="D14" s="23">
        <v>13000</v>
      </c>
      <c r="E14" s="16">
        <v>13000</v>
      </c>
      <c r="F14" s="16">
        <v>13000</v>
      </c>
      <c r="G14" s="16">
        <v>13000</v>
      </c>
      <c r="H14" s="17">
        <v>13000</v>
      </c>
      <c r="I14" s="17">
        <v>13500</v>
      </c>
      <c r="J14" s="42">
        <v>13000</v>
      </c>
      <c r="K14" s="22">
        <f t="shared" si="0"/>
        <v>13071.428571428571</v>
      </c>
      <c r="M14" s="5"/>
      <c r="N14" s="5"/>
    </row>
    <row r="15" spans="1:14" ht="15.75" x14ac:dyDescent="0.25">
      <c r="A15" s="184"/>
      <c r="B15" s="13" t="s">
        <v>13</v>
      </c>
      <c r="C15" s="14" t="s">
        <v>6</v>
      </c>
      <c r="D15" s="43">
        <v>15000</v>
      </c>
      <c r="E15" s="29">
        <v>16000</v>
      </c>
      <c r="F15" s="24">
        <v>16000</v>
      </c>
      <c r="G15" s="21">
        <v>19000</v>
      </c>
      <c r="H15" s="17">
        <v>15000</v>
      </c>
      <c r="I15" s="17">
        <v>16000</v>
      </c>
      <c r="J15" s="42">
        <v>16000</v>
      </c>
      <c r="K15" s="22">
        <f t="shared" si="0"/>
        <v>16142.857142857143</v>
      </c>
      <c r="M15" s="5"/>
      <c r="N15" s="5"/>
    </row>
    <row r="16" spans="1:14" ht="15.75" x14ac:dyDescent="0.25">
      <c r="A16" s="182"/>
      <c r="B16" s="32" t="s">
        <v>14</v>
      </c>
      <c r="C16" s="44"/>
      <c r="D16" s="45"/>
      <c r="E16" s="46"/>
      <c r="F16" s="47"/>
      <c r="G16" s="47"/>
      <c r="H16" s="48"/>
      <c r="I16" s="48"/>
      <c r="J16" s="49"/>
      <c r="K16" s="39"/>
      <c r="M16" s="5"/>
      <c r="N16" s="5"/>
    </row>
    <row r="17" spans="1:14" ht="15.75" x14ac:dyDescent="0.25">
      <c r="A17" s="184"/>
      <c r="B17" s="13" t="s">
        <v>15</v>
      </c>
      <c r="C17" s="14" t="s">
        <v>6</v>
      </c>
      <c r="D17" s="23">
        <v>16000</v>
      </c>
      <c r="E17" s="29">
        <v>16000</v>
      </c>
      <c r="F17" s="16">
        <v>17000</v>
      </c>
      <c r="G17" s="16">
        <v>16000</v>
      </c>
      <c r="H17" s="17">
        <v>15000</v>
      </c>
      <c r="I17" s="17">
        <v>16000</v>
      </c>
      <c r="J17" s="42">
        <v>16000</v>
      </c>
      <c r="K17" s="22">
        <f t="shared" si="0"/>
        <v>16000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32000</v>
      </c>
      <c r="E24" s="16">
        <v>30000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31142.857142857141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40000</v>
      </c>
      <c r="E26" s="16">
        <v>44000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37714.285714285717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85000</v>
      </c>
      <c r="H28" s="17">
        <v>58000</v>
      </c>
      <c r="I28" s="26">
        <v>70000</v>
      </c>
      <c r="J28" s="28">
        <v>55000</v>
      </c>
      <c r="K28" s="22">
        <f t="shared" si="0"/>
        <v>66333.333333333328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>
        <v>25000</v>
      </c>
      <c r="H29" s="17">
        <v>23000</v>
      </c>
      <c r="I29" s="26">
        <v>24000</v>
      </c>
      <c r="J29" s="28">
        <v>26000</v>
      </c>
      <c r="K29" s="22">
        <f t="shared" si="0"/>
        <v>24500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30000</v>
      </c>
      <c r="K30" s="22">
        <f t="shared" si="0"/>
        <v>36571.428571428572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16">
        <v>60000</v>
      </c>
      <c r="H31" s="17">
        <v>80000</v>
      </c>
      <c r="I31" s="26" t="s">
        <v>100</v>
      </c>
      <c r="J31" s="28" t="s">
        <v>100</v>
      </c>
      <c r="K31" s="22">
        <f t="shared" si="0"/>
        <v>80000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27000</v>
      </c>
      <c r="E33" s="16">
        <v>27000</v>
      </c>
      <c r="F33" s="16">
        <v>26000</v>
      </c>
      <c r="G33" s="16">
        <v>27500</v>
      </c>
      <c r="H33" s="17">
        <v>26000</v>
      </c>
      <c r="I33" s="17">
        <v>28000</v>
      </c>
      <c r="J33" s="42">
        <v>26500</v>
      </c>
      <c r="K33" s="22">
        <f t="shared" si="0"/>
        <v>26857.142857142859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f t="shared" si="0"/>
        <v>19700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>
        <v>12000</v>
      </c>
      <c r="H42" s="17">
        <v>9000</v>
      </c>
      <c r="I42" s="55">
        <v>10000</v>
      </c>
      <c r="J42" s="42">
        <v>8000</v>
      </c>
      <c r="K42" s="22">
        <f t="shared" si="0"/>
        <v>9571.4285714285706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0</v>
      </c>
      <c r="H43" s="17">
        <v>6000</v>
      </c>
      <c r="I43" s="26" t="s">
        <v>100</v>
      </c>
      <c r="J43" s="42">
        <v>6000</v>
      </c>
      <c r="K43" s="22">
        <f t="shared" si="0"/>
        <v>6200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11000</v>
      </c>
      <c r="H47" s="17">
        <v>11500</v>
      </c>
      <c r="I47" s="17">
        <v>11500</v>
      </c>
      <c r="J47" s="42">
        <v>7000</v>
      </c>
      <c r="K47" s="22">
        <f t="shared" si="0"/>
        <v>10500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14000</v>
      </c>
      <c r="I49" s="26">
        <v>17000</v>
      </c>
      <c r="J49" s="56" t="s">
        <v>100</v>
      </c>
      <c r="K49" s="22">
        <f t="shared" si="0"/>
        <v>16166.666666666666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3000</v>
      </c>
      <c r="H54" s="51" t="s">
        <v>100</v>
      </c>
      <c r="I54" s="27">
        <v>3500</v>
      </c>
      <c r="J54" s="42">
        <v>2500</v>
      </c>
      <c r="K54" s="22">
        <f t="shared" si="0"/>
        <v>3033.3333333333335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30000</v>
      </c>
      <c r="E56" s="16">
        <v>40000</v>
      </c>
      <c r="F56" s="16">
        <v>30000</v>
      </c>
      <c r="G56" s="16">
        <v>30000</v>
      </c>
      <c r="H56" s="17">
        <v>25000</v>
      </c>
      <c r="I56" s="17">
        <v>35000</v>
      </c>
      <c r="J56" s="42">
        <v>30000</v>
      </c>
      <c r="K56" s="22">
        <f t="shared" si="0"/>
        <v>31428.571428571428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40000</v>
      </c>
      <c r="E57" s="16">
        <v>40000</v>
      </c>
      <c r="F57" s="16">
        <v>40000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40000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45000</v>
      </c>
      <c r="E58" s="16">
        <v>55000</v>
      </c>
      <c r="F58" s="16">
        <v>60000</v>
      </c>
      <c r="G58" s="16">
        <v>60000</v>
      </c>
      <c r="H58" s="17">
        <v>55000</v>
      </c>
      <c r="I58" s="17">
        <v>55000</v>
      </c>
      <c r="J58" s="42">
        <v>60000</v>
      </c>
      <c r="K58" s="22">
        <f t="shared" si="0"/>
        <v>55714.285714285717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28000</v>
      </c>
      <c r="F62" s="16">
        <v>30000</v>
      </c>
      <c r="G62" s="16">
        <v>30000</v>
      </c>
      <c r="H62" s="17">
        <v>26000</v>
      </c>
      <c r="I62" s="17">
        <v>35000</v>
      </c>
      <c r="J62" s="42">
        <v>35000</v>
      </c>
      <c r="K62" s="22">
        <f t="shared" si="0"/>
        <v>30285.714285714286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26000</v>
      </c>
      <c r="F63" s="16">
        <v>28000</v>
      </c>
      <c r="G63" s="16">
        <v>25000</v>
      </c>
      <c r="H63" s="17">
        <v>23000</v>
      </c>
      <c r="I63" s="17">
        <v>27000</v>
      </c>
      <c r="J63" s="42">
        <v>25000</v>
      </c>
      <c r="K63" s="22">
        <f t="shared" si="0"/>
        <v>25714.285714285714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32000</v>
      </c>
      <c r="E64" s="16">
        <v>36000</v>
      </c>
      <c r="F64" s="16">
        <v>35000</v>
      </c>
      <c r="G64" s="16">
        <v>35000</v>
      </c>
      <c r="H64" s="17">
        <v>25000</v>
      </c>
      <c r="I64" s="17">
        <v>42000</v>
      </c>
      <c r="J64" s="42">
        <v>40000</v>
      </c>
      <c r="K64" s="22">
        <f t="shared" si="0"/>
        <v>35000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21428.571428571428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9000</v>
      </c>
      <c r="E70" s="16">
        <v>12000</v>
      </c>
      <c r="F70" s="16">
        <v>9000</v>
      </c>
      <c r="G70" s="16">
        <v>8000</v>
      </c>
      <c r="H70" s="17">
        <v>9000</v>
      </c>
      <c r="I70" s="27">
        <v>10000</v>
      </c>
      <c r="J70" s="42">
        <v>9000</v>
      </c>
      <c r="K70" s="22">
        <f t="shared" si="0"/>
        <v>9428.5714285714294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11857.142857142857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14000</v>
      </c>
      <c r="E72" s="16">
        <v>17000</v>
      </c>
      <c r="F72" s="16">
        <v>18000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15714.285714285714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17000</v>
      </c>
      <c r="E73" s="16">
        <v>12000</v>
      </c>
      <c r="F73" s="16">
        <v>18000</v>
      </c>
      <c r="G73" s="16">
        <v>15000</v>
      </c>
      <c r="H73" s="17">
        <v>4000</v>
      </c>
      <c r="I73" s="55">
        <v>8000</v>
      </c>
      <c r="J73" s="42">
        <v>6000</v>
      </c>
      <c r="K73" s="22">
        <f t="shared" ref="K73:K80" si="1">AVERAGE(D73:J73)</f>
        <v>11428.571428571429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11000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10714.285714285714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8000</v>
      </c>
      <c r="F75" s="30" t="s">
        <v>100</v>
      </c>
      <c r="G75" s="21">
        <v>10000</v>
      </c>
      <c r="H75" s="87">
        <v>9000</v>
      </c>
      <c r="I75" s="88">
        <v>10000</v>
      </c>
      <c r="J75" s="89">
        <v>7000</v>
      </c>
      <c r="K75" s="22">
        <f t="shared" si="1"/>
        <v>8800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13:A15"/>
    <mergeCell ref="A7:A12"/>
    <mergeCell ref="A61:A65"/>
    <mergeCell ref="A16:A17"/>
    <mergeCell ref="A18:A19"/>
    <mergeCell ref="A20:A24"/>
    <mergeCell ref="A25:A31"/>
    <mergeCell ref="A32:A34"/>
    <mergeCell ref="A35:A37"/>
    <mergeCell ref="A38:A40"/>
    <mergeCell ref="A44:A45"/>
    <mergeCell ref="A46:A47"/>
    <mergeCell ref="A48:A52"/>
    <mergeCell ref="A55:A58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54AB-5B0B-404E-8176-C5DE6D58AAF4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120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12800</v>
      </c>
      <c r="E8" s="95">
        <v>12500</v>
      </c>
      <c r="F8" s="95">
        <v>13000</v>
      </c>
      <c r="G8" s="29">
        <v>13000</v>
      </c>
      <c r="H8" s="42">
        <v>12000</v>
      </c>
      <c r="I8" s="42">
        <v>13500</v>
      </c>
      <c r="J8" s="18">
        <v>13000</v>
      </c>
      <c r="K8" s="19">
        <f>AVERAGE(D8:J8)</f>
        <v>12828.571428571429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9000</v>
      </c>
      <c r="G9" s="21">
        <v>9000</v>
      </c>
      <c r="H9" s="17">
        <v>9000</v>
      </c>
      <c r="I9" s="17">
        <v>9250</v>
      </c>
      <c r="J9" s="94">
        <v>9000</v>
      </c>
      <c r="K9" s="22">
        <f t="shared" ref="K9:K72" si="0">AVERAGE(D9:J9)</f>
        <v>9035.7142857142862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13500</v>
      </c>
      <c r="J13" s="42">
        <v>13000</v>
      </c>
      <c r="K13" s="22">
        <f t="shared" si="0"/>
        <v>13071.428571428571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/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4"/>
      <c r="B16" s="13" t="s">
        <v>15</v>
      </c>
      <c r="C16" s="14" t="s">
        <v>6</v>
      </c>
      <c r="D16" s="23">
        <v>16000</v>
      </c>
      <c r="E16" s="29">
        <v>16000</v>
      </c>
      <c r="F16" s="16">
        <v>17000</v>
      </c>
      <c r="G16" s="16">
        <v>16000</v>
      </c>
      <c r="H16" s="17">
        <v>15000</v>
      </c>
      <c r="I16" s="17">
        <v>16000</v>
      </c>
      <c r="J16" s="42">
        <v>16000</v>
      </c>
      <c r="K16" s="22">
        <f t="shared" si="0"/>
        <v>16000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17" t="s">
        <v>100</v>
      </c>
      <c r="I17" s="17">
        <v>14000</v>
      </c>
      <c r="J17" s="42" t="s">
        <v>100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32000</v>
      </c>
      <c r="E24" s="16">
        <v>30000</v>
      </c>
      <c r="F24" s="16">
        <v>30000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30857.142857142859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40000</v>
      </c>
      <c r="E26" s="16">
        <v>44000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37714.285714285717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65000</v>
      </c>
      <c r="G28" s="21">
        <v>75000</v>
      </c>
      <c r="H28" s="17">
        <v>58000</v>
      </c>
      <c r="I28" s="26">
        <v>70000</v>
      </c>
      <c r="J28" s="28">
        <v>55000</v>
      </c>
      <c r="K28" s="22">
        <f t="shared" si="0"/>
        <v>65500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30000</v>
      </c>
      <c r="K30" s="22">
        <f t="shared" si="0"/>
        <v>36571.428571428572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90000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87500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27000</v>
      </c>
      <c r="E33" s="16">
        <v>27000</v>
      </c>
      <c r="F33" s="16">
        <v>27000</v>
      </c>
      <c r="G33" s="16">
        <v>27500</v>
      </c>
      <c r="H33" s="17">
        <v>26000</v>
      </c>
      <c r="I33" s="17">
        <v>28000</v>
      </c>
      <c r="J33" s="42">
        <v>26500</v>
      </c>
      <c r="K33" s="22">
        <f t="shared" si="0"/>
        <v>27000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f t="shared" si="0"/>
        <v>19700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 t="s">
        <v>100</v>
      </c>
      <c r="H42" s="17">
        <v>9000</v>
      </c>
      <c r="I42" s="55">
        <v>10000</v>
      </c>
      <c r="J42" s="42">
        <v>8000</v>
      </c>
      <c r="K42" s="22">
        <f t="shared" si="0"/>
        <v>9166.6666666666661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2500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4000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14000</v>
      </c>
      <c r="I49" s="26">
        <v>17000</v>
      </c>
      <c r="J49" s="56" t="s">
        <v>100</v>
      </c>
      <c r="K49" s="22">
        <f t="shared" si="0"/>
        <v>16166.666666666666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3200</v>
      </c>
      <c r="H54" s="51" t="s">
        <v>100</v>
      </c>
      <c r="I54" s="27">
        <v>3500</v>
      </c>
      <c r="J54" s="42">
        <v>2500</v>
      </c>
      <c r="K54" s="22">
        <f t="shared" si="0"/>
        <v>3066.6666666666665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30000</v>
      </c>
      <c r="E56" s="16">
        <v>40000</v>
      </c>
      <c r="F56" s="16">
        <v>30000</v>
      </c>
      <c r="G56" s="16">
        <v>30000</v>
      </c>
      <c r="H56" s="17">
        <v>25000</v>
      </c>
      <c r="I56" s="17">
        <v>35000</v>
      </c>
      <c r="J56" s="42">
        <v>30000</v>
      </c>
      <c r="K56" s="22">
        <f t="shared" si="0"/>
        <v>31428.571428571428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40000</v>
      </c>
      <c r="E57" s="16">
        <v>40000</v>
      </c>
      <c r="F57" s="16">
        <v>40000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40000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45000</v>
      </c>
      <c r="E58" s="16">
        <v>55000</v>
      </c>
      <c r="F58" s="16">
        <v>60000</v>
      </c>
      <c r="G58" s="16">
        <v>60000</v>
      </c>
      <c r="H58" s="17">
        <v>55000</v>
      </c>
      <c r="I58" s="17">
        <v>60000</v>
      </c>
      <c r="J58" s="42">
        <v>60000</v>
      </c>
      <c r="K58" s="22">
        <f t="shared" si="0"/>
        <v>56428.571428571428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28000</v>
      </c>
      <c r="F62" s="16">
        <v>30000</v>
      </c>
      <c r="G62" s="16">
        <v>30000</v>
      </c>
      <c r="H62" s="17">
        <v>26000</v>
      </c>
      <c r="I62" s="17">
        <v>35000</v>
      </c>
      <c r="J62" s="42">
        <v>35000</v>
      </c>
      <c r="K62" s="22">
        <f t="shared" si="0"/>
        <v>30285.714285714286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26000</v>
      </c>
      <c r="F63" s="16">
        <v>26000</v>
      </c>
      <c r="G63" s="16">
        <v>25000</v>
      </c>
      <c r="H63" s="17">
        <v>23000</v>
      </c>
      <c r="I63" s="17">
        <v>27000</v>
      </c>
      <c r="J63" s="42">
        <v>25000</v>
      </c>
      <c r="K63" s="22">
        <f t="shared" si="0"/>
        <v>25428.571428571428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32000</v>
      </c>
      <c r="E64" s="16">
        <v>36000</v>
      </c>
      <c r="F64" s="16">
        <v>38000</v>
      </c>
      <c r="G64" s="16">
        <v>38000</v>
      </c>
      <c r="H64" s="17">
        <v>25000</v>
      </c>
      <c r="I64" s="17">
        <v>42000</v>
      </c>
      <c r="J64" s="42">
        <v>40000</v>
      </c>
      <c r="K64" s="22">
        <f t="shared" si="0"/>
        <v>35857.142857142855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21428.571428571428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9000</v>
      </c>
      <c r="E70" s="16">
        <v>12000</v>
      </c>
      <c r="F70" s="16">
        <v>9000</v>
      </c>
      <c r="G70" s="16">
        <v>9000</v>
      </c>
      <c r="H70" s="17">
        <v>9000</v>
      </c>
      <c r="I70" s="27">
        <v>10000</v>
      </c>
      <c r="J70" s="42">
        <v>9000</v>
      </c>
      <c r="K70" s="22">
        <f t="shared" si="0"/>
        <v>9571.4285714285706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11857.142857142857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14000</v>
      </c>
      <c r="E72" s="16">
        <v>17000</v>
      </c>
      <c r="F72" s="16">
        <v>16000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15428.571428571429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17000</v>
      </c>
      <c r="E73" s="16">
        <v>12000</v>
      </c>
      <c r="F73" s="16">
        <v>17000</v>
      </c>
      <c r="G73" s="16">
        <v>17000</v>
      </c>
      <c r="H73" s="17">
        <v>4000</v>
      </c>
      <c r="I73" s="55">
        <v>8000</v>
      </c>
      <c r="J73" s="42">
        <v>6000</v>
      </c>
      <c r="K73" s="22">
        <f t="shared" ref="K73:K80" si="1">AVERAGE(D73:J73)</f>
        <v>11571.428571428571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11000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10714.285714285714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8000</v>
      </c>
      <c r="F75" s="30" t="s">
        <v>100</v>
      </c>
      <c r="G75" s="21" t="s">
        <v>100</v>
      </c>
      <c r="H75" s="87">
        <v>9000</v>
      </c>
      <c r="I75" s="88">
        <v>10000</v>
      </c>
      <c r="J75" s="89">
        <v>7000</v>
      </c>
      <c r="K75" s="22">
        <f t="shared" si="1"/>
        <v>8500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55:A58"/>
    <mergeCell ref="A61:A65"/>
    <mergeCell ref="A25:A31"/>
    <mergeCell ref="A32:A34"/>
    <mergeCell ref="A35:A37"/>
    <mergeCell ref="A38:A40"/>
    <mergeCell ref="A44:A45"/>
    <mergeCell ref="A46:A47"/>
    <mergeCell ref="D4:D6"/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A18:A19"/>
    <mergeCell ref="A20:A24"/>
    <mergeCell ref="A48:A52"/>
    <mergeCell ref="A7:A11"/>
    <mergeCell ref="A12:A14"/>
    <mergeCell ref="A15:A16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1846-4AF0-41DC-8B3B-75D2E4824DD9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126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23">
        <v>12800</v>
      </c>
      <c r="E8" s="16">
        <v>13500</v>
      </c>
      <c r="F8" s="16">
        <v>14000</v>
      </c>
      <c r="G8" s="29">
        <v>13000</v>
      </c>
      <c r="H8" s="17">
        <v>12000</v>
      </c>
      <c r="I8" s="17">
        <v>13500</v>
      </c>
      <c r="J8" s="94">
        <v>13000</v>
      </c>
      <c r="K8" s="19">
        <f>AVERAGE(D8:J8)</f>
        <v>13114.285714285714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2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13500</v>
      </c>
      <c r="J13" s="42">
        <v>13000</v>
      </c>
      <c r="K13" s="22">
        <f t="shared" si="0"/>
        <v>13071.428571428571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/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4"/>
      <c r="B16" s="13" t="s">
        <v>15</v>
      </c>
      <c r="C16" s="14" t="s">
        <v>6</v>
      </c>
      <c r="D16" s="23">
        <v>16000</v>
      </c>
      <c r="E16" s="29">
        <v>16000</v>
      </c>
      <c r="F16" s="16">
        <v>14000</v>
      </c>
      <c r="G16" s="16">
        <v>16000</v>
      </c>
      <c r="H16" s="17">
        <v>15000</v>
      </c>
      <c r="I16" s="17">
        <v>14500</v>
      </c>
      <c r="J16" s="42">
        <v>16000</v>
      </c>
      <c r="K16" s="22">
        <f t="shared" si="0"/>
        <v>15357.142857142857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17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32000</v>
      </c>
      <c r="E24" s="16">
        <v>30000</v>
      </c>
      <c r="F24" s="16">
        <v>30000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30857.142857142859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40000</v>
      </c>
      <c r="E26" s="16">
        <v>44000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37714.285714285717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65000</v>
      </c>
      <c r="G28" s="21">
        <v>75000</v>
      </c>
      <c r="H28" s="17">
        <v>58000</v>
      </c>
      <c r="I28" s="26">
        <v>70000</v>
      </c>
      <c r="J28" s="28">
        <v>55000</v>
      </c>
      <c r="K28" s="22">
        <f t="shared" si="0"/>
        <v>65500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30000</v>
      </c>
      <c r="K30" s="22">
        <f t="shared" si="0"/>
        <v>36571.428571428572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90000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87500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27000</v>
      </c>
      <c r="E33" s="16">
        <v>27000</v>
      </c>
      <c r="F33" s="16">
        <v>26000</v>
      </c>
      <c r="G33" s="16">
        <v>27500</v>
      </c>
      <c r="H33" s="17">
        <v>26000</v>
      </c>
      <c r="I33" s="17">
        <v>26500</v>
      </c>
      <c r="J33" s="42">
        <v>26500</v>
      </c>
      <c r="K33" s="22">
        <f t="shared" si="0"/>
        <v>26642.857142857141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>
        <v>22000</v>
      </c>
      <c r="E39" s="29" t="s">
        <v>100</v>
      </c>
      <c r="F39" s="30" t="s">
        <v>100</v>
      </c>
      <c r="G39" s="21">
        <v>20500</v>
      </c>
      <c r="H39" s="17">
        <v>17500</v>
      </c>
      <c r="I39" s="27">
        <v>21000</v>
      </c>
      <c r="J39" s="28">
        <v>17500</v>
      </c>
      <c r="K39" s="22">
        <f t="shared" si="0"/>
        <v>19700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>
        <v>2000</v>
      </c>
      <c r="E40" s="29" t="s">
        <v>100</v>
      </c>
      <c r="F40" s="30" t="s">
        <v>100</v>
      </c>
      <c r="G40" s="21">
        <v>2000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 t="s">
        <v>100</v>
      </c>
      <c r="H42" s="17">
        <v>9000</v>
      </c>
      <c r="I42" s="55">
        <v>10000</v>
      </c>
      <c r="J42" s="42">
        <v>8000</v>
      </c>
      <c r="K42" s="22">
        <f t="shared" si="0"/>
        <v>9166.6666666666661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2500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4000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14000</v>
      </c>
      <c r="I49" s="26">
        <v>17000</v>
      </c>
      <c r="J49" s="56" t="s">
        <v>100</v>
      </c>
      <c r="K49" s="22">
        <f t="shared" si="0"/>
        <v>16166.666666666666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3200</v>
      </c>
      <c r="H54" s="51" t="s">
        <v>100</v>
      </c>
      <c r="I54" s="27">
        <v>3500</v>
      </c>
      <c r="J54" s="42">
        <v>2500</v>
      </c>
      <c r="K54" s="22">
        <f t="shared" si="0"/>
        <v>3066.6666666666665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35000</v>
      </c>
      <c r="E56" s="16">
        <v>40000</v>
      </c>
      <c r="F56" s="16">
        <v>30000</v>
      </c>
      <c r="G56" s="16">
        <v>30000</v>
      </c>
      <c r="H56" s="17">
        <v>25000</v>
      </c>
      <c r="I56" s="17">
        <v>35000</v>
      </c>
      <c r="J56" s="42">
        <v>30000</v>
      </c>
      <c r="K56" s="22">
        <f t="shared" si="0"/>
        <v>32142.857142857141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40000</v>
      </c>
      <c r="E57" s="16">
        <v>40000</v>
      </c>
      <c r="F57" s="16">
        <v>45000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41250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55000</v>
      </c>
      <c r="E58" s="16">
        <v>55000</v>
      </c>
      <c r="F58" s="16">
        <v>60000</v>
      </c>
      <c r="G58" s="16">
        <v>60000</v>
      </c>
      <c r="H58" s="17">
        <v>55000</v>
      </c>
      <c r="I58" s="17">
        <v>60000</v>
      </c>
      <c r="J58" s="42">
        <v>60000</v>
      </c>
      <c r="K58" s="22">
        <f t="shared" si="0"/>
        <v>57857.142857142855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28000</v>
      </c>
      <c r="F62" s="16">
        <v>30000</v>
      </c>
      <c r="G62" s="16">
        <v>30000</v>
      </c>
      <c r="H62" s="17">
        <v>26000</v>
      </c>
      <c r="I62" s="17">
        <v>35000</v>
      </c>
      <c r="J62" s="42">
        <v>35000</v>
      </c>
      <c r="K62" s="22">
        <f t="shared" si="0"/>
        <v>30285.714285714286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26000</v>
      </c>
      <c r="F63" s="16">
        <v>28000</v>
      </c>
      <c r="G63" s="16">
        <v>25000</v>
      </c>
      <c r="H63" s="17">
        <v>23000</v>
      </c>
      <c r="I63" s="17">
        <v>27000</v>
      </c>
      <c r="J63" s="42">
        <v>25000</v>
      </c>
      <c r="K63" s="22">
        <f t="shared" si="0"/>
        <v>25714.285714285714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32000</v>
      </c>
      <c r="E64" s="16">
        <v>36000</v>
      </c>
      <c r="F64" s="16">
        <v>38000</v>
      </c>
      <c r="G64" s="16">
        <v>38000</v>
      </c>
      <c r="H64" s="17">
        <v>25000</v>
      </c>
      <c r="I64" s="17">
        <v>40000</v>
      </c>
      <c r="J64" s="42">
        <v>40000</v>
      </c>
      <c r="K64" s="22">
        <f t="shared" si="0"/>
        <v>35571.428571428572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20000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21714.285714285714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9000</v>
      </c>
      <c r="E70" s="16">
        <v>12000</v>
      </c>
      <c r="F70" s="16">
        <v>9000</v>
      </c>
      <c r="G70" s="16">
        <v>9000</v>
      </c>
      <c r="H70" s="17">
        <v>9000</v>
      </c>
      <c r="I70" s="27">
        <v>10000</v>
      </c>
      <c r="J70" s="42">
        <v>9000</v>
      </c>
      <c r="K70" s="22">
        <f t="shared" si="0"/>
        <v>9571.4285714285706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11857.142857142857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14000</v>
      </c>
      <c r="E72" s="16">
        <v>17000</v>
      </c>
      <c r="F72" s="16">
        <v>17000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15571.428571428571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17000</v>
      </c>
      <c r="E73" s="16">
        <v>12000</v>
      </c>
      <c r="F73" s="16">
        <v>16000</v>
      </c>
      <c r="G73" s="16">
        <v>17000</v>
      </c>
      <c r="H73" s="17">
        <v>4000</v>
      </c>
      <c r="I73" s="55">
        <v>8000</v>
      </c>
      <c r="J73" s="42">
        <v>6000</v>
      </c>
      <c r="K73" s="22">
        <f t="shared" ref="K73:K80" si="1">AVERAGE(D73:J73)</f>
        <v>11428.571428571429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11000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10714.285714285714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8000</v>
      </c>
      <c r="F75" s="30" t="s">
        <v>100</v>
      </c>
      <c r="G75" s="21" t="s">
        <v>100</v>
      </c>
      <c r="H75" s="87">
        <v>9000</v>
      </c>
      <c r="I75" s="88">
        <v>10000</v>
      </c>
      <c r="J75" s="89">
        <v>7000</v>
      </c>
      <c r="K75" s="22">
        <f t="shared" si="1"/>
        <v>8500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18:A19"/>
    <mergeCell ref="J4:J6"/>
    <mergeCell ref="H4:H6"/>
    <mergeCell ref="A20:A24"/>
    <mergeCell ref="A7:A11"/>
    <mergeCell ref="A12:A14"/>
    <mergeCell ref="A15:A1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  <mergeCell ref="A61:A65"/>
    <mergeCell ref="A25:A31"/>
    <mergeCell ref="A32:A34"/>
    <mergeCell ref="A35:A37"/>
    <mergeCell ref="A38:A40"/>
    <mergeCell ref="A44:A45"/>
    <mergeCell ref="A46:A47"/>
    <mergeCell ref="A48:A52"/>
    <mergeCell ref="A55:A58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4062-2693-41C3-B097-F47CA014F996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127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12800</v>
      </c>
      <c r="E8" s="95">
        <v>12500</v>
      </c>
      <c r="F8" s="95">
        <v>14000</v>
      </c>
      <c r="G8" s="29">
        <v>13000</v>
      </c>
      <c r="H8" s="42">
        <v>14000</v>
      </c>
      <c r="I8" s="42">
        <v>13500</v>
      </c>
      <c r="J8" s="94">
        <v>13000</v>
      </c>
      <c r="K8" s="19">
        <f>AVERAGE(D8:J8)</f>
        <v>13257.142857142857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2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13500</v>
      </c>
      <c r="J13" s="42">
        <v>13000</v>
      </c>
      <c r="K13" s="22">
        <f t="shared" si="0"/>
        <v>13071.428571428571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/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4"/>
      <c r="B16" s="13" t="s">
        <v>15</v>
      </c>
      <c r="C16" s="14" t="s">
        <v>6</v>
      </c>
      <c r="D16" s="23">
        <v>15000</v>
      </c>
      <c r="E16" s="29">
        <v>16000</v>
      </c>
      <c r="F16" s="16">
        <v>17000</v>
      </c>
      <c r="G16" s="16">
        <v>16000</v>
      </c>
      <c r="H16" s="17">
        <v>14000</v>
      </c>
      <c r="I16" s="17">
        <v>14500</v>
      </c>
      <c r="J16" s="42">
        <v>15000</v>
      </c>
      <c r="K16" s="22">
        <f t="shared" si="0"/>
        <v>15357.142857142857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30857.142857142859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40000</v>
      </c>
      <c r="E26" s="16">
        <v>40000</v>
      </c>
      <c r="F26" s="29" t="s">
        <v>100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37500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70000</v>
      </c>
      <c r="J28" s="28">
        <v>60000</v>
      </c>
      <c r="K28" s="22">
        <f t="shared" si="0"/>
        <v>65500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30000</v>
      </c>
      <c r="K30" s="22">
        <f t="shared" si="0"/>
        <v>36571.428571428572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27000</v>
      </c>
      <c r="E33" s="16">
        <v>27000</v>
      </c>
      <c r="F33" s="16">
        <v>27000</v>
      </c>
      <c r="G33" s="16">
        <v>27000</v>
      </c>
      <c r="H33" s="17">
        <v>26000</v>
      </c>
      <c r="I33" s="17">
        <v>26000</v>
      </c>
      <c r="J33" s="42">
        <v>26500</v>
      </c>
      <c r="K33" s="22">
        <f t="shared" si="0"/>
        <v>26642.857142857141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 t="s">
        <v>100</v>
      </c>
      <c r="E39" s="29" t="s">
        <v>100</v>
      </c>
      <c r="F39" s="30" t="s">
        <v>100</v>
      </c>
      <c r="G39" s="21" t="s">
        <v>100</v>
      </c>
      <c r="H39" s="17">
        <v>17500</v>
      </c>
      <c r="I39" s="27">
        <v>21000</v>
      </c>
      <c r="J39" s="28">
        <v>17500</v>
      </c>
      <c r="K39" s="22">
        <f t="shared" si="0"/>
        <v>18666.666666666668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 t="s">
        <v>100</v>
      </c>
      <c r="E40" s="29" t="s">
        <v>100</v>
      </c>
      <c r="F40" s="30" t="s">
        <v>100</v>
      </c>
      <c r="G40" s="21" t="s">
        <v>100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 t="s">
        <v>100</v>
      </c>
      <c r="H42" s="17">
        <v>9000</v>
      </c>
      <c r="I42" s="55">
        <v>10000</v>
      </c>
      <c r="J42" s="42">
        <v>8000</v>
      </c>
      <c r="K42" s="22">
        <f t="shared" si="0"/>
        <v>9166.6666666666661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14000</v>
      </c>
      <c r="I49" s="26">
        <v>17000</v>
      </c>
      <c r="J49" s="56" t="s">
        <v>100</v>
      </c>
      <c r="K49" s="22">
        <f t="shared" si="0"/>
        <v>16166.666666666666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3000</v>
      </c>
      <c r="H54" s="51" t="s">
        <v>100</v>
      </c>
      <c r="I54" s="27">
        <v>3500</v>
      </c>
      <c r="J54" s="42">
        <v>2500</v>
      </c>
      <c r="K54" s="22">
        <f t="shared" si="0"/>
        <v>3033.3333333333335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32000</v>
      </c>
      <c r="E56" s="16">
        <v>35000</v>
      </c>
      <c r="F56" s="16">
        <v>30000</v>
      </c>
      <c r="G56" s="16">
        <v>35000</v>
      </c>
      <c r="H56" s="17">
        <v>30000</v>
      </c>
      <c r="I56" s="17">
        <v>35000</v>
      </c>
      <c r="J56" s="42">
        <v>30000</v>
      </c>
      <c r="K56" s="22">
        <f t="shared" si="0"/>
        <v>32428.571428571428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50000</v>
      </c>
      <c r="E57" s="16">
        <v>50000</v>
      </c>
      <c r="F57" s="16">
        <v>45000</v>
      </c>
      <c r="G57" s="16">
        <v>40000</v>
      </c>
      <c r="H57" s="77" t="s">
        <v>100</v>
      </c>
      <c r="I57" s="55" t="s">
        <v>100</v>
      </c>
      <c r="J57" s="56" t="s">
        <v>100</v>
      </c>
      <c r="K57" s="22">
        <f t="shared" si="0"/>
        <v>46250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55000</v>
      </c>
      <c r="E58" s="16">
        <v>55000</v>
      </c>
      <c r="F58" s="16">
        <v>55000</v>
      </c>
      <c r="G58" s="16">
        <v>60000</v>
      </c>
      <c r="H58" s="17">
        <v>55000</v>
      </c>
      <c r="I58" s="17">
        <v>60000</v>
      </c>
      <c r="J58" s="42">
        <v>60000</v>
      </c>
      <c r="K58" s="22">
        <f t="shared" si="0"/>
        <v>57142.857142857145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28000</v>
      </c>
      <c r="F62" s="16">
        <v>28000</v>
      </c>
      <c r="G62" s="16">
        <v>30000</v>
      </c>
      <c r="H62" s="17">
        <v>27000</v>
      </c>
      <c r="I62" s="17">
        <v>35000</v>
      </c>
      <c r="J62" s="42">
        <v>35000</v>
      </c>
      <c r="K62" s="22">
        <f t="shared" si="0"/>
        <v>30142.857142857141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26000</v>
      </c>
      <c r="F63" s="16">
        <v>24000</v>
      </c>
      <c r="G63" s="16">
        <v>25000</v>
      </c>
      <c r="H63" s="17">
        <v>23000</v>
      </c>
      <c r="I63" s="17">
        <v>25000</v>
      </c>
      <c r="J63" s="42">
        <v>25000</v>
      </c>
      <c r="K63" s="22">
        <f t="shared" si="0"/>
        <v>24857.142857142859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32000</v>
      </c>
      <c r="E64" s="16">
        <v>36000</v>
      </c>
      <c r="F64" s="16">
        <v>36000</v>
      </c>
      <c r="G64" s="16">
        <v>38000</v>
      </c>
      <c r="H64" s="17">
        <v>30000</v>
      </c>
      <c r="I64" s="17">
        <v>40000</v>
      </c>
      <c r="J64" s="42">
        <v>40000</v>
      </c>
      <c r="K64" s="22">
        <f t="shared" si="0"/>
        <v>36000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20000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21714.285714285714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9000</v>
      </c>
      <c r="E70" s="16">
        <v>12000</v>
      </c>
      <c r="F70" s="16">
        <v>9000</v>
      </c>
      <c r="G70" s="16">
        <v>9000</v>
      </c>
      <c r="H70" s="17">
        <v>9000</v>
      </c>
      <c r="I70" s="27">
        <v>10000</v>
      </c>
      <c r="J70" s="42">
        <v>9000</v>
      </c>
      <c r="K70" s="22">
        <f t="shared" si="0"/>
        <v>9571.4285714285706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13000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12000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14000</v>
      </c>
      <c r="E72" s="16">
        <v>17000</v>
      </c>
      <c r="F72" s="16">
        <v>17000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15571.428571428571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17000</v>
      </c>
      <c r="E73" s="16">
        <v>12000</v>
      </c>
      <c r="F73" s="16">
        <v>15000</v>
      </c>
      <c r="G73" s="16">
        <v>17000</v>
      </c>
      <c r="H73" s="17">
        <v>6000</v>
      </c>
      <c r="I73" s="55">
        <v>8000</v>
      </c>
      <c r="J73" s="42">
        <v>6000</v>
      </c>
      <c r="K73" s="22">
        <f t="shared" ref="K73:K80" si="1">AVERAGE(D73:J73)</f>
        <v>11571.428571428571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11000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10714.285714285714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8000</v>
      </c>
      <c r="F75" s="30" t="s">
        <v>100</v>
      </c>
      <c r="G75" s="21" t="s">
        <v>100</v>
      </c>
      <c r="H75" s="87">
        <v>9000</v>
      </c>
      <c r="I75" s="88">
        <v>10000</v>
      </c>
      <c r="J75" s="89">
        <v>7000</v>
      </c>
      <c r="K75" s="22">
        <f t="shared" si="1"/>
        <v>8500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K4:K6"/>
    <mergeCell ref="A61:A65"/>
    <mergeCell ref="A18:A19"/>
    <mergeCell ref="A20:A24"/>
    <mergeCell ref="A25:A31"/>
    <mergeCell ref="A32:A34"/>
    <mergeCell ref="A35:A37"/>
    <mergeCell ref="A38:A40"/>
    <mergeCell ref="A44:A45"/>
    <mergeCell ref="A46:A47"/>
    <mergeCell ref="A48:A52"/>
    <mergeCell ref="A55:A58"/>
    <mergeCell ref="A7:A11"/>
    <mergeCell ref="A12:A14"/>
    <mergeCell ref="A15:A16"/>
    <mergeCell ref="I4:I6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AC0B-7CF0-4138-8313-09721F8166DB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128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12800</v>
      </c>
      <c r="E8" s="95">
        <v>12500</v>
      </c>
      <c r="F8" s="95">
        <v>14000</v>
      </c>
      <c r="G8" s="29">
        <v>13000</v>
      </c>
      <c r="H8" s="42">
        <v>14000</v>
      </c>
      <c r="I8" s="42">
        <v>13500</v>
      </c>
      <c r="J8" s="94">
        <v>13000</v>
      </c>
      <c r="K8" s="19">
        <f>AVERAGE(D8:J8)</f>
        <v>13257.142857142857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2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/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4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15000</v>
      </c>
      <c r="K16" s="22">
        <f t="shared" si="0"/>
        <v>15071.428571428571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32000</v>
      </c>
      <c r="G24" s="16">
        <v>30000</v>
      </c>
      <c r="H24" s="42">
        <v>32000</v>
      </c>
      <c r="I24" s="17">
        <v>32000</v>
      </c>
      <c r="J24" s="42">
        <v>32000</v>
      </c>
      <c r="K24" s="22">
        <f t="shared" si="0"/>
        <v>31142.857142857141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42000</v>
      </c>
      <c r="E26" s="16">
        <v>40000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37428.571428571428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70000</v>
      </c>
      <c r="J28" s="28">
        <v>60000</v>
      </c>
      <c r="K28" s="22">
        <f t="shared" si="0"/>
        <v>65500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40000</v>
      </c>
      <c r="K30" s="22">
        <f t="shared" si="0"/>
        <v>38000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27000</v>
      </c>
      <c r="E33" s="16">
        <v>27000</v>
      </c>
      <c r="F33" s="16">
        <v>27000</v>
      </c>
      <c r="G33" s="16">
        <v>27000</v>
      </c>
      <c r="H33" s="17">
        <v>26000</v>
      </c>
      <c r="I33" s="17">
        <v>26000</v>
      </c>
      <c r="J33" s="42">
        <v>26500</v>
      </c>
      <c r="K33" s="22">
        <f t="shared" si="0"/>
        <v>26642.857142857141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12500</v>
      </c>
      <c r="H36" s="51" t="s">
        <v>100</v>
      </c>
      <c r="I36" s="27">
        <v>12000</v>
      </c>
      <c r="J36" s="56">
        <v>10000</v>
      </c>
      <c r="K36" s="22">
        <f t="shared" si="0"/>
        <v>11500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 t="s">
        <v>100</v>
      </c>
      <c r="E39" s="29" t="s">
        <v>100</v>
      </c>
      <c r="F39" s="30" t="s">
        <v>100</v>
      </c>
      <c r="G39" s="21" t="s">
        <v>100</v>
      </c>
      <c r="H39" s="17">
        <v>17500</v>
      </c>
      <c r="I39" s="27">
        <v>21000</v>
      </c>
      <c r="J39" s="28">
        <v>17500</v>
      </c>
      <c r="K39" s="22">
        <f t="shared" si="0"/>
        <v>18666.666666666668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 t="s">
        <v>100</v>
      </c>
      <c r="E40" s="29" t="s">
        <v>100</v>
      </c>
      <c r="F40" s="30" t="s">
        <v>100</v>
      </c>
      <c r="G40" s="21" t="s">
        <v>100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 t="s">
        <v>100</v>
      </c>
      <c r="H42" s="17">
        <v>9000</v>
      </c>
      <c r="I42" s="55">
        <v>10000</v>
      </c>
      <c r="J42" s="42">
        <v>8000</v>
      </c>
      <c r="K42" s="22">
        <f t="shared" si="0"/>
        <v>9166.6666666666661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12000</v>
      </c>
      <c r="I49" s="26">
        <v>17000</v>
      </c>
      <c r="J49" s="56" t="s">
        <v>100</v>
      </c>
      <c r="K49" s="22">
        <f t="shared" si="0"/>
        <v>15833.333333333334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3000</v>
      </c>
      <c r="H54" s="51" t="s">
        <v>100</v>
      </c>
      <c r="I54" s="27">
        <v>3500</v>
      </c>
      <c r="J54" s="42">
        <v>2500</v>
      </c>
      <c r="K54" s="22">
        <f t="shared" si="0"/>
        <v>3033.3333333333335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32000</v>
      </c>
      <c r="E56" s="16">
        <v>35000</v>
      </c>
      <c r="F56" s="16">
        <v>32000</v>
      </c>
      <c r="G56" s="16">
        <v>40000</v>
      </c>
      <c r="H56" s="17">
        <v>30000</v>
      </c>
      <c r="I56" s="17">
        <v>35000</v>
      </c>
      <c r="J56" s="42">
        <v>30000</v>
      </c>
      <c r="K56" s="22">
        <f t="shared" si="0"/>
        <v>33428.571428571428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50000</v>
      </c>
      <c r="E57" s="16">
        <v>50000</v>
      </c>
      <c r="F57" s="16">
        <v>45000</v>
      </c>
      <c r="G57" s="16">
        <v>45000</v>
      </c>
      <c r="H57" s="77" t="s">
        <v>100</v>
      </c>
      <c r="I57" s="55" t="s">
        <v>100</v>
      </c>
      <c r="J57" s="56" t="s">
        <v>100</v>
      </c>
      <c r="K57" s="22">
        <f t="shared" si="0"/>
        <v>47500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55000</v>
      </c>
      <c r="E58" s="16">
        <v>55000</v>
      </c>
      <c r="F58" s="16">
        <v>50000</v>
      </c>
      <c r="G58" s="16">
        <v>60000</v>
      </c>
      <c r="H58" s="17">
        <v>55000</v>
      </c>
      <c r="I58" s="17">
        <v>60000</v>
      </c>
      <c r="J58" s="42">
        <v>60000</v>
      </c>
      <c r="K58" s="22">
        <f t="shared" si="0"/>
        <v>56428.571428571428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28000</v>
      </c>
      <c r="F62" s="16">
        <v>30000</v>
      </c>
      <c r="G62" s="16">
        <v>30000</v>
      </c>
      <c r="H62" s="17">
        <v>27000</v>
      </c>
      <c r="I62" s="17">
        <v>35000</v>
      </c>
      <c r="J62" s="42">
        <v>35000</v>
      </c>
      <c r="K62" s="22">
        <f t="shared" si="0"/>
        <v>30428.571428571428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26000</v>
      </c>
      <c r="F63" s="16">
        <v>27000</v>
      </c>
      <c r="G63" s="16">
        <v>25000</v>
      </c>
      <c r="H63" s="17">
        <v>23000</v>
      </c>
      <c r="I63" s="17">
        <v>25000</v>
      </c>
      <c r="J63" s="42">
        <v>25000</v>
      </c>
      <c r="K63" s="22">
        <f t="shared" si="0"/>
        <v>25285.714285714286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30000</v>
      </c>
      <c r="E64" s="16">
        <v>36000</v>
      </c>
      <c r="F64" s="16">
        <v>35000</v>
      </c>
      <c r="G64" s="16">
        <v>36000</v>
      </c>
      <c r="H64" s="17">
        <v>30000</v>
      </c>
      <c r="I64" s="17">
        <v>40000</v>
      </c>
      <c r="J64" s="42">
        <v>40000</v>
      </c>
      <c r="K64" s="22">
        <f t="shared" si="0"/>
        <v>35285.714285714283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21428.571428571428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9000</v>
      </c>
      <c r="E70" s="16">
        <v>12000</v>
      </c>
      <c r="F70" s="16">
        <v>9000</v>
      </c>
      <c r="G70" s="16">
        <v>9000</v>
      </c>
      <c r="H70" s="17">
        <v>9000</v>
      </c>
      <c r="I70" s="27">
        <v>10000</v>
      </c>
      <c r="J70" s="42">
        <v>9000</v>
      </c>
      <c r="K70" s="22">
        <f t="shared" si="0"/>
        <v>9571.4285714285706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11857.142857142857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14000</v>
      </c>
      <c r="E72" s="16">
        <v>17000</v>
      </c>
      <c r="F72" s="16">
        <v>18000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15714.285714285714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17000</v>
      </c>
      <c r="E73" s="16">
        <v>12000</v>
      </c>
      <c r="F73" s="16">
        <v>16000</v>
      </c>
      <c r="G73" s="16">
        <v>17000</v>
      </c>
      <c r="H73" s="17">
        <v>6000</v>
      </c>
      <c r="I73" s="55">
        <v>10000</v>
      </c>
      <c r="J73" s="42">
        <v>6000</v>
      </c>
      <c r="K73" s="22">
        <f t="shared" ref="K73:K80" si="1">AVERAGE(D73:J73)</f>
        <v>12000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11000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10714.285714285714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8000</v>
      </c>
      <c r="F75" s="30" t="s">
        <v>100</v>
      </c>
      <c r="G75" s="21" t="s">
        <v>100</v>
      </c>
      <c r="H75" s="87">
        <v>9000</v>
      </c>
      <c r="I75" s="88">
        <v>10000</v>
      </c>
      <c r="J75" s="89">
        <v>7000</v>
      </c>
      <c r="K75" s="22">
        <f t="shared" si="1"/>
        <v>8500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1:K1"/>
    <mergeCell ref="A2:K2"/>
    <mergeCell ref="A3:K3"/>
    <mergeCell ref="A4:A6"/>
    <mergeCell ref="B4:B6"/>
    <mergeCell ref="C4:C6"/>
    <mergeCell ref="F4:F6"/>
    <mergeCell ref="K4:K6"/>
    <mergeCell ref="A18:A19"/>
    <mergeCell ref="J4:J6"/>
    <mergeCell ref="H4:H6"/>
    <mergeCell ref="A20:A24"/>
    <mergeCell ref="I4:I6"/>
    <mergeCell ref="G4:G6"/>
    <mergeCell ref="D4:D6"/>
    <mergeCell ref="E4:E6"/>
    <mergeCell ref="A7:A11"/>
    <mergeCell ref="A12:A14"/>
    <mergeCell ref="A15:A16"/>
    <mergeCell ref="A48:A52"/>
    <mergeCell ref="A55:A58"/>
    <mergeCell ref="A61:A65"/>
    <mergeCell ref="A25:A31"/>
    <mergeCell ref="A32:A34"/>
    <mergeCell ref="A35:A37"/>
    <mergeCell ref="A38:A40"/>
    <mergeCell ref="A44:A45"/>
    <mergeCell ref="A46:A47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2B33-9CEA-4277-A1BC-EA793E714A2C}">
  <dimension ref="A1:N84"/>
  <sheetViews>
    <sheetView topLeftCell="A45" workbookViewId="0">
      <selection activeCell="A55"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129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12800</v>
      </c>
      <c r="E8" s="95">
        <v>12500</v>
      </c>
      <c r="F8" s="95">
        <v>14500</v>
      </c>
      <c r="G8" s="29">
        <v>13000</v>
      </c>
      <c r="H8" s="42">
        <v>14000</v>
      </c>
      <c r="I8" s="42">
        <v>13500</v>
      </c>
      <c r="J8" s="94">
        <v>13000</v>
      </c>
      <c r="K8" s="19">
        <f>AVERAGE(D8:J8)</f>
        <v>13328.571428571429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9200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2" si="0">AVERAGE(D9:J9)</f>
        <v>9028.5714285714294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/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4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15000</v>
      </c>
      <c r="K16" s="22">
        <f t="shared" si="0"/>
        <v>15071.428571428571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32000</v>
      </c>
      <c r="G24" s="16">
        <v>30000</v>
      </c>
      <c r="H24" s="42">
        <v>31000</v>
      </c>
      <c r="I24" s="17">
        <v>32000</v>
      </c>
      <c r="J24" s="42">
        <v>32000</v>
      </c>
      <c r="K24" s="22">
        <f t="shared" si="0"/>
        <v>31000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42000</v>
      </c>
      <c r="E26" s="16">
        <v>40000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37428.571428571428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28000</v>
      </c>
      <c r="J27" s="57">
        <v>28000</v>
      </c>
      <c r="K27" s="22">
        <f t="shared" si="0"/>
        <v>28166.666666666668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70000</v>
      </c>
      <c r="J28" s="28">
        <v>60000</v>
      </c>
      <c r="K28" s="22">
        <f t="shared" si="0"/>
        <v>65500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38000</v>
      </c>
      <c r="J30" s="42">
        <v>40000</v>
      </c>
      <c r="K30" s="22">
        <f t="shared" si="0"/>
        <v>37714.285714285717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27000</v>
      </c>
      <c r="E33" s="16">
        <v>27000</v>
      </c>
      <c r="F33" s="16">
        <v>27000</v>
      </c>
      <c r="G33" s="16">
        <v>27000</v>
      </c>
      <c r="H33" s="17">
        <v>26000</v>
      </c>
      <c r="I33" s="17">
        <v>26000</v>
      </c>
      <c r="J33" s="42">
        <v>26500</v>
      </c>
      <c r="K33" s="22">
        <f t="shared" si="0"/>
        <v>26642.857142857141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12000</v>
      </c>
      <c r="H36" s="51" t="s">
        <v>100</v>
      </c>
      <c r="I36" s="27">
        <v>12000</v>
      </c>
      <c r="J36" s="56">
        <v>10000</v>
      </c>
      <c r="K36" s="22">
        <f t="shared" si="0"/>
        <v>11416.666666666666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 t="s">
        <v>100</v>
      </c>
      <c r="E39" s="29" t="s">
        <v>100</v>
      </c>
      <c r="F39" s="30" t="s">
        <v>100</v>
      </c>
      <c r="G39" s="21" t="s">
        <v>100</v>
      </c>
      <c r="H39" s="17">
        <v>17500</v>
      </c>
      <c r="I39" s="27">
        <v>21000</v>
      </c>
      <c r="J39" s="28">
        <v>17500</v>
      </c>
      <c r="K39" s="22">
        <f t="shared" si="0"/>
        <v>18666.666666666668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 t="s">
        <v>100</v>
      </c>
      <c r="E40" s="29" t="s">
        <v>100</v>
      </c>
      <c r="F40" s="30" t="s">
        <v>100</v>
      </c>
      <c r="G40" s="21" t="s">
        <v>100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 t="s">
        <v>100</v>
      </c>
      <c r="H42" s="17">
        <v>9000</v>
      </c>
      <c r="I42" s="55">
        <v>10000</v>
      </c>
      <c r="J42" s="42">
        <v>8000</v>
      </c>
      <c r="K42" s="22">
        <f t="shared" si="0"/>
        <v>9166.6666666666661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12000</v>
      </c>
      <c r="I49" s="26">
        <v>17000</v>
      </c>
      <c r="J49" s="56" t="s">
        <v>100</v>
      </c>
      <c r="K49" s="22">
        <f t="shared" si="0"/>
        <v>15833.333333333334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3000</v>
      </c>
      <c r="H54" s="51" t="s">
        <v>100</v>
      </c>
      <c r="I54" s="27">
        <v>3500</v>
      </c>
      <c r="J54" s="42">
        <v>2500</v>
      </c>
      <c r="K54" s="22">
        <f t="shared" si="0"/>
        <v>3033.3333333333335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32000</v>
      </c>
      <c r="E56" s="16">
        <v>40000</v>
      </c>
      <c r="F56" s="16">
        <v>35000</v>
      </c>
      <c r="G56" s="16">
        <v>40000</v>
      </c>
      <c r="H56" s="17">
        <v>35000</v>
      </c>
      <c r="I56" s="17">
        <v>35000</v>
      </c>
      <c r="J56" s="42">
        <v>30000</v>
      </c>
      <c r="K56" s="22">
        <f t="shared" si="0"/>
        <v>35285.714285714283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50000</v>
      </c>
      <c r="E57" s="16">
        <v>60000</v>
      </c>
      <c r="F57" s="16">
        <v>50000</v>
      </c>
      <c r="G57" s="16">
        <v>45000</v>
      </c>
      <c r="H57" s="77" t="s">
        <v>100</v>
      </c>
      <c r="I57" s="55" t="s">
        <v>100</v>
      </c>
      <c r="J57" s="56" t="s">
        <v>100</v>
      </c>
      <c r="K57" s="22">
        <f t="shared" si="0"/>
        <v>51250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55000</v>
      </c>
      <c r="E58" s="16">
        <v>65000</v>
      </c>
      <c r="F58" s="16">
        <v>60000</v>
      </c>
      <c r="G58" s="16">
        <v>60000</v>
      </c>
      <c r="H58" s="17">
        <v>65000</v>
      </c>
      <c r="I58" s="17">
        <v>60000</v>
      </c>
      <c r="J58" s="42">
        <v>60000</v>
      </c>
      <c r="K58" s="22">
        <f t="shared" si="0"/>
        <v>60714.285714285717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30000</v>
      </c>
      <c r="F62" s="16">
        <v>30000</v>
      </c>
      <c r="G62" s="16">
        <v>30000</v>
      </c>
      <c r="H62" s="17">
        <v>27000</v>
      </c>
      <c r="I62" s="17">
        <v>35000</v>
      </c>
      <c r="J62" s="42">
        <v>35000</v>
      </c>
      <c r="K62" s="22">
        <f t="shared" si="0"/>
        <v>30714.285714285714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26000</v>
      </c>
      <c r="F63" s="16">
        <v>28000</v>
      </c>
      <c r="G63" s="16">
        <v>25000</v>
      </c>
      <c r="H63" s="17">
        <v>23000</v>
      </c>
      <c r="I63" s="17">
        <v>25000</v>
      </c>
      <c r="J63" s="42">
        <v>25000</v>
      </c>
      <c r="K63" s="22">
        <f t="shared" si="0"/>
        <v>25428.571428571428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30000</v>
      </c>
      <c r="E64" s="16">
        <v>35000</v>
      </c>
      <c r="F64" s="16">
        <v>32000</v>
      </c>
      <c r="G64" s="16">
        <v>36000</v>
      </c>
      <c r="H64" s="17">
        <v>25000</v>
      </c>
      <c r="I64" s="17">
        <v>40000</v>
      </c>
      <c r="J64" s="42">
        <v>40000</v>
      </c>
      <c r="K64" s="22">
        <f t="shared" si="0"/>
        <v>34000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21428.571428571428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9000</v>
      </c>
      <c r="E70" s="16">
        <v>10000</v>
      </c>
      <c r="F70" s="16">
        <v>9000</v>
      </c>
      <c r="G70" s="16">
        <v>9000</v>
      </c>
      <c r="H70" s="17">
        <v>9000</v>
      </c>
      <c r="I70" s="27">
        <v>10000</v>
      </c>
      <c r="J70" s="42">
        <v>9000</v>
      </c>
      <c r="K70" s="22">
        <f t="shared" si="0"/>
        <v>9285.7142857142862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14000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12142.857142857143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14000</v>
      </c>
      <c r="E72" s="16">
        <v>17000</v>
      </c>
      <c r="F72" s="16">
        <v>17000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15571.428571428571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17000</v>
      </c>
      <c r="E73" s="16">
        <v>8000</v>
      </c>
      <c r="F73" s="16">
        <v>15000</v>
      </c>
      <c r="G73" s="16">
        <v>17000</v>
      </c>
      <c r="H73" s="17">
        <v>5000</v>
      </c>
      <c r="I73" s="55">
        <v>10000</v>
      </c>
      <c r="J73" s="42">
        <v>6000</v>
      </c>
      <c r="K73" s="22">
        <f t="shared" ref="K73:K80" si="1">AVERAGE(D73:J73)</f>
        <v>11142.857142857143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12000</v>
      </c>
      <c r="F74" s="16">
        <v>10000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10571.428571428571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10000</v>
      </c>
      <c r="F75" s="30" t="s">
        <v>100</v>
      </c>
      <c r="G75" s="21" t="s">
        <v>100</v>
      </c>
      <c r="H75" s="87">
        <v>9000</v>
      </c>
      <c r="I75" s="88">
        <v>10000</v>
      </c>
      <c r="J75" s="89">
        <v>7000</v>
      </c>
      <c r="K75" s="22">
        <f t="shared" si="1"/>
        <v>9000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1:K1"/>
    <mergeCell ref="A2:K2"/>
    <mergeCell ref="A3:K3"/>
    <mergeCell ref="A55:A58"/>
    <mergeCell ref="A61:A65"/>
    <mergeCell ref="A18:A19"/>
    <mergeCell ref="A20:A24"/>
    <mergeCell ref="A4:A6"/>
    <mergeCell ref="B4:B6"/>
    <mergeCell ref="A48:A52"/>
    <mergeCell ref="A25:A31"/>
    <mergeCell ref="A32:A34"/>
    <mergeCell ref="A35:A37"/>
    <mergeCell ref="A38:A40"/>
    <mergeCell ref="A44:A45"/>
    <mergeCell ref="A46:A47"/>
    <mergeCell ref="I4:I6"/>
    <mergeCell ref="G4:G6"/>
    <mergeCell ref="K4:K6"/>
    <mergeCell ref="D4:D6"/>
    <mergeCell ref="E4:E6"/>
    <mergeCell ref="F4:F6"/>
    <mergeCell ref="C4:C6"/>
    <mergeCell ref="J4:J6"/>
    <mergeCell ref="H4:H6"/>
    <mergeCell ref="A7:A11"/>
    <mergeCell ref="A12:A14"/>
    <mergeCell ref="A15:A16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24A5-EA85-4C39-94A3-A580F5533CEF}">
  <dimension ref="A1:N84"/>
  <sheetViews>
    <sheetView topLeftCell="A46" workbookViewId="0">
      <selection activeCell="A46"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130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12800</v>
      </c>
      <c r="E8" s="95">
        <v>12500</v>
      </c>
      <c r="F8" s="95">
        <v>14500</v>
      </c>
      <c r="G8" s="29">
        <v>13000</v>
      </c>
      <c r="H8" s="42">
        <v>14000</v>
      </c>
      <c r="I8" s="42">
        <v>13500</v>
      </c>
      <c r="J8" s="94">
        <v>13000</v>
      </c>
      <c r="K8" s="19">
        <f>AVERAGE(D8:J8)</f>
        <v>13328.571428571429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2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/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4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15000</v>
      </c>
      <c r="K16" s="22">
        <f t="shared" si="0"/>
        <v>15071.428571428571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32000</v>
      </c>
      <c r="G24" s="16">
        <v>30000</v>
      </c>
      <c r="H24" s="42">
        <v>30000</v>
      </c>
      <c r="I24" s="17">
        <v>30000</v>
      </c>
      <c r="J24" s="42">
        <v>32000</v>
      </c>
      <c r="K24" s="22">
        <f t="shared" si="0"/>
        <v>30571.428571428572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42000</v>
      </c>
      <c r="E26" s="16">
        <v>40000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37428.571428571428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80000</v>
      </c>
      <c r="J28" s="28">
        <v>60000</v>
      </c>
      <c r="K28" s="22">
        <f t="shared" si="0"/>
        <v>67166.666666666672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44000</v>
      </c>
      <c r="J30" s="42">
        <v>40000</v>
      </c>
      <c r="K30" s="22">
        <f t="shared" si="0"/>
        <v>38571.428571428572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27000</v>
      </c>
      <c r="E33" s="16">
        <v>27000</v>
      </c>
      <c r="F33" s="16">
        <v>27000</v>
      </c>
      <c r="G33" s="16">
        <v>27000</v>
      </c>
      <c r="H33" s="17">
        <v>25000</v>
      </c>
      <c r="I33" s="17">
        <v>26500</v>
      </c>
      <c r="J33" s="42">
        <v>26000</v>
      </c>
      <c r="K33" s="22">
        <f t="shared" si="0"/>
        <v>26500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12000</v>
      </c>
      <c r="H36" s="51" t="s">
        <v>100</v>
      </c>
      <c r="I36" s="27">
        <v>12000</v>
      </c>
      <c r="J36" s="56">
        <v>10000</v>
      </c>
      <c r="K36" s="22">
        <f t="shared" si="0"/>
        <v>11416.666666666666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 t="s">
        <v>100</v>
      </c>
      <c r="E39" s="29" t="s">
        <v>100</v>
      </c>
      <c r="F39" s="30" t="s">
        <v>100</v>
      </c>
      <c r="G39" s="21" t="s">
        <v>100</v>
      </c>
      <c r="H39" s="17">
        <v>17500</v>
      </c>
      <c r="I39" s="27">
        <v>21000</v>
      </c>
      <c r="J39" s="28">
        <v>17500</v>
      </c>
      <c r="K39" s="22">
        <f t="shared" si="0"/>
        <v>18666.666666666668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 t="s">
        <v>100</v>
      </c>
      <c r="E40" s="29" t="s">
        <v>100</v>
      </c>
      <c r="F40" s="30" t="s">
        <v>100</v>
      </c>
      <c r="G40" s="21" t="s">
        <v>100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 t="s">
        <v>100</v>
      </c>
      <c r="H42" s="17">
        <v>9000</v>
      </c>
      <c r="I42" s="55">
        <v>10000</v>
      </c>
      <c r="J42" s="42">
        <v>8000</v>
      </c>
      <c r="K42" s="22">
        <f t="shared" si="0"/>
        <v>9166.6666666666661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12000</v>
      </c>
      <c r="I49" s="26">
        <v>17000</v>
      </c>
      <c r="J49" s="56" t="s">
        <v>100</v>
      </c>
      <c r="K49" s="22">
        <f t="shared" si="0"/>
        <v>15833.333333333334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3000</v>
      </c>
      <c r="H54" s="51" t="s">
        <v>100</v>
      </c>
      <c r="I54" s="27">
        <v>3500</v>
      </c>
      <c r="J54" s="42">
        <v>2500</v>
      </c>
      <c r="K54" s="22">
        <f t="shared" si="0"/>
        <v>3033.3333333333335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32000</v>
      </c>
      <c r="E56" s="16">
        <v>40000</v>
      </c>
      <c r="F56" s="16">
        <v>40000</v>
      </c>
      <c r="G56" s="16">
        <v>40000</v>
      </c>
      <c r="H56" s="17">
        <v>30000</v>
      </c>
      <c r="I56" s="17">
        <v>40000</v>
      </c>
      <c r="J56" s="42">
        <v>35000</v>
      </c>
      <c r="K56" s="22">
        <f t="shared" si="0"/>
        <v>36714.285714285717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50000</v>
      </c>
      <c r="E57" s="16">
        <v>60000</v>
      </c>
      <c r="F57" s="16">
        <v>45000</v>
      </c>
      <c r="G57" s="16">
        <v>50000</v>
      </c>
      <c r="H57" s="77" t="s">
        <v>100</v>
      </c>
      <c r="I57" s="55" t="s">
        <v>100</v>
      </c>
      <c r="J57" s="56" t="s">
        <v>100</v>
      </c>
      <c r="K57" s="22">
        <f t="shared" si="0"/>
        <v>51250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55000</v>
      </c>
      <c r="E58" s="16">
        <v>65000</v>
      </c>
      <c r="F58" s="16">
        <v>60000</v>
      </c>
      <c r="G58" s="16">
        <v>65000</v>
      </c>
      <c r="H58" s="17">
        <v>60000</v>
      </c>
      <c r="I58" s="17">
        <v>70000</v>
      </c>
      <c r="J58" s="42">
        <v>60000</v>
      </c>
      <c r="K58" s="22">
        <f t="shared" si="0"/>
        <v>62142.857142857145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30000</v>
      </c>
      <c r="F62" s="16">
        <v>32000</v>
      </c>
      <c r="G62" s="16">
        <v>30000</v>
      </c>
      <c r="H62" s="17">
        <v>27000</v>
      </c>
      <c r="I62" s="17">
        <v>30000</v>
      </c>
      <c r="J62" s="42">
        <v>35000</v>
      </c>
      <c r="K62" s="22">
        <f t="shared" si="0"/>
        <v>30285.714285714286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26000</v>
      </c>
      <c r="F63" s="16">
        <v>28000</v>
      </c>
      <c r="G63" s="16">
        <v>25000</v>
      </c>
      <c r="H63" s="17">
        <v>23000</v>
      </c>
      <c r="I63" s="17">
        <v>25000</v>
      </c>
      <c r="J63" s="42">
        <v>25000</v>
      </c>
      <c r="K63" s="22">
        <f t="shared" si="0"/>
        <v>25428.571428571428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30000</v>
      </c>
      <c r="E64" s="16">
        <v>35000</v>
      </c>
      <c r="F64" s="16">
        <v>32000</v>
      </c>
      <c r="G64" s="16">
        <v>36000</v>
      </c>
      <c r="H64" s="17">
        <v>25000</v>
      </c>
      <c r="I64" s="17">
        <v>35000</v>
      </c>
      <c r="J64" s="42">
        <v>40000</v>
      </c>
      <c r="K64" s="22">
        <f t="shared" si="0"/>
        <v>33285.714285714283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21428.571428571428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9000</v>
      </c>
      <c r="E70" s="16">
        <v>10000</v>
      </c>
      <c r="F70" s="16">
        <v>9000</v>
      </c>
      <c r="G70" s="16">
        <v>9000</v>
      </c>
      <c r="H70" s="17">
        <v>9000</v>
      </c>
      <c r="I70" s="27">
        <v>10000</v>
      </c>
      <c r="J70" s="42">
        <v>9000</v>
      </c>
      <c r="K70" s="22">
        <f t="shared" si="0"/>
        <v>9285.7142857142862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14000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12142.857142857143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14000</v>
      </c>
      <c r="E72" s="16">
        <v>17000</v>
      </c>
      <c r="F72" s="16">
        <v>17000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15571.428571428571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17000</v>
      </c>
      <c r="E73" s="16">
        <v>8000</v>
      </c>
      <c r="F73" s="16">
        <v>17000</v>
      </c>
      <c r="G73" s="16">
        <v>17000</v>
      </c>
      <c r="H73" s="17">
        <v>5000</v>
      </c>
      <c r="I73" s="55">
        <v>10000</v>
      </c>
      <c r="J73" s="42">
        <v>6000</v>
      </c>
      <c r="K73" s="22">
        <f t="shared" ref="K73:K80" si="1">AVERAGE(D73:J73)</f>
        <v>11428.571428571429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9000</v>
      </c>
      <c r="E74" s="16">
        <v>12000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10857.142857142857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10000</v>
      </c>
      <c r="F75" s="30" t="s">
        <v>100</v>
      </c>
      <c r="G75" s="21" t="s">
        <v>100</v>
      </c>
      <c r="H75" s="87">
        <v>9000</v>
      </c>
      <c r="I75" s="88">
        <v>10000</v>
      </c>
      <c r="J75" s="89">
        <v>8000</v>
      </c>
      <c r="K75" s="22">
        <f t="shared" si="1"/>
        <v>9250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48:A52"/>
    <mergeCell ref="A55:A58"/>
    <mergeCell ref="A61:A65"/>
    <mergeCell ref="A25:A31"/>
    <mergeCell ref="A32:A34"/>
    <mergeCell ref="A35:A37"/>
    <mergeCell ref="A38:A40"/>
    <mergeCell ref="A44:A45"/>
    <mergeCell ref="A46:A47"/>
    <mergeCell ref="A1:K1"/>
    <mergeCell ref="A2:K2"/>
    <mergeCell ref="A3:K3"/>
    <mergeCell ref="A4:A6"/>
    <mergeCell ref="B4:B6"/>
    <mergeCell ref="C4:C6"/>
    <mergeCell ref="K4:K6"/>
    <mergeCell ref="F4:F6"/>
    <mergeCell ref="J4:J6"/>
    <mergeCell ref="H4:H6"/>
    <mergeCell ref="A18:A19"/>
    <mergeCell ref="A20:A24"/>
    <mergeCell ref="I4:I6"/>
    <mergeCell ref="G4:G6"/>
    <mergeCell ref="D4:D6"/>
    <mergeCell ref="E4:E6"/>
    <mergeCell ref="A7:A11"/>
    <mergeCell ref="A12:A14"/>
    <mergeCell ref="A15:A16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F646-9A39-403B-9859-586BE9A2A94A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131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12800</v>
      </c>
      <c r="E8" s="95">
        <v>12500</v>
      </c>
      <c r="F8" s="95">
        <v>14500</v>
      </c>
      <c r="G8" s="29">
        <v>13500</v>
      </c>
      <c r="H8" s="42">
        <v>14000</v>
      </c>
      <c r="I8" s="42">
        <v>13500</v>
      </c>
      <c r="J8" s="94">
        <v>13000</v>
      </c>
      <c r="K8" s="19">
        <f>AVERAGE(D8:J8)</f>
        <v>13400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2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/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4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15000</v>
      </c>
      <c r="K16" s="22">
        <f t="shared" si="0"/>
        <v>15071.428571428571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32000</v>
      </c>
      <c r="G24" s="16">
        <v>30000</v>
      </c>
      <c r="H24" s="42">
        <v>30000</v>
      </c>
      <c r="I24" s="17">
        <v>30000</v>
      </c>
      <c r="J24" s="42">
        <v>32000</v>
      </c>
      <c r="K24" s="22">
        <f t="shared" si="0"/>
        <v>30571.428571428572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38000</v>
      </c>
      <c r="E26" s="16">
        <v>40000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36857.142857142855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80000</v>
      </c>
      <c r="J28" s="28">
        <v>60000</v>
      </c>
      <c r="K28" s="22">
        <f t="shared" si="0"/>
        <v>67166.666666666672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44000</v>
      </c>
      <c r="J30" s="42">
        <v>40000</v>
      </c>
      <c r="K30" s="22">
        <f t="shared" si="0"/>
        <v>38571.428571428572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27000</v>
      </c>
      <c r="E33" s="16">
        <v>27000</v>
      </c>
      <c r="F33" s="16">
        <v>27000</v>
      </c>
      <c r="G33" s="16">
        <v>27000</v>
      </c>
      <c r="H33" s="17">
        <v>25000</v>
      </c>
      <c r="I33" s="17">
        <v>26500</v>
      </c>
      <c r="J33" s="42">
        <v>26000</v>
      </c>
      <c r="K33" s="22">
        <f t="shared" si="0"/>
        <v>26500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12000</v>
      </c>
      <c r="H36" s="51" t="s">
        <v>100</v>
      </c>
      <c r="I36" s="27">
        <v>12000</v>
      </c>
      <c r="J36" s="56">
        <v>10000</v>
      </c>
      <c r="K36" s="22">
        <f t="shared" si="0"/>
        <v>11416.666666666666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 t="s">
        <v>100</v>
      </c>
      <c r="E39" s="29" t="s">
        <v>100</v>
      </c>
      <c r="F39" s="30" t="s">
        <v>100</v>
      </c>
      <c r="G39" s="21" t="s">
        <v>100</v>
      </c>
      <c r="H39" s="17">
        <v>17500</v>
      </c>
      <c r="I39" s="27">
        <v>21000</v>
      </c>
      <c r="J39" s="28">
        <v>17500</v>
      </c>
      <c r="K39" s="22">
        <f t="shared" si="0"/>
        <v>18666.666666666668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 t="s">
        <v>100</v>
      </c>
      <c r="E40" s="29" t="s">
        <v>100</v>
      </c>
      <c r="F40" s="30" t="s">
        <v>100</v>
      </c>
      <c r="G40" s="21" t="s">
        <v>100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 t="s">
        <v>100</v>
      </c>
      <c r="H42" s="17">
        <v>9000</v>
      </c>
      <c r="I42" s="55">
        <v>10000</v>
      </c>
      <c r="J42" s="42">
        <v>8000</v>
      </c>
      <c r="K42" s="22">
        <f t="shared" si="0"/>
        <v>9166.6666666666661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12000</v>
      </c>
      <c r="I49" s="26">
        <v>17000</v>
      </c>
      <c r="J49" s="56" t="s">
        <v>100</v>
      </c>
      <c r="K49" s="22">
        <f t="shared" si="0"/>
        <v>15833.333333333334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3000</v>
      </c>
      <c r="H54" s="51" t="s">
        <v>100</v>
      </c>
      <c r="I54" s="27">
        <v>3500</v>
      </c>
      <c r="J54" s="42">
        <v>2500</v>
      </c>
      <c r="K54" s="22">
        <f t="shared" si="0"/>
        <v>3033.3333333333335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35000</v>
      </c>
      <c r="E56" s="16">
        <v>40000</v>
      </c>
      <c r="F56" s="16">
        <v>40000</v>
      </c>
      <c r="G56" s="16">
        <v>40000</v>
      </c>
      <c r="H56" s="17">
        <v>30000</v>
      </c>
      <c r="I56" s="17">
        <v>40000</v>
      </c>
      <c r="J56" s="42">
        <v>35000</v>
      </c>
      <c r="K56" s="22">
        <f t="shared" si="0"/>
        <v>37142.857142857145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60000</v>
      </c>
      <c r="E57" s="16">
        <v>50000</v>
      </c>
      <c r="F57" s="16">
        <v>45000</v>
      </c>
      <c r="G57" s="16">
        <v>50000</v>
      </c>
      <c r="H57" s="77" t="s">
        <v>100</v>
      </c>
      <c r="I57" s="55" t="s">
        <v>100</v>
      </c>
      <c r="J57" s="56" t="s">
        <v>100</v>
      </c>
      <c r="K57" s="22">
        <f t="shared" si="0"/>
        <v>51250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55000</v>
      </c>
      <c r="E58" s="16">
        <v>60000</v>
      </c>
      <c r="F58" s="16">
        <v>60000</v>
      </c>
      <c r="G58" s="16">
        <v>65000</v>
      </c>
      <c r="H58" s="17">
        <v>60000</v>
      </c>
      <c r="I58" s="17">
        <v>70000</v>
      </c>
      <c r="J58" s="42">
        <v>60000</v>
      </c>
      <c r="K58" s="22">
        <f t="shared" si="0"/>
        <v>61428.571428571428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30000</v>
      </c>
      <c r="F62" s="16">
        <v>32000</v>
      </c>
      <c r="G62" s="16">
        <v>30000</v>
      </c>
      <c r="H62" s="17">
        <v>27000</v>
      </c>
      <c r="I62" s="17">
        <v>30000</v>
      </c>
      <c r="J62" s="42">
        <v>35000</v>
      </c>
      <c r="K62" s="22">
        <f t="shared" si="0"/>
        <v>30285.714285714286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28000</v>
      </c>
      <c r="F63" s="16">
        <v>28000</v>
      </c>
      <c r="G63" s="16">
        <v>25000</v>
      </c>
      <c r="H63" s="17">
        <v>23000</v>
      </c>
      <c r="I63" s="17">
        <v>25000</v>
      </c>
      <c r="J63" s="42">
        <v>25000</v>
      </c>
      <c r="K63" s="22">
        <f t="shared" si="0"/>
        <v>25714.285714285714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28000</v>
      </c>
      <c r="E64" s="16">
        <v>35000</v>
      </c>
      <c r="F64" s="16">
        <v>30000</v>
      </c>
      <c r="G64" s="16">
        <v>36000</v>
      </c>
      <c r="H64" s="17">
        <v>25000</v>
      </c>
      <c r="I64" s="17">
        <v>35000</v>
      </c>
      <c r="J64" s="42">
        <v>40000</v>
      </c>
      <c r="K64" s="22">
        <f t="shared" si="0"/>
        <v>32714.285714285714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21428.571428571428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8000</v>
      </c>
      <c r="E70" s="16">
        <v>10000</v>
      </c>
      <c r="F70" s="16">
        <v>9000</v>
      </c>
      <c r="G70" s="16">
        <v>9000</v>
      </c>
      <c r="H70" s="17">
        <v>9000</v>
      </c>
      <c r="I70" s="27">
        <v>10000</v>
      </c>
      <c r="J70" s="42">
        <v>9000</v>
      </c>
      <c r="K70" s="22">
        <f t="shared" si="0"/>
        <v>9142.8571428571431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11857.142857142857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14000</v>
      </c>
      <c r="E72" s="16">
        <v>15000</v>
      </c>
      <c r="F72" s="16">
        <v>17000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15285.714285714286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16000</v>
      </c>
      <c r="E73" s="16">
        <v>8000</v>
      </c>
      <c r="F73" s="16">
        <v>17000</v>
      </c>
      <c r="G73" s="16">
        <v>17000</v>
      </c>
      <c r="H73" s="17">
        <v>5000</v>
      </c>
      <c r="I73" s="55">
        <v>10000</v>
      </c>
      <c r="J73" s="42">
        <v>6000</v>
      </c>
      <c r="K73" s="22">
        <f t="shared" ref="K73:K80" si="1">AVERAGE(D73:J73)</f>
        <v>11285.714285714286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8000</v>
      </c>
      <c r="E74" s="16">
        <v>12000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10714.285714285714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10000</v>
      </c>
      <c r="F75" s="30" t="s">
        <v>100</v>
      </c>
      <c r="G75" s="21" t="s">
        <v>100</v>
      </c>
      <c r="H75" s="87">
        <v>9000</v>
      </c>
      <c r="I75" s="88">
        <v>10000</v>
      </c>
      <c r="J75" s="89">
        <v>8000</v>
      </c>
      <c r="K75" s="22">
        <f t="shared" si="1"/>
        <v>9250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12:A14"/>
    <mergeCell ref="A61:A65"/>
    <mergeCell ref="A18:A19"/>
    <mergeCell ref="A20:A24"/>
    <mergeCell ref="A25:A31"/>
    <mergeCell ref="A32:A34"/>
    <mergeCell ref="A35:A37"/>
    <mergeCell ref="A38:A40"/>
    <mergeCell ref="A44:A45"/>
    <mergeCell ref="A46:A47"/>
    <mergeCell ref="A48:A52"/>
    <mergeCell ref="A55:A58"/>
    <mergeCell ref="A15:A16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  <mergeCell ref="A7:A11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47D9-B8EE-4341-A4F4-C021296EA96C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132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12800</v>
      </c>
      <c r="E8" s="95">
        <v>12500</v>
      </c>
      <c r="F8" s="95">
        <v>14500</v>
      </c>
      <c r="G8" s="29">
        <v>13500</v>
      </c>
      <c r="H8" s="42">
        <v>14000</v>
      </c>
      <c r="I8" s="42">
        <v>13500</v>
      </c>
      <c r="J8" s="94">
        <v>13000</v>
      </c>
      <c r="K8" s="19">
        <f>AVERAGE(D8:J8)</f>
        <v>13400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2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/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4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15000</v>
      </c>
      <c r="K16" s="22">
        <f t="shared" si="0"/>
        <v>15071.428571428571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30000</v>
      </c>
      <c r="G24" s="16">
        <v>30000</v>
      </c>
      <c r="H24" s="42">
        <v>30000</v>
      </c>
      <c r="I24" s="17">
        <v>30000</v>
      </c>
      <c r="J24" s="42">
        <v>32000</v>
      </c>
      <c r="K24" s="22">
        <f t="shared" si="0"/>
        <v>30285.714285714286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38000</v>
      </c>
      <c r="E26" s="16">
        <v>40000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36857.142857142855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80000</v>
      </c>
      <c r="J28" s="28">
        <v>60000</v>
      </c>
      <c r="K28" s="22">
        <f t="shared" si="0"/>
        <v>67166.666666666672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44000</v>
      </c>
      <c r="J30" s="42">
        <v>40000</v>
      </c>
      <c r="K30" s="22">
        <f t="shared" si="0"/>
        <v>38571.428571428572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27000</v>
      </c>
      <c r="E33" s="16">
        <v>27000</v>
      </c>
      <c r="F33" s="16">
        <v>26000</v>
      </c>
      <c r="G33" s="16">
        <v>27000</v>
      </c>
      <c r="H33" s="17">
        <v>25000</v>
      </c>
      <c r="I33" s="17">
        <v>26500</v>
      </c>
      <c r="J33" s="42">
        <v>26000</v>
      </c>
      <c r="K33" s="22">
        <f t="shared" si="0"/>
        <v>26357.142857142859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12000</v>
      </c>
      <c r="H36" s="51" t="s">
        <v>100</v>
      </c>
      <c r="I36" s="27">
        <v>12000</v>
      </c>
      <c r="J36" s="56">
        <v>10000</v>
      </c>
      <c r="K36" s="22">
        <f t="shared" si="0"/>
        <v>11416.666666666666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 t="s">
        <v>100</v>
      </c>
      <c r="E39" s="29" t="s">
        <v>100</v>
      </c>
      <c r="F39" s="30" t="s">
        <v>100</v>
      </c>
      <c r="G39" s="21" t="s">
        <v>100</v>
      </c>
      <c r="H39" s="17">
        <v>17500</v>
      </c>
      <c r="I39" s="27">
        <v>21000</v>
      </c>
      <c r="J39" s="28">
        <v>17500</v>
      </c>
      <c r="K39" s="22">
        <f t="shared" si="0"/>
        <v>18666.666666666668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 t="s">
        <v>100</v>
      </c>
      <c r="E40" s="29" t="s">
        <v>100</v>
      </c>
      <c r="F40" s="30" t="s">
        <v>100</v>
      </c>
      <c r="G40" s="21" t="s">
        <v>100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 t="s">
        <v>100</v>
      </c>
      <c r="H42" s="17">
        <v>9000</v>
      </c>
      <c r="I42" s="55">
        <v>10000</v>
      </c>
      <c r="J42" s="42">
        <v>8000</v>
      </c>
      <c r="K42" s="22">
        <f t="shared" si="0"/>
        <v>9166.6666666666661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12000</v>
      </c>
      <c r="I49" s="26">
        <v>17000</v>
      </c>
      <c r="J49" s="56" t="s">
        <v>100</v>
      </c>
      <c r="K49" s="22">
        <f t="shared" si="0"/>
        <v>15833.333333333334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3000</v>
      </c>
      <c r="H54" s="51" t="s">
        <v>100</v>
      </c>
      <c r="I54" s="27">
        <v>3500</v>
      </c>
      <c r="J54" s="42">
        <v>2500</v>
      </c>
      <c r="K54" s="22">
        <f t="shared" si="0"/>
        <v>3033.3333333333335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35000</v>
      </c>
      <c r="E56" s="16">
        <v>40000</v>
      </c>
      <c r="F56" s="16">
        <v>40000</v>
      </c>
      <c r="G56" s="16">
        <v>40000</v>
      </c>
      <c r="H56" s="17">
        <v>30000</v>
      </c>
      <c r="I56" s="17">
        <v>40000</v>
      </c>
      <c r="J56" s="42">
        <v>35000</v>
      </c>
      <c r="K56" s="22">
        <f t="shared" si="0"/>
        <v>37142.857142857145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60000</v>
      </c>
      <c r="E57" s="16">
        <v>50000</v>
      </c>
      <c r="F57" s="16">
        <v>50000</v>
      </c>
      <c r="G57" s="16">
        <v>50000</v>
      </c>
      <c r="H57" s="77" t="s">
        <v>100</v>
      </c>
      <c r="I57" s="55" t="s">
        <v>100</v>
      </c>
      <c r="J57" s="56" t="s">
        <v>100</v>
      </c>
      <c r="K57" s="22">
        <f t="shared" si="0"/>
        <v>52500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55000</v>
      </c>
      <c r="E58" s="16">
        <v>60000</v>
      </c>
      <c r="F58" s="16">
        <v>60000</v>
      </c>
      <c r="G58" s="16">
        <v>65000</v>
      </c>
      <c r="H58" s="17">
        <v>60000</v>
      </c>
      <c r="I58" s="17">
        <v>70000</v>
      </c>
      <c r="J58" s="42">
        <v>60000</v>
      </c>
      <c r="K58" s="22">
        <f t="shared" si="0"/>
        <v>61428.571428571428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30000</v>
      </c>
      <c r="F62" s="16">
        <v>32000</v>
      </c>
      <c r="G62" s="16">
        <v>30000</v>
      </c>
      <c r="H62" s="17">
        <v>27000</v>
      </c>
      <c r="I62" s="17">
        <v>30000</v>
      </c>
      <c r="J62" s="42">
        <v>35000</v>
      </c>
      <c r="K62" s="22">
        <f t="shared" si="0"/>
        <v>30285.714285714286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28000</v>
      </c>
      <c r="F63" s="16">
        <v>28000</v>
      </c>
      <c r="G63" s="16">
        <v>25000</v>
      </c>
      <c r="H63" s="17">
        <v>23000</v>
      </c>
      <c r="I63" s="17">
        <v>25000</v>
      </c>
      <c r="J63" s="42">
        <v>25000</v>
      </c>
      <c r="K63" s="22">
        <f t="shared" si="0"/>
        <v>25714.285714285714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28000</v>
      </c>
      <c r="E64" s="16">
        <v>35000</v>
      </c>
      <c r="F64" s="16">
        <v>32000</v>
      </c>
      <c r="G64" s="16">
        <v>36000</v>
      </c>
      <c r="H64" s="17">
        <v>25000</v>
      </c>
      <c r="I64" s="17">
        <v>35000</v>
      </c>
      <c r="J64" s="42">
        <v>40000</v>
      </c>
      <c r="K64" s="22">
        <f t="shared" si="0"/>
        <v>33000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21428.571428571428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8000</v>
      </c>
      <c r="E70" s="16">
        <v>10000</v>
      </c>
      <c r="F70" s="16">
        <v>9000</v>
      </c>
      <c r="G70" s="16">
        <v>9000</v>
      </c>
      <c r="H70" s="17">
        <v>9000</v>
      </c>
      <c r="I70" s="27">
        <v>10000</v>
      </c>
      <c r="J70" s="42">
        <v>9000</v>
      </c>
      <c r="K70" s="22">
        <f t="shared" si="0"/>
        <v>9142.8571428571431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11857.142857142857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14000</v>
      </c>
      <c r="E72" s="16">
        <v>15000</v>
      </c>
      <c r="F72" s="16">
        <v>17000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15285.714285714286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16000</v>
      </c>
      <c r="E73" s="16">
        <v>8000</v>
      </c>
      <c r="F73" s="16">
        <v>17000</v>
      </c>
      <c r="G73" s="16">
        <v>17000</v>
      </c>
      <c r="H73" s="17">
        <v>5000</v>
      </c>
      <c r="I73" s="55">
        <v>10000</v>
      </c>
      <c r="J73" s="42">
        <v>6000</v>
      </c>
      <c r="K73" s="22">
        <f t="shared" ref="K73:K80" si="1">AVERAGE(D73:J73)</f>
        <v>11285.714285714286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8000</v>
      </c>
      <c r="E74" s="16">
        <v>12000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10714.285714285714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10000</v>
      </c>
      <c r="F75" s="30" t="s">
        <v>100</v>
      </c>
      <c r="G75" s="21" t="s">
        <v>100</v>
      </c>
      <c r="H75" s="87">
        <v>9000</v>
      </c>
      <c r="I75" s="88">
        <v>10000</v>
      </c>
      <c r="J75" s="89">
        <v>8000</v>
      </c>
      <c r="K75" s="22">
        <f t="shared" si="1"/>
        <v>9250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12:A14"/>
    <mergeCell ref="A61:A65"/>
    <mergeCell ref="A18:A19"/>
    <mergeCell ref="A20:A24"/>
    <mergeCell ref="A25:A31"/>
    <mergeCell ref="A32:A34"/>
    <mergeCell ref="A35:A37"/>
    <mergeCell ref="A38:A40"/>
    <mergeCell ref="A44:A45"/>
    <mergeCell ref="A46:A47"/>
    <mergeCell ref="A48:A52"/>
    <mergeCell ref="A55:A58"/>
    <mergeCell ref="A15:A16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  <mergeCell ref="A7:A11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F689-BDF5-4AAD-9E07-20CB567D5C71}">
  <dimension ref="A1:N8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133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185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186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187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13000</v>
      </c>
      <c r="E8" s="95">
        <v>12500</v>
      </c>
      <c r="F8" s="95">
        <v>14500</v>
      </c>
      <c r="G8" s="29">
        <v>12800</v>
      </c>
      <c r="H8" s="42">
        <v>14000</v>
      </c>
      <c r="I8" s="42">
        <v>13500</v>
      </c>
      <c r="J8" s="94">
        <v>13000</v>
      </c>
      <c r="K8" s="19">
        <f>AVERAGE(D8:J8)</f>
        <v>13328.571428571429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2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/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4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15000</v>
      </c>
      <c r="K16" s="22">
        <f t="shared" si="0"/>
        <v>15071.428571428571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30000</v>
      </c>
      <c r="G24" s="16">
        <v>30000</v>
      </c>
      <c r="H24" s="42">
        <v>30000</v>
      </c>
      <c r="I24" s="17">
        <v>30000</v>
      </c>
      <c r="J24" s="42">
        <v>30000</v>
      </c>
      <c r="K24" s="22">
        <f t="shared" si="0"/>
        <v>30000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40000</v>
      </c>
      <c r="E26" s="16">
        <v>40000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37142.857142857145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80000</v>
      </c>
      <c r="J28" s="28">
        <v>60000</v>
      </c>
      <c r="K28" s="22">
        <f t="shared" si="0"/>
        <v>67166.666666666672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44000</v>
      </c>
      <c r="J30" s="42">
        <v>38000</v>
      </c>
      <c r="K30" s="22">
        <f t="shared" si="0"/>
        <v>38285.714285714283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27000</v>
      </c>
      <c r="F33" s="16">
        <v>26000</v>
      </c>
      <c r="G33" s="16">
        <v>27000</v>
      </c>
      <c r="H33" s="17">
        <v>25000</v>
      </c>
      <c r="I33" s="17">
        <v>26000</v>
      </c>
      <c r="J33" s="42">
        <v>26000</v>
      </c>
      <c r="K33" s="22">
        <f t="shared" si="0"/>
        <v>26142.857142857141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5"/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12000</v>
      </c>
      <c r="H36" s="51" t="s">
        <v>100</v>
      </c>
      <c r="I36" s="27">
        <v>12000</v>
      </c>
      <c r="J36" s="56">
        <v>10000</v>
      </c>
      <c r="K36" s="22">
        <f t="shared" si="0"/>
        <v>11416.666666666666</v>
      </c>
      <c r="M36" s="5"/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5"/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5"/>
      <c r="N38" s="5"/>
    </row>
    <row r="39" spans="1:14" ht="15.75" x14ac:dyDescent="0.25">
      <c r="A39" s="183"/>
      <c r="B39" s="13" t="s">
        <v>40</v>
      </c>
      <c r="C39" s="14" t="s">
        <v>41</v>
      </c>
      <c r="D39" s="43" t="s">
        <v>100</v>
      </c>
      <c r="E39" s="29" t="s">
        <v>100</v>
      </c>
      <c r="F39" s="30" t="s">
        <v>100</v>
      </c>
      <c r="G39" s="21" t="s">
        <v>100</v>
      </c>
      <c r="H39" s="17">
        <v>17500</v>
      </c>
      <c r="I39" s="27">
        <v>21000</v>
      </c>
      <c r="J39" s="28">
        <v>17500</v>
      </c>
      <c r="K39" s="22">
        <f t="shared" si="0"/>
        <v>18666.666666666668</v>
      </c>
      <c r="M39" s="5"/>
      <c r="N39" s="5"/>
    </row>
    <row r="40" spans="1:14" ht="15.75" x14ac:dyDescent="0.25">
      <c r="A40" s="183"/>
      <c r="B40" s="13" t="s">
        <v>42</v>
      </c>
      <c r="C40" s="14" t="s">
        <v>43</v>
      </c>
      <c r="D40" s="43" t="s">
        <v>100</v>
      </c>
      <c r="E40" s="29" t="s">
        <v>100</v>
      </c>
      <c r="F40" s="30" t="s">
        <v>100</v>
      </c>
      <c r="G40" s="21" t="s">
        <v>100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5"/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5"/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 t="s">
        <v>100</v>
      </c>
      <c r="H42" s="17">
        <v>9000</v>
      </c>
      <c r="I42" s="55">
        <v>10000</v>
      </c>
      <c r="J42" s="42">
        <v>8000</v>
      </c>
      <c r="K42" s="22">
        <f t="shared" si="0"/>
        <v>9166.6666666666661</v>
      </c>
      <c r="M42" s="5"/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5"/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5"/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5"/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5"/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10642.857142857143</v>
      </c>
      <c r="M47" s="5"/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5"/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12000</v>
      </c>
      <c r="I49" s="26">
        <v>17000</v>
      </c>
      <c r="J49" s="56" t="s">
        <v>100</v>
      </c>
      <c r="K49" s="22">
        <f t="shared" si="0"/>
        <v>15833.333333333334</v>
      </c>
      <c r="M49" s="5"/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5" t="s">
        <v>103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5"/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5"/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5"/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3000</v>
      </c>
      <c r="H54" s="51" t="s">
        <v>100</v>
      </c>
      <c r="I54" s="27">
        <v>3500</v>
      </c>
      <c r="J54" s="42">
        <v>2500</v>
      </c>
      <c r="K54" s="22">
        <f t="shared" si="0"/>
        <v>3033.3333333333335</v>
      </c>
      <c r="M54" s="5"/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5"/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37000</v>
      </c>
      <c r="E56" s="16">
        <v>40000</v>
      </c>
      <c r="F56" s="16">
        <v>40000</v>
      </c>
      <c r="G56" s="16">
        <v>40000</v>
      </c>
      <c r="H56" s="17">
        <v>30000</v>
      </c>
      <c r="I56" s="17">
        <v>40000</v>
      </c>
      <c r="J56" s="42">
        <v>35000</v>
      </c>
      <c r="K56" s="22">
        <f t="shared" si="0"/>
        <v>37428.571428571428</v>
      </c>
      <c r="M56" s="5"/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55000</v>
      </c>
      <c r="E57" s="16">
        <v>50000</v>
      </c>
      <c r="F57" s="16">
        <v>45000</v>
      </c>
      <c r="G57" s="16">
        <v>50000</v>
      </c>
      <c r="H57" s="77" t="s">
        <v>100</v>
      </c>
      <c r="I57" s="55" t="s">
        <v>100</v>
      </c>
      <c r="J57" s="56" t="s">
        <v>100</v>
      </c>
      <c r="K57" s="22">
        <f t="shared" si="0"/>
        <v>50000</v>
      </c>
      <c r="M57" s="5"/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55000</v>
      </c>
      <c r="E58" s="16">
        <v>60000</v>
      </c>
      <c r="F58" s="16">
        <v>55000</v>
      </c>
      <c r="G58" s="16">
        <v>65000</v>
      </c>
      <c r="H58" s="17">
        <v>60000</v>
      </c>
      <c r="I58" s="17">
        <v>70000</v>
      </c>
      <c r="J58" s="42">
        <v>60000</v>
      </c>
      <c r="K58" s="22">
        <f t="shared" si="0"/>
        <v>60714.285714285717</v>
      </c>
      <c r="M58" s="5"/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5"/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5"/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5"/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32000</v>
      </c>
      <c r="F62" s="16">
        <v>30000</v>
      </c>
      <c r="G62" s="16">
        <v>30000</v>
      </c>
      <c r="H62" s="17">
        <v>27000</v>
      </c>
      <c r="I62" s="17">
        <v>30000</v>
      </c>
      <c r="J62" s="42">
        <v>35000</v>
      </c>
      <c r="K62" s="22">
        <f t="shared" si="0"/>
        <v>30285.714285714286</v>
      </c>
      <c r="M62" s="5"/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28000</v>
      </c>
      <c r="F63" s="16">
        <v>28000</v>
      </c>
      <c r="G63" s="16">
        <v>25000</v>
      </c>
      <c r="H63" s="17">
        <v>23000</v>
      </c>
      <c r="I63" s="17">
        <v>25000</v>
      </c>
      <c r="J63" s="42">
        <v>25000</v>
      </c>
      <c r="K63" s="22">
        <f t="shared" si="0"/>
        <v>25714.285714285714</v>
      </c>
      <c r="M63" s="5"/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26000</v>
      </c>
      <c r="E64" s="16">
        <v>40000</v>
      </c>
      <c r="F64" s="16">
        <v>30000</v>
      </c>
      <c r="G64" s="16">
        <v>36000</v>
      </c>
      <c r="H64" s="17">
        <v>25000</v>
      </c>
      <c r="I64" s="17">
        <v>35000</v>
      </c>
      <c r="J64" s="42">
        <v>40000</v>
      </c>
      <c r="K64" s="22">
        <f t="shared" si="0"/>
        <v>33142.857142857145</v>
      </c>
      <c r="M64" s="5"/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21428.571428571428</v>
      </c>
      <c r="M65" s="5"/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5"/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5"/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5"/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5"/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7000</v>
      </c>
      <c r="E70" s="16">
        <v>10000</v>
      </c>
      <c r="F70" s="16">
        <v>9000</v>
      </c>
      <c r="G70" s="16">
        <v>9000</v>
      </c>
      <c r="H70" s="17">
        <v>9000</v>
      </c>
      <c r="I70" s="27">
        <v>10000</v>
      </c>
      <c r="J70" s="42">
        <v>9000</v>
      </c>
      <c r="K70" s="22">
        <f t="shared" si="0"/>
        <v>9000</v>
      </c>
      <c r="M70" s="5"/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11857.142857142857</v>
      </c>
      <c r="M71" s="5"/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14000</v>
      </c>
      <c r="E72" s="16">
        <v>15000</v>
      </c>
      <c r="F72" s="16">
        <v>17000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15285.714285714286</v>
      </c>
      <c r="M72" s="5"/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10000</v>
      </c>
      <c r="E73" s="16">
        <v>8000</v>
      </c>
      <c r="F73" s="16">
        <v>17000</v>
      </c>
      <c r="G73" s="16">
        <v>17000</v>
      </c>
      <c r="H73" s="17">
        <v>5000</v>
      </c>
      <c r="I73" s="55">
        <v>10000</v>
      </c>
      <c r="J73" s="42">
        <v>6000</v>
      </c>
      <c r="K73" s="22">
        <f t="shared" ref="K73:K80" si="1">AVERAGE(D73:J73)</f>
        <v>10428.571428571429</v>
      </c>
      <c r="M73" s="5"/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8000</v>
      </c>
      <c r="E74" s="16">
        <v>10000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10428.571428571429</v>
      </c>
      <c r="M74" s="5"/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10000</v>
      </c>
      <c r="F75" s="30" t="s">
        <v>100</v>
      </c>
      <c r="G75" s="21" t="s">
        <v>100</v>
      </c>
      <c r="H75" s="87">
        <v>9000</v>
      </c>
      <c r="I75" s="88">
        <v>10000</v>
      </c>
      <c r="J75" s="89">
        <v>8000</v>
      </c>
      <c r="K75" s="22">
        <f t="shared" si="1"/>
        <v>9250</v>
      </c>
      <c r="M75" s="5"/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5"/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5"/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1500</v>
      </c>
      <c r="K78" s="22">
        <f t="shared" si="1"/>
        <v>1900</v>
      </c>
      <c r="M78" s="5"/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5"/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5"/>
      <c r="N80" s="5"/>
    </row>
    <row r="81" spans="1:14" ht="15.75" x14ac:dyDescent="0.25">
      <c r="E81" s="4"/>
      <c r="J81" s="2"/>
      <c r="M81" s="5"/>
      <c r="N81" s="5"/>
    </row>
    <row r="82" spans="1:14" ht="15.75" x14ac:dyDescent="0.25">
      <c r="B82" s="92"/>
      <c r="J82" s="2"/>
      <c r="M82" s="5"/>
      <c r="N82" s="5"/>
    </row>
    <row r="83" spans="1:14" ht="15.75" x14ac:dyDescent="0.25">
      <c r="J83" s="2"/>
      <c r="M83" s="5"/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K4:K6"/>
    <mergeCell ref="A61:A65"/>
    <mergeCell ref="A18:A19"/>
    <mergeCell ref="A20:A24"/>
    <mergeCell ref="A25:A31"/>
    <mergeCell ref="A32:A34"/>
    <mergeCell ref="A35:A37"/>
    <mergeCell ref="A38:A40"/>
    <mergeCell ref="A44:A45"/>
    <mergeCell ref="A46:A47"/>
    <mergeCell ref="A48:A52"/>
    <mergeCell ref="A55:A58"/>
    <mergeCell ref="A7:A11"/>
    <mergeCell ref="A12:A14"/>
    <mergeCell ref="A15:A16"/>
    <mergeCell ref="I4:I6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56E6-5B4B-49BB-B7A1-4771A9138888}">
  <dimension ref="A1:N84"/>
  <sheetViews>
    <sheetView topLeftCell="A34" workbookViewId="0">
      <selection activeCell="M7" sqref="M7:M83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134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208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209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210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6" t="s">
        <v>4</v>
      </c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13000</v>
      </c>
      <c r="E8" s="95">
        <v>12500</v>
      </c>
      <c r="F8" s="95">
        <v>14500</v>
      </c>
      <c r="G8" s="29">
        <v>12800</v>
      </c>
      <c r="H8" s="42">
        <v>14000</v>
      </c>
      <c r="I8" s="42">
        <v>13500</v>
      </c>
      <c r="J8" s="94">
        <v>13000</v>
      </c>
      <c r="K8" s="19">
        <f>AVERAGE(D8:J8)</f>
        <v>13328.571428571429</v>
      </c>
      <c r="L8" s="1"/>
      <c r="M8" s="13" t="s">
        <v>121</v>
      </c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2" si="0">AVERAGE(D9:J9)</f>
        <v>8971.4285714285706</v>
      </c>
      <c r="M9" s="13" t="s">
        <v>122</v>
      </c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13" t="s">
        <v>9</v>
      </c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13" t="s">
        <v>10</v>
      </c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32" t="s">
        <v>11</v>
      </c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13500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13071.428571428571</v>
      </c>
      <c r="M13" s="41" t="s">
        <v>12</v>
      </c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13" t="s">
        <v>13</v>
      </c>
      <c r="N14" s="5"/>
    </row>
    <row r="15" spans="1:14" ht="15.75" x14ac:dyDescent="0.25">
      <c r="A15" s="182"/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32" t="s">
        <v>14</v>
      </c>
      <c r="N15" s="5"/>
    </row>
    <row r="16" spans="1:14" ht="15.75" x14ac:dyDescent="0.25">
      <c r="A16" s="184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15000</v>
      </c>
      <c r="K16" s="22">
        <f t="shared" si="0"/>
        <v>15071.428571428571</v>
      </c>
      <c r="M16" s="13" t="s">
        <v>15</v>
      </c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13" t="s">
        <v>123</v>
      </c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32" t="s">
        <v>16</v>
      </c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13" t="s">
        <v>17</v>
      </c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32" t="s">
        <v>18</v>
      </c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13" t="s">
        <v>19</v>
      </c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13" t="s">
        <v>20</v>
      </c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13" t="s">
        <v>21</v>
      </c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32000</v>
      </c>
      <c r="G24" s="16">
        <v>30000</v>
      </c>
      <c r="H24" s="42">
        <v>30000</v>
      </c>
      <c r="I24" s="17">
        <v>30000</v>
      </c>
      <c r="J24" s="42">
        <v>30000</v>
      </c>
      <c r="K24" s="22">
        <f t="shared" si="0"/>
        <v>30285.714285714286</v>
      </c>
      <c r="M24" s="13" t="s">
        <v>22</v>
      </c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32" t="s">
        <v>23</v>
      </c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40000</v>
      </c>
      <c r="E26" s="16">
        <v>40000</v>
      </c>
      <c r="F26" s="29">
        <v>35000</v>
      </c>
      <c r="G26" s="16">
        <v>40000</v>
      </c>
      <c r="H26" s="17">
        <v>30000</v>
      </c>
      <c r="I26" s="26">
        <v>40000</v>
      </c>
      <c r="J26" s="42">
        <v>35000</v>
      </c>
      <c r="K26" s="22">
        <f t="shared" si="0"/>
        <v>37142.857142857145</v>
      </c>
      <c r="M26" s="13" t="s">
        <v>24</v>
      </c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13" t="s">
        <v>25</v>
      </c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65000</v>
      </c>
      <c r="G28" s="21">
        <v>75000</v>
      </c>
      <c r="H28" s="17">
        <v>58000</v>
      </c>
      <c r="I28" s="26">
        <v>80000</v>
      </c>
      <c r="J28" s="28">
        <v>60000</v>
      </c>
      <c r="K28" s="22">
        <f t="shared" si="0"/>
        <v>68000</v>
      </c>
      <c r="M28" s="13" t="s">
        <v>26</v>
      </c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13" t="s">
        <v>27</v>
      </c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44000</v>
      </c>
      <c r="J30" s="42">
        <v>38000</v>
      </c>
      <c r="K30" s="22">
        <f t="shared" si="0"/>
        <v>38285.714285714283</v>
      </c>
      <c r="M30" s="13" t="s">
        <v>28</v>
      </c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90000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87500</v>
      </c>
      <c r="M31" s="13" t="s">
        <v>29</v>
      </c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32" t="s">
        <v>30</v>
      </c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27000</v>
      </c>
      <c r="F33" s="16">
        <v>26000</v>
      </c>
      <c r="G33" s="16">
        <v>27000</v>
      </c>
      <c r="H33" s="17">
        <v>25000</v>
      </c>
      <c r="I33" s="17">
        <v>26000</v>
      </c>
      <c r="J33" s="42">
        <v>26000</v>
      </c>
      <c r="K33" s="22">
        <f t="shared" si="0"/>
        <v>26142.857142857141</v>
      </c>
      <c r="M33" s="13" t="s">
        <v>31</v>
      </c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13" t="s">
        <v>32</v>
      </c>
      <c r="N34" s="5"/>
    </row>
    <row r="35" spans="1:14" ht="15.75" x14ac:dyDescent="0.25">
      <c r="A35" s="182">
        <v>8</v>
      </c>
      <c r="B35" s="32" t="s">
        <v>34</v>
      </c>
      <c r="C35" s="44"/>
      <c r="D35" s="45"/>
      <c r="E35" s="36"/>
      <c r="F35" s="50"/>
      <c r="G35" s="47"/>
      <c r="H35" s="48"/>
      <c r="I35" s="48"/>
      <c r="J35" s="60"/>
      <c r="K35" s="39"/>
      <c r="M35" s="44" t="s">
        <v>136</v>
      </c>
      <c r="N35" s="5"/>
    </row>
    <row r="36" spans="1:14" ht="15.75" x14ac:dyDescent="0.25">
      <c r="A36" s="183"/>
      <c r="B36" s="13" t="s">
        <v>35</v>
      </c>
      <c r="C36" s="14" t="s">
        <v>36</v>
      </c>
      <c r="D36" s="23">
        <v>12500</v>
      </c>
      <c r="E36" s="29">
        <v>12000</v>
      </c>
      <c r="F36" s="16">
        <v>10000</v>
      </c>
      <c r="G36" s="16">
        <v>12000</v>
      </c>
      <c r="H36" s="51" t="s">
        <v>100</v>
      </c>
      <c r="I36" s="27">
        <v>12000</v>
      </c>
      <c r="J36" s="56">
        <v>10000</v>
      </c>
      <c r="K36" s="22">
        <f t="shared" si="0"/>
        <v>11416.666666666666</v>
      </c>
      <c r="M36" s="13" t="s">
        <v>137</v>
      </c>
      <c r="N36" s="5"/>
    </row>
    <row r="37" spans="1:14" ht="15.75" x14ac:dyDescent="0.25">
      <c r="A37" s="184"/>
      <c r="B37" s="13" t="s">
        <v>37</v>
      </c>
      <c r="C37" s="14" t="s">
        <v>38</v>
      </c>
      <c r="D37" s="43" t="s">
        <v>100</v>
      </c>
      <c r="E37" s="29">
        <v>37900</v>
      </c>
      <c r="F37" s="30" t="s">
        <v>100</v>
      </c>
      <c r="G37" s="16">
        <v>42500</v>
      </c>
      <c r="H37" s="51" t="s">
        <v>100</v>
      </c>
      <c r="I37" s="27" t="s">
        <v>100</v>
      </c>
      <c r="J37" s="52" t="s">
        <v>100</v>
      </c>
      <c r="K37" s="22">
        <f t="shared" si="0"/>
        <v>40200</v>
      </c>
      <c r="M37" s="13" t="s">
        <v>139</v>
      </c>
      <c r="N37" s="5"/>
    </row>
    <row r="38" spans="1:14" ht="15.75" x14ac:dyDescent="0.25">
      <c r="A38" s="182">
        <v>9</v>
      </c>
      <c r="B38" s="32" t="s">
        <v>39</v>
      </c>
      <c r="C38" s="44"/>
      <c r="D38" s="45"/>
      <c r="E38" s="61"/>
      <c r="F38" s="47"/>
      <c r="G38" s="50"/>
      <c r="H38" s="48"/>
      <c r="I38" s="48"/>
      <c r="J38" s="49"/>
      <c r="K38" s="39"/>
      <c r="M38" s="32" t="s">
        <v>34</v>
      </c>
      <c r="N38" s="5"/>
    </row>
    <row r="39" spans="1:14" ht="15.75" x14ac:dyDescent="0.25">
      <c r="A39" s="183"/>
      <c r="B39" s="13" t="s">
        <v>40</v>
      </c>
      <c r="C39" s="14" t="s">
        <v>41</v>
      </c>
      <c r="D39" s="43" t="s">
        <v>100</v>
      </c>
      <c r="E39" s="29" t="s">
        <v>100</v>
      </c>
      <c r="F39" s="30" t="s">
        <v>100</v>
      </c>
      <c r="G39" s="21" t="s">
        <v>100</v>
      </c>
      <c r="H39" s="17">
        <v>17500</v>
      </c>
      <c r="I39" s="27">
        <v>21000</v>
      </c>
      <c r="J39" s="28">
        <v>17500</v>
      </c>
      <c r="K39" s="22">
        <f t="shared" si="0"/>
        <v>18666.666666666668</v>
      </c>
      <c r="M39" s="13" t="s">
        <v>35</v>
      </c>
      <c r="N39" s="5"/>
    </row>
    <row r="40" spans="1:14" ht="15.75" x14ac:dyDescent="0.25">
      <c r="A40" s="183"/>
      <c r="B40" s="13" t="s">
        <v>42</v>
      </c>
      <c r="C40" s="14" t="s">
        <v>43</v>
      </c>
      <c r="D40" s="43" t="s">
        <v>100</v>
      </c>
      <c r="E40" s="29" t="s">
        <v>100</v>
      </c>
      <c r="F40" s="30" t="s">
        <v>100</v>
      </c>
      <c r="G40" s="21" t="s">
        <v>100</v>
      </c>
      <c r="H40" s="17">
        <v>2000</v>
      </c>
      <c r="I40" s="27">
        <v>2000</v>
      </c>
      <c r="J40" s="28">
        <v>2000</v>
      </c>
      <c r="K40" s="22">
        <f t="shared" si="0"/>
        <v>2000</v>
      </c>
      <c r="M40" s="13" t="s">
        <v>37</v>
      </c>
      <c r="N40" s="5"/>
    </row>
    <row r="41" spans="1:14" ht="15.75" x14ac:dyDescent="0.25">
      <c r="A41" s="12">
        <v>10</v>
      </c>
      <c r="B41" s="62" t="s">
        <v>44</v>
      </c>
      <c r="C41" s="63"/>
      <c r="D41" s="64"/>
      <c r="E41" s="35"/>
      <c r="F41" s="35"/>
      <c r="G41" s="65"/>
      <c r="H41" s="66"/>
      <c r="I41" s="66"/>
      <c r="J41" s="67"/>
      <c r="K41" s="39"/>
      <c r="M41" s="32" t="s">
        <v>39</v>
      </c>
      <c r="N41" s="5"/>
    </row>
    <row r="42" spans="1:14" ht="15.75" x14ac:dyDescent="0.25">
      <c r="A42" s="12"/>
      <c r="B42" s="13" t="s">
        <v>45</v>
      </c>
      <c r="C42" s="68" t="s">
        <v>6</v>
      </c>
      <c r="D42" s="23">
        <v>11000</v>
      </c>
      <c r="E42" s="16">
        <v>8000</v>
      </c>
      <c r="F42" s="16">
        <v>9000</v>
      </c>
      <c r="G42" s="16" t="s">
        <v>100</v>
      </c>
      <c r="H42" s="17">
        <v>9000</v>
      </c>
      <c r="I42" s="55">
        <v>10000</v>
      </c>
      <c r="J42" s="42">
        <v>8000</v>
      </c>
      <c r="K42" s="22">
        <f t="shared" si="0"/>
        <v>9166.6666666666661</v>
      </c>
      <c r="M42" s="13" t="s">
        <v>40</v>
      </c>
      <c r="N42" s="5"/>
    </row>
    <row r="43" spans="1:14" ht="15.75" x14ac:dyDescent="0.25">
      <c r="A43" s="31"/>
      <c r="B43" s="13" t="s">
        <v>46</v>
      </c>
      <c r="C43" s="68" t="s">
        <v>6</v>
      </c>
      <c r="D43" s="23">
        <v>9000</v>
      </c>
      <c r="E43" s="16">
        <v>10000</v>
      </c>
      <c r="F43" s="69" t="s">
        <v>100</v>
      </c>
      <c r="G43" s="16">
        <v>12000</v>
      </c>
      <c r="H43" s="17">
        <v>6000</v>
      </c>
      <c r="I43" s="26" t="s">
        <v>100</v>
      </c>
      <c r="J43" s="42">
        <v>6000</v>
      </c>
      <c r="K43" s="22">
        <f t="shared" si="0"/>
        <v>8600</v>
      </c>
      <c r="M43" s="13" t="s">
        <v>42</v>
      </c>
      <c r="N43" s="5"/>
    </row>
    <row r="44" spans="1:14" ht="15.75" x14ac:dyDescent="0.25">
      <c r="A44" s="182">
        <v>11</v>
      </c>
      <c r="B44" s="32" t="s">
        <v>47</v>
      </c>
      <c r="C44" s="44"/>
      <c r="D44" s="45"/>
      <c r="E44" s="36"/>
      <c r="F44" s="50"/>
      <c r="G44" s="50"/>
      <c r="H44" s="48"/>
      <c r="I44" s="48"/>
      <c r="J44" s="60"/>
      <c r="K44" s="39"/>
      <c r="M44" s="62" t="s">
        <v>44</v>
      </c>
      <c r="N44" s="5"/>
    </row>
    <row r="45" spans="1:14" ht="15.75" x14ac:dyDescent="0.25">
      <c r="A45" s="184"/>
      <c r="B45" s="13" t="s">
        <v>48</v>
      </c>
      <c r="C45" s="14" t="s">
        <v>49</v>
      </c>
      <c r="D45" s="23">
        <v>3000</v>
      </c>
      <c r="E45" s="16">
        <v>8000</v>
      </c>
      <c r="F45" s="16">
        <v>2000</v>
      </c>
      <c r="G45" s="16">
        <v>4000</v>
      </c>
      <c r="H45" s="17">
        <v>2500</v>
      </c>
      <c r="I45" s="27">
        <v>4000</v>
      </c>
      <c r="J45" s="56" t="s">
        <v>100</v>
      </c>
      <c r="K45" s="22">
        <f t="shared" si="0"/>
        <v>3916.6666666666665</v>
      </c>
      <c r="M45" s="13" t="s">
        <v>45</v>
      </c>
      <c r="N45" s="5"/>
    </row>
    <row r="46" spans="1:14" ht="15.75" x14ac:dyDescent="0.25">
      <c r="A46" s="182">
        <v>12</v>
      </c>
      <c r="B46" s="32" t="s">
        <v>50</v>
      </c>
      <c r="C46" s="63"/>
      <c r="D46" s="70"/>
      <c r="E46" s="61"/>
      <c r="F46" s="71"/>
      <c r="G46" s="72"/>
      <c r="H46" s="73"/>
      <c r="I46" s="73"/>
      <c r="J46" s="74"/>
      <c r="K46" s="39"/>
      <c r="M46" s="13" t="s">
        <v>46</v>
      </c>
      <c r="N46" s="5"/>
    </row>
    <row r="47" spans="1:14" ht="15.75" x14ac:dyDescent="0.25">
      <c r="A47" s="184"/>
      <c r="B47" s="75" t="s">
        <v>51</v>
      </c>
      <c r="C47" s="68" t="s">
        <v>6</v>
      </c>
      <c r="D47" s="23">
        <v>10000</v>
      </c>
      <c r="E47" s="16">
        <v>10500</v>
      </c>
      <c r="F47" s="16">
        <v>12000</v>
      </c>
      <c r="G47" s="16">
        <v>12000</v>
      </c>
      <c r="H47" s="17">
        <v>11500</v>
      </c>
      <c r="I47" s="17">
        <v>11500</v>
      </c>
      <c r="J47" s="42">
        <v>7000</v>
      </c>
      <c r="K47" s="22">
        <f t="shared" si="0"/>
        <v>10642.857142857143</v>
      </c>
      <c r="M47" s="32" t="s">
        <v>47</v>
      </c>
      <c r="N47" s="5"/>
    </row>
    <row r="48" spans="1:14" ht="15.75" x14ac:dyDescent="0.25">
      <c r="A48" s="182">
        <v>13</v>
      </c>
      <c r="B48" s="32" t="s">
        <v>52</v>
      </c>
      <c r="C48" s="44"/>
      <c r="D48" s="45"/>
      <c r="E48" s="36"/>
      <c r="F48" s="50"/>
      <c r="G48" s="47"/>
      <c r="H48" s="48"/>
      <c r="I48" s="48"/>
      <c r="J48" s="60"/>
      <c r="K48" s="39"/>
      <c r="M48" s="13" t="s">
        <v>48</v>
      </c>
      <c r="N48" s="5"/>
    </row>
    <row r="49" spans="1:14" ht="15.75" x14ac:dyDescent="0.25">
      <c r="A49" s="183"/>
      <c r="B49" s="13" t="s">
        <v>53</v>
      </c>
      <c r="C49" s="14" t="s">
        <v>6</v>
      </c>
      <c r="D49" s="23">
        <v>15000</v>
      </c>
      <c r="E49" s="16">
        <v>16000</v>
      </c>
      <c r="F49" s="16">
        <v>17000</v>
      </c>
      <c r="G49" s="16">
        <v>18000</v>
      </c>
      <c r="H49" s="17">
        <v>12000</v>
      </c>
      <c r="I49" s="26">
        <v>17000</v>
      </c>
      <c r="J49" s="56" t="s">
        <v>100</v>
      </c>
      <c r="K49" s="22">
        <f t="shared" si="0"/>
        <v>15833.333333333334</v>
      </c>
      <c r="M49" s="32" t="s">
        <v>50</v>
      </c>
      <c r="N49" s="5"/>
    </row>
    <row r="50" spans="1:14" ht="15.75" x14ac:dyDescent="0.25">
      <c r="A50" s="183"/>
      <c r="B50" s="13" t="s">
        <v>54</v>
      </c>
      <c r="C50" s="14" t="s">
        <v>6</v>
      </c>
      <c r="D50" s="43">
        <v>12000</v>
      </c>
      <c r="E50" s="16">
        <v>14000</v>
      </c>
      <c r="F50" s="30" t="s">
        <v>100</v>
      </c>
      <c r="G50" s="76" t="s">
        <v>100</v>
      </c>
      <c r="H50" s="77" t="s">
        <v>100</v>
      </c>
      <c r="I50" s="55" t="s">
        <v>100</v>
      </c>
      <c r="J50" s="56">
        <v>13500</v>
      </c>
      <c r="K50" s="22">
        <f t="shared" si="0"/>
        <v>13166.666666666666</v>
      </c>
      <c r="M50" s="75" t="s">
        <v>51</v>
      </c>
      <c r="N50" s="5"/>
    </row>
    <row r="51" spans="1:14" ht="15.75" x14ac:dyDescent="0.25">
      <c r="A51" s="183"/>
      <c r="B51" s="13" t="s">
        <v>55</v>
      </c>
      <c r="C51" s="14" t="s">
        <v>6</v>
      </c>
      <c r="D51" s="23">
        <v>23000</v>
      </c>
      <c r="E51" s="16">
        <v>23000</v>
      </c>
      <c r="F51" s="16">
        <v>24000</v>
      </c>
      <c r="G51" s="16">
        <v>26000</v>
      </c>
      <c r="H51" s="17">
        <v>22000</v>
      </c>
      <c r="I51" s="17">
        <v>26000</v>
      </c>
      <c r="J51" s="56">
        <v>25000</v>
      </c>
      <c r="K51" s="22">
        <f t="shared" si="0"/>
        <v>24142.857142857141</v>
      </c>
      <c r="M51" s="32" t="s">
        <v>52</v>
      </c>
      <c r="N51" s="78"/>
    </row>
    <row r="52" spans="1:14" ht="15.75" x14ac:dyDescent="0.25">
      <c r="A52" s="184"/>
      <c r="B52" s="13" t="s">
        <v>56</v>
      </c>
      <c r="C52" s="14" t="s">
        <v>6</v>
      </c>
      <c r="D52" s="23">
        <v>26000</v>
      </c>
      <c r="E52" s="16">
        <v>30000</v>
      </c>
      <c r="F52" s="16">
        <v>29000</v>
      </c>
      <c r="G52" s="16">
        <v>30000</v>
      </c>
      <c r="H52" s="17">
        <v>26000</v>
      </c>
      <c r="I52" s="17">
        <v>29000</v>
      </c>
      <c r="J52" s="56">
        <v>28000</v>
      </c>
      <c r="K52" s="22">
        <f t="shared" si="0"/>
        <v>28285.714285714286</v>
      </c>
      <c r="M52" s="13" t="s">
        <v>53</v>
      </c>
      <c r="N52" s="5"/>
    </row>
    <row r="53" spans="1:14" ht="15.75" x14ac:dyDescent="0.25">
      <c r="A53" s="79">
        <v>14</v>
      </c>
      <c r="B53" s="32" t="s">
        <v>57</v>
      </c>
      <c r="C53" s="63"/>
      <c r="D53" s="80"/>
      <c r="E53" s="35"/>
      <c r="F53" s="65"/>
      <c r="G53" s="35"/>
      <c r="H53" s="66"/>
      <c r="I53" s="66"/>
      <c r="J53" s="81"/>
      <c r="K53" s="39"/>
      <c r="M53" s="13" t="s">
        <v>54</v>
      </c>
      <c r="N53" s="5"/>
    </row>
    <row r="54" spans="1:14" ht="15.75" x14ac:dyDescent="0.25">
      <c r="A54" s="82"/>
      <c r="B54" s="13" t="s">
        <v>58</v>
      </c>
      <c r="C54" s="68" t="s">
        <v>59</v>
      </c>
      <c r="D54" s="23">
        <v>3000</v>
      </c>
      <c r="E54" s="16">
        <v>3200</v>
      </c>
      <c r="F54" s="16">
        <v>3000</v>
      </c>
      <c r="G54" s="16">
        <v>3000</v>
      </c>
      <c r="H54" s="51" t="s">
        <v>100</v>
      </c>
      <c r="I54" s="27">
        <v>3500</v>
      </c>
      <c r="J54" s="42">
        <v>2500</v>
      </c>
      <c r="K54" s="22">
        <f t="shared" si="0"/>
        <v>3033.3333333333335</v>
      </c>
      <c r="M54" s="13" t="s">
        <v>55</v>
      </c>
      <c r="N54" s="5"/>
    </row>
    <row r="55" spans="1:14" ht="15.75" x14ac:dyDescent="0.25">
      <c r="A55" s="182">
        <v>15</v>
      </c>
      <c r="B55" s="32" t="s">
        <v>60</v>
      </c>
      <c r="C55" s="44"/>
      <c r="D55" s="45"/>
      <c r="E55" s="36"/>
      <c r="F55" s="50"/>
      <c r="G55" s="50"/>
      <c r="H55" s="48"/>
      <c r="I55" s="48"/>
      <c r="J55" s="60"/>
      <c r="K55" s="39"/>
      <c r="M55" s="13" t="s">
        <v>56</v>
      </c>
      <c r="N55" s="5"/>
    </row>
    <row r="56" spans="1:14" ht="15.75" x14ac:dyDescent="0.25">
      <c r="A56" s="183"/>
      <c r="B56" s="13" t="s">
        <v>61</v>
      </c>
      <c r="C56" s="14" t="s">
        <v>6</v>
      </c>
      <c r="D56" s="23">
        <v>37000</v>
      </c>
      <c r="E56" s="16">
        <v>40000</v>
      </c>
      <c r="F56" s="16">
        <v>37000</v>
      </c>
      <c r="G56" s="16">
        <v>40000</v>
      </c>
      <c r="H56" s="17">
        <v>35000</v>
      </c>
      <c r="I56" s="17">
        <v>40000</v>
      </c>
      <c r="J56" s="42">
        <v>35000</v>
      </c>
      <c r="K56" s="22">
        <f t="shared" si="0"/>
        <v>37714.285714285717</v>
      </c>
      <c r="M56" s="32" t="s">
        <v>57</v>
      </c>
      <c r="N56" s="5"/>
    </row>
    <row r="57" spans="1:14" ht="15.75" x14ac:dyDescent="0.25">
      <c r="A57" s="183"/>
      <c r="B57" s="13" t="s">
        <v>62</v>
      </c>
      <c r="C57" s="14" t="s">
        <v>6</v>
      </c>
      <c r="D57" s="43">
        <v>55000</v>
      </c>
      <c r="E57" s="16">
        <v>50000</v>
      </c>
      <c r="F57" s="16">
        <v>45000</v>
      </c>
      <c r="G57" s="16">
        <v>50000</v>
      </c>
      <c r="H57" s="77" t="s">
        <v>100</v>
      </c>
      <c r="I57" s="55" t="s">
        <v>100</v>
      </c>
      <c r="J57" s="56" t="s">
        <v>100</v>
      </c>
      <c r="K57" s="22">
        <f t="shared" si="0"/>
        <v>50000</v>
      </c>
      <c r="M57" s="13" t="s">
        <v>58</v>
      </c>
      <c r="N57" s="5"/>
    </row>
    <row r="58" spans="1:14" ht="15.75" x14ac:dyDescent="0.25">
      <c r="A58" s="184"/>
      <c r="B58" s="13" t="s">
        <v>63</v>
      </c>
      <c r="C58" s="14" t="s">
        <v>6</v>
      </c>
      <c r="D58" s="23">
        <v>55000</v>
      </c>
      <c r="E58" s="16">
        <v>60000</v>
      </c>
      <c r="F58" s="16">
        <v>55000</v>
      </c>
      <c r="G58" s="16">
        <v>60000</v>
      </c>
      <c r="H58" s="17">
        <v>65000</v>
      </c>
      <c r="I58" s="17">
        <v>60000</v>
      </c>
      <c r="J58" s="42">
        <v>60000</v>
      </c>
      <c r="K58" s="22">
        <f t="shared" si="0"/>
        <v>59285.714285714283</v>
      </c>
      <c r="M58" s="32" t="s">
        <v>60</v>
      </c>
      <c r="N58" s="5"/>
    </row>
    <row r="59" spans="1:14" ht="15.75" x14ac:dyDescent="0.25">
      <c r="A59" s="79">
        <v>16</v>
      </c>
      <c r="B59" s="32" t="s">
        <v>64</v>
      </c>
      <c r="C59" s="63"/>
      <c r="D59" s="83"/>
      <c r="E59" s="35"/>
      <c r="F59" s="65"/>
      <c r="G59" s="35"/>
      <c r="H59" s="66"/>
      <c r="I59" s="66"/>
      <c r="J59" s="67"/>
      <c r="K59" s="39"/>
      <c r="M59" s="13" t="s">
        <v>61</v>
      </c>
      <c r="N59" s="5"/>
    </row>
    <row r="60" spans="1:14" ht="15.75" x14ac:dyDescent="0.25">
      <c r="A60" s="82"/>
      <c r="B60" s="13" t="s">
        <v>65</v>
      </c>
      <c r="C60" s="14" t="s">
        <v>66</v>
      </c>
      <c r="D60" s="23">
        <v>19000</v>
      </c>
      <c r="E60" s="16">
        <v>18000</v>
      </c>
      <c r="F60" s="16">
        <v>18000</v>
      </c>
      <c r="G60" s="29">
        <v>18000</v>
      </c>
      <c r="H60" s="51" t="s">
        <v>100</v>
      </c>
      <c r="I60" s="26">
        <v>18000</v>
      </c>
      <c r="J60" s="28">
        <v>18000</v>
      </c>
      <c r="K60" s="22">
        <f t="shared" si="0"/>
        <v>18166.666666666668</v>
      </c>
      <c r="M60" s="13" t="s">
        <v>62</v>
      </c>
      <c r="N60" s="5"/>
    </row>
    <row r="61" spans="1:14" ht="15.75" x14ac:dyDescent="0.25">
      <c r="A61" s="182">
        <v>17</v>
      </c>
      <c r="B61" s="32" t="s">
        <v>67</v>
      </c>
      <c r="C61" s="32"/>
      <c r="D61" s="45"/>
      <c r="E61" s="36"/>
      <c r="F61" s="47"/>
      <c r="G61" s="47"/>
      <c r="H61" s="48"/>
      <c r="I61" s="48"/>
      <c r="J61" s="49"/>
      <c r="K61" s="39"/>
      <c r="M61" s="13" t="s">
        <v>63</v>
      </c>
      <c r="N61" s="5"/>
    </row>
    <row r="62" spans="1:14" ht="15.75" x14ac:dyDescent="0.25">
      <c r="A62" s="183"/>
      <c r="B62" s="13" t="s">
        <v>68</v>
      </c>
      <c r="C62" s="14" t="s">
        <v>6</v>
      </c>
      <c r="D62" s="23">
        <v>28000</v>
      </c>
      <c r="E62" s="16">
        <v>32000</v>
      </c>
      <c r="F62" s="16">
        <v>30000</v>
      </c>
      <c r="G62" s="16">
        <v>30000</v>
      </c>
      <c r="H62" s="17">
        <v>28000</v>
      </c>
      <c r="I62" s="17">
        <v>30000</v>
      </c>
      <c r="J62" s="42">
        <v>30000</v>
      </c>
      <c r="K62" s="22">
        <f t="shared" si="0"/>
        <v>29714.285714285714</v>
      </c>
      <c r="M62" s="32" t="s">
        <v>64</v>
      </c>
      <c r="N62" s="5"/>
    </row>
    <row r="63" spans="1:14" ht="15.75" x14ac:dyDescent="0.25">
      <c r="A63" s="183"/>
      <c r="B63" s="13" t="s">
        <v>69</v>
      </c>
      <c r="C63" s="14" t="s">
        <v>6</v>
      </c>
      <c r="D63" s="43">
        <v>26000</v>
      </c>
      <c r="E63" s="16">
        <v>28000</v>
      </c>
      <c r="F63" s="16">
        <v>28000</v>
      </c>
      <c r="G63" s="16">
        <v>25000</v>
      </c>
      <c r="H63" s="17">
        <v>25000</v>
      </c>
      <c r="I63" s="17">
        <v>25000</v>
      </c>
      <c r="J63" s="42">
        <v>25000</v>
      </c>
      <c r="K63" s="22">
        <f t="shared" si="0"/>
        <v>26000</v>
      </c>
      <c r="M63" s="13" t="s">
        <v>65</v>
      </c>
      <c r="N63" s="5"/>
    </row>
    <row r="64" spans="1:14" ht="15.75" x14ac:dyDescent="0.25">
      <c r="A64" s="183"/>
      <c r="B64" s="13" t="s">
        <v>70</v>
      </c>
      <c r="C64" s="14" t="s">
        <v>6</v>
      </c>
      <c r="D64" s="23">
        <v>26000</v>
      </c>
      <c r="E64" s="16">
        <v>35000</v>
      </c>
      <c r="F64" s="16">
        <v>30000</v>
      </c>
      <c r="G64" s="16">
        <v>36000</v>
      </c>
      <c r="H64" s="17">
        <v>25000</v>
      </c>
      <c r="I64" s="17">
        <v>32000</v>
      </c>
      <c r="J64" s="42">
        <v>28000</v>
      </c>
      <c r="K64" s="22">
        <f t="shared" si="0"/>
        <v>30285.714285714286</v>
      </c>
      <c r="M64" s="32" t="s">
        <v>67</v>
      </c>
      <c r="N64" s="5"/>
    </row>
    <row r="65" spans="1:14" ht="15.75" x14ac:dyDescent="0.25">
      <c r="A65" s="184"/>
      <c r="B65" s="13" t="s">
        <v>71</v>
      </c>
      <c r="C65" s="14" t="s">
        <v>6</v>
      </c>
      <c r="D65" s="23">
        <v>18000</v>
      </c>
      <c r="E65" s="29">
        <v>22000</v>
      </c>
      <c r="F65" s="58">
        <v>20000</v>
      </c>
      <c r="G65" s="21">
        <v>25000</v>
      </c>
      <c r="H65" s="17">
        <v>20000</v>
      </c>
      <c r="I65" s="26">
        <v>23000</v>
      </c>
      <c r="J65" s="56">
        <v>22000</v>
      </c>
      <c r="K65" s="22">
        <f t="shared" si="0"/>
        <v>21428.571428571428</v>
      </c>
      <c r="M65" s="13" t="s">
        <v>68</v>
      </c>
      <c r="N65" s="5"/>
    </row>
    <row r="66" spans="1:14" ht="15.75" x14ac:dyDescent="0.25">
      <c r="A66" s="79">
        <v>18</v>
      </c>
      <c r="B66" s="32" t="s">
        <v>72</v>
      </c>
      <c r="C66" s="84"/>
      <c r="D66" s="83"/>
      <c r="E66" s="30"/>
      <c r="F66" s="35"/>
      <c r="G66" s="85"/>
      <c r="H66" s="66"/>
      <c r="I66" s="66"/>
      <c r="J66" s="81"/>
      <c r="K66" s="39"/>
      <c r="M66" s="13" t="s">
        <v>69</v>
      </c>
      <c r="N66" s="5"/>
    </row>
    <row r="67" spans="1:14" ht="15.75" x14ac:dyDescent="0.25">
      <c r="A67" s="86"/>
      <c r="B67" s="13" t="s">
        <v>73</v>
      </c>
      <c r="C67" s="68" t="s">
        <v>6</v>
      </c>
      <c r="D67" s="23">
        <v>6000</v>
      </c>
      <c r="E67" s="29">
        <v>7000</v>
      </c>
      <c r="F67" s="16">
        <v>5000</v>
      </c>
      <c r="G67" s="16">
        <v>6000</v>
      </c>
      <c r="H67" s="17">
        <v>4000</v>
      </c>
      <c r="I67" s="17">
        <v>6000</v>
      </c>
      <c r="J67" s="56">
        <v>5000</v>
      </c>
      <c r="K67" s="22">
        <f t="shared" si="0"/>
        <v>5571.4285714285716</v>
      </c>
      <c r="M67" s="13" t="s">
        <v>70</v>
      </c>
      <c r="N67" s="5"/>
    </row>
    <row r="68" spans="1:14" ht="15.75" x14ac:dyDescent="0.25">
      <c r="A68" s="82"/>
      <c r="B68" s="13" t="s">
        <v>74</v>
      </c>
      <c r="C68" s="68" t="s">
        <v>6</v>
      </c>
      <c r="D68" s="43" t="s">
        <v>100</v>
      </c>
      <c r="E68" s="29" t="s">
        <v>100</v>
      </c>
      <c r="F68" s="58">
        <v>5000</v>
      </c>
      <c r="G68" s="21">
        <v>6000</v>
      </c>
      <c r="H68" s="17">
        <v>5000</v>
      </c>
      <c r="I68" s="26">
        <v>6000</v>
      </c>
      <c r="J68" s="28">
        <v>6000</v>
      </c>
      <c r="K68" s="22">
        <f t="shared" si="0"/>
        <v>5600</v>
      </c>
      <c r="M68" s="13" t="s">
        <v>71</v>
      </c>
      <c r="N68" s="5"/>
    </row>
    <row r="69" spans="1:14" ht="15.75" x14ac:dyDescent="0.25">
      <c r="A69" s="79">
        <v>19</v>
      </c>
      <c r="B69" s="32" t="s">
        <v>75</v>
      </c>
      <c r="C69" s="84"/>
      <c r="D69" s="64"/>
      <c r="E69" s="35"/>
      <c r="F69" s="35"/>
      <c r="G69" s="65"/>
      <c r="H69" s="66"/>
      <c r="I69" s="66"/>
      <c r="J69" s="67"/>
      <c r="K69" s="39"/>
      <c r="M69" s="32" t="s">
        <v>72</v>
      </c>
      <c r="N69" s="5"/>
    </row>
    <row r="70" spans="1:14" ht="15.75" x14ac:dyDescent="0.25">
      <c r="A70" s="86"/>
      <c r="B70" s="13" t="s">
        <v>76</v>
      </c>
      <c r="C70" s="68" t="s">
        <v>6</v>
      </c>
      <c r="D70" s="23">
        <v>7000</v>
      </c>
      <c r="E70" s="16">
        <v>10000</v>
      </c>
      <c r="F70" s="16">
        <v>9000</v>
      </c>
      <c r="G70" s="16">
        <v>9000</v>
      </c>
      <c r="H70" s="17">
        <v>9000</v>
      </c>
      <c r="I70" s="27">
        <v>10000</v>
      </c>
      <c r="J70" s="42">
        <v>9000</v>
      </c>
      <c r="K70" s="22">
        <f t="shared" si="0"/>
        <v>9000</v>
      </c>
      <c r="M70" s="13" t="s">
        <v>73</v>
      </c>
      <c r="N70" s="5"/>
    </row>
    <row r="71" spans="1:14" ht="15.75" x14ac:dyDescent="0.25">
      <c r="A71" s="86"/>
      <c r="B71" s="13" t="s">
        <v>77</v>
      </c>
      <c r="C71" s="68" t="s">
        <v>6</v>
      </c>
      <c r="D71" s="23">
        <v>10000</v>
      </c>
      <c r="E71" s="16">
        <v>12000</v>
      </c>
      <c r="F71" s="16">
        <v>12000</v>
      </c>
      <c r="G71" s="16">
        <v>12000</v>
      </c>
      <c r="H71" s="17">
        <v>10000</v>
      </c>
      <c r="I71" s="27">
        <v>12000</v>
      </c>
      <c r="J71" s="42">
        <v>15000</v>
      </c>
      <c r="K71" s="22">
        <f t="shared" si="0"/>
        <v>11857.142857142857</v>
      </c>
      <c r="M71" s="13" t="s">
        <v>74</v>
      </c>
      <c r="N71" s="5"/>
    </row>
    <row r="72" spans="1:14" ht="15.75" x14ac:dyDescent="0.25">
      <c r="A72" s="86"/>
      <c r="B72" s="13" t="s">
        <v>78</v>
      </c>
      <c r="C72" s="68" t="s">
        <v>6</v>
      </c>
      <c r="D72" s="23">
        <v>14000</v>
      </c>
      <c r="E72" s="16">
        <v>15000</v>
      </c>
      <c r="F72" s="16">
        <v>17000</v>
      </c>
      <c r="G72" s="16">
        <v>15000</v>
      </c>
      <c r="H72" s="17">
        <v>15000</v>
      </c>
      <c r="I72" s="17">
        <v>16000</v>
      </c>
      <c r="J72" s="42">
        <v>15000</v>
      </c>
      <c r="K72" s="22">
        <f t="shared" si="0"/>
        <v>15285.714285714286</v>
      </c>
      <c r="M72" s="32" t="s">
        <v>75</v>
      </c>
      <c r="N72" s="5"/>
    </row>
    <row r="73" spans="1:14" ht="15.75" x14ac:dyDescent="0.25">
      <c r="A73" s="86"/>
      <c r="B73" s="13" t="s">
        <v>79</v>
      </c>
      <c r="C73" s="68" t="s">
        <v>6</v>
      </c>
      <c r="D73" s="23">
        <v>10000</v>
      </c>
      <c r="E73" s="16">
        <v>8000</v>
      </c>
      <c r="F73" s="16">
        <v>17000</v>
      </c>
      <c r="G73" s="16">
        <v>17000</v>
      </c>
      <c r="H73" s="17">
        <v>6000</v>
      </c>
      <c r="I73" s="55">
        <v>10000</v>
      </c>
      <c r="J73" s="42">
        <v>6000</v>
      </c>
      <c r="K73" s="22">
        <f t="shared" ref="K73:K80" si="1">AVERAGE(D73:J73)</f>
        <v>10571.428571428571</v>
      </c>
      <c r="M73" s="13" t="s">
        <v>76</v>
      </c>
      <c r="N73" s="5"/>
    </row>
    <row r="74" spans="1:14" ht="15.75" x14ac:dyDescent="0.25">
      <c r="A74" s="86"/>
      <c r="B74" s="13" t="s">
        <v>80</v>
      </c>
      <c r="C74" s="68" t="s">
        <v>6</v>
      </c>
      <c r="D74" s="23">
        <v>8000</v>
      </c>
      <c r="E74" s="16">
        <v>10000</v>
      </c>
      <c r="F74" s="16">
        <v>12000</v>
      </c>
      <c r="G74" s="16">
        <v>13000</v>
      </c>
      <c r="H74" s="17">
        <v>10000</v>
      </c>
      <c r="I74" s="17">
        <v>12000</v>
      </c>
      <c r="J74" s="42">
        <v>8000</v>
      </c>
      <c r="K74" s="22">
        <f t="shared" si="1"/>
        <v>10428.571428571429</v>
      </c>
      <c r="M74" s="13" t="s">
        <v>77</v>
      </c>
      <c r="N74" s="5"/>
    </row>
    <row r="75" spans="1:14" ht="15.75" x14ac:dyDescent="0.25">
      <c r="A75" s="86"/>
      <c r="B75" s="13" t="s">
        <v>81</v>
      </c>
      <c r="C75" s="68" t="s">
        <v>6</v>
      </c>
      <c r="D75" s="43" t="s">
        <v>100</v>
      </c>
      <c r="E75" s="29">
        <v>10000</v>
      </c>
      <c r="F75" s="30" t="s">
        <v>100</v>
      </c>
      <c r="G75" s="21" t="s">
        <v>100</v>
      </c>
      <c r="H75" s="87">
        <v>9000</v>
      </c>
      <c r="I75" s="88">
        <v>10000</v>
      </c>
      <c r="J75" s="89">
        <v>8000</v>
      </c>
      <c r="K75" s="22">
        <f t="shared" si="1"/>
        <v>9250</v>
      </c>
      <c r="M75" s="13" t="s">
        <v>78</v>
      </c>
      <c r="N75" s="5"/>
    </row>
    <row r="76" spans="1:14" ht="15.75" x14ac:dyDescent="0.25">
      <c r="A76" s="86"/>
      <c r="B76" s="13" t="s">
        <v>82</v>
      </c>
      <c r="C76" s="68" t="s">
        <v>83</v>
      </c>
      <c r="D76" s="43" t="s">
        <v>100</v>
      </c>
      <c r="E76" s="29" t="s">
        <v>100</v>
      </c>
      <c r="F76" s="16">
        <v>2000</v>
      </c>
      <c r="G76" s="21">
        <v>2000</v>
      </c>
      <c r="H76" s="17">
        <v>1500</v>
      </c>
      <c r="I76" s="26">
        <v>2000</v>
      </c>
      <c r="J76" s="28">
        <v>1500</v>
      </c>
      <c r="K76" s="22">
        <f t="shared" si="1"/>
        <v>1800</v>
      </c>
      <c r="M76" s="13" t="s">
        <v>79</v>
      </c>
      <c r="N76" s="5"/>
    </row>
    <row r="77" spans="1:14" ht="15.75" x14ac:dyDescent="0.25">
      <c r="A77" s="86"/>
      <c r="B77" s="13" t="s">
        <v>84</v>
      </c>
      <c r="C77" s="68" t="s">
        <v>83</v>
      </c>
      <c r="D77" s="43" t="s">
        <v>100</v>
      </c>
      <c r="E77" s="29" t="s">
        <v>100</v>
      </c>
      <c r="F77" s="16">
        <v>1500</v>
      </c>
      <c r="G77" s="21">
        <v>2000</v>
      </c>
      <c r="H77" s="17">
        <v>1500</v>
      </c>
      <c r="I77" s="26">
        <v>1500</v>
      </c>
      <c r="J77" s="28">
        <v>1000</v>
      </c>
      <c r="K77" s="22">
        <f t="shared" si="1"/>
        <v>1500</v>
      </c>
      <c r="M77" s="13" t="s">
        <v>80</v>
      </c>
      <c r="N77" s="5"/>
    </row>
    <row r="78" spans="1:14" ht="15.75" x14ac:dyDescent="0.25">
      <c r="A78" s="82"/>
      <c r="B78" s="13" t="s">
        <v>85</v>
      </c>
      <c r="C78" s="68" t="s">
        <v>83</v>
      </c>
      <c r="D78" s="43" t="s">
        <v>100</v>
      </c>
      <c r="E78" s="29" t="s">
        <v>100</v>
      </c>
      <c r="F78" s="16">
        <v>2000</v>
      </c>
      <c r="G78" s="21">
        <v>2000</v>
      </c>
      <c r="H78" s="17">
        <v>2000</v>
      </c>
      <c r="I78" s="26">
        <v>2000</v>
      </c>
      <c r="J78" s="28">
        <v>2000</v>
      </c>
      <c r="K78" s="22">
        <f t="shared" si="1"/>
        <v>2000</v>
      </c>
      <c r="M78" s="13" t="s">
        <v>81</v>
      </c>
      <c r="N78" s="5"/>
    </row>
    <row r="79" spans="1:14" ht="15.75" x14ac:dyDescent="0.25">
      <c r="A79" s="79">
        <v>20</v>
      </c>
      <c r="B79" s="32" t="s">
        <v>86</v>
      </c>
      <c r="C79" s="84"/>
      <c r="D79" s="90"/>
      <c r="E79" s="30"/>
      <c r="F79" s="35" t="s">
        <v>104</v>
      </c>
      <c r="G79" s="65"/>
      <c r="H79" s="66"/>
      <c r="I79" s="66"/>
      <c r="J79" s="67"/>
      <c r="K79" s="39"/>
      <c r="M79" s="13" t="s">
        <v>82</v>
      </c>
      <c r="N79" s="5"/>
    </row>
    <row r="80" spans="1:14" ht="15.75" x14ac:dyDescent="0.25">
      <c r="A80" s="82"/>
      <c r="B80" s="13" t="s">
        <v>87</v>
      </c>
      <c r="C80" s="68" t="s">
        <v>88</v>
      </c>
      <c r="D80" s="43">
        <v>18000</v>
      </c>
      <c r="E80" s="29" t="s">
        <v>100</v>
      </c>
      <c r="F80" s="91" t="s">
        <v>100</v>
      </c>
      <c r="G80" s="21">
        <v>17000</v>
      </c>
      <c r="H80" s="51" t="s">
        <v>100</v>
      </c>
      <c r="I80" s="27">
        <v>19000</v>
      </c>
      <c r="J80" s="28">
        <v>18000</v>
      </c>
      <c r="K80" s="22">
        <f t="shared" si="1"/>
        <v>18000</v>
      </c>
      <c r="M80" s="13" t="s">
        <v>84</v>
      </c>
      <c r="N80" s="5"/>
    </row>
    <row r="81" spans="1:14" ht="15.75" x14ac:dyDescent="0.25">
      <c r="E81" s="4"/>
      <c r="J81" s="2"/>
      <c r="M81" s="13" t="s">
        <v>85</v>
      </c>
      <c r="N81" s="5"/>
    </row>
    <row r="82" spans="1:14" ht="15.75" x14ac:dyDescent="0.25">
      <c r="B82" s="92"/>
      <c r="J82" s="2"/>
      <c r="M82" s="32" t="s">
        <v>86</v>
      </c>
      <c r="N82" s="5"/>
    </row>
    <row r="83" spans="1:14" ht="15.75" x14ac:dyDescent="0.25">
      <c r="J83" s="2"/>
      <c r="M83" s="13" t="s">
        <v>87</v>
      </c>
      <c r="N83" s="5"/>
    </row>
    <row r="84" spans="1:14" ht="15.75" x14ac:dyDescent="0.25">
      <c r="A84" s="5"/>
      <c r="B84" s="5"/>
      <c r="C84" s="5"/>
      <c r="D84" s="78"/>
      <c r="E84" s="5"/>
      <c r="F84" s="5"/>
      <c r="G84" s="5"/>
      <c r="H84" s="5"/>
      <c r="I84" s="5"/>
      <c r="J84" s="40"/>
      <c r="K84" s="5"/>
      <c r="L84" s="5"/>
      <c r="M84" s="5"/>
      <c r="N84" s="5"/>
    </row>
  </sheetData>
  <mergeCells count="28">
    <mergeCell ref="A61:A65"/>
    <mergeCell ref="A25:A31"/>
    <mergeCell ref="A32:A34"/>
    <mergeCell ref="A35:A37"/>
    <mergeCell ref="A38:A40"/>
    <mergeCell ref="A44:A45"/>
    <mergeCell ref="A46:A47"/>
    <mergeCell ref="A48:A52"/>
    <mergeCell ref="A55:A58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  <mergeCell ref="A18:A19"/>
    <mergeCell ref="J4:J6"/>
    <mergeCell ref="H4:H6"/>
    <mergeCell ref="A20:A24"/>
    <mergeCell ref="A7:A11"/>
    <mergeCell ref="A12:A14"/>
    <mergeCell ref="A15:A16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6BBC-068A-4C2E-ADF8-90679D367E6B}">
  <dimension ref="A1:N87"/>
  <sheetViews>
    <sheetView workbookViewId="0">
      <selection activeCell="B7" sqref="B7:B83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135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208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209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210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13000</v>
      </c>
      <c r="E8" s="95">
        <v>12500</v>
      </c>
      <c r="F8" s="95">
        <v>14500</v>
      </c>
      <c r="G8" s="29">
        <v>12800</v>
      </c>
      <c r="H8" s="42">
        <v>14000</v>
      </c>
      <c r="I8" s="42">
        <v>13500</v>
      </c>
      <c r="J8" s="94">
        <v>13000</v>
      </c>
      <c r="K8" s="19">
        <f>AVERAGE(D8:J8)</f>
        <v>13328.571428571429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5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>
        <v>3</v>
      </c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3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15500</v>
      </c>
      <c r="K16" s="22">
        <f t="shared" si="0"/>
        <v>15142.857142857143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32000</v>
      </c>
      <c r="G24" s="16">
        <v>30000</v>
      </c>
      <c r="H24" s="42">
        <v>30000</v>
      </c>
      <c r="I24" s="17">
        <v>30000</v>
      </c>
      <c r="J24" s="42">
        <v>30000</v>
      </c>
      <c r="K24" s="22">
        <f t="shared" si="0"/>
        <v>30285.714285714286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40000</v>
      </c>
      <c r="E26" s="16">
        <v>40000</v>
      </c>
      <c r="F26" s="29" t="s">
        <v>100</v>
      </c>
      <c r="G26" s="16">
        <v>40000</v>
      </c>
      <c r="H26" s="17">
        <v>30000</v>
      </c>
      <c r="I26" s="26">
        <v>38000</v>
      </c>
      <c r="J26" s="42">
        <v>35000</v>
      </c>
      <c r="K26" s="22">
        <f t="shared" si="0"/>
        <v>37166.666666666664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75000</v>
      </c>
      <c r="J28" s="28">
        <v>60000</v>
      </c>
      <c r="K28" s="22">
        <f t="shared" si="0"/>
        <v>66333.333333333328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38000</v>
      </c>
      <c r="K30" s="22">
        <f t="shared" si="0"/>
        <v>37714.285714285717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26000</v>
      </c>
      <c r="F33" s="16">
        <v>27000</v>
      </c>
      <c r="G33" s="16">
        <v>27000</v>
      </c>
      <c r="H33" s="17">
        <v>25000</v>
      </c>
      <c r="I33" s="17">
        <v>26000</v>
      </c>
      <c r="J33" s="42">
        <v>26000</v>
      </c>
      <c r="K33" s="22">
        <f t="shared" si="0"/>
        <v>26142.857142857141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2">
        <v>8</v>
      </c>
      <c r="B35" s="44" t="s">
        <v>136</v>
      </c>
      <c r="C35" s="63"/>
      <c r="D35" s="23"/>
      <c r="E35" s="16"/>
      <c r="F35" s="59"/>
      <c r="G35" s="16"/>
      <c r="H35" s="17"/>
      <c r="I35" s="17"/>
      <c r="J35" s="42"/>
      <c r="K35" s="39"/>
      <c r="M35" s="5"/>
      <c r="N35" s="5"/>
    </row>
    <row r="36" spans="1:14" ht="15.75" x14ac:dyDescent="0.25">
      <c r="A36" s="12"/>
      <c r="B36" s="13" t="s">
        <v>137</v>
      </c>
      <c r="C36" s="14" t="s">
        <v>138</v>
      </c>
      <c r="D36" s="23">
        <v>1000</v>
      </c>
      <c r="E36" s="16">
        <v>3500</v>
      </c>
      <c r="F36" s="59">
        <v>2500</v>
      </c>
      <c r="G36" s="16">
        <v>3000</v>
      </c>
      <c r="H36" s="17">
        <v>4000</v>
      </c>
      <c r="I36" s="17">
        <v>3000</v>
      </c>
      <c r="J36" s="42">
        <v>3000</v>
      </c>
      <c r="K36" s="22">
        <f t="shared" si="0"/>
        <v>2857.1428571428573</v>
      </c>
      <c r="M36" s="5"/>
      <c r="N36" s="5"/>
    </row>
    <row r="37" spans="1:14" ht="15.75" x14ac:dyDescent="0.25">
      <c r="A37" s="12"/>
      <c r="B37" s="13" t="s">
        <v>139</v>
      </c>
      <c r="C37" s="14" t="s">
        <v>138</v>
      </c>
      <c r="D37" s="23">
        <v>2500</v>
      </c>
      <c r="E37" s="16">
        <v>4000</v>
      </c>
      <c r="F37" s="59">
        <v>3000</v>
      </c>
      <c r="G37" s="16">
        <v>3000</v>
      </c>
      <c r="H37" s="17">
        <v>2500</v>
      </c>
      <c r="I37" s="17">
        <v>2500</v>
      </c>
      <c r="J37" s="42">
        <v>3500</v>
      </c>
      <c r="K37" s="22">
        <f t="shared" si="0"/>
        <v>3000</v>
      </c>
      <c r="M37" s="5"/>
      <c r="N37" s="5"/>
    </row>
    <row r="38" spans="1:14" ht="15.75" x14ac:dyDescent="0.25">
      <c r="A38" s="182">
        <v>9</v>
      </c>
      <c r="B38" s="32" t="s">
        <v>34</v>
      </c>
      <c r="C38" s="44"/>
      <c r="D38" s="45"/>
      <c r="E38" s="36"/>
      <c r="F38" s="50"/>
      <c r="G38" s="47"/>
      <c r="H38" s="48"/>
      <c r="I38" s="48"/>
      <c r="J38" s="60"/>
      <c r="K38" s="39"/>
      <c r="M38" s="5"/>
      <c r="N38" s="5"/>
    </row>
    <row r="39" spans="1:14" ht="15.75" x14ac:dyDescent="0.25">
      <c r="A39" s="183"/>
      <c r="B39" s="13" t="s">
        <v>35</v>
      </c>
      <c r="C39" s="14" t="s">
        <v>36</v>
      </c>
      <c r="D39" s="23">
        <v>12500</v>
      </c>
      <c r="E39" s="29">
        <v>12000</v>
      </c>
      <c r="F39" s="16">
        <v>10000</v>
      </c>
      <c r="G39" s="16">
        <v>12000</v>
      </c>
      <c r="H39" s="51" t="s">
        <v>100</v>
      </c>
      <c r="I39" s="27">
        <v>12000</v>
      </c>
      <c r="J39" s="56">
        <v>10000</v>
      </c>
      <c r="K39" s="22">
        <f t="shared" si="0"/>
        <v>11416.666666666666</v>
      </c>
      <c r="M39" s="5"/>
      <c r="N39" s="5"/>
    </row>
    <row r="40" spans="1:14" ht="15.75" x14ac:dyDescent="0.25">
      <c r="A40" s="184"/>
      <c r="B40" s="13" t="s">
        <v>37</v>
      </c>
      <c r="C40" s="14" t="s">
        <v>38</v>
      </c>
      <c r="D40" s="43" t="s">
        <v>100</v>
      </c>
      <c r="E40" s="29">
        <v>37900</v>
      </c>
      <c r="F40" s="30" t="s">
        <v>100</v>
      </c>
      <c r="G40" s="16">
        <v>42500</v>
      </c>
      <c r="H40" s="51" t="s">
        <v>100</v>
      </c>
      <c r="I40" s="27" t="s">
        <v>100</v>
      </c>
      <c r="J40" s="52" t="s">
        <v>100</v>
      </c>
      <c r="K40" s="22">
        <f t="shared" si="0"/>
        <v>40200</v>
      </c>
      <c r="M40" s="5"/>
      <c r="N40" s="5"/>
    </row>
    <row r="41" spans="1:14" ht="15.75" x14ac:dyDescent="0.25">
      <c r="A41" s="182">
        <v>10</v>
      </c>
      <c r="B41" s="32" t="s">
        <v>39</v>
      </c>
      <c r="C41" s="44"/>
      <c r="D41" s="45"/>
      <c r="E41" s="61"/>
      <c r="F41" s="47"/>
      <c r="G41" s="50"/>
      <c r="H41" s="48"/>
      <c r="I41" s="48"/>
      <c r="J41" s="49"/>
      <c r="K41" s="39"/>
      <c r="M41" s="5"/>
      <c r="N41" s="5"/>
    </row>
    <row r="42" spans="1:14" ht="15.75" x14ac:dyDescent="0.25">
      <c r="A42" s="183"/>
      <c r="B42" s="13" t="s">
        <v>40</v>
      </c>
      <c r="C42" s="14" t="s">
        <v>41</v>
      </c>
      <c r="D42" s="43" t="s">
        <v>100</v>
      </c>
      <c r="E42" s="29" t="s">
        <v>100</v>
      </c>
      <c r="F42" s="30" t="s">
        <v>100</v>
      </c>
      <c r="G42" s="21" t="s">
        <v>100</v>
      </c>
      <c r="H42" s="17">
        <v>17500</v>
      </c>
      <c r="I42" s="27">
        <v>21000</v>
      </c>
      <c r="J42" s="28">
        <v>17500</v>
      </c>
      <c r="K42" s="22">
        <f t="shared" si="0"/>
        <v>18666.666666666668</v>
      </c>
      <c r="M42" s="5"/>
      <c r="N42" s="5"/>
    </row>
    <row r="43" spans="1:14" ht="15.75" x14ac:dyDescent="0.25">
      <c r="A43" s="183"/>
      <c r="B43" s="13" t="s">
        <v>42</v>
      </c>
      <c r="C43" s="14" t="s">
        <v>43</v>
      </c>
      <c r="D43" s="43" t="s">
        <v>100</v>
      </c>
      <c r="E43" s="29" t="s">
        <v>100</v>
      </c>
      <c r="F43" s="30" t="s">
        <v>100</v>
      </c>
      <c r="G43" s="21" t="s">
        <v>100</v>
      </c>
      <c r="H43" s="17">
        <v>2000</v>
      </c>
      <c r="I43" s="27">
        <v>2000</v>
      </c>
      <c r="J43" s="28">
        <v>2000</v>
      </c>
      <c r="K43" s="22">
        <f t="shared" si="0"/>
        <v>2000</v>
      </c>
      <c r="M43" s="5"/>
      <c r="N43" s="5"/>
    </row>
    <row r="44" spans="1:14" ht="15.75" x14ac:dyDescent="0.25">
      <c r="A44" s="12">
        <v>11</v>
      </c>
      <c r="B44" s="62" t="s">
        <v>44</v>
      </c>
      <c r="C44" s="63"/>
      <c r="D44" s="64"/>
      <c r="E44" s="35"/>
      <c r="F44" s="35"/>
      <c r="G44" s="65"/>
      <c r="H44" s="66"/>
      <c r="I44" s="66"/>
      <c r="J44" s="67"/>
      <c r="K44" s="39"/>
      <c r="M44" s="5"/>
      <c r="N44" s="5"/>
    </row>
    <row r="45" spans="1:14" ht="15.75" x14ac:dyDescent="0.25">
      <c r="A45" s="12"/>
      <c r="B45" s="13" t="s">
        <v>45</v>
      </c>
      <c r="C45" s="68" t="s">
        <v>6</v>
      </c>
      <c r="D45" s="23">
        <v>11000</v>
      </c>
      <c r="E45" s="16">
        <v>8000</v>
      </c>
      <c r="F45" s="16">
        <v>9000</v>
      </c>
      <c r="G45" s="16" t="s">
        <v>100</v>
      </c>
      <c r="H45" s="17">
        <v>9000</v>
      </c>
      <c r="I45" s="55">
        <v>10000</v>
      </c>
      <c r="J45" s="42">
        <v>8000</v>
      </c>
      <c r="K45" s="22">
        <f t="shared" si="0"/>
        <v>9166.6666666666661</v>
      </c>
      <c r="M45" s="5"/>
      <c r="N45" s="5"/>
    </row>
    <row r="46" spans="1:14" ht="15.75" x14ac:dyDescent="0.25">
      <c r="A46" s="31"/>
      <c r="B46" s="13" t="s">
        <v>46</v>
      </c>
      <c r="C46" s="68" t="s">
        <v>6</v>
      </c>
      <c r="D46" s="23">
        <v>9000</v>
      </c>
      <c r="E46" s="16">
        <v>10000</v>
      </c>
      <c r="F46" s="69" t="s">
        <v>100</v>
      </c>
      <c r="G46" s="16">
        <v>12000</v>
      </c>
      <c r="H46" s="17">
        <v>6000</v>
      </c>
      <c r="I46" s="26" t="s">
        <v>100</v>
      </c>
      <c r="J46" s="42">
        <v>6000</v>
      </c>
      <c r="K46" s="22">
        <f t="shared" si="0"/>
        <v>8600</v>
      </c>
      <c r="M46" s="5"/>
      <c r="N46" s="5"/>
    </row>
    <row r="47" spans="1:14" ht="15.75" x14ac:dyDescent="0.25">
      <c r="A47" s="182">
        <v>12</v>
      </c>
      <c r="B47" s="32" t="s">
        <v>47</v>
      </c>
      <c r="C47" s="44"/>
      <c r="D47" s="45"/>
      <c r="E47" s="36"/>
      <c r="F47" s="50"/>
      <c r="G47" s="50"/>
      <c r="H47" s="48"/>
      <c r="I47" s="48"/>
      <c r="J47" s="60"/>
      <c r="K47" s="39"/>
      <c r="M47" s="5"/>
      <c r="N47" s="5"/>
    </row>
    <row r="48" spans="1:14" ht="15.75" x14ac:dyDescent="0.25">
      <c r="A48" s="184"/>
      <c r="B48" s="13" t="s">
        <v>48</v>
      </c>
      <c r="C48" s="14" t="s">
        <v>49</v>
      </c>
      <c r="D48" s="23">
        <v>3000</v>
      </c>
      <c r="E48" s="16">
        <v>8000</v>
      </c>
      <c r="F48" s="16">
        <v>2000</v>
      </c>
      <c r="G48" s="16">
        <v>4000</v>
      </c>
      <c r="H48" s="17">
        <v>2500</v>
      </c>
      <c r="I48" s="27">
        <v>4000</v>
      </c>
      <c r="J48" s="56" t="s">
        <v>100</v>
      </c>
      <c r="K48" s="22">
        <f t="shared" si="0"/>
        <v>3916.6666666666665</v>
      </c>
      <c r="M48" s="5"/>
      <c r="N48" s="5"/>
    </row>
    <row r="49" spans="1:14" ht="15.75" x14ac:dyDescent="0.25">
      <c r="A49" s="182">
        <v>13</v>
      </c>
      <c r="B49" s="32" t="s">
        <v>50</v>
      </c>
      <c r="C49" s="63"/>
      <c r="D49" s="70"/>
      <c r="E49" s="61"/>
      <c r="F49" s="71"/>
      <c r="G49" s="72"/>
      <c r="H49" s="73"/>
      <c r="I49" s="73"/>
      <c r="J49" s="74"/>
      <c r="K49" s="39"/>
      <c r="M49" s="5"/>
      <c r="N49" s="5"/>
    </row>
    <row r="50" spans="1:14" ht="15.75" x14ac:dyDescent="0.25">
      <c r="A50" s="184"/>
      <c r="B50" s="75" t="s">
        <v>51</v>
      </c>
      <c r="C50" s="68" t="s">
        <v>6</v>
      </c>
      <c r="D50" s="23">
        <v>10000</v>
      </c>
      <c r="E50" s="16">
        <v>10500</v>
      </c>
      <c r="F50" s="16">
        <v>12000</v>
      </c>
      <c r="G50" s="16">
        <v>12000</v>
      </c>
      <c r="H50" s="17">
        <v>11500</v>
      </c>
      <c r="I50" s="17">
        <v>11500</v>
      </c>
      <c r="J50" s="42">
        <v>7000</v>
      </c>
      <c r="K50" s="22">
        <f t="shared" si="0"/>
        <v>10642.857142857143</v>
      </c>
      <c r="M50" s="5"/>
      <c r="N50" s="5"/>
    </row>
    <row r="51" spans="1:14" ht="15.75" x14ac:dyDescent="0.25">
      <c r="A51" s="182">
        <v>14</v>
      </c>
      <c r="B51" s="32" t="s">
        <v>52</v>
      </c>
      <c r="C51" s="44"/>
      <c r="D51" s="45"/>
      <c r="E51" s="36"/>
      <c r="F51" s="50"/>
      <c r="G51" s="47"/>
      <c r="H51" s="48"/>
      <c r="I51" s="48"/>
      <c r="J51" s="60"/>
      <c r="K51" s="39"/>
      <c r="M51" s="5"/>
      <c r="N51" s="5"/>
    </row>
    <row r="52" spans="1:14" ht="15.75" x14ac:dyDescent="0.25">
      <c r="A52" s="183"/>
      <c r="B52" s="13" t="s">
        <v>53</v>
      </c>
      <c r="C52" s="14" t="s">
        <v>6</v>
      </c>
      <c r="D52" s="23">
        <v>15000</v>
      </c>
      <c r="E52" s="16">
        <v>16000</v>
      </c>
      <c r="F52" s="16">
        <v>17000</v>
      </c>
      <c r="G52" s="16">
        <v>18000</v>
      </c>
      <c r="H52" s="17">
        <v>14000</v>
      </c>
      <c r="I52" s="26">
        <v>17000</v>
      </c>
      <c r="J52" s="56" t="s">
        <v>100</v>
      </c>
      <c r="K52" s="22">
        <f t="shared" si="0"/>
        <v>16166.666666666666</v>
      </c>
      <c r="M52" s="5"/>
      <c r="N52" s="5"/>
    </row>
    <row r="53" spans="1:14" ht="15.75" x14ac:dyDescent="0.25">
      <c r="A53" s="183"/>
      <c r="B53" s="13" t="s">
        <v>54</v>
      </c>
      <c r="C53" s="14" t="s">
        <v>6</v>
      </c>
      <c r="D53" s="43">
        <v>12000</v>
      </c>
      <c r="E53" s="16">
        <v>14000</v>
      </c>
      <c r="F53" s="30" t="s">
        <v>100</v>
      </c>
      <c r="G53" s="76" t="s">
        <v>100</v>
      </c>
      <c r="H53" s="77" t="s">
        <v>100</v>
      </c>
      <c r="I53" s="55" t="s">
        <v>100</v>
      </c>
      <c r="J53" s="56">
        <v>13500</v>
      </c>
      <c r="K53" s="22">
        <f t="shared" si="0"/>
        <v>13166.666666666666</v>
      </c>
      <c r="M53" s="5" t="s">
        <v>103</v>
      </c>
      <c r="N53" s="5"/>
    </row>
    <row r="54" spans="1:14" ht="15.75" x14ac:dyDescent="0.25">
      <c r="A54" s="183"/>
      <c r="B54" s="13" t="s">
        <v>55</v>
      </c>
      <c r="C54" s="14" t="s">
        <v>6</v>
      </c>
      <c r="D54" s="23">
        <v>23000</v>
      </c>
      <c r="E54" s="16">
        <v>23000</v>
      </c>
      <c r="F54" s="16">
        <v>24000</v>
      </c>
      <c r="G54" s="16">
        <v>26000</v>
      </c>
      <c r="H54" s="17">
        <v>22000</v>
      </c>
      <c r="I54" s="17">
        <v>26000</v>
      </c>
      <c r="J54" s="56">
        <v>26000</v>
      </c>
      <c r="K54" s="22">
        <f t="shared" si="0"/>
        <v>24285.714285714286</v>
      </c>
      <c r="M54" s="5"/>
      <c r="N54" s="78"/>
    </row>
    <row r="55" spans="1:14" ht="15.75" x14ac:dyDescent="0.25">
      <c r="A55" s="184"/>
      <c r="B55" s="13" t="s">
        <v>56</v>
      </c>
      <c r="C55" s="14" t="s">
        <v>6</v>
      </c>
      <c r="D55" s="23">
        <v>26000</v>
      </c>
      <c r="E55" s="16">
        <v>30000</v>
      </c>
      <c r="F55" s="16">
        <v>29000</v>
      </c>
      <c r="G55" s="16">
        <v>30000</v>
      </c>
      <c r="H55" s="17">
        <v>26000</v>
      </c>
      <c r="I55" s="17">
        <v>29000</v>
      </c>
      <c r="J55" s="56">
        <v>28000</v>
      </c>
      <c r="K55" s="22">
        <f t="shared" si="0"/>
        <v>28285.714285714286</v>
      </c>
      <c r="M55" s="5"/>
      <c r="N55" s="5"/>
    </row>
    <row r="56" spans="1:14" ht="15.75" x14ac:dyDescent="0.25">
      <c r="A56" s="79">
        <v>15</v>
      </c>
      <c r="B56" s="32" t="s">
        <v>57</v>
      </c>
      <c r="C56" s="63"/>
      <c r="D56" s="80"/>
      <c r="E56" s="35"/>
      <c r="F56" s="65"/>
      <c r="G56" s="35"/>
      <c r="H56" s="66"/>
      <c r="I56" s="66"/>
      <c r="J56" s="81"/>
      <c r="K56" s="39"/>
      <c r="M56" s="5"/>
      <c r="N56" s="5"/>
    </row>
    <row r="57" spans="1:14" ht="15.75" x14ac:dyDescent="0.25">
      <c r="A57" s="82"/>
      <c r="B57" s="13" t="s">
        <v>58</v>
      </c>
      <c r="C57" s="68" t="s">
        <v>59</v>
      </c>
      <c r="D57" s="23">
        <v>3000</v>
      </c>
      <c r="E57" s="16">
        <v>3200</v>
      </c>
      <c r="F57" s="16">
        <v>3000</v>
      </c>
      <c r="G57" s="16">
        <v>3000</v>
      </c>
      <c r="H57" s="51" t="s">
        <v>100</v>
      </c>
      <c r="I57" s="27">
        <v>3500</v>
      </c>
      <c r="J57" s="42">
        <v>3500</v>
      </c>
      <c r="K57" s="22">
        <f t="shared" si="0"/>
        <v>3200</v>
      </c>
      <c r="M57" s="5"/>
      <c r="N57" s="5"/>
    </row>
    <row r="58" spans="1:14" ht="15.75" x14ac:dyDescent="0.25">
      <c r="A58" s="182">
        <v>16</v>
      </c>
      <c r="B58" s="32" t="s">
        <v>60</v>
      </c>
      <c r="C58" s="44"/>
      <c r="D58" s="45"/>
      <c r="E58" s="36"/>
      <c r="F58" s="50"/>
      <c r="G58" s="50"/>
      <c r="H58" s="48"/>
      <c r="I58" s="48"/>
      <c r="J58" s="60"/>
      <c r="K58" s="39"/>
      <c r="M58" s="5"/>
      <c r="N58" s="5"/>
    </row>
    <row r="59" spans="1:14" ht="15.75" x14ac:dyDescent="0.25">
      <c r="A59" s="183"/>
      <c r="B59" s="13" t="s">
        <v>61</v>
      </c>
      <c r="C59" s="14" t="s">
        <v>6</v>
      </c>
      <c r="D59" s="23">
        <v>37000</v>
      </c>
      <c r="E59" s="16">
        <v>40000</v>
      </c>
      <c r="F59" s="16">
        <v>40000</v>
      </c>
      <c r="G59" s="16">
        <v>40000</v>
      </c>
      <c r="H59" s="17">
        <v>35000</v>
      </c>
      <c r="I59" s="17">
        <v>40000</v>
      </c>
      <c r="J59" s="42">
        <v>35000</v>
      </c>
      <c r="K59" s="22">
        <f t="shared" si="0"/>
        <v>38142.857142857145</v>
      </c>
      <c r="M59" s="5"/>
      <c r="N59" s="5"/>
    </row>
    <row r="60" spans="1:14" ht="15.75" x14ac:dyDescent="0.25">
      <c r="A60" s="183"/>
      <c r="B60" s="13" t="s">
        <v>62</v>
      </c>
      <c r="C60" s="14" t="s">
        <v>6</v>
      </c>
      <c r="D60" s="43">
        <v>55000</v>
      </c>
      <c r="E60" s="16">
        <v>50000</v>
      </c>
      <c r="F60" s="16">
        <v>45000</v>
      </c>
      <c r="G60" s="16">
        <v>50000</v>
      </c>
      <c r="H60" s="77" t="s">
        <v>100</v>
      </c>
      <c r="I60" s="55" t="s">
        <v>100</v>
      </c>
      <c r="J60" s="56" t="s">
        <v>100</v>
      </c>
      <c r="K60" s="22">
        <f t="shared" si="0"/>
        <v>50000</v>
      </c>
      <c r="M60" s="5"/>
      <c r="N60" s="5"/>
    </row>
    <row r="61" spans="1:14" ht="15.75" x14ac:dyDescent="0.25">
      <c r="A61" s="184"/>
      <c r="B61" s="13" t="s">
        <v>63</v>
      </c>
      <c r="C61" s="14" t="s">
        <v>6</v>
      </c>
      <c r="D61" s="23">
        <v>55000</v>
      </c>
      <c r="E61" s="16">
        <v>70000</v>
      </c>
      <c r="F61" s="16">
        <v>60000</v>
      </c>
      <c r="G61" s="16">
        <v>65000</v>
      </c>
      <c r="H61" s="17">
        <v>60000</v>
      </c>
      <c r="I61" s="17">
        <v>60000</v>
      </c>
      <c r="J61" s="42">
        <v>60000</v>
      </c>
      <c r="K61" s="22">
        <f t="shared" si="0"/>
        <v>61428.571428571428</v>
      </c>
      <c r="M61" s="5"/>
      <c r="N61" s="5"/>
    </row>
    <row r="62" spans="1:14" ht="15.75" x14ac:dyDescent="0.25">
      <c r="A62" s="79">
        <v>17</v>
      </c>
      <c r="B62" s="32" t="s">
        <v>64</v>
      </c>
      <c r="C62" s="63"/>
      <c r="D62" s="83"/>
      <c r="E62" s="35"/>
      <c r="F62" s="65"/>
      <c r="G62" s="35"/>
      <c r="H62" s="66"/>
      <c r="I62" s="66"/>
      <c r="J62" s="67"/>
      <c r="K62" s="39"/>
      <c r="M62" s="5"/>
      <c r="N62" s="5"/>
    </row>
    <row r="63" spans="1:14" ht="15.75" x14ac:dyDescent="0.25">
      <c r="A63" s="82"/>
      <c r="B63" s="13" t="s">
        <v>65</v>
      </c>
      <c r="C63" s="14" t="s">
        <v>66</v>
      </c>
      <c r="D63" s="23">
        <v>19000</v>
      </c>
      <c r="E63" s="16">
        <v>18000</v>
      </c>
      <c r="F63" s="16">
        <v>18000</v>
      </c>
      <c r="G63" s="29">
        <v>18000</v>
      </c>
      <c r="H63" s="51" t="s">
        <v>100</v>
      </c>
      <c r="I63" s="26">
        <v>18000</v>
      </c>
      <c r="J63" s="28">
        <v>18000</v>
      </c>
      <c r="K63" s="22">
        <f t="shared" si="0"/>
        <v>18166.666666666668</v>
      </c>
      <c r="M63" s="5"/>
      <c r="N63" s="5"/>
    </row>
    <row r="64" spans="1:14" ht="15.75" x14ac:dyDescent="0.25">
      <c r="A64" s="182">
        <v>18</v>
      </c>
      <c r="B64" s="32" t="s">
        <v>67</v>
      </c>
      <c r="C64" s="32"/>
      <c r="D64" s="45"/>
      <c r="E64" s="36"/>
      <c r="F64" s="47"/>
      <c r="G64" s="47"/>
      <c r="H64" s="48"/>
      <c r="I64" s="48"/>
      <c r="J64" s="49"/>
      <c r="K64" s="39"/>
      <c r="M64" s="5"/>
      <c r="N64" s="5"/>
    </row>
    <row r="65" spans="1:14" ht="15.75" x14ac:dyDescent="0.25">
      <c r="A65" s="183"/>
      <c r="B65" s="13" t="s">
        <v>68</v>
      </c>
      <c r="C65" s="14" t="s">
        <v>6</v>
      </c>
      <c r="D65" s="23">
        <v>28000</v>
      </c>
      <c r="E65" s="16">
        <v>32000</v>
      </c>
      <c r="F65" s="16">
        <v>32000</v>
      </c>
      <c r="G65" s="16">
        <v>30000</v>
      </c>
      <c r="H65" s="17">
        <v>30000</v>
      </c>
      <c r="I65" s="17">
        <v>30000</v>
      </c>
      <c r="J65" s="42">
        <v>30000</v>
      </c>
      <c r="K65" s="22">
        <f t="shared" si="0"/>
        <v>30285.714285714286</v>
      </c>
      <c r="M65" s="5"/>
      <c r="N65" s="5"/>
    </row>
    <row r="66" spans="1:14" ht="15.75" x14ac:dyDescent="0.25">
      <c r="A66" s="183"/>
      <c r="B66" s="13" t="s">
        <v>69</v>
      </c>
      <c r="C66" s="14" t="s">
        <v>6</v>
      </c>
      <c r="D66" s="43">
        <v>26000</v>
      </c>
      <c r="E66" s="16">
        <v>28000</v>
      </c>
      <c r="F66" s="16">
        <v>30000</v>
      </c>
      <c r="G66" s="16">
        <v>25000</v>
      </c>
      <c r="H66" s="17">
        <v>25000</v>
      </c>
      <c r="I66" s="17">
        <v>25000</v>
      </c>
      <c r="J66" s="42">
        <v>25000</v>
      </c>
      <c r="K66" s="22">
        <f t="shared" si="0"/>
        <v>26285.714285714286</v>
      </c>
      <c r="M66" s="5"/>
      <c r="N66" s="5"/>
    </row>
    <row r="67" spans="1:14" ht="15.75" x14ac:dyDescent="0.25">
      <c r="A67" s="183"/>
      <c r="B67" s="13" t="s">
        <v>70</v>
      </c>
      <c r="C67" s="14" t="s">
        <v>6</v>
      </c>
      <c r="D67" s="23">
        <v>26000</v>
      </c>
      <c r="E67" s="16">
        <v>35000</v>
      </c>
      <c r="F67" s="16">
        <v>32000</v>
      </c>
      <c r="G67" s="16">
        <v>36000</v>
      </c>
      <c r="H67" s="17">
        <v>22000</v>
      </c>
      <c r="I67" s="17">
        <v>32000</v>
      </c>
      <c r="J67" s="42">
        <v>28000</v>
      </c>
      <c r="K67" s="22">
        <f t="shared" si="0"/>
        <v>30142.857142857141</v>
      </c>
      <c r="M67" s="5"/>
      <c r="N67" s="5"/>
    </row>
    <row r="68" spans="1:14" ht="15.75" x14ac:dyDescent="0.25">
      <c r="A68" s="184"/>
      <c r="B68" s="13" t="s">
        <v>71</v>
      </c>
      <c r="C68" s="14" t="s">
        <v>6</v>
      </c>
      <c r="D68" s="23">
        <v>18000</v>
      </c>
      <c r="E68" s="29">
        <v>22000</v>
      </c>
      <c r="F68" s="58">
        <v>20000</v>
      </c>
      <c r="G68" s="21">
        <v>25000</v>
      </c>
      <c r="H68" s="17">
        <v>20000</v>
      </c>
      <c r="I68" s="26">
        <v>23000</v>
      </c>
      <c r="J68" s="56">
        <v>22000</v>
      </c>
      <c r="K68" s="22">
        <f t="shared" si="0"/>
        <v>21428.571428571428</v>
      </c>
      <c r="M68" s="5"/>
      <c r="N68" s="5"/>
    </row>
    <row r="69" spans="1:14" ht="15.75" x14ac:dyDescent="0.25">
      <c r="A69" s="79">
        <v>19</v>
      </c>
      <c r="B69" s="32" t="s">
        <v>72</v>
      </c>
      <c r="C69" s="84"/>
      <c r="D69" s="83"/>
      <c r="E69" s="30"/>
      <c r="F69" s="35"/>
      <c r="G69" s="85"/>
      <c r="H69" s="66"/>
      <c r="I69" s="66"/>
      <c r="J69" s="81"/>
      <c r="K69" s="39"/>
      <c r="M69" s="5"/>
      <c r="N69" s="5"/>
    </row>
    <row r="70" spans="1:14" ht="15.75" x14ac:dyDescent="0.25">
      <c r="A70" s="86"/>
      <c r="B70" s="13" t="s">
        <v>73</v>
      </c>
      <c r="C70" s="68" t="s">
        <v>6</v>
      </c>
      <c r="D70" s="23">
        <v>6000</v>
      </c>
      <c r="E70" s="29">
        <v>7000</v>
      </c>
      <c r="F70" s="16">
        <v>5000</v>
      </c>
      <c r="G70" s="16">
        <v>6000</v>
      </c>
      <c r="H70" s="17">
        <v>4000</v>
      </c>
      <c r="I70" s="17">
        <v>6000</v>
      </c>
      <c r="J70" s="56">
        <v>5000</v>
      </c>
      <c r="K70" s="22">
        <f t="shared" si="0"/>
        <v>5571.4285714285716</v>
      </c>
      <c r="M70" s="5"/>
      <c r="N70" s="5"/>
    </row>
    <row r="71" spans="1:14" ht="15.75" x14ac:dyDescent="0.25">
      <c r="A71" s="82"/>
      <c r="B71" s="13" t="s">
        <v>74</v>
      </c>
      <c r="C71" s="68" t="s">
        <v>6</v>
      </c>
      <c r="D71" s="43" t="s">
        <v>100</v>
      </c>
      <c r="E71" s="29" t="s">
        <v>100</v>
      </c>
      <c r="F71" s="58">
        <v>5000</v>
      </c>
      <c r="G71" s="21">
        <v>6000</v>
      </c>
      <c r="H71" s="17">
        <v>5000</v>
      </c>
      <c r="I71" s="26">
        <v>6000</v>
      </c>
      <c r="J71" s="28">
        <v>6000</v>
      </c>
      <c r="K71" s="22">
        <f t="shared" si="0"/>
        <v>5600</v>
      </c>
      <c r="M71" s="5"/>
      <c r="N71" s="5"/>
    </row>
    <row r="72" spans="1:14" ht="15.75" x14ac:dyDescent="0.25">
      <c r="A72" s="79">
        <v>20</v>
      </c>
      <c r="B72" s="32" t="s">
        <v>75</v>
      </c>
      <c r="C72" s="84"/>
      <c r="D72" s="64"/>
      <c r="E72" s="35"/>
      <c r="F72" s="35"/>
      <c r="G72" s="65"/>
      <c r="H72" s="66"/>
      <c r="I72" s="66"/>
      <c r="J72" s="67"/>
      <c r="K72" s="39"/>
      <c r="M72" s="5"/>
      <c r="N72" s="5"/>
    </row>
    <row r="73" spans="1:14" ht="15.75" x14ac:dyDescent="0.25">
      <c r="A73" s="86"/>
      <c r="B73" s="13" t="s">
        <v>76</v>
      </c>
      <c r="C73" s="68" t="s">
        <v>6</v>
      </c>
      <c r="D73" s="23">
        <v>7000</v>
      </c>
      <c r="E73" s="16">
        <v>10000</v>
      </c>
      <c r="F73" s="16">
        <v>9000</v>
      </c>
      <c r="G73" s="16">
        <v>9000</v>
      </c>
      <c r="H73" s="17">
        <v>9000</v>
      </c>
      <c r="I73" s="27">
        <v>10000</v>
      </c>
      <c r="J73" s="42">
        <v>9000</v>
      </c>
      <c r="K73" s="22">
        <f t="shared" si="0"/>
        <v>9000</v>
      </c>
      <c r="M73" s="5"/>
      <c r="N73" s="5"/>
    </row>
    <row r="74" spans="1:14" ht="15.75" x14ac:dyDescent="0.25">
      <c r="A74" s="86"/>
      <c r="B74" s="13" t="s">
        <v>77</v>
      </c>
      <c r="C74" s="68" t="s">
        <v>6</v>
      </c>
      <c r="D74" s="23">
        <v>10000</v>
      </c>
      <c r="E74" s="16">
        <v>12000</v>
      </c>
      <c r="F74" s="16">
        <v>12000</v>
      </c>
      <c r="G74" s="16">
        <v>12000</v>
      </c>
      <c r="H74" s="17">
        <v>10000</v>
      </c>
      <c r="I74" s="27">
        <v>12000</v>
      </c>
      <c r="J74" s="42">
        <v>15000</v>
      </c>
      <c r="K74" s="22">
        <f t="shared" si="0"/>
        <v>11857.142857142857</v>
      </c>
      <c r="M74" s="5"/>
      <c r="N74" s="5"/>
    </row>
    <row r="75" spans="1:14" ht="15.75" x14ac:dyDescent="0.25">
      <c r="A75" s="86"/>
      <c r="B75" s="13" t="s">
        <v>78</v>
      </c>
      <c r="C75" s="68" t="s">
        <v>6</v>
      </c>
      <c r="D75" s="23">
        <v>14000</v>
      </c>
      <c r="E75" s="16">
        <v>15000</v>
      </c>
      <c r="F75" s="16">
        <v>17000</v>
      </c>
      <c r="G75" s="16">
        <v>15000</v>
      </c>
      <c r="H75" s="17">
        <v>15000</v>
      </c>
      <c r="I75" s="17">
        <v>16000</v>
      </c>
      <c r="J75" s="42">
        <v>15000</v>
      </c>
      <c r="K75" s="22">
        <f t="shared" si="0"/>
        <v>15285.714285714286</v>
      </c>
      <c r="M75" s="5"/>
      <c r="N75" s="5"/>
    </row>
    <row r="76" spans="1:14" ht="15.75" x14ac:dyDescent="0.25">
      <c r="A76" s="86"/>
      <c r="B76" s="13" t="s">
        <v>79</v>
      </c>
      <c r="C76" s="68" t="s">
        <v>6</v>
      </c>
      <c r="D76" s="23">
        <v>10000</v>
      </c>
      <c r="E76" s="16">
        <v>8000</v>
      </c>
      <c r="F76" s="16">
        <v>16000</v>
      </c>
      <c r="G76" s="16">
        <v>17000</v>
      </c>
      <c r="H76" s="17">
        <v>5000</v>
      </c>
      <c r="I76" s="55">
        <v>10000</v>
      </c>
      <c r="J76" s="42">
        <v>6000</v>
      </c>
      <c r="K76" s="22">
        <f t="shared" ref="K76:K83" si="1">AVERAGE(D76:J76)</f>
        <v>10285.714285714286</v>
      </c>
      <c r="M76" s="5"/>
      <c r="N76" s="5"/>
    </row>
    <row r="77" spans="1:14" ht="15.75" x14ac:dyDescent="0.25">
      <c r="A77" s="86"/>
      <c r="B77" s="13" t="s">
        <v>80</v>
      </c>
      <c r="C77" s="68" t="s">
        <v>6</v>
      </c>
      <c r="D77" s="23">
        <v>8000</v>
      </c>
      <c r="E77" s="16">
        <v>10000</v>
      </c>
      <c r="F77" s="16">
        <v>12000</v>
      </c>
      <c r="G77" s="16">
        <v>13000</v>
      </c>
      <c r="H77" s="17">
        <v>10000</v>
      </c>
      <c r="I77" s="17">
        <v>12000</v>
      </c>
      <c r="J77" s="42">
        <v>8000</v>
      </c>
      <c r="K77" s="22">
        <f t="shared" si="1"/>
        <v>10428.571428571429</v>
      </c>
      <c r="M77" s="5"/>
      <c r="N77" s="5"/>
    </row>
    <row r="78" spans="1:14" ht="15.75" x14ac:dyDescent="0.25">
      <c r="A78" s="86"/>
      <c r="B78" s="13" t="s">
        <v>81</v>
      </c>
      <c r="C78" s="68" t="s">
        <v>6</v>
      </c>
      <c r="D78" s="43" t="s">
        <v>100</v>
      </c>
      <c r="E78" s="29">
        <v>10000</v>
      </c>
      <c r="F78" s="30" t="s">
        <v>100</v>
      </c>
      <c r="G78" s="21" t="s">
        <v>100</v>
      </c>
      <c r="H78" s="87">
        <v>9000</v>
      </c>
      <c r="I78" s="88">
        <v>10000</v>
      </c>
      <c r="J78" s="89">
        <v>8000</v>
      </c>
      <c r="K78" s="22">
        <f t="shared" si="1"/>
        <v>9250</v>
      </c>
      <c r="M78" s="5"/>
      <c r="N78" s="5"/>
    </row>
    <row r="79" spans="1:14" ht="15.75" x14ac:dyDescent="0.25">
      <c r="A79" s="86"/>
      <c r="B79" s="13" t="s">
        <v>82</v>
      </c>
      <c r="C79" s="68" t="s">
        <v>83</v>
      </c>
      <c r="D79" s="43" t="s">
        <v>100</v>
      </c>
      <c r="E79" s="29" t="s">
        <v>100</v>
      </c>
      <c r="F79" s="16">
        <v>2000</v>
      </c>
      <c r="G79" s="21">
        <v>2000</v>
      </c>
      <c r="H79" s="17">
        <v>1500</v>
      </c>
      <c r="I79" s="26">
        <v>2000</v>
      </c>
      <c r="J79" s="28">
        <v>1500</v>
      </c>
      <c r="K79" s="22">
        <f t="shared" si="1"/>
        <v>1800</v>
      </c>
      <c r="M79" s="5"/>
      <c r="N79" s="5"/>
    </row>
    <row r="80" spans="1:14" ht="15.75" x14ac:dyDescent="0.25">
      <c r="A80" s="86"/>
      <c r="B80" s="13" t="s">
        <v>84</v>
      </c>
      <c r="C80" s="68" t="s">
        <v>83</v>
      </c>
      <c r="D80" s="43" t="s">
        <v>100</v>
      </c>
      <c r="E80" s="29" t="s">
        <v>100</v>
      </c>
      <c r="F80" s="16">
        <v>1500</v>
      </c>
      <c r="G80" s="21">
        <v>2000</v>
      </c>
      <c r="H80" s="17">
        <v>1500</v>
      </c>
      <c r="I80" s="26">
        <v>1500</v>
      </c>
      <c r="J80" s="28">
        <v>1000</v>
      </c>
      <c r="K80" s="22">
        <f t="shared" si="1"/>
        <v>1500</v>
      </c>
      <c r="M80" s="5"/>
      <c r="N80" s="5"/>
    </row>
    <row r="81" spans="1:14" ht="15.75" x14ac:dyDescent="0.25">
      <c r="A81" s="82"/>
      <c r="B81" s="13" t="s">
        <v>85</v>
      </c>
      <c r="C81" s="68" t="s">
        <v>83</v>
      </c>
      <c r="D81" s="43" t="s">
        <v>100</v>
      </c>
      <c r="E81" s="29" t="s">
        <v>100</v>
      </c>
      <c r="F81" s="16">
        <v>2000</v>
      </c>
      <c r="G81" s="21">
        <v>2000</v>
      </c>
      <c r="H81" s="17">
        <v>2000</v>
      </c>
      <c r="I81" s="26">
        <v>2000</v>
      </c>
      <c r="J81" s="28">
        <v>2000</v>
      </c>
      <c r="K81" s="22">
        <f t="shared" si="1"/>
        <v>2000</v>
      </c>
      <c r="M81" s="5"/>
      <c r="N81" s="5"/>
    </row>
    <row r="82" spans="1:14" ht="15.75" x14ac:dyDescent="0.25">
      <c r="A82" s="79">
        <v>21</v>
      </c>
      <c r="B82" s="32" t="s">
        <v>86</v>
      </c>
      <c r="C82" s="84"/>
      <c r="D82" s="90"/>
      <c r="E82" s="30"/>
      <c r="F82" s="35" t="s">
        <v>104</v>
      </c>
      <c r="G82" s="65"/>
      <c r="H82" s="66"/>
      <c r="I82" s="66"/>
      <c r="J82" s="67"/>
      <c r="K82" s="39"/>
      <c r="M82" s="5"/>
      <c r="N82" s="5"/>
    </row>
    <row r="83" spans="1:14" ht="15.75" x14ac:dyDescent="0.25">
      <c r="A83" s="82"/>
      <c r="B83" s="13" t="s">
        <v>87</v>
      </c>
      <c r="C83" s="68" t="s">
        <v>88</v>
      </c>
      <c r="D83" s="43">
        <v>18000</v>
      </c>
      <c r="E83" s="29" t="s">
        <v>100</v>
      </c>
      <c r="F83" s="91" t="s">
        <v>100</v>
      </c>
      <c r="G83" s="21">
        <v>17000</v>
      </c>
      <c r="H83" s="51" t="s">
        <v>100</v>
      </c>
      <c r="I83" s="27">
        <v>19000</v>
      </c>
      <c r="J83" s="28">
        <v>18000</v>
      </c>
      <c r="K83" s="22">
        <f t="shared" si="1"/>
        <v>18000</v>
      </c>
      <c r="M83" s="5"/>
      <c r="N83" s="5"/>
    </row>
    <row r="84" spans="1:14" ht="15.75" x14ac:dyDescent="0.25">
      <c r="E84" s="4"/>
      <c r="J84" s="2"/>
      <c r="M84" s="5"/>
      <c r="N84" s="5"/>
    </row>
    <row r="85" spans="1:14" ht="15.75" x14ac:dyDescent="0.25">
      <c r="B85" s="92"/>
      <c r="J85" s="2"/>
      <c r="M85" s="5"/>
      <c r="N85" s="5"/>
    </row>
    <row r="86" spans="1:14" ht="15.75" x14ac:dyDescent="0.25">
      <c r="J86" s="2"/>
      <c r="M86" s="5"/>
      <c r="N86" s="5"/>
    </row>
    <row r="87" spans="1:14" ht="15.75" x14ac:dyDescent="0.25">
      <c r="A87" s="5"/>
      <c r="B87" s="5"/>
      <c r="C87" s="5"/>
      <c r="D87" s="78"/>
      <c r="E87" s="5"/>
      <c r="F87" s="5"/>
      <c r="G87" s="5"/>
      <c r="H87" s="5"/>
      <c r="I87" s="5"/>
      <c r="J87" s="40"/>
      <c r="K87" s="5"/>
      <c r="L87" s="5"/>
      <c r="M87" s="5"/>
      <c r="N87" s="5"/>
    </row>
  </sheetData>
  <mergeCells count="28">
    <mergeCell ref="A64:A68"/>
    <mergeCell ref="A49:A50"/>
    <mergeCell ref="A51:A55"/>
    <mergeCell ref="A58:A61"/>
    <mergeCell ref="A25:A31"/>
    <mergeCell ref="A32:A34"/>
    <mergeCell ref="A38:A40"/>
    <mergeCell ref="A7:A11"/>
    <mergeCell ref="A12:A14"/>
    <mergeCell ref="A15:A16"/>
    <mergeCell ref="A41:A43"/>
    <mergeCell ref="A47:A48"/>
    <mergeCell ref="J4:J6"/>
    <mergeCell ref="H4:H6"/>
    <mergeCell ref="A20:A24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  <mergeCell ref="A18:A19"/>
  </mergeCells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6B58-B040-400A-9A24-012A43C64B65}">
  <dimension ref="A1:N87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140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208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209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210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13000</v>
      </c>
      <c r="E8" s="95">
        <v>12500</v>
      </c>
      <c r="F8" s="95">
        <v>14500</v>
      </c>
      <c r="G8" s="29">
        <v>12800</v>
      </c>
      <c r="H8" s="42">
        <v>14000</v>
      </c>
      <c r="I8" s="42">
        <v>13500</v>
      </c>
      <c r="J8" s="94">
        <v>13000</v>
      </c>
      <c r="K8" s="19">
        <f>AVERAGE(D8:J8)</f>
        <v>13328.571428571429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5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>
        <v>3</v>
      </c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3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15500</v>
      </c>
      <c r="K16" s="22">
        <f t="shared" si="0"/>
        <v>15142.857142857143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32000</v>
      </c>
      <c r="G24" s="16">
        <v>30000</v>
      </c>
      <c r="H24" s="42">
        <v>31000</v>
      </c>
      <c r="I24" s="17">
        <v>30000</v>
      </c>
      <c r="J24" s="42">
        <v>30000</v>
      </c>
      <c r="K24" s="22">
        <f t="shared" si="0"/>
        <v>30428.571428571428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45000</v>
      </c>
      <c r="E26" s="16">
        <v>40000</v>
      </c>
      <c r="F26" s="29" t="s">
        <v>100</v>
      </c>
      <c r="G26" s="16">
        <v>40000</v>
      </c>
      <c r="H26" s="17">
        <v>30000</v>
      </c>
      <c r="I26" s="26">
        <v>38000</v>
      </c>
      <c r="J26" s="42">
        <v>35000</v>
      </c>
      <c r="K26" s="22">
        <f t="shared" si="0"/>
        <v>38000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75000</v>
      </c>
      <c r="J28" s="28">
        <v>60000</v>
      </c>
      <c r="K28" s="22">
        <f t="shared" si="0"/>
        <v>66333.333333333328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35000</v>
      </c>
      <c r="E30" s="16">
        <v>38000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38000</v>
      </c>
      <c r="K30" s="22">
        <f t="shared" si="0"/>
        <v>37000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26000</v>
      </c>
      <c r="F33" s="16">
        <v>27000</v>
      </c>
      <c r="G33" s="16">
        <v>27000</v>
      </c>
      <c r="H33" s="17">
        <v>25000</v>
      </c>
      <c r="I33" s="17">
        <v>26000</v>
      </c>
      <c r="J33" s="42">
        <v>26000</v>
      </c>
      <c r="K33" s="22">
        <f t="shared" si="0"/>
        <v>26142.857142857141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2">
        <v>8</v>
      </c>
      <c r="B35" s="44" t="s">
        <v>136</v>
      </c>
      <c r="C35" s="63"/>
      <c r="D35" s="23"/>
      <c r="E35" s="16"/>
      <c r="F35" s="59"/>
      <c r="G35" s="16"/>
      <c r="H35" s="17"/>
      <c r="I35" s="17"/>
      <c r="J35" s="42"/>
      <c r="K35" s="39"/>
      <c r="M35" s="5"/>
      <c r="N35" s="5"/>
    </row>
    <row r="36" spans="1:14" ht="15.75" x14ac:dyDescent="0.25">
      <c r="A36" s="12"/>
      <c r="B36" s="13" t="s">
        <v>137</v>
      </c>
      <c r="C36" s="14" t="s">
        <v>138</v>
      </c>
      <c r="D36" s="23">
        <v>1000</v>
      </c>
      <c r="E36" s="16">
        <v>1000</v>
      </c>
      <c r="F36" s="59">
        <v>3000</v>
      </c>
      <c r="G36" s="16">
        <v>3000</v>
      </c>
      <c r="H36" s="17">
        <v>4000</v>
      </c>
      <c r="I36" s="17">
        <v>2000</v>
      </c>
      <c r="J36" s="42">
        <v>3000</v>
      </c>
      <c r="K36" s="22">
        <f t="shared" si="0"/>
        <v>2428.5714285714284</v>
      </c>
      <c r="M36" s="5"/>
      <c r="N36" s="5"/>
    </row>
    <row r="37" spans="1:14" ht="15.75" x14ac:dyDescent="0.25">
      <c r="A37" s="12"/>
      <c r="B37" s="13" t="s">
        <v>139</v>
      </c>
      <c r="C37" s="14" t="s">
        <v>138</v>
      </c>
      <c r="D37" s="23">
        <v>2500</v>
      </c>
      <c r="E37" s="16">
        <v>2500</v>
      </c>
      <c r="F37" s="59">
        <v>6000</v>
      </c>
      <c r="G37" s="16">
        <v>3000</v>
      </c>
      <c r="H37" s="17">
        <v>2500</v>
      </c>
      <c r="I37" s="17">
        <v>5000</v>
      </c>
      <c r="J37" s="42">
        <v>3500</v>
      </c>
      <c r="K37" s="22">
        <f t="shared" si="0"/>
        <v>3571.4285714285716</v>
      </c>
      <c r="M37" s="5"/>
      <c r="N37" s="5"/>
    </row>
    <row r="38" spans="1:14" ht="15.75" x14ac:dyDescent="0.25">
      <c r="A38" s="182">
        <v>9</v>
      </c>
      <c r="B38" s="32" t="s">
        <v>34</v>
      </c>
      <c r="C38" s="44"/>
      <c r="D38" s="45"/>
      <c r="E38" s="36"/>
      <c r="F38" s="50"/>
      <c r="G38" s="47"/>
      <c r="H38" s="48"/>
      <c r="I38" s="48"/>
      <c r="J38" s="60"/>
      <c r="K38" s="39"/>
      <c r="M38" s="5"/>
      <c r="N38" s="5"/>
    </row>
    <row r="39" spans="1:14" ht="15.75" x14ac:dyDescent="0.25">
      <c r="A39" s="183"/>
      <c r="B39" s="13" t="s">
        <v>35</v>
      </c>
      <c r="C39" s="14" t="s">
        <v>36</v>
      </c>
      <c r="D39" s="23">
        <v>12500</v>
      </c>
      <c r="E39" s="29">
        <v>12000</v>
      </c>
      <c r="F39" s="16">
        <v>10000</v>
      </c>
      <c r="G39" s="16">
        <v>12000</v>
      </c>
      <c r="H39" s="51" t="s">
        <v>100</v>
      </c>
      <c r="I39" s="27">
        <v>12000</v>
      </c>
      <c r="J39" s="56">
        <v>10000</v>
      </c>
      <c r="K39" s="22">
        <f t="shared" si="0"/>
        <v>11416.666666666666</v>
      </c>
      <c r="M39" s="5"/>
      <c r="N39" s="5"/>
    </row>
    <row r="40" spans="1:14" ht="15.75" x14ac:dyDescent="0.25">
      <c r="A40" s="184"/>
      <c r="B40" s="13" t="s">
        <v>37</v>
      </c>
      <c r="C40" s="14" t="s">
        <v>38</v>
      </c>
      <c r="D40" s="43" t="s">
        <v>100</v>
      </c>
      <c r="E40" s="29">
        <v>37900</v>
      </c>
      <c r="F40" s="30" t="s">
        <v>100</v>
      </c>
      <c r="G40" s="16">
        <v>42500</v>
      </c>
      <c r="H40" s="51" t="s">
        <v>100</v>
      </c>
      <c r="I40" s="27" t="s">
        <v>100</v>
      </c>
      <c r="J40" s="52" t="s">
        <v>100</v>
      </c>
      <c r="K40" s="22">
        <f t="shared" si="0"/>
        <v>40200</v>
      </c>
      <c r="M40" s="5"/>
      <c r="N40" s="5"/>
    </row>
    <row r="41" spans="1:14" ht="15.75" x14ac:dyDescent="0.25">
      <c r="A41" s="182">
        <v>10</v>
      </c>
      <c r="B41" s="32" t="s">
        <v>39</v>
      </c>
      <c r="C41" s="44"/>
      <c r="D41" s="45"/>
      <c r="E41" s="61"/>
      <c r="F41" s="47"/>
      <c r="G41" s="50"/>
      <c r="H41" s="48"/>
      <c r="I41" s="48"/>
      <c r="J41" s="49"/>
      <c r="K41" s="39"/>
      <c r="M41" s="5"/>
      <c r="N41" s="5"/>
    </row>
    <row r="42" spans="1:14" ht="15.75" x14ac:dyDescent="0.25">
      <c r="A42" s="183"/>
      <c r="B42" s="13" t="s">
        <v>40</v>
      </c>
      <c r="C42" s="14" t="s">
        <v>41</v>
      </c>
      <c r="D42" s="43" t="s">
        <v>100</v>
      </c>
      <c r="E42" s="29" t="s">
        <v>100</v>
      </c>
      <c r="F42" s="30" t="s">
        <v>100</v>
      </c>
      <c r="G42" s="21" t="s">
        <v>100</v>
      </c>
      <c r="H42" s="17">
        <v>17500</v>
      </c>
      <c r="I42" s="27">
        <v>21000</v>
      </c>
      <c r="J42" s="28">
        <v>17500</v>
      </c>
      <c r="K42" s="22">
        <f t="shared" si="0"/>
        <v>18666.666666666668</v>
      </c>
      <c r="M42" s="5"/>
      <c r="N42" s="5"/>
    </row>
    <row r="43" spans="1:14" ht="15.75" x14ac:dyDescent="0.25">
      <c r="A43" s="183"/>
      <c r="B43" s="13" t="s">
        <v>42</v>
      </c>
      <c r="C43" s="14" t="s">
        <v>43</v>
      </c>
      <c r="D43" s="43" t="s">
        <v>100</v>
      </c>
      <c r="E43" s="29" t="s">
        <v>100</v>
      </c>
      <c r="F43" s="30" t="s">
        <v>100</v>
      </c>
      <c r="G43" s="21" t="s">
        <v>100</v>
      </c>
      <c r="H43" s="17">
        <v>2000</v>
      </c>
      <c r="I43" s="27">
        <v>2000</v>
      </c>
      <c r="J43" s="28">
        <v>2000</v>
      </c>
      <c r="K43" s="22">
        <f t="shared" si="0"/>
        <v>2000</v>
      </c>
      <c r="M43" s="5"/>
      <c r="N43" s="5"/>
    </row>
    <row r="44" spans="1:14" ht="15.75" x14ac:dyDescent="0.25">
      <c r="A44" s="12">
        <v>11</v>
      </c>
      <c r="B44" s="62" t="s">
        <v>44</v>
      </c>
      <c r="C44" s="63"/>
      <c r="D44" s="64"/>
      <c r="E44" s="35"/>
      <c r="F44" s="35"/>
      <c r="G44" s="65"/>
      <c r="H44" s="66"/>
      <c r="I44" s="66"/>
      <c r="J44" s="67"/>
      <c r="K44" s="39"/>
      <c r="M44" s="5"/>
      <c r="N44" s="5"/>
    </row>
    <row r="45" spans="1:14" ht="15.75" x14ac:dyDescent="0.25">
      <c r="A45" s="12"/>
      <c r="B45" s="13" t="s">
        <v>45</v>
      </c>
      <c r="C45" s="68" t="s">
        <v>6</v>
      </c>
      <c r="D45" s="23">
        <v>11000</v>
      </c>
      <c r="E45" s="16">
        <v>8000</v>
      </c>
      <c r="F45" s="16">
        <v>9000</v>
      </c>
      <c r="G45" s="16" t="s">
        <v>100</v>
      </c>
      <c r="H45" s="17">
        <v>9000</v>
      </c>
      <c r="I45" s="55">
        <v>10000</v>
      </c>
      <c r="J45" s="42">
        <v>8000</v>
      </c>
      <c r="K45" s="22">
        <f t="shared" si="0"/>
        <v>9166.6666666666661</v>
      </c>
      <c r="M45" s="5"/>
      <c r="N45" s="5"/>
    </row>
    <row r="46" spans="1:14" ht="15.75" x14ac:dyDescent="0.25">
      <c r="A46" s="31"/>
      <c r="B46" s="13" t="s">
        <v>46</v>
      </c>
      <c r="C46" s="68" t="s">
        <v>6</v>
      </c>
      <c r="D46" s="23">
        <v>9000</v>
      </c>
      <c r="E46" s="16">
        <v>10000</v>
      </c>
      <c r="F46" s="69" t="s">
        <v>100</v>
      </c>
      <c r="G46" s="16">
        <v>12000</v>
      </c>
      <c r="H46" s="17">
        <v>6000</v>
      </c>
      <c r="I46" s="26" t="s">
        <v>100</v>
      </c>
      <c r="J46" s="42">
        <v>6000</v>
      </c>
      <c r="K46" s="22">
        <f t="shared" si="0"/>
        <v>8600</v>
      </c>
      <c r="M46" s="5"/>
      <c r="N46" s="5"/>
    </row>
    <row r="47" spans="1:14" ht="15.75" x14ac:dyDescent="0.25">
      <c r="A47" s="182">
        <v>12</v>
      </c>
      <c r="B47" s="32" t="s">
        <v>47</v>
      </c>
      <c r="C47" s="44"/>
      <c r="D47" s="45"/>
      <c r="E47" s="36"/>
      <c r="F47" s="50"/>
      <c r="G47" s="50"/>
      <c r="H47" s="48"/>
      <c r="I47" s="48"/>
      <c r="J47" s="60"/>
      <c r="K47" s="39"/>
      <c r="M47" s="5"/>
      <c r="N47" s="5"/>
    </row>
    <row r="48" spans="1:14" ht="15.75" x14ac:dyDescent="0.25">
      <c r="A48" s="184"/>
      <c r="B48" s="13" t="s">
        <v>48</v>
      </c>
      <c r="C48" s="14" t="s">
        <v>49</v>
      </c>
      <c r="D48" s="23">
        <v>3000</v>
      </c>
      <c r="E48" s="16">
        <v>8000</v>
      </c>
      <c r="F48" s="16">
        <v>2000</v>
      </c>
      <c r="G48" s="16">
        <v>4000</v>
      </c>
      <c r="H48" s="17">
        <v>2500</v>
      </c>
      <c r="I48" s="27">
        <v>4000</v>
      </c>
      <c r="J48" s="56" t="s">
        <v>100</v>
      </c>
      <c r="K48" s="22">
        <f t="shared" si="0"/>
        <v>3916.6666666666665</v>
      </c>
      <c r="M48" s="5"/>
      <c r="N48" s="5"/>
    </row>
    <row r="49" spans="1:14" ht="15.75" x14ac:dyDescent="0.25">
      <c r="A49" s="182">
        <v>13</v>
      </c>
      <c r="B49" s="32" t="s">
        <v>50</v>
      </c>
      <c r="C49" s="63"/>
      <c r="D49" s="70"/>
      <c r="E49" s="61"/>
      <c r="F49" s="71"/>
      <c r="G49" s="72"/>
      <c r="H49" s="73"/>
      <c r="I49" s="73"/>
      <c r="J49" s="74"/>
      <c r="K49" s="39"/>
      <c r="M49" s="5"/>
      <c r="N49" s="5"/>
    </row>
    <row r="50" spans="1:14" ht="15.75" x14ac:dyDescent="0.25">
      <c r="A50" s="184"/>
      <c r="B50" s="75" t="s">
        <v>51</v>
      </c>
      <c r="C50" s="68" t="s">
        <v>6</v>
      </c>
      <c r="D50" s="23">
        <v>10000</v>
      </c>
      <c r="E50" s="16">
        <v>10500</v>
      </c>
      <c r="F50" s="16">
        <v>12000</v>
      </c>
      <c r="G50" s="16">
        <v>12000</v>
      </c>
      <c r="H50" s="17">
        <v>11500</v>
      </c>
      <c r="I50" s="17">
        <v>11500</v>
      </c>
      <c r="J50" s="42">
        <v>7000</v>
      </c>
      <c r="K50" s="22">
        <f t="shared" si="0"/>
        <v>10642.857142857143</v>
      </c>
      <c r="M50" s="5"/>
      <c r="N50" s="5"/>
    </row>
    <row r="51" spans="1:14" ht="15.75" x14ac:dyDescent="0.25">
      <c r="A51" s="182">
        <v>14</v>
      </c>
      <c r="B51" s="32" t="s">
        <v>52</v>
      </c>
      <c r="C51" s="44"/>
      <c r="D51" s="45"/>
      <c r="E51" s="36"/>
      <c r="F51" s="50"/>
      <c r="G51" s="47"/>
      <c r="H51" s="48"/>
      <c r="I51" s="48"/>
      <c r="J51" s="60"/>
      <c r="K51" s="39"/>
      <c r="M51" s="5"/>
      <c r="N51" s="5"/>
    </row>
    <row r="52" spans="1:14" ht="15.75" x14ac:dyDescent="0.25">
      <c r="A52" s="183"/>
      <c r="B52" s="13" t="s">
        <v>53</v>
      </c>
      <c r="C52" s="14" t="s">
        <v>6</v>
      </c>
      <c r="D52" s="23">
        <v>15000</v>
      </c>
      <c r="E52" s="16">
        <v>16000</v>
      </c>
      <c r="F52" s="16">
        <v>17000</v>
      </c>
      <c r="G52" s="16">
        <v>18000</v>
      </c>
      <c r="H52" s="17">
        <v>14000</v>
      </c>
      <c r="I52" s="26">
        <v>17000</v>
      </c>
      <c r="J52" s="56" t="s">
        <v>100</v>
      </c>
      <c r="K52" s="22">
        <f t="shared" si="0"/>
        <v>16166.666666666666</v>
      </c>
      <c r="M52" s="5"/>
      <c r="N52" s="5"/>
    </row>
    <row r="53" spans="1:14" ht="15.75" x14ac:dyDescent="0.25">
      <c r="A53" s="183"/>
      <c r="B53" s="13" t="s">
        <v>54</v>
      </c>
      <c r="C53" s="14" t="s">
        <v>6</v>
      </c>
      <c r="D53" s="43">
        <v>12000</v>
      </c>
      <c r="E53" s="16">
        <v>14000</v>
      </c>
      <c r="F53" s="30" t="s">
        <v>100</v>
      </c>
      <c r="G53" s="76" t="s">
        <v>100</v>
      </c>
      <c r="H53" s="77" t="s">
        <v>100</v>
      </c>
      <c r="I53" s="55" t="s">
        <v>100</v>
      </c>
      <c r="J53" s="56">
        <v>13500</v>
      </c>
      <c r="K53" s="22">
        <f t="shared" si="0"/>
        <v>13166.666666666666</v>
      </c>
      <c r="M53" s="5" t="s">
        <v>103</v>
      </c>
      <c r="N53" s="5"/>
    </row>
    <row r="54" spans="1:14" ht="15.75" x14ac:dyDescent="0.25">
      <c r="A54" s="183"/>
      <c r="B54" s="13" t="s">
        <v>55</v>
      </c>
      <c r="C54" s="14" t="s">
        <v>6</v>
      </c>
      <c r="D54" s="23">
        <v>23000</v>
      </c>
      <c r="E54" s="16">
        <v>23000</v>
      </c>
      <c r="F54" s="16">
        <v>26000</v>
      </c>
      <c r="G54" s="16">
        <v>26000</v>
      </c>
      <c r="H54" s="17">
        <v>22000</v>
      </c>
      <c r="I54" s="17">
        <v>26000</v>
      </c>
      <c r="J54" s="56">
        <v>26000</v>
      </c>
      <c r="K54" s="22">
        <f t="shared" si="0"/>
        <v>24571.428571428572</v>
      </c>
      <c r="M54" s="5"/>
      <c r="N54" s="78"/>
    </row>
    <row r="55" spans="1:14" ht="15.75" x14ac:dyDescent="0.25">
      <c r="A55" s="184"/>
      <c r="B55" s="13" t="s">
        <v>56</v>
      </c>
      <c r="C55" s="14" t="s">
        <v>6</v>
      </c>
      <c r="D55" s="23">
        <v>26000</v>
      </c>
      <c r="E55" s="16">
        <v>30000</v>
      </c>
      <c r="F55" s="16">
        <v>28000</v>
      </c>
      <c r="G55" s="16">
        <v>30000</v>
      </c>
      <c r="H55" s="17">
        <v>26000</v>
      </c>
      <c r="I55" s="17">
        <v>29000</v>
      </c>
      <c r="J55" s="56">
        <v>28000</v>
      </c>
      <c r="K55" s="22">
        <f t="shared" si="0"/>
        <v>28142.857142857141</v>
      </c>
      <c r="M55" s="5"/>
      <c r="N55" s="5"/>
    </row>
    <row r="56" spans="1:14" ht="15.75" x14ac:dyDescent="0.25">
      <c r="A56" s="79">
        <v>15</v>
      </c>
      <c r="B56" s="32" t="s">
        <v>57</v>
      </c>
      <c r="C56" s="63"/>
      <c r="D56" s="80"/>
      <c r="E56" s="35"/>
      <c r="F56" s="65"/>
      <c r="G56" s="35"/>
      <c r="H56" s="66"/>
      <c r="I56" s="66"/>
      <c r="J56" s="81"/>
      <c r="K56" s="39"/>
      <c r="M56" s="5"/>
      <c r="N56" s="5"/>
    </row>
    <row r="57" spans="1:14" ht="15.75" x14ac:dyDescent="0.25">
      <c r="A57" s="82"/>
      <c r="B57" s="13" t="s">
        <v>58</v>
      </c>
      <c r="C57" s="68" t="s">
        <v>59</v>
      </c>
      <c r="D57" s="23">
        <v>3000</v>
      </c>
      <c r="E57" s="16">
        <v>3200</v>
      </c>
      <c r="F57" s="16">
        <v>3000</v>
      </c>
      <c r="G57" s="16">
        <v>3000</v>
      </c>
      <c r="H57" s="51" t="s">
        <v>100</v>
      </c>
      <c r="I57" s="27">
        <v>3500</v>
      </c>
      <c r="J57" s="42">
        <v>3500</v>
      </c>
      <c r="K57" s="22">
        <f t="shared" si="0"/>
        <v>3200</v>
      </c>
      <c r="M57" s="5"/>
      <c r="N57" s="5"/>
    </row>
    <row r="58" spans="1:14" ht="15.75" x14ac:dyDescent="0.25">
      <c r="A58" s="182">
        <v>16</v>
      </c>
      <c r="B58" s="32" t="s">
        <v>60</v>
      </c>
      <c r="C58" s="44"/>
      <c r="D58" s="45"/>
      <c r="E58" s="36"/>
      <c r="F58" s="50"/>
      <c r="G58" s="50"/>
      <c r="H58" s="48"/>
      <c r="I58" s="48"/>
      <c r="J58" s="60"/>
      <c r="K58" s="39"/>
      <c r="M58" s="5"/>
      <c r="N58" s="5"/>
    </row>
    <row r="59" spans="1:14" ht="15.75" x14ac:dyDescent="0.25">
      <c r="A59" s="183"/>
      <c r="B59" s="13" t="s">
        <v>61</v>
      </c>
      <c r="C59" s="14" t="s">
        <v>6</v>
      </c>
      <c r="D59" s="23">
        <v>32000</v>
      </c>
      <c r="E59" s="16">
        <v>35000</v>
      </c>
      <c r="F59" s="16">
        <v>40000</v>
      </c>
      <c r="G59" s="16">
        <v>40000</v>
      </c>
      <c r="H59" s="17">
        <v>35000</v>
      </c>
      <c r="I59" s="17">
        <v>40000</v>
      </c>
      <c r="J59" s="42">
        <v>35000</v>
      </c>
      <c r="K59" s="22">
        <f t="shared" si="0"/>
        <v>36714.285714285717</v>
      </c>
      <c r="M59" s="5"/>
      <c r="N59" s="5"/>
    </row>
    <row r="60" spans="1:14" ht="15.75" x14ac:dyDescent="0.25">
      <c r="A60" s="183"/>
      <c r="B60" s="13" t="s">
        <v>62</v>
      </c>
      <c r="C60" s="14" t="s">
        <v>6</v>
      </c>
      <c r="D60" s="43">
        <v>45000</v>
      </c>
      <c r="E60" s="16">
        <v>45000</v>
      </c>
      <c r="F60" s="16">
        <v>50000</v>
      </c>
      <c r="G60" s="16">
        <v>50000</v>
      </c>
      <c r="H60" s="77" t="s">
        <v>100</v>
      </c>
      <c r="I60" s="55" t="s">
        <v>100</v>
      </c>
      <c r="J60" s="56" t="s">
        <v>100</v>
      </c>
      <c r="K60" s="22">
        <f t="shared" si="0"/>
        <v>47500</v>
      </c>
      <c r="M60" s="5"/>
      <c r="N60" s="5"/>
    </row>
    <row r="61" spans="1:14" ht="15.75" x14ac:dyDescent="0.25">
      <c r="A61" s="184"/>
      <c r="B61" s="13" t="s">
        <v>63</v>
      </c>
      <c r="C61" s="14" t="s">
        <v>6</v>
      </c>
      <c r="D61" s="23">
        <v>55000</v>
      </c>
      <c r="E61" s="16">
        <v>60000</v>
      </c>
      <c r="F61" s="16">
        <v>60000</v>
      </c>
      <c r="G61" s="16">
        <v>65000</v>
      </c>
      <c r="H61" s="17">
        <v>60000</v>
      </c>
      <c r="I61" s="17">
        <v>60000</v>
      </c>
      <c r="J61" s="42">
        <v>60000</v>
      </c>
      <c r="K61" s="22">
        <f t="shared" si="0"/>
        <v>60000</v>
      </c>
      <c r="M61" s="5"/>
      <c r="N61" s="5"/>
    </row>
    <row r="62" spans="1:14" ht="15.75" x14ac:dyDescent="0.25">
      <c r="A62" s="79">
        <v>17</v>
      </c>
      <c r="B62" s="32" t="s">
        <v>64</v>
      </c>
      <c r="C62" s="63"/>
      <c r="D62" s="83"/>
      <c r="E62" s="35"/>
      <c r="F62" s="65"/>
      <c r="G62" s="35"/>
      <c r="H62" s="66"/>
      <c r="I62" s="66"/>
      <c r="J62" s="67"/>
      <c r="K62" s="39"/>
      <c r="M62" s="5"/>
      <c r="N62" s="5"/>
    </row>
    <row r="63" spans="1:14" ht="15.75" x14ac:dyDescent="0.25">
      <c r="A63" s="82"/>
      <c r="B63" s="13" t="s">
        <v>65</v>
      </c>
      <c r="C63" s="14" t="s">
        <v>66</v>
      </c>
      <c r="D63" s="23">
        <v>19000</v>
      </c>
      <c r="E63" s="16">
        <v>18000</v>
      </c>
      <c r="F63" s="16">
        <v>18000</v>
      </c>
      <c r="G63" s="29">
        <v>18000</v>
      </c>
      <c r="H63" s="51" t="s">
        <v>100</v>
      </c>
      <c r="I63" s="26">
        <v>18000</v>
      </c>
      <c r="J63" s="28">
        <v>18000</v>
      </c>
      <c r="K63" s="22">
        <f t="shared" si="0"/>
        <v>18166.666666666668</v>
      </c>
      <c r="M63" s="5"/>
      <c r="N63" s="5"/>
    </row>
    <row r="64" spans="1:14" ht="15.75" x14ac:dyDescent="0.25">
      <c r="A64" s="182">
        <v>18</v>
      </c>
      <c r="B64" s="32" t="s">
        <v>67</v>
      </c>
      <c r="C64" s="32"/>
      <c r="D64" s="45"/>
      <c r="E64" s="36"/>
      <c r="F64" s="47"/>
      <c r="G64" s="47"/>
      <c r="H64" s="48"/>
      <c r="I64" s="48"/>
      <c r="J64" s="49"/>
      <c r="K64" s="39"/>
      <c r="M64" s="5"/>
      <c r="N64" s="5"/>
    </row>
    <row r="65" spans="1:14" ht="15.75" x14ac:dyDescent="0.25">
      <c r="A65" s="183"/>
      <c r="B65" s="13" t="s">
        <v>68</v>
      </c>
      <c r="C65" s="14" t="s">
        <v>6</v>
      </c>
      <c r="D65" s="23">
        <v>28000</v>
      </c>
      <c r="E65" s="16">
        <v>32000</v>
      </c>
      <c r="F65" s="16">
        <v>34000</v>
      </c>
      <c r="G65" s="16">
        <v>30000</v>
      </c>
      <c r="H65" s="17">
        <v>30000</v>
      </c>
      <c r="I65" s="17">
        <v>30000</v>
      </c>
      <c r="J65" s="42">
        <v>30000</v>
      </c>
      <c r="K65" s="22">
        <f t="shared" si="0"/>
        <v>30571.428571428572</v>
      </c>
      <c r="M65" s="5"/>
      <c r="N65" s="5"/>
    </row>
    <row r="66" spans="1:14" ht="15.75" x14ac:dyDescent="0.25">
      <c r="A66" s="183"/>
      <c r="B66" s="13" t="s">
        <v>69</v>
      </c>
      <c r="C66" s="14" t="s">
        <v>6</v>
      </c>
      <c r="D66" s="43">
        <v>26000</v>
      </c>
      <c r="E66" s="16">
        <v>26000</v>
      </c>
      <c r="F66" s="16">
        <v>30000</v>
      </c>
      <c r="G66" s="16">
        <v>25000</v>
      </c>
      <c r="H66" s="17">
        <v>25000</v>
      </c>
      <c r="I66" s="17">
        <v>25000</v>
      </c>
      <c r="J66" s="42">
        <v>25000</v>
      </c>
      <c r="K66" s="22">
        <f t="shared" si="0"/>
        <v>26000</v>
      </c>
      <c r="M66" s="5"/>
      <c r="N66" s="5"/>
    </row>
    <row r="67" spans="1:14" ht="15.75" x14ac:dyDescent="0.25">
      <c r="A67" s="183"/>
      <c r="B67" s="13" t="s">
        <v>70</v>
      </c>
      <c r="C67" s="14" t="s">
        <v>6</v>
      </c>
      <c r="D67" s="23">
        <v>26000</v>
      </c>
      <c r="E67" s="16">
        <v>30000</v>
      </c>
      <c r="F67" s="16">
        <v>32000</v>
      </c>
      <c r="G67" s="16">
        <v>35000</v>
      </c>
      <c r="H67" s="17">
        <v>22000</v>
      </c>
      <c r="I67" s="17">
        <v>32000</v>
      </c>
      <c r="J67" s="42">
        <v>28000</v>
      </c>
      <c r="K67" s="22">
        <f t="shared" si="0"/>
        <v>29285.714285714286</v>
      </c>
      <c r="M67" s="5"/>
      <c r="N67" s="5"/>
    </row>
    <row r="68" spans="1:14" ht="15.75" x14ac:dyDescent="0.25">
      <c r="A68" s="184"/>
      <c r="B68" s="13" t="s">
        <v>71</v>
      </c>
      <c r="C68" s="14" t="s">
        <v>6</v>
      </c>
      <c r="D68" s="23">
        <v>18000</v>
      </c>
      <c r="E68" s="29">
        <v>22000</v>
      </c>
      <c r="F68" s="58">
        <v>20000</v>
      </c>
      <c r="G68" s="21">
        <v>25000</v>
      </c>
      <c r="H68" s="17">
        <v>20000</v>
      </c>
      <c r="I68" s="26">
        <v>23000</v>
      </c>
      <c r="J68" s="56">
        <v>22000</v>
      </c>
      <c r="K68" s="22">
        <f t="shared" si="0"/>
        <v>21428.571428571428</v>
      </c>
      <c r="M68" s="5"/>
      <c r="N68" s="5"/>
    </row>
    <row r="69" spans="1:14" ht="15.75" x14ac:dyDescent="0.25">
      <c r="A69" s="79">
        <v>19</v>
      </c>
      <c r="B69" s="32" t="s">
        <v>72</v>
      </c>
      <c r="C69" s="84"/>
      <c r="D69" s="83"/>
      <c r="E69" s="30"/>
      <c r="F69" s="35"/>
      <c r="G69" s="85"/>
      <c r="H69" s="66"/>
      <c r="I69" s="66"/>
      <c r="J69" s="81"/>
      <c r="K69" s="39"/>
      <c r="M69" s="5"/>
      <c r="N69" s="5"/>
    </row>
    <row r="70" spans="1:14" ht="15.75" x14ac:dyDescent="0.25">
      <c r="A70" s="86"/>
      <c r="B70" s="13" t="s">
        <v>73</v>
      </c>
      <c r="C70" s="68" t="s">
        <v>6</v>
      </c>
      <c r="D70" s="23">
        <v>6000</v>
      </c>
      <c r="E70" s="29">
        <v>7000</v>
      </c>
      <c r="F70" s="16">
        <v>5000</v>
      </c>
      <c r="G70" s="16">
        <v>6000</v>
      </c>
      <c r="H70" s="17">
        <v>4000</v>
      </c>
      <c r="I70" s="17">
        <v>6000</v>
      </c>
      <c r="J70" s="56">
        <v>5000</v>
      </c>
      <c r="K70" s="22">
        <f t="shared" si="0"/>
        <v>5571.4285714285716</v>
      </c>
      <c r="M70" s="5"/>
      <c r="N70" s="5"/>
    </row>
    <row r="71" spans="1:14" ht="15.75" x14ac:dyDescent="0.25">
      <c r="A71" s="82"/>
      <c r="B71" s="13" t="s">
        <v>74</v>
      </c>
      <c r="C71" s="68" t="s">
        <v>6</v>
      </c>
      <c r="D71" s="43" t="s">
        <v>100</v>
      </c>
      <c r="E71" s="29" t="s">
        <v>100</v>
      </c>
      <c r="F71" s="58">
        <v>5000</v>
      </c>
      <c r="G71" s="21">
        <v>6000</v>
      </c>
      <c r="H71" s="17">
        <v>5000</v>
      </c>
      <c r="I71" s="26">
        <v>6000</v>
      </c>
      <c r="J71" s="28">
        <v>6000</v>
      </c>
      <c r="K71" s="22">
        <f t="shared" si="0"/>
        <v>5600</v>
      </c>
      <c r="M71" s="5"/>
      <c r="N71" s="5"/>
    </row>
    <row r="72" spans="1:14" ht="15.75" x14ac:dyDescent="0.25">
      <c r="A72" s="79">
        <v>20</v>
      </c>
      <c r="B72" s="32" t="s">
        <v>75</v>
      </c>
      <c r="C72" s="84"/>
      <c r="D72" s="64"/>
      <c r="E72" s="35"/>
      <c r="F72" s="35"/>
      <c r="G72" s="65"/>
      <c r="H72" s="66"/>
      <c r="I72" s="66"/>
      <c r="J72" s="67"/>
      <c r="K72" s="39"/>
      <c r="M72" s="5"/>
      <c r="N72" s="5"/>
    </row>
    <row r="73" spans="1:14" ht="15.75" x14ac:dyDescent="0.25">
      <c r="A73" s="86"/>
      <c r="B73" s="13" t="s">
        <v>76</v>
      </c>
      <c r="C73" s="68" t="s">
        <v>6</v>
      </c>
      <c r="D73" s="23">
        <v>7000</v>
      </c>
      <c r="E73" s="16">
        <v>10000</v>
      </c>
      <c r="F73" s="16">
        <v>9000</v>
      </c>
      <c r="G73" s="16">
        <v>9000</v>
      </c>
      <c r="H73" s="17">
        <v>9000</v>
      </c>
      <c r="I73" s="27">
        <v>10000</v>
      </c>
      <c r="J73" s="42">
        <v>9000</v>
      </c>
      <c r="K73" s="22">
        <f t="shared" si="0"/>
        <v>9000</v>
      </c>
      <c r="M73" s="5"/>
      <c r="N73" s="5"/>
    </row>
    <row r="74" spans="1:14" ht="15.75" x14ac:dyDescent="0.25">
      <c r="A74" s="86"/>
      <c r="B74" s="13" t="s">
        <v>77</v>
      </c>
      <c r="C74" s="68" t="s">
        <v>6</v>
      </c>
      <c r="D74" s="23">
        <v>10000</v>
      </c>
      <c r="E74" s="16">
        <v>13000</v>
      </c>
      <c r="F74" s="16">
        <v>12000</v>
      </c>
      <c r="G74" s="16">
        <v>12000</v>
      </c>
      <c r="H74" s="17">
        <v>10000</v>
      </c>
      <c r="I74" s="27">
        <v>12000</v>
      </c>
      <c r="J74" s="42">
        <v>15000</v>
      </c>
      <c r="K74" s="22">
        <f t="shared" si="0"/>
        <v>12000</v>
      </c>
      <c r="M74" s="5"/>
      <c r="N74" s="5"/>
    </row>
    <row r="75" spans="1:14" ht="15.75" x14ac:dyDescent="0.25">
      <c r="A75" s="86"/>
      <c r="B75" s="13" t="s">
        <v>78</v>
      </c>
      <c r="C75" s="68" t="s">
        <v>6</v>
      </c>
      <c r="D75" s="23">
        <v>14000</v>
      </c>
      <c r="E75" s="16">
        <v>16000</v>
      </c>
      <c r="F75" s="16">
        <v>17000</v>
      </c>
      <c r="G75" s="16">
        <v>15000</v>
      </c>
      <c r="H75" s="17">
        <v>15000</v>
      </c>
      <c r="I75" s="17">
        <v>16000</v>
      </c>
      <c r="J75" s="42">
        <v>15000</v>
      </c>
      <c r="K75" s="22">
        <f t="shared" si="0"/>
        <v>15428.571428571429</v>
      </c>
      <c r="M75" s="5"/>
      <c r="N75" s="5"/>
    </row>
    <row r="76" spans="1:14" ht="15.75" x14ac:dyDescent="0.25">
      <c r="A76" s="86"/>
      <c r="B76" s="13" t="s">
        <v>79</v>
      </c>
      <c r="C76" s="68" t="s">
        <v>6</v>
      </c>
      <c r="D76" s="23">
        <v>10000</v>
      </c>
      <c r="E76" s="16">
        <v>8000</v>
      </c>
      <c r="F76" s="16">
        <v>16000</v>
      </c>
      <c r="G76" s="16">
        <v>17000</v>
      </c>
      <c r="H76" s="17">
        <v>5000</v>
      </c>
      <c r="I76" s="55">
        <v>10000</v>
      </c>
      <c r="J76" s="42">
        <v>6000</v>
      </c>
      <c r="K76" s="22">
        <f t="shared" ref="K76:K83" si="1">AVERAGE(D76:J76)</f>
        <v>10285.714285714286</v>
      </c>
      <c r="M76" s="5"/>
      <c r="N76" s="5"/>
    </row>
    <row r="77" spans="1:14" ht="15.75" x14ac:dyDescent="0.25">
      <c r="A77" s="86"/>
      <c r="B77" s="13" t="s">
        <v>80</v>
      </c>
      <c r="C77" s="68" t="s">
        <v>6</v>
      </c>
      <c r="D77" s="23">
        <v>8000</v>
      </c>
      <c r="E77" s="16">
        <v>10000</v>
      </c>
      <c r="F77" s="16">
        <v>12000</v>
      </c>
      <c r="G77" s="16">
        <v>13000</v>
      </c>
      <c r="H77" s="17">
        <v>10000</v>
      </c>
      <c r="I77" s="17">
        <v>12000</v>
      </c>
      <c r="J77" s="42">
        <v>8000</v>
      </c>
      <c r="K77" s="22">
        <f t="shared" si="1"/>
        <v>10428.571428571429</v>
      </c>
      <c r="M77" s="5"/>
      <c r="N77" s="5"/>
    </row>
    <row r="78" spans="1:14" ht="15.75" x14ac:dyDescent="0.25">
      <c r="A78" s="86"/>
      <c r="B78" s="13" t="s">
        <v>81</v>
      </c>
      <c r="C78" s="68" t="s">
        <v>6</v>
      </c>
      <c r="D78" s="43" t="s">
        <v>100</v>
      </c>
      <c r="E78" s="29">
        <v>8000</v>
      </c>
      <c r="F78" s="30" t="s">
        <v>100</v>
      </c>
      <c r="G78" s="21" t="s">
        <v>100</v>
      </c>
      <c r="H78" s="87">
        <v>9000</v>
      </c>
      <c r="I78" s="88">
        <v>10000</v>
      </c>
      <c r="J78" s="89">
        <v>8000</v>
      </c>
      <c r="K78" s="22">
        <f t="shared" si="1"/>
        <v>8750</v>
      </c>
      <c r="M78" s="5"/>
      <c r="N78" s="5"/>
    </row>
    <row r="79" spans="1:14" ht="15.75" x14ac:dyDescent="0.25">
      <c r="A79" s="86"/>
      <c r="B79" s="13" t="s">
        <v>82</v>
      </c>
      <c r="C79" s="68" t="s">
        <v>83</v>
      </c>
      <c r="D79" s="43" t="s">
        <v>100</v>
      </c>
      <c r="E79" s="29" t="s">
        <v>100</v>
      </c>
      <c r="F79" s="16">
        <v>2000</v>
      </c>
      <c r="G79" s="21">
        <v>2000</v>
      </c>
      <c r="H79" s="17">
        <v>1500</v>
      </c>
      <c r="I79" s="26">
        <v>2000</v>
      </c>
      <c r="J79" s="28">
        <v>1500</v>
      </c>
      <c r="K79" s="22">
        <f t="shared" si="1"/>
        <v>1800</v>
      </c>
      <c r="M79" s="5"/>
      <c r="N79" s="5"/>
    </row>
    <row r="80" spans="1:14" ht="15.75" x14ac:dyDescent="0.25">
      <c r="A80" s="86"/>
      <c r="B80" s="13" t="s">
        <v>84</v>
      </c>
      <c r="C80" s="68" t="s">
        <v>83</v>
      </c>
      <c r="D80" s="43" t="s">
        <v>100</v>
      </c>
      <c r="E80" s="29" t="s">
        <v>100</v>
      </c>
      <c r="F80" s="16">
        <v>1500</v>
      </c>
      <c r="G80" s="21">
        <v>2000</v>
      </c>
      <c r="H80" s="17">
        <v>1500</v>
      </c>
      <c r="I80" s="26">
        <v>1500</v>
      </c>
      <c r="J80" s="28">
        <v>1000</v>
      </c>
      <c r="K80" s="22">
        <f t="shared" si="1"/>
        <v>1500</v>
      </c>
      <c r="M80" s="5"/>
      <c r="N80" s="5"/>
    </row>
    <row r="81" spans="1:14" ht="15.75" x14ac:dyDescent="0.25">
      <c r="A81" s="82"/>
      <c r="B81" s="13" t="s">
        <v>85</v>
      </c>
      <c r="C81" s="68" t="s">
        <v>83</v>
      </c>
      <c r="D81" s="43" t="s">
        <v>100</v>
      </c>
      <c r="E81" s="29" t="s">
        <v>100</v>
      </c>
      <c r="F81" s="16">
        <v>2000</v>
      </c>
      <c r="G81" s="21">
        <v>2000</v>
      </c>
      <c r="H81" s="17">
        <v>2000</v>
      </c>
      <c r="I81" s="26">
        <v>2000</v>
      </c>
      <c r="J81" s="28">
        <v>2000</v>
      </c>
      <c r="K81" s="22">
        <f t="shared" si="1"/>
        <v>2000</v>
      </c>
      <c r="M81" s="5"/>
      <c r="N81" s="5"/>
    </row>
    <row r="82" spans="1:14" ht="15.75" x14ac:dyDescent="0.25">
      <c r="A82" s="79">
        <v>21</v>
      </c>
      <c r="B82" s="32" t="s">
        <v>86</v>
      </c>
      <c r="C82" s="84"/>
      <c r="D82" s="90"/>
      <c r="E82" s="30"/>
      <c r="F82" s="35" t="s">
        <v>104</v>
      </c>
      <c r="G82" s="65"/>
      <c r="H82" s="66"/>
      <c r="I82" s="66"/>
      <c r="J82" s="67"/>
      <c r="K82" s="39"/>
      <c r="M82" s="5"/>
      <c r="N82" s="5"/>
    </row>
    <row r="83" spans="1:14" ht="15.75" x14ac:dyDescent="0.25">
      <c r="A83" s="82"/>
      <c r="B83" s="13" t="s">
        <v>87</v>
      </c>
      <c r="C83" s="68" t="s">
        <v>88</v>
      </c>
      <c r="D83" s="43">
        <v>18000</v>
      </c>
      <c r="E83" s="29" t="s">
        <v>100</v>
      </c>
      <c r="F83" s="91" t="s">
        <v>100</v>
      </c>
      <c r="G83" s="21">
        <v>17000</v>
      </c>
      <c r="H83" s="51" t="s">
        <v>100</v>
      </c>
      <c r="I83" s="27">
        <v>19000</v>
      </c>
      <c r="J83" s="28">
        <v>18000</v>
      </c>
      <c r="K83" s="22">
        <f t="shared" si="1"/>
        <v>18000</v>
      </c>
      <c r="M83" s="5"/>
      <c r="N83" s="5"/>
    </row>
    <row r="84" spans="1:14" ht="15.75" x14ac:dyDescent="0.25">
      <c r="E84" s="4"/>
      <c r="J84" s="2"/>
      <c r="M84" s="5"/>
      <c r="N84" s="5"/>
    </row>
    <row r="85" spans="1:14" ht="15.75" x14ac:dyDescent="0.25">
      <c r="B85" s="92"/>
      <c r="J85" s="2"/>
      <c r="M85" s="5"/>
      <c r="N85" s="5"/>
    </row>
    <row r="86" spans="1:14" ht="15.75" x14ac:dyDescent="0.25">
      <c r="J86" s="2"/>
      <c r="M86" s="5"/>
      <c r="N86" s="5"/>
    </row>
    <row r="87" spans="1:14" ht="15.75" x14ac:dyDescent="0.25">
      <c r="A87" s="5"/>
      <c r="B87" s="5"/>
      <c r="C87" s="5"/>
      <c r="D87" s="78"/>
      <c r="E87" s="5"/>
      <c r="F87" s="5"/>
      <c r="G87" s="5"/>
      <c r="H87" s="5"/>
      <c r="I87" s="5"/>
      <c r="J87" s="40"/>
      <c r="K87" s="5"/>
      <c r="L87" s="5"/>
      <c r="M87" s="5"/>
      <c r="N87" s="5"/>
    </row>
  </sheetData>
  <mergeCells count="28"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A49:A50"/>
    <mergeCell ref="A51:A55"/>
    <mergeCell ref="A58:A61"/>
    <mergeCell ref="A64:A68"/>
    <mergeCell ref="D4:D6"/>
    <mergeCell ref="A18:A19"/>
    <mergeCell ref="A20:A24"/>
    <mergeCell ref="A7:A11"/>
    <mergeCell ref="A12:A14"/>
    <mergeCell ref="A15:A16"/>
    <mergeCell ref="A25:A31"/>
    <mergeCell ref="A32:A34"/>
    <mergeCell ref="A38:A40"/>
    <mergeCell ref="A41:A43"/>
    <mergeCell ref="A47:A48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BEDF-FD20-4BB7-85C2-F480B806241C}">
  <dimension ref="A1:N87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141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208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209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210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13000</v>
      </c>
      <c r="E8" s="95">
        <v>12500</v>
      </c>
      <c r="F8" s="95">
        <v>14500</v>
      </c>
      <c r="G8" s="29">
        <v>12800</v>
      </c>
      <c r="H8" s="42">
        <v>14000</v>
      </c>
      <c r="I8" s="42">
        <v>13500</v>
      </c>
      <c r="J8" s="94">
        <v>13000</v>
      </c>
      <c r="K8" s="19">
        <f>AVERAGE(D8:J8)</f>
        <v>13328.571428571429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5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>
        <v>3</v>
      </c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3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15500</v>
      </c>
      <c r="K16" s="22">
        <f t="shared" si="0"/>
        <v>15142.857142857143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31000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31000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45000</v>
      </c>
      <c r="E26" s="16">
        <v>40000</v>
      </c>
      <c r="F26" s="29" t="s">
        <v>100</v>
      </c>
      <c r="G26" s="16">
        <v>40000</v>
      </c>
      <c r="H26" s="17">
        <v>30000</v>
      </c>
      <c r="I26" s="26">
        <v>38000</v>
      </c>
      <c r="J26" s="42">
        <v>35000</v>
      </c>
      <c r="K26" s="22">
        <f t="shared" si="0"/>
        <v>38000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75000</v>
      </c>
      <c r="J28" s="28">
        <v>60000</v>
      </c>
      <c r="K28" s="22">
        <f t="shared" si="0"/>
        <v>66333.333333333328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35000</v>
      </c>
      <c r="E30" s="16">
        <v>36000</v>
      </c>
      <c r="F30" s="16">
        <v>40000</v>
      </c>
      <c r="G30" s="16">
        <v>40000</v>
      </c>
      <c r="H30" s="17">
        <v>28000</v>
      </c>
      <c r="I30" s="26">
        <v>40000</v>
      </c>
      <c r="J30" s="42">
        <v>38000</v>
      </c>
      <c r="K30" s="22">
        <f t="shared" si="0"/>
        <v>36714.285714285717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26000</v>
      </c>
      <c r="F33" s="16">
        <v>27000</v>
      </c>
      <c r="G33" s="16">
        <v>27000</v>
      </c>
      <c r="H33" s="17">
        <v>25000</v>
      </c>
      <c r="I33" s="17">
        <v>26000</v>
      </c>
      <c r="J33" s="42">
        <v>26000</v>
      </c>
      <c r="K33" s="22">
        <f t="shared" si="0"/>
        <v>26142.857142857141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2">
        <v>8</v>
      </c>
      <c r="B35" s="44" t="s">
        <v>136</v>
      </c>
      <c r="C35" s="63"/>
      <c r="D35" s="23"/>
      <c r="E35" s="16"/>
      <c r="F35" s="59"/>
      <c r="G35" s="16"/>
      <c r="H35" s="17"/>
      <c r="I35" s="17"/>
      <c r="J35" s="42"/>
      <c r="K35" s="39"/>
      <c r="M35" s="5"/>
      <c r="N35" s="5"/>
    </row>
    <row r="36" spans="1:14" ht="15.75" x14ac:dyDescent="0.25">
      <c r="A36" s="12"/>
      <c r="B36" s="13" t="s">
        <v>137</v>
      </c>
      <c r="C36" s="14" t="s">
        <v>138</v>
      </c>
      <c r="D36" s="23">
        <v>1000</v>
      </c>
      <c r="E36" s="16">
        <v>1000</v>
      </c>
      <c r="F36" s="59">
        <v>3000</v>
      </c>
      <c r="G36" s="16">
        <v>3000</v>
      </c>
      <c r="H36" s="17">
        <v>4000</v>
      </c>
      <c r="I36" s="17">
        <v>2000</v>
      </c>
      <c r="J36" s="42">
        <v>3000</v>
      </c>
      <c r="K36" s="22">
        <f t="shared" si="0"/>
        <v>2428.5714285714284</v>
      </c>
      <c r="M36" s="5"/>
      <c r="N36" s="5"/>
    </row>
    <row r="37" spans="1:14" ht="15.75" x14ac:dyDescent="0.25">
      <c r="A37" s="12"/>
      <c r="B37" s="13" t="s">
        <v>139</v>
      </c>
      <c r="C37" s="14" t="s">
        <v>138</v>
      </c>
      <c r="D37" s="23">
        <v>2500</v>
      </c>
      <c r="E37" s="16">
        <v>2500</v>
      </c>
      <c r="F37" s="59">
        <v>5000</v>
      </c>
      <c r="G37" s="16">
        <v>3000</v>
      </c>
      <c r="H37" s="17">
        <v>2500</v>
      </c>
      <c r="I37" s="17">
        <v>5000</v>
      </c>
      <c r="J37" s="42">
        <v>3500</v>
      </c>
      <c r="K37" s="22">
        <f t="shared" si="0"/>
        <v>3428.5714285714284</v>
      </c>
      <c r="M37" s="5"/>
      <c r="N37" s="5"/>
    </row>
    <row r="38" spans="1:14" ht="15.75" x14ac:dyDescent="0.25">
      <c r="A38" s="182">
        <v>9</v>
      </c>
      <c r="B38" s="32" t="s">
        <v>34</v>
      </c>
      <c r="C38" s="44"/>
      <c r="D38" s="45"/>
      <c r="E38" s="36"/>
      <c r="F38" s="50"/>
      <c r="G38" s="47"/>
      <c r="H38" s="48"/>
      <c r="I38" s="48"/>
      <c r="J38" s="60"/>
      <c r="K38" s="39"/>
      <c r="M38" s="5"/>
      <c r="N38" s="5"/>
    </row>
    <row r="39" spans="1:14" ht="15.75" x14ac:dyDescent="0.25">
      <c r="A39" s="183"/>
      <c r="B39" s="13" t="s">
        <v>35</v>
      </c>
      <c r="C39" s="14" t="s">
        <v>36</v>
      </c>
      <c r="D39" s="23">
        <v>12500</v>
      </c>
      <c r="E39" s="29">
        <v>12000</v>
      </c>
      <c r="F39" s="16">
        <v>10000</v>
      </c>
      <c r="G39" s="16">
        <v>12000</v>
      </c>
      <c r="H39" s="51" t="s">
        <v>100</v>
      </c>
      <c r="I39" s="27">
        <v>12000</v>
      </c>
      <c r="J39" s="56">
        <v>10000</v>
      </c>
      <c r="K39" s="22">
        <f t="shared" si="0"/>
        <v>11416.666666666666</v>
      </c>
      <c r="M39" s="5"/>
      <c r="N39" s="5"/>
    </row>
    <row r="40" spans="1:14" ht="15.75" x14ac:dyDescent="0.25">
      <c r="A40" s="184"/>
      <c r="B40" s="13" t="s">
        <v>37</v>
      </c>
      <c r="C40" s="14" t="s">
        <v>38</v>
      </c>
      <c r="D40" s="43" t="s">
        <v>100</v>
      </c>
      <c r="E40" s="29">
        <v>37900</v>
      </c>
      <c r="F40" s="30" t="s">
        <v>100</v>
      </c>
      <c r="G40" s="16">
        <v>42500</v>
      </c>
      <c r="H40" s="51" t="s">
        <v>100</v>
      </c>
      <c r="I40" s="27" t="s">
        <v>100</v>
      </c>
      <c r="J40" s="52" t="s">
        <v>100</v>
      </c>
      <c r="K40" s="22">
        <f t="shared" si="0"/>
        <v>40200</v>
      </c>
      <c r="M40" s="5"/>
      <c r="N40" s="5"/>
    </row>
    <row r="41" spans="1:14" ht="15.75" x14ac:dyDescent="0.25">
      <c r="A41" s="182">
        <v>10</v>
      </c>
      <c r="B41" s="32" t="s">
        <v>39</v>
      </c>
      <c r="C41" s="44"/>
      <c r="D41" s="45"/>
      <c r="E41" s="61"/>
      <c r="F41" s="47"/>
      <c r="G41" s="50"/>
      <c r="H41" s="48"/>
      <c r="I41" s="48"/>
      <c r="J41" s="49"/>
      <c r="K41" s="39"/>
      <c r="M41" s="5"/>
      <c r="N41" s="5"/>
    </row>
    <row r="42" spans="1:14" ht="15.75" x14ac:dyDescent="0.25">
      <c r="A42" s="183"/>
      <c r="B42" s="13" t="s">
        <v>40</v>
      </c>
      <c r="C42" s="14" t="s">
        <v>41</v>
      </c>
      <c r="D42" s="43" t="s">
        <v>100</v>
      </c>
      <c r="E42" s="29" t="s">
        <v>100</v>
      </c>
      <c r="F42" s="30" t="s">
        <v>100</v>
      </c>
      <c r="G42" s="21" t="s">
        <v>100</v>
      </c>
      <c r="H42" s="17">
        <v>17500</v>
      </c>
      <c r="I42" s="27">
        <v>21000</v>
      </c>
      <c r="J42" s="28">
        <v>17500</v>
      </c>
      <c r="K42" s="22">
        <f t="shared" si="0"/>
        <v>18666.666666666668</v>
      </c>
      <c r="M42" s="5"/>
      <c r="N42" s="5"/>
    </row>
    <row r="43" spans="1:14" ht="15.75" x14ac:dyDescent="0.25">
      <c r="A43" s="183"/>
      <c r="B43" s="13" t="s">
        <v>42</v>
      </c>
      <c r="C43" s="14" t="s">
        <v>43</v>
      </c>
      <c r="D43" s="43" t="s">
        <v>100</v>
      </c>
      <c r="E43" s="29" t="s">
        <v>100</v>
      </c>
      <c r="F43" s="30" t="s">
        <v>100</v>
      </c>
      <c r="G43" s="21" t="s">
        <v>100</v>
      </c>
      <c r="H43" s="17">
        <v>2000</v>
      </c>
      <c r="I43" s="27">
        <v>2000</v>
      </c>
      <c r="J43" s="28">
        <v>2000</v>
      </c>
      <c r="K43" s="22">
        <f t="shared" si="0"/>
        <v>2000</v>
      </c>
      <c r="M43" s="5"/>
      <c r="N43" s="5"/>
    </row>
    <row r="44" spans="1:14" ht="15.75" x14ac:dyDescent="0.25">
      <c r="A44" s="12">
        <v>11</v>
      </c>
      <c r="B44" s="62" t="s">
        <v>44</v>
      </c>
      <c r="C44" s="63"/>
      <c r="D44" s="64"/>
      <c r="E44" s="35"/>
      <c r="F44" s="35"/>
      <c r="G44" s="65"/>
      <c r="H44" s="66"/>
      <c r="I44" s="66"/>
      <c r="J44" s="67"/>
      <c r="K44" s="39"/>
      <c r="M44" s="5"/>
      <c r="N44" s="5"/>
    </row>
    <row r="45" spans="1:14" ht="15.75" x14ac:dyDescent="0.25">
      <c r="A45" s="12"/>
      <c r="B45" s="13" t="s">
        <v>45</v>
      </c>
      <c r="C45" s="68" t="s">
        <v>6</v>
      </c>
      <c r="D45" s="23">
        <v>11000</v>
      </c>
      <c r="E45" s="16">
        <v>8000</v>
      </c>
      <c r="F45" s="16">
        <v>9000</v>
      </c>
      <c r="G45" s="16" t="s">
        <v>100</v>
      </c>
      <c r="H45" s="17">
        <v>9000</v>
      </c>
      <c r="I45" s="55">
        <v>10000</v>
      </c>
      <c r="J45" s="42">
        <v>8000</v>
      </c>
      <c r="K45" s="22">
        <f t="shared" si="0"/>
        <v>9166.6666666666661</v>
      </c>
      <c r="M45" s="5"/>
      <c r="N45" s="5"/>
    </row>
    <row r="46" spans="1:14" ht="15.75" x14ac:dyDescent="0.25">
      <c r="A46" s="31"/>
      <c r="B46" s="13" t="s">
        <v>46</v>
      </c>
      <c r="C46" s="68" t="s">
        <v>6</v>
      </c>
      <c r="D46" s="23">
        <v>9000</v>
      </c>
      <c r="E46" s="16">
        <v>10000</v>
      </c>
      <c r="F46" s="69" t="s">
        <v>100</v>
      </c>
      <c r="G46" s="16">
        <v>12000</v>
      </c>
      <c r="H46" s="17">
        <v>6000</v>
      </c>
      <c r="I46" s="26" t="s">
        <v>100</v>
      </c>
      <c r="J46" s="42">
        <v>6000</v>
      </c>
      <c r="K46" s="22">
        <f t="shared" si="0"/>
        <v>8600</v>
      </c>
      <c r="M46" s="5"/>
      <c r="N46" s="5"/>
    </row>
    <row r="47" spans="1:14" ht="15.75" x14ac:dyDescent="0.25">
      <c r="A47" s="182">
        <v>12</v>
      </c>
      <c r="B47" s="32" t="s">
        <v>47</v>
      </c>
      <c r="C47" s="44"/>
      <c r="D47" s="45"/>
      <c r="E47" s="36"/>
      <c r="F47" s="50"/>
      <c r="G47" s="50"/>
      <c r="H47" s="48"/>
      <c r="I47" s="48"/>
      <c r="J47" s="60"/>
      <c r="K47" s="39"/>
      <c r="M47" s="5"/>
      <c r="N47" s="5"/>
    </row>
    <row r="48" spans="1:14" ht="15.75" x14ac:dyDescent="0.25">
      <c r="A48" s="184"/>
      <c r="B48" s="13" t="s">
        <v>48</v>
      </c>
      <c r="C48" s="14" t="s">
        <v>49</v>
      </c>
      <c r="D48" s="23">
        <v>3000</v>
      </c>
      <c r="E48" s="16">
        <v>8000</v>
      </c>
      <c r="F48" s="16">
        <v>2000</v>
      </c>
      <c r="G48" s="16">
        <v>4000</v>
      </c>
      <c r="H48" s="17">
        <v>2500</v>
      </c>
      <c r="I48" s="27">
        <v>4000</v>
      </c>
      <c r="J48" s="56" t="s">
        <v>100</v>
      </c>
      <c r="K48" s="22">
        <f t="shared" si="0"/>
        <v>3916.6666666666665</v>
      </c>
      <c r="M48" s="5"/>
      <c r="N48" s="5"/>
    </row>
    <row r="49" spans="1:14" ht="15.75" x14ac:dyDescent="0.25">
      <c r="A49" s="182">
        <v>13</v>
      </c>
      <c r="B49" s="32" t="s">
        <v>50</v>
      </c>
      <c r="C49" s="63"/>
      <c r="D49" s="70"/>
      <c r="E49" s="61"/>
      <c r="F49" s="71"/>
      <c r="G49" s="72"/>
      <c r="H49" s="73"/>
      <c r="I49" s="73"/>
      <c r="J49" s="74"/>
      <c r="K49" s="39"/>
      <c r="M49" s="5"/>
      <c r="N49" s="5"/>
    </row>
    <row r="50" spans="1:14" ht="15.75" x14ac:dyDescent="0.25">
      <c r="A50" s="184"/>
      <c r="B50" s="75" t="s">
        <v>51</v>
      </c>
      <c r="C50" s="68" t="s">
        <v>6</v>
      </c>
      <c r="D50" s="23">
        <v>10000</v>
      </c>
      <c r="E50" s="16">
        <v>10500</v>
      </c>
      <c r="F50" s="16">
        <v>12000</v>
      </c>
      <c r="G50" s="16">
        <v>12000</v>
      </c>
      <c r="H50" s="17">
        <v>11500</v>
      </c>
      <c r="I50" s="17">
        <v>11500</v>
      </c>
      <c r="J50" s="42">
        <v>7000</v>
      </c>
      <c r="K50" s="22">
        <f t="shared" si="0"/>
        <v>10642.857142857143</v>
      </c>
      <c r="M50" s="5"/>
      <c r="N50" s="5"/>
    </row>
    <row r="51" spans="1:14" ht="15.75" x14ac:dyDescent="0.25">
      <c r="A51" s="182">
        <v>14</v>
      </c>
      <c r="B51" s="32" t="s">
        <v>52</v>
      </c>
      <c r="C51" s="44"/>
      <c r="D51" s="45"/>
      <c r="E51" s="36"/>
      <c r="F51" s="50"/>
      <c r="G51" s="47"/>
      <c r="H51" s="48"/>
      <c r="I51" s="48"/>
      <c r="J51" s="60"/>
      <c r="K51" s="39"/>
      <c r="M51" s="5"/>
      <c r="N51" s="5"/>
    </row>
    <row r="52" spans="1:14" ht="15.75" x14ac:dyDescent="0.25">
      <c r="A52" s="183"/>
      <c r="B52" s="13" t="s">
        <v>53</v>
      </c>
      <c r="C52" s="14" t="s">
        <v>6</v>
      </c>
      <c r="D52" s="23">
        <v>15000</v>
      </c>
      <c r="E52" s="16">
        <v>16000</v>
      </c>
      <c r="F52" s="16">
        <v>17000</v>
      </c>
      <c r="G52" s="16">
        <v>18000</v>
      </c>
      <c r="H52" s="17">
        <v>12000</v>
      </c>
      <c r="I52" s="26">
        <v>17000</v>
      </c>
      <c r="J52" s="56" t="s">
        <v>100</v>
      </c>
      <c r="K52" s="22">
        <f t="shared" si="0"/>
        <v>15833.333333333334</v>
      </c>
      <c r="M52" s="5"/>
      <c r="N52" s="5"/>
    </row>
    <row r="53" spans="1:14" ht="15.75" x14ac:dyDescent="0.25">
      <c r="A53" s="183"/>
      <c r="B53" s="13" t="s">
        <v>54</v>
      </c>
      <c r="C53" s="14" t="s">
        <v>6</v>
      </c>
      <c r="D53" s="43">
        <v>12000</v>
      </c>
      <c r="E53" s="16">
        <v>14000</v>
      </c>
      <c r="F53" s="30" t="s">
        <v>100</v>
      </c>
      <c r="G53" s="76" t="s">
        <v>100</v>
      </c>
      <c r="H53" s="77" t="s">
        <v>100</v>
      </c>
      <c r="I53" s="55" t="s">
        <v>100</v>
      </c>
      <c r="J53" s="56">
        <v>13500</v>
      </c>
      <c r="K53" s="22">
        <f t="shared" si="0"/>
        <v>13166.666666666666</v>
      </c>
      <c r="M53" s="5" t="s">
        <v>103</v>
      </c>
      <c r="N53" s="5"/>
    </row>
    <row r="54" spans="1:14" ht="15.75" x14ac:dyDescent="0.25">
      <c r="A54" s="183"/>
      <c r="B54" s="13" t="s">
        <v>55</v>
      </c>
      <c r="C54" s="14" t="s">
        <v>6</v>
      </c>
      <c r="D54" s="23">
        <v>23000</v>
      </c>
      <c r="E54" s="16">
        <v>23000</v>
      </c>
      <c r="F54" s="16">
        <v>26000</v>
      </c>
      <c r="G54" s="16">
        <v>26000</v>
      </c>
      <c r="H54" s="17">
        <v>22000</v>
      </c>
      <c r="I54" s="17">
        <v>26000</v>
      </c>
      <c r="J54" s="56">
        <v>26000</v>
      </c>
      <c r="K54" s="22">
        <f t="shared" si="0"/>
        <v>24571.428571428572</v>
      </c>
      <c r="M54" s="5"/>
      <c r="N54" s="78"/>
    </row>
    <row r="55" spans="1:14" ht="15.75" x14ac:dyDescent="0.25">
      <c r="A55" s="184"/>
      <c r="B55" s="13" t="s">
        <v>56</v>
      </c>
      <c r="C55" s="14" t="s">
        <v>6</v>
      </c>
      <c r="D55" s="23">
        <v>26000</v>
      </c>
      <c r="E55" s="16">
        <v>30000</v>
      </c>
      <c r="F55" s="16">
        <v>28000</v>
      </c>
      <c r="G55" s="16">
        <v>30000</v>
      </c>
      <c r="H55" s="17">
        <v>26000</v>
      </c>
      <c r="I55" s="17">
        <v>29000</v>
      </c>
      <c r="J55" s="56">
        <v>28000</v>
      </c>
      <c r="K55" s="22">
        <f t="shared" si="0"/>
        <v>28142.857142857141</v>
      </c>
      <c r="M55" s="5"/>
      <c r="N55" s="5"/>
    </row>
    <row r="56" spans="1:14" ht="15.75" x14ac:dyDescent="0.25">
      <c r="A56" s="79">
        <v>15</v>
      </c>
      <c r="B56" s="32" t="s">
        <v>57</v>
      </c>
      <c r="C56" s="63"/>
      <c r="D56" s="80"/>
      <c r="E56" s="35"/>
      <c r="F56" s="65"/>
      <c r="G56" s="35"/>
      <c r="H56" s="66"/>
      <c r="I56" s="66"/>
      <c r="J56" s="81"/>
      <c r="K56" s="39"/>
      <c r="M56" s="5"/>
      <c r="N56" s="5"/>
    </row>
    <row r="57" spans="1:14" ht="15.75" x14ac:dyDescent="0.25">
      <c r="A57" s="82"/>
      <c r="B57" s="13" t="s">
        <v>58</v>
      </c>
      <c r="C57" s="68" t="s">
        <v>59</v>
      </c>
      <c r="D57" s="23">
        <v>3000</v>
      </c>
      <c r="E57" s="16">
        <v>3200</v>
      </c>
      <c r="F57" s="16">
        <v>3000</v>
      </c>
      <c r="G57" s="16">
        <v>3000</v>
      </c>
      <c r="H57" s="51" t="s">
        <v>100</v>
      </c>
      <c r="I57" s="27">
        <v>3500</v>
      </c>
      <c r="J57" s="42">
        <v>3500</v>
      </c>
      <c r="K57" s="22">
        <f t="shared" si="0"/>
        <v>3200</v>
      </c>
      <c r="M57" s="5"/>
      <c r="N57" s="5"/>
    </row>
    <row r="58" spans="1:14" ht="15.75" x14ac:dyDescent="0.25">
      <c r="A58" s="182">
        <v>16</v>
      </c>
      <c r="B58" s="32" t="s">
        <v>60</v>
      </c>
      <c r="C58" s="44"/>
      <c r="D58" s="45"/>
      <c r="E58" s="36"/>
      <c r="F58" s="50"/>
      <c r="G58" s="50"/>
      <c r="H58" s="48"/>
      <c r="I58" s="48"/>
      <c r="J58" s="60"/>
      <c r="K58" s="39"/>
      <c r="M58" s="5"/>
      <c r="N58" s="5"/>
    </row>
    <row r="59" spans="1:14" ht="15.75" x14ac:dyDescent="0.25">
      <c r="A59" s="183"/>
      <c r="B59" s="13" t="s">
        <v>61</v>
      </c>
      <c r="C59" s="14" t="s">
        <v>6</v>
      </c>
      <c r="D59" s="23">
        <v>32000</v>
      </c>
      <c r="E59" s="16">
        <v>30000</v>
      </c>
      <c r="F59" s="16">
        <v>38000</v>
      </c>
      <c r="G59" s="16">
        <v>40000</v>
      </c>
      <c r="H59" s="17">
        <v>35000</v>
      </c>
      <c r="I59" s="17">
        <v>40000</v>
      </c>
      <c r="J59" s="42">
        <v>35000</v>
      </c>
      <c r="K59" s="22">
        <f t="shared" si="0"/>
        <v>35714.285714285717</v>
      </c>
      <c r="M59" s="5"/>
      <c r="N59" s="5"/>
    </row>
    <row r="60" spans="1:14" ht="15.75" x14ac:dyDescent="0.25">
      <c r="A60" s="183"/>
      <c r="B60" s="13" t="s">
        <v>62</v>
      </c>
      <c r="C60" s="14" t="s">
        <v>6</v>
      </c>
      <c r="D60" s="43">
        <v>45000</v>
      </c>
      <c r="E60" s="16">
        <v>40000</v>
      </c>
      <c r="F60" s="16">
        <v>50000</v>
      </c>
      <c r="G60" s="16">
        <v>50000</v>
      </c>
      <c r="H60" s="77" t="s">
        <v>100</v>
      </c>
      <c r="I60" s="55" t="s">
        <v>100</v>
      </c>
      <c r="J60" s="56" t="s">
        <v>100</v>
      </c>
      <c r="K60" s="22">
        <f t="shared" si="0"/>
        <v>46250</v>
      </c>
      <c r="M60" s="5"/>
      <c r="N60" s="5"/>
    </row>
    <row r="61" spans="1:14" ht="15.75" x14ac:dyDescent="0.25">
      <c r="A61" s="184"/>
      <c r="B61" s="13" t="s">
        <v>63</v>
      </c>
      <c r="C61" s="14" t="s">
        <v>6</v>
      </c>
      <c r="D61" s="23">
        <v>55000</v>
      </c>
      <c r="E61" s="16">
        <v>60000</v>
      </c>
      <c r="F61" s="16">
        <v>55000</v>
      </c>
      <c r="G61" s="16">
        <v>65000</v>
      </c>
      <c r="H61" s="17">
        <v>60000</v>
      </c>
      <c r="I61" s="17">
        <v>60000</v>
      </c>
      <c r="J61" s="42">
        <v>55000</v>
      </c>
      <c r="K61" s="22">
        <f t="shared" si="0"/>
        <v>58571.428571428572</v>
      </c>
      <c r="M61" s="5"/>
      <c r="N61" s="5"/>
    </row>
    <row r="62" spans="1:14" ht="15.75" x14ac:dyDescent="0.25">
      <c r="A62" s="79">
        <v>17</v>
      </c>
      <c r="B62" s="32" t="s">
        <v>64</v>
      </c>
      <c r="C62" s="63"/>
      <c r="D62" s="83"/>
      <c r="E62" s="35"/>
      <c r="F62" s="65"/>
      <c r="G62" s="35"/>
      <c r="H62" s="66"/>
      <c r="I62" s="66"/>
      <c r="J62" s="67"/>
      <c r="K62" s="39"/>
      <c r="M62" s="5"/>
      <c r="N62" s="5"/>
    </row>
    <row r="63" spans="1:14" ht="15.75" x14ac:dyDescent="0.25">
      <c r="A63" s="82"/>
      <c r="B63" s="13" t="s">
        <v>65</v>
      </c>
      <c r="C63" s="14" t="s">
        <v>66</v>
      </c>
      <c r="D63" s="23">
        <v>19000</v>
      </c>
      <c r="E63" s="16">
        <v>18000</v>
      </c>
      <c r="F63" s="16">
        <v>18000</v>
      </c>
      <c r="G63" s="29">
        <v>18000</v>
      </c>
      <c r="H63" s="51" t="s">
        <v>100</v>
      </c>
      <c r="I63" s="26">
        <v>18000</v>
      </c>
      <c r="J63" s="28">
        <v>18000</v>
      </c>
      <c r="K63" s="22">
        <f t="shared" si="0"/>
        <v>18166.666666666668</v>
      </c>
      <c r="M63" s="5"/>
      <c r="N63" s="5"/>
    </row>
    <row r="64" spans="1:14" ht="15.75" x14ac:dyDescent="0.25">
      <c r="A64" s="182">
        <v>18</v>
      </c>
      <c r="B64" s="32" t="s">
        <v>67</v>
      </c>
      <c r="C64" s="32"/>
      <c r="D64" s="45"/>
      <c r="E64" s="36"/>
      <c r="F64" s="47"/>
      <c r="G64" s="47"/>
      <c r="H64" s="48"/>
      <c r="I64" s="48"/>
      <c r="J64" s="49"/>
      <c r="K64" s="39"/>
      <c r="M64" s="5"/>
      <c r="N64" s="5"/>
    </row>
    <row r="65" spans="1:14" ht="15.75" x14ac:dyDescent="0.25">
      <c r="A65" s="183"/>
      <c r="B65" s="13" t="s">
        <v>68</v>
      </c>
      <c r="C65" s="14" t="s">
        <v>6</v>
      </c>
      <c r="D65" s="23">
        <v>28000</v>
      </c>
      <c r="E65" s="16">
        <v>32000</v>
      </c>
      <c r="F65" s="16">
        <v>34000</v>
      </c>
      <c r="G65" s="16">
        <v>30000</v>
      </c>
      <c r="H65" s="17">
        <v>27000</v>
      </c>
      <c r="I65" s="17">
        <v>30000</v>
      </c>
      <c r="J65" s="42">
        <v>28000</v>
      </c>
      <c r="K65" s="22">
        <f t="shared" si="0"/>
        <v>29857.142857142859</v>
      </c>
      <c r="M65" s="5"/>
      <c r="N65" s="5"/>
    </row>
    <row r="66" spans="1:14" ht="15.75" x14ac:dyDescent="0.25">
      <c r="A66" s="183"/>
      <c r="B66" s="13" t="s">
        <v>69</v>
      </c>
      <c r="C66" s="14" t="s">
        <v>6</v>
      </c>
      <c r="D66" s="43">
        <v>26000</v>
      </c>
      <c r="E66" s="16">
        <v>26000</v>
      </c>
      <c r="F66" s="16">
        <v>30000</v>
      </c>
      <c r="G66" s="16">
        <v>25000</v>
      </c>
      <c r="H66" s="17">
        <v>26000</v>
      </c>
      <c r="I66" s="17">
        <v>25000</v>
      </c>
      <c r="J66" s="42">
        <v>25000</v>
      </c>
      <c r="K66" s="22">
        <f t="shared" si="0"/>
        <v>26142.857142857141</v>
      </c>
      <c r="M66" s="5"/>
      <c r="N66" s="5"/>
    </row>
    <row r="67" spans="1:14" ht="15.75" x14ac:dyDescent="0.25">
      <c r="A67" s="183"/>
      <c r="B67" s="13" t="s">
        <v>70</v>
      </c>
      <c r="C67" s="14" t="s">
        <v>6</v>
      </c>
      <c r="D67" s="23">
        <v>26000</v>
      </c>
      <c r="E67" s="16">
        <v>30000</v>
      </c>
      <c r="F67" s="16">
        <v>34000</v>
      </c>
      <c r="G67" s="16">
        <v>35000</v>
      </c>
      <c r="H67" s="17">
        <v>25000</v>
      </c>
      <c r="I67" s="17">
        <v>32000</v>
      </c>
      <c r="J67" s="42">
        <v>24000</v>
      </c>
      <c r="K67" s="22">
        <f t="shared" si="0"/>
        <v>29428.571428571428</v>
      </c>
      <c r="M67" s="5"/>
      <c r="N67" s="5"/>
    </row>
    <row r="68" spans="1:14" ht="15.75" x14ac:dyDescent="0.25">
      <c r="A68" s="184"/>
      <c r="B68" s="13" t="s">
        <v>71</v>
      </c>
      <c r="C68" s="14" t="s">
        <v>6</v>
      </c>
      <c r="D68" s="23">
        <v>18000</v>
      </c>
      <c r="E68" s="29">
        <v>22000</v>
      </c>
      <c r="F68" s="58">
        <v>20000</v>
      </c>
      <c r="G68" s="21">
        <v>25000</v>
      </c>
      <c r="H68" s="17">
        <v>20000</v>
      </c>
      <c r="I68" s="26">
        <v>23000</v>
      </c>
      <c r="J68" s="56">
        <v>22000</v>
      </c>
      <c r="K68" s="22">
        <f t="shared" si="0"/>
        <v>21428.571428571428</v>
      </c>
      <c r="M68" s="5"/>
      <c r="N68" s="5"/>
    </row>
    <row r="69" spans="1:14" ht="15.75" x14ac:dyDescent="0.25">
      <c r="A69" s="79">
        <v>19</v>
      </c>
      <c r="B69" s="32" t="s">
        <v>72</v>
      </c>
      <c r="C69" s="84"/>
      <c r="D69" s="83"/>
      <c r="E69" s="30"/>
      <c r="F69" s="35"/>
      <c r="G69" s="85"/>
      <c r="H69" s="66"/>
      <c r="I69" s="66"/>
      <c r="J69" s="81"/>
      <c r="K69" s="39"/>
      <c r="M69" s="5"/>
      <c r="N69" s="5"/>
    </row>
    <row r="70" spans="1:14" ht="15.75" x14ac:dyDescent="0.25">
      <c r="A70" s="86"/>
      <c r="B70" s="13" t="s">
        <v>73</v>
      </c>
      <c r="C70" s="68" t="s">
        <v>6</v>
      </c>
      <c r="D70" s="23">
        <v>6000</v>
      </c>
      <c r="E70" s="29">
        <v>7000</v>
      </c>
      <c r="F70" s="16">
        <v>5000</v>
      </c>
      <c r="G70" s="16">
        <v>6000</v>
      </c>
      <c r="H70" s="17">
        <v>4000</v>
      </c>
      <c r="I70" s="17">
        <v>6000</v>
      </c>
      <c r="J70" s="56">
        <v>5000</v>
      </c>
      <c r="K70" s="22">
        <f t="shared" si="0"/>
        <v>5571.4285714285716</v>
      </c>
      <c r="M70" s="5"/>
      <c r="N70" s="5"/>
    </row>
    <row r="71" spans="1:14" ht="15.75" x14ac:dyDescent="0.25">
      <c r="A71" s="82"/>
      <c r="B71" s="13" t="s">
        <v>74</v>
      </c>
      <c r="C71" s="68" t="s">
        <v>6</v>
      </c>
      <c r="D71" s="43" t="s">
        <v>100</v>
      </c>
      <c r="E71" s="29" t="s">
        <v>100</v>
      </c>
      <c r="F71" s="58">
        <v>5000</v>
      </c>
      <c r="G71" s="21">
        <v>6000</v>
      </c>
      <c r="H71" s="17">
        <v>5000</v>
      </c>
      <c r="I71" s="26">
        <v>6000</v>
      </c>
      <c r="J71" s="28">
        <v>6000</v>
      </c>
      <c r="K71" s="22">
        <f t="shared" si="0"/>
        <v>5600</v>
      </c>
      <c r="M71" s="5"/>
      <c r="N71" s="5"/>
    </row>
    <row r="72" spans="1:14" ht="15.75" x14ac:dyDescent="0.25">
      <c r="A72" s="79">
        <v>20</v>
      </c>
      <c r="B72" s="32" t="s">
        <v>75</v>
      </c>
      <c r="C72" s="84"/>
      <c r="D72" s="64"/>
      <c r="E72" s="35"/>
      <c r="F72" s="35"/>
      <c r="G72" s="65"/>
      <c r="H72" s="66"/>
      <c r="I72" s="66"/>
      <c r="J72" s="67"/>
      <c r="K72" s="39"/>
      <c r="M72" s="5"/>
      <c r="N72" s="5"/>
    </row>
    <row r="73" spans="1:14" ht="15.75" x14ac:dyDescent="0.25">
      <c r="A73" s="86"/>
      <c r="B73" s="13" t="s">
        <v>76</v>
      </c>
      <c r="C73" s="68" t="s">
        <v>6</v>
      </c>
      <c r="D73" s="23">
        <v>7000</v>
      </c>
      <c r="E73" s="16">
        <v>10000</v>
      </c>
      <c r="F73" s="16">
        <v>9000</v>
      </c>
      <c r="G73" s="16">
        <v>9000</v>
      </c>
      <c r="H73" s="17">
        <v>9000</v>
      </c>
      <c r="I73" s="27">
        <v>10000</v>
      </c>
      <c r="J73" s="42">
        <v>9000</v>
      </c>
      <c r="K73" s="22">
        <f t="shared" si="0"/>
        <v>9000</v>
      </c>
      <c r="M73" s="5"/>
      <c r="N73" s="5"/>
    </row>
    <row r="74" spans="1:14" ht="15.75" x14ac:dyDescent="0.25">
      <c r="A74" s="86"/>
      <c r="B74" s="13" t="s">
        <v>77</v>
      </c>
      <c r="C74" s="68" t="s">
        <v>6</v>
      </c>
      <c r="D74" s="23">
        <v>10000</v>
      </c>
      <c r="E74" s="16">
        <v>12000</v>
      </c>
      <c r="F74" s="16">
        <v>12000</v>
      </c>
      <c r="G74" s="16">
        <v>12000</v>
      </c>
      <c r="H74" s="17">
        <v>10000</v>
      </c>
      <c r="I74" s="27">
        <v>12000</v>
      </c>
      <c r="J74" s="42">
        <v>15000</v>
      </c>
      <c r="K74" s="22">
        <f t="shared" si="0"/>
        <v>11857.142857142857</v>
      </c>
      <c r="M74" s="5"/>
      <c r="N74" s="5"/>
    </row>
    <row r="75" spans="1:14" ht="15.75" x14ac:dyDescent="0.25">
      <c r="A75" s="86"/>
      <c r="B75" s="13" t="s">
        <v>78</v>
      </c>
      <c r="C75" s="68" t="s">
        <v>6</v>
      </c>
      <c r="D75" s="23">
        <v>14000</v>
      </c>
      <c r="E75" s="16">
        <v>15000</v>
      </c>
      <c r="F75" s="16">
        <v>17000</v>
      </c>
      <c r="G75" s="16">
        <v>15000</v>
      </c>
      <c r="H75" s="17">
        <v>15000</v>
      </c>
      <c r="I75" s="17">
        <v>16000</v>
      </c>
      <c r="J75" s="42">
        <v>15000</v>
      </c>
      <c r="K75" s="22">
        <f t="shared" si="0"/>
        <v>15285.714285714286</v>
      </c>
      <c r="M75" s="5"/>
      <c r="N75" s="5"/>
    </row>
    <row r="76" spans="1:14" ht="15.75" x14ac:dyDescent="0.25">
      <c r="A76" s="86"/>
      <c r="B76" s="13" t="s">
        <v>79</v>
      </c>
      <c r="C76" s="68" t="s">
        <v>6</v>
      </c>
      <c r="D76" s="23">
        <v>10000</v>
      </c>
      <c r="E76" s="16">
        <v>8000</v>
      </c>
      <c r="F76" s="16">
        <v>15000</v>
      </c>
      <c r="G76" s="16">
        <v>17000</v>
      </c>
      <c r="H76" s="17">
        <v>5000</v>
      </c>
      <c r="I76" s="55">
        <v>10000</v>
      </c>
      <c r="J76" s="42">
        <v>6000</v>
      </c>
      <c r="K76" s="22">
        <f t="shared" ref="K76:K83" si="1">AVERAGE(D76:J76)</f>
        <v>10142.857142857143</v>
      </c>
      <c r="M76" s="5"/>
      <c r="N76" s="5"/>
    </row>
    <row r="77" spans="1:14" ht="15.75" x14ac:dyDescent="0.25">
      <c r="A77" s="86"/>
      <c r="B77" s="13" t="s">
        <v>80</v>
      </c>
      <c r="C77" s="68" t="s">
        <v>6</v>
      </c>
      <c r="D77" s="23">
        <v>8000</v>
      </c>
      <c r="E77" s="16">
        <v>10000</v>
      </c>
      <c r="F77" s="16">
        <v>12000</v>
      </c>
      <c r="G77" s="16">
        <v>13000</v>
      </c>
      <c r="H77" s="17">
        <v>10000</v>
      </c>
      <c r="I77" s="17">
        <v>12000</v>
      </c>
      <c r="J77" s="42">
        <v>12000</v>
      </c>
      <c r="K77" s="22">
        <f t="shared" si="1"/>
        <v>11000</v>
      </c>
      <c r="M77" s="5"/>
      <c r="N77" s="5"/>
    </row>
    <row r="78" spans="1:14" ht="15.75" x14ac:dyDescent="0.25">
      <c r="A78" s="86"/>
      <c r="B78" s="13" t="s">
        <v>81</v>
      </c>
      <c r="C78" s="68" t="s">
        <v>6</v>
      </c>
      <c r="D78" s="43" t="s">
        <v>100</v>
      </c>
      <c r="E78" s="29">
        <v>10000</v>
      </c>
      <c r="F78" s="30" t="s">
        <v>100</v>
      </c>
      <c r="G78" s="21" t="s">
        <v>100</v>
      </c>
      <c r="H78" s="87">
        <v>9000</v>
      </c>
      <c r="I78" s="88">
        <v>10000</v>
      </c>
      <c r="J78" s="89">
        <v>8000</v>
      </c>
      <c r="K78" s="22">
        <f t="shared" si="1"/>
        <v>9250</v>
      </c>
      <c r="M78" s="5"/>
      <c r="N78" s="5"/>
    </row>
    <row r="79" spans="1:14" ht="15.75" x14ac:dyDescent="0.25">
      <c r="A79" s="86"/>
      <c r="B79" s="13" t="s">
        <v>82</v>
      </c>
      <c r="C79" s="68" t="s">
        <v>83</v>
      </c>
      <c r="D79" s="43" t="s">
        <v>100</v>
      </c>
      <c r="E79" s="29" t="s">
        <v>100</v>
      </c>
      <c r="F79" s="16">
        <v>2000</v>
      </c>
      <c r="G79" s="21">
        <v>2000</v>
      </c>
      <c r="H79" s="17">
        <v>1500</v>
      </c>
      <c r="I79" s="26">
        <v>2000</v>
      </c>
      <c r="J79" s="28">
        <v>1500</v>
      </c>
      <c r="K79" s="22">
        <f t="shared" si="1"/>
        <v>1800</v>
      </c>
      <c r="M79" s="5"/>
      <c r="N79" s="5"/>
    </row>
    <row r="80" spans="1:14" ht="15.75" x14ac:dyDescent="0.25">
      <c r="A80" s="86"/>
      <c r="B80" s="13" t="s">
        <v>84</v>
      </c>
      <c r="C80" s="68" t="s">
        <v>83</v>
      </c>
      <c r="D80" s="43" t="s">
        <v>100</v>
      </c>
      <c r="E80" s="29" t="s">
        <v>100</v>
      </c>
      <c r="F80" s="16">
        <v>1500</v>
      </c>
      <c r="G80" s="21">
        <v>2000</v>
      </c>
      <c r="H80" s="17">
        <v>1500</v>
      </c>
      <c r="I80" s="26">
        <v>1500</v>
      </c>
      <c r="J80" s="28">
        <v>1000</v>
      </c>
      <c r="K80" s="22">
        <f t="shared" si="1"/>
        <v>1500</v>
      </c>
      <c r="M80" s="5"/>
      <c r="N80" s="5"/>
    </row>
    <row r="81" spans="1:14" ht="15.75" x14ac:dyDescent="0.25">
      <c r="A81" s="82"/>
      <c r="B81" s="13" t="s">
        <v>85</v>
      </c>
      <c r="C81" s="68" t="s">
        <v>83</v>
      </c>
      <c r="D81" s="43" t="s">
        <v>100</v>
      </c>
      <c r="E81" s="29" t="s">
        <v>100</v>
      </c>
      <c r="F81" s="16">
        <v>2000</v>
      </c>
      <c r="G81" s="21">
        <v>2000</v>
      </c>
      <c r="H81" s="17">
        <v>2000</v>
      </c>
      <c r="I81" s="26">
        <v>2000</v>
      </c>
      <c r="J81" s="28">
        <v>2000</v>
      </c>
      <c r="K81" s="22">
        <f t="shared" si="1"/>
        <v>2000</v>
      </c>
      <c r="M81" s="5"/>
      <c r="N81" s="5"/>
    </row>
    <row r="82" spans="1:14" ht="15.75" x14ac:dyDescent="0.25">
      <c r="A82" s="79">
        <v>21</v>
      </c>
      <c r="B82" s="32" t="s">
        <v>86</v>
      </c>
      <c r="C82" s="84"/>
      <c r="D82" s="90"/>
      <c r="E82" s="30"/>
      <c r="F82" s="35" t="s">
        <v>104</v>
      </c>
      <c r="G82" s="65"/>
      <c r="H82" s="66"/>
      <c r="I82" s="66"/>
      <c r="J82" s="67"/>
      <c r="K82" s="39"/>
      <c r="M82" s="5"/>
      <c r="N82" s="5"/>
    </row>
    <row r="83" spans="1:14" ht="15.75" x14ac:dyDescent="0.25">
      <c r="A83" s="82"/>
      <c r="B83" s="13" t="s">
        <v>87</v>
      </c>
      <c r="C83" s="68" t="s">
        <v>88</v>
      </c>
      <c r="D83" s="43">
        <v>18000</v>
      </c>
      <c r="E83" s="29" t="s">
        <v>100</v>
      </c>
      <c r="F83" s="91" t="s">
        <v>100</v>
      </c>
      <c r="G83" s="21">
        <v>17000</v>
      </c>
      <c r="H83" s="51" t="s">
        <v>100</v>
      </c>
      <c r="I83" s="27">
        <v>19000</v>
      </c>
      <c r="J83" s="28">
        <v>18000</v>
      </c>
      <c r="K83" s="22">
        <f t="shared" si="1"/>
        <v>18000</v>
      </c>
      <c r="M83" s="5"/>
      <c r="N83" s="5"/>
    </row>
    <row r="84" spans="1:14" ht="15.75" x14ac:dyDescent="0.25">
      <c r="E84" s="4"/>
      <c r="J84" s="2"/>
      <c r="M84" s="5"/>
      <c r="N84" s="5"/>
    </row>
    <row r="85" spans="1:14" ht="15.75" x14ac:dyDescent="0.25">
      <c r="B85" s="92"/>
      <c r="J85" s="2"/>
      <c r="M85" s="5"/>
      <c r="N85" s="5"/>
    </row>
    <row r="86" spans="1:14" ht="15.75" x14ac:dyDescent="0.25">
      <c r="J86" s="2"/>
      <c r="M86" s="5"/>
      <c r="N86" s="5"/>
    </row>
    <row r="87" spans="1:14" ht="15.75" x14ac:dyDescent="0.25">
      <c r="A87" s="5"/>
      <c r="B87" s="5"/>
      <c r="C87" s="5"/>
      <c r="D87" s="78"/>
      <c r="E87" s="5"/>
      <c r="F87" s="5"/>
      <c r="G87" s="5"/>
      <c r="H87" s="5"/>
      <c r="I87" s="5"/>
      <c r="J87" s="40"/>
      <c r="K87" s="5"/>
      <c r="L87" s="5"/>
      <c r="M87" s="5"/>
      <c r="N87" s="5"/>
    </row>
  </sheetData>
  <mergeCells count="28">
    <mergeCell ref="A49:A50"/>
    <mergeCell ref="A51:A55"/>
    <mergeCell ref="A58:A61"/>
    <mergeCell ref="A64:A68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1"/>
    <mergeCell ref="A12:A14"/>
    <mergeCell ref="A15:A16"/>
    <mergeCell ref="A41:A43"/>
    <mergeCell ref="A47:A48"/>
    <mergeCell ref="A18:A19"/>
    <mergeCell ref="A20:A24"/>
    <mergeCell ref="A25:A31"/>
    <mergeCell ref="A32:A34"/>
    <mergeCell ref="A38:A40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9E29-D71B-4EA1-B164-A45408D8F168}">
  <dimension ref="A1:N87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142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208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209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210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13000</v>
      </c>
      <c r="E8" s="95">
        <v>12500</v>
      </c>
      <c r="F8" s="95">
        <v>14500</v>
      </c>
      <c r="G8" s="29">
        <v>12800</v>
      </c>
      <c r="H8" s="42">
        <v>14000</v>
      </c>
      <c r="I8" s="42">
        <v>13500</v>
      </c>
      <c r="J8" s="94">
        <v>13000</v>
      </c>
      <c r="K8" s="19">
        <f>AVERAGE(D8:J8)</f>
        <v>13328.571428571429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5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>
        <v>3</v>
      </c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3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15500</v>
      </c>
      <c r="K16" s="22">
        <f t="shared" si="0"/>
        <v>15142.857142857143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31000</v>
      </c>
      <c r="F24" s="16">
        <v>30000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30714.285714285714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45000</v>
      </c>
      <c r="E26" s="16">
        <v>40000</v>
      </c>
      <c r="F26" s="29" t="s">
        <v>100</v>
      </c>
      <c r="G26" s="16">
        <v>40000</v>
      </c>
      <c r="H26" s="17">
        <v>30000</v>
      </c>
      <c r="I26" s="26">
        <v>42000</v>
      </c>
      <c r="J26" s="42">
        <v>35000</v>
      </c>
      <c r="K26" s="22">
        <f t="shared" si="0"/>
        <v>38666.666666666664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80000</v>
      </c>
      <c r="J28" s="28">
        <v>60000</v>
      </c>
      <c r="K28" s="22">
        <f t="shared" si="0"/>
        <v>67166.666666666672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35000</v>
      </c>
      <c r="E30" s="16">
        <v>36000</v>
      </c>
      <c r="F30" s="16">
        <v>40000</v>
      </c>
      <c r="G30" s="16">
        <v>40000</v>
      </c>
      <c r="H30" s="17">
        <v>28000</v>
      </c>
      <c r="I30" s="26">
        <v>38000</v>
      </c>
      <c r="J30" s="42">
        <v>38000</v>
      </c>
      <c r="K30" s="22">
        <f t="shared" si="0"/>
        <v>36428.571428571428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26000</v>
      </c>
      <c r="F33" s="16">
        <v>26000</v>
      </c>
      <c r="G33" s="16">
        <v>26500</v>
      </c>
      <c r="H33" s="17">
        <v>25000</v>
      </c>
      <c r="I33" s="17">
        <v>26000</v>
      </c>
      <c r="J33" s="42">
        <v>26000</v>
      </c>
      <c r="K33" s="22">
        <f t="shared" si="0"/>
        <v>25928.571428571428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2">
        <v>8</v>
      </c>
      <c r="B35" s="44" t="s">
        <v>136</v>
      </c>
      <c r="C35" s="63"/>
      <c r="D35" s="23"/>
      <c r="E35" s="16"/>
      <c r="F35" s="59"/>
      <c r="G35" s="16"/>
      <c r="H35" s="17"/>
      <c r="I35" s="17"/>
      <c r="J35" s="42"/>
      <c r="K35" s="39"/>
      <c r="M35" s="5"/>
      <c r="N35" s="5"/>
    </row>
    <row r="36" spans="1:14" ht="15.75" x14ac:dyDescent="0.25">
      <c r="A36" s="12"/>
      <c r="B36" s="13" t="s">
        <v>137</v>
      </c>
      <c r="C36" s="14" t="s">
        <v>138</v>
      </c>
      <c r="D36" s="23">
        <v>1000</v>
      </c>
      <c r="E36" s="16">
        <v>1000</v>
      </c>
      <c r="F36" s="59">
        <v>3000</v>
      </c>
      <c r="G36" s="16">
        <v>3000</v>
      </c>
      <c r="H36" s="17">
        <v>4000</v>
      </c>
      <c r="I36" s="17">
        <v>2000</v>
      </c>
      <c r="J36" s="42">
        <v>3000</v>
      </c>
      <c r="K36" s="22">
        <f t="shared" si="0"/>
        <v>2428.5714285714284</v>
      </c>
      <c r="M36" s="5"/>
      <c r="N36" s="5"/>
    </row>
    <row r="37" spans="1:14" ht="15.75" x14ac:dyDescent="0.25">
      <c r="A37" s="12"/>
      <c r="B37" s="13" t="s">
        <v>139</v>
      </c>
      <c r="C37" s="14" t="s">
        <v>138</v>
      </c>
      <c r="D37" s="23">
        <v>2500</v>
      </c>
      <c r="E37" s="16">
        <v>2500</v>
      </c>
      <c r="F37" s="59">
        <v>5000</v>
      </c>
      <c r="G37" s="16">
        <v>3000</v>
      </c>
      <c r="H37" s="17">
        <v>2500</v>
      </c>
      <c r="I37" s="17">
        <v>5000</v>
      </c>
      <c r="J37" s="42">
        <v>3500</v>
      </c>
      <c r="K37" s="22">
        <f t="shared" si="0"/>
        <v>3428.5714285714284</v>
      </c>
      <c r="M37" s="5"/>
      <c r="N37" s="5"/>
    </row>
    <row r="38" spans="1:14" ht="15.75" x14ac:dyDescent="0.25">
      <c r="A38" s="182">
        <v>9</v>
      </c>
      <c r="B38" s="32" t="s">
        <v>34</v>
      </c>
      <c r="C38" s="44"/>
      <c r="D38" s="45"/>
      <c r="E38" s="36"/>
      <c r="F38" s="50"/>
      <c r="G38" s="47"/>
      <c r="H38" s="48"/>
      <c r="I38" s="48"/>
      <c r="J38" s="60"/>
      <c r="K38" s="39"/>
      <c r="M38" s="5"/>
      <c r="N38" s="5"/>
    </row>
    <row r="39" spans="1:14" ht="15.75" x14ac:dyDescent="0.25">
      <c r="A39" s="183"/>
      <c r="B39" s="13" t="s">
        <v>35</v>
      </c>
      <c r="C39" s="14" t="s">
        <v>36</v>
      </c>
      <c r="D39" s="23">
        <v>12500</v>
      </c>
      <c r="E39" s="29">
        <v>12000</v>
      </c>
      <c r="F39" s="16">
        <v>10000</v>
      </c>
      <c r="G39" s="16">
        <v>12000</v>
      </c>
      <c r="H39" s="51" t="s">
        <v>100</v>
      </c>
      <c r="I39" s="27">
        <v>12000</v>
      </c>
      <c r="J39" s="56">
        <v>10000</v>
      </c>
      <c r="K39" s="22">
        <f t="shared" si="0"/>
        <v>11416.666666666666</v>
      </c>
      <c r="M39" s="5"/>
      <c r="N39" s="5"/>
    </row>
    <row r="40" spans="1:14" ht="15.75" x14ac:dyDescent="0.25">
      <c r="A40" s="184"/>
      <c r="B40" s="13" t="s">
        <v>37</v>
      </c>
      <c r="C40" s="14" t="s">
        <v>38</v>
      </c>
      <c r="D40" s="43" t="s">
        <v>100</v>
      </c>
      <c r="E40" s="29">
        <v>37900</v>
      </c>
      <c r="F40" s="30" t="s">
        <v>100</v>
      </c>
      <c r="G40" s="16">
        <v>42500</v>
      </c>
      <c r="H40" s="51" t="s">
        <v>100</v>
      </c>
      <c r="I40" s="27" t="s">
        <v>100</v>
      </c>
      <c r="J40" s="52" t="s">
        <v>100</v>
      </c>
      <c r="K40" s="22">
        <f t="shared" si="0"/>
        <v>40200</v>
      </c>
      <c r="M40" s="5"/>
      <c r="N40" s="5"/>
    </row>
    <row r="41" spans="1:14" ht="15.75" x14ac:dyDescent="0.25">
      <c r="A41" s="182">
        <v>10</v>
      </c>
      <c r="B41" s="32" t="s">
        <v>39</v>
      </c>
      <c r="C41" s="44"/>
      <c r="D41" s="45"/>
      <c r="E41" s="61"/>
      <c r="F41" s="47"/>
      <c r="G41" s="50"/>
      <c r="H41" s="48"/>
      <c r="I41" s="48"/>
      <c r="J41" s="49"/>
      <c r="K41" s="39"/>
      <c r="M41" s="5"/>
      <c r="N41" s="5"/>
    </row>
    <row r="42" spans="1:14" ht="15.75" x14ac:dyDescent="0.25">
      <c r="A42" s="183"/>
      <c r="B42" s="13" t="s">
        <v>40</v>
      </c>
      <c r="C42" s="14" t="s">
        <v>41</v>
      </c>
      <c r="D42" s="43" t="s">
        <v>100</v>
      </c>
      <c r="E42" s="29" t="s">
        <v>100</v>
      </c>
      <c r="F42" s="30" t="s">
        <v>100</v>
      </c>
      <c r="G42" s="21" t="s">
        <v>100</v>
      </c>
      <c r="H42" s="17">
        <v>17500</v>
      </c>
      <c r="I42" s="27">
        <v>21000</v>
      </c>
      <c r="J42" s="28">
        <v>17500</v>
      </c>
      <c r="K42" s="22">
        <f t="shared" si="0"/>
        <v>18666.666666666668</v>
      </c>
      <c r="M42" s="5"/>
      <c r="N42" s="5"/>
    </row>
    <row r="43" spans="1:14" ht="15.75" x14ac:dyDescent="0.25">
      <c r="A43" s="183"/>
      <c r="B43" s="13" t="s">
        <v>42</v>
      </c>
      <c r="C43" s="14" t="s">
        <v>43</v>
      </c>
      <c r="D43" s="43" t="s">
        <v>100</v>
      </c>
      <c r="E43" s="29" t="s">
        <v>100</v>
      </c>
      <c r="F43" s="30" t="s">
        <v>100</v>
      </c>
      <c r="G43" s="21" t="s">
        <v>100</v>
      </c>
      <c r="H43" s="17">
        <v>2000</v>
      </c>
      <c r="I43" s="27">
        <v>2000</v>
      </c>
      <c r="J43" s="28">
        <v>2000</v>
      </c>
      <c r="K43" s="22">
        <f t="shared" si="0"/>
        <v>2000</v>
      </c>
      <c r="M43" s="5"/>
      <c r="N43" s="5"/>
    </row>
    <row r="44" spans="1:14" ht="15.75" x14ac:dyDescent="0.25">
      <c r="A44" s="12">
        <v>11</v>
      </c>
      <c r="B44" s="62" t="s">
        <v>44</v>
      </c>
      <c r="C44" s="63"/>
      <c r="D44" s="64"/>
      <c r="E44" s="35"/>
      <c r="F44" s="35"/>
      <c r="G44" s="65"/>
      <c r="H44" s="66"/>
      <c r="I44" s="66"/>
      <c r="J44" s="67"/>
      <c r="K44" s="39"/>
      <c r="M44" s="5"/>
      <c r="N44" s="5"/>
    </row>
    <row r="45" spans="1:14" ht="15.75" x14ac:dyDescent="0.25">
      <c r="A45" s="12"/>
      <c r="B45" s="13" t="s">
        <v>45</v>
      </c>
      <c r="C45" s="68" t="s">
        <v>6</v>
      </c>
      <c r="D45" s="23">
        <v>11000</v>
      </c>
      <c r="E45" s="16">
        <v>8000</v>
      </c>
      <c r="F45" s="16">
        <v>9000</v>
      </c>
      <c r="G45" s="16" t="s">
        <v>100</v>
      </c>
      <c r="H45" s="17">
        <v>9000</v>
      </c>
      <c r="I45" s="55">
        <v>10000</v>
      </c>
      <c r="J45" s="42">
        <v>8000</v>
      </c>
      <c r="K45" s="22">
        <f t="shared" si="0"/>
        <v>9166.6666666666661</v>
      </c>
      <c r="M45" s="5"/>
      <c r="N45" s="5"/>
    </row>
    <row r="46" spans="1:14" ht="15.75" x14ac:dyDescent="0.25">
      <c r="A46" s="31"/>
      <c r="B46" s="13" t="s">
        <v>46</v>
      </c>
      <c r="C46" s="68" t="s">
        <v>6</v>
      </c>
      <c r="D46" s="23">
        <v>9000</v>
      </c>
      <c r="E46" s="16">
        <v>10000</v>
      </c>
      <c r="F46" s="69" t="s">
        <v>100</v>
      </c>
      <c r="G46" s="16">
        <v>12000</v>
      </c>
      <c r="H46" s="17">
        <v>6000</v>
      </c>
      <c r="I46" s="26" t="s">
        <v>100</v>
      </c>
      <c r="J46" s="42">
        <v>6000</v>
      </c>
      <c r="K46" s="22">
        <f t="shared" si="0"/>
        <v>8600</v>
      </c>
      <c r="M46" s="5"/>
      <c r="N46" s="5"/>
    </row>
    <row r="47" spans="1:14" ht="15.75" x14ac:dyDescent="0.25">
      <c r="A47" s="182">
        <v>12</v>
      </c>
      <c r="B47" s="32" t="s">
        <v>47</v>
      </c>
      <c r="C47" s="44"/>
      <c r="D47" s="45"/>
      <c r="E47" s="36"/>
      <c r="F47" s="50"/>
      <c r="G47" s="50"/>
      <c r="H47" s="48"/>
      <c r="I47" s="48"/>
      <c r="J47" s="60"/>
      <c r="K47" s="39"/>
      <c r="M47" s="5"/>
      <c r="N47" s="5"/>
    </row>
    <row r="48" spans="1:14" ht="15.75" x14ac:dyDescent="0.25">
      <c r="A48" s="184"/>
      <c r="B48" s="13" t="s">
        <v>48</v>
      </c>
      <c r="C48" s="14" t="s">
        <v>49</v>
      </c>
      <c r="D48" s="23">
        <v>3000</v>
      </c>
      <c r="E48" s="16">
        <v>8000</v>
      </c>
      <c r="F48" s="16">
        <v>2000</v>
      </c>
      <c r="G48" s="16">
        <v>4000</v>
      </c>
      <c r="H48" s="17">
        <v>2500</v>
      </c>
      <c r="I48" s="27">
        <v>4000</v>
      </c>
      <c r="J48" s="56" t="s">
        <v>100</v>
      </c>
      <c r="K48" s="22">
        <f t="shared" si="0"/>
        <v>3916.6666666666665</v>
      </c>
      <c r="M48" s="5"/>
      <c r="N48" s="5"/>
    </row>
    <row r="49" spans="1:14" ht="15.75" x14ac:dyDescent="0.25">
      <c r="A49" s="182">
        <v>13</v>
      </c>
      <c r="B49" s="32" t="s">
        <v>50</v>
      </c>
      <c r="C49" s="63"/>
      <c r="D49" s="70"/>
      <c r="E49" s="61"/>
      <c r="F49" s="71"/>
      <c r="G49" s="72"/>
      <c r="H49" s="73"/>
      <c r="I49" s="73"/>
      <c r="J49" s="74"/>
      <c r="K49" s="39"/>
      <c r="M49" s="5"/>
      <c r="N49" s="5"/>
    </row>
    <row r="50" spans="1:14" ht="15.75" x14ac:dyDescent="0.25">
      <c r="A50" s="184"/>
      <c r="B50" s="75" t="s">
        <v>51</v>
      </c>
      <c r="C50" s="68" t="s">
        <v>6</v>
      </c>
      <c r="D50" s="23">
        <v>10000</v>
      </c>
      <c r="E50" s="16">
        <v>10500</v>
      </c>
      <c r="F50" s="16">
        <v>12000</v>
      </c>
      <c r="G50" s="16">
        <v>12000</v>
      </c>
      <c r="H50" s="17">
        <v>11500</v>
      </c>
      <c r="I50" s="17">
        <v>11500</v>
      </c>
      <c r="J50" s="42">
        <v>7000</v>
      </c>
      <c r="K50" s="22">
        <f t="shared" si="0"/>
        <v>10642.857142857143</v>
      </c>
      <c r="M50" s="5"/>
      <c r="N50" s="5"/>
    </row>
    <row r="51" spans="1:14" ht="15.75" x14ac:dyDescent="0.25">
      <c r="A51" s="182">
        <v>14</v>
      </c>
      <c r="B51" s="32" t="s">
        <v>52</v>
      </c>
      <c r="C51" s="44"/>
      <c r="D51" s="45"/>
      <c r="E51" s="36"/>
      <c r="F51" s="50"/>
      <c r="G51" s="47"/>
      <c r="H51" s="48"/>
      <c r="I51" s="48"/>
      <c r="J51" s="60"/>
      <c r="K51" s="39"/>
      <c r="M51" s="5"/>
      <c r="N51" s="5"/>
    </row>
    <row r="52" spans="1:14" ht="15.75" x14ac:dyDescent="0.25">
      <c r="A52" s="183"/>
      <c r="B52" s="13" t="s">
        <v>53</v>
      </c>
      <c r="C52" s="14" t="s">
        <v>6</v>
      </c>
      <c r="D52" s="23">
        <v>15000</v>
      </c>
      <c r="E52" s="16">
        <v>16000</v>
      </c>
      <c r="F52" s="16">
        <v>17000</v>
      </c>
      <c r="G52" s="16">
        <v>18000</v>
      </c>
      <c r="H52" s="17">
        <v>12000</v>
      </c>
      <c r="I52" s="26">
        <v>17000</v>
      </c>
      <c r="J52" s="56" t="s">
        <v>100</v>
      </c>
      <c r="K52" s="22">
        <f t="shared" si="0"/>
        <v>15833.333333333334</v>
      </c>
      <c r="M52" s="5"/>
      <c r="N52" s="5"/>
    </row>
    <row r="53" spans="1:14" ht="15.75" x14ac:dyDescent="0.25">
      <c r="A53" s="183"/>
      <c r="B53" s="13" t="s">
        <v>54</v>
      </c>
      <c r="C53" s="14" t="s">
        <v>6</v>
      </c>
      <c r="D53" s="43">
        <v>12000</v>
      </c>
      <c r="E53" s="16">
        <v>14000</v>
      </c>
      <c r="F53" s="30" t="s">
        <v>100</v>
      </c>
      <c r="G53" s="76" t="s">
        <v>100</v>
      </c>
      <c r="H53" s="77" t="s">
        <v>100</v>
      </c>
      <c r="I53" s="55" t="s">
        <v>100</v>
      </c>
      <c r="J53" s="56">
        <v>13500</v>
      </c>
      <c r="K53" s="22">
        <f t="shared" si="0"/>
        <v>13166.666666666666</v>
      </c>
      <c r="M53" s="5" t="s">
        <v>103</v>
      </c>
      <c r="N53" s="5"/>
    </row>
    <row r="54" spans="1:14" ht="15.75" x14ac:dyDescent="0.25">
      <c r="A54" s="183"/>
      <c r="B54" s="13" t="s">
        <v>55</v>
      </c>
      <c r="C54" s="14" t="s">
        <v>6</v>
      </c>
      <c r="D54" s="23">
        <v>23000</v>
      </c>
      <c r="E54" s="16">
        <v>23000</v>
      </c>
      <c r="F54" s="16">
        <v>26000</v>
      </c>
      <c r="G54" s="16">
        <v>26000</v>
      </c>
      <c r="H54" s="17">
        <v>22000</v>
      </c>
      <c r="I54" s="17">
        <v>26000</v>
      </c>
      <c r="J54" s="56">
        <v>26000</v>
      </c>
      <c r="K54" s="22">
        <f t="shared" si="0"/>
        <v>24571.428571428572</v>
      </c>
      <c r="M54" s="5"/>
      <c r="N54" s="78"/>
    </row>
    <row r="55" spans="1:14" ht="15.75" x14ac:dyDescent="0.25">
      <c r="A55" s="184"/>
      <c r="B55" s="13" t="s">
        <v>56</v>
      </c>
      <c r="C55" s="14" t="s">
        <v>6</v>
      </c>
      <c r="D55" s="23">
        <v>26000</v>
      </c>
      <c r="E55" s="16">
        <v>30000</v>
      </c>
      <c r="F55" s="16">
        <v>28000</v>
      </c>
      <c r="G55" s="16">
        <v>30000</v>
      </c>
      <c r="H55" s="17">
        <v>26000</v>
      </c>
      <c r="I55" s="17">
        <v>29000</v>
      </c>
      <c r="J55" s="56">
        <v>28000</v>
      </c>
      <c r="K55" s="22">
        <f t="shared" si="0"/>
        <v>28142.857142857141</v>
      </c>
      <c r="M55" s="5"/>
      <c r="N55" s="5"/>
    </row>
    <row r="56" spans="1:14" ht="15.75" x14ac:dyDescent="0.25">
      <c r="A56" s="79">
        <v>15</v>
      </c>
      <c r="B56" s="32" t="s">
        <v>57</v>
      </c>
      <c r="C56" s="63"/>
      <c r="D56" s="80"/>
      <c r="E56" s="35"/>
      <c r="F56" s="65"/>
      <c r="G56" s="35"/>
      <c r="H56" s="66"/>
      <c r="I56" s="66"/>
      <c r="J56" s="81"/>
      <c r="K56" s="39"/>
      <c r="M56" s="5"/>
      <c r="N56" s="5"/>
    </row>
    <row r="57" spans="1:14" ht="15.75" x14ac:dyDescent="0.25">
      <c r="A57" s="82"/>
      <c r="B57" s="13" t="s">
        <v>58</v>
      </c>
      <c r="C57" s="68" t="s">
        <v>59</v>
      </c>
      <c r="D57" s="23">
        <v>3000</v>
      </c>
      <c r="E57" s="16">
        <v>3200</v>
      </c>
      <c r="F57" s="16">
        <v>3000</v>
      </c>
      <c r="G57" s="16">
        <v>3000</v>
      </c>
      <c r="H57" s="51" t="s">
        <v>100</v>
      </c>
      <c r="I57" s="27">
        <v>3500</v>
      </c>
      <c r="J57" s="42">
        <v>3500</v>
      </c>
      <c r="K57" s="22">
        <f t="shared" si="0"/>
        <v>3200</v>
      </c>
      <c r="M57" s="5"/>
      <c r="N57" s="5"/>
    </row>
    <row r="58" spans="1:14" ht="15.75" x14ac:dyDescent="0.25">
      <c r="A58" s="182">
        <v>16</v>
      </c>
      <c r="B58" s="32" t="s">
        <v>60</v>
      </c>
      <c r="C58" s="44"/>
      <c r="D58" s="45"/>
      <c r="E58" s="36"/>
      <c r="F58" s="50"/>
      <c r="G58" s="50"/>
      <c r="H58" s="48"/>
      <c r="I58" s="48"/>
      <c r="J58" s="60"/>
      <c r="K58" s="39"/>
      <c r="M58" s="5"/>
      <c r="N58" s="5"/>
    </row>
    <row r="59" spans="1:14" ht="15.75" x14ac:dyDescent="0.25">
      <c r="A59" s="183"/>
      <c r="B59" s="13" t="s">
        <v>61</v>
      </c>
      <c r="C59" s="14" t="s">
        <v>6</v>
      </c>
      <c r="D59" s="23">
        <v>32000</v>
      </c>
      <c r="E59" s="16">
        <v>30000</v>
      </c>
      <c r="F59" s="16">
        <v>38000</v>
      </c>
      <c r="G59" s="16">
        <v>40000</v>
      </c>
      <c r="H59" s="17">
        <v>35000</v>
      </c>
      <c r="I59" s="17">
        <v>35000</v>
      </c>
      <c r="J59" s="42">
        <v>35000</v>
      </c>
      <c r="K59" s="22">
        <f t="shared" si="0"/>
        <v>35000</v>
      </c>
      <c r="M59" s="5"/>
      <c r="N59" s="5"/>
    </row>
    <row r="60" spans="1:14" ht="15.75" x14ac:dyDescent="0.25">
      <c r="A60" s="183"/>
      <c r="B60" s="13" t="s">
        <v>62</v>
      </c>
      <c r="C60" s="14" t="s">
        <v>6</v>
      </c>
      <c r="D60" s="43">
        <v>45000</v>
      </c>
      <c r="E60" s="16">
        <v>40000</v>
      </c>
      <c r="F60" s="16">
        <v>50000</v>
      </c>
      <c r="G60" s="16">
        <v>50000</v>
      </c>
      <c r="H60" s="77" t="s">
        <v>100</v>
      </c>
      <c r="I60" s="55" t="s">
        <v>100</v>
      </c>
      <c r="J60" s="56" t="s">
        <v>100</v>
      </c>
      <c r="K60" s="22">
        <f t="shared" si="0"/>
        <v>46250</v>
      </c>
      <c r="M60" s="5"/>
      <c r="N60" s="5"/>
    </row>
    <row r="61" spans="1:14" ht="15.75" x14ac:dyDescent="0.25">
      <c r="A61" s="184"/>
      <c r="B61" s="13" t="s">
        <v>63</v>
      </c>
      <c r="C61" s="14" t="s">
        <v>6</v>
      </c>
      <c r="D61" s="23">
        <v>55000</v>
      </c>
      <c r="E61" s="16">
        <v>60000</v>
      </c>
      <c r="F61" s="16">
        <v>55000</v>
      </c>
      <c r="G61" s="16">
        <v>65000</v>
      </c>
      <c r="H61" s="17">
        <v>60000</v>
      </c>
      <c r="I61" s="17">
        <v>65000</v>
      </c>
      <c r="J61" s="42">
        <v>55000</v>
      </c>
      <c r="K61" s="22">
        <f t="shared" si="0"/>
        <v>59285.714285714283</v>
      </c>
      <c r="M61" s="5"/>
      <c r="N61" s="5"/>
    </row>
    <row r="62" spans="1:14" ht="15.75" x14ac:dyDescent="0.25">
      <c r="A62" s="79">
        <v>17</v>
      </c>
      <c r="B62" s="32" t="s">
        <v>64</v>
      </c>
      <c r="C62" s="63"/>
      <c r="D62" s="83"/>
      <c r="E62" s="35"/>
      <c r="F62" s="65"/>
      <c r="G62" s="35"/>
      <c r="H62" s="66"/>
      <c r="I62" s="66"/>
      <c r="J62" s="67"/>
      <c r="K62" s="39"/>
      <c r="M62" s="5"/>
      <c r="N62" s="5"/>
    </row>
    <row r="63" spans="1:14" ht="15.75" x14ac:dyDescent="0.25">
      <c r="A63" s="82"/>
      <c r="B63" s="13" t="s">
        <v>65</v>
      </c>
      <c r="C63" s="14" t="s">
        <v>66</v>
      </c>
      <c r="D63" s="23">
        <v>19000</v>
      </c>
      <c r="E63" s="16">
        <v>18000</v>
      </c>
      <c r="F63" s="16">
        <v>18000</v>
      </c>
      <c r="G63" s="29">
        <v>18000</v>
      </c>
      <c r="H63" s="51" t="s">
        <v>100</v>
      </c>
      <c r="I63" s="26">
        <v>18000</v>
      </c>
      <c r="J63" s="28">
        <v>18000</v>
      </c>
      <c r="K63" s="22">
        <f t="shared" si="0"/>
        <v>18166.666666666668</v>
      </c>
      <c r="M63" s="5"/>
      <c r="N63" s="5"/>
    </row>
    <row r="64" spans="1:14" ht="15.75" x14ac:dyDescent="0.25">
      <c r="A64" s="182">
        <v>18</v>
      </c>
      <c r="B64" s="32" t="s">
        <v>67</v>
      </c>
      <c r="C64" s="32"/>
      <c r="D64" s="45"/>
      <c r="E64" s="36"/>
      <c r="F64" s="47"/>
      <c r="G64" s="47"/>
      <c r="H64" s="48"/>
      <c r="I64" s="48"/>
      <c r="J64" s="49"/>
      <c r="K64" s="39"/>
      <c r="M64" s="5"/>
      <c r="N64" s="5"/>
    </row>
    <row r="65" spans="1:14" ht="15.75" x14ac:dyDescent="0.25">
      <c r="A65" s="183"/>
      <c r="B65" s="13" t="s">
        <v>68</v>
      </c>
      <c r="C65" s="14" t="s">
        <v>6</v>
      </c>
      <c r="D65" s="23">
        <v>28000</v>
      </c>
      <c r="E65" s="16">
        <v>32000</v>
      </c>
      <c r="F65" s="16">
        <v>32000</v>
      </c>
      <c r="G65" s="16">
        <v>30000</v>
      </c>
      <c r="H65" s="17">
        <v>27000</v>
      </c>
      <c r="I65" s="17">
        <v>35000</v>
      </c>
      <c r="J65" s="42">
        <v>28000</v>
      </c>
      <c r="K65" s="22">
        <f t="shared" si="0"/>
        <v>30285.714285714286</v>
      </c>
      <c r="M65" s="5"/>
      <c r="N65" s="5"/>
    </row>
    <row r="66" spans="1:14" ht="15.75" x14ac:dyDescent="0.25">
      <c r="A66" s="183"/>
      <c r="B66" s="13" t="s">
        <v>69</v>
      </c>
      <c r="C66" s="14" t="s">
        <v>6</v>
      </c>
      <c r="D66" s="43">
        <v>26000</v>
      </c>
      <c r="E66" s="16">
        <v>26000</v>
      </c>
      <c r="F66" s="16">
        <v>30000</v>
      </c>
      <c r="G66" s="16">
        <v>25000</v>
      </c>
      <c r="H66" s="17">
        <v>26000</v>
      </c>
      <c r="I66" s="17">
        <v>25000</v>
      </c>
      <c r="J66" s="42">
        <v>25000</v>
      </c>
      <c r="K66" s="22">
        <f t="shared" si="0"/>
        <v>26142.857142857141</v>
      </c>
      <c r="M66" s="5"/>
      <c r="N66" s="5"/>
    </row>
    <row r="67" spans="1:14" ht="15.75" x14ac:dyDescent="0.25">
      <c r="A67" s="183"/>
      <c r="B67" s="13" t="s">
        <v>70</v>
      </c>
      <c r="C67" s="14" t="s">
        <v>6</v>
      </c>
      <c r="D67" s="23">
        <v>26000</v>
      </c>
      <c r="E67" s="16">
        <v>30000</v>
      </c>
      <c r="F67" s="16">
        <v>36000</v>
      </c>
      <c r="G67" s="16">
        <v>35000</v>
      </c>
      <c r="H67" s="17">
        <v>25000</v>
      </c>
      <c r="I67" s="17">
        <v>32000</v>
      </c>
      <c r="J67" s="42">
        <v>24000</v>
      </c>
      <c r="K67" s="22">
        <f t="shared" si="0"/>
        <v>29714.285714285714</v>
      </c>
      <c r="M67" s="5"/>
      <c r="N67" s="5"/>
    </row>
    <row r="68" spans="1:14" ht="15.75" x14ac:dyDescent="0.25">
      <c r="A68" s="184"/>
      <c r="B68" s="13" t="s">
        <v>71</v>
      </c>
      <c r="C68" s="14" t="s">
        <v>6</v>
      </c>
      <c r="D68" s="23">
        <v>18000</v>
      </c>
      <c r="E68" s="29">
        <v>22000</v>
      </c>
      <c r="F68" s="58">
        <v>20000</v>
      </c>
      <c r="G68" s="21">
        <v>25000</v>
      </c>
      <c r="H68" s="17">
        <v>20000</v>
      </c>
      <c r="I68" s="26">
        <v>23000</v>
      </c>
      <c r="J68" s="56">
        <v>22000</v>
      </c>
      <c r="K68" s="22">
        <f t="shared" si="0"/>
        <v>21428.571428571428</v>
      </c>
      <c r="M68" s="5"/>
      <c r="N68" s="5"/>
    </row>
    <row r="69" spans="1:14" ht="15.75" x14ac:dyDescent="0.25">
      <c r="A69" s="79">
        <v>19</v>
      </c>
      <c r="B69" s="32" t="s">
        <v>72</v>
      </c>
      <c r="C69" s="84"/>
      <c r="D69" s="83"/>
      <c r="E69" s="30"/>
      <c r="F69" s="35"/>
      <c r="G69" s="85"/>
      <c r="H69" s="66"/>
      <c r="I69" s="66"/>
      <c r="J69" s="81"/>
      <c r="K69" s="39"/>
      <c r="M69" s="5"/>
      <c r="N69" s="5"/>
    </row>
    <row r="70" spans="1:14" ht="15.75" x14ac:dyDescent="0.25">
      <c r="A70" s="86"/>
      <c r="B70" s="13" t="s">
        <v>73</v>
      </c>
      <c r="C70" s="68" t="s">
        <v>6</v>
      </c>
      <c r="D70" s="23">
        <v>6000</v>
      </c>
      <c r="E70" s="29">
        <v>7000</v>
      </c>
      <c r="F70" s="16">
        <v>5000</v>
      </c>
      <c r="G70" s="16">
        <v>6000</v>
      </c>
      <c r="H70" s="17">
        <v>4000</v>
      </c>
      <c r="I70" s="17">
        <v>6000</v>
      </c>
      <c r="J70" s="56">
        <v>5000</v>
      </c>
      <c r="K70" s="22">
        <f t="shared" si="0"/>
        <v>5571.4285714285716</v>
      </c>
      <c r="M70" s="5"/>
      <c r="N70" s="5"/>
    </row>
    <row r="71" spans="1:14" ht="15.75" x14ac:dyDescent="0.25">
      <c r="A71" s="82"/>
      <c r="B71" s="13" t="s">
        <v>74</v>
      </c>
      <c r="C71" s="68" t="s">
        <v>6</v>
      </c>
      <c r="D71" s="43" t="s">
        <v>100</v>
      </c>
      <c r="E71" s="29" t="s">
        <v>100</v>
      </c>
      <c r="F71" s="58">
        <v>5000</v>
      </c>
      <c r="G71" s="21">
        <v>6000</v>
      </c>
      <c r="H71" s="17">
        <v>5000</v>
      </c>
      <c r="I71" s="26">
        <v>6000</v>
      </c>
      <c r="J71" s="28">
        <v>6000</v>
      </c>
      <c r="K71" s="22">
        <f t="shared" si="0"/>
        <v>5600</v>
      </c>
      <c r="M71" s="5"/>
      <c r="N71" s="5"/>
    </row>
    <row r="72" spans="1:14" ht="15.75" x14ac:dyDescent="0.25">
      <c r="A72" s="79">
        <v>20</v>
      </c>
      <c r="B72" s="32" t="s">
        <v>75</v>
      </c>
      <c r="C72" s="84"/>
      <c r="D72" s="64"/>
      <c r="E72" s="35"/>
      <c r="F72" s="35"/>
      <c r="G72" s="65"/>
      <c r="H72" s="66"/>
      <c r="I72" s="66"/>
      <c r="J72" s="67"/>
      <c r="K72" s="39"/>
      <c r="M72" s="5"/>
      <c r="N72" s="5"/>
    </row>
    <row r="73" spans="1:14" ht="15.75" x14ac:dyDescent="0.25">
      <c r="A73" s="86"/>
      <c r="B73" s="13" t="s">
        <v>76</v>
      </c>
      <c r="C73" s="68" t="s">
        <v>6</v>
      </c>
      <c r="D73" s="23">
        <v>7000</v>
      </c>
      <c r="E73" s="16">
        <v>10000</v>
      </c>
      <c r="F73" s="16">
        <v>9000</v>
      </c>
      <c r="G73" s="16">
        <v>9000</v>
      </c>
      <c r="H73" s="17">
        <v>9000</v>
      </c>
      <c r="I73" s="27">
        <v>10000</v>
      </c>
      <c r="J73" s="42">
        <v>9000</v>
      </c>
      <c r="K73" s="22">
        <f t="shared" si="0"/>
        <v>9000</v>
      </c>
      <c r="M73" s="5"/>
      <c r="N73" s="5"/>
    </row>
    <row r="74" spans="1:14" ht="15.75" x14ac:dyDescent="0.25">
      <c r="A74" s="86"/>
      <c r="B74" s="13" t="s">
        <v>77</v>
      </c>
      <c r="C74" s="68" t="s">
        <v>6</v>
      </c>
      <c r="D74" s="23">
        <v>10000</v>
      </c>
      <c r="E74" s="16">
        <v>12000</v>
      </c>
      <c r="F74" s="16">
        <v>12000</v>
      </c>
      <c r="G74" s="16">
        <v>12000</v>
      </c>
      <c r="H74" s="17">
        <v>10000</v>
      </c>
      <c r="I74" s="27">
        <v>12000</v>
      </c>
      <c r="J74" s="42">
        <v>15000</v>
      </c>
      <c r="K74" s="22">
        <f t="shared" si="0"/>
        <v>11857.142857142857</v>
      </c>
      <c r="M74" s="5"/>
      <c r="N74" s="5"/>
    </row>
    <row r="75" spans="1:14" ht="15.75" x14ac:dyDescent="0.25">
      <c r="A75" s="86"/>
      <c r="B75" s="13" t="s">
        <v>78</v>
      </c>
      <c r="C75" s="68" t="s">
        <v>6</v>
      </c>
      <c r="D75" s="23">
        <v>14000</v>
      </c>
      <c r="E75" s="16">
        <v>15000</v>
      </c>
      <c r="F75" s="16">
        <v>17000</v>
      </c>
      <c r="G75" s="16">
        <v>15000</v>
      </c>
      <c r="H75" s="17">
        <v>15000</v>
      </c>
      <c r="I75" s="17">
        <v>16000</v>
      </c>
      <c r="J75" s="42">
        <v>15000</v>
      </c>
      <c r="K75" s="22">
        <f t="shared" si="0"/>
        <v>15285.714285714286</v>
      </c>
      <c r="M75" s="5"/>
      <c r="N75" s="5"/>
    </row>
    <row r="76" spans="1:14" ht="15.75" x14ac:dyDescent="0.25">
      <c r="A76" s="86"/>
      <c r="B76" s="13" t="s">
        <v>79</v>
      </c>
      <c r="C76" s="68" t="s">
        <v>6</v>
      </c>
      <c r="D76" s="23">
        <v>10000</v>
      </c>
      <c r="E76" s="16">
        <v>8000</v>
      </c>
      <c r="F76" s="16">
        <v>15000</v>
      </c>
      <c r="G76" s="16">
        <v>17000</v>
      </c>
      <c r="H76" s="17">
        <v>5000</v>
      </c>
      <c r="I76" s="55">
        <v>8000</v>
      </c>
      <c r="J76" s="42">
        <v>6000</v>
      </c>
      <c r="K76" s="22">
        <f t="shared" ref="K76:K83" si="1">AVERAGE(D76:J76)</f>
        <v>9857.1428571428569</v>
      </c>
      <c r="M76" s="5"/>
      <c r="N76" s="5"/>
    </row>
    <row r="77" spans="1:14" ht="15.75" x14ac:dyDescent="0.25">
      <c r="A77" s="86"/>
      <c r="B77" s="13" t="s">
        <v>80</v>
      </c>
      <c r="C77" s="68" t="s">
        <v>6</v>
      </c>
      <c r="D77" s="23">
        <v>8000</v>
      </c>
      <c r="E77" s="16">
        <v>10000</v>
      </c>
      <c r="F77" s="16">
        <v>12000</v>
      </c>
      <c r="G77" s="16">
        <v>13000</v>
      </c>
      <c r="H77" s="17">
        <v>10000</v>
      </c>
      <c r="I77" s="17">
        <v>12000</v>
      </c>
      <c r="J77" s="42">
        <v>12000</v>
      </c>
      <c r="K77" s="22">
        <f t="shared" si="1"/>
        <v>11000</v>
      </c>
      <c r="M77" s="5"/>
      <c r="N77" s="5"/>
    </row>
    <row r="78" spans="1:14" ht="15.75" x14ac:dyDescent="0.25">
      <c r="A78" s="86"/>
      <c r="B78" s="13" t="s">
        <v>81</v>
      </c>
      <c r="C78" s="68" t="s">
        <v>6</v>
      </c>
      <c r="D78" s="43" t="s">
        <v>100</v>
      </c>
      <c r="E78" s="29">
        <v>10000</v>
      </c>
      <c r="F78" s="30" t="s">
        <v>100</v>
      </c>
      <c r="G78" s="21" t="s">
        <v>100</v>
      </c>
      <c r="H78" s="87">
        <v>9000</v>
      </c>
      <c r="I78" s="88">
        <v>10000</v>
      </c>
      <c r="J78" s="89">
        <v>8000</v>
      </c>
      <c r="K78" s="22">
        <f t="shared" si="1"/>
        <v>9250</v>
      </c>
      <c r="M78" s="5"/>
      <c r="N78" s="5"/>
    </row>
    <row r="79" spans="1:14" ht="15.75" x14ac:dyDescent="0.25">
      <c r="A79" s="86"/>
      <c r="B79" s="13" t="s">
        <v>82</v>
      </c>
      <c r="C79" s="68" t="s">
        <v>83</v>
      </c>
      <c r="D79" s="43" t="s">
        <v>100</v>
      </c>
      <c r="E79" s="29" t="s">
        <v>100</v>
      </c>
      <c r="F79" s="16">
        <v>2000</v>
      </c>
      <c r="G79" s="21">
        <v>2000</v>
      </c>
      <c r="H79" s="17">
        <v>1500</v>
      </c>
      <c r="I79" s="26">
        <v>2000</v>
      </c>
      <c r="J79" s="28">
        <v>1500</v>
      </c>
      <c r="K79" s="22">
        <f t="shared" si="1"/>
        <v>1800</v>
      </c>
      <c r="M79" s="5"/>
      <c r="N79" s="5"/>
    </row>
    <row r="80" spans="1:14" ht="15.75" x14ac:dyDescent="0.25">
      <c r="A80" s="86"/>
      <c r="B80" s="13" t="s">
        <v>84</v>
      </c>
      <c r="C80" s="68" t="s">
        <v>83</v>
      </c>
      <c r="D80" s="43" t="s">
        <v>100</v>
      </c>
      <c r="E80" s="29" t="s">
        <v>100</v>
      </c>
      <c r="F80" s="16">
        <v>1500</v>
      </c>
      <c r="G80" s="21">
        <v>2000</v>
      </c>
      <c r="H80" s="17">
        <v>1500</v>
      </c>
      <c r="I80" s="26">
        <v>1500</v>
      </c>
      <c r="J80" s="28">
        <v>1000</v>
      </c>
      <c r="K80" s="22">
        <f t="shared" si="1"/>
        <v>1500</v>
      </c>
      <c r="M80" s="5"/>
      <c r="N80" s="5"/>
    </row>
    <row r="81" spans="1:14" ht="15.75" x14ac:dyDescent="0.25">
      <c r="A81" s="82"/>
      <c r="B81" s="13" t="s">
        <v>85</v>
      </c>
      <c r="C81" s="68" t="s">
        <v>83</v>
      </c>
      <c r="D81" s="43" t="s">
        <v>100</v>
      </c>
      <c r="E81" s="29" t="s">
        <v>100</v>
      </c>
      <c r="F81" s="16">
        <v>2000</v>
      </c>
      <c r="G81" s="21">
        <v>2000</v>
      </c>
      <c r="H81" s="17">
        <v>2000</v>
      </c>
      <c r="I81" s="26">
        <v>2000</v>
      </c>
      <c r="J81" s="28">
        <v>2000</v>
      </c>
      <c r="K81" s="22">
        <f t="shared" si="1"/>
        <v>2000</v>
      </c>
      <c r="M81" s="5"/>
      <c r="N81" s="5"/>
    </row>
    <row r="82" spans="1:14" ht="15.75" x14ac:dyDescent="0.25">
      <c r="A82" s="79">
        <v>21</v>
      </c>
      <c r="B82" s="32" t="s">
        <v>86</v>
      </c>
      <c r="C82" s="84"/>
      <c r="D82" s="90"/>
      <c r="E82" s="30"/>
      <c r="F82" s="35" t="s">
        <v>104</v>
      </c>
      <c r="G82" s="65"/>
      <c r="H82" s="66"/>
      <c r="I82" s="66"/>
      <c r="J82" s="67"/>
      <c r="K82" s="39"/>
      <c r="M82" s="5"/>
      <c r="N82" s="5"/>
    </row>
    <row r="83" spans="1:14" ht="15.75" x14ac:dyDescent="0.25">
      <c r="A83" s="82"/>
      <c r="B83" s="13" t="s">
        <v>87</v>
      </c>
      <c r="C83" s="68" t="s">
        <v>88</v>
      </c>
      <c r="D83" s="43">
        <v>18000</v>
      </c>
      <c r="E83" s="29" t="s">
        <v>100</v>
      </c>
      <c r="F83" s="91" t="s">
        <v>100</v>
      </c>
      <c r="G83" s="21">
        <v>17000</v>
      </c>
      <c r="H83" s="51" t="s">
        <v>100</v>
      </c>
      <c r="I83" s="27">
        <v>19000</v>
      </c>
      <c r="J83" s="28">
        <v>18000</v>
      </c>
      <c r="K83" s="22">
        <f t="shared" si="1"/>
        <v>18000</v>
      </c>
      <c r="M83" s="5"/>
      <c r="N83" s="5"/>
    </row>
    <row r="84" spans="1:14" ht="15.75" x14ac:dyDescent="0.25">
      <c r="E84" s="4"/>
      <c r="J84" s="2"/>
      <c r="M84" s="5"/>
      <c r="N84" s="5"/>
    </row>
    <row r="85" spans="1:14" ht="15.75" x14ac:dyDescent="0.25">
      <c r="B85" s="92"/>
      <c r="J85" s="2"/>
      <c r="M85" s="5"/>
      <c r="N85" s="5"/>
    </row>
    <row r="86" spans="1:14" ht="15.75" x14ac:dyDescent="0.25">
      <c r="J86" s="2"/>
      <c r="M86" s="5"/>
      <c r="N86" s="5"/>
    </row>
    <row r="87" spans="1:14" ht="15.75" x14ac:dyDescent="0.25">
      <c r="A87" s="5"/>
      <c r="B87" s="5"/>
      <c r="C87" s="5"/>
      <c r="D87" s="78"/>
      <c r="E87" s="5"/>
      <c r="F87" s="5"/>
      <c r="G87" s="5"/>
      <c r="H87" s="5"/>
      <c r="I87" s="5"/>
      <c r="J87" s="40"/>
      <c r="K87" s="5"/>
      <c r="L87" s="5"/>
      <c r="M87" s="5"/>
      <c r="N87" s="5"/>
    </row>
  </sheetData>
  <mergeCells count="28">
    <mergeCell ref="A49:A50"/>
    <mergeCell ref="A51:A55"/>
    <mergeCell ref="A58:A61"/>
    <mergeCell ref="A64:A68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1"/>
    <mergeCell ref="A12:A14"/>
    <mergeCell ref="A15:A16"/>
    <mergeCell ref="A41:A43"/>
    <mergeCell ref="A47:A48"/>
    <mergeCell ref="A18:A19"/>
    <mergeCell ref="A20:A24"/>
    <mergeCell ref="A25:A31"/>
    <mergeCell ref="A32:A34"/>
    <mergeCell ref="A38:A40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7B4E-187C-4E72-A971-CBE71679BF7F}">
  <dimension ref="A1:N87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143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208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209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210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13000</v>
      </c>
      <c r="E8" s="95">
        <v>12500</v>
      </c>
      <c r="F8" s="95">
        <v>14500</v>
      </c>
      <c r="G8" s="29">
        <v>12800</v>
      </c>
      <c r="H8" s="42">
        <v>14000</v>
      </c>
      <c r="I8" s="42">
        <v>13500</v>
      </c>
      <c r="J8" s="94">
        <v>13000</v>
      </c>
      <c r="K8" s="19">
        <f>AVERAGE(D8:J8)</f>
        <v>13328.571428571429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5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>
        <v>3</v>
      </c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3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14500</v>
      </c>
      <c r="J16" s="42">
        <v>15500</v>
      </c>
      <c r="K16" s="22">
        <f t="shared" si="0"/>
        <v>15142.857142857143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31000</v>
      </c>
      <c r="F24" s="16">
        <v>31000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30857.142857142859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45000</v>
      </c>
      <c r="E26" s="16">
        <v>40000</v>
      </c>
      <c r="F26" s="29" t="s">
        <v>100</v>
      </c>
      <c r="G26" s="16">
        <v>40000</v>
      </c>
      <c r="H26" s="17">
        <v>30000</v>
      </c>
      <c r="I26" s="26">
        <v>42000</v>
      </c>
      <c r="J26" s="42">
        <v>35000</v>
      </c>
      <c r="K26" s="22">
        <f t="shared" si="0"/>
        <v>38666.666666666664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80000</v>
      </c>
      <c r="J28" s="28">
        <v>60000</v>
      </c>
      <c r="K28" s="22">
        <f t="shared" si="0"/>
        <v>67166.666666666672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35000</v>
      </c>
      <c r="E30" s="16">
        <v>36000</v>
      </c>
      <c r="F30" s="16">
        <v>40000</v>
      </c>
      <c r="G30" s="16">
        <v>40000</v>
      </c>
      <c r="H30" s="17">
        <v>28000</v>
      </c>
      <c r="I30" s="26">
        <v>38000</v>
      </c>
      <c r="J30" s="42">
        <v>38000</v>
      </c>
      <c r="K30" s="22">
        <f t="shared" si="0"/>
        <v>36428.571428571428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26000</v>
      </c>
      <c r="F33" s="16">
        <v>26000</v>
      </c>
      <c r="G33" s="16">
        <v>26500</v>
      </c>
      <c r="H33" s="17">
        <v>25000</v>
      </c>
      <c r="I33" s="17">
        <v>26000</v>
      </c>
      <c r="J33" s="42">
        <v>26000</v>
      </c>
      <c r="K33" s="22">
        <f t="shared" si="0"/>
        <v>25928.571428571428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2">
        <v>8</v>
      </c>
      <c r="B35" s="44" t="s">
        <v>136</v>
      </c>
      <c r="C35" s="63"/>
      <c r="D35" s="23"/>
      <c r="E35" s="16"/>
      <c r="F35" s="59"/>
      <c r="G35" s="16"/>
      <c r="H35" s="17"/>
      <c r="I35" s="17"/>
      <c r="J35" s="42"/>
      <c r="K35" s="39"/>
      <c r="M35" s="5"/>
      <c r="N35" s="5"/>
    </row>
    <row r="36" spans="1:14" ht="15.75" x14ac:dyDescent="0.25">
      <c r="A36" s="12"/>
      <c r="B36" s="13" t="s">
        <v>137</v>
      </c>
      <c r="C36" s="14" t="s">
        <v>138</v>
      </c>
      <c r="D36" s="23">
        <v>1000</v>
      </c>
      <c r="E36" s="16">
        <v>1000</v>
      </c>
      <c r="F36" s="59">
        <v>3000</v>
      </c>
      <c r="G36" s="16">
        <v>3000</v>
      </c>
      <c r="H36" s="17">
        <v>4000</v>
      </c>
      <c r="I36" s="17">
        <v>1200</v>
      </c>
      <c r="J36" s="42">
        <v>3000</v>
      </c>
      <c r="K36" s="22">
        <f t="shared" si="0"/>
        <v>2314.2857142857142</v>
      </c>
      <c r="M36" s="5"/>
      <c r="N36" s="5"/>
    </row>
    <row r="37" spans="1:14" ht="15.75" x14ac:dyDescent="0.25">
      <c r="A37" s="12"/>
      <c r="B37" s="13" t="s">
        <v>139</v>
      </c>
      <c r="C37" s="14" t="s">
        <v>138</v>
      </c>
      <c r="D37" s="23">
        <v>2500</v>
      </c>
      <c r="E37" s="16">
        <v>2500</v>
      </c>
      <c r="F37" s="59">
        <v>5000</v>
      </c>
      <c r="G37" s="16">
        <v>3000</v>
      </c>
      <c r="H37" s="17">
        <v>2500</v>
      </c>
      <c r="I37" s="17">
        <v>5000</v>
      </c>
      <c r="J37" s="42">
        <v>3500</v>
      </c>
      <c r="K37" s="22">
        <f t="shared" si="0"/>
        <v>3428.5714285714284</v>
      </c>
      <c r="M37" s="5"/>
      <c r="N37" s="5"/>
    </row>
    <row r="38" spans="1:14" ht="15.75" x14ac:dyDescent="0.25">
      <c r="A38" s="182">
        <v>9</v>
      </c>
      <c r="B38" s="32" t="s">
        <v>34</v>
      </c>
      <c r="C38" s="44"/>
      <c r="D38" s="45"/>
      <c r="E38" s="36"/>
      <c r="F38" s="50"/>
      <c r="G38" s="47"/>
      <c r="H38" s="48"/>
      <c r="I38" s="48"/>
      <c r="J38" s="60"/>
      <c r="K38" s="39"/>
      <c r="M38" s="5"/>
      <c r="N38" s="5"/>
    </row>
    <row r="39" spans="1:14" ht="15.75" x14ac:dyDescent="0.25">
      <c r="A39" s="183"/>
      <c r="B39" s="13" t="s">
        <v>35</v>
      </c>
      <c r="C39" s="14" t="s">
        <v>36</v>
      </c>
      <c r="D39" s="23">
        <v>12500</v>
      </c>
      <c r="E39" s="29">
        <v>12000</v>
      </c>
      <c r="F39" s="16">
        <v>10000</v>
      </c>
      <c r="G39" s="16">
        <v>12000</v>
      </c>
      <c r="H39" s="51" t="s">
        <v>100</v>
      </c>
      <c r="I39" s="27">
        <v>12000</v>
      </c>
      <c r="J39" s="56">
        <v>10000</v>
      </c>
      <c r="K39" s="22">
        <f t="shared" si="0"/>
        <v>11416.666666666666</v>
      </c>
      <c r="M39" s="5"/>
      <c r="N39" s="5"/>
    </row>
    <row r="40" spans="1:14" ht="15.75" x14ac:dyDescent="0.25">
      <c r="A40" s="184"/>
      <c r="B40" s="13" t="s">
        <v>37</v>
      </c>
      <c r="C40" s="14" t="s">
        <v>38</v>
      </c>
      <c r="D40" s="43" t="s">
        <v>100</v>
      </c>
      <c r="E40" s="29">
        <v>37900</v>
      </c>
      <c r="F40" s="30" t="s">
        <v>100</v>
      </c>
      <c r="G40" s="16">
        <v>42500</v>
      </c>
      <c r="H40" s="51" t="s">
        <v>100</v>
      </c>
      <c r="I40" s="27" t="s">
        <v>100</v>
      </c>
      <c r="J40" s="52" t="s">
        <v>100</v>
      </c>
      <c r="K40" s="22">
        <f t="shared" si="0"/>
        <v>40200</v>
      </c>
      <c r="M40" s="5"/>
      <c r="N40" s="5"/>
    </row>
    <row r="41" spans="1:14" ht="15.75" x14ac:dyDescent="0.25">
      <c r="A41" s="182">
        <v>10</v>
      </c>
      <c r="B41" s="32" t="s">
        <v>39</v>
      </c>
      <c r="C41" s="44"/>
      <c r="D41" s="45"/>
      <c r="E41" s="61"/>
      <c r="F41" s="47"/>
      <c r="G41" s="50"/>
      <c r="H41" s="48"/>
      <c r="I41" s="48"/>
      <c r="J41" s="49"/>
      <c r="K41" s="39"/>
      <c r="M41" s="5"/>
      <c r="N41" s="5"/>
    </row>
    <row r="42" spans="1:14" ht="15.75" x14ac:dyDescent="0.25">
      <c r="A42" s="183"/>
      <c r="B42" s="13" t="s">
        <v>40</v>
      </c>
      <c r="C42" s="14" t="s">
        <v>41</v>
      </c>
      <c r="D42" s="43" t="s">
        <v>100</v>
      </c>
      <c r="E42" s="29" t="s">
        <v>100</v>
      </c>
      <c r="F42" s="30" t="s">
        <v>100</v>
      </c>
      <c r="G42" s="21" t="s">
        <v>100</v>
      </c>
      <c r="H42" s="17">
        <v>17500</v>
      </c>
      <c r="I42" s="27">
        <v>21000</v>
      </c>
      <c r="J42" s="28">
        <v>17500</v>
      </c>
      <c r="K42" s="22">
        <f t="shared" si="0"/>
        <v>18666.666666666668</v>
      </c>
      <c r="M42" s="5"/>
      <c r="N42" s="5"/>
    </row>
    <row r="43" spans="1:14" ht="15.75" x14ac:dyDescent="0.25">
      <c r="A43" s="183"/>
      <c r="B43" s="13" t="s">
        <v>42</v>
      </c>
      <c r="C43" s="14" t="s">
        <v>43</v>
      </c>
      <c r="D43" s="43" t="s">
        <v>100</v>
      </c>
      <c r="E43" s="29" t="s">
        <v>100</v>
      </c>
      <c r="F43" s="30" t="s">
        <v>100</v>
      </c>
      <c r="G43" s="21" t="s">
        <v>100</v>
      </c>
      <c r="H43" s="17">
        <v>2000</v>
      </c>
      <c r="I43" s="27">
        <v>2000</v>
      </c>
      <c r="J43" s="28">
        <v>2000</v>
      </c>
      <c r="K43" s="22">
        <f t="shared" si="0"/>
        <v>2000</v>
      </c>
      <c r="M43" s="5"/>
      <c r="N43" s="5"/>
    </row>
    <row r="44" spans="1:14" ht="15.75" x14ac:dyDescent="0.25">
      <c r="A44" s="12">
        <v>11</v>
      </c>
      <c r="B44" s="62" t="s">
        <v>44</v>
      </c>
      <c r="C44" s="63"/>
      <c r="D44" s="64"/>
      <c r="E44" s="35"/>
      <c r="F44" s="35"/>
      <c r="G44" s="65"/>
      <c r="H44" s="66"/>
      <c r="I44" s="66"/>
      <c r="J44" s="67"/>
      <c r="K44" s="39"/>
      <c r="M44" s="5"/>
      <c r="N44" s="5"/>
    </row>
    <row r="45" spans="1:14" ht="15.75" x14ac:dyDescent="0.25">
      <c r="A45" s="12"/>
      <c r="B45" s="13" t="s">
        <v>45</v>
      </c>
      <c r="C45" s="68" t="s">
        <v>6</v>
      </c>
      <c r="D45" s="23">
        <v>11000</v>
      </c>
      <c r="E45" s="16">
        <v>8000</v>
      </c>
      <c r="F45" s="16">
        <v>9000</v>
      </c>
      <c r="G45" s="16" t="s">
        <v>100</v>
      </c>
      <c r="H45" s="17">
        <v>9000</v>
      </c>
      <c r="I45" s="55">
        <v>10000</v>
      </c>
      <c r="J45" s="42">
        <v>8000</v>
      </c>
      <c r="K45" s="22">
        <f t="shared" si="0"/>
        <v>9166.6666666666661</v>
      </c>
      <c r="M45" s="5"/>
      <c r="N45" s="5"/>
    </row>
    <row r="46" spans="1:14" ht="15.75" x14ac:dyDescent="0.25">
      <c r="A46" s="31"/>
      <c r="B46" s="13" t="s">
        <v>46</v>
      </c>
      <c r="C46" s="68" t="s">
        <v>6</v>
      </c>
      <c r="D46" s="23">
        <v>9000</v>
      </c>
      <c r="E46" s="16">
        <v>10000</v>
      </c>
      <c r="F46" s="69" t="s">
        <v>100</v>
      </c>
      <c r="G46" s="16">
        <v>12000</v>
      </c>
      <c r="H46" s="17">
        <v>6000</v>
      </c>
      <c r="I46" s="26" t="s">
        <v>100</v>
      </c>
      <c r="J46" s="42">
        <v>6000</v>
      </c>
      <c r="K46" s="22">
        <f t="shared" si="0"/>
        <v>8600</v>
      </c>
      <c r="M46" s="5"/>
      <c r="N46" s="5"/>
    </row>
    <row r="47" spans="1:14" ht="15.75" x14ac:dyDescent="0.25">
      <c r="A47" s="182">
        <v>12</v>
      </c>
      <c r="B47" s="32" t="s">
        <v>47</v>
      </c>
      <c r="C47" s="44"/>
      <c r="D47" s="45"/>
      <c r="E47" s="36"/>
      <c r="F47" s="50"/>
      <c r="G47" s="50"/>
      <c r="H47" s="48"/>
      <c r="I47" s="48"/>
      <c r="J47" s="60"/>
      <c r="K47" s="39"/>
      <c r="M47" s="5"/>
      <c r="N47" s="5"/>
    </row>
    <row r="48" spans="1:14" ht="15.75" x14ac:dyDescent="0.25">
      <c r="A48" s="184"/>
      <c r="B48" s="13" t="s">
        <v>48</v>
      </c>
      <c r="C48" s="14" t="s">
        <v>49</v>
      </c>
      <c r="D48" s="23">
        <v>3000</v>
      </c>
      <c r="E48" s="16">
        <v>8000</v>
      </c>
      <c r="F48" s="16">
        <v>2000</v>
      </c>
      <c r="G48" s="16">
        <v>4000</v>
      </c>
      <c r="H48" s="17">
        <v>2500</v>
      </c>
      <c r="I48" s="27">
        <v>4000</v>
      </c>
      <c r="J48" s="56" t="s">
        <v>100</v>
      </c>
      <c r="K48" s="22">
        <f t="shared" si="0"/>
        <v>3916.6666666666665</v>
      </c>
      <c r="M48" s="5"/>
      <c r="N48" s="5"/>
    </row>
    <row r="49" spans="1:14" ht="15.75" x14ac:dyDescent="0.25">
      <c r="A49" s="182">
        <v>13</v>
      </c>
      <c r="B49" s="32" t="s">
        <v>50</v>
      </c>
      <c r="C49" s="63"/>
      <c r="D49" s="70"/>
      <c r="E49" s="61"/>
      <c r="F49" s="71"/>
      <c r="G49" s="72"/>
      <c r="H49" s="73"/>
      <c r="I49" s="73"/>
      <c r="J49" s="74"/>
      <c r="K49" s="39"/>
      <c r="M49" s="5"/>
      <c r="N49" s="5"/>
    </row>
    <row r="50" spans="1:14" ht="15.75" x14ac:dyDescent="0.25">
      <c r="A50" s="184"/>
      <c r="B50" s="75" t="s">
        <v>51</v>
      </c>
      <c r="C50" s="68" t="s">
        <v>6</v>
      </c>
      <c r="D50" s="23">
        <v>10000</v>
      </c>
      <c r="E50" s="16">
        <v>10500</v>
      </c>
      <c r="F50" s="16">
        <v>12000</v>
      </c>
      <c r="G50" s="16">
        <v>12000</v>
      </c>
      <c r="H50" s="17">
        <v>11500</v>
      </c>
      <c r="I50" s="17">
        <v>11500</v>
      </c>
      <c r="J50" s="42">
        <v>7000</v>
      </c>
      <c r="K50" s="22">
        <f t="shared" si="0"/>
        <v>10642.857142857143</v>
      </c>
      <c r="M50" s="5"/>
      <c r="N50" s="5"/>
    </row>
    <row r="51" spans="1:14" ht="15.75" x14ac:dyDescent="0.25">
      <c r="A51" s="182">
        <v>14</v>
      </c>
      <c r="B51" s="32" t="s">
        <v>52</v>
      </c>
      <c r="C51" s="44"/>
      <c r="D51" s="45"/>
      <c r="E51" s="36"/>
      <c r="F51" s="50"/>
      <c r="G51" s="47"/>
      <c r="H51" s="48"/>
      <c r="I51" s="48"/>
      <c r="J51" s="60"/>
      <c r="K51" s="39"/>
      <c r="M51" s="5"/>
      <c r="N51" s="5"/>
    </row>
    <row r="52" spans="1:14" ht="15.75" x14ac:dyDescent="0.25">
      <c r="A52" s="183"/>
      <c r="B52" s="13" t="s">
        <v>53</v>
      </c>
      <c r="C52" s="14" t="s">
        <v>6</v>
      </c>
      <c r="D52" s="23">
        <v>15000</v>
      </c>
      <c r="E52" s="16">
        <v>16000</v>
      </c>
      <c r="F52" s="16">
        <v>17000</v>
      </c>
      <c r="G52" s="16">
        <v>18000</v>
      </c>
      <c r="H52" s="17">
        <v>12000</v>
      </c>
      <c r="I52" s="26">
        <v>17000</v>
      </c>
      <c r="J52" s="56" t="s">
        <v>100</v>
      </c>
      <c r="K52" s="22">
        <f t="shared" si="0"/>
        <v>15833.333333333334</v>
      </c>
      <c r="M52" s="5"/>
      <c r="N52" s="5"/>
    </row>
    <row r="53" spans="1:14" ht="15.75" x14ac:dyDescent="0.25">
      <c r="A53" s="183"/>
      <c r="B53" s="13" t="s">
        <v>54</v>
      </c>
      <c r="C53" s="14" t="s">
        <v>6</v>
      </c>
      <c r="D53" s="43">
        <v>12000</v>
      </c>
      <c r="E53" s="16">
        <v>14000</v>
      </c>
      <c r="F53" s="30" t="s">
        <v>100</v>
      </c>
      <c r="G53" s="76" t="s">
        <v>100</v>
      </c>
      <c r="H53" s="77" t="s">
        <v>100</v>
      </c>
      <c r="I53" s="55" t="s">
        <v>100</v>
      </c>
      <c r="J53" s="56">
        <v>13500</v>
      </c>
      <c r="K53" s="22">
        <f t="shared" si="0"/>
        <v>13166.666666666666</v>
      </c>
      <c r="M53" s="5" t="s">
        <v>103</v>
      </c>
      <c r="N53" s="5"/>
    </row>
    <row r="54" spans="1:14" ht="15.75" x14ac:dyDescent="0.25">
      <c r="A54" s="183"/>
      <c r="B54" s="13" t="s">
        <v>55</v>
      </c>
      <c r="C54" s="14" t="s">
        <v>6</v>
      </c>
      <c r="D54" s="23">
        <v>23000</v>
      </c>
      <c r="E54" s="16">
        <v>23000</v>
      </c>
      <c r="F54" s="16">
        <v>26000</v>
      </c>
      <c r="G54" s="16">
        <v>26000</v>
      </c>
      <c r="H54" s="17">
        <v>22000</v>
      </c>
      <c r="I54" s="17">
        <v>26000</v>
      </c>
      <c r="J54" s="56">
        <v>26000</v>
      </c>
      <c r="K54" s="22">
        <f t="shared" si="0"/>
        <v>24571.428571428572</v>
      </c>
      <c r="M54" s="5"/>
      <c r="N54" s="78"/>
    </row>
    <row r="55" spans="1:14" ht="15.75" x14ac:dyDescent="0.25">
      <c r="A55" s="184"/>
      <c r="B55" s="13" t="s">
        <v>56</v>
      </c>
      <c r="C55" s="14" t="s">
        <v>6</v>
      </c>
      <c r="D55" s="23">
        <v>26000</v>
      </c>
      <c r="E55" s="16">
        <v>30000</v>
      </c>
      <c r="F55" s="16">
        <v>28000</v>
      </c>
      <c r="G55" s="16">
        <v>30000</v>
      </c>
      <c r="H55" s="17">
        <v>26000</v>
      </c>
      <c r="I55" s="17">
        <v>29000</v>
      </c>
      <c r="J55" s="56">
        <v>28000</v>
      </c>
      <c r="K55" s="22">
        <f t="shared" si="0"/>
        <v>28142.857142857141</v>
      </c>
      <c r="M55" s="5"/>
      <c r="N55" s="5"/>
    </row>
    <row r="56" spans="1:14" ht="15.75" x14ac:dyDescent="0.25">
      <c r="A56" s="79">
        <v>15</v>
      </c>
      <c r="B56" s="32" t="s">
        <v>57</v>
      </c>
      <c r="C56" s="63"/>
      <c r="D56" s="80"/>
      <c r="E56" s="35"/>
      <c r="F56" s="65"/>
      <c r="G56" s="35"/>
      <c r="H56" s="66"/>
      <c r="I56" s="66"/>
      <c r="J56" s="81"/>
      <c r="K56" s="39"/>
      <c r="M56" s="5"/>
      <c r="N56" s="5"/>
    </row>
    <row r="57" spans="1:14" ht="15.75" x14ac:dyDescent="0.25">
      <c r="A57" s="82"/>
      <c r="B57" s="13" t="s">
        <v>58</v>
      </c>
      <c r="C57" s="68" t="s">
        <v>59</v>
      </c>
      <c r="D57" s="23">
        <v>3000</v>
      </c>
      <c r="E57" s="16">
        <v>3200</v>
      </c>
      <c r="F57" s="16">
        <v>3000</v>
      </c>
      <c r="G57" s="16">
        <v>3000</v>
      </c>
      <c r="H57" s="51" t="s">
        <v>100</v>
      </c>
      <c r="I57" s="27">
        <v>3500</v>
      </c>
      <c r="J57" s="42">
        <v>3500</v>
      </c>
      <c r="K57" s="22">
        <f t="shared" si="0"/>
        <v>3200</v>
      </c>
      <c r="M57" s="5"/>
      <c r="N57" s="5"/>
    </row>
    <row r="58" spans="1:14" ht="15.75" x14ac:dyDescent="0.25">
      <c r="A58" s="182">
        <v>16</v>
      </c>
      <c r="B58" s="32" t="s">
        <v>60</v>
      </c>
      <c r="C58" s="44"/>
      <c r="D58" s="45"/>
      <c r="E58" s="36"/>
      <c r="F58" s="50"/>
      <c r="G58" s="50"/>
      <c r="H58" s="48"/>
      <c r="I58" s="48"/>
      <c r="J58" s="60"/>
      <c r="K58" s="39"/>
      <c r="M58" s="5"/>
      <c r="N58" s="5"/>
    </row>
    <row r="59" spans="1:14" ht="15.75" x14ac:dyDescent="0.25">
      <c r="A59" s="183"/>
      <c r="B59" s="13" t="s">
        <v>61</v>
      </c>
      <c r="C59" s="14" t="s">
        <v>6</v>
      </c>
      <c r="D59" s="23">
        <v>32000</v>
      </c>
      <c r="E59" s="16">
        <v>30000</v>
      </c>
      <c r="F59" s="16">
        <v>38000</v>
      </c>
      <c r="G59" s="16">
        <v>40000</v>
      </c>
      <c r="H59" s="17">
        <v>35000</v>
      </c>
      <c r="I59" s="17">
        <v>35000</v>
      </c>
      <c r="J59" s="42">
        <v>35000</v>
      </c>
      <c r="K59" s="22">
        <f t="shared" si="0"/>
        <v>35000</v>
      </c>
      <c r="M59" s="5"/>
      <c r="N59" s="5"/>
    </row>
    <row r="60" spans="1:14" ht="15.75" x14ac:dyDescent="0.25">
      <c r="A60" s="183"/>
      <c r="B60" s="13" t="s">
        <v>62</v>
      </c>
      <c r="C60" s="14" t="s">
        <v>6</v>
      </c>
      <c r="D60" s="43">
        <v>45000</v>
      </c>
      <c r="E60" s="16">
        <v>40000</v>
      </c>
      <c r="F60" s="16">
        <v>50000</v>
      </c>
      <c r="G60" s="16">
        <v>50000</v>
      </c>
      <c r="H60" s="77" t="s">
        <v>100</v>
      </c>
      <c r="I60" s="55" t="s">
        <v>100</v>
      </c>
      <c r="J60" s="56" t="s">
        <v>100</v>
      </c>
      <c r="K60" s="22">
        <f t="shared" si="0"/>
        <v>46250</v>
      </c>
      <c r="M60" s="5"/>
      <c r="N60" s="5"/>
    </row>
    <row r="61" spans="1:14" ht="15.75" x14ac:dyDescent="0.25">
      <c r="A61" s="184"/>
      <c r="B61" s="13" t="s">
        <v>63</v>
      </c>
      <c r="C61" s="14" t="s">
        <v>6</v>
      </c>
      <c r="D61" s="23">
        <v>55000</v>
      </c>
      <c r="E61" s="16">
        <v>60000</v>
      </c>
      <c r="F61" s="16">
        <v>50000</v>
      </c>
      <c r="G61" s="16">
        <v>65000</v>
      </c>
      <c r="H61" s="17">
        <v>60000</v>
      </c>
      <c r="I61" s="17">
        <v>65000</v>
      </c>
      <c r="J61" s="42">
        <v>55000</v>
      </c>
      <c r="K61" s="22">
        <f t="shared" si="0"/>
        <v>58571.428571428572</v>
      </c>
      <c r="M61" s="5"/>
      <c r="N61" s="5"/>
    </row>
    <row r="62" spans="1:14" ht="15.75" x14ac:dyDescent="0.25">
      <c r="A62" s="79">
        <v>17</v>
      </c>
      <c r="B62" s="32" t="s">
        <v>64</v>
      </c>
      <c r="C62" s="63"/>
      <c r="D62" s="83"/>
      <c r="E62" s="35"/>
      <c r="F62" s="65"/>
      <c r="G62" s="35"/>
      <c r="H62" s="66"/>
      <c r="I62" s="66"/>
      <c r="J62" s="67"/>
      <c r="K62" s="39"/>
      <c r="M62" s="5"/>
      <c r="N62" s="5"/>
    </row>
    <row r="63" spans="1:14" ht="15.75" x14ac:dyDescent="0.25">
      <c r="A63" s="82"/>
      <c r="B63" s="13" t="s">
        <v>65</v>
      </c>
      <c r="C63" s="14" t="s">
        <v>66</v>
      </c>
      <c r="D63" s="23">
        <v>19000</v>
      </c>
      <c r="E63" s="16">
        <v>18000</v>
      </c>
      <c r="F63" s="16">
        <v>18000</v>
      </c>
      <c r="G63" s="29">
        <v>18000</v>
      </c>
      <c r="H63" s="51" t="s">
        <v>100</v>
      </c>
      <c r="I63" s="26">
        <v>18000</v>
      </c>
      <c r="J63" s="28">
        <v>18000</v>
      </c>
      <c r="K63" s="22">
        <f t="shared" si="0"/>
        <v>18166.666666666668</v>
      </c>
      <c r="M63" s="5"/>
      <c r="N63" s="5"/>
    </row>
    <row r="64" spans="1:14" ht="15.75" x14ac:dyDescent="0.25">
      <c r="A64" s="182">
        <v>18</v>
      </c>
      <c r="B64" s="32" t="s">
        <v>67</v>
      </c>
      <c r="C64" s="32"/>
      <c r="D64" s="45"/>
      <c r="E64" s="36"/>
      <c r="F64" s="47"/>
      <c r="G64" s="47"/>
      <c r="H64" s="48"/>
      <c r="I64" s="48"/>
      <c r="J64" s="49"/>
      <c r="K64" s="39"/>
      <c r="M64" s="5"/>
      <c r="N64" s="5"/>
    </row>
    <row r="65" spans="1:14" ht="15.75" x14ac:dyDescent="0.25">
      <c r="A65" s="183"/>
      <c r="B65" s="13" t="s">
        <v>68</v>
      </c>
      <c r="C65" s="14" t="s">
        <v>6</v>
      </c>
      <c r="D65" s="23">
        <v>28000</v>
      </c>
      <c r="E65" s="16">
        <v>32000</v>
      </c>
      <c r="F65" s="16">
        <v>32000</v>
      </c>
      <c r="G65" s="16">
        <v>30000</v>
      </c>
      <c r="H65" s="17">
        <v>27000</v>
      </c>
      <c r="I65" s="17">
        <v>35000</v>
      </c>
      <c r="J65" s="42">
        <v>28000</v>
      </c>
      <c r="K65" s="22">
        <f t="shared" si="0"/>
        <v>30285.714285714286</v>
      </c>
      <c r="M65" s="5"/>
      <c r="N65" s="5"/>
    </row>
    <row r="66" spans="1:14" ht="15.75" x14ac:dyDescent="0.25">
      <c r="A66" s="183"/>
      <c r="B66" s="13" t="s">
        <v>69</v>
      </c>
      <c r="C66" s="14" t="s">
        <v>6</v>
      </c>
      <c r="D66" s="43">
        <v>26000</v>
      </c>
      <c r="E66" s="16">
        <v>26000</v>
      </c>
      <c r="F66" s="16">
        <v>30000</v>
      </c>
      <c r="G66" s="16">
        <v>25000</v>
      </c>
      <c r="H66" s="17">
        <v>26000</v>
      </c>
      <c r="I66" s="17">
        <v>25000</v>
      </c>
      <c r="J66" s="42">
        <v>25000</v>
      </c>
      <c r="K66" s="22">
        <f t="shared" si="0"/>
        <v>26142.857142857141</v>
      </c>
      <c r="M66" s="5"/>
      <c r="N66" s="5"/>
    </row>
    <row r="67" spans="1:14" ht="15.75" x14ac:dyDescent="0.25">
      <c r="A67" s="183"/>
      <c r="B67" s="13" t="s">
        <v>70</v>
      </c>
      <c r="C67" s="14" t="s">
        <v>6</v>
      </c>
      <c r="D67" s="23">
        <v>26000</v>
      </c>
      <c r="E67" s="16">
        <v>30000</v>
      </c>
      <c r="F67" s="16">
        <v>36000</v>
      </c>
      <c r="G67" s="16">
        <v>35000</v>
      </c>
      <c r="H67" s="17">
        <v>25000</v>
      </c>
      <c r="I67" s="17">
        <v>32000</v>
      </c>
      <c r="J67" s="42">
        <v>24000</v>
      </c>
      <c r="K67" s="22">
        <f t="shared" si="0"/>
        <v>29714.285714285714</v>
      </c>
      <c r="M67" s="5"/>
      <c r="N67" s="5"/>
    </row>
    <row r="68" spans="1:14" ht="15.75" x14ac:dyDescent="0.25">
      <c r="A68" s="184"/>
      <c r="B68" s="13" t="s">
        <v>71</v>
      </c>
      <c r="C68" s="14" t="s">
        <v>6</v>
      </c>
      <c r="D68" s="23">
        <v>18000</v>
      </c>
      <c r="E68" s="29">
        <v>22000</v>
      </c>
      <c r="F68" s="58">
        <v>20000</v>
      </c>
      <c r="G68" s="21">
        <v>25000</v>
      </c>
      <c r="H68" s="17">
        <v>20000</v>
      </c>
      <c r="I68" s="26">
        <v>23000</v>
      </c>
      <c r="J68" s="56">
        <v>22000</v>
      </c>
      <c r="K68" s="22">
        <f t="shared" si="0"/>
        <v>21428.571428571428</v>
      </c>
      <c r="M68" s="5"/>
      <c r="N68" s="5"/>
    </row>
    <row r="69" spans="1:14" ht="15.75" x14ac:dyDescent="0.25">
      <c r="A69" s="79">
        <v>19</v>
      </c>
      <c r="B69" s="32" t="s">
        <v>72</v>
      </c>
      <c r="C69" s="84"/>
      <c r="D69" s="83"/>
      <c r="E69" s="30"/>
      <c r="F69" s="35"/>
      <c r="G69" s="85"/>
      <c r="H69" s="66"/>
      <c r="I69" s="66"/>
      <c r="J69" s="81"/>
      <c r="K69" s="39"/>
      <c r="M69" s="5"/>
      <c r="N69" s="5"/>
    </row>
    <row r="70" spans="1:14" ht="15.75" x14ac:dyDescent="0.25">
      <c r="A70" s="86"/>
      <c r="B70" s="13" t="s">
        <v>73</v>
      </c>
      <c r="C70" s="68" t="s">
        <v>6</v>
      </c>
      <c r="D70" s="23">
        <v>6000</v>
      </c>
      <c r="E70" s="29">
        <v>7000</v>
      </c>
      <c r="F70" s="16">
        <v>5000</v>
      </c>
      <c r="G70" s="16">
        <v>6000</v>
      </c>
      <c r="H70" s="17">
        <v>4000</v>
      </c>
      <c r="I70" s="17">
        <v>6000</v>
      </c>
      <c r="J70" s="56">
        <v>5000</v>
      </c>
      <c r="K70" s="22">
        <f t="shared" si="0"/>
        <v>5571.4285714285716</v>
      </c>
      <c r="M70" s="5"/>
      <c r="N70" s="5"/>
    </row>
    <row r="71" spans="1:14" ht="15.75" x14ac:dyDescent="0.25">
      <c r="A71" s="82"/>
      <c r="B71" s="13" t="s">
        <v>74</v>
      </c>
      <c r="C71" s="68" t="s">
        <v>6</v>
      </c>
      <c r="D71" s="43" t="s">
        <v>100</v>
      </c>
      <c r="E71" s="29" t="s">
        <v>100</v>
      </c>
      <c r="F71" s="58">
        <v>5000</v>
      </c>
      <c r="G71" s="21">
        <v>6000</v>
      </c>
      <c r="H71" s="17">
        <v>5000</v>
      </c>
      <c r="I71" s="26">
        <v>6000</v>
      </c>
      <c r="J71" s="28">
        <v>6000</v>
      </c>
      <c r="K71" s="22">
        <f t="shared" si="0"/>
        <v>5600</v>
      </c>
      <c r="M71" s="5"/>
      <c r="N71" s="5"/>
    </row>
    <row r="72" spans="1:14" ht="15.75" x14ac:dyDescent="0.25">
      <c r="A72" s="79">
        <v>20</v>
      </c>
      <c r="B72" s="32" t="s">
        <v>75</v>
      </c>
      <c r="C72" s="84"/>
      <c r="D72" s="64"/>
      <c r="E72" s="35"/>
      <c r="F72" s="35"/>
      <c r="G72" s="65"/>
      <c r="H72" s="66"/>
      <c r="I72" s="66"/>
      <c r="J72" s="67"/>
      <c r="K72" s="39"/>
      <c r="M72" s="5"/>
      <c r="N72" s="5"/>
    </row>
    <row r="73" spans="1:14" ht="15.75" x14ac:dyDescent="0.25">
      <c r="A73" s="86"/>
      <c r="B73" s="13" t="s">
        <v>76</v>
      </c>
      <c r="C73" s="68" t="s">
        <v>6</v>
      </c>
      <c r="D73" s="23">
        <v>7000</v>
      </c>
      <c r="E73" s="16">
        <v>10000</v>
      </c>
      <c r="F73" s="16">
        <v>9000</v>
      </c>
      <c r="G73" s="16">
        <v>9000</v>
      </c>
      <c r="H73" s="17">
        <v>9000</v>
      </c>
      <c r="I73" s="27">
        <v>10000</v>
      </c>
      <c r="J73" s="42">
        <v>9000</v>
      </c>
      <c r="K73" s="22">
        <f t="shared" si="0"/>
        <v>9000</v>
      </c>
      <c r="M73" s="5"/>
      <c r="N73" s="5"/>
    </row>
    <row r="74" spans="1:14" ht="15.75" x14ac:dyDescent="0.25">
      <c r="A74" s="86"/>
      <c r="B74" s="13" t="s">
        <v>77</v>
      </c>
      <c r="C74" s="68" t="s">
        <v>6</v>
      </c>
      <c r="D74" s="23">
        <v>10000</v>
      </c>
      <c r="E74" s="16">
        <v>12000</v>
      </c>
      <c r="F74" s="16">
        <v>12000</v>
      </c>
      <c r="G74" s="16">
        <v>12000</v>
      </c>
      <c r="H74" s="17">
        <v>10000</v>
      </c>
      <c r="I74" s="27">
        <v>12000</v>
      </c>
      <c r="J74" s="42">
        <v>15000</v>
      </c>
      <c r="K74" s="22">
        <f t="shared" si="0"/>
        <v>11857.142857142857</v>
      </c>
      <c r="M74" s="5"/>
      <c r="N74" s="5"/>
    </row>
    <row r="75" spans="1:14" ht="15.75" x14ac:dyDescent="0.25">
      <c r="A75" s="86"/>
      <c r="B75" s="13" t="s">
        <v>78</v>
      </c>
      <c r="C75" s="68" t="s">
        <v>6</v>
      </c>
      <c r="D75" s="23">
        <v>14000</v>
      </c>
      <c r="E75" s="16">
        <v>15000</v>
      </c>
      <c r="F75" s="16">
        <v>17000</v>
      </c>
      <c r="G75" s="16">
        <v>15000</v>
      </c>
      <c r="H75" s="17">
        <v>15000</v>
      </c>
      <c r="I75" s="17">
        <v>16000</v>
      </c>
      <c r="J75" s="42">
        <v>15000</v>
      </c>
      <c r="K75" s="22">
        <f t="shared" si="0"/>
        <v>15285.714285714286</v>
      </c>
      <c r="M75" s="5"/>
      <c r="N75" s="5"/>
    </row>
    <row r="76" spans="1:14" ht="15.75" x14ac:dyDescent="0.25">
      <c r="A76" s="86"/>
      <c r="B76" s="13" t="s">
        <v>79</v>
      </c>
      <c r="C76" s="68" t="s">
        <v>6</v>
      </c>
      <c r="D76" s="23">
        <v>10000</v>
      </c>
      <c r="E76" s="16">
        <v>8000</v>
      </c>
      <c r="F76" s="16">
        <v>15000</v>
      </c>
      <c r="G76" s="16">
        <v>17000</v>
      </c>
      <c r="H76" s="17">
        <v>5000</v>
      </c>
      <c r="I76" s="55">
        <v>8000</v>
      </c>
      <c r="J76" s="42">
        <v>6000</v>
      </c>
      <c r="K76" s="22">
        <f t="shared" ref="K76:K83" si="1">AVERAGE(D76:J76)</f>
        <v>9857.1428571428569</v>
      </c>
      <c r="M76" s="5"/>
      <c r="N76" s="5"/>
    </row>
    <row r="77" spans="1:14" ht="15.75" x14ac:dyDescent="0.25">
      <c r="A77" s="86"/>
      <c r="B77" s="13" t="s">
        <v>80</v>
      </c>
      <c r="C77" s="68" t="s">
        <v>6</v>
      </c>
      <c r="D77" s="23">
        <v>8000</v>
      </c>
      <c r="E77" s="16">
        <v>10000</v>
      </c>
      <c r="F77" s="16">
        <v>12000</v>
      </c>
      <c r="G77" s="16">
        <v>13000</v>
      </c>
      <c r="H77" s="17">
        <v>10000</v>
      </c>
      <c r="I77" s="17">
        <v>12000</v>
      </c>
      <c r="J77" s="42">
        <v>12000</v>
      </c>
      <c r="K77" s="22">
        <f t="shared" si="1"/>
        <v>11000</v>
      </c>
      <c r="M77" s="5"/>
      <c r="N77" s="5"/>
    </row>
    <row r="78" spans="1:14" ht="15.75" x14ac:dyDescent="0.25">
      <c r="A78" s="86"/>
      <c r="B78" s="13" t="s">
        <v>81</v>
      </c>
      <c r="C78" s="68" t="s">
        <v>6</v>
      </c>
      <c r="D78" s="43" t="s">
        <v>100</v>
      </c>
      <c r="E78" s="29">
        <v>10000</v>
      </c>
      <c r="F78" s="30" t="s">
        <v>100</v>
      </c>
      <c r="G78" s="21" t="s">
        <v>100</v>
      </c>
      <c r="H78" s="87">
        <v>9000</v>
      </c>
      <c r="I78" s="88">
        <v>10000</v>
      </c>
      <c r="J78" s="89">
        <v>8000</v>
      </c>
      <c r="K78" s="22">
        <f t="shared" si="1"/>
        <v>9250</v>
      </c>
      <c r="M78" s="5"/>
      <c r="N78" s="5"/>
    </row>
    <row r="79" spans="1:14" ht="15.75" x14ac:dyDescent="0.25">
      <c r="A79" s="86"/>
      <c r="B79" s="13" t="s">
        <v>82</v>
      </c>
      <c r="C79" s="68" t="s">
        <v>83</v>
      </c>
      <c r="D79" s="43" t="s">
        <v>100</v>
      </c>
      <c r="E79" s="29" t="s">
        <v>100</v>
      </c>
      <c r="F79" s="16">
        <v>2000</v>
      </c>
      <c r="G79" s="21">
        <v>2000</v>
      </c>
      <c r="H79" s="17">
        <v>1500</v>
      </c>
      <c r="I79" s="26">
        <v>2000</v>
      </c>
      <c r="J79" s="28">
        <v>1500</v>
      </c>
      <c r="K79" s="22">
        <f t="shared" si="1"/>
        <v>1800</v>
      </c>
      <c r="M79" s="5"/>
      <c r="N79" s="5"/>
    </row>
    <row r="80" spans="1:14" ht="15.75" x14ac:dyDescent="0.25">
      <c r="A80" s="86"/>
      <c r="B80" s="13" t="s">
        <v>84</v>
      </c>
      <c r="C80" s="68" t="s">
        <v>83</v>
      </c>
      <c r="D80" s="43" t="s">
        <v>100</v>
      </c>
      <c r="E80" s="29" t="s">
        <v>100</v>
      </c>
      <c r="F80" s="16">
        <v>1500</v>
      </c>
      <c r="G80" s="21">
        <v>2000</v>
      </c>
      <c r="H80" s="17">
        <v>1500</v>
      </c>
      <c r="I80" s="26">
        <v>1500</v>
      </c>
      <c r="J80" s="28">
        <v>1000</v>
      </c>
      <c r="K80" s="22">
        <f t="shared" si="1"/>
        <v>1500</v>
      </c>
      <c r="M80" s="5"/>
      <c r="N80" s="5"/>
    </row>
    <row r="81" spans="1:14" ht="15.75" x14ac:dyDescent="0.25">
      <c r="A81" s="82"/>
      <c r="B81" s="13" t="s">
        <v>85</v>
      </c>
      <c r="C81" s="68" t="s">
        <v>83</v>
      </c>
      <c r="D81" s="43" t="s">
        <v>100</v>
      </c>
      <c r="E81" s="29" t="s">
        <v>100</v>
      </c>
      <c r="F81" s="16">
        <v>2000</v>
      </c>
      <c r="G81" s="21">
        <v>2000</v>
      </c>
      <c r="H81" s="17">
        <v>2000</v>
      </c>
      <c r="I81" s="26">
        <v>2000</v>
      </c>
      <c r="J81" s="28">
        <v>2000</v>
      </c>
      <c r="K81" s="22">
        <f t="shared" si="1"/>
        <v>2000</v>
      </c>
      <c r="M81" s="5"/>
      <c r="N81" s="5"/>
    </row>
    <row r="82" spans="1:14" ht="15.75" x14ac:dyDescent="0.25">
      <c r="A82" s="79">
        <v>21</v>
      </c>
      <c r="B82" s="32" t="s">
        <v>86</v>
      </c>
      <c r="C82" s="84"/>
      <c r="D82" s="90"/>
      <c r="E82" s="30"/>
      <c r="F82" s="35" t="s">
        <v>104</v>
      </c>
      <c r="G82" s="65"/>
      <c r="H82" s="66"/>
      <c r="I82" s="66"/>
      <c r="J82" s="67"/>
      <c r="K82" s="39"/>
      <c r="M82" s="5"/>
      <c r="N82" s="5"/>
    </row>
    <row r="83" spans="1:14" ht="15.75" x14ac:dyDescent="0.25">
      <c r="A83" s="82"/>
      <c r="B83" s="13" t="s">
        <v>87</v>
      </c>
      <c r="C83" s="68" t="s">
        <v>88</v>
      </c>
      <c r="D83" s="43">
        <v>18000</v>
      </c>
      <c r="E83" s="29" t="s">
        <v>100</v>
      </c>
      <c r="F83" s="91" t="s">
        <v>100</v>
      </c>
      <c r="G83" s="21">
        <v>17000</v>
      </c>
      <c r="H83" s="51" t="s">
        <v>100</v>
      </c>
      <c r="I83" s="27">
        <v>19000</v>
      </c>
      <c r="J83" s="28">
        <v>18000</v>
      </c>
      <c r="K83" s="22">
        <f t="shared" si="1"/>
        <v>18000</v>
      </c>
      <c r="M83" s="5"/>
      <c r="N83" s="5"/>
    </row>
    <row r="84" spans="1:14" ht="15.75" x14ac:dyDescent="0.25">
      <c r="E84" s="4"/>
      <c r="J84" s="2"/>
      <c r="M84" s="5"/>
      <c r="N84" s="5"/>
    </row>
    <row r="85" spans="1:14" ht="15.75" x14ac:dyDescent="0.25">
      <c r="B85" s="92"/>
      <c r="J85" s="2"/>
      <c r="M85" s="5"/>
      <c r="N85" s="5"/>
    </row>
    <row r="86" spans="1:14" ht="15.75" x14ac:dyDescent="0.25">
      <c r="J86" s="2"/>
      <c r="M86" s="5"/>
      <c r="N86" s="5"/>
    </row>
    <row r="87" spans="1:14" ht="15.75" x14ac:dyDescent="0.25">
      <c r="A87" s="5"/>
      <c r="B87" s="5"/>
      <c r="C87" s="5"/>
      <c r="D87" s="78"/>
      <c r="E87" s="5"/>
      <c r="F87" s="5"/>
      <c r="G87" s="5"/>
      <c r="H87" s="5"/>
      <c r="I87" s="5"/>
      <c r="J87" s="40"/>
      <c r="K87" s="5"/>
      <c r="L87" s="5"/>
      <c r="M87" s="5"/>
      <c r="N87" s="5"/>
    </row>
  </sheetData>
  <mergeCells count="28">
    <mergeCell ref="A49:A50"/>
    <mergeCell ref="A51:A55"/>
    <mergeCell ref="A58:A61"/>
    <mergeCell ref="A64:A68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1"/>
    <mergeCell ref="A12:A14"/>
    <mergeCell ref="A15:A16"/>
    <mergeCell ref="A41:A43"/>
    <mergeCell ref="A47:A48"/>
    <mergeCell ref="A18:A19"/>
    <mergeCell ref="A20:A24"/>
    <mergeCell ref="A25:A31"/>
    <mergeCell ref="A32:A34"/>
    <mergeCell ref="A38:A40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9412-2F4F-4937-9669-76E1EF7BEF54}">
  <dimension ref="A1:N87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144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208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209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210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145"/>
      <c r="E7" s="146"/>
      <c r="F7" s="146"/>
      <c r="G7" s="147"/>
      <c r="H7" s="148"/>
      <c r="I7" s="96"/>
      <c r="J7" s="148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13000</v>
      </c>
      <c r="E8" s="95">
        <v>12500</v>
      </c>
      <c r="F8" s="95">
        <v>14500</v>
      </c>
      <c r="G8" s="29">
        <v>12800</v>
      </c>
      <c r="H8" s="42">
        <v>14000</v>
      </c>
      <c r="I8" s="42">
        <v>13500</v>
      </c>
      <c r="J8" s="94">
        <v>13000</v>
      </c>
      <c r="K8" s="19">
        <f>AVERAGE(D8:J8)</f>
        <v>13328.571428571429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5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>
        <v>3</v>
      </c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3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15500</v>
      </c>
      <c r="J16" s="42">
        <v>16000</v>
      </c>
      <c r="K16" s="22">
        <f t="shared" si="0"/>
        <v>15357.142857142857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30857.142857142859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45000</v>
      </c>
      <c r="E26" s="16">
        <v>40000</v>
      </c>
      <c r="F26" s="29" t="s">
        <v>100</v>
      </c>
      <c r="G26" s="16">
        <v>40000</v>
      </c>
      <c r="H26" s="17">
        <v>30000</v>
      </c>
      <c r="I26" s="26">
        <v>42000</v>
      </c>
      <c r="J26" s="42">
        <v>35000</v>
      </c>
      <c r="K26" s="22">
        <f t="shared" si="0"/>
        <v>38666.666666666664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80000</v>
      </c>
      <c r="J28" s="28">
        <v>60000</v>
      </c>
      <c r="K28" s="22">
        <f t="shared" si="0"/>
        <v>67166.666666666672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35000</v>
      </c>
      <c r="E30" s="16">
        <v>36000</v>
      </c>
      <c r="F30" s="16">
        <v>40000</v>
      </c>
      <c r="G30" s="16">
        <v>40000</v>
      </c>
      <c r="H30" s="17">
        <v>28000</v>
      </c>
      <c r="I30" s="26">
        <v>38000</v>
      </c>
      <c r="J30" s="42">
        <v>38000</v>
      </c>
      <c r="K30" s="22">
        <f t="shared" si="0"/>
        <v>36428.571428571428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26000</v>
      </c>
      <c r="F33" s="16">
        <v>26000</v>
      </c>
      <c r="G33" s="16">
        <v>26000</v>
      </c>
      <c r="H33" s="17">
        <v>25000</v>
      </c>
      <c r="I33" s="17">
        <v>26000</v>
      </c>
      <c r="J33" s="42">
        <v>25000</v>
      </c>
      <c r="K33" s="22">
        <f t="shared" si="0"/>
        <v>25714.285714285714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2">
        <v>8</v>
      </c>
      <c r="B35" s="44" t="s">
        <v>136</v>
      </c>
      <c r="C35" s="63"/>
      <c r="D35" s="23"/>
      <c r="E35" s="16"/>
      <c r="F35" s="59"/>
      <c r="G35" s="16"/>
      <c r="H35" s="17"/>
      <c r="I35" s="17"/>
      <c r="J35" s="42"/>
      <c r="K35" s="39"/>
      <c r="M35" s="5"/>
      <c r="N35" s="5"/>
    </row>
    <row r="36" spans="1:14" ht="15.75" x14ac:dyDescent="0.25">
      <c r="A36" s="12"/>
      <c r="B36" s="13" t="s">
        <v>137</v>
      </c>
      <c r="C36" s="14" t="s">
        <v>138</v>
      </c>
      <c r="D36" s="23">
        <v>1000</v>
      </c>
      <c r="E36" s="16">
        <v>1000</v>
      </c>
      <c r="F36" s="59">
        <v>3000</v>
      </c>
      <c r="G36" s="16">
        <v>3000</v>
      </c>
      <c r="H36" s="17">
        <v>4000</v>
      </c>
      <c r="I36" s="17">
        <v>1200</v>
      </c>
      <c r="J36" s="42">
        <v>3000</v>
      </c>
      <c r="K36" s="22">
        <f t="shared" si="0"/>
        <v>2314.2857142857142</v>
      </c>
      <c r="M36" s="5"/>
      <c r="N36" s="5"/>
    </row>
    <row r="37" spans="1:14" ht="15.75" x14ac:dyDescent="0.25">
      <c r="A37" s="12"/>
      <c r="B37" s="13" t="s">
        <v>139</v>
      </c>
      <c r="C37" s="14" t="s">
        <v>138</v>
      </c>
      <c r="D37" s="23">
        <v>2500</v>
      </c>
      <c r="E37" s="16">
        <v>2500</v>
      </c>
      <c r="F37" s="59">
        <v>5000</v>
      </c>
      <c r="G37" s="16">
        <v>3000</v>
      </c>
      <c r="H37" s="17">
        <v>2500</v>
      </c>
      <c r="I37" s="17">
        <v>5000</v>
      </c>
      <c r="J37" s="42">
        <v>3500</v>
      </c>
      <c r="K37" s="22">
        <f t="shared" si="0"/>
        <v>3428.5714285714284</v>
      </c>
      <c r="M37" s="5"/>
      <c r="N37" s="5"/>
    </row>
    <row r="38" spans="1:14" ht="15.75" x14ac:dyDescent="0.25">
      <c r="A38" s="182">
        <v>9</v>
      </c>
      <c r="B38" s="32" t="s">
        <v>34</v>
      </c>
      <c r="C38" s="44"/>
      <c r="D38" s="45"/>
      <c r="E38" s="36"/>
      <c r="F38" s="50"/>
      <c r="G38" s="47"/>
      <c r="H38" s="48"/>
      <c r="I38" s="48"/>
      <c r="J38" s="60"/>
      <c r="K38" s="39"/>
      <c r="M38" s="5"/>
      <c r="N38" s="5"/>
    </row>
    <row r="39" spans="1:14" ht="15.75" x14ac:dyDescent="0.25">
      <c r="A39" s="183"/>
      <c r="B39" s="13" t="s">
        <v>35</v>
      </c>
      <c r="C39" s="14" t="s">
        <v>36</v>
      </c>
      <c r="D39" s="23">
        <v>12500</v>
      </c>
      <c r="E39" s="29">
        <v>12000</v>
      </c>
      <c r="F39" s="16">
        <v>10000</v>
      </c>
      <c r="G39" s="16">
        <v>12000</v>
      </c>
      <c r="H39" s="51" t="s">
        <v>100</v>
      </c>
      <c r="I39" s="27">
        <v>12000</v>
      </c>
      <c r="J39" s="56">
        <v>10000</v>
      </c>
      <c r="K39" s="22">
        <f t="shared" si="0"/>
        <v>11416.666666666666</v>
      </c>
      <c r="M39" s="5"/>
      <c r="N39" s="5"/>
    </row>
    <row r="40" spans="1:14" ht="15.75" x14ac:dyDescent="0.25">
      <c r="A40" s="184"/>
      <c r="B40" s="13" t="s">
        <v>37</v>
      </c>
      <c r="C40" s="14" t="s">
        <v>38</v>
      </c>
      <c r="D40" s="43" t="s">
        <v>100</v>
      </c>
      <c r="E40" s="29">
        <v>37900</v>
      </c>
      <c r="F40" s="30" t="s">
        <v>100</v>
      </c>
      <c r="G40" s="16">
        <v>42500</v>
      </c>
      <c r="H40" s="51" t="s">
        <v>100</v>
      </c>
      <c r="I40" s="27" t="s">
        <v>100</v>
      </c>
      <c r="J40" s="52" t="s">
        <v>100</v>
      </c>
      <c r="K40" s="22">
        <f t="shared" si="0"/>
        <v>40200</v>
      </c>
      <c r="M40" s="5"/>
      <c r="N40" s="5"/>
    </row>
    <row r="41" spans="1:14" ht="15.75" x14ac:dyDescent="0.25">
      <c r="A41" s="182">
        <v>10</v>
      </c>
      <c r="B41" s="32" t="s">
        <v>39</v>
      </c>
      <c r="C41" s="44"/>
      <c r="D41" s="45"/>
      <c r="E41" s="61"/>
      <c r="F41" s="47"/>
      <c r="G41" s="50"/>
      <c r="H41" s="48"/>
      <c r="I41" s="48"/>
      <c r="J41" s="49"/>
      <c r="K41" s="39"/>
      <c r="M41" s="5"/>
      <c r="N41" s="5"/>
    </row>
    <row r="42" spans="1:14" ht="15.75" x14ac:dyDescent="0.25">
      <c r="A42" s="183"/>
      <c r="B42" s="13" t="s">
        <v>40</v>
      </c>
      <c r="C42" s="14" t="s">
        <v>41</v>
      </c>
      <c r="D42" s="43" t="s">
        <v>100</v>
      </c>
      <c r="E42" s="29" t="s">
        <v>100</v>
      </c>
      <c r="F42" s="30" t="s">
        <v>100</v>
      </c>
      <c r="G42" s="21" t="s">
        <v>100</v>
      </c>
      <c r="H42" s="17">
        <v>17500</v>
      </c>
      <c r="I42" s="27">
        <v>21000</v>
      </c>
      <c r="J42" s="28">
        <v>17500</v>
      </c>
      <c r="K42" s="22">
        <f t="shared" si="0"/>
        <v>18666.666666666668</v>
      </c>
      <c r="M42" s="5"/>
      <c r="N42" s="5"/>
    </row>
    <row r="43" spans="1:14" ht="15.75" x14ac:dyDescent="0.25">
      <c r="A43" s="183"/>
      <c r="B43" s="13" t="s">
        <v>42</v>
      </c>
      <c r="C43" s="14" t="s">
        <v>43</v>
      </c>
      <c r="D43" s="43" t="s">
        <v>100</v>
      </c>
      <c r="E43" s="29" t="s">
        <v>100</v>
      </c>
      <c r="F43" s="30" t="s">
        <v>100</v>
      </c>
      <c r="G43" s="21" t="s">
        <v>100</v>
      </c>
      <c r="H43" s="17">
        <v>2000</v>
      </c>
      <c r="I43" s="27">
        <v>2000</v>
      </c>
      <c r="J43" s="28">
        <v>2000</v>
      </c>
      <c r="K43" s="22">
        <f t="shared" si="0"/>
        <v>2000</v>
      </c>
      <c r="M43" s="5"/>
      <c r="N43" s="5"/>
    </row>
    <row r="44" spans="1:14" ht="15.75" x14ac:dyDescent="0.25">
      <c r="A44" s="12">
        <v>11</v>
      </c>
      <c r="B44" s="62" t="s">
        <v>44</v>
      </c>
      <c r="C44" s="63"/>
      <c r="D44" s="64"/>
      <c r="E44" s="35"/>
      <c r="F44" s="35"/>
      <c r="G44" s="65"/>
      <c r="H44" s="66"/>
      <c r="I44" s="66"/>
      <c r="J44" s="67"/>
      <c r="K44" s="39"/>
      <c r="M44" s="5"/>
      <c r="N44" s="5"/>
    </row>
    <row r="45" spans="1:14" ht="15.75" x14ac:dyDescent="0.25">
      <c r="A45" s="12"/>
      <c r="B45" s="13" t="s">
        <v>45</v>
      </c>
      <c r="C45" s="68" t="s">
        <v>6</v>
      </c>
      <c r="D45" s="23">
        <v>11000</v>
      </c>
      <c r="E45" s="16">
        <v>8000</v>
      </c>
      <c r="F45" s="16">
        <v>9000</v>
      </c>
      <c r="G45" s="16" t="s">
        <v>100</v>
      </c>
      <c r="H45" s="17">
        <v>9000</v>
      </c>
      <c r="I45" s="55">
        <v>10000</v>
      </c>
      <c r="J45" s="42">
        <v>8000</v>
      </c>
      <c r="K45" s="22">
        <f t="shared" si="0"/>
        <v>9166.6666666666661</v>
      </c>
      <c r="M45" s="5"/>
      <c r="N45" s="5"/>
    </row>
    <row r="46" spans="1:14" ht="15.75" x14ac:dyDescent="0.25">
      <c r="A46" s="31"/>
      <c r="B46" s="13" t="s">
        <v>46</v>
      </c>
      <c r="C46" s="68" t="s">
        <v>6</v>
      </c>
      <c r="D46" s="23">
        <v>9000</v>
      </c>
      <c r="E46" s="16">
        <v>10000</v>
      </c>
      <c r="F46" s="69" t="s">
        <v>100</v>
      </c>
      <c r="G46" s="16">
        <v>12000</v>
      </c>
      <c r="H46" s="17">
        <v>6000</v>
      </c>
      <c r="I46" s="26" t="s">
        <v>100</v>
      </c>
      <c r="J46" s="42">
        <v>6000</v>
      </c>
      <c r="K46" s="22">
        <f t="shared" si="0"/>
        <v>8600</v>
      </c>
      <c r="M46" s="5"/>
      <c r="N46" s="5"/>
    </row>
    <row r="47" spans="1:14" ht="15.75" x14ac:dyDescent="0.25">
      <c r="A47" s="182">
        <v>12</v>
      </c>
      <c r="B47" s="32" t="s">
        <v>47</v>
      </c>
      <c r="C47" s="44"/>
      <c r="D47" s="45"/>
      <c r="E47" s="36"/>
      <c r="F47" s="50"/>
      <c r="G47" s="50"/>
      <c r="H47" s="48"/>
      <c r="I47" s="48"/>
      <c r="J47" s="60"/>
      <c r="K47" s="39"/>
      <c r="M47" s="5"/>
      <c r="N47" s="5"/>
    </row>
    <row r="48" spans="1:14" ht="15.75" x14ac:dyDescent="0.25">
      <c r="A48" s="184"/>
      <c r="B48" s="13" t="s">
        <v>48</v>
      </c>
      <c r="C48" s="14" t="s">
        <v>49</v>
      </c>
      <c r="D48" s="23">
        <v>3000</v>
      </c>
      <c r="E48" s="16">
        <v>8000</v>
      </c>
      <c r="F48" s="16">
        <v>2000</v>
      </c>
      <c r="G48" s="16">
        <v>4000</v>
      </c>
      <c r="H48" s="17">
        <v>2500</v>
      </c>
      <c r="I48" s="27">
        <v>4000</v>
      </c>
      <c r="J48" s="56" t="s">
        <v>100</v>
      </c>
      <c r="K48" s="22">
        <f t="shared" si="0"/>
        <v>3916.6666666666665</v>
      </c>
      <c r="M48" s="5"/>
      <c r="N48" s="5"/>
    </row>
    <row r="49" spans="1:14" ht="15.75" x14ac:dyDescent="0.25">
      <c r="A49" s="182">
        <v>13</v>
      </c>
      <c r="B49" s="32" t="s">
        <v>50</v>
      </c>
      <c r="C49" s="63"/>
      <c r="D49" s="70"/>
      <c r="E49" s="61"/>
      <c r="F49" s="71"/>
      <c r="G49" s="72"/>
      <c r="H49" s="73"/>
      <c r="I49" s="73"/>
      <c r="J49" s="74"/>
      <c r="K49" s="39"/>
      <c r="M49" s="5"/>
      <c r="N49" s="5"/>
    </row>
    <row r="50" spans="1:14" ht="15.75" x14ac:dyDescent="0.25">
      <c r="A50" s="184"/>
      <c r="B50" s="75" t="s">
        <v>51</v>
      </c>
      <c r="C50" s="68" t="s">
        <v>6</v>
      </c>
      <c r="D50" s="23">
        <v>10000</v>
      </c>
      <c r="E50" s="16">
        <v>10500</v>
      </c>
      <c r="F50" s="16">
        <v>12000</v>
      </c>
      <c r="G50" s="16">
        <v>12000</v>
      </c>
      <c r="H50" s="17">
        <v>11500</v>
      </c>
      <c r="I50" s="17">
        <v>11500</v>
      </c>
      <c r="J50" s="42">
        <v>7000</v>
      </c>
      <c r="K50" s="22">
        <f t="shared" si="0"/>
        <v>10642.857142857143</v>
      </c>
      <c r="M50" s="5"/>
      <c r="N50" s="5"/>
    </row>
    <row r="51" spans="1:14" ht="15.75" x14ac:dyDescent="0.25">
      <c r="A51" s="182">
        <v>14</v>
      </c>
      <c r="B51" s="32" t="s">
        <v>52</v>
      </c>
      <c r="C51" s="44"/>
      <c r="D51" s="45"/>
      <c r="E51" s="36"/>
      <c r="F51" s="50"/>
      <c r="G51" s="47"/>
      <c r="H51" s="48"/>
      <c r="I51" s="48"/>
      <c r="J51" s="60"/>
      <c r="K51" s="39"/>
      <c r="M51" s="5"/>
      <c r="N51" s="5"/>
    </row>
    <row r="52" spans="1:14" ht="15.75" x14ac:dyDescent="0.25">
      <c r="A52" s="183"/>
      <c r="B52" s="13" t="s">
        <v>53</v>
      </c>
      <c r="C52" s="14" t="s">
        <v>6</v>
      </c>
      <c r="D52" s="23">
        <v>15000</v>
      </c>
      <c r="E52" s="16">
        <v>16000</v>
      </c>
      <c r="F52" s="16">
        <v>17000</v>
      </c>
      <c r="G52" s="16">
        <v>18000</v>
      </c>
      <c r="H52" s="17">
        <v>12000</v>
      </c>
      <c r="I52" s="26">
        <v>17000</v>
      </c>
      <c r="J52" s="56" t="s">
        <v>100</v>
      </c>
      <c r="K52" s="22">
        <f t="shared" si="0"/>
        <v>15833.333333333334</v>
      </c>
      <c r="M52" s="5"/>
      <c r="N52" s="5"/>
    </row>
    <row r="53" spans="1:14" ht="15.75" x14ac:dyDescent="0.25">
      <c r="A53" s="183"/>
      <c r="B53" s="13" t="s">
        <v>54</v>
      </c>
      <c r="C53" s="14" t="s">
        <v>6</v>
      </c>
      <c r="D53" s="43">
        <v>12000</v>
      </c>
      <c r="E53" s="16">
        <v>14000</v>
      </c>
      <c r="F53" s="30" t="s">
        <v>100</v>
      </c>
      <c r="G53" s="76" t="s">
        <v>100</v>
      </c>
      <c r="H53" s="77" t="s">
        <v>100</v>
      </c>
      <c r="I53" s="55" t="s">
        <v>100</v>
      </c>
      <c r="J53" s="56">
        <v>13500</v>
      </c>
      <c r="K53" s="22">
        <f t="shared" si="0"/>
        <v>13166.666666666666</v>
      </c>
      <c r="M53" s="5" t="s">
        <v>103</v>
      </c>
      <c r="N53" s="5"/>
    </row>
    <row r="54" spans="1:14" ht="15.75" x14ac:dyDescent="0.25">
      <c r="A54" s="183"/>
      <c r="B54" s="13" t="s">
        <v>55</v>
      </c>
      <c r="C54" s="14" t="s">
        <v>6</v>
      </c>
      <c r="D54" s="23">
        <v>23000</v>
      </c>
      <c r="E54" s="16">
        <v>23000</v>
      </c>
      <c r="F54" s="16">
        <v>26000</v>
      </c>
      <c r="G54" s="16">
        <v>26000</v>
      </c>
      <c r="H54" s="17">
        <v>22000</v>
      </c>
      <c r="I54" s="17">
        <v>26000</v>
      </c>
      <c r="J54" s="56">
        <v>26000</v>
      </c>
      <c r="K54" s="22">
        <f t="shared" si="0"/>
        <v>24571.428571428572</v>
      </c>
      <c r="M54" s="5"/>
      <c r="N54" s="78"/>
    </row>
    <row r="55" spans="1:14" ht="15.75" x14ac:dyDescent="0.25">
      <c r="A55" s="184"/>
      <c r="B55" s="13" t="s">
        <v>56</v>
      </c>
      <c r="C55" s="14" t="s">
        <v>6</v>
      </c>
      <c r="D55" s="23">
        <v>26000</v>
      </c>
      <c r="E55" s="16">
        <v>30000</v>
      </c>
      <c r="F55" s="16">
        <v>28000</v>
      </c>
      <c r="G55" s="16">
        <v>30000</v>
      </c>
      <c r="H55" s="17">
        <v>26000</v>
      </c>
      <c r="I55" s="17">
        <v>29000</v>
      </c>
      <c r="J55" s="56">
        <v>28000</v>
      </c>
      <c r="K55" s="22">
        <f t="shared" si="0"/>
        <v>28142.857142857141</v>
      </c>
      <c r="M55" s="5"/>
      <c r="N55" s="5"/>
    </row>
    <row r="56" spans="1:14" ht="15.75" x14ac:dyDescent="0.25">
      <c r="A56" s="79">
        <v>15</v>
      </c>
      <c r="B56" s="32" t="s">
        <v>57</v>
      </c>
      <c r="C56" s="63"/>
      <c r="D56" s="80"/>
      <c r="E56" s="35"/>
      <c r="F56" s="65"/>
      <c r="G56" s="35"/>
      <c r="H56" s="66"/>
      <c r="I56" s="66"/>
      <c r="J56" s="81"/>
      <c r="K56" s="39"/>
      <c r="M56" s="5"/>
      <c r="N56" s="5"/>
    </row>
    <row r="57" spans="1:14" ht="15.75" x14ac:dyDescent="0.25">
      <c r="A57" s="82"/>
      <c r="B57" s="13" t="s">
        <v>58</v>
      </c>
      <c r="C57" s="68" t="s">
        <v>59</v>
      </c>
      <c r="D57" s="23">
        <v>3000</v>
      </c>
      <c r="E57" s="16">
        <v>3200</v>
      </c>
      <c r="F57" s="16">
        <v>3000</v>
      </c>
      <c r="G57" s="16">
        <v>3000</v>
      </c>
      <c r="H57" s="51" t="s">
        <v>100</v>
      </c>
      <c r="I57" s="27">
        <v>3500</v>
      </c>
      <c r="J57" s="42">
        <v>3500</v>
      </c>
      <c r="K57" s="22">
        <f t="shared" si="0"/>
        <v>3200</v>
      </c>
      <c r="M57" s="5"/>
      <c r="N57" s="5"/>
    </row>
    <row r="58" spans="1:14" ht="15.75" x14ac:dyDescent="0.25">
      <c r="A58" s="182">
        <v>16</v>
      </c>
      <c r="B58" s="32" t="s">
        <v>60</v>
      </c>
      <c r="C58" s="44"/>
      <c r="D58" s="45"/>
      <c r="E58" s="36"/>
      <c r="F58" s="50"/>
      <c r="G58" s="50"/>
      <c r="H58" s="48"/>
      <c r="I58" s="48"/>
      <c r="J58" s="60"/>
      <c r="K58" s="39"/>
      <c r="M58" s="5"/>
      <c r="N58" s="5"/>
    </row>
    <row r="59" spans="1:14" ht="15.75" x14ac:dyDescent="0.25">
      <c r="A59" s="183"/>
      <c r="B59" s="13" t="s">
        <v>61</v>
      </c>
      <c r="C59" s="14" t="s">
        <v>6</v>
      </c>
      <c r="D59" s="23">
        <v>32000</v>
      </c>
      <c r="E59" s="16">
        <v>30000</v>
      </c>
      <c r="F59" s="16">
        <v>25000</v>
      </c>
      <c r="G59" s="16">
        <v>40000</v>
      </c>
      <c r="H59" s="17">
        <v>20000</v>
      </c>
      <c r="I59" s="17">
        <v>35000</v>
      </c>
      <c r="J59" s="42">
        <v>35000</v>
      </c>
      <c r="K59" s="22">
        <f t="shared" si="0"/>
        <v>31000</v>
      </c>
      <c r="M59" s="5"/>
      <c r="N59" s="5"/>
    </row>
    <row r="60" spans="1:14" ht="15.75" x14ac:dyDescent="0.25">
      <c r="A60" s="183"/>
      <c r="B60" s="13" t="s">
        <v>62</v>
      </c>
      <c r="C60" s="14" t="s">
        <v>6</v>
      </c>
      <c r="D60" s="43">
        <v>45000</v>
      </c>
      <c r="E60" s="16">
        <v>35000</v>
      </c>
      <c r="F60" s="16">
        <v>40000</v>
      </c>
      <c r="G60" s="16">
        <v>50000</v>
      </c>
      <c r="H60" s="77" t="s">
        <v>100</v>
      </c>
      <c r="I60" s="55" t="s">
        <v>100</v>
      </c>
      <c r="J60" s="56" t="s">
        <v>100</v>
      </c>
      <c r="K60" s="22">
        <f t="shared" si="0"/>
        <v>42500</v>
      </c>
      <c r="M60" s="5"/>
      <c r="N60" s="5"/>
    </row>
    <row r="61" spans="1:14" ht="15.75" x14ac:dyDescent="0.25">
      <c r="A61" s="184"/>
      <c r="B61" s="13" t="s">
        <v>63</v>
      </c>
      <c r="C61" s="14" t="s">
        <v>6</v>
      </c>
      <c r="D61" s="23">
        <v>60000</v>
      </c>
      <c r="E61" s="16">
        <v>60000</v>
      </c>
      <c r="F61" s="16">
        <v>60000</v>
      </c>
      <c r="G61" s="16">
        <v>65000</v>
      </c>
      <c r="H61" s="17">
        <v>65000</v>
      </c>
      <c r="I61" s="17">
        <v>65000</v>
      </c>
      <c r="J61" s="42">
        <v>65000</v>
      </c>
      <c r="K61" s="22">
        <f t="shared" si="0"/>
        <v>62857.142857142855</v>
      </c>
      <c r="M61" s="5"/>
      <c r="N61" s="5"/>
    </row>
    <row r="62" spans="1:14" ht="15.75" x14ac:dyDescent="0.25">
      <c r="A62" s="79">
        <v>17</v>
      </c>
      <c r="B62" s="32" t="s">
        <v>64</v>
      </c>
      <c r="C62" s="63"/>
      <c r="D62" s="83"/>
      <c r="E62" s="35"/>
      <c r="F62" s="65"/>
      <c r="G62" s="35"/>
      <c r="H62" s="66"/>
      <c r="I62" s="66"/>
      <c r="J62" s="67"/>
      <c r="K62" s="39"/>
      <c r="M62" s="5"/>
      <c r="N62" s="5"/>
    </row>
    <row r="63" spans="1:14" ht="15.75" x14ac:dyDescent="0.25">
      <c r="A63" s="82"/>
      <c r="B63" s="13" t="s">
        <v>65</v>
      </c>
      <c r="C63" s="14" t="s">
        <v>66</v>
      </c>
      <c r="D63" s="23">
        <v>19000</v>
      </c>
      <c r="E63" s="16">
        <v>18000</v>
      </c>
      <c r="F63" s="16">
        <v>18000</v>
      </c>
      <c r="G63" s="29">
        <v>18000</v>
      </c>
      <c r="H63" s="51" t="s">
        <v>100</v>
      </c>
      <c r="I63" s="26">
        <v>18000</v>
      </c>
      <c r="J63" s="28">
        <v>18000</v>
      </c>
      <c r="K63" s="22">
        <f t="shared" si="0"/>
        <v>18166.666666666668</v>
      </c>
      <c r="M63" s="5"/>
      <c r="N63" s="5"/>
    </row>
    <row r="64" spans="1:14" ht="15.75" x14ac:dyDescent="0.25">
      <c r="A64" s="182">
        <v>18</v>
      </c>
      <c r="B64" s="32" t="s">
        <v>67</v>
      </c>
      <c r="C64" s="32"/>
      <c r="D64" s="45"/>
      <c r="E64" s="36"/>
      <c r="F64" s="47"/>
      <c r="G64" s="47"/>
      <c r="H64" s="48"/>
      <c r="I64" s="48"/>
      <c r="J64" s="49"/>
      <c r="K64" s="39"/>
      <c r="M64" s="5"/>
      <c r="N64" s="5"/>
    </row>
    <row r="65" spans="1:14" ht="15.75" x14ac:dyDescent="0.25">
      <c r="A65" s="183"/>
      <c r="B65" s="13" t="s">
        <v>68</v>
      </c>
      <c r="C65" s="14" t="s">
        <v>6</v>
      </c>
      <c r="D65" s="23">
        <v>28000</v>
      </c>
      <c r="E65" s="16">
        <v>34000</v>
      </c>
      <c r="F65" s="16">
        <v>32000</v>
      </c>
      <c r="G65" s="16">
        <v>30000</v>
      </c>
      <c r="H65" s="17">
        <v>29000</v>
      </c>
      <c r="I65" s="17">
        <v>35000</v>
      </c>
      <c r="J65" s="42">
        <v>33000</v>
      </c>
      <c r="K65" s="22">
        <f t="shared" si="0"/>
        <v>31571.428571428572</v>
      </c>
      <c r="M65" s="5"/>
      <c r="N65" s="5"/>
    </row>
    <row r="66" spans="1:14" ht="15.75" x14ac:dyDescent="0.25">
      <c r="A66" s="183"/>
      <c r="B66" s="13" t="s">
        <v>69</v>
      </c>
      <c r="C66" s="14" t="s">
        <v>6</v>
      </c>
      <c r="D66" s="43">
        <v>26000</v>
      </c>
      <c r="E66" s="16">
        <v>32000</v>
      </c>
      <c r="F66" s="16">
        <v>30000</v>
      </c>
      <c r="G66" s="16">
        <v>25000</v>
      </c>
      <c r="H66" s="17">
        <v>26000</v>
      </c>
      <c r="I66" s="17">
        <v>25000</v>
      </c>
      <c r="J66" s="42">
        <v>27000</v>
      </c>
      <c r="K66" s="22">
        <f t="shared" si="0"/>
        <v>27285.714285714286</v>
      </c>
      <c r="M66" s="5"/>
      <c r="N66" s="5"/>
    </row>
    <row r="67" spans="1:14" ht="15.75" x14ac:dyDescent="0.25">
      <c r="A67" s="183"/>
      <c r="B67" s="13" t="s">
        <v>70</v>
      </c>
      <c r="C67" s="14" t="s">
        <v>6</v>
      </c>
      <c r="D67" s="23">
        <v>26000</v>
      </c>
      <c r="E67" s="16">
        <v>35000</v>
      </c>
      <c r="F67" s="16">
        <v>30000</v>
      </c>
      <c r="G67" s="16">
        <v>35000</v>
      </c>
      <c r="H67" s="17">
        <v>25000</v>
      </c>
      <c r="I67" s="17">
        <v>35000</v>
      </c>
      <c r="J67" s="42">
        <v>28000</v>
      </c>
      <c r="K67" s="22">
        <f t="shared" si="0"/>
        <v>30571.428571428572</v>
      </c>
      <c r="M67" s="5"/>
      <c r="N67" s="5"/>
    </row>
    <row r="68" spans="1:14" ht="15.75" x14ac:dyDescent="0.25">
      <c r="A68" s="184"/>
      <c r="B68" s="13" t="s">
        <v>71</v>
      </c>
      <c r="C68" s="14" t="s">
        <v>6</v>
      </c>
      <c r="D68" s="23">
        <v>18000</v>
      </c>
      <c r="E68" s="29">
        <v>22000</v>
      </c>
      <c r="F68" s="58">
        <v>20000</v>
      </c>
      <c r="G68" s="21">
        <v>25000</v>
      </c>
      <c r="H68" s="17">
        <v>20000</v>
      </c>
      <c r="I68" s="26">
        <v>25000</v>
      </c>
      <c r="J68" s="56">
        <v>22000</v>
      </c>
      <c r="K68" s="22">
        <f t="shared" si="0"/>
        <v>21714.285714285714</v>
      </c>
      <c r="M68" s="5"/>
      <c r="N68" s="5"/>
    </row>
    <row r="69" spans="1:14" ht="15.75" x14ac:dyDescent="0.25">
      <c r="A69" s="79">
        <v>19</v>
      </c>
      <c r="B69" s="32" t="s">
        <v>72</v>
      </c>
      <c r="C69" s="84"/>
      <c r="D69" s="83"/>
      <c r="E69" s="30"/>
      <c r="F69" s="35"/>
      <c r="G69" s="85"/>
      <c r="H69" s="66"/>
      <c r="I69" s="66"/>
      <c r="J69" s="81"/>
      <c r="K69" s="39"/>
      <c r="M69" s="5"/>
      <c r="N69" s="5"/>
    </row>
    <row r="70" spans="1:14" ht="15.75" x14ac:dyDescent="0.25">
      <c r="A70" s="86"/>
      <c r="B70" s="13" t="s">
        <v>73</v>
      </c>
      <c r="C70" s="68" t="s">
        <v>6</v>
      </c>
      <c r="D70" s="23">
        <v>6000</v>
      </c>
      <c r="E70" s="29">
        <v>7000</v>
      </c>
      <c r="F70" s="16">
        <v>5000</v>
      </c>
      <c r="G70" s="16">
        <v>6000</v>
      </c>
      <c r="H70" s="17">
        <v>4000</v>
      </c>
      <c r="I70" s="17">
        <v>6000</v>
      </c>
      <c r="J70" s="56">
        <v>5000</v>
      </c>
      <c r="K70" s="22">
        <f t="shared" si="0"/>
        <v>5571.4285714285716</v>
      </c>
      <c r="M70" s="5"/>
      <c r="N70" s="5"/>
    </row>
    <row r="71" spans="1:14" ht="15.75" x14ac:dyDescent="0.25">
      <c r="A71" s="82"/>
      <c r="B71" s="13" t="s">
        <v>74</v>
      </c>
      <c r="C71" s="68" t="s">
        <v>6</v>
      </c>
      <c r="D71" s="43" t="s">
        <v>100</v>
      </c>
      <c r="E71" s="29" t="s">
        <v>100</v>
      </c>
      <c r="F71" s="58">
        <v>5000</v>
      </c>
      <c r="G71" s="21">
        <v>6000</v>
      </c>
      <c r="H71" s="17">
        <v>5000</v>
      </c>
      <c r="I71" s="26">
        <v>6000</v>
      </c>
      <c r="J71" s="28">
        <v>6000</v>
      </c>
      <c r="K71" s="22">
        <f t="shared" si="0"/>
        <v>5600</v>
      </c>
      <c r="M71" s="5"/>
      <c r="N71" s="5"/>
    </row>
    <row r="72" spans="1:14" ht="15.75" x14ac:dyDescent="0.25">
      <c r="A72" s="79">
        <v>20</v>
      </c>
      <c r="B72" s="32" t="s">
        <v>75</v>
      </c>
      <c r="C72" s="84"/>
      <c r="D72" s="64"/>
      <c r="E72" s="35"/>
      <c r="F72" s="35"/>
      <c r="G72" s="65"/>
      <c r="H72" s="66"/>
      <c r="I72" s="66"/>
      <c r="J72" s="67"/>
      <c r="K72" s="39"/>
      <c r="M72" s="5"/>
      <c r="N72" s="5"/>
    </row>
    <row r="73" spans="1:14" ht="15.75" x14ac:dyDescent="0.25">
      <c r="A73" s="86"/>
      <c r="B73" s="13" t="s">
        <v>76</v>
      </c>
      <c r="C73" s="68" t="s">
        <v>6</v>
      </c>
      <c r="D73" s="23">
        <v>7000</v>
      </c>
      <c r="E73" s="16">
        <v>10000</v>
      </c>
      <c r="F73" s="16">
        <v>8000</v>
      </c>
      <c r="G73" s="16">
        <v>9000</v>
      </c>
      <c r="H73" s="17">
        <v>9000</v>
      </c>
      <c r="I73" s="27">
        <v>10000</v>
      </c>
      <c r="J73" s="42">
        <v>7000</v>
      </c>
      <c r="K73" s="22">
        <f t="shared" si="0"/>
        <v>8571.4285714285706</v>
      </c>
      <c r="M73" s="5"/>
      <c r="N73" s="5"/>
    </row>
    <row r="74" spans="1:14" ht="15.75" x14ac:dyDescent="0.25">
      <c r="A74" s="86"/>
      <c r="B74" s="13" t="s">
        <v>77</v>
      </c>
      <c r="C74" s="68" t="s">
        <v>6</v>
      </c>
      <c r="D74" s="23">
        <v>10000</v>
      </c>
      <c r="E74" s="16">
        <v>12000</v>
      </c>
      <c r="F74" s="16">
        <v>12000</v>
      </c>
      <c r="G74" s="16">
        <v>12000</v>
      </c>
      <c r="H74" s="17">
        <v>10000</v>
      </c>
      <c r="I74" s="27">
        <v>12000</v>
      </c>
      <c r="J74" s="42">
        <v>15000</v>
      </c>
      <c r="K74" s="22">
        <f t="shared" si="0"/>
        <v>11857.142857142857</v>
      </c>
      <c r="M74" s="5"/>
      <c r="N74" s="5"/>
    </row>
    <row r="75" spans="1:14" ht="15.75" x14ac:dyDescent="0.25">
      <c r="A75" s="86"/>
      <c r="B75" s="13" t="s">
        <v>78</v>
      </c>
      <c r="C75" s="68" t="s">
        <v>6</v>
      </c>
      <c r="D75" s="23">
        <v>14000</v>
      </c>
      <c r="E75" s="16">
        <v>15000</v>
      </c>
      <c r="F75" s="16">
        <v>16000</v>
      </c>
      <c r="G75" s="16">
        <v>15000</v>
      </c>
      <c r="H75" s="17">
        <v>15000</v>
      </c>
      <c r="I75" s="17">
        <v>16000</v>
      </c>
      <c r="J75" s="42">
        <v>15000</v>
      </c>
      <c r="K75" s="22">
        <f t="shared" si="0"/>
        <v>15142.857142857143</v>
      </c>
      <c r="M75" s="5"/>
      <c r="N75" s="5"/>
    </row>
    <row r="76" spans="1:14" ht="15.75" x14ac:dyDescent="0.25">
      <c r="A76" s="86"/>
      <c r="B76" s="13" t="s">
        <v>79</v>
      </c>
      <c r="C76" s="68" t="s">
        <v>6</v>
      </c>
      <c r="D76" s="23">
        <v>10000</v>
      </c>
      <c r="E76" s="16">
        <v>12000</v>
      </c>
      <c r="F76" s="16">
        <v>14000</v>
      </c>
      <c r="G76" s="16">
        <v>17000</v>
      </c>
      <c r="H76" s="17">
        <v>6000</v>
      </c>
      <c r="I76" s="55">
        <v>8000</v>
      </c>
      <c r="J76" s="42">
        <v>6000</v>
      </c>
      <c r="K76" s="22">
        <f t="shared" ref="K76:K83" si="1">AVERAGE(D76:J76)</f>
        <v>10428.571428571429</v>
      </c>
      <c r="M76" s="5"/>
      <c r="N76" s="5"/>
    </row>
    <row r="77" spans="1:14" ht="15.75" x14ac:dyDescent="0.25">
      <c r="A77" s="86"/>
      <c r="B77" s="13" t="s">
        <v>80</v>
      </c>
      <c r="C77" s="68" t="s">
        <v>6</v>
      </c>
      <c r="D77" s="23">
        <v>8000</v>
      </c>
      <c r="E77" s="16">
        <v>12000</v>
      </c>
      <c r="F77" s="16">
        <v>10000</v>
      </c>
      <c r="G77" s="16">
        <v>13000</v>
      </c>
      <c r="H77" s="17">
        <v>10000</v>
      </c>
      <c r="I77" s="17">
        <v>12000</v>
      </c>
      <c r="J77" s="42">
        <v>10000</v>
      </c>
      <c r="K77" s="22">
        <f t="shared" si="1"/>
        <v>10714.285714285714</v>
      </c>
      <c r="M77" s="5"/>
      <c r="N77" s="5"/>
    </row>
    <row r="78" spans="1:14" ht="15.75" x14ac:dyDescent="0.25">
      <c r="A78" s="86"/>
      <c r="B78" s="13" t="s">
        <v>81</v>
      </c>
      <c r="C78" s="68" t="s">
        <v>6</v>
      </c>
      <c r="D78" s="43" t="s">
        <v>100</v>
      </c>
      <c r="E78" s="29">
        <v>10000</v>
      </c>
      <c r="F78" s="30" t="s">
        <v>100</v>
      </c>
      <c r="G78" s="21" t="s">
        <v>100</v>
      </c>
      <c r="H78" s="87">
        <v>9000</v>
      </c>
      <c r="I78" s="88">
        <v>10000</v>
      </c>
      <c r="J78" s="89">
        <v>8000</v>
      </c>
      <c r="K78" s="22">
        <f t="shared" si="1"/>
        <v>9250</v>
      </c>
      <c r="M78" s="5"/>
      <c r="N78" s="5"/>
    </row>
    <row r="79" spans="1:14" ht="15.75" x14ac:dyDescent="0.25">
      <c r="A79" s="86"/>
      <c r="B79" s="13" t="s">
        <v>82</v>
      </c>
      <c r="C79" s="68" t="s">
        <v>83</v>
      </c>
      <c r="D79" s="43" t="s">
        <v>100</v>
      </c>
      <c r="E79" s="29" t="s">
        <v>100</v>
      </c>
      <c r="F79" s="16">
        <v>2000</v>
      </c>
      <c r="G79" s="21">
        <v>2000</v>
      </c>
      <c r="H79" s="17">
        <v>1500</v>
      </c>
      <c r="I79" s="26">
        <v>2000</v>
      </c>
      <c r="J79" s="28">
        <v>2000</v>
      </c>
      <c r="K79" s="22">
        <f t="shared" si="1"/>
        <v>1900</v>
      </c>
      <c r="M79" s="5"/>
      <c r="N79" s="5"/>
    </row>
    <row r="80" spans="1:14" ht="15.75" x14ac:dyDescent="0.25">
      <c r="A80" s="86"/>
      <c r="B80" s="13" t="s">
        <v>84</v>
      </c>
      <c r="C80" s="68" t="s">
        <v>83</v>
      </c>
      <c r="D80" s="43" t="s">
        <v>100</v>
      </c>
      <c r="E80" s="29" t="s">
        <v>100</v>
      </c>
      <c r="F80" s="16">
        <v>1500</v>
      </c>
      <c r="G80" s="21">
        <v>2000</v>
      </c>
      <c r="H80" s="17">
        <v>1500</v>
      </c>
      <c r="I80" s="26">
        <v>1500</v>
      </c>
      <c r="J80" s="28">
        <v>1500</v>
      </c>
      <c r="K80" s="22">
        <f t="shared" si="1"/>
        <v>1600</v>
      </c>
      <c r="M80" s="5"/>
      <c r="N80" s="5"/>
    </row>
    <row r="81" spans="1:14" ht="15.75" x14ac:dyDescent="0.25">
      <c r="A81" s="82"/>
      <c r="B81" s="13" t="s">
        <v>85</v>
      </c>
      <c r="C81" s="68" t="s">
        <v>83</v>
      </c>
      <c r="D81" s="43" t="s">
        <v>100</v>
      </c>
      <c r="E81" s="29" t="s">
        <v>100</v>
      </c>
      <c r="F81" s="16">
        <v>2000</v>
      </c>
      <c r="G81" s="21">
        <v>2000</v>
      </c>
      <c r="H81" s="17">
        <v>2000</v>
      </c>
      <c r="I81" s="26">
        <v>2000</v>
      </c>
      <c r="J81" s="28">
        <v>2000</v>
      </c>
      <c r="K81" s="22">
        <f t="shared" si="1"/>
        <v>2000</v>
      </c>
      <c r="M81" s="5"/>
      <c r="N81" s="5"/>
    </row>
    <row r="82" spans="1:14" ht="15.75" x14ac:dyDescent="0.25">
      <c r="A82" s="79">
        <v>21</v>
      </c>
      <c r="B82" s="32" t="s">
        <v>86</v>
      </c>
      <c r="C82" s="84"/>
      <c r="D82" s="90"/>
      <c r="E82" s="30"/>
      <c r="F82" s="35" t="s">
        <v>104</v>
      </c>
      <c r="G82" s="65"/>
      <c r="H82" s="66"/>
      <c r="I82" s="66"/>
      <c r="J82" s="67"/>
      <c r="K82" s="39"/>
      <c r="M82" s="5"/>
      <c r="N82" s="5"/>
    </row>
    <row r="83" spans="1:14" ht="15.75" x14ac:dyDescent="0.25">
      <c r="A83" s="82"/>
      <c r="B83" s="13" t="s">
        <v>87</v>
      </c>
      <c r="C83" s="68" t="s">
        <v>88</v>
      </c>
      <c r="D83" s="43">
        <v>18000</v>
      </c>
      <c r="E83" s="29" t="s">
        <v>100</v>
      </c>
      <c r="F83" s="91" t="s">
        <v>100</v>
      </c>
      <c r="G83" s="21">
        <v>17000</v>
      </c>
      <c r="H83" s="51" t="s">
        <v>100</v>
      </c>
      <c r="I83" s="27">
        <v>19000</v>
      </c>
      <c r="J83" s="28">
        <v>18000</v>
      </c>
      <c r="K83" s="22">
        <f t="shared" si="1"/>
        <v>18000</v>
      </c>
      <c r="M83" s="5"/>
      <c r="N83" s="5"/>
    </row>
    <row r="84" spans="1:14" ht="15.75" x14ac:dyDescent="0.25">
      <c r="E84" s="4"/>
      <c r="J84" s="2"/>
      <c r="M84" s="5"/>
      <c r="N84" s="5"/>
    </row>
    <row r="85" spans="1:14" ht="15.75" x14ac:dyDescent="0.25">
      <c r="B85" s="92"/>
      <c r="J85" s="2"/>
      <c r="M85" s="5"/>
      <c r="N85" s="5"/>
    </row>
    <row r="86" spans="1:14" ht="15.75" x14ac:dyDescent="0.25">
      <c r="J86" s="2"/>
      <c r="M86" s="5"/>
      <c r="N86" s="5"/>
    </row>
    <row r="87" spans="1:14" ht="15.75" x14ac:dyDescent="0.25">
      <c r="A87" s="5"/>
      <c r="B87" s="5"/>
      <c r="C87" s="5"/>
      <c r="D87" s="78"/>
      <c r="E87" s="5"/>
      <c r="F87" s="5"/>
      <c r="G87" s="5"/>
      <c r="H87" s="5"/>
      <c r="I87" s="5"/>
      <c r="J87" s="40"/>
      <c r="K87" s="5"/>
      <c r="L87" s="5"/>
      <c r="M87" s="5"/>
      <c r="N87" s="5"/>
    </row>
  </sheetData>
  <mergeCells count="28">
    <mergeCell ref="A49:A50"/>
    <mergeCell ref="A51:A55"/>
    <mergeCell ref="A58:A61"/>
    <mergeCell ref="A64:A68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1"/>
    <mergeCell ref="A12:A14"/>
    <mergeCell ref="A15:A16"/>
    <mergeCell ref="A41:A43"/>
    <mergeCell ref="A47:A48"/>
    <mergeCell ref="A18:A19"/>
    <mergeCell ref="A20:A24"/>
    <mergeCell ref="A25:A31"/>
    <mergeCell ref="A32:A34"/>
    <mergeCell ref="A38:A40"/>
  </mergeCells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C3F8-84A6-46C1-819B-AACC55A465EB}">
  <dimension ref="A1:N87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9" t="s">
        <v>89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M1" s="5"/>
      <c r="N1" s="5"/>
    </row>
    <row r="2" spans="1:14" ht="27.75" customHeight="1" x14ac:dyDescent="0.25">
      <c r="A2" s="170" t="s">
        <v>90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M2" s="5"/>
      <c r="N2" s="5"/>
    </row>
    <row r="3" spans="1:14" ht="27.75" customHeight="1" thickBot="1" x14ac:dyDescent="0.3">
      <c r="A3" s="171" t="s">
        <v>145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M3" s="5"/>
      <c r="N3" s="5"/>
    </row>
    <row r="4" spans="1:14" ht="25.5" customHeight="1" x14ac:dyDescent="0.25">
      <c r="A4" s="162" t="s">
        <v>1</v>
      </c>
      <c r="B4" s="165" t="s">
        <v>2</v>
      </c>
      <c r="C4" s="162" t="s">
        <v>91</v>
      </c>
      <c r="D4" s="176" t="s">
        <v>92</v>
      </c>
      <c r="E4" s="179" t="s">
        <v>93</v>
      </c>
      <c r="F4" s="195" t="s">
        <v>94</v>
      </c>
      <c r="G4" s="198" t="s">
        <v>95</v>
      </c>
      <c r="H4" s="208" t="s">
        <v>96</v>
      </c>
      <c r="I4" s="188" t="s">
        <v>97</v>
      </c>
      <c r="J4" s="173" t="s">
        <v>98</v>
      </c>
      <c r="K4" s="191" t="s">
        <v>99</v>
      </c>
      <c r="M4" s="5"/>
      <c r="N4" s="5"/>
    </row>
    <row r="5" spans="1:14" ht="15" customHeight="1" x14ac:dyDescent="0.25">
      <c r="A5" s="163"/>
      <c r="B5" s="166"/>
      <c r="C5" s="163"/>
      <c r="D5" s="177"/>
      <c r="E5" s="180"/>
      <c r="F5" s="196"/>
      <c r="G5" s="199"/>
      <c r="H5" s="209"/>
      <c r="I5" s="189"/>
      <c r="J5" s="174"/>
      <c r="K5" s="192"/>
      <c r="M5" s="5"/>
      <c r="N5" s="5"/>
    </row>
    <row r="6" spans="1:14" ht="16.5" thickBot="1" x14ac:dyDescent="0.3">
      <c r="A6" s="164"/>
      <c r="B6" s="167"/>
      <c r="C6" s="164"/>
      <c r="D6" s="178"/>
      <c r="E6" s="181"/>
      <c r="F6" s="197"/>
      <c r="G6" s="200"/>
      <c r="H6" s="210"/>
      <c r="I6" s="190"/>
      <c r="J6" s="175"/>
      <c r="K6" s="193"/>
      <c r="M6" s="5"/>
      <c r="N6" s="5"/>
    </row>
    <row r="7" spans="1:14" ht="15.75" x14ac:dyDescent="0.25">
      <c r="A7" s="194">
        <v>1</v>
      </c>
      <c r="B7" s="6" t="s">
        <v>4</v>
      </c>
      <c r="C7" s="7"/>
      <c r="D7" s="8"/>
      <c r="E7" s="9"/>
      <c r="F7" s="9"/>
      <c r="G7" s="10"/>
      <c r="H7" s="11"/>
      <c r="I7" s="96"/>
      <c r="J7" s="11"/>
      <c r="K7" s="93"/>
      <c r="M7" s="5"/>
      <c r="N7" s="5"/>
    </row>
    <row r="8" spans="1:14" ht="15.75" x14ac:dyDescent="0.25">
      <c r="A8" s="183"/>
      <c r="B8" s="13" t="s">
        <v>121</v>
      </c>
      <c r="C8" s="14" t="s">
        <v>6</v>
      </c>
      <c r="D8" s="15">
        <v>13000</v>
      </c>
      <c r="E8" s="95">
        <v>12500</v>
      </c>
      <c r="F8" s="95">
        <v>14500</v>
      </c>
      <c r="G8" s="29">
        <v>12800</v>
      </c>
      <c r="H8" s="42">
        <v>14000</v>
      </c>
      <c r="I8" s="42">
        <v>13500</v>
      </c>
      <c r="J8" s="94">
        <v>13000</v>
      </c>
      <c r="K8" s="19">
        <f>AVERAGE(D8:J8)</f>
        <v>13328.571428571429</v>
      </c>
      <c r="L8" s="1"/>
      <c r="M8" s="20"/>
      <c r="N8" s="5"/>
    </row>
    <row r="9" spans="1:14" ht="15.75" x14ac:dyDescent="0.25">
      <c r="A9" s="183"/>
      <c r="B9" s="13" t="s">
        <v>122</v>
      </c>
      <c r="C9" s="14" t="s">
        <v>6</v>
      </c>
      <c r="D9" s="23">
        <v>9000</v>
      </c>
      <c r="E9" s="16">
        <v>9000</v>
      </c>
      <c r="F9" s="16">
        <v>8800</v>
      </c>
      <c r="G9" s="21">
        <v>9000</v>
      </c>
      <c r="H9" s="17">
        <v>9000</v>
      </c>
      <c r="I9" s="17">
        <v>9000</v>
      </c>
      <c r="J9" s="94">
        <v>9000</v>
      </c>
      <c r="K9" s="22">
        <f t="shared" ref="K9:K75" si="0">AVERAGE(D9:J9)</f>
        <v>8971.4285714285706</v>
      </c>
      <c r="M9" s="5"/>
      <c r="N9" s="5"/>
    </row>
    <row r="10" spans="1:14" ht="15.75" x14ac:dyDescent="0.25">
      <c r="A10" s="183"/>
      <c r="B10" s="13" t="s">
        <v>9</v>
      </c>
      <c r="C10" s="14" t="s">
        <v>6</v>
      </c>
      <c r="D10" s="43" t="s">
        <v>100</v>
      </c>
      <c r="E10" s="29" t="s">
        <v>100</v>
      </c>
      <c r="F10" s="30" t="s">
        <v>100</v>
      </c>
      <c r="G10" s="21" t="s">
        <v>100</v>
      </c>
      <c r="H10" s="26" t="s">
        <v>100</v>
      </c>
      <c r="I10" s="27">
        <v>11000</v>
      </c>
      <c r="J10" s="94">
        <v>8000</v>
      </c>
      <c r="K10" s="22">
        <f>AVERAGE(D10:J10)</f>
        <v>9500</v>
      </c>
      <c r="M10" s="5"/>
      <c r="N10" s="5"/>
    </row>
    <row r="11" spans="1:14" ht="15.75" x14ac:dyDescent="0.25">
      <c r="A11" s="184"/>
      <c r="B11" s="13" t="s">
        <v>10</v>
      </c>
      <c r="C11" s="14" t="s">
        <v>6</v>
      </c>
      <c r="D11" s="43" t="s">
        <v>100</v>
      </c>
      <c r="E11" s="29">
        <v>23000</v>
      </c>
      <c r="F11" s="30" t="s">
        <v>100</v>
      </c>
      <c r="G11" s="21" t="s">
        <v>100</v>
      </c>
      <c r="H11" s="26" t="s">
        <v>100</v>
      </c>
      <c r="I11" s="27">
        <v>20000</v>
      </c>
      <c r="J11" s="94">
        <v>17000</v>
      </c>
      <c r="K11" s="22">
        <f t="shared" si="0"/>
        <v>20000</v>
      </c>
      <c r="M11" s="5"/>
      <c r="N11" s="5"/>
    </row>
    <row r="12" spans="1:14" ht="15.75" x14ac:dyDescent="0.25">
      <c r="A12" s="182">
        <v>2</v>
      </c>
      <c r="B12" s="32" t="s">
        <v>11</v>
      </c>
      <c r="C12" s="33"/>
      <c r="D12" s="34"/>
      <c r="E12" s="35"/>
      <c r="F12" s="36"/>
      <c r="G12" s="37"/>
      <c r="H12" s="38"/>
      <c r="I12" s="38"/>
      <c r="J12" s="38"/>
      <c r="K12" s="39"/>
      <c r="M12" s="5"/>
      <c r="N12" s="40"/>
    </row>
    <row r="13" spans="1:14" ht="15.75" x14ac:dyDescent="0.25">
      <c r="A13" s="183"/>
      <c r="B13" s="41" t="s">
        <v>12</v>
      </c>
      <c r="C13" s="14" t="s">
        <v>6</v>
      </c>
      <c r="D13" s="23">
        <v>13000</v>
      </c>
      <c r="E13" s="16">
        <v>13000</v>
      </c>
      <c r="F13" s="16">
        <v>13000</v>
      </c>
      <c r="G13" s="16">
        <v>13000</v>
      </c>
      <c r="H13" s="17">
        <v>13000</v>
      </c>
      <c r="I13" s="17">
        <v>13000</v>
      </c>
      <c r="J13" s="42">
        <v>13000</v>
      </c>
      <c r="K13" s="22">
        <f t="shared" si="0"/>
        <v>13000</v>
      </c>
      <c r="M13" s="5"/>
      <c r="N13" s="5"/>
    </row>
    <row r="14" spans="1:14" ht="15.75" x14ac:dyDescent="0.25">
      <c r="A14" s="184"/>
      <c r="B14" s="13" t="s">
        <v>13</v>
      </c>
      <c r="C14" s="14" t="s">
        <v>6</v>
      </c>
      <c r="D14" s="43">
        <v>15000</v>
      </c>
      <c r="E14" s="29">
        <v>16000</v>
      </c>
      <c r="F14" s="24">
        <v>16000</v>
      </c>
      <c r="G14" s="21">
        <v>19000</v>
      </c>
      <c r="H14" s="17">
        <v>15000</v>
      </c>
      <c r="I14" s="17">
        <v>16000</v>
      </c>
      <c r="J14" s="42">
        <v>16000</v>
      </c>
      <c r="K14" s="22">
        <f t="shared" si="0"/>
        <v>16142.857142857143</v>
      </c>
      <c r="M14" s="5"/>
      <c r="N14" s="5"/>
    </row>
    <row r="15" spans="1:14" ht="15.75" x14ac:dyDescent="0.25">
      <c r="A15" s="182">
        <v>3</v>
      </c>
      <c r="B15" s="32" t="s">
        <v>14</v>
      </c>
      <c r="C15" s="44"/>
      <c r="D15" s="45"/>
      <c r="E15" s="46"/>
      <c r="F15" s="47"/>
      <c r="G15" s="47"/>
      <c r="H15" s="48"/>
      <c r="I15" s="48"/>
      <c r="J15" s="49"/>
      <c r="K15" s="39"/>
      <c r="M15" s="5"/>
      <c r="N15" s="5"/>
    </row>
    <row r="16" spans="1:14" ht="15.75" x14ac:dyDescent="0.25">
      <c r="A16" s="183"/>
      <c r="B16" s="13" t="s">
        <v>15</v>
      </c>
      <c r="C16" s="14" t="s">
        <v>6</v>
      </c>
      <c r="D16" s="23">
        <v>15000</v>
      </c>
      <c r="E16" s="29">
        <v>16000</v>
      </c>
      <c r="F16" s="16">
        <v>15000</v>
      </c>
      <c r="G16" s="16">
        <v>16000</v>
      </c>
      <c r="H16" s="17">
        <v>14000</v>
      </c>
      <c r="I16" s="17">
        <v>16000</v>
      </c>
      <c r="J16" s="42">
        <v>16000</v>
      </c>
      <c r="K16" s="22">
        <f t="shared" si="0"/>
        <v>15428.571428571429</v>
      </c>
      <c r="M16" s="5"/>
      <c r="N16" s="5"/>
    </row>
    <row r="17" spans="1:14" ht="15.75" x14ac:dyDescent="0.25">
      <c r="A17" s="12"/>
      <c r="B17" s="13" t="s">
        <v>123</v>
      </c>
      <c r="C17" s="14" t="s">
        <v>124</v>
      </c>
      <c r="D17" s="23">
        <v>14000</v>
      </c>
      <c r="E17" s="29">
        <v>14000</v>
      </c>
      <c r="F17" s="16">
        <v>14000</v>
      </c>
      <c r="G17" s="16">
        <v>14000</v>
      </c>
      <c r="H17" s="26" t="s">
        <v>100</v>
      </c>
      <c r="I17" s="17">
        <v>14000</v>
      </c>
      <c r="J17" s="42">
        <v>14000</v>
      </c>
      <c r="K17" s="22">
        <f t="shared" si="0"/>
        <v>14000</v>
      </c>
      <c r="M17" s="5"/>
      <c r="N17" s="5"/>
    </row>
    <row r="18" spans="1:14" ht="15.75" x14ac:dyDescent="0.25">
      <c r="A18" s="182">
        <v>4</v>
      </c>
      <c r="B18" s="32" t="s">
        <v>16</v>
      </c>
      <c r="C18" s="44"/>
      <c r="D18" s="45"/>
      <c r="E18" s="46"/>
      <c r="F18" s="47"/>
      <c r="G18" s="50"/>
      <c r="H18" s="48"/>
      <c r="I18" s="48"/>
      <c r="J18" s="49"/>
      <c r="K18" s="39"/>
      <c r="M18" s="5"/>
      <c r="N18" s="5"/>
    </row>
    <row r="19" spans="1:14" ht="17.25" customHeight="1" x14ac:dyDescent="0.25">
      <c r="A19" s="184"/>
      <c r="B19" s="13" t="s">
        <v>17</v>
      </c>
      <c r="C19" s="14" t="s">
        <v>6</v>
      </c>
      <c r="D19" s="43" t="s">
        <v>100</v>
      </c>
      <c r="E19" s="29" t="s">
        <v>100</v>
      </c>
      <c r="F19" s="30" t="s">
        <v>100</v>
      </c>
      <c r="G19" s="21">
        <v>14000</v>
      </c>
      <c r="H19" s="51" t="s">
        <v>100</v>
      </c>
      <c r="I19" s="27">
        <v>24000</v>
      </c>
      <c r="J19" s="52" t="s">
        <v>100</v>
      </c>
      <c r="K19" s="22">
        <f t="shared" si="0"/>
        <v>19000</v>
      </c>
      <c r="M19" s="5"/>
      <c r="N19" s="5"/>
    </row>
    <row r="20" spans="1:14" ht="15.75" x14ac:dyDescent="0.25">
      <c r="A20" s="182">
        <v>5</v>
      </c>
      <c r="B20" s="32" t="s">
        <v>18</v>
      </c>
      <c r="C20" s="44"/>
      <c r="D20" s="45"/>
      <c r="E20" s="36"/>
      <c r="F20" s="47"/>
      <c r="G20" s="50"/>
      <c r="H20" s="48"/>
      <c r="I20" s="53"/>
      <c r="J20" s="54"/>
      <c r="K20" s="39"/>
      <c r="M20" s="5"/>
      <c r="N20" s="5"/>
    </row>
    <row r="21" spans="1:14" ht="15.75" x14ac:dyDescent="0.25">
      <c r="A21" s="183"/>
      <c r="B21" s="13" t="s">
        <v>19</v>
      </c>
      <c r="C21" s="14" t="s">
        <v>6</v>
      </c>
      <c r="D21" s="43">
        <v>120000</v>
      </c>
      <c r="E21" s="16">
        <v>120000</v>
      </c>
      <c r="F21" s="16">
        <v>120000</v>
      </c>
      <c r="G21" s="16">
        <v>120000</v>
      </c>
      <c r="H21" s="17">
        <v>117000</v>
      </c>
      <c r="I21" s="55">
        <v>120000</v>
      </c>
      <c r="J21" s="56">
        <v>110000</v>
      </c>
      <c r="K21" s="22">
        <f t="shared" si="0"/>
        <v>118142.85714285714</v>
      </c>
      <c r="M21" s="5"/>
      <c r="N21" s="5"/>
    </row>
    <row r="22" spans="1:14" ht="15.75" x14ac:dyDescent="0.25">
      <c r="A22" s="183"/>
      <c r="B22" s="13" t="s">
        <v>20</v>
      </c>
      <c r="C22" s="14" t="s">
        <v>6</v>
      </c>
      <c r="D22" s="43">
        <v>110000</v>
      </c>
      <c r="E22" s="16">
        <v>110000</v>
      </c>
      <c r="F22" s="16">
        <v>115000</v>
      </c>
      <c r="G22" s="16">
        <v>110000</v>
      </c>
      <c r="H22" s="17">
        <v>114000</v>
      </c>
      <c r="I22" s="26">
        <v>110000</v>
      </c>
      <c r="J22" s="42">
        <v>100000</v>
      </c>
      <c r="K22" s="22">
        <f t="shared" si="0"/>
        <v>109857.14285714286</v>
      </c>
      <c r="M22" s="5"/>
      <c r="N22" s="5"/>
    </row>
    <row r="23" spans="1:14" ht="15.75" x14ac:dyDescent="0.25">
      <c r="A23" s="183"/>
      <c r="B23" s="13" t="s">
        <v>21</v>
      </c>
      <c r="C23" s="14" t="s">
        <v>6</v>
      </c>
      <c r="D23" s="43">
        <v>100000</v>
      </c>
      <c r="E23" s="16">
        <v>95000</v>
      </c>
      <c r="F23" s="16">
        <v>105000</v>
      </c>
      <c r="G23" s="16">
        <v>100000</v>
      </c>
      <c r="H23" s="17">
        <v>100000</v>
      </c>
      <c r="I23" s="55">
        <v>100000</v>
      </c>
      <c r="J23" s="56" t="s">
        <v>100</v>
      </c>
      <c r="K23" s="22">
        <f t="shared" si="0"/>
        <v>100000</v>
      </c>
      <c r="M23" s="5"/>
      <c r="N23" s="5"/>
    </row>
    <row r="24" spans="1:14" ht="15.75" x14ac:dyDescent="0.25">
      <c r="A24" s="184"/>
      <c r="B24" s="13" t="s">
        <v>22</v>
      </c>
      <c r="C24" s="14" t="s">
        <v>6</v>
      </c>
      <c r="D24" s="23">
        <v>30000</v>
      </c>
      <c r="E24" s="16">
        <v>30000</v>
      </c>
      <c r="F24" s="16">
        <v>32000</v>
      </c>
      <c r="G24" s="16">
        <v>30000</v>
      </c>
      <c r="H24" s="42">
        <v>32000</v>
      </c>
      <c r="I24" s="17">
        <v>30000</v>
      </c>
      <c r="J24" s="42">
        <v>32000</v>
      </c>
      <c r="K24" s="22">
        <f t="shared" si="0"/>
        <v>30857.142857142859</v>
      </c>
      <c r="M24" s="5"/>
      <c r="N24" s="5"/>
    </row>
    <row r="25" spans="1:14" ht="15.75" x14ac:dyDescent="0.25">
      <c r="A25" s="182">
        <v>6</v>
      </c>
      <c r="B25" s="32" t="s">
        <v>23</v>
      </c>
      <c r="C25" s="44"/>
      <c r="D25" s="45"/>
      <c r="E25" s="36"/>
      <c r="F25" s="50"/>
      <c r="G25" s="47"/>
      <c r="H25" s="49"/>
      <c r="I25" s="48"/>
      <c r="J25" s="49"/>
      <c r="K25" s="39"/>
      <c r="M25" s="5"/>
      <c r="N25" s="5"/>
    </row>
    <row r="26" spans="1:14" ht="15.75" x14ac:dyDescent="0.25">
      <c r="A26" s="183"/>
      <c r="B26" s="13" t="s">
        <v>24</v>
      </c>
      <c r="C26" s="14" t="s">
        <v>6</v>
      </c>
      <c r="D26" s="43">
        <v>35000</v>
      </c>
      <c r="E26" s="16">
        <v>40000</v>
      </c>
      <c r="F26" s="29" t="s">
        <v>100</v>
      </c>
      <c r="G26" s="16">
        <v>40000</v>
      </c>
      <c r="H26" s="17">
        <v>30000</v>
      </c>
      <c r="I26" s="26">
        <v>42000</v>
      </c>
      <c r="J26" s="42">
        <v>35000</v>
      </c>
      <c r="K26" s="22">
        <f t="shared" si="0"/>
        <v>37000</v>
      </c>
      <c r="M26" s="5"/>
      <c r="N26" s="5"/>
    </row>
    <row r="27" spans="1:14" ht="15.75" x14ac:dyDescent="0.25">
      <c r="A27" s="183"/>
      <c r="B27" s="13" t="s">
        <v>25</v>
      </c>
      <c r="C27" s="14" t="s">
        <v>6</v>
      </c>
      <c r="D27" s="43" t="s">
        <v>100</v>
      </c>
      <c r="E27" s="29">
        <v>30000</v>
      </c>
      <c r="F27" s="16">
        <v>30000</v>
      </c>
      <c r="G27" s="21">
        <v>30000</v>
      </c>
      <c r="H27" s="26">
        <v>23000</v>
      </c>
      <c r="I27" s="26">
        <v>30000</v>
      </c>
      <c r="J27" s="57">
        <v>28000</v>
      </c>
      <c r="K27" s="22">
        <f t="shared" si="0"/>
        <v>28500</v>
      </c>
      <c r="L27" t="s">
        <v>101</v>
      </c>
      <c r="M27" s="5"/>
      <c r="N27" s="5"/>
    </row>
    <row r="28" spans="1:14" ht="15.75" x14ac:dyDescent="0.25">
      <c r="A28" s="183"/>
      <c r="B28" s="13" t="s">
        <v>26</v>
      </c>
      <c r="C28" s="14" t="s">
        <v>6</v>
      </c>
      <c r="D28" s="43" t="s">
        <v>100</v>
      </c>
      <c r="E28" s="29">
        <v>70000</v>
      </c>
      <c r="F28" s="58">
        <v>60000</v>
      </c>
      <c r="G28" s="21">
        <v>75000</v>
      </c>
      <c r="H28" s="17">
        <v>58000</v>
      </c>
      <c r="I28" s="26">
        <v>80000</v>
      </c>
      <c r="J28" s="28">
        <v>60000</v>
      </c>
      <c r="K28" s="22">
        <f t="shared" si="0"/>
        <v>67166.666666666672</v>
      </c>
      <c r="M28" s="5"/>
      <c r="N28" s="5"/>
    </row>
    <row r="29" spans="1:14" ht="15.75" x14ac:dyDescent="0.25">
      <c r="A29" s="183"/>
      <c r="B29" s="13" t="s">
        <v>27</v>
      </c>
      <c r="C29" s="14" t="s">
        <v>6</v>
      </c>
      <c r="D29" s="43" t="s">
        <v>100</v>
      </c>
      <c r="E29" s="29" t="s">
        <v>100</v>
      </c>
      <c r="F29" s="30" t="s">
        <v>100</v>
      </c>
      <c r="G29" s="21" t="s">
        <v>100</v>
      </c>
      <c r="H29" s="17">
        <v>23000</v>
      </c>
      <c r="I29" s="26">
        <v>24000</v>
      </c>
      <c r="J29" s="28">
        <v>26000</v>
      </c>
      <c r="K29" s="22">
        <f t="shared" si="0"/>
        <v>24333.333333333332</v>
      </c>
      <c r="M29" s="5"/>
      <c r="N29" s="5"/>
    </row>
    <row r="30" spans="1:14" ht="15.75" x14ac:dyDescent="0.25">
      <c r="A30" s="183"/>
      <c r="B30" s="13" t="s">
        <v>28</v>
      </c>
      <c r="C30" s="14" t="s">
        <v>6</v>
      </c>
      <c r="D30" s="43">
        <v>40000</v>
      </c>
      <c r="E30" s="16">
        <v>36000</v>
      </c>
      <c r="F30" s="16">
        <v>40000</v>
      </c>
      <c r="G30" s="16">
        <v>40000</v>
      </c>
      <c r="H30" s="17">
        <v>28000</v>
      </c>
      <c r="I30" s="26">
        <v>38000</v>
      </c>
      <c r="J30" s="42">
        <v>38000</v>
      </c>
      <c r="K30" s="22">
        <f t="shared" si="0"/>
        <v>37142.857142857145</v>
      </c>
      <c r="M30" s="5"/>
      <c r="N30" s="5"/>
    </row>
    <row r="31" spans="1:14" ht="15.75" x14ac:dyDescent="0.25">
      <c r="A31" s="184"/>
      <c r="B31" s="13" t="s">
        <v>29</v>
      </c>
      <c r="C31" s="14" t="s">
        <v>6</v>
      </c>
      <c r="D31" s="43">
        <v>80000</v>
      </c>
      <c r="E31" s="16">
        <v>100000</v>
      </c>
      <c r="F31" s="16">
        <v>80000</v>
      </c>
      <c r="G31" s="29" t="s">
        <v>100</v>
      </c>
      <c r="H31" s="17">
        <v>80000</v>
      </c>
      <c r="I31" s="26" t="s">
        <v>100</v>
      </c>
      <c r="J31" s="28" t="s">
        <v>100</v>
      </c>
      <c r="K31" s="22">
        <f t="shared" si="0"/>
        <v>85000</v>
      </c>
      <c r="M31" s="5"/>
      <c r="N31" s="5"/>
    </row>
    <row r="32" spans="1:14" ht="15.75" x14ac:dyDescent="0.25">
      <c r="A32" s="182">
        <v>7</v>
      </c>
      <c r="B32" s="32" t="s">
        <v>30</v>
      </c>
      <c r="C32" s="44"/>
      <c r="D32" s="45"/>
      <c r="E32" s="36"/>
      <c r="F32" s="50"/>
      <c r="G32" s="50"/>
      <c r="H32" s="48"/>
      <c r="I32" s="48"/>
      <c r="J32" s="49" t="s">
        <v>102</v>
      </c>
      <c r="K32" s="39"/>
      <c r="M32" s="5"/>
      <c r="N32" s="5"/>
    </row>
    <row r="33" spans="1:14" ht="15.75" x14ac:dyDescent="0.25">
      <c r="A33" s="183"/>
      <c r="B33" s="13" t="s">
        <v>31</v>
      </c>
      <c r="C33" s="14" t="s">
        <v>6</v>
      </c>
      <c r="D33" s="23">
        <v>26000</v>
      </c>
      <c r="E33" s="16">
        <v>26000</v>
      </c>
      <c r="F33" s="16">
        <v>26000</v>
      </c>
      <c r="G33" s="16">
        <v>26000</v>
      </c>
      <c r="H33" s="17">
        <v>25000</v>
      </c>
      <c r="I33" s="17">
        <v>26000</v>
      </c>
      <c r="J33" s="42">
        <v>25000</v>
      </c>
      <c r="K33" s="22">
        <f t="shared" si="0"/>
        <v>25714.285714285714</v>
      </c>
      <c r="M33" s="5"/>
      <c r="N33" s="5"/>
    </row>
    <row r="34" spans="1:14" ht="15.75" x14ac:dyDescent="0.25">
      <c r="A34" s="184"/>
      <c r="B34" s="13" t="s">
        <v>32</v>
      </c>
      <c r="C34" s="14" t="s">
        <v>33</v>
      </c>
      <c r="D34" s="23">
        <v>2500</v>
      </c>
      <c r="E34" s="16">
        <v>2000</v>
      </c>
      <c r="F34" s="59">
        <v>2000</v>
      </c>
      <c r="G34" s="16">
        <v>2500</v>
      </c>
      <c r="H34" s="17">
        <v>2000</v>
      </c>
      <c r="I34" s="17">
        <v>2500</v>
      </c>
      <c r="J34" s="42">
        <v>3000</v>
      </c>
      <c r="K34" s="22">
        <f t="shared" si="0"/>
        <v>2357.1428571428573</v>
      </c>
      <c r="M34" s="5"/>
      <c r="N34" s="5"/>
    </row>
    <row r="35" spans="1:14" ht="15.75" x14ac:dyDescent="0.25">
      <c r="A35" s="12">
        <v>8</v>
      </c>
      <c r="B35" s="44" t="s">
        <v>136</v>
      </c>
      <c r="C35" s="63"/>
      <c r="D35" s="23"/>
      <c r="E35" s="16"/>
      <c r="F35" s="59"/>
      <c r="G35" s="16"/>
      <c r="H35" s="17"/>
      <c r="I35" s="17"/>
      <c r="J35" s="42"/>
      <c r="K35" s="39"/>
      <c r="M35" s="5"/>
      <c r="N35" s="5"/>
    </row>
    <row r="36" spans="1:14" ht="15.75" x14ac:dyDescent="0.25">
      <c r="A36" s="12"/>
      <c r="B36" s="13" t="s">
        <v>137</v>
      </c>
      <c r="C36" s="14" t="s">
        <v>138</v>
      </c>
      <c r="D36" s="23">
        <v>1000</v>
      </c>
      <c r="E36" s="16">
        <v>1000</v>
      </c>
      <c r="F36" s="59">
        <v>3000</v>
      </c>
      <c r="G36" s="16">
        <v>3000</v>
      </c>
      <c r="H36" s="17">
        <v>4000</v>
      </c>
      <c r="I36" s="17">
        <v>1200</v>
      </c>
      <c r="J36" s="42">
        <v>3000</v>
      </c>
      <c r="K36" s="22">
        <f t="shared" si="0"/>
        <v>2314.2857142857142</v>
      </c>
      <c r="M36" s="5"/>
      <c r="N36" s="5"/>
    </row>
    <row r="37" spans="1:14" ht="15.75" x14ac:dyDescent="0.25">
      <c r="A37" s="12"/>
      <c r="B37" s="13" t="s">
        <v>139</v>
      </c>
      <c r="C37" s="14" t="s">
        <v>138</v>
      </c>
      <c r="D37" s="23">
        <v>2500</v>
      </c>
      <c r="E37" s="16">
        <v>2500</v>
      </c>
      <c r="F37" s="59">
        <v>5000</v>
      </c>
      <c r="G37" s="16">
        <v>3000</v>
      </c>
      <c r="H37" s="17">
        <v>2500</v>
      </c>
      <c r="I37" s="17">
        <v>5000</v>
      </c>
      <c r="J37" s="42">
        <v>3500</v>
      </c>
      <c r="K37" s="22">
        <f t="shared" si="0"/>
        <v>3428.5714285714284</v>
      </c>
      <c r="M37" s="5"/>
      <c r="N37" s="5"/>
    </row>
    <row r="38" spans="1:14" ht="15.75" x14ac:dyDescent="0.25">
      <c r="A38" s="182">
        <v>9</v>
      </c>
      <c r="B38" s="32" t="s">
        <v>34</v>
      </c>
      <c r="C38" s="44"/>
      <c r="D38" s="45"/>
      <c r="E38" s="36"/>
      <c r="F38" s="50"/>
      <c r="G38" s="47"/>
      <c r="H38" s="48"/>
      <c r="I38" s="48"/>
      <c r="J38" s="60"/>
      <c r="K38" s="39"/>
      <c r="M38" s="5"/>
      <c r="N38" s="5"/>
    </row>
    <row r="39" spans="1:14" ht="15.75" x14ac:dyDescent="0.25">
      <c r="A39" s="183"/>
      <c r="B39" s="13" t="s">
        <v>35</v>
      </c>
      <c r="C39" s="14" t="s">
        <v>36</v>
      </c>
      <c r="D39" s="23">
        <v>12500</v>
      </c>
      <c r="E39" s="29">
        <v>12000</v>
      </c>
      <c r="F39" s="16">
        <v>10000</v>
      </c>
      <c r="G39" s="16">
        <v>12000</v>
      </c>
      <c r="H39" s="51" t="s">
        <v>100</v>
      </c>
      <c r="I39" s="27">
        <v>12000</v>
      </c>
      <c r="J39" s="56">
        <v>10000</v>
      </c>
      <c r="K39" s="22">
        <f t="shared" si="0"/>
        <v>11416.666666666666</v>
      </c>
      <c r="M39" s="5"/>
      <c r="N39" s="5"/>
    </row>
    <row r="40" spans="1:14" ht="15.75" x14ac:dyDescent="0.25">
      <c r="A40" s="184"/>
      <c r="B40" s="13" t="s">
        <v>37</v>
      </c>
      <c r="C40" s="14" t="s">
        <v>38</v>
      </c>
      <c r="D40" s="43" t="s">
        <v>100</v>
      </c>
      <c r="E40" s="29">
        <v>37900</v>
      </c>
      <c r="F40" s="30" t="s">
        <v>100</v>
      </c>
      <c r="G40" s="16">
        <v>42500</v>
      </c>
      <c r="H40" s="51" t="s">
        <v>100</v>
      </c>
      <c r="I40" s="27" t="s">
        <v>100</v>
      </c>
      <c r="J40" s="52" t="s">
        <v>100</v>
      </c>
      <c r="K40" s="22">
        <f t="shared" si="0"/>
        <v>40200</v>
      </c>
      <c r="M40" s="5"/>
      <c r="N40" s="5"/>
    </row>
    <row r="41" spans="1:14" ht="15.75" x14ac:dyDescent="0.25">
      <c r="A41" s="182">
        <v>10</v>
      </c>
      <c r="B41" s="32" t="s">
        <v>39</v>
      </c>
      <c r="C41" s="44"/>
      <c r="D41" s="45"/>
      <c r="E41" s="61"/>
      <c r="F41" s="47"/>
      <c r="G41" s="50"/>
      <c r="H41" s="48"/>
      <c r="I41" s="48"/>
      <c r="J41" s="49"/>
      <c r="K41" s="39"/>
      <c r="M41" s="5"/>
      <c r="N41" s="5"/>
    </row>
    <row r="42" spans="1:14" ht="15.75" x14ac:dyDescent="0.25">
      <c r="A42" s="183"/>
      <c r="B42" s="13" t="s">
        <v>40</v>
      </c>
      <c r="C42" s="14" t="s">
        <v>41</v>
      </c>
      <c r="D42" s="43" t="s">
        <v>100</v>
      </c>
      <c r="E42" s="29" t="s">
        <v>100</v>
      </c>
      <c r="F42" s="30" t="s">
        <v>100</v>
      </c>
      <c r="G42" s="21" t="s">
        <v>100</v>
      </c>
      <c r="H42" s="17">
        <v>17500</v>
      </c>
      <c r="I42" s="27">
        <v>21000</v>
      </c>
      <c r="J42" s="28">
        <v>17500</v>
      </c>
      <c r="K42" s="22">
        <f t="shared" si="0"/>
        <v>18666.666666666668</v>
      </c>
      <c r="M42" s="5"/>
      <c r="N42" s="5"/>
    </row>
    <row r="43" spans="1:14" ht="15.75" x14ac:dyDescent="0.25">
      <c r="A43" s="183"/>
      <c r="B43" s="13" t="s">
        <v>42</v>
      </c>
      <c r="C43" s="14" t="s">
        <v>43</v>
      </c>
      <c r="D43" s="43" t="s">
        <v>100</v>
      </c>
      <c r="E43" s="29" t="s">
        <v>100</v>
      </c>
      <c r="F43" s="30" t="s">
        <v>100</v>
      </c>
      <c r="G43" s="21" t="s">
        <v>100</v>
      </c>
      <c r="H43" s="17">
        <v>2000</v>
      </c>
      <c r="I43" s="27">
        <v>2000</v>
      </c>
      <c r="J43" s="28">
        <v>2000</v>
      </c>
      <c r="K43" s="22">
        <f t="shared" si="0"/>
        <v>2000</v>
      </c>
      <c r="M43" s="5"/>
      <c r="N43" s="5"/>
    </row>
    <row r="44" spans="1:14" ht="15.75" x14ac:dyDescent="0.25">
      <c r="A44" s="12">
        <v>11</v>
      </c>
      <c r="B44" s="62" t="s">
        <v>44</v>
      </c>
      <c r="C44" s="63"/>
      <c r="D44" s="64"/>
      <c r="E44" s="35"/>
      <c r="F44" s="35"/>
      <c r="G44" s="65"/>
      <c r="H44" s="66"/>
      <c r="I44" s="66"/>
      <c r="J44" s="67"/>
      <c r="K44" s="39"/>
      <c r="M44" s="5"/>
      <c r="N44" s="5"/>
    </row>
    <row r="45" spans="1:14" ht="15.75" x14ac:dyDescent="0.25">
      <c r="A45" s="12"/>
      <c r="B45" s="13" t="s">
        <v>45</v>
      </c>
      <c r="C45" s="68" t="s">
        <v>6</v>
      </c>
      <c r="D45" s="23">
        <v>11000</v>
      </c>
      <c r="E45" s="16">
        <v>8000</v>
      </c>
      <c r="F45" s="16">
        <v>9000</v>
      </c>
      <c r="G45" s="16" t="s">
        <v>100</v>
      </c>
      <c r="H45" s="17">
        <v>9000</v>
      </c>
      <c r="I45" s="55">
        <v>10000</v>
      </c>
      <c r="J45" s="42">
        <v>8000</v>
      </c>
      <c r="K45" s="22">
        <f t="shared" si="0"/>
        <v>9166.6666666666661</v>
      </c>
      <c r="M45" s="5"/>
      <c r="N45" s="5"/>
    </row>
    <row r="46" spans="1:14" ht="15.75" x14ac:dyDescent="0.25">
      <c r="A46" s="31"/>
      <c r="B46" s="13" t="s">
        <v>46</v>
      </c>
      <c r="C46" s="68" t="s">
        <v>6</v>
      </c>
      <c r="D46" s="23">
        <v>9000</v>
      </c>
      <c r="E46" s="16">
        <v>10000</v>
      </c>
      <c r="F46" s="69" t="s">
        <v>100</v>
      </c>
      <c r="G46" s="16">
        <v>12000</v>
      </c>
      <c r="H46" s="17">
        <v>6000</v>
      </c>
      <c r="I46" s="26" t="s">
        <v>100</v>
      </c>
      <c r="J46" s="42">
        <v>6000</v>
      </c>
      <c r="K46" s="22">
        <f t="shared" si="0"/>
        <v>8600</v>
      </c>
      <c r="M46" s="5"/>
      <c r="N46" s="5"/>
    </row>
    <row r="47" spans="1:14" ht="15.75" x14ac:dyDescent="0.25">
      <c r="A47" s="182">
        <v>12</v>
      </c>
      <c r="B47" s="32" t="s">
        <v>47</v>
      </c>
      <c r="C47" s="44"/>
      <c r="D47" s="45"/>
      <c r="E47" s="36"/>
      <c r="F47" s="50"/>
      <c r="G47" s="50"/>
      <c r="H47" s="48"/>
      <c r="I47" s="48"/>
      <c r="J47" s="60"/>
      <c r="K47" s="39"/>
      <c r="M47" s="5"/>
      <c r="N47" s="5"/>
    </row>
    <row r="48" spans="1:14" ht="15.75" x14ac:dyDescent="0.25">
      <c r="A48" s="184"/>
      <c r="B48" s="13" t="s">
        <v>48</v>
      </c>
      <c r="C48" s="14" t="s">
        <v>49</v>
      </c>
      <c r="D48" s="23">
        <v>3000</v>
      </c>
      <c r="E48" s="16">
        <v>8000</v>
      </c>
      <c r="F48" s="16">
        <v>2000</v>
      </c>
      <c r="G48" s="16">
        <v>4000</v>
      </c>
      <c r="H48" s="17">
        <v>2500</v>
      </c>
      <c r="I48" s="27">
        <v>4000</v>
      </c>
      <c r="J48" s="56" t="s">
        <v>100</v>
      </c>
      <c r="K48" s="22">
        <f t="shared" si="0"/>
        <v>3916.6666666666665</v>
      </c>
      <c r="M48" s="5"/>
      <c r="N48" s="5"/>
    </row>
    <row r="49" spans="1:14" ht="15.75" x14ac:dyDescent="0.25">
      <c r="A49" s="182">
        <v>13</v>
      </c>
      <c r="B49" s="32" t="s">
        <v>50</v>
      </c>
      <c r="C49" s="63"/>
      <c r="D49" s="70"/>
      <c r="E49" s="61"/>
      <c r="F49" s="71"/>
      <c r="G49" s="72"/>
      <c r="H49" s="73"/>
      <c r="I49" s="73"/>
      <c r="J49" s="74"/>
      <c r="K49" s="39"/>
      <c r="M49" s="5"/>
      <c r="N49" s="5"/>
    </row>
    <row r="50" spans="1:14" ht="15.75" x14ac:dyDescent="0.25">
      <c r="A50" s="184"/>
      <c r="B50" s="75" t="s">
        <v>51</v>
      </c>
      <c r="C50" s="68" t="s">
        <v>6</v>
      </c>
      <c r="D50" s="23">
        <v>10000</v>
      </c>
      <c r="E50" s="16">
        <v>10500</v>
      </c>
      <c r="F50" s="16">
        <v>12000</v>
      </c>
      <c r="G50" s="16">
        <v>12000</v>
      </c>
      <c r="H50" s="17">
        <v>11500</v>
      </c>
      <c r="I50" s="17">
        <v>11500</v>
      </c>
      <c r="J50" s="42">
        <v>7000</v>
      </c>
      <c r="K50" s="22">
        <f t="shared" si="0"/>
        <v>10642.857142857143</v>
      </c>
      <c r="M50" s="5"/>
      <c r="N50" s="5"/>
    </row>
    <row r="51" spans="1:14" ht="15.75" x14ac:dyDescent="0.25">
      <c r="A51" s="182">
        <v>14</v>
      </c>
      <c r="B51" s="32" t="s">
        <v>52</v>
      </c>
      <c r="C51" s="44"/>
      <c r="D51" s="45"/>
      <c r="E51" s="36"/>
      <c r="F51" s="50"/>
      <c r="G51" s="47"/>
      <c r="H51" s="48"/>
      <c r="I51" s="48"/>
      <c r="J51" s="60"/>
      <c r="K51" s="39"/>
      <c r="M51" s="5"/>
      <c r="N51" s="5"/>
    </row>
    <row r="52" spans="1:14" ht="15.75" x14ac:dyDescent="0.25">
      <c r="A52" s="183"/>
      <c r="B52" s="13" t="s">
        <v>53</v>
      </c>
      <c r="C52" s="14" t="s">
        <v>6</v>
      </c>
      <c r="D52" s="23">
        <v>17000</v>
      </c>
      <c r="E52" s="16">
        <v>16000</v>
      </c>
      <c r="F52" s="16">
        <v>17000</v>
      </c>
      <c r="G52" s="16">
        <v>18000</v>
      </c>
      <c r="H52" s="17">
        <v>12000</v>
      </c>
      <c r="I52" s="26">
        <v>17000</v>
      </c>
      <c r="J52" s="56" t="s">
        <v>100</v>
      </c>
      <c r="K52" s="22">
        <f t="shared" si="0"/>
        <v>16166.666666666666</v>
      </c>
      <c r="M52" s="5"/>
      <c r="N52" s="5"/>
    </row>
    <row r="53" spans="1:14" ht="15.75" x14ac:dyDescent="0.25">
      <c r="A53" s="183"/>
      <c r="B53" s="13" t="s">
        <v>54</v>
      </c>
      <c r="C53" s="14" t="s">
        <v>6</v>
      </c>
      <c r="D53" s="43" t="s">
        <v>100</v>
      </c>
      <c r="E53" s="16">
        <v>14000</v>
      </c>
      <c r="F53" s="30" t="s">
        <v>100</v>
      </c>
      <c r="G53" s="76" t="s">
        <v>100</v>
      </c>
      <c r="H53" s="77" t="s">
        <v>100</v>
      </c>
      <c r="I53" s="55" t="s">
        <v>100</v>
      </c>
      <c r="J53" s="56">
        <v>13500</v>
      </c>
      <c r="K53" s="22">
        <f t="shared" si="0"/>
        <v>13750</v>
      </c>
      <c r="M53" s="5" t="s">
        <v>103</v>
      </c>
      <c r="N53" s="5"/>
    </row>
    <row r="54" spans="1:14" ht="15.75" x14ac:dyDescent="0.25">
      <c r="A54" s="183"/>
      <c r="B54" s="13" t="s">
        <v>55</v>
      </c>
      <c r="C54" s="14" t="s">
        <v>6</v>
      </c>
      <c r="D54" s="23">
        <v>23000</v>
      </c>
      <c r="E54" s="16">
        <v>23000</v>
      </c>
      <c r="F54" s="16">
        <v>26000</v>
      </c>
      <c r="G54" s="16">
        <v>26000</v>
      </c>
      <c r="H54" s="17">
        <v>22000</v>
      </c>
      <c r="I54" s="17">
        <v>26000</v>
      </c>
      <c r="J54" s="56">
        <v>26000</v>
      </c>
      <c r="K54" s="22">
        <f t="shared" si="0"/>
        <v>24571.428571428572</v>
      </c>
      <c r="M54" s="5"/>
      <c r="N54" s="78"/>
    </row>
    <row r="55" spans="1:14" ht="15.75" x14ac:dyDescent="0.25">
      <c r="A55" s="184"/>
      <c r="B55" s="13" t="s">
        <v>56</v>
      </c>
      <c r="C55" s="14" t="s">
        <v>6</v>
      </c>
      <c r="D55" s="23">
        <v>26000</v>
      </c>
      <c r="E55" s="16">
        <v>30000</v>
      </c>
      <c r="F55" s="16">
        <v>28000</v>
      </c>
      <c r="G55" s="16">
        <v>30000</v>
      </c>
      <c r="H55" s="17">
        <v>26000</v>
      </c>
      <c r="I55" s="17">
        <v>29000</v>
      </c>
      <c r="J55" s="56">
        <v>28000</v>
      </c>
      <c r="K55" s="22">
        <f t="shared" si="0"/>
        <v>28142.857142857141</v>
      </c>
      <c r="M55" s="5"/>
      <c r="N55" s="5"/>
    </row>
    <row r="56" spans="1:14" ht="15.75" x14ac:dyDescent="0.25">
      <c r="A56" s="79">
        <v>15</v>
      </c>
      <c r="B56" s="32" t="s">
        <v>57</v>
      </c>
      <c r="C56" s="63"/>
      <c r="D56" s="80"/>
      <c r="E56" s="35"/>
      <c r="F56" s="65"/>
      <c r="G56" s="35"/>
      <c r="H56" s="66"/>
      <c r="I56" s="66"/>
      <c r="J56" s="81"/>
      <c r="K56" s="39"/>
      <c r="M56" s="5"/>
      <c r="N56" s="5"/>
    </row>
    <row r="57" spans="1:14" ht="15.75" x14ac:dyDescent="0.25">
      <c r="A57" s="82"/>
      <c r="B57" s="13" t="s">
        <v>58</v>
      </c>
      <c r="C57" s="68" t="s">
        <v>59</v>
      </c>
      <c r="D57" s="23">
        <v>3000</v>
      </c>
      <c r="E57" s="16">
        <v>3200</v>
      </c>
      <c r="F57" s="16">
        <v>3000</v>
      </c>
      <c r="G57" s="16">
        <v>3000</v>
      </c>
      <c r="H57" s="51" t="s">
        <v>100</v>
      </c>
      <c r="I57" s="27">
        <v>3500</v>
      </c>
      <c r="J57" s="42">
        <v>3500</v>
      </c>
      <c r="K57" s="22">
        <f t="shared" si="0"/>
        <v>3200</v>
      </c>
      <c r="M57" s="5"/>
      <c r="N57" s="5"/>
    </row>
    <row r="58" spans="1:14" ht="15.75" x14ac:dyDescent="0.25">
      <c r="A58" s="182">
        <v>16</v>
      </c>
      <c r="B58" s="32" t="s">
        <v>60</v>
      </c>
      <c r="C58" s="44"/>
      <c r="D58" s="45"/>
      <c r="E58" s="36"/>
      <c r="F58" s="50"/>
      <c r="G58" s="50"/>
      <c r="H58" s="48"/>
      <c r="I58" s="48"/>
      <c r="J58" s="60"/>
      <c r="K58" s="39"/>
      <c r="M58" s="5"/>
      <c r="N58" s="5"/>
    </row>
    <row r="59" spans="1:14" ht="15.75" x14ac:dyDescent="0.25">
      <c r="A59" s="183"/>
      <c r="B59" s="13" t="s">
        <v>61</v>
      </c>
      <c r="C59" s="14" t="s">
        <v>6</v>
      </c>
      <c r="D59" s="23">
        <v>24000</v>
      </c>
      <c r="E59" s="16">
        <v>30000</v>
      </c>
      <c r="F59" s="16">
        <v>25000</v>
      </c>
      <c r="G59" s="16">
        <v>40000</v>
      </c>
      <c r="H59" s="17">
        <v>20000</v>
      </c>
      <c r="I59" s="17">
        <v>35000</v>
      </c>
      <c r="J59" s="42">
        <v>35000</v>
      </c>
      <c r="K59" s="22">
        <f t="shared" si="0"/>
        <v>29857.142857142859</v>
      </c>
      <c r="M59" s="5"/>
      <c r="N59" s="5"/>
    </row>
    <row r="60" spans="1:14" ht="15.75" x14ac:dyDescent="0.25">
      <c r="A60" s="183"/>
      <c r="B60" s="13" t="s">
        <v>62</v>
      </c>
      <c r="C60" s="14" t="s">
        <v>6</v>
      </c>
      <c r="D60" s="43">
        <v>40000</v>
      </c>
      <c r="E60" s="16">
        <v>35000</v>
      </c>
      <c r="F60" s="16">
        <v>35000</v>
      </c>
      <c r="G60" s="16">
        <v>50000</v>
      </c>
      <c r="H60" s="77" t="s">
        <v>100</v>
      </c>
      <c r="I60" s="55" t="s">
        <v>100</v>
      </c>
      <c r="J60" s="56" t="s">
        <v>100</v>
      </c>
      <c r="K60" s="22">
        <f t="shared" si="0"/>
        <v>40000</v>
      </c>
      <c r="M60" s="5"/>
      <c r="N60" s="5"/>
    </row>
    <row r="61" spans="1:14" ht="15.75" x14ac:dyDescent="0.25">
      <c r="A61" s="184"/>
      <c r="B61" s="13" t="s">
        <v>63</v>
      </c>
      <c r="C61" s="14" t="s">
        <v>6</v>
      </c>
      <c r="D61" s="23">
        <v>52000</v>
      </c>
      <c r="E61" s="16">
        <v>60000</v>
      </c>
      <c r="F61" s="16">
        <v>60000</v>
      </c>
      <c r="G61" s="16">
        <v>65000</v>
      </c>
      <c r="H61" s="17">
        <v>65000</v>
      </c>
      <c r="I61" s="17">
        <v>65000</v>
      </c>
      <c r="J61" s="42">
        <v>65000</v>
      </c>
      <c r="K61" s="22">
        <f t="shared" si="0"/>
        <v>61714.285714285717</v>
      </c>
      <c r="M61" s="5"/>
      <c r="N61" s="5"/>
    </row>
    <row r="62" spans="1:14" ht="15.75" x14ac:dyDescent="0.25">
      <c r="A62" s="79">
        <v>17</v>
      </c>
      <c r="B62" s="32" t="s">
        <v>64</v>
      </c>
      <c r="C62" s="63"/>
      <c r="D62" s="83"/>
      <c r="E62" s="35"/>
      <c r="F62" s="65"/>
      <c r="G62" s="35"/>
      <c r="H62" s="66"/>
      <c r="I62" s="66"/>
      <c r="J62" s="67"/>
      <c r="K62" s="39"/>
      <c r="M62" s="5"/>
      <c r="N62" s="5"/>
    </row>
    <row r="63" spans="1:14" ht="15.75" x14ac:dyDescent="0.25">
      <c r="A63" s="82"/>
      <c r="B63" s="13" t="s">
        <v>65</v>
      </c>
      <c r="C63" s="14" t="s">
        <v>66</v>
      </c>
      <c r="D63" s="23">
        <v>19000</v>
      </c>
      <c r="E63" s="16">
        <v>18000</v>
      </c>
      <c r="F63" s="16">
        <v>18000</v>
      </c>
      <c r="G63" s="29">
        <v>18000</v>
      </c>
      <c r="H63" s="51" t="s">
        <v>100</v>
      </c>
      <c r="I63" s="26">
        <v>18000</v>
      </c>
      <c r="J63" s="28">
        <v>18000</v>
      </c>
      <c r="K63" s="22">
        <f t="shared" si="0"/>
        <v>18166.666666666668</v>
      </c>
      <c r="M63" s="5"/>
      <c r="N63" s="5"/>
    </row>
    <row r="64" spans="1:14" ht="15.75" x14ac:dyDescent="0.25">
      <c r="A64" s="182">
        <v>18</v>
      </c>
      <c r="B64" s="32" t="s">
        <v>67</v>
      </c>
      <c r="C64" s="32"/>
      <c r="D64" s="45"/>
      <c r="E64" s="36"/>
      <c r="F64" s="47"/>
      <c r="G64" s="47"/>
      <c r="H64" s="48"/>
      <c r="I64" s="48"/>
      <c r="J64" s="49"/>
      <c r="K64" s="39"/>
      <c r="M64" s="5"/>
      <c r="N64" s="5"/>
    </row>
    <row r="65" spans="1:14" ht="15.75" x14ac:dyDescent="0.25">
      <c r="A65" s="183"/>
      <c r="B65" s="13" t="s">
        <v>68</v>
      </c>
      <c r="C65" s="14" t="s">
        <v>6</v>
      </c>
      <c r="D65" s="23">
        <v>30000</v>
      </c>
      <c r="E65" s="16">
        <v>34000</v>
      </c>
      <c r="F65" s="16">
        <v>33000</v>
      </c>
      <c r="G65" s="16">
        <v>30000</v>
      </c>
      <c r="H65" s="17">
        <v>29000</v>
      </c>
      <c r="I65" s="17">
        <v>35000</v>
      </c>
      <c r="J65" s="42">
        <v>33000</v>
      </c>
      <c r="K65" s="22">
        <f t="shared" si="0"/>
        <v>32000</v>
      </c>
      <c r="M65" s="5"/>
      <c r="N65" s="5"/>
    </row>
    <row r="66" spans="1:14" ht="15.75" x14ac:dyDescent="0.25">
      <c r="A66" s="183"/>
      <c r="B66" s="13" t="s">
        <v>69</v>
      </c>
      <c r="C66" s="14" t="s">
        <v>6</v>
      </c>
      <c r="D66" s="43">
        <v>26000</v>
      </c>
      <c r="E66" s="16">
        <v>32000</v>
      </c>
      <c r="F66" s="16">
        <v>30000</v>
      </c>
      <c r="G66" s="16">
        <v>25000</v>
      </c>
      <c r="H66" s="17">
        <v>25000</v>
      </c>
      <c r="I66" s="17">
        <v>25000</v>
      </c>
      <c r="J66" s="42">
        <v>27000</v>
      </c>
      <c r="K66" s="22">
        <f t="shared" si="0"/>
        <v>27142.857142857141</v>
      </c>
      <c r="M66" s="5"/>
      <c r="N66" s="5"/>
    </row>
    <row r="67" spans="1:14" ht="15.75" x14ac:dyDescent="0.25">
      <c r="A67" s="183"/>
      <c r="B67" s="13" t="s">
        <v>70</v>
      </c>
      <c r="C67" s="14" t="s">
        <v>6</v>
      </c>
      <c r="D67" s="23">
        <v>28000</v>
      </c>
      <c r="E67" s="16">
        <v>35000</v>
      </c>
      <c r="F67" s="16">
        <v>32000</v>
      </c>
      <c r="G67" s="16">
        <v>35000</v>
      </c>
      <c r="H67" s="17">
        <v>25000</v>
      </c>
      <c r="I67" s="17">
        <v>35000</v>
      </c>
      <c r="J67" s="42">
        <v>28000</v>
      </c>
      <c r="K67" s="22">
        <f t="shared" si="0"/>
        <v>31142.857142857141</v>
      </c>
      <c r="M67" s="5"/>
      <c r="N67" s="5"/>
    </row>
    <row r="68" spans="1:14" ht="15.75" x14ac:dyDescent="0.25">
      <c r="A68" s="184"/>
      <c r="B68" s="13" t="s">
        <v>71</v>
      </c>
      <c r="C68" s="14" t="s">
        <v>6</v>
      </c>
      <c r="D68" s="23">
        <v>20000</v>
      </c>
      <c r="E68" s="29">
        <v>22000</v>
      </c>
      <c r="F68" s="58">
        <v>22000</v>
      </c>
      <c r="G68" s="21">
        <v>25000</v>
      </c>
      <c r="H68" s="17">
        <v>20000</v>
      </c>
      <c r="I68" s="26">
        <v>25000</v>
      </c>
      <c r="J68" s="56">
        <v>22000</v>
      </c>
      <c r="K68" s="22">
        <f t="shared" si="0"/>
        <v>22285.714285714286</v>
      </c>
      <c r="M68" s="5"/>
      <c r="N68" s="5"/>
    </row>
    <row r="69" spans="1:14" ht="15.75" x14ac:dyDescent="0.25">
      <c r="A69" s="79">
        <v>19</v>
      </c>
      <c r="B69" s="32" t="s">
        <v>72</v>
      </c>
      <c r="C69" s="84"/>
      <c r="D69" s="83"/>
      <c r="E69" s="30"/>
      <c r="F69" s="35"/>
      <c r="G69" s="85"/>
      <c r="H69" s="66"/>
      <c r="I69" s="66"/>
      <c r="J69" s="81"/>
      <c r="K69" s="39"/>
      <c r="M69" s="5"/>
      <c r="N69" s="5"/>
    </row>
    <row r="70" spans="1:14" ht="15.75" x14ac:dyDescent="0.25">
      <c r="A70" s="86"/>
      <c r="B70" s="13" t="s">
        <v>73</v>
      </c>
      <c r="C70" s="68" t="s">
        <v>6</v>
      </c>
      <c r="D70" s="23">
        <v>6000</v>
      </c>
      <c r="E70" s="29">
        <v>7000</v>
      </c>
      <c r="F70" s="16">
        <v>5000</v>
      </c>
      <c r="G70" s="16">
        <v>6000</v>
      </c>
      <c r="H70" s="17">
        <v>4000</v>
      </c>
      <c r="I70" s="17">
        <v>6000</v>
      </c>
      <c r="J70" s="56">
        <v>5000</v>
      </c>
      <c r="K70" s="22">
        <f t="shared" si="0"/>
        <v>5571.4285714285716</v>
      </c>
      <c r="M70" s="5"/>
      <c r="N70" s="5"/>
    </row>
    <row r="71" spans="1:14" ht="15.75" x14ac:dyDescent="0.25">
      <c r="A71" s="82"/>
      <c r="B71" s="13" t="s">
        <v>74</v>
      </c>
      <c r="C71" s="68" t="s">
        <v>6</v>
      </c>
      <c r="D71" s="43" t="s">
        <v>100</v>
      </c>
      <c r="E71" s="29" t="s">
        <v>100</v>
      </c>
      <c r="F71" s="58">
        <v>5000</v>
      </c>
      <c r="G71" s="21">
        <v>6000</v>
      </c>
      <c r="H71" s="17">
        <v>5000</v>
      </c>
      <c r="I71" s="26">
        <v>6000</v>
      </c>
      <c r="J71" s="28">
        <v>6000</v>
      </c>
      <c r="K71" s="22">
        <f t="shared" si="0"/>
        <v>5600</v>
      </c>
      <c r="M71" s="5"/>
      <c r="N71" s="5"/>
    </row>
    <row r="72" spans="1:14" ht="15.75" x14ac:dyDescent="0.25">
      <c r="A72" s="79">
        <v>20</v>
      </c>
      <c r="B72" s="32" t="s">
        <v>75</v>
      </c>
      <c r="C72" s="84"/>
      <c r="D72" s="64"/>
      <c r="E72" s="35"/>
      <c r="F72" s="35"/>
      <c r="G72" s="65"/>
      <c r="H72" s="66"/>
      <c r="I72" s="66"/>
      <c r="J72" s="67"/>
      <c r="K72" s="39"/>
      <c r="M72" s="5"/>
      <c r="N72" s="5"/>
    </row>
    <row r="73" spans="1:14" ht="15.75" x14ac:dyDescent="0.25">
      <c r="A73" s="86"/>
      <c r="B73" s="13" t="s">
        <v>76</v>
      </c>
      <c r="C73" s="68" t="s">
        <v>6</v>
      </c>
      <c r="D73" s="23">
        <v>7000</v>
      </c>
      <c r="E73" s="16">
        <v>10000</v>
      </c>
      <c r="F73" s="16">
        <v>8000</v>
      </c>
      <c r="G73" s="16">
        <v>9000</v>
      </c>
      <c r="H73" s="17">
        <v>9000</v>
      </c>
      <c r="I73" s="27">
        <v>10000</v>
      </c>
      <c r="J73" s="42">
        <v>7000</v>
      </c>
      <c r="K73" s="22">
        <f t="shared" si="0"/>
        <v>8571.4285714285706</v>
      </c>
      <c r="M73" s="5"/>
      <c r="N73" s="5"/>
    </row>
    <row r="74" spans="1:14" ht="15.75" x14ac:dyDescent="0.25">
      <c r="A74" s="86"/>
      <c r="B74" s="13" t="s">
        <v>77</v>
      </c>
      <c r="C74" s="68" t="s">
        <v>6</v>
      </c>
      <c r="D74" s="23">
        <v>10000</v>
      </c>
      <c r="E74" s="16">
        <v>12000</v>
      </c>
      <c r="F74" s="16">
        <v>12000</v>
      </c>
      <c r="G74" s="16">
        <v>12000</v>
      </c>
      <c r="H74" s="17">
        <v>10000</v>
      </c>
      <c r="I74" s="27">
        <v>12000</v>
      </c>
      <c r="J74" s="42">
        <v>12000</v>
      </c>
      <c r="K74" s="22">
        <f t="shared" si="0"/>
        <v>11428.571428571429</v>
      </c>
      <c r="M74" s="5"/>
      <c r="N74" s="5"/>
    </row>
    <row r="75" spans="1:14" ht="15.75" x14ac:dyDescent="0.25">
      <c r="A75" s="86"/>
      <c r="B75" s="13" t="s">
        <v>78</v>
      </c>
      <c r="C75" s="68" t="s">
        <v>6</v>
      </c>
      <c r="D75" s="23">
        <v>15000</v>
      </c>
      <c r="E75" s="16">
        <v>15000</v>
      </c>
      <c r="F75" s="16">
        <v>16000</v>
      </c>
      <c r="G75" s="16">
        <v>15000</v>
      </c>
      <c r="H75" s="17">
        <v>15000</v>
      </c>
      <c r="I75" s="17">
        <v>16000</v>
      </c>
      <c r="J75" s="42">
        <v>15000</v>
      </c>
      <c r="K75" s="22">
        <f t="shared" si="0"/>
        <v>15285.714285714286</v>
      </c>
      <c r="M75" s="5"/>
      <c r="N75" s="5"/>
    </row>
    <row r="76" spans="1:14" ht="15.75" x14ac:dyDescent="0.25">
      <c r="A76" s="86"/>
      <c r="B76" s="13" t="s">
        <v>79</v>
      </c>
      <c r="C76" s="68" t="s">
        <v>6</v>
      </c>
      <c r="D76" s="23">
        <v>12000</v>
      </c>
      <c r="E76" s="16">
        <v>12000</v>
      </c>
      <c r="F76" s="16">
        <v>14000</v>
      </c>
      <c r="G76" s="16">
        <v>17000</v>
      </c>
      <c r="H76" s="17">
        <v>6000</v>
      </c>
      <c r="I76" s="55">
        <v>8000</v>
      </c>
      <c r="J76" s="42">
        <v>6000</v>
      </c>
      <c r="K76" s="22">
        <f t="shared" ref="K76:K83" si="1">AVERAGE(D76:J76)</f>
        <v>10714.285714285714</v>
      </c>
      <c r="M76" s="5"/>
      <c r="N76" s="5"/>
    </row>
    <row r="77" spans="1:14" ht="15.75" x14ac:dyDescent="0.25">
      <c r="A77" s="86"/>
      <c r="B77" s="13" t="s">
        <v>80</v>
      </c>
      <c r="C77" s="68" t="s">
        <v>6</v>
      </c>
      <c r="D77" s="23">
        <v>8000</v>
      </c>
      <c r="E77" s="16">
        <v>12000</v>
      </c>
      <c r="F77" s="16">
        <v>10000</v>
      </c>
      <c r="G77" s="16">
        <v>13000</v>
      </c>
      <c r="H77" s="17">
        <v>10000</v>
      </c>
      <c r="I77" s="17">
        <v>12000</v>
      </c>
      <c r="J77" s="42">
        <v>10000</v>
      </c>
      <c r="K77" s="22">
        <f t="shared" si="1"/>
        <v>10714.285714285714</v>
      </c>
      <c r="M77" s="5"/>
      <c r="N77" s="5"/>
    </row>
    <row r="78" spans="1:14" ht="15.75" x14ac:dyDescent="0.25">
      <c r="A78" s="86"/>
      <c r="B78" s="13" t="s">
        <v>81</v>
      </c>
      <c r="C78" s="68" t="s">
        <v>6</v>
      </c>
      <c r="D78" s="43" t="s">
        <v>100</v>
      </c>
      <c r="E78" s="29">
        <v>10000</v>
      </c>
      <c r="F78" s="30" t="s">
        <v>100</v>
      </c>
      <c r="G78" s="21" t="s">
        <v>100</v>
      </c>
      <c r="H78" s="87">
        <v>9000</v>
      </c>
      <c r="I78" s="88">
        <v>10000</v>
      </c>
      <c r="J78" s="89">
        <v>8000</v>
      </c>
      <c r="K78" s="22">
        <f t="shared" si="1"/>
        <v>9250</v>
      </c>
      <c r="M78" s="5"/>
      <c r="N78" s="5"/>
    </row>
    <row r="79" spans="1:14" ht="15.75" x14ac:dyDescent="0.25">
      <c r="A79" s="86"/>
      <c r="B79" s="13" t="s">
        <v>82</v>
      </c>
      <c r="C79" s="68" t="s">
        <v>83</v>
      </c>
      <c r="D79" s="43" t="s">
        <v>100</v>
      </c>
      <c r="E79" s="29" t="s">
        <v>100</v>
      </c>
      <c r="F79" s="16">
        <v>2000</v>
      </c>
      <c r="G79" s="21">
        <v>2000</v>
      </c>
      <c r="H79" s="17">
        <v>1500</v>
      </c>
      <c r="I79" s="26">
        <v>2000</v>
      </c>
      <c r="J79" s="28">
        <v>2000</v>
      </c>
      <c r="K79" s="22">
        <f t="shared" si="1"/>
        <v>1900</v>
      </c>
      <c r="M79" s="5"/>
      <c r="N79" s="5"/>
    </row>
    <row r="80" spans="1:14" ht="15.75" x14ac:dyDescent="0.25">
      <c r="A80" s="86"/>
      <c r="B80" s="13" t="s">
        <v>84</v>
      </c>
      <c r="C80" s="68" t="s">
        <v>83</v>
      </c>
      <c r="D80" s="43" t="s">
        <v>100</v>
      </c>
      <c r="E80" s="29" t="s">
        <v>100</v>
      </c>
      <c r="F80" s="16">
        <v>1500</v>
      </c>
      <c r="G80" s="21">
        <v>2000</v>
      </c>
      <c r="H80" s="17">
        <v>1500</v>
      </c>
      <c r="I80" s="26">
        <v>1500</v>
      </c>
      <c r="J80" s="28">
        <v>1500</v>
      </c>
      <c r="K80" s="22">
        <f t="shared" si="1"/>
        <v>1600</v>
      </c>
      <c r="M80" s="5"/>
      <c r="N80" s="5"/>
    </row>
    <row r="81" spans="1:14" ht="15.75" x14ac:dyDescent="0.25">
      <c r="A81" s="82"/>
      <c r="B81" s="13" t="s">
        <v>85</v>
      </c>
      <c r="C81" s="68" t="s">
        <v>83</v>
      </c>
      <c r="D81" s="43" t="s">
        <v>100</v>
      </c>
      <c r="E81" s="29" t="s">
        <v>100</v>
      </c>
      <c r="F81" s="16">
        <v>2000</v>
      </c>
      <c r="G81" s="21">
        <v>2000</v>
      </c>
      <c r="H81" s="17">
        <v>2000</v>
      </c>
      <c r="I81" s="26">
        <v>2000</v>
      </c>
      <c r="J81" s="28">
        <v>2000</v>
      </c>
      <c r="K81" s="22">
        <f t="shared" si="1"/>
        <v>2000</v>
      </c>
      <c r="M81" s="5"/>
      <c r="N81" s="5"/>
    </row>
    <row r="82" spans="1:14" ht="15.75" x14ac:dyDescent="0.25">
      <c r="A82" s="79">
        <v>21</v>
      </c>
      <c r="B82" s="32" t="s">
        <v>86</v>
      </c>
      <c r="C82" s="84"/>
      <c r="D82" s="90"/>
      <c r="E82" s="30"/>
      <c r="F82" s="35" t="s">
        <v>104</v>
      </c>
      <c r="G82" s="65"/>
      <c r="H82" s="66"/>
      <c r="I82" s="66"/>
      <c r="J82" s="67"/>
      <c r="K82" s="39"/>
      <c r="M82" s="5"/>
      <c r="N82" s="5"/>
    </row>
    <row r="83" spans="1:14" ht="15.75" x14ac:dyDescent="0.25">
      <c r="A83" s="82"/>
      <c r="B83" s="13" t="s">
        <v>87</v>
      </c>
      <c r="C83" s="68" t="s">
        <v>88</v>
      </c>
      <c r="D83" s="43">
        <v>18000</v>
      </c>
      <c r="E83" s="29" t="s">
        <v>100</v>
      </c>
      <c r="F83" s="91" t="s">
        <v>100</v>
      </c>
      <c r="G83" s="21">
        <v>17000</v>
      </c>
      <c r="H83" s="51" t="s">
        <v>100</v>
      </c>
      <c r="I83" s="27">
        <v>19000</v>
      </c>
      <c r="J83" s="28">
        <v>18000</v>
      </c>
      <c r="K83" s="22">
        <f t="shared" si="1"/>
        <v>18000</v>
      </c>
      <c r="M83" s="5"/>
      <c r="N83" s="5"/>
    </row>
    <row r="84" spans="1:14" ht="15.75" x14ac:dyDescent="0.25">
      <c r="E84" s="4"/>
      <c r="J84" s="2"/>
      <c r="M84" s="5"/>
      <c r="N84" s="5"/>
    </row>
    <row r="85" spans="1:14" ht="15.75" x14ac:dyDescent="0.25">
      <c r="B85" s="92"/>
      <c r="J85" s="2"/>
      <c r="M85" s="5"/>
      <c r="N85" s="5"/>
    </row>
    <row r="86" spans="1:14" ht="15.75" x14ac:dyDescent="0.25">
      <c r="J86" s="2"/>
      <c r="M86" s="5"/>
      <c r="N86" s="5"/>
    </row>
    <row r="87" spans="1:14" ht="15.75" x14ac:dyDescent="0.25">
      <c r="A87" s="5"/>
      <c r="B87" s="5"/>
      <c r="C87" s="5"/>
      <c r="D87" s="78"/>
      <c r="E87" s="5"/>
      <c r="F87" s="5"/>
      <c r="G87" s="5"/>
      <c r="H87" s="5"/>
      <c r="I87" s="5"/>
      <c r="J87" s="40"/>
      <c r="K87" s="5"/>
      <c r="L87" s="5"/>
      <c r="M87" s="5"/>
      <c r="N87" s="5"/>
    </row>
  </sheetData>
  <mergeCells count="28">
    <mergeCell ref="A49:A50"/>
    <mergeCell ref="A51:A55"/>
    <mergeCell ref="A58:A61"/>
    <mergeCell ref="A64:A68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1"/>
    <mergeCell ref="A12:A14"/>
    <mergeCell ref="A15:A16"/>
    <mergeCell ref="A41:A43"/>
    <mergeCell ref="A47:A48"/>
    <mergeCell ref="A18:A19"/>
    <mergeCell ref="A20:A24"/>
    <mergeCell ref="A25:A31"/>
    <mergeCell ref="A32:A34"/>
    <mergeCell ref="A38:A40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REKAPITULASI</vt:lpstr>
      <vt:lpstr>GRAFIK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HAPU</cp:lastModifiedBy>
  <cp:lastPrinted>2023-01-31T09:02:16Z</cp:lastPrinted>
  <dcterms:created xsi:type="dcterms:W3CDTF">2022-08-09T08:09:18Z</dcterms:created>
  <dcterms:modified xsi:type="dcterms:W3CDTF">2024-01-17T08:13:26Z</dcterms:modified>
</cp:coreProperties>
</file>