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drawings/drawing30.xml" ContentType="application/vnd.openxmlformats-officedocument.drawing+xml"/>
  <Override PartName="/xl/comments31.xml" ContentType="application/vnd.openxmlformats-officedocument.spreadsheetml.comments+xml"/>
  <Override PartName="/xl/drawings/drawing31.xml" ContentType="application/vnd.openxmlformats-officedocument.drawing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100B3C72-73C0-4ECF-866D-B3C7B10F5EAB}" xr6:coauthVersionLast="47" xr6:coauthVersionMax="47" xr10:uidLastSave="{00000000-0000-0000-0000-000000000000}"/>
  <bookViews>
    <workbookView xWindow="-120" yWindow="-120" windowWidth="24240" windowHeight="13140" tabRatio="934" xr2:uid="{4C192097-C7C4-45F9-8F41-4BB5DE9D5F4A}"/>
  </bookViews>
  <sheets>
    <sheet name="REKAPITULASI" sheetId="1" r:id="rId1"/>
    <sheet name="01" sheetId="169" r:id="rId2"/>
    <sheet name="02" sheetId="170" r:id="rId3"/>
    <sheet name="03" sheetId="171" r:id="rId4"/>
    <sheet name="04" sheetId="172" r:id="rId5"/>
    <sheet name="05" sheetId="173" r:id="rId6"/>
    <sheet name="06" sheetId="174" r:id="rId7"/>
    <sheet name="07" sheetId="175" r:id="rId8"/>
    <sheet name="08" sheetId="176" r:id="rId9"/>
    <sheet name="09" sheetId="177" r:id="rId10"/>
    <sheet name="10" sheetId="178" r:id="rId11"/>
    <sheet name="11" sheetId="179" r:id="rId12"/>
    <sheet name="12" sheetId="180" r:id="rId13"/>
    <sheet name="13" sheetId="181" r:id="rId14"/>
    <sheet name="14" sheetId="182" r:id="rId15"/>
    <sheet name="15" sheetId="183" r:id="rId16"/>
    <sheet name="16" sheetId="184" r:id="rId17"/>
    <sheet name="17" sheetId="185" r:id="rId18"/>
    <sheet name="18" sheetId="186" r:id="rId19"/>
    <sheet name="19" sheetId="188" r:id="rId20"/>
    <sheet name="20" sheetId="189" r:id="rId21"/>
    <sheet name="21" sheetId="190" r:id="rId22"/>
    <sheet name="22" sheetId="191" r:id="rId23"/>
    <sheet name="23" sheetId="192" r:id="rId24"/>
    <sheet name="24" sheetId="193" r:id="rId25"/>
    <sheet name="25" sheetId="194" r:id="rId26"/>
    <sheet name="26" sheetId="195" r:id="rId27"/>
    <sheet name="27" sheetId="196" r:id="rId28"/>
    <sheet name="28" sheetId="197" r:id="rId29"/>
    <sheet name="29" sheetId="198" r:id="rId30"/>
    <sheet name="30" sheetId="199" r:id="rId31"/>
    <sheet name="31" sheetId="200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" i="1" l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" i="1"/>
  <c r="K88" i="200"/>
  <c r="K86" i="200"/>
  <c r="K85" i="200"/>
  <c r="K84" i="200"/>
  <c r="K83" i="200"/>
  <c r="K82" i="200"/>
  <c r="K81" i="200"/>
  <c r="K80" i="200"/>
  <c r="K79" i="200"/>
  <c r="K78" i="200"/>
  <c r="K76" i="200"/>
  <c r="K75" i="200"/>
  <c r="K73" i="200"/>
  <c r="K72" i="200"/>
  <c r="K71" i="200"/>
  <c r="K70" i="200"/>
  <c r="K68" i="200"/>
  <c r="K66" i="200"/>
  <c r="K65" i="200"/>
  <c r="K64" i="200"/>
  <c r="K62" i="200"/>
  <c r="K60" i="200"/>
  <c r="K59" i="200"/>
  <c r="K58" i="200"/>
  <c r="K57" i="200"/>
  <c r="K55" i="200"/>
  <c r="K53" i="200"/>
  <c r="K51" i="200"/>
  <c r="K50" i="200"/>
  <c r="K48" i="200"/>
  <c r="K47" i="200"/>
  <c r="K45" i="200"/>
  <c r="K44" i="200"/>
  <c r="K42" i="200"/>
  <c r="K41" i="200"/>
  <c r="K40" i="200"/>
  <c r="K38" i="200"/>
  <c r="K37" i="200"/>
  <c r="K35" i="200"/>
  <c r="K34" i="200"/>
  <c r="K32" i="200"/>
  <c r="K31" i="200"/>
  <c r="K30" i="200"/>
  <c r="K29" i="200"/>
  <c r="K28" i="200"/>
  <c r="K27" i="200"/>
  <c r="K25" i="200"/>
  <c r="K24" i="200"/>
  <c r="K23" i="200"/>
  <c r="K22" i="200"/>
  <c r="K20" i="200"/>
  <c r="K18" i="200"/>
  <c r="K17" i="200"/>
  <c r="K15" i="200"/>
  <c r="K14" i="200"/>
  <c r="K12" i="200"/>
  <c r="K11" i="200"/>
  <c r="K9" i="200"/>
  <c r="K8" i="200"/>
  <c r="K88" i="199"/>
  <c r="K86" i="199"/>
  <c r="K85" i="199"/>
  <c r="K84" i="199"/>
  <c r="K83" i="199"/>
  <c r="K82" i="199"/>
  <c r="K81" i="199"/>
  <c r="K80" i="199"/>
  <c r="K79" i="199"/>
  <c r="K78" i="199"/>
  <c r="K76" i="199"/>
  <c r="K75" i="199"/>
  <c r="K73" i="199"/>
  <c r="K72" i="199"/>
  <c r="K71" i="199"/>
  <c r="K70" i="199"/>
  <c r="K68" i="199"/>
  <c r="K66" i="199"/>
  <c r="K65" i="199"/>
  <c r="K64" i="199"/>
  <c r="K62" i="199"/>
  <c r="K60" i="199"/>
  <c r="K59" i="199"/>
  <c r="K58" i="199"/>
  <c r="K57" i="199"/>
  <c r="K55" i="199"/>
  <c r="K53" i="199"/>
  <c r="K51" i="199"/>
  <c r="K50" i="199"/>
  <c r="K48" i="199"/>
  <c r="K47" i="199"/>
  <c r="K45" i="199"/>
  <c r="K44" i="199"/>
  <c r="K42" i="199"/>
  <c r="K41" i="199"/>
  <c r="K40" i="199"/>
  <c r="K38" i="199"/>
  <c r="K37" i="199"/>
  <c r="K35" i="199"/>
  <c r="K34" i="199"/>
  <c r="K32" i="199"/>
  <c r="K31" i="199"/>
  <c r="K30" i="199"/>
  <c r="K29" i="199"/>
  <c r="K28" i="199"/>
  <c r="K27" i="199"/>
  <c r="K25" i="199"/>
  <c r="K24" i="199"/>
  <c r="K23" i="199"/>
  <c r="K22" i="199"/>
  <c r="K20" i="199"/>
  <c r="K18" i="199"/>
  <c r="K17" i="199"/>
  <c r="K15" i="199"/>
  <c r="K14" i="199"/>
  <c r="K12" i="199"/>
  <c r="K11" i="199"/>
  <c r="K9" i="199"/>
  <c r="K8" i="199"/>
  <c r="K88" i="198"/>
  <c r="K86" i="198"/>
  <c r="K85" i="198"/>
  <c r="K84" i="198"/>
  <c r="K83" i="198"/>
  <c r="K82" i="198"/>
  <c r="K81" i="198"/>
  <c r="K80" i="198"/>
  <c r="K79" i="198"/>
  <c r="K78" i="198"/>
  <c r="K76" i="198"/>
  <c r="K75" i="198"/>
  <c r="K73" i="198"/>
  <c r="K72" i="198"/>
  <c r="K71" i="198"/>
  <c r="K70" i="198"/>
  <c r="K68" i="198"/>
  <c r="K66" i="198"/>
  <c r="K65" i="198"/>
  <c r="K64" i="198"/>
  <c r="K62" i="198"/>
  <c r="K60" i="198"/>
  <c r="K59" i="198"/>
  <c r="K58" i="198"/>
  <c r="K57" i="198"/>
  <c r="K55" i="198"/>
  <c r="K53" i="198"/>
  <c r="K51" i="198"/>
  <c r="K50" i="198"/>
  <c r="K48" i="198"/>
  <c r="K47" i="198"/>
  <c r="K45" i="198"/>
  <c r="K44" i="198"/>
  <c r="K42" i="198"/>
  <c r="K41" i="198"/>
  <c r="K40" i="198"/>
  <c r="K38" i="198"/>
  <c r="K37" i="198"/>
  <c r="K35" i="198"/>
  <c r="K34" i="198"/>
  <c r="K32" i="198"/>
  <c r="K31" i="198"/>
  <c r="K30" i="198"/>
  <c r="K29" i="198"/>
  <c r="K28" i="198"/>
  <c r="K27" i="198"/>
  <c r="K25" i="198"/>
  <c r="K24" i="198"/>
  <c r="K23" i="198"/>
  <c r="K22" i="198"/>
  <c r="K20" i="198"/>
  <c r="K18" i="198"/>
  <c r="K17" i="198"/>
  <c r="K15" i="198"/>
  <c r="K14" i="198"/>
  <c r="K12" i="198"/>
  <c r="K11" i="198"/>
  <c r="K9" i="198"/>
  <c r="K8" i="198"/>
  <c r="K88" i="197"/>
  <c r="K86" i="197"/>
  <c r="K85" i="197"/>
  <c r="K84" i="197"/>
  <c r="K83" i="197"/>
  <c r="K82" i="197"/>
  <c r="K81" i="197"/>
  <c r="K80" i="197"/>
  <c r="K79" i="197"/>
  <c r="K78" i="197"/>
  <c r="K76" i="197"/>
  <c r="K75" i="197"/>
  <c r="K73" i="197"/>
  <c r="K72" i="197"/>
  <c r="K71" i="197"/>
  <c r="K70" i="197"/>
  <c r="K68" i="197"/>
  <c r="K66" i="197"/>
  <c r="K65" i="197"/>
  <c r="K64" i="197"/>
  <c r="K62" i="197"/>
  <c r="K60" i="197"/>
  <c r="K59" i="197"/>
  <c r="K58" i="197"/>
  <c r="K57" i="197"/>
  <c r="K55" i="197"/>
  <c r="K53" i="197"/>
  <c r="K51" i="197"/>
  <c r="K50" i="197"/>
  <c r="K48" i="197"/>
  <c r="K47" i="197"/>
  <c r="K45" i="197"/>
  <c r="K44" i="197"/>
  <c r="K42" i="197"/>
  <c r="K41" i="197"/>
  <c r="K40" i="197"/>
  <c r="K38" i="197"/>
  <c r="K37" i="197"/>
  <c r="K35" i="197"/>
  <c r="K34" i="197"/>
  <c r="K32" i="197"/>
  <c r="K31" i="197"/>
  <c r="K30" i="197"/>
  <c r="K29" i="197"/>
  <c r="K28" i="197"/>
  <c r="K27" i="197"/>
  <c r="K25" i="197"/>
  <c r="K24" i="197"/>
  <c r="K23" i="197"/>
  <c r="K22" i="197"/>
  <c r="K20" i="197"/>
  <c r="K18" i="197"/>
  <c r="K17" i="197"/>
  <c r="K15" i="197"/>
  <c r="K14" i="197"/>
  <c r="K12" i="197"/>
  <c r="K11" i="197"/>
  <c r="K9" i="197"/>
  <c r="K8" i="197"/>
  <c r="K88" i="196"/>
  <c r="K86" i="196"/>
  <c r="K85" i="196"/>
  <c r="K84" i="196"/>
  <c r="K83" i="196"/>
  <c r="K82" i="196"/>
  <c r="K81" i="196"/>
  <c r="K80" i="196"/>
  <c r="K79" i="196"/>
  <c r="K78" i="196"/>
  <c r="K76" i="196"/>
  <c r="K75" i="196"/>
  <c r="K73" i="196"/>
  <c r="K72" i="196"/>
  <c r="K71" i="196"/>
  <c r="K70" i="196"/>
  <c r="K68" i="196"/>
  <c r="K66" i="196"/>
  <c r="K65" i="196"/>
  <c r="K64" i="196"/>
  <c r="K62" i="196"/>
  <c r="K60" i="196"/>
  <c r="K59" i="196"/>
  <c r="K58" i="196"/>
  <c r="K57" i="196"/>
  <c r="K55" i="196"/>
  <c r="K53" i="196"/>
  <c r="K51" i="196"/>
  <c r="K50" i="196"/>
  <c r="K48" i="196"/>
  <c r="K47" i="196"/>
  <c r="K45" i="196"/>
  <c r="K44" i="196"/>
  <c r="K42" i="196"/>
  <c r="K41" i="196"/>
  <c r="K40" i="196"/>
  <c r="K38" i="196"/>
  <c r="K37" i="196"/>
  <c r="K35" i="196"/>
  <c r="K34" i="196"/>
  <c r="K32" i="196"/>
  <c r="K31" i="196"/>
  <c r="K30" i="196"/>
  <c r="K29" i="196"/>
  <c r="K28" i="196"/>
  <c r="K27" i="196"/>
  <c r="K25" i="196"/>
  <c r="K24" i="196"/>
  <c r="K23" i="196"/>
  <c r="K22" i="196"/>
  <c r="K20" i="196"/>
  <c r="K18" i="196"/>
  <c r="K17" i="196"/>
  <c r="K15" i="196"/>
  <c r="K14" i="196"/>
  <c r="K12" i="196"/>
  <c r="K11" i="196"/>
  <c r="K9" i="196"/>
  <c r="K8" i="196"/>
  <c r="K88" i="195"/>
  <c r="K86" i="195"/>
  <c r="K85" i="195"/>
  <c r="K84" i="195"/>
  <c r="K83" i="195"/>
  <c r="K82" i="195"/>
  <c r="K81" i="195"/>
  <c r="K80" i="195"/>
  <c r="K79" i="195"/>
  <c r="K78" i="195"/>
  <c r="K76" i="195"/>
  <c r="K75" i="195"/>
  <c r="K73" i="195"/>
  <c r="K72" i="195"/>
  <c r="K71" i="195"/>
  <c r="K70" i="195"/>
  <c r="K68" i="195"/>
  <c r="K66" i="195"/>
  <c r="K65" i="195"/>
  <c r="K64" i="195"/>
  <c r="K62" i="195"/>
  <c r="K60" i="195"/>
  <c r="K59" i="195"/>
  <c r="K58" i="195"/>
  <c r="K57" i="195"/>
  <c r="K55" i="195"/>
  <c r="K53" i="195"/>
  <c r="K51" i="195"/>
  <c r="K50" i="195"/>
  <c r="K48" i="195"/>
  <c r="K47" i="195"/>
  <c r="K45" i="195"/>
  <c r="K44" i="195"/>
  <c r="K42" i="195"/>
  <c r="K41" i="195"/>
  <c r="K40" i="195"/>
  <c r="K38" i="195"/>
  <c r="K37" i="195"/>
  <c r="K35" i="195"/>
  <c r="K34" i="195"/>
  <c r="K32" i="195"/>
  <c r="K31" i="195"/>
  <c r="K30" i="195"/>
  <c r="K29" i="195"/>
  <c r="K28" i="195"/>
  <c r="K27" i="195"/>
  <c r="K25" i="195"/>
  <c r="K24" i="195"/>
  <c r="K23" i="195"/>
  <c r="K22" i="195"/>
  <c r="K20" i="195"/>
  <c r="K18" i="195"/>
  <c r="K17" i="195"/>
  <c r="K15" i="195"/>
  <c r="K14" i="195"/>
  <c r="K12" i="195"/>
  <c r="K11" i="195"/>
  <c r="K10" i="195"/>
  <c r="K9" i="195"/>
  <c r="K8" i="195"/>
  <c r="K88" i="194"/>
  <c r="K86" i="194"/>
  <c r="K85" i="194"/>
  <c r="K84" i="194"/>
  <c r="K83" i="194"/>
  <c r="K82" i="194"/>
  <c r="K81" i="194"/>
  <c r="K80" i="194"/>
  <c r="K79" i="194"/>
  <c r="K78" i="194"/>
  <c r="K76" i="194"/>
  <c r="K75" i="194"/>
  <c r="K73" i="194"/>
  <c r="K72" i="194"/>
  <c r="K71" i="194"/>
  <c r="K70" i="194"/>
  <c r="K68" i="194"/>
  <c r="K66" i="194"/>
  <c r="K65" i="194"/>
  <c r="K64" i="194"/>
  <c r="K62" i="194"/>
  <c r="K60" i="194"/>
  <c r="K59" i="194"/>
  <c r="K58" i="194"/>
  <c r="K57" i="194"/>
  <c r="K55" i="194"/>
  <c r="K53" i="194"/>
  <c r="K51" i="194"/>
  <c r="K50" i="194"/>
  <c r="K48" i="194"/>
  <c r="K47" i="194"/>
  <c r="K45" i="194"/>
  <c r="K44" i="194"/>
  <c r="K42" i="194"/>
  <c r="K41" i="194"/>
  <c r="K40" i="194"/>
  <c r="K38" i="194"/>
  <c r="K37" i="194"/>
  <c r="K35" i="194"/>
  <c r="K34" i="194"/>
  <c r="K32" i="194"/>
  <c r="K31" i="194"/>
  <c r="K30" i="194"/>
  <c r="K29" i="194"/>
  <c r="K28" i="194"/>
  <c r="K27" i="194"/>
  <c r="K25" i="194"/>
  <c r="K24" i="194"/>
  <c r="K23" i="194"/>
  <c r="K22" i="194"/>
  <c r="K20" i="194"/>
  <c r="K18" i="194"/>
  <c r="K17" i="194"/>
  <c r="K15" i="194"/>
  <c r="K14" i="194"/>
  <c r="K12" i="194"/>
  <c r="K11" i="194"/>
  <c r="K10" i="194"/>
  <c r="K9" i="194"/>
  <c r="K8" i="194"/>
  <c r="K88" i="193"/>
  <c r="K86" i="193"/>
  <c r="K85" i="193"/>
  <c r="K84" i="193"/>
  <c r="K83" i="193"/>
  <c r="K82" i="193"/>
  <c r="K81" i="193"/>
  <c r="K80" i="193"/>
  <c r="K79" i="193"/>
  <c r="K78" i="193"/>
  <c r="K76" i="193"/>
  <c r="K75" i="193"/>
  <c r="K73" i="193"/>
  <c r="K72" i="193"/>
  <c r="K71" i="193"/>
  <c r="K70" i="193"/>
  <c r="K68" i="193"/>
  <c r="K66" i="193"/>
  <c r="K65" i="193"/>
  <c r="K64" i="193"/>
  <c r="K62" i="193"/>
  <c r="K60" i="193"/>
  <c r="K59" i="193"/>
  <c r="K58" i="193"/>
  <c r="K57" i="193"/>
  <c r="K55" i="193"/>
  <c r="K53" i="193"/>
  <c r="K51" i="193"/>
  <c r="K50" i="193"/>
  <c r="K48" i="193"/>
  <c r="K47" i="193"/>
  <c r="K45" i="193"/>
  <c r="K44" i="193"/>
  <c r="K42" i="193"/>
  <c r="K41" i="193"/>
  <c r="K40" i="193"/>
  <c r="K38" i="193"/>
  <c r="K37" i="193"/>
  <c r="K35" i="193"/>
  <c r="K34" i="193"/>
  <c r="K32" i="193"/>
  <c r="K31" i="193"/>
  <c r="K30" i="193"/>
  <c r="K29" i="193"/>
  <c r="K28" i="193"/>
  <c r="K27" i="193"/>
  <c r="K25" i="193"/>
  <c r="K24" i="193"/>
  <c r="K23" i="193"/>
  <c r="K22" i="193"/>
  <c r="K20" i="193"/>
  <c r="K18" i="193"/>
  <c r="K17" i="193"/>
  <c r="K15" i="193"/>
  <c r="K14" i="193"/>
  <c r="K12" i="193"/>
  <c r="K11" i="193"/>
  <c r="K10" i="193"/>
  <c r="K9" i="193"/>
  <c r="K8" i="193"/>
  <c r="K88" i="192"/>
  <c r="K86" i="192"/>
  <c r="K85" i="192"/>
  <c r="K84" i="192"/>
  <c r="K83" i="192"/>
  <c r="K82" i="192"/>
  <c r="K81" i="192"/>
  <c r="K80" i="192"/>
  <c r="K79" i="192"/>
  <c r="K78" i="192"/>
  <c r="K76" i="192"/>
  <c r="K75" i="192"/>
  <c r="K73" i="192"/>
  <c r="K72" i="192"/>
  <c r="K71" i="192"/>
  <c r="K70" i="192"/>
  <c r="K68" i="192"/>
  <c r="K66" i="192"/>
  <c r="K65" i="192"/>
  <c r="K64" i="192"/>
  <c r="K62" i="192"/>
  <c r="K60" i="192"/>
  <c r="K59" i="192"/>
  <c r="K58" i="192"/>
  <c r="K57" i="192"/>
  <c r="K55" i="192"/>
  <c r="K53" i="192"/>
  <c r="K51" i="192"/>
  <c r="K50" i="192"/>
  <c r="K48" i="192"/>
  <c r="K47" i="192"/>
  <c r="K45" i="192"/>
  <c r="K44" i="192"/>
  <c r="K42" i="192"/>
  <c r="K41" i="192"/>
  <c r="K40" i="192"/>
  <c r="K38" i="192"/>
  <c r="K37" i="192"/>
  <c r="K35" i="192"/>
  <c r="K34" i="192"/>
  <c r="K32" i="192"/>
  <c r="K31" i="192"/>
  <c r="K30" i="192"/>
  <c r="K29" i="192"/>
  <c r="K28" i="192"/>
  <c r="K27" i="192"/>
  <c r="K25" i="192"/>
  <c r="K24" i="192"/>
  <c r="K23" i="192"/>
  <c r="K22" i="192"/>
  <c r="K20" i="192"/>
  <c r="K18" i="192"/>
  <c r="K17" i="192"/>
  <c r="K15" i="192"/>
  <c r="K14" i="192"/>
  <c r="K12" i="192"/>
  <c r="K11" i="192"/>
  <c r="K9" i="192"/>
  <c r="K8" i="192"/>
  <c r="K88" i="191"/>
  <c r="K86" i="191"/>
  <c r="K85" i="191"/>
  <c r="K84" i="191"/>
  <c r="K83" i="191"/>
  <c r="K82" i="191"/>
  <c r="K81" i="191"/>
  <c r="K80" i="191"/>
  <c r="K79" i="191"/>
  <c r="K78" i="191"/>
  <c r="K76" i="191"/>
  <c r="K75" i="191"/>
  <c r="K73" i="191"/>
  <c r="K72" i="191"/>
  <c r="K71" i="191"/>
  <c r="K70" i="191"/>
  <c r="K68" i="191"/>
  <c r="K66" i="191"/>
  <c r="K65" i="191"/>
  <c r="K64" i="191"/>
  <c r="K62" i="191"/>
  <c r="K60" i="191"/>
  <c r="K59" i="191"/>
  <c r="K58" i="191"/>
  <c r="K57" i="191"/>
  <c r="K55" i="191"/>
  <c r="K53" i="191"/>
  <c r="K51" i="191"/>
  <c r="K50" i="191"/>
  <c r="K48" i="191"/>
  <c r="K47" i="191"/>
  <c r="K45" i="191"/>
  <c r="K44" i="191"/>
  <c r="K42" i="191"/>
  <c r="K41" i="191"/>
  <c r="K40" i="191"/>
  <c r="K38" i="191"/>
  <c r="K37" i="191"/>
  <c r="K35" i="191"/>
  <c r="K34" i="191"/>
  <c r="K32" i="191"/>
  <c r="K31" i="191"/>
  <c r="K30" i="191"/>
  <c r="K29" i="191"/>
  <c r="K28" i="191"/>
  <c r="K27" i="191"/>
  <c r="K25" i="191"/>
  <c r="K24" i="191"/>
  <c r="K23" i="191"/>
  <c r="K22" i="191"/>
  <c r="K20" i="191"/>
  <c r="K18" i="191"/>
  <c r="K17" i="191"/>
  <c r="K15" i="191"/>
  <c r="K14" i="191"/>
  <c r="K12" i="191"/>
  <c r="K11" i="191"/>
  <c r="K9" i="191"/>
  <c r="K8" i="191"/>
  <c r="K88" i="190"/>
  <c r="K86" i="190"/>
  <c r="K85" i="190"/>
  <c r="K84" i="190"/>
  <c r="K83" i="190"/>
  <c r="K82" i="190"/>
  <c r="K81" i="190"/>
  <c r="K80" i="190"/>
  <c r="K79" i="190"/>
  <c r="K78" i="190"/>
  <c r="K76" i="190"/>
  <c r="K75" i="190"/>
  <c r="K73" i="190"/>
  <c r="K72" i="190"/>
  <c r="K71" i="190"/>
  <c r="K70" i="190"/>
  <c r="K68" i="190"/>
  <c r="K66" i="190"/>
  <c r="K65" i="190"/>
  <c r="K64" i="190"/>
  <c r="K62" i="190"/>
  <c r="K60" i="190"/>
  <c r="K59" i="190"/>
  <c r="K58" i="190"/>
  <c r="K57" i="190"/>
  <c r="K55" i="190"/>
  <c r="K53" i="190"/>
  <c r="K51" i="190"/>
  <c r="K50" i="190"/>
  <c r="K48" i="190"/>
  <c r="K47" i="190"/>
  <c r="K45" i="190"/>
  <c r="K44" i="190"/>
  <c r="K42" i="190"/>
  <c r="K41" i="190"/>
  <c r="K40" i="190"/>
  <c r="K38" i="190"/>
  <c r="K37" i="190"/>
  <c r="K35" i="190"/>
  <c r="K34" i="190"/>
  <c r="K32" i="190"/>
  <c r="K31" i="190"/>
  <c r="K30" i="190"/>
  <c r="K29" i="190"/>
  <c r="K28" i="190"/>
  <c r="K27" i="190"/>
  <c r="K25" i="190"/>
  <c r="K24" i="190"/>
  <c r="K23" i="190"/>
  <c r="K22" i="190"/>
  <c r="K20" i="190"/>
  <c r="K18" i="190"/>
  <c r="K17" i="190"/>
  <c r="K15" i="190"/>
  <c r="K14" i="190"/>
  <c r="K12" i="190"/>
  <c r="K11" i="190"/>
  <c r="K9" i="190"/>
  <c r="K8" i="190"/>
  <c r="K88" i="189"/>
  <c r="K86" i="189"/>
  <c r="K85" i="189"/>
  <c r="K84" i="189"/>
  <c r="K83" i="189"/>
  <c r="K82" i="189"/>
  <c r="K81" i="189"/>
  <c r="K80" i="189"/>
  <c r="K79" i="189"/>
  <c r="K78" i="189"/>
  <c r="K76" i="189"/>
  <c r="K75" i="189"/>
  <c r="K73" i="189"/>
  <c r="K72" i="189"/>
  <c r="K71" i="189"/>
  <c r="K70" i="189"/>
  <c r="K68" i="189"/>
  <c r="K66" i="189"/>
  <c r="K65" i="189"/>
  <c r="K64" i="189"/>
  <c r="K62" i="189"/>
  <c r="K60" i="189"/>
  <c r="K59" i="189"/>
  <c r="K58" i="189"/>
  <c r="K57" i="189"/>
  <c r="K55" i="189"/>
  <c r="K53" i="189"/>
  <c r="K51" i="189"/>
  <c r="K50" i="189"/>
  <c r="K48" i="189"/>
  <c r="K47" i="189"/>
  <c r="K45" i="189"/>
  <c r="K44" i="189"/>
  <c r="K42" i="189"/>
  <c r="K41" i="189"/>
  <c r="K40" i="189"/>
  <c r="K38" i="189"/>
  <c r="K37" i="189"/>
  <c r="K35" i="189"/>
  <c r="K34" i="189"/>
  <c r="K32" i="189"/>
  <c r="K31" i="189"/>
  <c r="K30" i="189"/>
  <c r="K29" i="189"/>
  <c r="K28" i="189"/>
  <c r="K27" i="189"/>
  <c r="K25" i="189"/>
  <c r="K24" i="189"/>
  <c r="K23" i="189"/>
  <c r="K22" i="189"/>
  <c r="K20" i="189"/>
  <c r="K18" i="189"/>
  <c r="K17" i="189"/>
  <c r="K15" i="189"/>
  <c r="K14" i="189"/>
  <c r="K12" i="189"/>
  <c r="K11" i="189"/>
  <c r="K9" i="189"/>
  <c r="K8" i="189"/>
  <c r="K88" i="188"/>
  <c r="K86" i="188"/>
  <c r="K85" i="188"/>
  <c r="K84" i="188"/>
  <c r="K83" i="188"/>
  <c r="K82" i="188"/>
  <c r="K81" i="188"/>
  <c r="K80" i="188"/>
  <c r="K79" i="188"/>
  <c r="K78" i="188"/>
  <c r="K76" i="188"/>
  <c r="K75" i="188"/>
  <c r="K73" i="188"/>
  <c r="K72" i="188"/>
  <c r="K71" i="188"/>
  <c r="K70" i="188"/>
  <c r="K68" i="188"/>
  <c r="K66" i="188"/>
  <c r="K65" i="188"/>
  <c r="K64" i="188"/>
  <c r="K62" i="188"/>
  <c r="K60" i="188"/>
  <c r="K59" i="188"/>
  <c r="K58" i="188"/>
  <c r="K57" i="188"/>
  <c r="K55" i="188"/>
  <c r="K53" i="188"/>
  <c r="K51" i="188"/>
  <c r="K50" i="188"/>
  <c r="K48" i="188"/>
  <c r="K47" i="188"/>
  <c r="K45" i="188"/>
  <c r="K44" i="188"/>
  <c r="K42" i="188"/>
  <c r="K41" i="188"/>
  <c r="K40" i="188"/>
  <c r="K38" i="188"/>
  <c r="K37" i="188"/>
  <c r="K35" i="188"/>
  <c r="K34" i="188"/>
  <c r="K32" i="188"/>
  <c r="K31" i="188"/>
  <c r="K30" i="188"/>
  <c r="K29" i="188"/>
  <c r="K28" i="188"/>
  <c r="K27" i="188"/>
  <c r="K25" i="188"/>
  <c r="K24" i="188"/>
  <c r="K23" i="188"/>
  <c r="K22" i="188"/>
  <c r="K20" i="188"/>
  <c r="K18" i="188"/>
  <c r="K17" i="188"/>
  <c r="K15" i="188"/>
  <c r="K14" i="188"/>
  <c r="K12" i="188"/>
  <c r="K11" i="188"/>
  <c r="K9" i="188"/>
  <c r="K8" i="188"/>
  <c r="K88" i="186"/>
  <c r="K86" i="186"/>
  <c r="K85" i="186"/>
  <c r="K84" i="186"/>
  <c r="K83" i="186"/>
  <c r="K82" i="186"/>
  <c r="K81" i="186"/>
  <c r="K80" i="186"/>
  <c r="K79" i="186"/>
  <c r="K78" i="186"/>
  <c r="K76" i="186"/>
  <c r="K75" i="186"/>
  <c r="K73" i="186"/>
  <c r="K72" i="186"/>
  <c r="K71" i="186"/>
  <c r="K70" i="186"/>
  <c r="K68" i="186"/>
  <c r="K66" i="186"/>
  <c r="K65" i="186"/>
  <c r="K64" i="186"/>
  <c r="K62" i="186"/>
  <c r="K60" i="186"/>
  <c r="K59" i="186"/>
  <c r="K58" i="186"/>
  <c r="K57" i="186"/>
  <c r="K55" i="186"/>
  <c r="K53" i="186"/>
  <c r="K51" i="186"/>
  <c r="K50" i="186"/>
  <c r="K48" i="186"/>
  <c r="K47" i="186"/>
  <c r="K45" i="186"/>
  <c r="K44" i="186"/>
  <c r="K42" i="186"/>
  <c r="K41" i="186"/>
  <c r="K40" i="186"/>
  <c r="K38" i="186"/>
  <c r="K37" i="186"/>
  <c r="K35" i="186"/>
  <c r="K34" i="186"/>
  <c r="K32" i="186"/>
  <c r="K31" i="186"/>
  <c r="K30" i="186"/>
  <c r="K29" i="186"/>
  <c r="K28" i="186"/>
  <c r="K27" i="186"/>
  <c r="K25" i="186"/>
  <c r="K24" i="186"/>
  <c r="K23" i="186"/>
  <c r="K22" i="186"/>
  <c r="K20" i="186"/>
  <c r="K18" i="186"/>
  <c r="K17" i="186"/>
  <c r="K15" i="186"/>
  <c r="K14" i="186"/>
  <c r="K12" i="186"/>
  <c r="K11" i="186"/>
  <c r="K9" i="186"/>
  <c r="K8" i="186"/>
  <c r="K88" i="185"/>
  <c r="K86" i="185"/>
  <c r="K85" i="185"/>
  <c r="K84" i="185"/>
  <c r="K83" i="185"/>
  <c r="K82" i="185"/>
  <c r="K81" i="185"/>
  <c r="K80" i="185"/>
  <c r="K79" i="185"/>
  <c r="K78" i="185"/>
  <c r="K76" i="185"/>
  <c r="K75" i="185"/>
  <c r="K73" i="185"/>
  <c r="K72" i="185"/>
  <c r="K71" i="185"/>
  <c r="K70" i="185"/>
  <c r="K68" i="185"/>
  <c r="K66" i="185"/>
  <c r="K65" i="185"/>
  <c r="K64" i="185"/>
  <c r="K62" i="185"/>
  <c r="K60" i="185"/>
  <c r="K59" i="185"/>
  <c r="K58" i="185"/>
  <c r="K57" i="185"/>
  <c r="K55" i="185"/>
  <c r="K53" i="185"/>
  <c r="K51" i="185"/>
  <c r="K50" i="185"/>
  <c r="K48" i="185"/>
  <c r="K47" i="185"/>
  <c r="K45" i="185"/>
  <c r="K44" i="185"/>
  <c r="K42" i="185"/>
  <c r="K41" i="185"/>
  <c r="K40" i="185"/>
  <c r="K38" i="185"/>
  <c r="K37" i="185"/>
  <c r="K35" i="185"/>
  <c r="K34" i="185"/>
  <c r="K32" i="185"/>
  <c r="K31" i="185"/>
  <c r="K30" i="185"/>
  <c r="K29" i="185"/>
  <c r="K28" i="185"/>
  <c r="K27" i="185"/>
  <c r="K25" i="185"/>
  <c r="K24" i="185"/>
  <c r="K23" i="185"/>
  <c r="K22" i="185"/>
  <c r="K20" i="185"/>
  <c r="K18" i="185"/>
  <c r="K17" i="185"/>
  <c r="K15" i="185"/>
  <c r="K14" i="185"/>
  <c r="K12" i="185"/>
  <c r="K11" i="185"/>
  <c r="K9" i="185"/>
  <c r="K8" i="185"/>
  <c r="K88" i="184"/>
  <c r="K86" i="184"/>
  <c r="K85" i="184"/>
  <c r="K84" i="184"/>
  <c r="K83" i="184"/>
  <c r="K82" i="184"/>
  <c r="K81" i="184"/>
  <c r="K80" i="184"/>
  <c r="K79" i="184"/>
  <c r="K78" i="184"/>
  <c r="K76" i="184"/>
  <c r="K75" i="184"/>
  <c r="K73" i="184"/>
  <c r="K72" i="184"/>
  <c r="K71" i="184"/>
  <c r="K70" i="184"/>
  <c r="K68" i="184"/>
  <c r="K66" i="184"/>
  <c r="K65" i="184"/>
  <c r="K64" i="184"/>
  <c r="K62" i="184"/>
  <c r="K60" i="184"/>
  <c r="K59" i="184"/>
  <c r="K58" i="184"/>
  <c r="K57" i="184"/>
  <c r="K55" i="184"/>
  <c r="K53" i="184"/>
  <c r="K51" i="184"/>
  <c r="K50" i="184"/>
  <c r="K48" i="184"/>
  <c r="K47" i="184"/>
  <c r="K45" i="184"/>
  <c r="K44" i="184"/>
  <c r="K42" i="184"/>
  <c r="K41" i="184"/>
  <c r="K40" i="184"/>
  <c r="K38" i="184"/>
  <c r="K37" i="184"/>
  <c r="K35" i="184"/>
  <c r="K34" i="184"/>
  <c r="K32" i="184"/>
  <c r="K31" i="184"/>
  <c r="K30" i="184"/>
  <c r="K29" i="184"/>
  <c r="K28" i="184"/>
  <c r="K27" i="184"/>
  <c r="K25" i="184"/>
  <c r="K24" i="184"/>
  <c r="K23" i="184"/>
  <c r="K22" i="184"/>
  <c r="K20" i="184"/>
  <c r="K18" i="184"/>
  <c r="K17" i="184"/>
  <c r="K15" i="184"/>
  <c r="K14" i="184"/>
  <c r="K12" i="184"/>
  <c r="K11" i="184"/>
  <c r="K9" i="184"/>
  <c r="K8" i="184"/>
  <c r="K88" i="183"/>
  <c r="K86" i="183"/>
  <c r="K85" i="183"/>
  <c r="K84" i="183"/>
  <c r="K83" i="183"/>
  <c r="K82" i="183"/>
  <c r="K81" i="183"/>
  <c r="K80" i="183"/>
  <c r="K79" i="183"/>
  <c r="K78" i="183"/>
  <c r="K76" i="183"/>
  <c r="K75" i="183"/>
  <c r="K73" i="183"/>
  <c r="K72" i="183"/>
  <c r="K71" i="183"/>
  <c r="K70" i="183"/>
  <c r="K68" i="183"/>
  <c r="K66" i="183"/>
  <c r="K65" i="183"/>
  <c r="K64" i="183"/>
  <c r="K62" i="183"/>
  <c r="K60" i="183"/>
  <c r="K59" i="183"/>
  <c r="K58" i="183"/>
  <c r="K57" i="183"/>
  <c r="K55" i="183"/>
  <c r="K53" i="183"/>
  <c r="K51" i="183"/>
  <c r="K50" i="183"/>
  <c r="K48" i="183"/>
  <c r="K47" i="183"/>
  <c r="K45" i="183"/>
  <c r="K44" i="183"/>
  <c r="K42" i="183"/>
  <c r="K41" i="183"/>
  <c r="K40" i="183"/>
  <c r="K38" i="183"/>
  <c r="K37" i="183"/>
  <c r="K35" i="183"/>
  <c r="K34" i="183"/>
  <c r="K32" i="183"/>
  <c r="K31" i="183"/>
  <c r="K30" i="183"/>
  <c r="K29" i="183"/>
  <c r="K28" i="183"/>
  <c r="K27" i="183"/>
  <c r="K25" i="183"/>
  <c r="K24" i="183"/>
  <c r="K23" i="183"/>
  <c r="K22" i="183"/>
  <c r="K20" i="183"/>
  <c r="K18" i="183"/>
  <c r="K17" i="183"/>
  <c r="K15" i="183"/>
  <c r="K14" i="183"/>
  <c r="K12" i="183"/>
  <c r="K11" i="183"/>
  <c r="K9" i="183"/>
  <c r="K8" i="183"/>
  <c r="K88" i="182"/>
  <c r="K86" i="182"/>
  <c r="K85" i="182"/>
  <c r="K84" i="182"/>
  <c r="K83" i="182"/>
  <c r="K82" i="182"/>
  <c r="K81" i="182"/>
  <c r="K80" i="182"/>
  <c r="K79" i="182"/>
  <c r="K78" i="182"/>
  <c r="K76" i="182"/>
  <c r="K75" i="182"/>
  <c r="K73" i="182"/>
  <c r="K72" i="182"/>
  <c r="K71" i="182"/>
  <c r="K70" i="182"/>
  <c r="K68" i="182"/>
  <c r="K66" i="182"/>
  <c r="K65" i="182"/>
  <c r="K64" i="182"/>
  <c r="K62" i="182"/>
  <c r="K60" i="182"/>
  <c r="K59" i="182"/>
  <c r="K58" i="182"/>
  <c r="K57" i="182"/>
  <c r="K55" i="182"/>
  <c r="K53" i="182"/>
  <c r="K51" i="182"/>
  <c r="K50" i="182"/>
  <c r="K48" i="182"/>
  <c r="K47" i="182"/>
  <c r="K45" i="182"/>
  <c r="K44" i="182"/>
  <c r="K42" i="182"/>
  <c r="K41" i="182"/>
  <c r="K40" i="182"/>
  <c r="K38" i="182"/>
  <c r="K37" i="182"/>
  <c r="K35" i="182"/>
  <c r="K34" i="182"/>
  <c r="K32" i="182"/>
  <c r="K31" i="182"/>
  <c r="K30" i="182"/>
  <c r="K29" i="182"/>
  <c r="K28" i="182"/>
  <c r="K27" i="182"/>
  <c r="K25" i="182"/>
  <c r="K24" i="182"/>
  <c r="K23" i="182"/>
  <c r="K22" i="182"/>
  <c r="K20" i="182"/>
  <c r="K18" i="182"/>
  <c r="K17" i="182"/>
  <c r="K15" i="182"/>
  <c r="K14" i="182"/>
  <c r="K12" i="182"/>
  <c r="K11" i="182"/>
  <c r="K9" i="182"/>
  <c r="K8" i="182"/>
  <c r="K88" i="181"/>
  <c r="K86" i="181"/>
  <c r="K85" i="181"/>
  <c r="K84" i="181"/>
  <c r="K83" i="181"/>
  <c r="K82" i="181"/>
  <c r="K81" i="181"/>
  <c r="K80" i="181"/>
  <c r="K79" i="181"/>
  <c r="K78" i="181"/>
  <c r="K76" i="181"/>
  <c r="K75" i="181"/>
  <c r="K73" i="181"/>
  <c r="K72" i="181"/>
  <c r="K71" i="181"/>
  <c r="K70" i="181"/>
  <c r="K68" i="181"/>
  <c r="K66" i="181"/>
  <c r="K65" i="181"/>
  <c r="K64" i="181"/>
  <c r="K62" i="181"/>
  <c r="K60" i="181"/>
  <c r="K59" i="181"/>
  <c r="K58" i="181"/>
  <c r="K57" i="181"/>
  <c r="K55" i="181"/>
  <c r="K53" i="181"/>
  <c r="K51" i="181"/>
  <c r="K50" i="181"/>
  <c r="K48" i="181"/>
  <c r="K47" i="181"/>
  <c r="K45" i="181"/>
  <c r="K44" i="181"/>
  <c r="K42" i="181"/>
  <c r="K41" i="181"/>
  <c r="K40" i="181"/>
  <c r="K38" i="181"/>
  <c r="K37" i="181"/>
  <c r="K35" i="181"/>
  <c r="K34" i="181"/>
  <c r="K32" i="181"/>
  <c r="K31" i="181"/>
  <c r="K30" i="181"/>
  <c r="K29" i="181"/>
  <c r="K28" i="181"/>
  <c r="K27" i="181"/>
  <c r="K25" i="181"/>
  <c r="K24" i="181"/>
  <c r="K23" i="181"/>
  <c r="K22" i="181"/>
  <c r="K20" i="181"/>
  <c r="K18" i="181"/>
  <c r="K17" i="181"/>
  <c r="K15" i="181"/>
  <c r="K14" i="181"/>
  <c r="K12" i="181"/>
  <c r="K11" i="181"/>
  <c r="K9" i="181"/>
  <c r="K8" i="181"/>
  <c r="K88" i="180"/>
  <c r="K86" i="180"/>
  <c r="K85" i="180"/>
  <c r="K84" i="180"/>
  <c r="K83" i="180"/>
  <c r="K82" i="180"/>
  <c r="K81" i="180"/>
  <c r="K80" i="180"/>
  <c r="K79" i="180"/>
  <c r="K78" i="180"/>
  <c r="K76" i="180"/>
  <c r="K75" i="180"/>
  <c r="K73" i="180"/>
  <c r="K72" i="180"/>
  <c r="K71" i="180"/>
  <c r="K70" i="180"/>
  <c r="K68" i="180"/>
  <c r="K66" i="180"/>
  <c r="K65" i="180"/>
  <c r="K64" i="180"/>
  <c r="K62" i="180"/>
  <c r="K60" i="180"/>
  <c r="K59" i="180"/>
  <c r="K58" i="180"/>
  <c r="K57" i="180"/>
  <c r="K55" i="180"/>
  <c r="K53" i="180"/>
  <c r="K51" i="180"/>
  <c r="K50" i="180"/>
  <c r="K48" i="180"/>
  <c r="K47" i="180"/>
  <c r="K45" i="180"/>
  <c r="K44" i="180"/>
  <c r="K42" i="180"/>
  <c r="K41" i="180"/>
  <c r="K40" i="180"/>
  <c r="K38" i="180"/>
  <c r="K37" i="180"/>
  <c r="K35" i="180"/>
  <c r="K34" i="180"/>
  <c r="K32" i="180"/>
  <c r="K31" i="180"/>
  <c r="K30" i="180"/>
  <c r="K29" i="180"/>
  <c r="K28" i="180"/>
  <c r="K27" i="180"/>
  <c r="K25" i="180"/>
  <c r="K24" i="180"/>
  <c r="K23" i="180"/>
  <c r="K22" i="180"/>
  <c r="K20" i="180"/>
  <c r="K18" i="180"/>
  <c r="K17" i="180"/>
  <c r="K15" i="180"/>
  <c r="K14" i="180"/>
  <c r="K12" i="180"/>
  <c r="K11" i="180"/>
  <c r="K9" i="180"/>
  <c r="K8" i="180"/>
  <c r="K88" i="179"/>
  <c r="K86" i="179"/>
  <c r="K85" i="179"/>
  <c r="K84" i="179"/>
  <c r="K83" i="179"/>
  <c r="K82" i="179"/>
  <c r="K81" i="179"/>
  <c r="K80" i="179"/>
  <c r="K79" i="179"/>
  <c r="K78" i="179"/>
  <c r="K76" i="179"/>
  <c r="K75" i="179"/>
  <c r="K73" i="179"/>
  <c r="K72" i="179"/>
  <c r="K71" i="179"/>
  <c r="K70" i="179"/>
  <c r="K68" i="179"/>
  <c r="K66" i="179"/>
  <c r="K65" i="179"/>
  <c r="K64" i="179"/>
  <c r="K62" i="179"/>
  <c r="K60" i="179"/>
  <c r="K59" i="179"/>
  <c r="K58" i="179"/>
  <c r="K57" i="179"/>
  <c r="K55" i="179"/>
  <c r="K53" i="179"/>
  <c r="K51" i="179"/>
  <c r="K50" i="179"/>
  <c r="K48" i="179"/>
  <c r="K47" i="179"/>
  <c r="K45" i="179"/>
  <c r="K44" i="179"/>
  <c r="K42" i="179"/>
  <c r="K41" i="179"/>
  <c r="K40" i="179"/>
  <c r="K38" i="179"/>
  <c r="K37" i="179"/>
  <c r="K35" i="179"/>
  <c r="K34" i="179"/>
  <c r="K32" i="179"/>
  <c r="K31" i="179"/>
  <c r="K30" i="179"/>
  <c r="K29" i="179"/>
  <c r="K28" i="179"/>
  <c r="K27" i="179"/>
  <c r="K25" i="179"/>
  <c r="K24" i="179"/>
  <c r="K23" i="179"/>
  <c r="K22" i="179"/>
  <c r="K20" i="179"/>
  <c r="K18" i="179"/>
  <c r="K17" i="179"/>
  <c r="K15" i="179"/>
  <c r="K14" i="179"/>
  <c r="K12" i="179"/>
  <c r="K11" i="179"/>
  <c r="K9" i="179"/>
  <c r="K8" i="179"/>
  <c r="K88" i="178"/>
  <c r="K86" i="178"/>
  <c r="K85" i="178"/>
  <c r="K84" i="178"/>
  <c r="K83" i="178"/>
  <c r="K82" i="178"/>
  <c r="K81" i="178"/>
  <c r="K80" i="178"/>
  <c r="K79" i="178"/>
  <c r="K78" i="178"/>
  <c r="K76" i="178"/>
  <c r="K75" i="178"/>
  <c r="K73" i="178"/>
  <c r="K72" i="178"/>
  <c r="K71" i="178"/>
  <c r="K70" i="178"/>
  <c r="K68" i="178"/>
  <c r="K66" i="178"/>
  <c r="K65" i="178"/>
  <c r="K64" i="178"/>
  <c r="K62" i="178"/>
  <c r="K60" i="178"/>
  <c r="K59" i="178"/>
  <c r="K58" i="178"/>
  <c r="K57" i="178"/>
  <c r="K55" i="178"/>
  <c r="K53" i="178"/>
  <c r="K51" i="178"/>
  <c r="K50" i="178"/>
  <c r="K48" i="178"/>
  <c r="K47" i="178"/>
  <c r="K45" i="178"/>
  <c r="K44" i="178"/>
  <c r="K42" i="178"/>
  <c r="K41" i="178"/>
  <c r="K40" i="178"/>
  <c r="K38" i="178"/>
  <c r="K37" i="178"/>
  <c r="K35" i="178"/>
  <c r="K34" i="178"/>
  <c r="K32" i="178"/>
  <c r="K31" i="178"/>
  <c r="K30" i="178"/>
  <c r="K29" i="178"/>
  <c r="K28" i="178"/>
  <c r="K27" i="178"/>
  <c r="K25" i="178"/>
  <c r="K24" i="178"/>
  <c r="K23" i="178"/>
  <c r="K22" i="178"/>
  <c r="K20" i="178"/>
  <c r="K18" i="178"/>
  <c r="K17" i="178"/>
  <c r="K15" i="178"/>
  <c r="K14" i="178"/>
  <c r="K12" i="178"/>
  <c r="K11" i="178"/>
  <c r="K9" i="178"/>
  <c r="K8" i="178"/>
  <c r="K88" i="177"/>
  <c r="K86" i="177"/>
  <c r="K85" i="177"/>
  <c r="K84" i="177"/>
  <c r="K83" i="177"/>
  <c r="K82" i="177"/>
  <c r="K81" i="177"/>
  <c r="K80" i="177"/>
  <c r="K79" i="177"/>
  <c r="K78" i="177"/>
  <c r="K76" i="177"/>
  <c r="K75" i="177"/>
  <c r="K73" i="177"/>
  <c r="K72" i="177"/>
  <c r="K71" i="177"/>
  <c r="K70" i="177"/>
  <c r="K68" i="177"/>
  <c r="K66" i="177"/>
  <c r="K65" i="177"/>
  <c r="K64" i="177"/>
  <c r="K62" i="177"/>
  <c r="K60" i="177"/>
  <c r="K59" i="177"/>
  <c r="K58" i="177"/>
  <c r="K57" i="177"/>
  <c r="K55" i="177"/>
  <c r="K53" i="177"/>
  <c r="K51" i="177"/>
  <c r="K50" i="177"/>
  <c r="K48" i="177"/>
  <c r="K47" i="177"/>
  <c r="K45" i="177"/>
  <c r="K44" i="177"/>
  <c r="K42" i="177"/>
  <c r="K41" i="177"/>
  <c r="K40" i="177"/>
  <c r="K38" i="177"/>
  <c r="K37" i="177"/>
  <c r="K35" i="177"/>
  <c r="K34" i="177"/>
  <c r="K32" i="177"/>
  <c r="K31" i="177"/>
  <c r="K30" i="177"/>
  <c r="K29" i="177"/>
  <c r="K28" i="177"/>
  <c r="K27" i="177"/>
  <c r="K25" i="177"/>
  <c r="K24" i="177"/>
  <c r="K23" i="177"/>
  <c r="K22" i="177"/>
  <c r="K20" i="177"/>
  <c r="K18" i="177"/>
  <c r="K17" i="177"/>
  <c r="K15" i="177"/>
  <c r="K14" i="177"/>
  <c r="K12" i="177"/>
  <c r="K11" i="177"/>
  <c r="K9" i="177"/>
  <c r="K8" i="177"/>
  <c r="K88" i="176"/>
  <c r="K86" i="176"/>
  <c r="K85" i="176"/>
  <c r="K84" i="176"/>
  <c r="K83" i="176"/>
  <c r="K82" i="176"/>
  <c r="K81" i="176"/>
  <c r="K80" i="176"/>
  <c r="K79" i="176"/>
  <c r="K78" i="176"/>
  <c r="K76" i="176"/>
  <c r="K75" i="176"/>
  <c r="K73" i="176"/>
  <c r="K72" i="176"/>
  <c r="K71" i="176"/>
  <c r="K70" i="176"/>
  <c r="K68" i="176"/>
  <c r="K66" i="176"/>
  <c r="K65" i="176"/>
  <c r="K64" i="176"/>
  <c r="K62" i="176"/>
  <c r="K60" i="176"/>
  <c r="K59" i="176"/>
  <c r="K58" i="176"/>
  <c r="K57" i="176"/>
  <c r="K55" i="176"/>
  <c r="K53" i="176"/>
  <c r="K51" i="176"/>
  <c r="K50" i="176"/>
  <c r="K48" i="176"/>
  <c r="K47" i="176"/>
  <c r="K45" i="176"/>
  <c r="K44" i="176"/>
  <c r="K42" i="176"/>
  <c r="K41" i="176"/>
  <c r="K40" i="176"/>
  <c r="K38" i="176"/>
  <c r="K37" i="176"/>
  <c r="K35" i="176"/>
  <c r="K34" i="176"/>
  <c r="K32" i="176"/>
  <c r="K31" i="176"/>
  <c r="K30" i="176"/>
  <c r="K29" i="176"/>
  <c r="K28" i="176"/>
  <c r="K27" i="176"/>
  <c r="K25" i="176"/>
  <c r="K24" i="176"/>
  <c r="K23" i="176"/>
  <c r="K22" i="176"/>
  <c r="K20" i="176"/>
  <c r="K18" i="176"/>
  <c r="K17" i="176"/>
  <c r="K15" i="176"/>
  <c r="K14" i="176"/>
  <c r="K12" i="176"/>
  <c r="K11" i="176"/>
  <c r="K9" i="176"/>
  <c r="K8" i="176"/>
  <c r="K88" i="175"/>
  <c r="K86" i="175"/>
  <c r="K85" i="175"/>
  <c r="K84" i="175"/>
  <c r="K83" i="175"/>
  <c r="K82" i="175"/>
  <c r="K81" i="175"/>
  <c r="K80" i="175"/>
  <c r="K79" i="175"/>
  <c r="K78" i="175"/>
  <c r="K76" i="175"/>
  <c r="K75" i="175"/>
  <c r="K73" i="175"/>
  <c r="K72" i="175"/>
  <c r="K71" i="175"/>
  <c r="K70" i="175"/>
  <c r="K68" i="175"/>
  <c r="K66" i="175"/>
  <c r="K65" i="175"/>
  <c r="K64" i="175"/>
  <c r="K62" i="175"/>
  <c r="K60" i="175"/>
  <c r="K59" i="175"/>
  <c r="K58" i="175"/>
  <c r="K57" i="175"/>
  <c r="K55" i="175"/>
  <c r="K53" i="175"/>
  <c r="K51" i="175"/>
  <c r="K50" i="175"/>
  <c r="K48" i="175"/>
  <c r="K47" i="175"/>
  <c r="K45" i="175"/>
  <c r="K44" i="175"/>
  <c r="K42" i="175"/>
  <c r="K41" i="175"/>
  <c r="K40" i="175"/>
  <c r="K38" i="175"/>
  <c r="K37" i="175"/>
  <c r="K35" i="175"/>
  <c r="K34" i="175"/>
  <c r="K32" i="175"/>
  <c r="K31" i="175"/>
  <c r="K30" i="175"/>
  <c r="K29" i="175"/>
  <c r="K28" i="175"/>
  <c r="K27" i="175"/>
  <c r="K25" i="175"/>
  <c r="K24" i="175"/>
  <c r="K23" i="175"/>
  <c r="K22" i="175"/>
  <c r="K20" i="175"/>
  <c r="K18" i="175"/>
  <c r="K17" i="175"/>
  <c r="K15" i="175"/>
  <c r="K14" i="175"/>
  <c r="K12" i="175"/>
  <c r="K11" i="175"/>
  <c r="K9" i="175"/>
  <c r="K8" i="175"/>
  <c r="K88" i="174"/>
  <c r="K86" i="174"/>
  <c r="K85" i="174"/>
  <c r="K84" i="174"/>
  <c r="K83" i="174"/>
  <c r="K82" i="174"/>
  <c r="K81" i="174"/>
  <c r="K80" i="174"/>
  <c r="K79" i="174"/>
  <c r="K78" i="174"/>
  <c r="K76" i="174"/>
  <c r="K75" i="174"/>
  <c r="K73" i="174"/>
  <c r="K72" i="174"/>
  <c r="K71" i="174"/>
  <c r="K70" i="174"/>
  <c r="K68" i="174"/>
  <c r="K66" i="174"/>
  <c r="K65" i="174"/>
  <c r="K64" i="174"/>
  <c r="K62" i="174"/>
  <c r="K60" i="174"/>
  <c r="K59" i="174"/>
  <c r="K58" i="174"/>
  <c r="K57" i="174"/>
  <c r="K55" i="174"/>
  <c r="K53" i="174"/>
  <c r="K51" i="174"/>
  <c r="K50" i="174"/>
  <c r="K48" i="174"/>
  <c r="K47" i="174"/>
  <c r="K45" i="174"/>
  <c r="K44" i="174"/>
  <c r="K42" i="174"/>
  <c r="K41" i="174"/>
  <c r="K40" i="174"/>
  <c r="K38" i="174"/>
  <c r="K37" i="174"/>
  <c r="K35" i="174"/>
  <c r="K34" i="174"/>
  <c r="K32" i="174"/>
  <c r="K31" i="174"/>
  <c r="K30" i="174"/>
  <c r="K29" i="174"/>
  <c r="K28" i="174"/>
  <c r="K27" i="174"/>
  <c r="K25" i="174"/>
  <c r="K24" i="174"/>
  <c r="K23" i="174"/>
  <c r="K22" i="174"/>
  <c r="K20" i="174"/>
  <c r="K18" i="174"/>
  <c r="K17" i="174"/>
  <c r="K15" i="174"/>
  <c r="K14" i="174"/>
  <c r="K12" i="174"/>
  <c r="K11" i="174"/>
  <c r="K9" i="174"/>
  <c r="K8" i="174"/>
  <c r="K88" i="173"/>
  <c r="K86" i="173"/>
  <c r="K85" i="173"/>
  <c r="K84" i="173"/>
  <c r="K83" i="173"/>
  <c r="K82" i="173"/>
  <c r="K81" i="173"/>
  <c r="K80" i="173"/>
  <c r="K79" i="173"/>
  <c r="K78" i="173"/>
  <c r="K76" i="173"/>
  <c r="K75" i="173"/>
  <c r="K73" i="173"/>
  <c r="K72" i="173"/>
  <c r="K71" i="173"/>
  <c r="K70" i="173"/>
  <c r="K68" i="173"/>
  <c r="K66" i="173"/>
  <c r="K65" i="173"/>
  <c r="K64" i="173"/>
  <c r="K62" i="173"/>
  <c r="K60" i="173"/>
  <c r="K59" i="173"/>
  <c r="K58" i="173"/>
  <c r="K57" i="173"/>
  <c r="K55" i="173"/>
  <c r="K53" i="173"/>
  <c r="K51" i="173"/>
  <c r="K50" i="173"/>
  <c r="K48" i="173"/>
  <c r="K47" i="173"/>
  <c r="K45" i="173"/>
  <c r="K44" i="173"/>
  <c r="K42" i="173"/>
  <c r="K41" i="173"/>
  <c r="K40" i="173"/>
  <c r="K38" i="173"/>
  <c r="K37" i="173"/>
  <c r="K35" i="173"/>
  <c r="K34" i="173"/>
  <c r="K32" i="173"/>
  <c r="K31" i="173"/>
  <c r="K30" i="173"/>
  <c r="K29" i="173"/>
  <c r="K28" i="173"/>
  <c r="K27" i="173"/>
  <c r="K25" i="173"/>
  <c r="K24" i="173"/>
  <c r="K23" i="173"/>
  <c r="K22" i="173"/>
  <c r="K20" i="173"/>
  <c r="K18" i="173"/>
  <c r="K17" i="173"/>
  <c r="K15" i="173"/>
  <c r="K14" i="173"/>
  <c r="K12" i="173"/>
  <c r="K11" i="173"/>
  <c r="K9" i="173"/>
  <c r="K8" i="173"/>
  <c r="K88" i="172"/>
  <c r="K86" i="172"/>
  <c r="K85" i="172"/>
  <c r="K84" i="172"/>
  <c r="K83" i="172"/>
  <c r="K82" i="172"/>
  <c r="K81" i="172"/>
  <c r="K80" i="172"/>
  <c r="K79" i="172"/>
  <c r="K78" i="172"/>
  <c r="K76" i="172"/>
  <c r="K75" i="172"/>
  <c r="K73" i="172"/>
  <c r="K72" i="172"/>
  <c r="K71" i="172"/>
  <c r="K70" i="172"/>
  <c r="K68" i="172"/>
  <c r="K66" i="172"/>
  <c r="K65" i="172"/>
  <c r="K64" i="172"/>
  <c r="K62" i="172"/>
  <c r="K60" i="172"/>
  <c r="K59" i="172"/>
  <c r="K58" i="172"/>
  <c r="K57" i="172"/>
  <c r="K55" i="172"/>
  <c r="K53" i="172"/>
  <c r="K51" i="172"/>
  <c r="K50" i="172"/>
  <c r="K48" i="172"/>
  <c r="K47" i="172"/>
  <c r="K45" i="172"/>
  <c r="K44" i="172"/>
  <c r="K42" i="172"/>
  <c r="K41" i="172"/>
  <c r="K40" i="172"/>
  <c r="K38" i="172"/>
  <c r="K37" i="172"/>
  <c r="K35" i="172"/>
  <c r="K34" i="172"/>
  <c r="K32" i="172"/>
  <c r="K31" i="172"/>
  <c r="K30" i="172"/>
  <c r="K29" i="172"/>
  <c r="K28" i="172"/>
  <c r="K27" i="172"/>
  <c r="K25" i="172"/>
  <c r="K24" i="172"/>
  <c r="K23" i="172"/>
  <c r="K22" i="172"/>
  <c r="K20" i="172"/>
  <c r="K18" i="172"/>
  <c r="K17" i="172"/>
  <c r="K15" i="172"/>
  <c r="K14" i="172"/>
  <c r="K12" i="172"/>
  <c r="K11" i="172"/>
  <c r="K9" i="172"/>
  <c r="K8" i="172"/>
  <c r="K88" i="171"/>
  <c r="K86" i="171"/>
  <c r="K85" i="171"/>
  <c r="K84" i="171"/>
  <c r="K83" i="171"/>
  <c r="K82" i="171"/>
  <c r="K81" i="171"/>
  <c r="K80" i="171"/>
  <c r="K79" i="171"/>
  <c r="K78" i="171"/>
  <c r="K76" i="171"/>
  <c r="K75" i="171"/>
  <c r="K73" i="171"/>
  <c r="K72" i="171"/>
  <c r="K71" i="171"/>
  <c r="K70" i="171"/>
  <c r="K68" i="171"/>
  <c r="K66" i="171"/>
  <c r="K65" i="171"/>
  <c r="K64" i="171"/>
  <c r="K62" i="171"/>
  <c r="K60" i="171"/>
  <c r="K59" i="171"/>
  <c r="K58" i="171"/>
  <c r="K57" i="171"/>
  <c r="K55" i="171"/>
  <c r="K53" i="171"/>
  <c r="K51" i="171"/>
  <c r="K50" i="171"/>
  <c r="K48" i="171"/>
  <c r="K47" i="171"/>
  <c r="K45" i="171"/>
  <c r="K44" i="171"/>
  <c r="K42" i="171"/>
  <c r="K41" i="171"/>
  <c r="K40" i="171"/>
  <c r="K38" i="171"/>
  <c r="K37" i="171"/>
  <c r="K35" i="171"/>
  <c r="K34" i="171"/>
  <c r="K32" i="171"/>
  <c r="K31" i="171"/>
  <c r="K30" i="171"/>
  <c r="K29" i="171"/>
  <c r="K28" i="171"/>
  <c r="K27" i="171"/>
  <c r="K25" i="171"/>
  <c r="K24" i="171"/>
  <c r="K23" i="171"/>
  <c r="K22" i="171"/>
  <c r="K20" i="171"/>
  <c r="K18" i="171"/>
  <c r="K17" i="171"/>
  <c r="K15" i="171"/>
  <c r="K14" i="171"/>
  <c r="K12" i="171"/>
  <c r="K11" i="171"/>
  <c r="K9" i="171"/>
  <c r="K8" i="171"/>
  <c r="K88" i="170"/>
  <c r="K86" i="170"/>
  <c r="K85" i="170"/>
  <c r="K84" i="170"/>
  <c r="K83" i="170"/>
  <c r="K82" i="170"/>
  <c r="K81" i="170"/>
  <c r="K80" i="170"/>
  <c r="K79" i="170"/>
  <c r="K78" i="170"/>
  <c r="K76" i="170"/>
  <c r="K75" i="170"/>
  <c r="K73" i="170"/>
  <c r="K72" i="170"/>
  <c r="K71" i="170"/>
  <c r="K70" i="170"/>
  <c r="K68" i="170"/>
  <c r="K66" i="170"/>
  <c r="K65" i="170"/>
  <c r="K64" i="170"/>
  <c r="K62" i="170"/>
  <c r="K60" i="170"/>
  <c r="K59" i="170"/>
  <c r="K58" i="170"/>
  <c r="K57" i="170"/>
  <c r="K55" i="170"/>
  <c r="K53" i="170"/>
  <c r="K51" i="170"/>
  <c r="K50" i="170"/>
  <c r="K48" i="170"/>
  <c r="K47" i="170"/>
  <c r="K45" i="170"/>
  <c r="K44" i="170"/>
  <c r="K42" i="170"/>
  <c r="K41" i="170"/>
  <c r="K40" i="170"/>
  <c r="K38" i="170"/>
  <c r="K37" i="170"/>
  <c r="K35" i="170"/>
  <c r="K34" i="170"/>
  <c r="K32" i="170"/>
  <c r="K31" i="170"/>
  <c r="K30" i="170"/>
  <c r="K29" i="170"/>
  <c r="K28" i="170"/>
  <c r="K27" i="170"/>
  <c r="K25" i="170"/>
  <c r="K24" i="170"/>
  <c r="K23" i="170"/>
  <c r="K22" i="170"/>
  <c r="K20" i="170"/>
  <c r="K18" i="170"/>
  <c r="K17" i="170"/>
  <c r="K15" i="170"/>
  <c r="K14" i="170"/>
  <c r="K12" i="170"/>
  <c r="K11" i="170"/>
  <c r="K9" i="170"/>
  <c r="K8" i="170"/>
  <c r="K88" i="169"/>
  <c r="K86" i="169"/>
  <c r="K85" i="169"/>
  <c r="K84" i="169"/>
  <c r="K83" i="169"/>
  <c r="K82" i="169"/>
  <c r="K81" i="169"/>
  <c r="K80" i="169"/>
  <c r="K79" i="169"/>
  <c r="K78" i="169"/>
  <c r="K76" i="169"/>
  <c r="K75" i="169"/>
  <c r="K73" i="169"/>
  <c r="K72" i="169"/>
  <c r="K71" i="169"/>
  <c r="K70" i="169"/>
  <c r="K68" i="169"/>
  <c r="K66" i="169"/>
  <c r="K65" i="169"/>
  <c r="K64" i="169"/>
  <c r="K62" i="169"/>
  <c r="K60" i="169"/>
  <c r="K59" i="169"/>
  <c r="K58" i="169"/>
  <c r="K57" i="169"/>
  <c r="K55" i="169"/>
  <c r="K53" i="169"/>
  <c r="K51" i="169"/>
  <c r="K50" i="169"/>
  <c r="K48" i="169"/>
  <c r="K47" i="169"/>
  <c r="K45" i="169"/>
  <c r="K44" i="169"/>
  <c r="K42" i="169"/>
  <c r="K41" i="169"/>
  <c r="K40" i="169"/>
  <c r="K38" i="169"/>
  <c r="K37" i="169"/>
  <c r="K35" i="169"/>
  <c r="K34" i="169"/>
  <c r="K32" i="169"/>
  <c r="K31" i="169"/>
  <c r="K30" i="169"/>
  <c r="K29" i="169"/>
  <c r="K28" i="169"/>
  <c r="K27" i="169"/>
  <c r="K25" i="169"/>
  <c r="K24" i="169"/>
  <c r="K23" i="169"/>
  <c r="K22" i="169"/>
  <c r="K20" i="169"/>
  <c r="K18" i="169"/>
  <c r="K17" i="169"/>
  <c r="K15" i="169"/>
  <c r="K14" i="169"/>
  <c r="K12" i="169"/>
  <c r="K11" i="169"/>
  <c r="K9" i="169"/>
  <c r="K8" i="169"/>
  <c r="AG76" i="1" l="1"/>
  <c r="AG71" i="1"/>
  <c r="AG59" i="1"/>
  <c r="AG47" i="1"/>
  <c r="AG35" i="1"/>
  <c r="AG30" i="1"/>
  <c r="AG25" i="1"/>
  <c r="AG20" i="1"/>
  <c r="AG14" i="1"/>
  <c r="AG9" i="1"/>
  <c r="AF85" i="1"/>
  <c r="AF81" i="1"/>
  <c r="AF71" i="1"/>
  <c r="AF65" i="1"/>
  <c r="AF59" i="1"/>
  <c r="AF53" i="1"/>
  <c r="AF47" i="1"/>
  <c r="AF41" i="1"/>
  <c r="AF35" i="1"/>
  <c r="AF30" i="1"/>
  <c r="AF25" i="1"/>
  <c r="AF20" i="1"/>
  <c r="AF14" i="1"/>
  <c r="AF9" i="1"/>
  <c r="AE85" i="1"/>
  <c r="AE81" i="1"/>
  <c r="AE76" i="1"/>
  <c r="AE65" i="1"/>
  <c r="AE53" i="1"/>
  <c r="AE41" i="1"/>
  <c r="AE30" i="1"/>
  <c r="AE25" i="1"/>
  <c r="AE20" i="1"/>
  <c r="AE14" i="1"/>
  <c r="AE9" i="1"/>
  <c r="AD85" i="1"/>
  <c r="AD81" i="1"/>
  <c r="AD71" i="1"/>
  <c r="AD65" i="1"/>
  <c r="AD59" i="1"/>
  <c r="AD53" i="1"/>
  <c r="AD47" i="1"/>
  <c r="AD41" i="1"/>
  <c r="AD35" i="1"/>
  <c r="AD30" i="1"/>
  <c r="AD25" i="1"/>
  <c r="AD20" i="1"/>
  <c r="AD14" i="1"/>
  <c r="AD9" i="1"/>
  <c r="AC85" i="1"/>
  <c r="AC81" i="1"/>
  <c r="AC76" i="1"/>
  <c r="AC71" i="1"/>
  <c r="AC65" i="1"/>
  <c r="AC53" i="1"/>
  <c r="AC41" i="1"/>
  <c r="AC35" i="1"/>
  <c r="AC30" i="1"/>
  <c r="AC25" i="1"/>
  <c r="AC20" i="1"/>
  <c r="AC14" i="1"/>
  <c r="AC9" i="1"/>
  <c r="AB85" i="1"/>
  <c r="AB81" i="1"/>
  <c r="AB76" i="1"/>
  <c r="AB65" i="1"/>
  <c r="AB59" i="1"/>
  <c r="AB53" i="1"/>
  <c r="AB47" i="1"/>
  <c r="AB41" i="1"/>
  <c r="AB35" i="1"/>
  <c r="AB25" i="1"/>
  <c r="AB20" i="1"/>
  <c r="AB14" i="1"/>
  <c r="AB9" i="1"/>
  <c r="AA85" i="1"/>
  <c r="AA81" i="1"/>
  <c r="AA76" i="1"/>
  <c r="AA71" i="1"/>
  <c r="AA59" i="1"/>
  <c r="AA53" i="1"/>
  <c r="AA47" i="1"/>
  <c r="AA41" i="1"/>
  <c r="AA35" i="1"/>
  <c r="AA20" i="1"/>
  <c r="AA14" i="1"/>
  <c r="Z85" i="1"/>
  <c r="Z81" i="1"/>
  <c r="Z71" i="1"/>
  <c r="Z65" i="1"/>
  <c r="Z59" i="1"/>
  <c r="Z47" i="1"/>
  <c r="Z35" i="1"/>
  <c r="Z30" i="1"/>
  <c r="Z25" i="1"/>
  <c r="Z20" i="1"/>
  <c r="Z14" i="1"/>
  <c r="Y81" i="1"/>
  <c r="Y76" i="1"/>
  <c r="Y71" i="1"/>
  <c r="Y65" i="1"/>
  <c r="Y59" i="1"/>
  <c r="Y53" i="1"/>
  <c r="Y47" i="1"/>
  <c r="Y35" i="1"/>
  <c r="Y30" i="1"/>
  <c r="Y25" i="1"/>
  <c r="Y14" i="1"/>
  <c r="Y9" i="1"/>
  <c r="X85" i="1"/>
  <c r="X81" i="1"/>
  <c r="X65" i="1"/>
  <c r="X59" i="1"/>
  <c r="X53" i="1"/>
  <c r="X47" i="1"/>
  <c r="X41" i="1"/>
  <c r="X30" i="1"/>
  <c r="X25" i="1"/>
  <c r="X14" i="1"/>
  <c r="X9" i="1"/>
  <c r="W85" i="1"/>
  <c r="W81" i="1"/>
  <c r="W76" i="1"/>
  <c r="W71" i="1"/>
  <c r="W65" i="1"/>
  <c r="W59" i="1"/>
  <c r="W53" i="1"/>
  <c r="W41" i="1"/>
  <c r="W30" i="1"/>
  <c r="W25" i="1"/>
  <c r="W20" i="1"/>
  <c r="W9" i="1"/>
  <c r="V85" i="1"/>
  <c r="V81" i="1"/>
  <c r="V71" i="1"/>
  <c r="V65" i="1"/>
  <c r="V59" i="1"/>
  <c r="V53" i="1"/>
  <c r="V47" i="1"/>
  <c r="V41" i="1"/>
  <c r="V35" i="1"/>
  <c r="V25" i="1"/>
  <c r="V20" i="1"/>
  <c r="V14" i="1"/>
  <c r="V9" i="1"/>
  <c r="U76" i="1"/>
  <c r="U71" i="1"/>
  <c r="U53" i="1"/>
  <c r="U47" i="1"/>
  <c r="U30" i="1"/>
  <c r="U25" i="1"/>
  <c r="U20" i="1"/>
  <c r="U14" i="1"/>
  <c r="U9" i="1"/>
  <c r="T76" i="1"/>
  <c r="T71" i="1"/>
  <c r="T59" i="1"/>
  <c r="T53" i="1"/>
  <c r="T47" i="1"/>
  <c r="T41" i="1"/>
  <c r="T25" i="1"/>
  <c r="T20" i="1"/>
  <c r="T9" i="1"/>
  <c r="S85" i="1"/>
  <c r="S81" i="1"/>
  <c r="S76" i="1"/>
  <c r="S65" i="1"/>
  <c r="S53" i="1"/>
  <c r="S47" i="1"/>
  <c r="S41" i="1"/>
  <c r="S35" i="1"/>
  <c r="S30" i="1"/>
  <c r="S25" i="1"/>
  <c r="S14" i="1"/>
  <c r="S9" i="1"/>
  <c r="R85" i="1"/>
  <c r="R81" i="1"/>
  <c r="R71" i="1"/>
  <c r="R65" i="1"/>
  <c r="R59" i="1"/>
  <c r="R53" i="1"/>
  <c r="R47" i="1"/>
  <c r="R41" i="1"/>
  <c r="R35" i="1"/>
  <c r="R30" i="1"/>
  <c r="R25" i="1"/>
  <c r="R20" i="1"/>
  <c r="R14" i="1"/>
  <c r="R9" i="1"/>
  <c r="Q85" i="1"/>
  <c r="Q76" i="1"/>
  <c r="Q71" i="1"/>
  <c r="Q59" i="1"/>
  <c r="Q53" i="1"/>
  <c r="Q47" i="1"/>
  <c r="Q41" i="1"/>
  <c r="Q35" i="1"/>
  <c r="Q30" i="1"/>
  <c r="Q25" i="1"/>
  <c r="Q20" i="1"/>
  <c r="Q14" i="1"/>
  <c r="Q9" i="1"/>
  <c r="P85" i="1"/>
  <c r="P81" i="1"/>
  <c r="P76" i="1"/>
  <c r="P71" i="1"/>
  <c r="P65" i="1"/>
  <c r="P53" i="1"/>
  <c r="P41" i="1"/>
  <c r="P35" i="1"/>
  <c r="P30" i="1"/>
  <c r="P25" i="1"/>
  <c r="P20" i="1"/>
  <c r="P14" i="1"/>
  <c r="P9" i="1"/>
  <c r="N85" i="1"/>
  <c r="N81" i="1"/>
  <c r="N76" i="1"/>
  <c r="N65" i="1"/>
  <c r="N59" i="1"/>
  <c r="N53" i="1"/>
  <c r="N47" i="1"/>
  <c r="N41" i="1"/>
  <c r="N35" i="1"/>
  <c r="N30" i="1"/>
  <c r="N25" i="1"/>
  <c r="N20" i="1"/>
  <c r="N14" i="1"/>
  <c r="N9" i="1"/>
  <c r="L85" i="1"/>
  <c r="L81" i="1"/>
  <c r="L76" i="1"/>
  <c r="L71" i="1"/>
  <c r="L65" i="1"/>
  <c r="L53" i="1"/>
  <c r="L47" i="1"/>
  <c r="L41" i="1"/>
  <c r="L35" i="1"/>
  <c r="L30" i="1"/>
  <c r="L25" i="1"/>
  <c r="L20" i="1"/>
  <c r="L14" i="1"/>
  <c r="L9" i="1"/>
  <c r="K85" i="1"/>
  <c r="K76" i="1"/>
  <c r="K71" i="1"/>
  <c r="K65" i="1"/>
  <c r="K59" i="1"/>
  <c r="K47" i="1"/>
  <c r="K41" i="1"/>
  <c r="K35" i="1"/>
  <c r="K25" i="1"/>
  <c r="K20" i="1"/>
  <c r="K9" i="1"/>
  <c r="J85" i="1"/>
  <c r="J81" i="1"/>
  <c r="J76" i="1"/>
  <c r="J71" i="1"/>
  <c r="J59" i="1"/>
  <c r="J53" i="1"/>
  <c r="J47" i="1"/>
  <c r="J41" i="1"/>
  <c r="J35" i="1"/>
  <c r="J30" i="1"/>
  <c r="J25" i="1"/>
  <c r="J20" i="1"/>
  <c r="J14" i="1"/>
  <c r="J9" i="1"/>
  <c r="H85" i="1"/>
  <c r="H81" i="1"/>
  <c r="H76" i="1"/>
  <c r="H71" i="1"/>
  <c r="H65" i="1"/>
  <c r="H59" i="1"/>
  <c r="H53" i="1"/>
  <c r="H47" i="1"/>
  <c r="H41" i="1"/>
  <c r="H35" i="1"/>
  <c r="H30" i="1"/>
  <c r="H20" i="1"/>
  <c r="H14" i="1"/>
  <c r="H9" i="1"/>
  <c r="G85" i="1"/>
  <c r="G81" i="1"/>
  <c r="G76" i="1"/>
  <c r="G71" i="1"/>
  <c r="G65" i="1"/>
  <c r="G59" i="1"/>
  <c r="G47" i="1"/>
  <c r="G41" i="1"/>
  <c r="G35" i="1"/>
  <c r="G30" i="1"/>
  <c r="G25" i="1"/>
  <c r="G20" i="1"/>
  <c r="G14" i="1"/>
  <c r="F85" i="1"/>
  <c r="F81" i="1"/>
  <c r="F76" i="1"/>
  <c r="F71" i="1"/>
  <c r="F65" i="1"/>
  <c r="F59" i="1"/>
  <c r="F53" i="1"/>
  <c r="F41" i="1"/>
  <c r="F35" i="1"/>
  <c r="F30" i="1"/>
  <c r="F25" i="1"/>
  <c r="F14" i="1"/>
  <c r="F9" i="1"/>
  <c r="E85" i="1"/>
  <c r="E81" i="1"/>
  <c r="E71" i="1"/>
  <c r="E65" i="1"/>
  <c r="E59" i="1"/>
  <c r="E53" i="1"/>
  <c r="E47" i="1"/>
  <c r="E41" i="1"/>
  <c r="E35" i="1"/>
  <c r="E30" i="1"/>
  <c r="E25" i="1"/>
  <c r="E14" i="1"/>
  <c r="D85" i="1"/>
  <c r="D81" i="1"/>
  <c r="D76" i="1"/>
  <c r="D65" i="1"/>
  <c r="D53" i="1"/>
  <c r="D41" i="1"/>
  <c r="D30" i="1"/>
  <c r="D25" i="1"/>
  <c r="D20" i="1"/>
  <c r="D14" i="1"/>
  <c r="D9" i="1"/>
  <c r="C85" i="1"/>
  <c r="C81" i="1"/>
  <c r="C76" i="1"/>
  <c r="C71" i="1"/>
  <c r="C65" i="1"/>
  <c r="C59" i="1"/>
  <c r="C53" i="1"/>
  <c r="C47" i="1"/>
  <c r="C41" i="1"/>
  <c r="C35" i="1"/>
  <c r="C25" i="1"/>
  <c r="C20" i="1"/>
  <c r="C14" i="1"/>
  <c r="C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5" i="1"/>
  <c r="AF15" i="1"/>
  <c r="AG15" i="1"/>
  <c r="AI15" i="1" s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I19" i="1" s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F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G81" i="1"/>
  <c r="AE82" i="1"/>
  <c r="AF82" i="1"/>
  <c r="AG82" i="1"/>
  <c r="AE83" i="1"/>
  <c r="AF83" i="1"/>
  <c r="AG83" i="1"/>
  <c r="AE84" i="1"/>
  <c r="AF84" i="1"/>
  <c r="AG84" i="1"/>
  <c r="AG85" i="1"/>
  <c r="AE86" i="1"/>
  <c r="AF86" i="1"/>
  <c r="AG86" i="1"/>
  <c r="AE87" i="1"/>
  <c r="AF87" i="1"/>
  <c r="AG87" i="1"/>
  <c r="AE88" i="1"/>
  <c r="AF88" i="1"/>
  <c r="AG88" i="1"/>
  <c r="AG8" i="1"/>
  <c r="AF8" i="1"/>
  <c r="AE8" i="1"/>
  <c r="AD10" i="1"/>
  <c r="AD11" i="1"/>
  <c r="AD12" i="1"/>
  <c r="AD13" i="1"/>
  <c r="AD15" i="1"/>
  <c r="AD16" i="1"/>
  <c r="AD17" i="1"/>
  <c r="AD18" i="1"/>
  <c r="AD19" i="1"/>
  <c r="AD21" i="1"/>
  <c r="AD22" i="1"/>
  <c r="AD23" i="1"/>
  <c r="AD24" i="1"/>
  <c r="AD26" i="1"/>
  <c r="AD27" i="1"/>
  <c r="AD28" i="1"/>
  <c r="AD29" i="1"/>
  <c r="AD31" i="1"/>
  <c r="AD32" i="1"/>
  <c r="AD33" i="1"/>
  <c r="AD34" i="1"/>
  <c r="AD36" i="1"/>
  <c r="AD37" i="1"/>
  <c r="AD38" i="1"/>
  <c r="AD39" i="1"/>
  <c r="AD40" i="1"/>
  <c r="AD42" i="1"/>
  <c r="AD43" i="1"/>
  <c r="AD44" i="1"/>
  <c r="AD45" i="1"/>
  <c r="AD46" i="1"/>
  <c r="AD48" i="1"/>
  <c r="AD49" i="1"/>
  <c r="AD50" i="1"/>
  <c r="AD51" i="1"/>
  <c r="AD52" i="1"/>
  <c r="AD54" i="1"/>
  <c r="AD55" i="1"/>
  <c r="AD56" i="1"/>
  <c r="AD57" i="1"/>
  <c r="AD58" i="1"/>
  <c r="AD60" i="1"/>
  <c r="AD61" i="1"/>
  <c r="AD62" i="1"/>
  <c r="AD63" i="1"/>
  <c r="AD64" i="1"/>
  <c r="AD66" i="1"/>
  <c r="AD67" i="1"/>
  <c r="AD68" i="1"/>
  <c r="AD69" i="1"/>
  <c r="AD70" i="1"/>
  <c r="AD72" i="1"/>
  <c r="AD73" i="1"/>
  <c r="AD74" i="1"/>
  <c r="AD75" i="1"/>
  <c r="AD76" i="1"/>
  <c r="AD77" i="1"/>
  <c r="AD78" i="1"/>
  <c r="AD79" i="1"/>
  <c r="AD80" i="1"/>
  <c r="AD82" i="1"/>
  <c r="AD83" i="1"/>
  <c r="AD84" i="1"/>
  <c r="AD86" i="1"/>
  <c r="AD87" i="1"/>
  <c r="AD88" i="1"/>
  <c r="AD8" i="1"/>
  <c r="AC10" i="1"/>
  <c r="AC11" i="1"/>
  <c r="AC12" i="1"/>
  <c r="AC13" i="1"/>
  <c r="AC15" i="1"/>
  <c r="AC16" i="1"/>
  <c r="AC17" i="1"/>
  <c r="AC18" i="1"/>
  <c r="AC19" i="1"/>
  <c r="AC21" i="1"/>
  <c r="AC22" i="1"/>
  <c r="AC23" i="1"/>
  <c r="AC24" i="1"/>
  <c r="AC26" i="1"/>
  <c r="AC27" i="1"/>
  <c r="AC28" i="1"/>
  <c r="AC29" i="1"/>
  <c r="AC31" i="1"/>
  <c r="AC32" i="1"/>
  <c r="AC33" i="1"/>
  <c r="AC34" i="1"/>
  <c r="AC36" i="1"/>
  <c r="AC37" i="1"/>
  <c r="AC38" i="1"/>
  <c r="AC39" i="1"/>
  <c r="AC40" i="1"/>
  <c r="AC42" i="1"/>
  <c r="AC43" i="1"/>
  <c r="AC44" i="1"/>
  <c r="AC45" i="1"/>
  <c r="AC46" i="1"/>
  <c r="AC47" i="1"/>
  <c r="AC48" i="1"/>
  <c r="AC49" i="1"/>
  <c r="AC50" i="1"/>
  <c r="AC51" i="1"/>
  <c r="AC52" i="1"/>
  <c r="AC54" i="1"/>
  <c r="AC55" i="1"/>
  <c r="AC56" i="1"/>
  <c r="AC57" i="1"/>
  <c r="AC58" i="1"/>
  <c r="AC59" i="1"/>
  <c r="AC60" i="1"/>
  <c r="AC61" i="1"/>
  <c r="AC62" i="1"/>
  <c r="AC63" i="1"/>
  <c r="AC64" i="1"/>
  <c r="AC66" i="1"/>
  <c r="AC67" i="1"/>
  <c r="AC68" i="1"/>
  <c r="AC69" i="1"/>
  <c r="AC70" i="1"/>
  <c r="AC72" i="1"/>
  <c r="AC73" i="1"/>
  <c r="AC74" i="1"/>
  <c r="AC75" i="1"/>
  <c r="AC77" i="1"/>
  <c r="AC78" i="1"/>
  <c r="AC79" i="1"/>
  <c r="AC80" i="1"/>
  <c r="AC82" i="1"/>
  <c r="AC83" i="1"/>
  <c r="AC84" i="1"/>
  <c r="AC86" i="1"/>
  <c r="AC87" i="1"/>
  <c r="AC88" i="1"/>
  <c r="AC8" i="1"/>
  <c r="AB10" i="1"/>
  <c r="AB11" i="1"/>
  <c r="AB12" i="1"/>
  <c r="AB13" i="1"/>
  <c r="AB15" i="1"/>
  <c r="AB16" i="1"/>
  <c r="AB17" i="1"/>
  <c r="AB18" i="1"/>
  <c r="AB19" i="1"/>
  <c r="AB21" i="1"/>
  <c r="AB22" i="1"/>
  <c r="AB23" i="1"/>
  <c r="AB24" i="1"/>
  <c r="AB26" i="1"/>
  <c r="AB27" i="1"/>
  <c r="AB28" i="1"/>
  <c r="AB29" i="1"/>
  <c r="AB30" i="1"/>
  <c r="AB31" i="1"/>
  <c r="AB32" i="1"/>
  <c r="AB33" i="1"/>
  <c r="AB34" i="1"/>
  <c r="AB36" i="1"/>
  <c r="AB37" i="1"/>
  <c r="AB38" i="1"/>
  <c r="AB39" i="1"/>
  <c r="AB40" i="1"/>
  <c r="AB42" i="1"/>
  <c r="AB43" i="1"/>
  <c r="AB44" i="1"/>
  <c r="AB45" i="1"/>
  <c r="AB46" i="1"/>
  <c r="AB48" i="1"/>
  <c r="AB49" i="1"/>
  <c r="AB50" i="1"/>
  <c r="AB51" i="1"/>
  <c r="AB52" i="1"/>
  <c r="AB54" i="1"/>
  <c r="AB55" i="1"/>
  <c r="AB56" i="1"/>
  <c r="AB57" i="1"/>
  <c r="AB58" i="1"/>
  <c r="AB60" i="1"/>
  <c r="AB61" i="1"/>
  <c r="AB62" i="1"/>
  <c r="AB63" i="1"/>
  <c r="AB64" i="1"/>
  <c r="AB66" i="1"/>
  <c r="AB67" i="1"/>
  <c r="AB68" i="1"/>
  <c r="AB69" i="1"/>
  <c r="AB70" i="1"/>
  <c r="AB71" i="1"/>
  <c r="AB72" i="1"/>
  <c r="AB73" i="1"/>
  <c r="AB74" i="1"/>
  <c r="AB75" i="1"/>
  <c r="AB77" i="1"/>
  <c r="AB78" i="1"/>
  <c r="AB79" i="1"/>
  <c r="AB80" i="1"/>
  <c r="AB82" i="1"/>
  <c r="AB83" i="1"/>
  <c r="AB84" i="1"/>
  <c r="AB86" i="1"/>
  <c r="AB87" i="1"/>
  <c r="AB88" i="1"/>
  <c r="AB8" i="1"/>
  <c r="AA9" i="1"/>
  <c r="AA10" i="1"/>
  <c r="AA11" i="1"/>
  <c r="AA12" i="1"/>
  <c r="AA13" i="1"/>
  <c r="AA15" i="1"/>
  <c r="AA16" i="1"/>
  <c r="AA17" i="1"/>
  <c r="AA18" i="1"/>
  <c r="AA19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6" i="1"/>
  <c r="AA37" i="1"/>
  <c r="AA38" i="1"/>
  <c r="AA39" i="1"/>
  <c r="AA40" i="1"/>
  <c r="AA42" i="1"/>
  <c r="AA43" i="1"/>
  <c r="AA44" i="1"/>
  <c r="AA45" i="1"/>
  <c r="AA46" i="1"/>
  <c r="AA48" i="1"/>
  <c r="AA49" i="1"/>
  <c r="AA50" i="1"/>
  <c r="AA51" i="1"/>
  <c r="AA52" i="1"/>
  <c r="AA54" i="1"/>
  <c r="AA55" i="1"/>
  <c r="AA56" i="1"/>
  <c r="AA57" i="1"/>
  <c r="AA58" i="1"/>
  <c r="AA60" i="1"/>
  <c r="AA61" i="1"/>
  <c r="AA62" i="1"/>
  <c r="AA63" i="1"/>
  <c r="AA64" i="1"/>
  <c r="AA65" i="1"/>
  <c r="AA66" i="1"/>
  <c r="AA67" i="1"/>
  <c r="AA68" i="1"/>
  <c r="AA69" i="1"/>
  <c r="AA70" i="1"/>
  <c r="AA72" i="1"/>
  <c r="AA73" i="1"/>
  <c r="AA74" i="1"/>
  <c r="AA75" i="1"/>
  <c r="AA77" i="1"/>
  <c r="AA78" i="1"/>
  <c r="AA79" i="1"/>
  <c r="AA80" i="1"/>
  <c r="AA82" i="1"/>
  <c r="AA83" i="1"/>
  <c r="AA84" i="1"/>
  <c r="AA86" i="1"/>
  <c r="AA87" i="1"/>
  <c r="AA88" i="1"/>
  <c r="AA8" i="1"/>
  <c r="Z9" i="1"/>
  <c r="Z10" i="1"/>
  <c r="Z11" i="1"/>
  <c r="Z12" i="1"/>
  <c r="Z13" i="1"/>
  <c r="Z15" i="1"/>
  <c r="Z16" i="1"/>
  <c r="Z17" i="1"/>
  <c r="Z18" i="1"/>
  <c r="Z19" i="1"/>
  <c r="Z21" i="1"/>
  <c r="Z22" i="1"/>
  <c r="Z23" i="1"/>
  <c r="Z24" i="1"/>
  <c r="Z26" i="1"/>
  <c r="Z27" i="1"/>
  <c r="Z28" i="1"/>
  <c r="Z29" i="1"/>
  <c r="Z31" i="1"/>
  <c r="Z32" i="1"/>
  <c r="Z33" i="1"/>
  <c r="Z34" i="1"/>
  <c r="Z36" i="1"/>
  <c r="Z37" i="1"/>
  <c r="Z38" i="1"/>
  <c r="Z39" i="1"/>
  <c r="Z40" i="1"/>
  <c r="Z41" i="1"/>
  <c r="Z42" i="1"/>
  <c r="Z43" i="1"/>
  <c r="Z44" i="1"/>
  <c r="Z45" i="1"/>
  <c r="Z46" i="1"/>
  <c r="Z48" i="1"/>
  <c r="Z49" i="1"/>
  <c r="Z50" i="1"/>
  <c r="Z51" i="1"/>
  <c r="Z52" i="1"/>
  <c r="Z53" i="1"/>
  <c r="Z54" i="1"/>
  <c r="Z55" i="1"/>
  <c r="Z56" i="1"/>
  <c r="Z57" i="1"/>
  <c r="Z58" i="1"/>
  <c r="Z60" i="1"/>
  <c r="Z61" i="1"/>
  <c r="Z62" i="1"/>
  <c r="Z63" i="1"/>
  <c r="Z64" i="1"/>
  <c r="Z66" i="1"/>
  <c r="Z67" i="1"/>
  <c r="Z68" i="1"/>
  <c r="Z69" i="1"/>
  <c r="Z70" i="1"/>
  <c r="Z72" i="1"/>
  <c r="Z73" i="1"/>
  <c r="Z74" i="1"/>
  <c r="Z75" i="1"/>
  <c r="Z76" i="1"/>
  <c r="Z77" i="1"/>
  <c r="Z78" i="1"/>
  <c r="Z79" i="1"/>
  <c r="Z80" i="1"/>
  <c r="Z82" i="1"/>
  <c r="Z83" i="1"/>
  <c r="Z84" i="1"/>
  <c r="Z86" i="1"/>
  <c r="Z87" i="1"/>
  <c r="Z88" i="1"/>
  <c r="Z8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6" i="1"/>
  <c r="X26" i="1"/>
  <c r="Y26" i="1"/>
  <c r="W27" i="1"/>
  <c r="X27" i="1"/>
  <c r="Y27" i="1"/>
  <c r="W28" i="1"/>
  <c r="X28" i="1"/>
  <c r="Y28" i="1"/>
  <c r="W29" i="1"/>
  <c r="X29" i="1"/>
  <c r="Y29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X71" i="1"/>
  <c r="W72" i="1"/>
  <c r="X72" i="1"/>
  <c r="Y72" i="1"/>
  <c r="W73" i="1"/>
  <c r="X73" i="1"/>
  <c r="Y73" i="1"/>
  <c r="W74" i="1"/>
  <c r="X74" i="1"/>
  <c r="Y74" i="1"/>
  <c r="W75" i="1"/>
  <c r="X75" i="1"/>
  <c r="Y75" i="1"/>
  <c r="X76" i="1"/>
  <c r="W77" i="1"/>
  <c r="X77" i="1"/>
  <c r="Y77" i="1"/>
  <c r="W78" i="1"/>
  <c r="X78" i="1"/>
  <c r="Y78" i="1"/>
  <c r="W79" i="1"/>
  <c r="X79" i="1"/>
  <c r="Y79" i="1"/>
  <c r="W80" i="1"/>
  <c r="X80" i="1"/>
  <c r="Y80" i="1"/>
  <c r="W82" i="1"/>
  <c r="X82" i="1"/>
  <c r="Y82" i="1"/>
  <c r="W83" i="1"/>
  <c r="X83" i="1"/>
  <c r="Y83" i="1"/>
  <c r="W84" i="1"/>
  <c r="X84" i="1"/>
  <c r="Y84" i="1"/>
  <c r="Y85" i="1"/>
  <c r="W86" i="1"/>
  <c r="X86" i="1"/>
  <c r="Y86" i="1"/>
  <c r="W87" i="1"/>
  <c r="X87" i="1"/>
  <c r="Y87" i="1"/>
  <c r="W88" i="1"/>
  <c r="X88" i="1"/>
  <c r="Y88" i="1"/>
  <c r="Y8" i="1"/>
  <c r="X8" i="1"/>
  <c r="W8" i="1"/>
  <c r="U10" i="1"/>
  <c r="V10" i="1"/>
  <c r="U11" i="1"/>
  <c r="V11" i="1"/>
  <c r="U12" i="1"/>
  <c r="V12" i="1"/>
  <c r="U13" i="1"/>
  <c r="V13" i="1"/>
  <c r="U15" i="1"/>
  <c r="V15" i="1"/>
  <c r="U16" i="1"/>
  <c r="V16" i="1"/>
  <c r="U17" i="1"/>
  <c r="V17" i="1"/>
  <c r="U18" i="1"/>
  <c r="V18" i="1"/>
  <c r="U19" i="1"/>
  <c r="V19" i="1"/>
  <c r="U21" i="1"/>
  <c r="V21" i="1"/>
  <c r="U22" i="1"/>
  <c r="V22" i="1"/>
  <c r="U23" i="1"/>
  <c r="V23" i="1"/>
  <c r="U24" i="1"/>
  <c r="V24" i="1"/>
  <c r="U26" i="1"/>
  <c r="V26" i="1"/>
  <c r="U27" i="1"/>
  <c r="V27" i="1"/>
  <c r="U28" i="1"/>
  <c r="V28" i="1"/>
  <c r="U29" i="1"/>
  <c r="V29" i="1"/>
  <c r="V30" i="1"/>
  <c r="U31" i="1"/>
  <c r="V31" i="1"/>
  <c r="U32" i="1"/>
  <c r="V32" i="1"/>
  <c r="U33" i="1"/>
  <c r="V33" i="1"/>
  <c r="U34" i="1"/>
  <c r="V34" i="1"/>
  <c r="U35" i="1"/>
  <c r="U36" i="1"/>
  <c r="V36" i="1"/>
  <c r="U37" i="1"/>
  <c r="V37" i="1"/>
  <c r="U38" i="1"/>
  <c r="V38" i="1"/>
  <c r="U39" i="1"/>
  <c r="V39" i="1"/>
  <c r="U40" i="1"/>
  <c r="V40" i="1"/>
  <c r="U41" i="1"/>
  <c r="U42" i="1"/>
  <c r="V42" i="1"/>
  <c r="U43" i="1"/>
  <c r="V43" i="1"/>
  <c r="U44" i="1"/>
  <c r="V44" i="1"/>
  <c r="U45" i="1"/>
  <c r="V45" i="1"/>
  <c r="U46" i="1"/>
  <c r="V46" i="1"/>
  <c r="U48" i="1"/>
  <c r="V48" i="1"/>
  <c r="U49" i="1"/>
  <c r="V49" i="1"/>
  <c r="U50" i="1"/>
  <c r="V50" i="1"/>
  <c r="U51" i="1"/>
  <c r="V51" i="1"/>
  <c r="U52" i="1"/>
  <c r="V52" i="1"/>
  <c r="U54" i="1"/>
  <c r="V54" i="1"/>
  <c r="U55" i="1"/>
  <c r="V55" i="1"/>
  <c r="U56" i="1"/>
  <c r="V56" i="1"/>
  <c r="U57" i="1"/>
  <c r="V57" i="1"/>
  <c r="U58" i="1"/>
  <c r="V58" i="1"/>
  <c r="U59" i="1"/>
  <c r="U60" i="1"/>
  <c r="V60" i="1"/>
  <c r="U61" i="1"/>
  <c r="V61" i="1"/>
  <c r="U62" i="1"/>
  <c r="V62" i="1"/>
  <c r="U63" i="1"/>
  <c r="V63" i="1"/>
  <c r="U64" i="1"/>
  <c r="V64" i="1"/>
  <c r="U65" i="1"/>
  <c r="U66" i="1"/>
  <c r="V66" i="1"/>
  <c r="U67" i="1"/>
  <c r="V67" i="1"/>
  <c r="U68" i="1"/>
  <c r="V68" i="1"/>
  <c r="U69" i="1"/>
  <c r="V69" i="1"/>
  <c r="U70" i="1"/>
  <c r="V70" i="1"/>
  <c r="U72" i="1"/>
  <c r="V72" i="1"/>
  <c r="U73" i="1"/>
  <c r="V73" i="1"/>
  <c r="U74" i="1"/>
  <c r="V74" i="1"/>
  <c r="U75" i="1"/>
  <c r="V75" i="1"/>
  <c r="V76" i="1"/>
  <c r="U77" i="1"/>
  <c r="V77" i="1"/>
  <c r="U78" i="1"/>
  <c r="V78" i="1"/>
  <c r="U79" i="1"/>
  <c r="V79" i="1"/>
  <c r="U80" i="1"/>
  <c r="V80" i="1"/>
  <c r="U81" i="1"/>
  <c r="U82" i="1"/>
  <c r="V82" i="1"/>
  <c r="U83" i="1"/>
  <c r="V83" i="1"/>
  <c r="U84" i="1"/>
  <c r="V84" i="1"/>
  <c r="U85" i="1"/>
  <c r="U86" i="1"/>
  <c r="V86" i="1"/>
  <c r="U87" i="1"/>
  <c r="V87" i="1"/>
  <c r="U88" i="1"/>
  <c r="V88" i="1"/>
  <c r="V8" i="1"/>
  <c r="U8" i="1"/>
  <c r="P10" i="1"/>
  <c r="Q10" i="1"/>
  <c r="R10" i="1"/>
  <c r="S10" i="1"/>
  <c r="T10" i="1"/>
  <c r="P11" i="1"/>
  <c r="Q11" i="1"/>
  <c r="R11" i="1"/>
  <c r="S11" i="1"/>
  <c r="T11" i="1"/>
  <c r="P12" i="1"/>
  <c r="Q12" i="1"/>
  <c r="R12" i="1"/>
  <c r="S12" i="1"/>
  <c r="T12" i="1"/>
  <c r="P13" i="1"/>
  <c r="Q13" i="1"/>
  <c r="R13" i="1"/>
  <c r="S13" i="1"/>
  <c r="T13" i="1"/>
  <c r="T14" i="1"/>
  <c r="P15" i="1"/>
  <c r="Q15" i="1"/>
  <c r="R15" i="1"/>
  <c r="S15" i="1"/>
  <c r="T15" i="1"/>
  <c r="P16" i="1"/>
  <c r="Q16" i="1"/>
  <c r="R16" i="1"/>
  <c r="S16" i="1"/>
  <c r="T16" i="1"/>
  <c r="P17" i="1"/>
  <c r="Q17" i="1"/>
  <c r="R17" i="1"/>
  <c r="S17" i="1"/>
  <c r="T17" i="1"/>
  <c r="P18" i="1"/>
  <c r="Q18" i="1"/>
  <c r="R18" i="1"/>
  <c r="S18" i="1"/>
  <c r="T18" i="1"/>
  <c r="P19" i="1"/>
  <c r="Q19" i="1"/>
  <c r="R19" i="1"/>
  <c r="S19" i="1"/>
  <c r="T19" i="1"/>
  <c r="S20" i="1"/>
  <c r="P21" i="1"/>
  <c r="Q21" i="1"/>
  <c r="R21" i="1"/>
  <c r="S21" i="1"/>
  <c r="T21" i="1"/>
  <c r="P22" i="1"/>
  <c r="Q22" i="1"/>
  <c r="R22" i="1"/>
  <c r="S22" i="1"/>
  <c r="T22" i="1"/>
  <c r="P23" i="1"/>
  <c r="Q23" i="1"/>
  <c r="R23" i="1"/>
  <c r="S23" i="1"/>
  <c r="T23" i="1"/>
  <c r="P24" i="1"/>
  <c r="Q24" i="1"/>
  <c r="R24" i="1"/>
  <c r="S24" i="1"/>
  <c r="T24" i="1"/>
  <c r="P26" i="1"/>
  <c r="Q26" i="1"/>
  <c r="R26" i="1"/>
  <c r="S26" i="1"/>
  <c r="T26" i="1"/>
  <c r="P27" i="1"/>
  <c r="Q27" i="1"/>
  <c r="R27" i="1"/>
  <c r="S27" i="1"/>
  <c r="T27" i="1"/>
  <c r="P28" i="1"/>
  <c r="Q28" i="1"/>
  <c r="R28" i="1"/>
  <c r="S28" i="1"/>
  <c r="T28" i="1"/>
  <c r="P29" i="1"/>
  <c r="Q29" i="1"/>
  <c r="R29" i="1"/>
  <c r="S29" i="1"/>
  <c r="T29" i="1"/>
  <c r="T30" i="1"/>
  <c r="P31" i="1"/>
  <c r="Q31" i="1"/>
  <c r="R31" i="1"/>
  <c r="S31" i="1"/>
  <c r="T31" i="1"/>
  <c r="P32" i="1"/>
  <c r="Q32" i="1"/>
  <c r="R32" i="1"/>
  <c r="S32" i="1"/>
  <c r="T32" i="1"/>
  <c r="P33" i="1"/>
  <c r="Q33" i="1"/>
  <c r="R33" i="1"/>
  <c r="S33" i="1"/>
  <c r="T33" i="1"/>
  <c r="P34" i="1"/>
  <c r="Q34" i="1"/>
  <c r="R34" i="1"/>
  <c r="S34" i="1"/>
  <c r="T34" i="1"/>
  <c r="T35" i="1"/>
  <c r="P36" i="1"/>
  <c r="Q36" i="1"/>
  <c r="R36" i="1"/>
  <c r="S36" i="1"/>
  <c r="T36" i="1"/>
  <c r="P37" i="1"/>
  <c r="Q37" i="1"/>
  <c r="R37" i="1"/>
  <c r="S37" i="1"/>
  <c r="T37" i="1"/>
  <c r="P38" i="1"/>
  <c r="Q38" i="1"/>
  <c r="R38" i="1"/>
  <c r="S38" i="1"/>
  <c r="T38" i="1"/>
  <c r="P39" i="1"/>
  <c r="Q39" i="1"/>
  <c r="R39" i="1"/>
  <c r="S39" i="1"/>
  <c r="T39" i="1"/>
  <c r="P40" i="1"/>
  <c r="Q40" i="1"/>
  <c r="R40" i="1"/>
  <c r="S40" i="1"/>
  <c r="T40" i="1"/>
  <c r="P42" i="1"/>
  <c r="Q42" i="1"/>
  <c r="R42" i="1"/>
  <c r="S42" i="1"/>
  <c r="T42" i="1"/>
  <c r="P43" i="1"/>
  <c r="Q43" i="1"/>
  <c r="R43" i="1"/>
  <c r="S43" i="1"/>
  <c r="T43" i="1"/>
  <c r="P44" i="1"/>
  <c r="Q44" i="1"/>
  <c r="R44" i="1"/>
  <c r="S44" i="1"/>
  <c r="T44" i="1"/>
  <c r="P45" i="1"/>
  <c r="Q45" i="1"/>
  <c r="R45" i="1"/>
  <c r="S45" i="1"/>
  <c r="T45" i="1"/>
  <c r="P46" i="1"/>
  <c r="Q46" i="1"/>
  <c r="R46" i="1"/>
  <c r="S46" i="1"/>
  <c r="T46" i="1"/>
  <c r="P47" i="1"/>
  <c r="P48" i="1"/>
  <c r="Q48" i="1"/>
  <c r="R48" i="1"/>
  <c r="S48" i="1"/>
  <c r="T48" i="1"/>
  <c r="P49" i="1"/>
  <c r="Q49" i="1"/>
  <c r="R49" i="1"/>
  <c r="S49" i="1"/>
  <c r="T49" i="1"/>
  <c r="P50" i="1"/>
  <c r="Q50" i="1"/>
  <c r="R50" i="1"/>
  <c r="S50" i="1"/>
  <c r="T50" i="1"/>
  <c r="P51" i="1"/>
  <c r="Q51" i="1"/>
  <c r="R51" i="1"/>
  <c r="S51" i="1"/>
  <c r="T51" i="1"/>
  <c r="P52" i="1"/>
  <c r="Q52" i="1"/>
  <c r="R52" i="1"/>
  <c r="S52" i="1"/>
  <c r="T52" i="1"/>
  <c r="P54" i="1"/>
  <c r="Q54" i="1"/>
  <c r="R54" i="1"/>
  <c r="S54" i="1"/>
  <c r="T54" i="1"/>
  <c r="P55" i="1"/>
  <c r="Q55" i="1"/>
  <c r="R55" i="1"/>
  <c r="S55" i="1"/>
  <c r="T55" i="1"/>
  <c r="P56" i="1"/>
  <c r="Q56" i="1"/>
  <c r="R56" i="1"/>
  <c r="S56" i="1"/>
  <c r="T56" i="1"/>
  <c r="P57" i="1"/>
  <c r="Q57" i="1"/>
  <c r="R57" i="1"/>
  <c r="S57" i="1"/>
  <c r="T57" i="1"/>
  <c r="P58" i="1"/>
  <c r="Q58" i="1"/>
  <c r="R58" i="1"/>
  <c r="S58" i="1"/>
  <c r="T58" i="1"/>
  <c r="P59" i="1"/>
  <c r="S59" i="1"/>
  <c r="P60" i="1"/>
  <c r="Q60" i="1"/>
  <c r="R60" i="1"/>
  <c r="S60" i="1"/>
  <c r="T60" i="1"/>
  <c r="P61" i="1"/>
  <c r="Q61" i="1"/>
  <c r="R61" i="1"/>
  <c r="S61" i="1"/>
  <c r="T61" i="1"/>
  <c r="P62" i="1"/>
  <c r="Q62" i="1"/>
  <c r="R62" i="1"/>
  <c r="S62" i="1"/>
  <c r="T62" i="1"/>
  <c r="P63" i="1"/>
  <c r="Q63" i="1"/>
  <c r="R63" i="1"/>
  <c r="S63" i="1"/>
  <c r="T63" i="1"/>
  <c r="P64" i="1"/>
  <c r="Q64" i="1"/>
  <c r="R64" i="1"/>
  <c r="S64" i="1"/>
  <c r="T64" i="1"/>
  <c r="Q65" i="1"/>
  <c r="T65" i="1"/>
  <c r="P66" i="1"/>
  <c r="Q66" i="1"/>
  <c r="R66" i="1"/>
  <c r="S66" i="1"/>
  <c r="T66" i="1"/>
  <c r="P67" i="1"/>
  <c r="Q67" i="1"/>
  <c r="R67" i="1"/>
  <c r="S67" i="1"/>
  <c r="T67" i="1"/>
  <c r="P68" i="1"/>
  <c r="Q68" i="1"/>
  <c r="R68" i="1"/>
  <c r="S68" i="1"/>
  <c r="T68" i="1"/>
  <c r="P69" i="1"/>
  <c r="Q69" i="1"/>
  <c r="R69" i="1"/>
  <c r="S69" i="1"/>
  <c r="T69" i="1"/>
  <c r="P70" i="1"/>
  <c r="Q70" i="1"/>
  <c r="R70" i="1"/>
  <c r="S70" i="1"/>
  <c r="T70" i="1"/>
  <c r="S71" i="1"/>
  <c r="P72" i="1"/>
  <c r="Q72" i="1"/>
  <c r="R72" i="1"/>
  <c r="S72" i="1"/>
  <c r="T72" i="1"/>
  <c r="P73" i="1"/>
  <c r="Q73" i="1"/>
  <c r="R73" i="1"/>
  <c r="S73" i="1"/>
  <c r="T73" i="1"/>
  <c r="P74" i="1"/>
  <c r="Q74" i="1"/>
  <c r="R74" i="1"/>
  <c r="S74" i="1"/>
  <c r="T74" i="1"/>
  <c r="P75" i="1"/>
  <c r="Q75" i="1"/>
  <c r="R75" i="1"/>
  <c r="S75" i="1"/>
  <c r="T75" i="1"/>
  <c r="R76" i="1"/>
  <c r="P77" i="1"/>
  <c r="Q77" i="1"/>
  <c r="R77" i="1"/>
  <c r="S77" i="1"/>
  <c r="T77" i="1"/>
  <c r="P78" i="1"/>
  <c r="Q78" i="1"/>
  <c r="R78" i="1"/>
  <c r="S78" i="1"/>
  <c r="T78" i="1"/>
  <c r="P79" i="1"/>
  <c r="Q79" i="1"/>
  <c r="R79" i="1"/>
  <c r="S79" i="1"/>
  <c r="T79" i="1"/>
  <c r="P80" i="1"/>
  <c r="Q80" i="1"/>
  <c r="R80" i="1"/>
  <c r="S80" i="1"/>
  <c r="T80" i="1"/>
  <c r="Q81" i="1"/>
  <c r="T81" i="1"/>
  <c r="P82" i="1"/>
  <c r="Q82" i="1"/>
  <c r="R82" i="1"/>
  <c r="S82" i="1"/>
  <c r="T82" i="1"/>
  <c r="P83" i="1"/>
  <c r="Q83" i="1"/>
  <c r="R83" i="1"/>
  <c r="S83" i="1"/>
  <c r="T83" i="1"/>
  <c r="P84" i="1"/>
  <c r="Q84" i="1"/>
  <c r="R84" i="1"/>
  <c r="S84" i="1"/>
  <c r="T84" i="1"/>
  <c r="T85" i="1"/>
  <c r="P86" i="1"/>
  <c r="Q86" i="1"/>
  <c r="R86" i="1"/>
  <c r="S86" i="1"/>
  <c r="T86" i="1"/>
  <c r="P87" i="1"/>
  <c r="Q87" i="1"/>
  <c r="R87" i="1"/>
  <c r="S87" i="1"/>
  <c r="T87" i="1"/>
  <c r="P88" i="1"/>
  <c r="Q88" i="1"/>
  <c r="R88" i="1"/>
  <c r="S88" i="1"/>
  <c r="T88" i="1"/>
  <c r="T8" i="1"/>
  <c r="S8" i="1"/>
  <c r="R8" i="1"/>
  <c r="Q8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" i="1"/>
  <c r="N10" i="1"/>
  <c r="N11" i="1"/>
  <c r="N12" i="1"/>
  <c r="N13" i="1"/>
  <c r="N15" i="1"/>
  <c r="N16" i="1"/>
  <c r="N17" i="1"/>
  <c r="N18" i="1"/>
  <c r="N19" i="1"/>
  <c r="N21" i="1"/>
  <c r="N22" i="1"/>
  <c r="N23" i="1"/>
  <c r="N24" i="1"/>
  <c r="N26" i="1"/>
  <c r="N27" i="1"/>
  <c r="N28" i="1"/>
  <c r="N29" i="1"/>
  <c r="N31" i="1"/>
  <c r="N32" i="1"/>
  <c r="N33" i="1"/>
  <c r="N34" i="1"/>
  <c r="N36" i="1"/>
  <c r="N37" i="1"/>
  <c r="N38" i="1"/>
  <c r="N39" i="1"/>
  <c r="N40" i="1"/>
  <c r="N42" i="1"/>
  <c r="N43" i="1"/>
  <c r="N44" i="1"/>
  <c r="N45" i="1"/>
  <c r="N46" i="1"/>
  <c r="N48" i="1"/>
  <c r="N49" i="1"/>
  <c r="N50" i="1"/>
  <c r="N51" i="1"/>
  <c r="N52" i="1"/>
  <c r="N54" i="1"/>
  <c r="N55" i="1"/>
  <c r="N56" i="1"/>
  <c r="N57" i="1"/>
  <c r="N58" i="1"/>
  <c r="N60" i="1"/>
  <c r="N61" i="1"/>
  <c r="N62" i="1"/>
  <c r="N63" i="1"/>
  <c r="N64" i="1"/>
  <c r="N66" i="1"/>
  <c r="N67" i="1"/>
  <c r="N68" i="1"/>
  <c r="N69" i="1"/>
  <c r="N70" i="1"/>
  <c r="N71" i="1"/>
  <c r="N72" i="1"/>
  <c r="N73" i="1"/>
  <c r="N74" i="1"/>
  <c r="N75" i="1"/>
  <c r="N77" i="1"/>
  <c r="N78" i="1"/>
  <c r="N79" i="1"/>
  <c r="N80" i="1"/>
  <c r="N82" i="1"/>
  <c r="N83" i="1"/>
  <c r="N84" i="1"/>
  <c r="N86" i="1"/>
  <c r="N87" i="1"/>
  <c r="N88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" i="1"/>
  <c r="J10" i="1"/>
  <c r="K10" i="1"/>
  <c r="L10" i="1"/>
  <c r="J11" i="1"/>
  <c r="K11" i="1"/>
  <c r="L11" i="1"/>
  <c r="J12" i="1"/>
  <c r="K12" i="1"/>
  <c r="L12" i="1"/>
  <c r="J13" i="1"/>
  <c r="K13" i="1"/>
  <c r="L13" i="1"/>
  <c r="K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1" i="1"/>
  <c r="K21" i="1"/>
  <c r="L21" i="1"/>
  <c r="J22" i="1"/>
  <c r="K22" i="1"/>
  <c r="L22" i="1"/>
  <c r="J23" i="1"/>
  <c r="K23" i="1"/>
  <c r="L23" i="1"/>
  <c r="J24" i="1"/>
  <c r="K24" i="1"/>
  <c r="L24" i="1"/>
  <c r="J26" i="1"/>
  <c r="K26" i="1"/>
  <c r="L26" i="1"/>
  <c r="J27" i="1"/>
  <c r="K27" i="1"/>
  <c r="L27" i="1"/>
  <c r="J28" i="1"/>
  <c r="K28" i="1"/>
  <c r="L28" i="1"/>
  <c r="J29" i="1"/>
  <c r="K29" i="1"/>
  <c r="L29" i="1"/>
  <c r="K30" i="1"/>
  <c r="J31" i="1"/>
  <c r="K31" i="1"/>
  <c r="L31" i="1"/>
  <c r="J32" i="1"/>
  <c r="K32" i="1"/>
  <c r="L32" i="1"/>
  <c r="J33" i="1"/>
  <c r="K33" i="1"/>
  <c r="L33" i="1"/>
  <c r="J34" i="1"/>
  <c r="K34" i="1"/>
  <c r="L34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K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2" i="1"/>
  <c r="K72" i="1"/>
  <c r="L72" i="1"/>
  <c r="J73" i="1"/>
  <c r="K73" i="1"/>
  <c r="L73" i="1"/>
  <c r="J74" i="1"/>
  <c r="K74" i="1"/>
  <c r="L74" i="1"/>
  <c r="J75" i="1"/>
  <c r="K75" i="1"/>
  <c r="L75" i="1"/>
  <c r="J77" i="1"/>
  <c r="K77" i="1"/>
  <c r="L77" i="1"/>
  <c r="J78" i="1"/>
  <c r="K78" i="1"/>
  <c r="L78" i="1"/>
  <c r="J79" i="1"/>
  <c r="K79" i="1"/>
  <c r="L79" i="1"/>
  <c r="J80" i="1"/>
  <c r="K80" i="1"/>
  <c r="L80" i="1"/>
  <c r="K81" i="1"/>
  <c r="J82" i="1"/>
  <c r="K82" i="1"/>
  <c r="L82" i="1"/>
  <c r="J83" i="1"/>
  <c r="K83" i="1"/>
  <c r="L83" i="1"/>
  <c r="J84" i="1"/>
  <c r="K84" i="1"/>
  <c r="L84" i="1"/>
  <c r="J86" i="1"/>
  <c r="K86" i="1"/>
  <c r="L86" i="1"/>
  <c r="J87" i="1"/>
  <c r="K87" i="1"/>
  <c r="L87" i="1"/>
  <c r="J88" i="1"/>
  <c r="K88" i="1"/>
  <c r="L88" i="1"/>
  <c r="L8" i="1"/>
  <c r="K8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" i="1"/>
  <c r="H10" i="1"/>
  <c r="H11" i="1"/>
  <c r="H12" i="1"/>
  <c r="H13" i="1"/>
  <c r="H15" i="1"/>
  <c r="H16" i="1"/>
  <c r="H17" i="1"/>
  <c r="H18" i="1"/>
  <c r="H19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6" i="1"/>
  <c r="H37" i="1"/>
  <c r="H38" i="1"/>
  <c r="H39" i="1"/>
  <c r="H40" i="1"/>
  <c r="H42" i="1"/>
  <c r="H43" i="1"/>
  <c r="H44" i="1"/>
  <c r="H45" i="1"/>
  <c r="H46" i="1"/>
  <c r="H48" i="1"/>
  <c r="H49" i="1"/>
  <c r="H50" i="1"/>
  <c r="H51" i="1"/>
  <c r="H52" i="1"/>
  <c r="H54" i="1"/>
  <c r="H55" i="1"/>
  <c r="H56" i="1"/>
  <c r="H57" i="1"/>
  <c r="H58" i="1"/>
  <c r="H60" i="1"/>
  <c r="H61" i="1"/>
  <c r="H62" i="1"/>
  <c r="H63" i="1"/>
  <c r="H64" i="1"/>
  <c r="H66" i="1"/>
  <c r="H67" i="1"/>
  <c r="H68" i="1"/>
  <c r="H69" i="1"/>
  <c r="H70" i="1"/>
  <c r="H72" i="1"/>
  <c r="H73" i="1"/>
  <c r="H74" i="1"/>
  <c r="H75" i="1"/>
  <c r="H77" i="1"/>
  <c r="H78" i="1"/>
  <c r="H79" i="1"/>
  <c r="H80" i="1"/>
  <c r="H82" i="1"/>
  <c r="H83" i="1"/>
  <c r="H84" i="1"/>
  <c r="H86" i="1"/>
  <c r="H87" i="1"/>
  <c r="H88" i="1"/>
  <c r="H8" i="1"/>
  <c r="G9" i="1"/>
  <c r="G10" i="1"/>
  <c r="G11" i="1"/>
  <c r="G12" i="1"/>
  <c r="G13" i="1"/>
  <c r="G15" i="1"/>
  <c r="G16" i="1"/>
  <c r="G17" i="1"/>
  <c r="G18" i="1"/>
  <c r="G19" i="1"/>
  <c r="G21" i="1"/>
  <c r="G22" i="1"/>
  <c r="G23" i="1"/>
  <c r="G24" i="1"/>
  <c r="G26" i="1"/>
  <c r="G27" i="1"/>
  <c r="G28" i="1"/>
  <c r="G29" i="1"/>
  <c r="G31" i="1"/>
  <c r="G32" i="1"/>
  <c r="G33" i="1"/>
  <c r="G34" i="1"/>
  <c r="G36" i="1"/>
  <c r="G37" i="1"/>
  <c r="G38" i="1"/>
  <c r="G39" i="1"/>
  <c r="G40" i="1"/>
  <c r="G42" i="1"/>
  <c r="G43" i="1"/>
  <c r="G44" i="1"/>
  <c r="G45" i="1"/>
  <c r="G46" i="1"/>
  <c r="G48" i="1"/>
  <c r="G49" i="1"/>
  <c r="G50" i="1"/>
  <c r="G51" i="1"/>
  <c r="G52" i="1"/>
  <c r="G53" i="1"/>
  <c r="G54" i="1"/>
  <c r="G55" i="1"/>
  <c r="G56" i="1"/>
  <c r="G57" i="1"/>
  <c r="G58" i="1"/>
  <c r="G60" i="1"/>
  <c r="G61" i="1"/>
  <c r="G62" i="1"/>
  <c r="G63" i="1"/>
  <c r="G64" i="1"/>
  <c r="G66" i="1"/>
  <c r="G67" i="1"/>
  <c r="G68" i="1"/>
  <c r="G69" i="1"/>
  <c r="G70" i="1"/>
  <c r="G72" i="1"/>
  <c r="G73" i="1"/>
  <c r="G74" i="1"/>
  <c r="G75" i="1"/>
  <c r="G77" i="1"/>
  <c r="G78" i="1"/>
  <c r="G79" i="1"/>
  <c r="G80" i="1"/>
  <c r="G82" i="1"/>
  <c r="G83" i="1"/>
  <c r="G84" i="1"/>
  <c r="G86" i="1"/>
  <c r="G87" i="1"/>
  <c r="G88" i="1"/>
  <c r="G8" i="1"/>
  <c r="F10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6" i="1"/>
  <c r="F27" i="1"/>
  <c r="F28" i="1"/>
  <c r="F29" i="1"/>
  <c r="F31" i="1"/>
  <c r="F32" i="1"/>
  <c r="F33" i="1"/>
  <c r="F34" i="1"/>
  <c r="F36" i="1"/>
  <c r="F37" i="1"/>
  <c r="F38" i="1"/>
  <c r="F39" i="1"/>
  <c r="F40" i="1"/>
  <c r="F42" i="1"/>
  <c r="F43" i="1"/>
  <c r="F44" i="1"/>
  <c r="F45" i="1"/>
  <c r="F46" i="1"/>
  <c r="F47" i="1"/>
  <c r="F48" i="1"/>
  <c r="F49" i="1"/>
  <c r="F50" i="1"/>
  <c r="F51" i="1"/>
  <c r="F52" i="1"/>
  <c r="F54" i="1"/>
  <c r="F55" i="1"/>
  <c r="F56" i="1"/>
  <c r="F57" i="1"/>
  <c r="F58" i="1"/>
  <c r="F60" i="1"/>
  <c r="F61" i="1"/>
  <c r="F62" i="1"/>
  <c r="F63" i="1"/>
  <c r="F64" i="1"/>
  <c r="F66" i="1"/>
  <c r="F67" i="1"/>
  <c r="F68" i="1"/>
  <c r="F69" i="1"/>
  <c r="F70" i="1"/>
  <c r="F72" i="1"/>
  <c r="F73" i="1"/>
  <c r="F74" i="1"/>
  <c r="F75" i="1"/>
  <c r="F77" i="1"/>
  <c r="F78" i="1"/>
  <c r="F79" i="1"/>
  <c r="F80" i="1"/>
  <c r="F82" i="1"/>
  <c r="F83" i="1"/>
  <c r="F84" i="1"/>
  <c r="F86" i="1"/>
  <c r="F87" i="1"/>
  <c r="F88" i="1"/>
  <c r="F8" i="1"/>
  <c r="E9" i="1"/>
  <c r="C10" i="1"/>
  <c r="D10" i="1"/>
  <c r="E10" i="1"/>
  <c r="C11" i="1"/>
  <c r="D11" i="1"/>
  <c r="E11" i="1"/>
  <c r="C12" i="1"/>
  <c r="AI12" i="1" s="1"/>
  <c r="D12" i="1"/>
  <c r="E12" i="1"/>
  <c r="C13" i="1"/>
  <c r="D13" i="1"/>
  <c r="E13" i="1"/>
  <c r="C15" i="1"/>
  <c r="D15" i="1"/>
  <c r="E15" i="1"/>
  <c r="C16" i="1"/>
  <c r="AI16" i="1" s="1"/>
  <c r="D16" i="1"/>
  <c r="E16" i="1"/>
  <c r="C17" i="1"/>
  <c r="D17" i="1"/>
  <c r="E17" i="1"/>
  <c r="C18" i="1"/>
  <c r="D18" i="1"/>
  <c r="E18" i="1"/>
  <c r="C19" i="1"/>
  <c r="D19" i="1"/>
  <c r="E19" i="1"/>
  <c r="E20" i="1"/>
  <c r="C21" i="1"/>
  <c r="D21" i="1"/>
  <c r="E21" i="1"/>
  <c r="C22" i="1"/>
  <c r="D22" i="1"/>
  <c r="E22" i="1"/>
  <c r="C23" i="1"/>
  <c r="D23" i="1"/>
  <c r="E23" i="1"/>
  <c r="C24" i="1"/>
  <c r="AI24" i="1" s="1"/>
  <c r="D24" i="1"/>
  <c r="E24" i="1"/>
  <c r="C26" i="1"/>
  <c r="D26" i="1"/>
  <c r="E26" i="1"/>
  <c r="C27" i="1"/>
  <c r="D27" i="1"/>
  <c r="E27" i="1"/>
  <c r="C28" i="1"/>
  <c r="AI28" i="1" s="1"/>
  <c r="D28" i="1"/>
  <c r="E28" i="1"/>
  <c r="C29" i="1"/>
  <c r="D29" i="1"/>
  <c r="E29" i="1"/>
  <c r="C30" i="1"/>
  <c r="C31" i="1"/>
  <c r="D31" i="1"/>
  <c r="E31" i="1"/>
  <c r="C32" i="1"/>
  <c r="AI32" i="1" s="1"/>
  <c r="D32" i="1"/>
  <c r="E32" i="1"/>
  <c r="C33" i="1"/>
  <c r="D33" i="1"/>
  <c r="E33" i="1"/>
  <c r="C34" i="1"/>
  <c r="D34" i="1"/>
  <c r="E34" i="1"/>
  <c r="D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2" i="1"/>
  <c r="D42" i="1"/>
  <c r="E42" i="1"/>
  <c r="C43" i="1"/>
  <c r="D43" i="1"/>
  <c r="E43" i="1"/>
  <c r="C44" i="1"/>
  <c r="AI44" i="1" s="1"/>
  <c r="D44" i="1"/>
  <c r="E44" i="1"/>
  <c r="C45" i="1"/>
  <c r="D45" i="1"/>
  <c r="E45" i="1"/>
  <c r="C46" i="1"/>
  <c r="D46" i="1"/>
  <c r="E46" i="1"/>
  <c r="D47" i="1"/>
  <c r="C48" i="1"/>
  <c r="AI48" i="1" s="1"/>
  <c r="D48" i="1"/>
  <c r="E48" i="1"/>
  <c r="C49" i="1"/>
  <c r="D49" i="1"/>
  <c r="E49" i="1"/>
  <c r="C50" i="1"/>
  <c r="D50" i="1"/>
  <c r="E50" i="1"/>
  <c r="C51" i="1"/>
  <c r="D51" i="1"/>
  <c r="E51" i="1"/>
  <c r="C52" i="1"/>
  <c r="AI52" i="1" s="1"/>
  <c r="D52" i="1"/>
  <c r="E52" i="1"/>
  <c r="C54" i="1"/>
  <c r="D54" i="1"/>
  <c r="E54" i="1"/>
  <c r="C55" i="1"/>
  <c r="D55" i="1"/>
  <c r="E55" i="1"/>
  <c r="C56" i="1"/>
  <c r="AI56" i="1" s="1"/>
  <c r="D56" i="1"/>
  <c r="E56" i="1"/>
  <c r="C57" i="1"/>
  <c r="D57" i="1"/>
  <c r="E57" i="1"/>
  <c r="C58" i="1"/>
  <c r="D58" i="1"/>
  <c r="E58" i="1"/>
  <c r="D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6" i="1"/>
  <c r="D66" i="1"/>
  <c r="E66" i="1"/>
  <c r="C67" i="1"/>
  <c r="D67" i="1"/>
  <c r="E67" i="1"/>
  <c r="C68" i="1"/>
  <c r="AI68" i="1" s="1"/>
  <c r="D68" i="1"/>
  <c r="E68" i="1"/>
  <c r="C69" i="1"/>
  <c r="D69" i="1"/>
  <c r="E69" i="1"/>
  <c r="C70" i="1"/>
  <c r="D70" i="1"/>
  <c r="E70" i="1"/>
  <c r="D71" i="1"/>
  <c r="C72" i="1"/>
  <c r="D72" i="1"/>
  <c r="E72" i="1"/>
  <c r="C73" i="1"/>
  <c r="D73" i="1"/>
  <c r="E73" i="1"/>
  <c r="C74" i="1"/>
  <c r="D74" i="1"/>
  <c r="E74" i="1"/>
  <c r="C75" i="1"/>
  <c r="D75" i="1"/>
  <c r="E75" i="1"/>
  <c r="E76" i="1"/>
  <c r="C77" i="1"/>
  <c r="D77" i="1"/>
  <c r="E77" i="1"/>
  <c r="C78" i="1"/>
  <c r="D78" i="1"/>
  <c r="E78" i="1"/>
  <c r="C79" i="1"/>
  <c r="D79" i="1"/>
  <c r="E79" i="1"/>
  <c r="C80" i="1"/>
  <c r="AI80" i="1" s="1"/>
  <c r="D80" i="1"/>
  <c r="E80" i="1"/>
  <c r="C82" i="1"/>
  <c r="D82" i="1"/>
  <c r="E82" i="1"/>
  <c r="C83" i="1"/>
  <c r="D83" i="1"/>
  <c r="E83" i="1"/>
  <c r="C84" i="1"/>
  <c r="D84" i="1"/>
  <c r="E84" i="1"/>
  <c r="C86" i="1"/>
  <c r="D86" i="1"/>
  <c r="E86" i="1"/>
  <c r="C87" i="1"/>
  <c r="D87" i="1"/>
  <c r="E87" i="1"/>
  <c r="C88" i="1"/>
  <c r="AI88" i="1" s="1"/>
  <c r="D88" i="1"/>
  <c r="E88" i="1"/>
  <c r="E8" i="1"/>
  <c r="D8" i="1"/>
  <c r="C8" i="1"/>
  <c r="AI10" i="1" l="1"/>
  <c r="AI60" i="1"/>
  <c r="AI64" i="1"/>
  <c r="AI72" i="1"/>
  <c r="AI84" i="1"/>
  <c r="AI40" i="1"/>
  <c r="AI36" i="1"/>
  <c r="AI25" i="1"/>
  <c r="AI21" i="1"/>
  <c r="AI11" i="1"/>
  <c r="AI9" i="1"/>
  <c r="AI20" i="1"/>
  <c r="AI76" i="1"/>
  <c r="AI82" i="1"/>
  <c r="AI74" i="1"/>
  <c r="AI62" i="1"/>
  <c r="AI50" i="1"/>
  <c r="AI38" i="1"/>
  <c r="AI27" i="1"/>
  <c r="AI22" i="1"/>
  <c r="AI85" i="1"/>
  <c r="AI83" i="1"/>
  <c r="AI77" i="1"/>
  <c r="AI75" i="1"/>
  <c r="AI69" i="1"/>
  <c r="AI65" i="1"/>
  <c r="AI63" i="1"/>
  <c r="AI57" i="1"/>
  <c r="AI53" i="1"/>
  <c r="AI51" i="1"/>
  <c r="AI45" i="1"/>
  <c r="AI41" i="1"/>
  <c r="AI39" i="1"/>
  <c r="AI33" i="1"/>
  <c r="AI14" i="1"/>
  <c r="AI30" i="1"/>
  <c r="AI35" i="1"/>
  <c r="AI47" i="1"/>
  <c r="AI59" i="1"/>
  <c r="AI71" i="1"/>
  <c r="AI86" i="1"/>
  <c r="AI78" i="1"/>
  <c r="AI70" i="1"/>
  <c r="AI66" i="1"/>
  <c r="AI58" i="1"/>
  <c r="AI54" i="1"/>
  <c r="AI46" i="1"/>
  <c r="AI42" i="1"/>
  <c r="AI34" i="1"/>
  <c r="AI29" i="1"/>
  <c r="AI23" i="1"/>
  <c r="AI17" i="1"/>
  <c r="AI8" i="1"/>
  <c r="AI87" i="1"/>
  <c r="AI81" i="1"/>
  <c r="AI79" i="1"/>
  <c r="AI73" i="1"/>
  <c r="AI67" i="1"/>
  <c r="AI61" i="1"/>
  <c r="AI55" i="1"/>
  <c r="AI49" i="1"/>
  <c r="AI43" i="1"/>
  <c r="AI37" i="1"/>
  <c r="AI31" i="1"/>
  <c r="AI26" i="1"/>
  <c r="AI18" i="1"/>
  <c r="AI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EF210FA6-0F67-4A8A-B104-2170E3D9194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108B767-9BCE-465D-8293-3129C99710B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DD0C98F-F940-4DEB-B558-09F9625EA5B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D2B8380-CB7C-462C-B612-8683BC8F4AC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05B34D6-D051-4745-8EED-D20D12C2D68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B76D75A-8778-454E-94A5-A49AE92C9F7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7174851-2BA1-4177-8CEE-7BCDD79DB09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5DB768B-26DB-457D-9700-A993CE696FF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677BCBF-6418-476E-A780-0F557E1DE05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FAD2903-7B44-4BAF-82F7-692982FAA2B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D022964-F7F7-4410-A8A9-8EAFF612015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48E312A-FC97-43D0-AF2A-6FE5C319B88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CA1DD5C-D2EE-4CC1-8336-472A422DC9E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E475586-8FD2-4D33-BAAD-014FF446D3F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9EB4911-7C4F-49AB-B20E-72948D6454B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D34EC28-ABB6-4184-8DE8-D3A5D679D19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567BC4F-D167-4DAA-A9CA-FE3B879081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3CF397D-BFDB-4E24-A0C1-7F3F20523AA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5E033E9-DF6B-4645-9336-DFC1971EB74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DC54427-7CCC-4031-86A1-0F0522BBABB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078217A-A060-453B-92A6-02B03D0AC09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96A2695-C1CB-4286-BEAB-C4ADB2A95DF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623E2B7-4A4C-40A4-BF74-9B69A3A5F4A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45740E0-7E45-4247-9638-6801E0E42BC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569E17E-68A0-41E4-B6FF-FE59148EF3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86E3F16-86E6-4C7F-832B-D2EFC9D7D9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CFE79D3-F80C-43CC-849B-3DE2E061923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FB36955-15E4-4C6E-B89E-2F8362EB1C2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4A3E6F7-1B23-48ED-9A21-9B45B492E18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7EDF237-787A-415A-B522-C24E3F5E3FA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E68E7A9-23B6-411C-8EEE-FF2852DD98A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71E2A8D-C025-415A-A5DE-5E6D4D08896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8C79E0C-C550-4B06-8E4F-ABC617C0580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5CD8AD9-EA43-42F4-B858-3C0379E1199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728474C-FA59-474C-A7C1-C19CC01B9A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17795F50-72FA-4136-B047-056B12D127C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5A532B4-0021-4B7A-A3CB-E3D430162C7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9FF6333-B243-4F47-AE9D-143EB25941A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04FE508-4ACB-427F-BD59-29A952A353B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1BD2921-5A3F-47A6-A556-BAB000299E6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98E944C-8DEB-4B07-B5BA-DD542D07C9B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180BB29-87A9-4476-9484-21C42390127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AFBD97C-0191-4E6C-8CCE-1CE34CFB30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B9F498D-C41F-49BA-8B94-D84E52DDF54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BFE8839-5AF9-422F-BD62-55CD0D4A95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FA4F225-B684-447E-8E02-94D4B9BBE15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D0967FA-F4DD-442E-BCF9-B7DBDECFE76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E57C2EA-389A-4CDB-9F62-76367319EE4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B4CF35C-27FA-48F0-A35A-05FFBCA861A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9492306-EF12-41B9-A87E-8201BCC57C9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7EE1349-D2C9-4761-81C2-B84304B18CD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01EC14C-97E6-40EF-9876-3E38814773A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3FC4BB6-D158-496F-A797-07F41D733F4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5F5DABC-8E11-44C6-851E-81F266C5078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03E5CF3-6CB2-48F6-88BA-F5448099886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743A5F5-9438-4A60-A48B-911E3D1B085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96604DA-802C-4BA1-97EA-40E31D0D6AA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C895DC4-1BD8-4E8D-A83D-406838A939E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63BDD6A-1D30-4A7A-A5D9-5A051CE0E7C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81C7EFA-35F3-4769-BC42-DC7C346DBDC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03F75A2-36E3-4DE7-8A75-A2EA929E667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AEF6085-8106-4AF9-AF24-78E7E453916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EC07270-93F8-4427-9FE3-2A01A0D4824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21E87C3-471B-4C79-A116-D09679CEC16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6E7ABC9-1379-495B-9FA2-D990FF5CA01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41CD7A4-EB49-49A5-80CD-EF286DD4E4E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D1FAB03-876F-43CF-85AD-3A1D6188517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BF6A263-17BF-4DC9-B1DB-5A057E555E8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C8901A2-FEC3-463F-BC33-C001291FE4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E4AC589-A876-44C6-AF1C-D97489AE8C6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19FD62C-B8AA-433B-B801-B2B5506A541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3611832-C2A7-4809-A73B-497533998C3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941E627-DDF3-42CB-B4D1-258CDDCF17B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BEE916C-D983-46CA-BABB-09C7BB19991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3238845-CCDD-49FB-B1BA-2C94E18739E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575F619-E9D2-4F20-AE6A-FCBE08FDEE7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3CBF098-18CA-4589-AF41-CA654B48870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CD84A04-5C45-4F51-83A7-5B89B386B61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0BD7DED-5086-4AC9-8A72-639E07552F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A2C33A7-42CD-4E59-89A3-A44C85637D3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07CA014-2B43-433D-A2D5-B698730A1FA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73405FE-F504-42D1-8DF9-42DD34F0FDB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035F4DC-12BE-4B08-AF0D-C600805E11A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5D48654-8D76-4071-ABD8-7AED6EC4027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6C041B3-AA3F-49C1-AB45-A0FF6244348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98F092E-C4FD-4D2A-A7AF-5327F2F81D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76BE9C4-D653-432F-9D03-5B380A0FE8E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89A6398-6E2E-4A7F-99FD-33D24F56F3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D5B3BFB-EEA5-43AF-8D21-E7802FA9C9A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1508919-CDEF-4B4C-90F2-B018C6FB2C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58E373F-88D5-4323-B91A-8214ED3574A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578BEC4-664E-4639-9468-A5A0D3713B0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823AA9A-7DCF-49F8-A9D1-B2EA02A55D3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7854608-DD75-4BB6-9205-6F18AFCFF06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05088CA-0FAA-4BC6-9CAD-6C7F96AA5F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D2E9CE9-D3DD-4C17-99C9-2DDF3DFF5B8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F78F5F4-2A29-481A-946D-B2E3C7E4456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03CBB53-F605-40A2-AAC0-7801C63AAA9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62A6B9A-5658-4F0C-9CA9-A1B99270567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4DA3CEC-5417-4CB6-820C-F12DB5FAB59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18EB374-71F2-4351-A004-76082467224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6BF1577-BA6A-4F22-BFA3-9586BAFA99A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15897D2-5480-4CA7-ABD5-6F9B2DE43C7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4CD1CB2-CFE9-40BF-A2BB-4CA9BE2DFD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2FC80F1-49AA-4F1A-9E7E-414655CBB56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C63931B1-EF96-482B-B1F2-CFFD2CB842A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347BDC0-B9A0-48E6-8F1E-25BC8E4996A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3BB0695-A421-4659-847A-4245B87BA17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940F666-95C6-43E0-BA17-1BBF0DC0DAC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78FB3B3-7DA4-4C12-9673-2DE9863BABB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A179E3B-9EE0-4A87-966F-9A4B9B6F8C6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399B3FB-0A1E-4D8F-851F-C118186A901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4C06F40-AF29-46F7-A62F-71924928EDA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E9B5CDB-F2CD-4844-9BCE-B95CFCD3E7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A2F0871-2B6C-40B9-833A-73FD88A42B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3A5A0C4-5C84-483C-87F8-D00961523F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B5CC123-7118-4B45-91A9-FE18475ECFC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74C242C-996C-4BD8-B9C9-2FBB24C90B4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7F5A24F-7D2A-4B4F-813B-3EDEDF0EE59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4795C5B-83A1-436C-8586-5165A435D13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81414E8-3C88-4DE3-B671-F449444D0A4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D5C090E-8ED1-42D2-A348-D09DA2579F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6D10E0F-009A-40E9-9331-0C7CAE5BF1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929FB0A-C17B-4113-AA80-5BEC7C861A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E249AF3-15DA-468D-878B-CCDD56918A4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2514993-B20B-42D2-9B36-92B66895596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D068964-3112-4275-B9E3-BB4F9C9ADA9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898619A-9F95-4BA1-9F60-0FC56838B4C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E191EEC-90EA-419F-BDF5-40F03F44EC6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54E7032-5347-4256-B9F3-A505C015076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9534F2D-007C-4408-965A-5ECDF61B56D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B09737B-46BE-4B82-8989-498DF885EAA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CD153A4-CA97-450B-A66E-0314C3FAFC6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1B761EE-F38B-40F1-8C19-B0B21AA5AD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65634FB-6A9C-4CA6-A507-FC1B8D30BA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F736F23-D55A-4426-B2E1-18489587635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6EA84E2-BF1B-4A4C-80DF-5F175BC4D64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75FEC32-5129-4E7C-9E3A-91D0F35ECE5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F71A54D-024F-4012-99BA-D0258B12DD6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3211C66-D12E-4085-9594-B3890946E5C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C1304F0-05A1-4501-AC2A-1FA8FF68D65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0A54841-8955-4B2C-8DA8-EEB9A22F4B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6BA595D-F4BB-4B42-9D58-616C08E87C6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FB1F5C6-38A3-4600-B99D-B8A75B380B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5D37CB0-7D58-4F22-A662-1C01E203C47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E4638EF-A3DA-4B66-9D43-778DE7334C4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044E9A5-0557-4505-9A11-5032C736E8F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0AD1D53-BEAE-4240-8A6C-F6E33315ED3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D692EFF-C429-4B4D-ADDB-D7D5421C32C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D42CD60-5333-45F7-9AF4-1E629F8644D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53568B1-5CFD-472E-91A7-DE58E4DC724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56E4AB9-38B9-443A-A5EF-CED292EB796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0E95372-9122-4DF0-B8C8-21836FB800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AA18B27-AE3D-4BC3-BC97-41AD5B3AC82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C29429F-D7ED-4551-9C37-82917BA105B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DC6DFF0-59A7-4897-94F7-3BA6EE9DC57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D345FCC-16EC-4571-9B1B-41D78D86A64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421188F-4604-467D-837C-A2B1A869433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3C5AB0F-CA00-4D1B-8E33-E0CDDEB5503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2123FC7-508F-4CC7-941D-5814DC41C43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AFCBC73-E48E-4941-9F7B-86099CB4DF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41A3E33-32AB-466E-B606-85D1DBC793B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0A9BA72-5348-446C-B236-EE5B291CF73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BBA3F91-9962-47AA-BFC8-28DC5F35138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357D309-8EE4-4592-9850-62DAE7C6257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A87AF64-6482-4AF9-AEA2-E134C65A26F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4D0CD1C-30FB-4C03-8648-0B5CE397176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B5F3A76-638F-4B01-AE65-F35B59D4C64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EBD5EE2-DBA3-487C-B0A9-8EA67B1DF65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D215E32-5578-446A-9FDF-A2244A157B8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EBF7760-1F30-4B17-B968-C70AF04116C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E327EF2-FD58-42CE-A22E-ABD9C53677A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17590D5-ADE9-42B9-842A-8D9E32B7175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1863568-F3C1-41D8-8575-09265146CA7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7CAF3FA-C3BB-40CD-8F7E-5C4EA05FE27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1421D04-596A-4D7F-8BA5-2CE3EC832AF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AD935EC-BDC4-4AB3-8060-D69586E447C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1F28265-9358-4347-819D-DB241E0ABA0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EB641CD-4313-41ED-8DB5-E5CA5CECB4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60F8278-4953-4439-BC90-8B912B54B8C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AA0F759-0929-4AB4-9E46-6E1681F2C92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6DAED69-5CC3-4FE7-B790-1EB0FBC26E5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C410056-0F11-498B-A417-63F6A0360E0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A483B1C-1F7F-4951-A4CD-886E9D7FA89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CE4B1CD-1595-4E16-AEC7-09B59D02263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7F0299C-816A-45CE-9ECC-7AB54F50A71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B99456F-A16F-4E43-BC49-1FF7C9794D4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F2F5ED7-6A56-4606-8B1D-1165BB23EC0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F182348-DF80-4A79-AFB7-FEC3693DBF0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9C26577-F837-43D2-8A92-566793243A3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51ACD7F-80AC-4AC8-894E-6B156ADD031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7934A7E-A937-4A4E-8874-8B6DC65E51F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0B998AD-8EBE-4157-B9D8-EEBA8E2DA14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6C3C04B-D660-4A57-BF41-E9854C30CE3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8DC7266-B3C3-469D-9E70-FA6D240DE58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7455738-1B8B-4956-B2FF-4FF40780CF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26DF24D-7C07-423B-9A85-769067CF5A4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EC602DA-2741-4A59-A1E3-E64A0BFEF25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E9A895D-2B01-463F-B20B-F3DACAFEC01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828968E-3877-47C1-90DB-F9CEB53D41C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8A0A6E2-C36D-49EE-BAAF-CCB4E6D7E36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D4D64BF-73F8-41B3-B186-01B745F3425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25042A0-DE60-4732-8EF1-A18968F15FF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82D8BB1-E21A-4141-889A-2A50D9485FD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321A983-06F5-46E8-8B69-09BC52F537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1BE59A9-B871-4978-8F83-F2245C0476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9473219-F1DB-4F40-84F9-0109009F9E3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4CB8D45-A496-4160-8B36-D123170AE6B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43F5E31-88FF-4F36-A2E5-94C67E81079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EBAF230-BC32-479B-9334-744BB50FEA49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C2B0B9F-C347-45AE-950F-9E3EFE5EFB2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E392E7E-0193-4491-AA40-4F4C296373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F3F5DD7-E716-4463-BFB4-6CBFAB2060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115DCF2-FA53-4C74-9ED1-24065CCAE3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A22593D-4DFF-4408-8736-323D5E7A50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49FBAAA-FD99-4880-A7BB-02C50EE329B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6EC0F9C-8EFE-4077-AC20-67CBD7F0C3B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FDF8048-C018-4A9D-8AAF-4C54DA1BA4A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8CBF148-0536-4C9B-A87F-ADF64CFE57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35767A3-EFFC-4626-A4EE-77E4E2BC0DF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293A21B-A110-4647-BC31-CB083E38664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AAF014A-2707-475C-A1AB-FB7050178CF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07F3FD5-EE20-4F68-97E6-1243830A9E8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3CB31C1-61E5-40ED-9A1D-60DE99C9F2F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C54CBA5-633C-466C-B383-A3E6E94C7BF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06C2AB1-4664-4C0F-A057-6D7615E3982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D07BD81-03EC-44A7-AF2C-047660BAA1C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186331F-673C-42BA-B373-4BE6445F39E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CA6EE15-95A5-4A6C-8268-5900BD07677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8346FC1-71DF-4076-99EA-1FA2A64450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4F629DF-84CD-4F01-8C4F-8997FA01342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8BFDA23-A789-4BD6-BF4C-BCC2A6BD7B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88213D0-B502-48C7-AC5A-3050F892E39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34A1E9F-D2FB-48BE-BD1E-5FA8006D1A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1E4433A-57B4-4D5A-B83B-EF72F60F92E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85C796D-9C62-4F3D-9ABB-35AC306F0C1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57F630D-29CA-4A40-A4B6-C32DFCCD926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216F291-E45A-4BA4-B35E-00D7997A8C1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43617F8-BAC1-4C7E-A6B9-172939A59F1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5B84C8A-443F-4E4F-924F-3F491BCFDA9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8D045F6-2A31-461E-9113-90A8FF163D2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6DF5DF1-AF64-4D65-B115-D5B0E147A0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BEB4300-6FDF-427F-8142-6DFDACD3DA0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AAED03A-361B-4163-A319-8EAB4D42744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12C6F07-713C-4091-9B7D-28D89496EA6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75539A6-0D7A-4409-A2EA-254E213CE0A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40CA914-F961-47E0-B717-975BD032399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26B1A23-F4D1-453A-924D-6C7BC8744E1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72AB8FB-9B3F-4360-BEC8-B8E8F487600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BB21D6A-0EC6-46D1-B6C6-9517EF5711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83B50D7-EC19-4D2E-9426-0AD6F2CA23E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AA1E7BC-5D18-463C-8A53-F322A100480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A60B201-9452-4A97-8882-E619BAA5677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461AA67-546A-4465-B794-0F3BC1A80FD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D2DC710-CB48-4A34-8F71-13F702377EB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68E1522-428F-4EDB-8D0D-BECA6A3C132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107340D-94A7-4439-9E7B-59C83A75E7F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F0CE5D8-7B27-4B54-AE82-81F5588B3F7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F32AFC1-BC70-4BB9-BBA4-13530F34AA8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82CCDF3-0BAD-4398-B717-26B53F1A247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53AD2F5-0F70-4B11-B3F0-1BD6A792E79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1DD47B1-A80B-4700-B464-67B398ABBD5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2B51991-DBE8-4FC1-890C-25089077639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C2DCCF1-36ED-4A5A-8FE0-A8984BE9E6B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811567C-93AB-4B22-8AEF-92BDB7B01C1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ED12DEF-ED55-4FD0-B15F-BA904B3D3BA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4B4D7A0-8E89-43B0-81DC-E45BA492650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414CA6C-E0BE-44B4-B148-287EA27932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0118C6D-066C-428F-83CD-EFE867937AA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F6E039B-30C1-4816-8224-2C4BCFA3E78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706F22B-8602-4176-8EEA-E83640CA140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7455406-02E6-4C66-A0C2-09CCD77EB96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F2F6F7B-775E-4F16-BEFE-F3198D0FEC7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701797F-5DC3-41AE-8611-87DF7817ACD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7F54B68-80F8-4BF5-8FA5-3803B599790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D5E437D-6703-44ED-8929-F57D0AEE198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72FCEDA-FE29-4B92-A4D1-5956D9DF7F5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9F8C8FB-E82B-43C4-B3C3-CDA74F40526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EAD4CAD-B805-4AAD-8849-F97ACFA41C7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60B2CB1-8922-44A9-9C6D-EEA23C313AD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<sst xmlns="http://schemas.openxmlformats.org/spreadsheetml/2006/main" count="7242" uniqueCount="164">
  <si>
    <t>LAPORAN HARGA BAHAN POKOK DI KOTA SURABAYA</t>
  </si>
  <si>
    <t xml:space="preserve"> </t>
  </si>
  <si>
    <t>NAMA BAHAN POKOK DAN PENTING LAINNYA</t>
  </si>
  <si>
    <t>BERAS</t>
  </si>
  <si>
    <t>Kg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</si>
  <si>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</si>
  <si>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</si>
  <si>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</si>
  <si>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</si>
  <si>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</si>
  <si>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</si>
  <si>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</si>
  <si>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</si>
  <si>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</si>
  <si>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</si>
  <si>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</si>
  <si>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</si>
  <si>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</si>
  <si>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</si>
  <si>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</si>
  <si>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</si>
  <si>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</si>
  <si>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</si>
  <si>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</si>
  <si>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</si>
  <si>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</si>
  <si>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</si>
  <si>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</si>
  <si>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</si>
  <si>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</si>
  <si>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</si>
  <si>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</si>
  <si>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</si>
  <si>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</si>
  <si>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</si>
  <si>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</si>
  <si>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</si>
  <si>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</si>
  <si>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</si>
  <si>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</si>
  <si>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</si>
  <si>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</si>
  <si>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</si>
  <si>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</si>
  <si>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</si>
  <si>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</si>
  <si>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</si>
  <si>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</si>
  <si>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</si>
  <si>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</si>
  <si>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</si>
  <si>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</si>
  <si>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</si>
  <si>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</si>
  <si>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</si>
  <si>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</si>
  <si>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</si>
  <si>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</si>
  <si>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</si>
  <si>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</si>
  <si>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</si>
  <si>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</si>
  <si>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</si>
  <si>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</si>
  <si>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</si>
  <si>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</si>
  <si>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</si>
  <si>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</si>
  <si>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</si>
  <si>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</si>
  <si>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</si>
  <si>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</si>
  <si>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</si>
  <si>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</si>
  <si>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</si>
  <si>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</si>
  <si>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</si>
  <si>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</si>
  <si>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</si>
  <si>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</si>
  <si>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</si>
  <si>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</si>
  <si>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</si>
  <si>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</si>
  <si>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</si>
  <si>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</si>
  <si>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</si>
  <si>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</si>
  <si>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</si>
  <si>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</si>
  <si>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</si>
  <si>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</si>
  <si>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</si>
  <si>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</si>
  <si>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</si>
  <si>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</si>
  <si>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</si>
  <si>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</si>
  <si>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</si>
  <si>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</si>
  <si>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</si>
  <si>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</si>
  <si>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HET/HAPK (Harga Eceran Tertinggi)</t>
  </si>
  <si>
    <t>- Beras Premium</t>
  </si>
  <si>
    <t>- Beras Medium</t>
  </si>
  <si>
    <t>- Minyak Kita</t>
  </si>
  <si>
    <t>Liter</t>
  </si>
  <si>
    <t>- Beras IR.64 Medium</t>
  </si>
  <si>
    <t>- Minyak KITA</t>
  </si>
  <si>
    <t>keterangan :</t>
  </si>
  <si>
    <t>Komoditi turun harga</t>
  </si>
  <si>
    <t>Sumber dari PD Pasar Surya Surabaya</t>
  </si>
  <si>
    <t>Komoditi naik dibawah 10%</t>
  </si>
  <si>
    <t>Fluktuasi dalam 7 hari</t>
  </si>
  <si>
    <t>Komoditi naik diatas 10%</t>
  </si>
  <si>
    <t>- Beras   Premium</t>
  </si>
  <si>
    <t>- Gula pasir lokal curah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</si>
  <si>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</si>
  <si>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</si>
  <si>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</si>
  <si>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</si>
  <si>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</si>
  <si>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</si>
  <si>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</si>
  <si>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</si>
  <si>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- Beras Medium Bulog</t>
  </si>
  <si>
    <t>- Beras IR.64 Medium Bulog</t>
  </si>
  <si>
    <t>Note :</t>
  </si>
  <si>
    <t>Ps Pabean = bawang merah (nganjuk)</t>
  </si>
  <si>
    <t>Probolinggo kosong</t>
  </si>
  <si>
    <t>PERIODE OKTOBER 2023</t>
  </si>
  <si>
    <t>Hari / Tanggal :  Minggu , 01 Oktober  2023</t>
  </si>
  <si>
    <t xml:space="preserve">                                                                                      </t>
  </si>
  <si>
    <t>Hari / Tanggal :  Senin , 02 Oktober  2023</t>
  </si>
  <si>
    <t>Hari / Tanggal :  Selasa , 03 Oktober  2023</t>
  </si>
  <si>
    <t>Hari / Tanggal :  Rabu , 04 Oktober  2023</t>
  </si>
  <si>
    <t>Hari / Tanggal :  Kamis , 05 Oktober  2023</t>
  </si>
  <si>
    <t>Hari / Tanggal :  Jumat , 06 Oktober  2023</t>
  </si>
  <si>
    <t>Hari / Tanggal :  Sabtu , 07 Oktober  2023</t>
  </si>
  <si>
    <t>Hari / Tanggal :  Minggu , 08 Oktober  2023</t>
  </si>
  <si>
    <t>Hari / Tanggal :  Senin , 09 Oktober  2023</t>
  </si>
  <si>
    <t>Hari / Tanggal :  Selasa , 10 Oktober  2023</t>
  </si>
  <si>
    <t>Hari / Tanggal :  Rabu , 11 Oktober  2023</t>
  </si>
  <si>
    <t>Hari / Tanggal :  Kamis , 12 Oktober  2023</t>
  </si>
  <si>
    <t>Hari / Tanggal :  Jumat , 13 Oktober  2023</t>
  </si>
  <si>
    <t>Hari / Tanggal :  Sabtu , 14 Oktober  2023</t>
  </si>
  <si>
    <t>Hari / Tanggal :  Minggu , 15 Oktober  2023</t>
  </si>
  <si>
    <t>Hari / Tanggal :  Senin , 16 Oktober  2023</t>
  </si>
  <si>
    <t>Hari / Tanggal :  Selasa , 17 Oktober  2023</t>
  </si>
  <si>
    <t>Hari / Tanggal :  Rabu , 18 Oktober  2023</t>
  </si>
  <si>
    <t>Hari / Tanggal :  Kamis , 19 Oktober  2023</t>
  </si>
  <si>
    <t>Hari / Tanggal :  Jumat , 20 Oktober  2023</t>
  </si>
  <si>
    <t xml:space="preserve">                                                                                                                                                          </t>
  </si>
  <si>
    <t>Hari / Tanggal :  Sabtu , 21 Oktober  2023</t>
  </si>
  <si>
    <t>Hari / Tanggal :  Minggu , 22 Oktober  2023</t>
  </si>
  <si>
    <t>Hari / Tanggal :  Senin , 23 Oktober  2023</t>
  </si>
  <si>
    <t>Hari / Tanggal :  Selasa , 24 Oktober  2023</t>
  </si>
  <si>
    <t>Hari / Tanggal :  Rabu , 25 Oktober  2023</t>
  </si>
  <si>
    <t>Hari / Tanggal :  Kamis , 26 Oktober  2023</t>
  </si>
  <si>
    <t>Hari / Tanggal :  Jumat , 27 Oktober  2023</t>
  </si>
  <si>
    <t>Hari / Tanggal :  Sabtu , 28 Oktober  2023</t>
  </si>
  <si>
    <t>Hari / Tanggal :  Minggu , 29 Oktober  2023</t>
  </si>
  <si>
    <t>Hari / Tanggal :  Senin , 30 Oktober  2023</t>
  </si>
  <si>
    <t>Hari / Tanggal :  Selasa , 31 Oktober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</si>
</sst>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u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Tahoma"/>
      <family val="2"/>
    </font>
    <font>
      <b/>
      <u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1" fillId="0" borderId="0"/>
  </cellStyleXfs>
  <cellXfs count="131">
    <xf numFmtId="0" fontId="0" fillId="0" borderId="0" xfId="0"/>
    <xf numFmtId="164" fontId="0" fillId="0" borderId="0" xfId="0" applyNumberFormat="1"/>
    <xf numFmtId="0" fontId="11" fillId="0" borderId="0" xfId="0" applyFont="1"/>
    <xf numFmtId="164" fontId="11" fillId="0" borderId="0" xfId="0" applyNumberFormat="1" applyFont="1"/>
    <xf numFmtId="0" fontId="11" fillId="2" borderId="0" xfId="0" applyFont="1" applyFill="1"/>
    <xf numFmtId="0" fontId="2" fillId="0" borderId="11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20" fillId="0" borderId="0" xfId="0" applyFont="1"/>
    <xf numFmtId="0" fontId="12" fillId="0" borderId="0" xfId="1" applyFont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5" fillId="2" borderId="6" xfId="1" quotePrefix="1" applyFont="1" applyFill="1" applyBorder="1" applyAlignment="1">
      <alignment vertical="center"/>
    </xf>
    <xf numFmtId="164" fontId="6" fillId="2" borderId="6" xfId="2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12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vertical="center"/>
    </xf>
    <xf numFmtId="0" fontId="6" fillId="2" borderId="5" xfId="1" applyFont="1" applyFill="1" applyBorder="1"/>
    <xf numFmtId="16" fontId="3" fillId="2" borderId="1" xfId="1" applyNumberFormat="1" applyFont="1" applyFill="1" applyBorder="1" applyAlignment="1">
      <alignment horizontal="center" vertical="center" wrapText="1"/>
    </xf>
    <xf numFmtId="16" fontId="3" fillId="2" borderId="3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12" fillId="2" borderId="2" xfId="1" applyFont="1" applyFill="1" applyBorder="1" applyAlignment="1">
      <alignment horizontal="center" vertical="top"/>
    </xf>
    <xf numFmtId="0" fontId="12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5" fillId="2" borderId="0" xfId="0" applyFont="1" applyFill="1"/>
    <xf numFmtId="0" fontId="1" fillId="2" borderId="5" xfId="1" applyFill="1" applyBorder="1"/>
    <xf numFmtId="0" fontId="25" fillId="2" borderId="15" xfId="0" applyFont="1" applyFill="1" applyBorder="1"/>
    <xf numFmtId="0" fontId="25" fillId="2" borderId="10" xfId="0" applyFont="1" applyFill="1" applyBorder="1"/>
    <xf numFmtId="0" fontId="25" fillId="2" borderId="10" xfId="0" applyFont="1" applyFill="1" applyBorder="1" applyAlignment="1">
      <alignment horizontal="center"/>
    </xf>
    <xf numFmtId="0" fontId="25" fillId="2" borderId="17" xfId="0" applyFont="1" applyFill="1" applyBorder="1"/>
    <xf numFmtId="0" fontId="27" fillId="2" borderId="10" xfId="0" applyFont="1" applyFill="1" applyBorder="1" applyAlignment="1">
      <alignment horizontal="center"/>
    </xf>
    <xf numFmtId="0" fontId="25" fillId="2" borderId="18" xfId="0" applyFont="1" applyFill="1" applyBorder="1"/>
    <xf numFmtId="0" fontId="25" fillId="2" borderId="14" xfId="0" applyFont="1" applyFill="1" applyBorder="1"/>
    <xf numFmtId="0" fontId="25" fillId="2" borderId="12" xfId="0" applyFont="1" applyFill="1" applyBorder="1"/>
    <xf numFmtId="0" fontId="28" fillId="2" borderId="0" xfId="0" applyFont="1" applyFill="1"/>
    <xf numFmtId="0" fontId="12" fillId="2" borderId="14" xfId="0" applyFont="1" applyFill="1" applyBorder="1"/>
    <xf numFmtId="0" fontId="25" fillId="6" borderId="11" xfId="0" applyFont="1" applyFill="1" applyBorder="1"/>
    <xf numFmtId="0" fontId="25" fillId="8" borderId="11" xfId="0" applyFont="1" applyFill="1" applyBorder="1"/>
    <xf numFmtId="0" fontId="2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0" fillId="0" borderId="11" xfId="1" applyFont="1" applyBorder="1" applyAlignment="1">
      <alignment horizontal="center" vertical="center" wrapText="1"/>
    </xf>
    <xf numFmtId="0" fontId="12" fillId="0" borderId="11" xfId="1" quotePrefix="1" applyFont="1" applyBorder="1" applyAlignment="1">
      <alignment vertical="center"/>
    </xf>
    <xf numFmtId="0" fontId="12" fillId="4" borderId="1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164" fontId="15" fillId="2" borderId="11" xfId="2" applyFont="1" applyFill="1" applyBorder="1" applyAlignment="1">
      <alignment horizontal="center" vertical="center"/>
    </xf>
    <xf numFmtId="164" fontId="12" fillId="2" borderId="11" xfId="2" applyFont="1" applyFill="1" applyBorder="1" applyAlignment="1">
      <alignment horizontal="center" vertical="center"/>
    </xf>
    <xf numFmtId="164" fontId="10" fillId="2" borderId="11" xfId="2" applyFont="1" applyFill="1" applyBorder="1" applyAlignment="1">
      <alignment horizontal="center" vertical="center"/>
    </xf>
    <xf numFmtId="164" fontId="2" fillId="2" borderId="11" xfId="2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vertical="center"/>
    </xf>
    <xf numFmtId="0" fontId="12" fillId="7" borderId="11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left" vertical="center"/>
    </xf>
    <xf numFmtId="0" fontId="12" fillId="5" borderId="11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2" fillId="5" borderId="11" xfId="1" quotePrefix="1" applyFont="1" applyFill="1" applyBorder="1" applyAlignment="1">
      <alignment vertical="center"/>
    </xf>
    <xf numFmtId="0" fontId="12" fillId="3" borderId="11" xfId="1" applyFont="1" applyFill="1" applyBorder="1" applyAlignment="1">
      <alignment horizontal="center" vertical="center"/>
    </xf>
    <xf numFmtId="0" fontId="29" fillId="2" borderId="13" xfId="0" applyFont="1" applyFill="1" applyBorder="1"/>
    <xf numFmtId="0" fontId="25" fillId="2" borderId="13" xfId="0" applyFont="1" applyFill="1" applyBorder="1"/>
    <xf numFmtId="164" fontId="6" fillId="2" borderId="16" xfId="2" applyFont="1" applyFill="1" applyBorder="1" applyAlignment="1">
      <alignment vertical="center"/>
    </xf>
    <xf numFmtId="0" fontId="3" fillId="2" borderId="0" xfId="0" quotePrefix="1" applyFont="1" applyFill="1"/>
    <xf numFmtId="0" fontId="17" fillId="0" borderId="1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164" fontId="16" fillId="0" borderId="11" xfId="2" applyFont="1" applyBorder="1" applyAlignment="1">
      <alignment horizontal="center" vertical="center"/>
    </xf>
    <xf numFmtId="164" fontId="16" fillId="4" borderId="11" xfId="2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64" fontId="16" fillId="7" borderId="11" xfId="2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164" fontId="19" fillId="2" borderId="11" xfId="2" applyFont="1" applyFill="1" applyBorder="1" applyAlignment="1">
      <alignment horizontal="center" vertical="center"/>
    </xf>
    <xf numFmtId="0" fontId="25" fillId="15" borderId="11" xfId="0" applyFont="1" applyFill="1" applyBorder="1"/>
    <xf numFmtId="0" fontId="12" fillId="2" borderId="0" xfId="0" applyFont="1" applyFill="1"/>
    <xf numFmtId="0" fontId="21" fillId="0" borderId="0" xfId="3"/>
    <xf numFmtId="0" fontId="11" fillId="0" borderId="0" xfId="3" applyFont="1"/>
    <xf numFmtId="164" fontId="11" fillId="0" borderId="0" xfId="3" applyNumberFormat="1" applyFont="1"/>
    <xf numFmtId="0" fontId="20" fillId="0" borderId="0" xfId="3" applyFont="1"/>
    <xf numFmtId="164" fontId="21" fillId="0" borderId="0" xfId="3" applyNumberFormat="1"/>
    <xf numFmtId="0" fontId="12" fillId="0" borderId="11" xfId="1" applyFont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center"/>
    </xf>
    <xf numFmtId="164" fontId="15" fillId="0" borderId="11" xfId="2" applyFont="1" applyBorder="1" applyAlignment="1">
      <alignment horizontal="center" vertical="center"/>
    </xf>
    <xf numFmtId="164" fontId="2" fillId="0" borderId="11" xfId="2" applyFont="1" applyBorder="1" applyAlignment="1">
      <alignment horizontal="center" vertical="center"/>
    </xf>
    <xf numFmtId="164" fontId="10" fillId="0" borderId="11" xfId="2" applyFont="1" applyBorder="1" applyAlignment="1">
      <alignment horizontal="center" vertical="center"/>
    </xf>
    <xf numFmtId="164" fontId="12" fillId="0" borderId="11" xfId="2" applyFont="1" applyBorder="1" applyAlignment="1">
      <alignment horizontal="center" vertical="center"/>
    </xf>
    <xf numFmtId="164" fontId="14" fillId="0" borderId="11" xfId="2" applyFont="1" applyBorder="1" applyAlignment="1">
      <alignment horizontal="center" vertical="center"/>
    </xf>
    <xf numFmtId="164" fontId="13" fillId="0" borderId="11" xfId="2" applyFont="1" applyBorder="1" applyAlignment="1">
      <alignment horizontal="center" vertical="center"/>
    </xf>
    <xf numFmtId="164" fontId="18" fillId="0" borderId="11" xfId="2" applyFont="1" applyBorder="1" applyAlignment="1">
      <alignment horizontal="center" vertical="center"/>
    </xf>
    <xf numFmtId="164" fontId="19" fillId="0" borderId="11" xfId="2" applyFont="1" applyBorder="1" applyAlignment="1">
      <alignment horizontal="center" vertical="center"/>
    </xf>
    <xf numFmtId="164" fontId="17" fillId="0" borderId="11" xfId="2" applyFont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3" fillId="2" borderId="0" xfId="0" quotePrefix="1" applyFont="1" applyFill="1" applyAlignment="1">
      <alignment horizontal="left" vertical="top" wrapText="1"/>
    </xf>
    <xf numFmtId="0" fontId="3" fillId="2" borderId="17" xfId="0" quotePrefix="1" applyFont="1" applyFill="1" applyBorder="1" applyAlignment="1">
      <alignment horizontal="left" vertical="top" wrapText="1"/>
    </xf>
    <xf numFmtId="0" fontId="22" fillId="2" borderId="1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16" fontId="22" fillId="2" borderId="1" xfId="1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top"/>
    </xf>
    <xf numFmtId="0" fontId="12" fillId="0" borderId="11" xfId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16" borderId="11" xfId="1" applyFont="1" applyFill="1" applyBorder="1" applyAlignment="1">
      <alignment horizontal="center" vertical="center" wrapText="1"/>
    </xf>
    <xf numFmtId="0" fontId="2" fillId="17" borderId="11" xfId="1" applyFont="1" applyFill="1" applyBorder="1" applyAlignment="1">
      <alignment horizontal="center" vertical="center"/>
    </xf>
    <xf numFmtId="0" fontId="10" fillId="12" borderId="11" xfId="1" applyFont="1" applyFill="1" applyBorder="1" applyAlignment="1">
      <alignment horizontal="center" vertical="center" wrapText="1"/>
    </xf>
    <xf numFmtId="0" fontId="10" fillId="13" borderId="11" xfId="1" applyFont="1" applyFill="1" applyBorder="1" applyAlignment="1">
      <alignment horizontal="center" vertical="center" wrapText="1"/>
    </xf>
    <xf numFmtId="0" fontId="10" fillId="9" borderId="11" xfId="1" applyFont="1" applyFill="1" applyBorder="1" applyAlignment="1">
      <alignment horizontal="center" vertical="center" wrapText="1"/>
    </xf>
    <xf numFmtId="0" fontId="10" fillId="14" borderId="11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10" borderId="11" xfId="1" applyFont="1" applyFill="1" applyBorder="1" applyAlignment="1">
      <alignment horizontal="center" vertical="center" wrapText="1"/>
    </xf>
    <xf numFmtId="0" fontId="10" fillId="8" borderId="11" xfId="1" applyFont="1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164" fontId="25" fillId="2" borderId="0" xfId="0" applyNumberFormat="1" applyFont="1" applyFill="1"/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09F7D4-04CE-401F-8EF0-A60D48F5ADDB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BC0844-746A-44CB-B8F5-0683AA1C6697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7E334B84-916F-4469-A6D5-DCB06376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2D0949E-55D5-4A1A-B5BB-AF436A4A335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ED8E46-2E07-4B04-9B8B-FE528826A01E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542DA5-1831-411E-9F53-E0250400C7E1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A3DC91EE-D94F-4239-A035-E1A72C08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27DDC7-9FA8-4ABA-8BE3-D5E48697044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858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1E046A-3E41-4A2F-9EDA-4DD671EFA2B8}"/>
            </a:ext>
          </a:extLst>
        </xdr:cNvPr>
        <xdr:cNvSpPr txBox="1"/>
      </xdr:nvSpPr>
      <xdr:spPr>
        <a:xfrm>
          <a:off x="3734533" y="1589942"/>
          <a:ext cx="194454" cy="338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F20077-D1D8-46BB-828A-C6B4D3CD3689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EA75B6B7-DC28-448B-AB29-9CD99863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BDA79B-9D60-4B59-95BB-806A098765E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3229F-B02D-485B-9843-B2F25A3B4243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BD52A4-8847-46CB-A0EA-7B33D5DDBEF1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F72D8F8F-CBE5-4DAC-883F-14A0BA26E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BECDE5-053F-4A4A-9ED3-D1CE5765B5F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03CDF191-839D-41EE-BB0B-39F106AEA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42C2D2-45A6-48F0-B346-9E1A381493D6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7F8693-657E-4D33-83C2-445FCA405CF9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35B7725E-5C43-4741-99FA-B463B48C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0CE6E8-A05E-40FE-A374-40DA0336FBB0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45FEB68-5077-48A1-80B8-1A5D1CBA4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2DC8B-B548-46BA-8B95-EA75B3E8ED15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5515F2-23A4-4380-B335-7AC98E692B65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1D0D1237-731F-444D-923C-A0BBD66B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B197BA-D969-4C9A-A0C1-6DF31B4F5323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C547DBF-70FE-419D-8B23-477910CD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ECC9DA-B7D1-4164-B038-1125402D52D2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B87E12-DC6D-4FA4-96B8-06A269C4ECC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2EC3DBBF-1E68-4153-ADE6-5B395DFF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1A6483-F7E4-43E3-A38B-06C31940ADC1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3AEC41-FEB7-46C4-AE24-A5B417CAA5E2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75AE8815-236F-4E53-B0A0-94F57A70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BEF6D-C4D8-4871-86C9-2DECC7580772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12A3113-C0C6-4A54-84AE-FDF704C3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863168-B2F1-47FF-813F-C6901C070638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B20E95-5807-42CE-AA54-04C943E50B0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A4605DFB-EA7B-4D56-B69E-FB3289A38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DC3A95-47A6-4D96-895C-7B3828F40BF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76D497D-4CE3-4522-8592-1715ED41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E9A09D-E31B-4A18-87ED-EC77C162D41B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0F8A1B-36C7-4C3A-BE91-5770FC3F68F0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3D5BB137-7640-4F24-AA3E-5CD61017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D10E20-97BB-482E-BC36-9CBE3F1B647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EE5D1E3-5FFB-4775-95D2-855CBFDA0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EA4D0C-38AF-4F49-AE0D-6C96046DCAD3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6F22BB-8066-4098-A18F-F1DA227B0DC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9DD96B89-A0C2-49E4-9310-408F9D59E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99952-7445-4537-8887-E632AAC107A9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E8E5B9-49E8-4327-A8DC-E3AE1DC0C0B6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4DDD735C-A135-44F3-80DA-6B086DB8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456051-F5DA-477F-8792-64740A0A2C6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3F000E8-4CED-40D0-8D56-02DE8E87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D362C-63EA-4682-8B5D-A76F4982C82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D4BC29-50C4-4720-BB61-3B9A90AB7D08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C3178E2B-6E49-42EC-B6BD-478E1D6D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F27F7D-F0E8-4469-804A-95D8090778FB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3DE930-0A9C-45A7-A3FD-9FEE6676657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2053A8F6-53BD-4C76-815C-CAB3A85F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E6ABA0-7CBD-440B-93EC-E858A419E32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C065D46-25A1-424A-AD32-1688A891A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3FDD12-9BE8-462E-AC0A-DF74D2E53D91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0402BC-004F-45A9-890D-89DA739D7D9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C3F167F1-FF54-4A54-A701-4ED1FF32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C34D5F-455F-4CD8-96A5-556B07BD562E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2ED210D-DD69-499F-8C88-C77CBFA3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385E91-175E-4055-84F4-E097875097CB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371475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E774BEB8-8E16-4F11-A2B6-EA69A568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C1FF27-3D81-4956-8557-7780FCBD0595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4291B65A-A5F5-41B2-857F-64DC58130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77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D8FC38-8CF5-47D6-8EC2-D0E880CABE15}"/>
            </a:ext>
          </a:extLst>
        </xdr:cNvPr>
        <xdr:cNvSpPr txBox="1"/>
      </xdr:nvSpPr>
      <xdr:spPr>
        <a:xfrm>
          <a:off x="3734533" y="1589942"/>
          <a:ext cx="194454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D34543-43C5-444A-BAAA-AA4AA5A238C6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344AE1F7-8229-4491-8740-918EAEE19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6C879F-CDCE-4243-9A3E-830950E9E1F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BFBB3D-26AB-4C85-A6F9-8BADD4838627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B4B9DB5E-6722-4C7E-9FE6-9863E809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7F6F07-6728-42EF-93F8-D713FC917FD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774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1E5243-7E25-49C8-A130-DC6323413764}"/>
            </a:ext>
          </a:extLst>
        </xdr:cNvPr>
        <xdr:cNvSpPr txBox="1"/>
      </xdr:nvSpPr>
      <xdr:spPr>
        <a:xfrm>
          <a:off x="3734533" y="1589942"/>
          <a:ext cx="194454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43E02720-ABB6-4D9F-8F54-8312766E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20311F-1ABB-4F11-95C1-B0AFF0114F6C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84B32668-D60B-4976-8301-BF96A3F8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5B97AC-6C88-4692-98EB-BC814FF35B35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89D3E9-9C6F-4DB5-A7D2-3A9EEC4EED35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62E38D37-D422-4076-8B1B-C262AA910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620C51-8D42-43F5-80C0-3F6DA4907ED4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E7AA28A5-6C3E-460E-8425-3CBC38CB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78B10A-34D6-4E12-99F7-8EFF033274E1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9AC8B1-9E74-4CCD-BF1F-2BA456A15FD4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A2A278A7-AE09-4200-86D2-B03C1BD43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DBC015-9E54-4FCD-8777-B4532EA872AC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A890FB-C8D7-4EF3-8952-1AC78B69391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A2D48B72-1865-4156-8FF7-1240C484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111815-EEBA-4B7F-8948-F541D1B1C6D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2885DA-8F66-4337-9F63-42C90AFDC8B0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250929C8-0F02-4AD1-9B03-4334097B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A594ED-77BA-4BB6-85BA-ED2B829B5397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566C25-5EF2-4432-9F82-1EFEB196E1F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F9214311-3169-4DCC-B3ED-BE6074044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1BBBBF-B1D3-4133-9BBD-212A9DC7392B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8B06A685-76F2-4EA6-ADC8-D928968C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46B83D-A392-41F7-B498-0AA94C4D8B5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D2CE37-385A-4B58-B6F1-1C1B952005DA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73D9047C-DD83-4B6F-888E-FA735058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C03222-515E-46AA-A291-478D5AC7888C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76200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A8774E0-7A8C-488F-922B-AB0B75476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76200"/>
          <a:ext cx="1704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6D3742-4116-47A6-976A-CEE6AFE2E5FD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36F584-DEE4-4E34-BB7B-CA5B527F8957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0A1502A7-53DA-4EBA-9B35-D7442B21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D7CAFB-5A46-48A4-AB64-408FF51DF120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200025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FB30F7A-92F4-4AC4-8D94-D0C88086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2000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0766AD-20DF-41BF-8A48-5F18EEADB24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C9C6B4-6752-4591-928F-9A18262A6A0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96ED1C09-F871-4271-A309-9D64A1D93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408949-7648-4985-A2F4-C463C3505F66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200025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E5B2AC0A-282C-4439-A0DB-CD34F6415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2000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B7DE09-F26E-4ECD-AC7E-01234F39E6A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D89A35-952D-4DF6-B89E-ED3D22F472B3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A9A2B3B8-4271-4631-8EDF-CDF80EFD7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A414A5-EF54-4096-87D6-6E87C0138A7A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200025</xdr:rowOff>
    </xdr:from>
    <xdr:to>
      <xdr:col>10</xdr:col>
      <xdr:colOff>66675</xdr:colOff>
      <xdr:row>2</xdr:row>
      <xdr:rowOff>142875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45CFF196-007F-4AB5-96DE-1B28926E0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2000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287B7-161F-4DE2-B21A-6C49AEDFCAC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8534D6-C6C0-4C7F-87C7-FA63593B2B15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200025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B288B6C1-FF20-4803-9077-4CC20368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2000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E069F8-B9F5-4D82-A295-4F35A7DC3D13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0404DC-D9DA-4B99-B4B6-8EC90B558137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 editAs="oneCell">
    <xdr:from>
      <xdr:col>8</xdr:col>
      <xdr:colOff>523875</xdr:colOff>
      <xdr:row>0</xdr:row>
      <xdr:rowOff>200025</xdr:rowOff>
    </xdr:from>
    <xdr:to>
      <xdr:col>10</xdr:col>
      <xdr:colOff>66675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9E8F6845-B71A-4F83-A42A-D42AF740A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2000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B7D996-0C40-4B0D-9B93-D96B833D11F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CECC3A-3D48-4613-AD15-F00FBF804C97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3C1ACB26-CD40-4777-91DE-68C10F0F3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3600DD-F56F-43BD-90CE-2E6866CE0946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M95"/>
  <sheetViews>
    <sheetView tabSelected="1" zoomScale="85" zoomScaleNormal="85" workbookViewId="0">
      <pane xSplit="2" ySplit="3" topLeftCell="W61" activePane="bottomRight" state="frozen"/>
      <selection pane="topRight" activeCell="C1" sqref="C1"/>
      <selection pane="bottomLeft" activeCell="A4" sqref="A4"/>
      <selection pane="bottomRight" activeCell="B64" sqref="A64:XFD64"/>
    </sheetView>
  </sheetViews>
  <sheetFormatPr defaultRowHeight="15" x14ac:dyDescent="0.25"/>
  <cols>
    <col min="1" max="1" width="3.375" style="30" customWidth="1"/>
    <col min="2" max="2" width="29" style="30" customWidth="1"/>
    <col min="3" max="27" width="11.375" style="30" customWidth="1"/>
    <col min="28" max="33" width="11" style="30" customWidth="1"/>
    <col min="34" max="35" width="10.25" style="30" customWidth="1"/>
    <col min="36" max="37" width="8.125" style="30" customWidth="1"/>
    <col min="38" max="252" width="9.125" style="30"/>
    <col min="253" max="253" width="3.375" style="30" customWidth="1"/>
    <col min="254" max="254" width="32.25" style="30" customWidth="1"/>
    <col min="255" max="255" width="13" style="30" customWidth="1"/>
    <col min="256" max="262" width="9.625" style="30" customWidth="1"/>
    <col min="263" max="264" width="11.375" style="30" customWidth="1"/>
    <col min="265" max="266" width="9.125" style="30"/>
    <col min="267" max="267" width="18.375" style="30" customWidth="1"/>
    <col min="268" max="508" width="9.125" style="30"/>
    <col min="509" max="509" width="3.375" style="30" customWidth="1"/>
    <col min="510" max="510" width="32.25" style="30" customWidth="1"/>
    <col min="511" max="511" width="13" style="30" customWidth="1"/>
    <col min="512" max="518" width="9.625" style="30" customWidth="1"/>
    <col min="519" max="520" width="11.375" style="30" customWidth="1"/>
    <col min="521" max="522" width="9.125" style="30"/>
    <col min="523" max="523" width="18.375" style="30" customWidth="1"/>
    <col min="524" max="764" width="9.125" style="30"/>
    <col min="765" max="765" width="3.375" style="30" customWidth="1"/>
    <col min="766" max="766" width="32.25" style="30" customWidth="1"/>
    <col min="767" max="767" width="13" style="30" customWidth="1"/>
    <col min="768" max="774" width="9.625" style="30" customWidth="1"/>
    <col min="775" max="776" width="11.375" style="30" customWidth="1"/>
    <col min="777" max="778" width="9.125" style="30"/>
    <col min="779" max="779" width="18.375" style="30" customWidth="1"/>
    <col min="780" max="1020" width="9.125" style="30"/>
    <col min="1021" max="1021" width="3.375" style="30" customWidth="1"/>
    <col min="1022" max="1022" width="32.25" style="30" customWidth="1"/>
    <col min="1023" max="1023" width="13" style="30" customWidth="1"/>
    <col min="1024" max="1030" width="9.625" style="30" customWidth="1"/>
    <col min="1031" max="1032" width="11.375" style="30" customWidth="1"/>
    <col min="1033" max="1034" width="9.125" style="30"/>
    <col min="1035" max="1035" width="18.375" style="30" customWidth="1"/>
    <col min="1036" max="1276" width="9.125" style="30"/>
    <col min="1277" max="1277" width="3.375" style="30" customWidth="1"/>
    <col min="1278" max="1278" width="32.25" style="30" customWidth="1"/>
    <col min="1279" max="1279" width="13" style="30" customWidth="1"/>
    <col min="1280" max="1286" width="9.625" style="30" customWidth="1"/>
    <col min="1287" max="1288" width="11.375" style="30" customWidth="1"/>
    <col min="1289" max="1290" width="9.125" style="30"/>
    <col min="1291" max="1291" width="18.375" style="30" customWidth="1"/>
    <col min="1292" max="1532" width="9.125" style="30"/>
    <col min="1533" max="1533" width="3.375" style="30" customWidth="1"/>
    <col min="1534" max="1534" width="32.25" style="30" customWidth="1"/>
    <col min="1535" max="1535" width="13" style="30" customWidth="1"/>
    <col min="1536" max="1542" width="9.625" style="30" customWidth="1"/>
    <col min="1543" max="1544" width="11.375" style="30" customWidth="1"/>
    <col min="1545" max="1546" width="9.125" style="30"/>
    <col min="1547" max="1547" width="18.375" style="30" customWidth="1"/>
    <col min="1548" max="1788" width="9.125" style="30"/>
    <col min="1789" max="1789" width="3.375" style="30" customWidth="1"/>
    <col min="1790" max="1790" width="32.25" style="30" customWidth="1"/>
    <col min="1791" max="1791" width="13" style="30" customWidth="1"/>
    <col min="1792" max="1798" width="9.625" style="30" customWidth="1"/>
    <col min="1799" max="1800" width="11.375" style="30" customWidth="1"/>
    <col min="1801" max="1802" width="9.125" style="30"/>
    <col min="1803" max="1803" width="18.375" style="30" customWidth="1"/>
    <col min="1804" max="2044" width="9.125" style="30"/>
    <col min="2045" max="2045" width="3.375" style="30" customWidth="1"/>
    <col min="2046" max="2046" width="32.25" style="30" customWidth="1"/>
    <col min="2047" max="2047" width="13" style="30" customWidth="1"/>
    <col min="2048" max="2054" width="9.625" style="30" customWidth="1"/>
    <col min="2055" max="2056" width="11.375" style="30" customWidth="1"/>
    <col min="2057" max="2058" width="9.125" style="30"/>
    <col min="2059" max="2059" width="18.375" style="30" customWidth="1"/>
    <col min="2060" max="2300" width="9.125" style="30"/>
    <col min="2301" max="2301" width="3.375" style="30" customWidth="1"/>
    <col min="2302" max="2302" width="32.25" style="30" customWidth="1"/>
    <col min="2303" max="2303" width="13" style="30" customWidth="1"/>
    <col min="2304" max="2310" width="9.625" style="30" customWidth="1"/>
    <col min="2311" max="2312" width="11.375" style="30" customWidth="1"/>
    <col min="2313" max="2314" width="9.125" style="30"/>
    <col min="2315" max="2315" width="18.375" style="30" customWidth="1"/>
    <col min="2316" max="2556" width="9.125" style="30"/>
    <col min="2557" max="2557" width="3.375" style="30" customWidth="1"/>
    <col min="2558" max="2558" width="32.25" style="30" customWidth="1"/>
    <col min="2559" max="2559" width="13" style="30" customWidth="1"/>
    <col min="2560" max="2566" width="9.625" style="30" customWidth="1"/>
    <col min="2567" max="2568" width="11.375" style="30" customWidth="1"/>
    <col min="2569" max="2570" width="9.125" style="30"/>
    <col min="2571" max="2571" width="18.375" style="30" customWidth="1"/>
    <col min="2572" max="2812" width="9.125" style="30"/>
    <col min="2813" max="2813" width="3.375" style="30" customWidth="1"/>
    <col min="2814" max="2814" width="32.25" style="30" customWidth="1"/>
    <col min="2815" max="2815" width="13" style="30" customWidth="1"/>
    <col min="2816" max="2822" width="9.625" style="30" customWidth="1"/>
    <col min="2823" max="2824" width="11.375" style="30" customWidth="1"/>
    <col min="2825" max="2826" width="9.125" style="30"/>
    <col min="2827" max="2827" width="18.375" style="30" customWidth="1"/>
    <col min="2828" max="3068" width="9.125" style="30"/>
    <col min="3069" max="3069" width="3.375" style="30" customWidth="1"/>
    <col min="3070" max="3070" width="32.25" style="30" customWidth="1"/>
    <col min="3071" max="3071" width="13" style="30" customWidth="1"/>
    <col min="3072" max="3078" width="9.625" style="30" customWidth="1"/>
    <col min="3079" max="3080" width="11.375" style="30" customWidth="1"/>
    <col min="3081" max="3082" width="9.125" style="30"/>
    <col min="3083" max="3083" width="18.375" style="30" customWidth="1"/>
    <col min="3084" max="3324" width="9.125" style="30"/>
    <col min="3325" max="3325" width="3.375" style="30" customWidth="1"/>
    <col min="3326" max="3326" width="32.25" style="30" customWidth="1"/>
    <col min="3327" max="3327" width="13" style="30" customWidth="1"/>
    <col min="3328" max="3334" width="9.625" style="30" customWidth="1"/>
    <col min="3335" max="3336" width="11.375" style="30" customWidth="1"/>
    <col min="3337" max="3338" width="9.125" style="30"/>
    <col min="3339" max="3339" width="18.375" style="30" customWidth="1"/>
    <col min="3340" max="3580" width="9.125" style="30"/>
    <col min="3581" max="3581" width="3.375" style="30" customWidth="1"/>
    <col min="3582" max="3582" width="32.25" style="30" customWidth="1"/>
    <col min="3583" max="3583" width="13" style="30" customWidth="1"/>
    <col min="3584" max="3590" width="9.625" style="30" customWidth="1"/>
    <col min="3591" max="3592" width="11.375" style="30" customWidth="1"/>
    <col min="3593" max="3594" width="9.125" style="30"/>
    <col min="3595" max="3595" width="18.375" style="30" customWidth="1"/>
    <col min="3596" max="3836" width="9.125" style="30"/>
    <col min="3837" max="3837" width="3.375" style="30" customWidth="1"/>
    <col min="3838" max="3838" width="32.25" style="30" customWidth="1"/>
    <col min="3839" max="3839" width="13" style="30" customWidth="1"/>
    <col min="3840" max="3846" width="9.625" style="30" customWidth="1"/>
    <col min="3847" max="3848" width="11.375" style="30" customWidth="1"/>
    <col min="3849" max="3850" width="9.125" style="30"/>
    <col min="3851" max="3851" width="18.375" style="30" customWidth="1"/>
    <col min="3852" max="4092" width="9.125" style="30"/>
    <col min="4093" max="4093" width="3.375" style="30" customWidth="1"/>
    <col min="4094" max="4094" width="32.25" style="30" customWidth="1"/>
    <col min="4095" max="4095" width="13" style="30" customWidth="1"/>
    <col min="4096" max="4102" width="9.625" style="30" customWidth="1"/>
    <col min="4103" max="4104" width="11.375" style="30" customWidth="1"/>
    <col min="4105" max="4106" width="9.125" style="30"/>
    <col min="4107" max="4107" width="18.375" style="30" customWidth="1"/>
    <col min="4108" max="4348" width="9.125" style="30"/>
    <col min="4349" max="4349" width="3.375" style="30" customWidth="1"/>
    <col min="4350" max="4350" width="32.25" style="30" customWidth="1"/>
    <col min="4351" max="4351" width="13" style="30" customWidth="1"/>
    <col min="4352" max="4358" width="9.625" style="30" customWidth="1"/>
    <col min="4359" max="4360" width="11.375" style="30" customWidth="1"/>
    <col min="4361" max="4362" width="9.125" style="30"/>
    <col min="4363" max="4363" width="18.375" style="30" customWidth="1"/>
    <col min="4364" max="4604" width="9.125" style="30"/>
    <col min="4605" max="4605" width="3.375" style="30" customWidth="1"/>
    <col min="4606" max="4606" width="32.25" style="30" customWidth="1"/>
    <col min="4607" max="4607" width="13" style="30" customWidth="1"/>
    <col min="4608" max="4614" width="9.625" style="30" customWidth="1"/>
    <col min="4615" max="4616" width="11.375" style="30" customWidth="1"/>
    <col min="4617" max="4618" width="9.125" style="30"/>
    <col min="4619" max="4619" width="18.375" style="30" customWidth="1"/>
    <col min="4620" max="4860" width="9.125" style="30"/>
    <col min="4861" max="4861" width="3.375" style="30" customWidth="1"/>
    <col min="4862" max="4862" width="32.25" style="30" customWidth="1"/>
    <col min="4863" max="4863" width="13" style="30" customWidth="1"/>
    <col min="4864" max="4870" width="9.625" style="30" customWidth="1"/>
    <col min="4871" max="4872" width="11.375" style="30" customWidth="1"/>
    <col min="4873" max="4874" width="9.125" style="30"/>
    <col min="4875" max="4875" width="18.375" style="30" customWidth="1"/>
    <col min="4876" max="5116" width="9.125" style="30"/>
    <col min="5117" max="5117" width="3.375" style="30" customWidth="1"/>
    <col min="5118" max="5118" width="32.25" style="30" customWidth="1"/>
    <col min="5119" max="5119" width="13" style="30" customWidth="1"/>
    <col min="5120" max="5126" width="9.625" style="30" customWidth="1"/>
    <col min="5127" max="5128" width="11.375" style="30" customWidth="1"/>
    <col min="5129" max="5130" width="9.125" style="30"/>
    <col min="5131" max="5131" width="18.375" style="30" customWidth="1"/>
    <col min="5132" max="5372" width="9.125" style="30"/>
    <col min="5373" max="5373" width="3.375" style="30" customWidth="1"/>
    <col min="5374" max="5374" width="32.25" style="30" customWidth="1"/>
    <col min="5375" max="5375" width="13" style="30" customWidth="1"/>
    <col min="5376" max="5382" width="9.625" style="30" customWidth="1"/>
    <col min="5383" max="5384" width="11.375" style="30" customWidth="1"/>
    <col min="5385" max="5386" width="9.125" style="30"/>
    <col min="5387" max="5387" width="18.375" style="30" customWidth="1"/>
    <col min="5388" max="5628" width="9.125" style="30"/>
    <col min="5629" max="5629" width="3.375" style="30" customWidth="1"/>
    <col min="5630" max="5630" width="32.25" style="30" customWidth="1"/>
    <col min="5631" max="5631" width="13" style="30" customWidth="1"/>
    <col min="5632" max="5638" width="9.625" style="30" customWidth="1"/>
    <col min="5639" max="5640" width="11.375" style="30" customWidth="1"/>
    <col min="5641" max="5642" width="9.125" style="30"/>
    <col min="5643" max="5643" width="18.375" style="30" customWidth="1"/>
    <col min="5644" max="5884" width="9.125" style="30"/>
    <col min="5885" max="5885" width="3.375" style="30" customWidth="1"/>
    <col min="5886" max="5886" width="32.25" style="30" customWidth="1"/>
    <col min="5887" max="5887" width="13" style="30" customWidth="1"/>
    <col min="5888" max="5894" width="9.625" style="30" customWidth="1"/>
    <col min="5895" max="5896" width="11.375" style="30" customWidth="1"/>
    <col min="5897" max="5898" width="9.125" style="30"/>
    <col min="5899" max="5899" width="18.375" style="30" customWidth="1"/>
    <col min="5900" max="6140" width="9.125" style="30"/>
    <col min="6141" max="6141" width="3.375" style="30" customWidth="1"/>
    <col min="6142" max="6142" width="32.25" style="30" customWidth="1"/>
    <col min="6143" max="6143" width="13" style="30" customWidth="1"/>
    <col min="6144" max="6150" width="9.625" style="30" customWidth="1"/>
    <col min="6151" max="6152" width="11.375" style="30" customWidth="1"/>
    <col min="6153" max="6154" width="9.125" style="30"/>
    <col min="6155" max="6155" width="18.375" style="30" customWidth="1"/>
    <col min="6156" max="6396" width="9.125" style="30"/>
    <col min="6397" max="6397" width="3.375" style="30" customWidth="1"/>
    <col min="6398" max="6398" width="32.25" style="30" customWidth="1"/>
    <col min="6399" max="6399" width="13" style="30" customWidth="1"/>
    <col min="6400" max="6406" width="9.625" style="30" customWidth="1"/>
    <col min="6407" max="6408" width="11.375" style="30" customWidth="1"/>
    <col min="6409" max="6410" width="9.125" style="30"/>
    <col min="6411" max="6411" width="18.375" style="30" customWidth="1"/>
    <col min="6412" max="6652" width="9.125" style="30"/>
    <col min="6653" max="6653" width="3.375" style="30" customWidth="1"/>
    <col min="6654" max="6654" width="32.25" style="30" customWidth="1"/>
    <col min="6655" max="6655" width="13" style="30" customWidth="1"/>
    <col min="6656" max="6662" width="9.625" style="30" customWidth="1"/>
    <col min="6663" max="6664" width="11.375" style="30" customWidth="1"/>
    <col min="6665" max="6666" width="9.125" style="30"/>
    <col min="6667" max="6667" width="18.375" style="30" customWidth="1"/>
    <col min="6668" max="6908" width="9.125" style="30"/>
    <col min="6909" max="6909" width="3.375" style="30" customWidth="1"/>
    <col min="6910" max="6910" width="32.25" style="30" customWidth="1"/>
    <col min="6911" max="6911" width="13" style="30" customWidth="1"/>
    <col min="6912" max="6918" width="9.625" style="30" customWidth="1"/>
    <col min="6919" max="6920" width="11.375" style="30" customWidth="1"/>
    <col min="6921" max="6922" width="9.125" style="30"/>
    <col min="6923" max="6923" width="18.375" style="30" customWidth="1"/>
    <col min="6924" max="7164" width="9.125" style="30"/>
    <col min="7165" max="7165" width="3.375" style="30" customWidth="1"/>
    <col min="7166" max="7166" width="32.25" style="30" customWidth="1"/>
    <col min="7167" max="7167" width="13" style="30" customWidth="1"/>
    <col min="7168" max="7174" width="9.625" style="30" customWidth="1"/>
    <col min="7175" max="7176" width="11.375" style="30" customWidth="1"/>
    <col min="7177" max="7178" width="9.125" style="30"/>
    <col min="7179" max="7179" width="18.375" style="30" customWidth="1"/>
    <col min="7180" max="7420" width="9.125" style="30"/>
    <col min="7421" max="7421" width="3.375" style="30" customWidth="1"/>
    <col min="7422" max="7422" width="32.25" style="30" customWidth="1"/>
    <col min="7423" max="7423" width="13" style="30" customWidth="1"/>
    <col min="7424" max="7430" width="9.625" style="30" customWidth="1"/>
    <col min="7431" max="7432" width="11.375" style="30" customWidth="1"/>
    <col min="7433" max="7434" width="9.125" style="30"/>
    <col min="7435" max="7435" width="18.375" style="30" customWidth="1"/>
    <col min="7436" max="7676" width="9.125" style="30"/>
    <col min="7677" max="7677" width="3.375" style="30" customWidth="1"/>
    <col min="7678" max="7678" width="32.25" style="30" customWidth="1"/>
    <col min="7679" max="7679" width="13" style="30" customWidth="1"/>
    <col min="7680" max="7686" width="9.625" style="30" customWidth="1"/>
    <col min="7687" max="7688" width="11.375" style="30" customWidth="1"/>
    <col min="7689" max="7690" width="9.125" style="30"/>
    <col min="7691" max="7691" width="18.375" style="30" customWidth="1"/>
    <col min="7692" max="7932" width="9.125" style="30"/>
    <col min="7933" max="7933" width="3.375" style="30" customWidth="1"/>
    <col min="7934" max="7934" width="32.25" style="30" customWidth="1"/>
    <col min="7935" max="7935" width="13" style="30" customWidth="1"/>
    <col min="7936" max="7942" width="9.625" style="30" customWidth="1"/>
    <col min="7943" max="7944" width="11.375" style="30" customWidth="1"/>
    <col min="7945" max="7946" width="9.125" style="30"/>
    <col min="7947" max="7947" width="18.375" style="30" customWidth="1"/>
    <col min="7948" max="8188" width="9.125" style="30"/>
    <col min="8189" max="8189" width="3.375" style="30" customWidth="1"/>
    <col min="8190" max="8190" width="32.25" style="30" customWidth="1"/>
    <col min="8191" max="8191" width="13" style="30" customWidth="1"/>
    <col min="8192" max="8198" width="9.625" style="30" customWidth="1"/>
    <col min="8199" max="8200" width="11.375" style="30" customWidth="1"/>
    <col min="8201" max="8202" width="9.125" style="30"/>
    <col min="8203" max="8203" width="18.375" style="30" customWidth="1"/>
    <col min="8204" max="8444" width="9.125" style="30"/>
    <col min="8445" max="8445" width="3.375" style="30" customWidth="1"/>
    <col min="8446" max="8446" width="32.25" style="30" customWidth="1"/>
    <col min="8447" max="8447" width="13" style="30" customWidth="1"/>
    <col min="8448" max="8454" width="9.625" style="30" customWidth="1"/>
    <col min="8455" max="8456" width="11.375" style="30" customWidth="1"/>
    <col min="8457" max="8458" width="9.125" style="30"/>
    <col min="8459" max="8459" width="18.375" style="30" customWidth="1"/>
    <col min="8460" max="8700" width="9.125" style="30"/>
    <col min="8701" max="8701" width="3.375" style="30" customWidth="1"/>
    <col min="8702" max="8702" width="32.25" style="30" customWidth="1"/>
    <col min="8703" max="8703" width="13" style="30" customWidth="1"/>
    <col min="8704" max="8710" width="9.625" style="30" customWidth="1"/>
    <col min="8711" max="8712" width="11.375" style="30" customWidth="1"/>
    <col min="8713" max="8714" width="9.125" style="30"/>
    <col min="8715" max="8715" width="18.375" style="30" customWidth="1"/>
    <col min="8716" max="8956" width="9.125" style="30"/>
    <col min="8957" max="8957" width="3.375" style="30" customWidth="1"/>
    <col min="8958" max="8958" width="32.25" style="30" customWidth="1"/>
    <col min="8959" max="8959" width="13" style="30" customWidth="1"/>
    <col min="8960" max="8966" width="9.625" style="30" customWidth="1"/>
    <col min="8967" max="8968" width="11.375" style="30" customWidth="1"/>
    <col min="8969" max="8970" width="9.125" style="30"/>
    <col min="8971" max="8971" width="18.375" style="30" customWidth="1"/>
    <col min="8972" max="9212" width="9.125" style="30"/>
    <col min="9213" max="9213" width="3.375" style="30" customWidth="1"/>
    <col min="9214" max="9214" width="32.25" style="30" customWidth="1"/>
    <col min="9215" max="9215" width="13" style="30" customWidth="1"/>
    <col min="9216" max="9222" width="9.625" style="30" customWidth="1"/>
    <col min="9223" max="9224" width="11.375" style="30" customWidth="1"/>
    <col min="9225" max="9226" width="9.125" style="30"/>
    <col min="9227" max="9227" width="18.375" style="30" customWidth="1"/>
    <col min="9228" max="9468" width="9.125" style="30"/>
    <col min="9469" max="9469" width="3.375" style="30" customWidth="1"/>
    <col min="9470" max="9470" width="32.25" style="30" customWidth="1"/>
    <col min="9471" max="9471" width="13" style="30" customWidth="1"/>
    <col min="9472" max="9478" width="9.625" style="30" customWidth="1"/>
    <col min="9479" max="9480" width="11.375" style="30" customWidth="1"/>
    <col min="9481" max="9482" width="9.125" style="30"/>
    <col min="9483" max="9483" width="18.375" style="30" customWidth="1"/>
    <col min="9484" max="9724" width="9.125" style="30"/>
    <col min="9725" max="9725" width="3.375" style="30" customWidth="1"/>
    <col min="9726" max="9726" width="32.25" style="30" customWidth="1"/>
    <col min="9727" max="9727" width="13" style="30" customWidth="1"/>
    <col min="9728" max="9734" width="9.625" style="30" customWidth="1"/>
    <col min="9735" max="9736" width="11.375" style="30" customWidth="1"/>
    <col min="9737" max="9738" width="9.125" style="30"/>
    <col min="9739" max="9739" width="18.375" style="30" customWidth="1"/>
    <col min="9740" max="9980" width="9.125" style="30"/>
    <col min="9981" max="9981" width="3.375" style="30" customWidth="1"/>
    <col min="9982" max="9982" width="32.25" style="30" customWidth="1"/>
    <col min="9983" max="9983" width="13" style="30" customWidth="1"/>
    <col min="9984" max="9990" width="9.625" style="30" customWidth="1"/>
    <col min="9991" max="9992" width="11.375" style="30" customWidth="1"/>
    <col min="9993" max="9994" width="9.125" style="30"/>
    <col min="9995" max="9995" width="18.375" style="30" customWidth="1"/>
    <col min="9996" max="10236" width="9.125" style="30"/>
    <col min="10237" max="10237" width="3.375" style="30" customWidth="1"/>
    <col min="10238" max="10238" width="32.25" style="30" customWidth="1"/>
    <col min="10239" max="10239" width="13" style="30" customWidth="1"/>
    <col min="10240" max="10246" width="9.625" style="30" customWidth="1"/>
    <col min="10247" max="10248" width="11.375" style="30" customWidth="1"/>
    <col min="10249" max="10250" width="9.125" style="30"/>
    <col min="10251" max="10251" width="18.375" style="30" customWidth="1"/>
    <col min="10252" max="10492" width="9.125" style="30"/>
    <col min="10493" max="10493" width="3.375" style="30" customWidth="1"/>
    <col min="10494" max="10494" width="32.25" style="30" customWidth="1"/>
    <col min="10495" max="10495" width="13" style="30" customWidth="1"/>
    <col min="10496" max="10502" width="9.625" style="30" customWidth="1"/>
    <col min="10503" max="10504" width="11.375" style="30" customWidth="1"/>
    <col min="10505" max="10506" width="9.125" style="30"/>
    <col min="10507" max="10507" width="18.375" style="30" customWidth="1"/>
    <col min="10508" max="10748" width="9.125" style="30"/>
    <col min="10749" max="10749" width="3.375" style="30" customWidth="1"/>
    <col min="10750" max="10750" width="32.25" style="30" customWidth="1"/>
    <col min="10751" max="10751" width="13" style="30" customWidth="1"/>
    <col min="10752" max="10758" width="9.625" style="30" customWidth="1"/>
    <col min="10759" max="10760" width="11.375" style="30" customWidth="1"/>
    <col min="10761" max="10762" width="9.125" style="30"/>
    <col min="10763" max="10763" width="18.375" style="30" customWidth="1"/>
    <col min="10764" max="11004" width="9.125" style="30"/>
    <col min="11005" max="11005" width="3.375" style="30" customWidth="1"/>
    <col min="11006" max="11006" width="32.25" style="30" customWidth="1"/>
    <col min="11007" max="11007" width="13" style="30" customWidth="1"/>
    <col min="11008" max="11014" width="9.625" style="30" customWidth="1"/>
    <col min="11015" max="11016" width="11.375" style="30" customWidth="1"/>
    <col min="11017" max="11018" width="9.125" style="30"/>
    <col min="11019" max="11019" width="18.375" style="30" customWidth="1"/>
    <col min="11020" max="11260" width="9.125" style="30"/>
    <col min="11261" max="11261" width="3.375" style="30" customWidth="1"/>
    <col min="11262" max="11262" width="32.25" style="30" customWidth="1"/>
    <col min="11263" max="11263" width="13" style="30" customWidth="1"/>
    <col min="11264" max="11270" width="9.625" style="30" customWidth="1"/>
    <col min="11271" max="11272" width="11.375" style="30" customWidth="1"/>
    <col min="11273" max="11274" width="9.125" style="30"/>
    <col min="11275" max="11275" width="18.375" style="30" customWidth="1"/>
    <col min="11276" max="11516" width="9.125" style="30"/>
    <col min="11517" max="11517" width="3.375" style="30" customWidth="1"/>
    <col min="11518" max="11518" width="32.25" style="30" customWidth="1"/>
    <col min="11519" max="11519" width="13" style="30" customWidth="1"/>
    <col min="11520" max="11526" width="9.625" style="30" customWidth="1"/>
    <col min="11527" max="11528" width="11.375" style="30" customWidth="1"/>
    <col min="11529" max="11530" width="9.125" style="30"/>
    <col min="11531" max="11531" width="18.375" style="30" customWidth="1"/>
    <col min="11532" max="11772" width="9.125" style="30"/>
    <col min="11773" max="11773" width="3.375" style="30" customWidth="1"/>
    <col min="11774" max="11774" width="32.25" style="30" customWidth="1"/>
    <col min="11775" max="11775" width="13" style="30" customWidth="1"/>
    <col min="11776" max="11782" width="9.625" style="30" customWidth="1"/>
    <col min="11783" max="11784" width="11.375" style="30" customWidth="1"/>
    <col min="11785" max="11786" width="9.125" style="30"/>
    <col min="11787" max="11787" width="18.375" style="30" customWidth="1"/>
    <col min="11788" max="12028" width="9.125" style="30"/>
    <col min="12029" max="12029" width="3.375" style="30" customWidth="1"/>
    <col min="12030" max="12030" width="32.25" style="30" customWidth="1"/>
    <col min="12031" max="12031" width="13" style="30" customWidth="1"/>
    <col min="12032" max="12038" width="9.625" style="30" customWidth="1"/>
    <col min="12039" max="12040" width="11.375" style="30" customWidth="1"/>
    <col min="12041" max="12042" width="9.125" style="30"/>
    <col min="12043" max="12043" width="18.375" style="30" customWidth="1"/>
    <col min="12044" max="12284" width="9.125" style="30"/>
    <col min="12285" max="12285" width="3.375" style="30" customWidth="1"/>
    <col min="12286" max="12286" width="32.25" style="30" customWidth="1"/>
    <col min="12287" max="12287" width="13" style="30" customWidth="1"/>
    <col min="12288" max="12294" width="9.625" style="30" customWidth="1"/>
    <col min="12295" max="12296" width="11.375" style="30" customWidth="1"/>
    <col min="12297" max="12298" width="9.125" style="30"/>
    <col min="12299" max="12299" width="18.375" style="30" customWidth="1"/>
    <col min="12300" max="12540" width="9.125" style="30"/>
    <col min="12541" max="12541" width="3.375" style="30" customWidth="1"/>
    <col min="12542" max="12542" width="32.25" style="30" customWidth="1"/>
    <col min="12543" max="12543" width="13" style="30" customWidth="1"/>
    <col min="12544" max="12550" width="9.625" style="30" customWidth="1"/>
    <col min="12551" max="12552" width="11.375" style="30" customWidth="1"/>
    <col min="12553" max="12554" width="9.125" style="30"/>
    <col min="12555" max="12555" width="18.375" style="30" customWidth="1"/>
    <col min="12556" max="12796" width="9.125" style="30"/>
    <col min="12797" max="12797" width="3.375" style="30" customWidth="1"/>
    <col min="12798" max="12798" width="32.25" style="30" customWidth="1"/>
    <col min="12799" max="12799" width="13" style="30" customWidth="1"/>
    <col min="12800" max="12806" width="9.625" style="30" customWidth="1"/>
    <col min="12807" max="12808" width="11.375" style="30" customWidth="1"/>
    <col min="12809" max="12810" width="9.125" style="30"/>
    <col min="12811" max="12811" width="18.375" style="30" customWidth="1"/>
    <col min="12812" max="13052" width="9.125" style="30"/>
    <col min="13053" max="13053" width="3.375" style="30" customWidth="1"/>
    <col min="13054" max="13054" width="32.25" style="30" customWidth="1"/>
    <col min="13055" max="13055" width="13" style="30" customWidth="1"/>
    <col min="13056" max="13062" width="9.625" style="30" customWidth="1"/>
    <col min="13063" max="13064" width="11.375" style="30" customWidth="1"/>
    <col min="13065" max="13066" width="9.125" style="30"/>
    <col min="13067" max="13067" width="18.375" style="30" customWidth="1"/>
    <col min="13068" max="13308" width="9.125" style="30"/>
    <col min="13309" max="13309" width="3.375" style="30" customWidth="1"/>
    <col min="13310" max="13310" width="32.25" style="30" customWidth="1"/>
    <col min="13311" max="13311" width="13" style="30" customWidth="1"/>
    <col min="13312" max="13318" width="9.625" style="30" customWidth="1"/>
    <col min="13319" max="13320" width="11.375" style="30" customWidth="1"/>
    <col min="13321" max="13322" width="9.125" style="30"/>
    <col min="13323" max="13323" width="18.375" style="30" customWidth="1"/>
    <col min="13324" max="13564" width="9.125" style="30"/>
    <col min="13565" max="13565" width="3.375" style="30" customWidth="1"/>
    <col min="13566" max="13566" width="32.25" style="30" customWidth="1"/>
    <col min="13567" max="13567" width="13" style="30" customWidth="1"/>
    <col min="13568" max="13574" width="9.625" style="30" customWidth="1"/>
    <col min="13575" max="13576" width="11.375" style="30" customWidth="1"/>
    <col min="13577" max="13578" width="9.125" style="30"/>
    <col min="13579" max="13579" width="18.375" style="30" customWidth="1"/>
    <col min="13580" max="13820" width="9.125" style="30"/>
    <col min="13821" max="13821" width="3.375" style="30" customWidth="1"/>
    <col min="13822" max="13822" width="32.25" style="30" customWidth="1"/>
    <col min="13823" max="13823" width="13" style="30" customWidth="1"/>
    <col min="13824" max="13830" width="9.625" style="30" customWidth="1"/>
    <col min="13831" max="13832" width="11.375" style="30" customWidth="1"/>
    <col min="13833" max="13834" width="9.125" style="30"/>
    <col min="13835" max="13835" width="18.375" style="30" customWidth="1"/>
    <col min="13836" max="14076" width="9.125" style="30"/>
    <col min="14077" max="14077" width="3.375" style="30" customWidth="1"/>
    <col min="14078" max="14078" width="32.25" style="30" customWidth="1"/>
    <col min="14079" max="14079" width="13" style="30" customWidth="1"/>
    <col min="14080" max="14086" width="9.625" style="30" customWidth="1"/>
    <col min="14087" max="14088" width="11.375" style="30" customWidth="1"/>
    <col min="14089" max="14090" width="9.125" style="30"/>
    <col min="14091" max="14091" width="18.375" style="30" customWidth="1"/>
    <col min="14092" max="14332" width="9.125" style="30"/>
    <col min="14333" max="14333" width="3.375" style="30" customWidth="1"/>
    <col min="14334" max="14334" width="32.25" style="30" customWidth="1"/>
    <col min="14335" max="14335" width="13" style="30" customWidth="1"/>
    <col min="14336" max="14342" width="9.625" style="30" customWidth="1"/>
    <col min="14343" max="14344" width="11.375" style="30" customWidth="1"/>
    <col min="14345" max="14346" width="9.125" style="30"/>
    <col min="14347" max="14347" width="18.375" style="30" customWidth="1"/>
    <col min="14348" max="14588" width="9.125" style="30"/>
    <col min="14589" max="14589" width="3.375" style="30" customWidth="1"/>
    <col min="14590" max="14590" width="32.25" style="30" customWidth="1"/>
    <col min="14591" max="14591" width="13" style="30" customWidth="1"/>
    <col min="14592" max="14598" width="9.625" style="30" customWidth="1"/>
    <col min="14599" max="14600" width="11.375" style="30" customWidth="1"/>
    <col min="14601" max="14602" width="9.125" style="30"/>
    <col min="14603" max="14603" width="18.375" style="30" customWidth="1"/>
    <col min="14604" max="14844" width="9.125" style="30"/>
    <col min="14845" max="14845" width="3.375" style="30" customWidth="1"/>
    <col min="14846" max="14846" width="32.25" style="30" customWidth="1"/>
    <col min="14847" max="14847" width="13" style="30" customWidth="1"/>
    <col min="14848" max="14854" width="9.625" style="30" customWidth="1"/>
    <col min="14855" max="14856" width="11.375" style="30" customWidth="1"/>
    <col min="14857" max="14858" width="9.125" style="30"/>
    <col min="14859" max="14859" width="18.375" style="30" customWidth="1"/>
    <col min="14860" max="15100" width="9.125" style="30"/>
    <col min="15101" max="15101" width="3.375" style="30" customWidth="1"/>
    <col min="15102" max="15102" width="32.25" style="30" customWidth="1"/>
    <col min="15103" max="15103" width="13" style="30" customWidth="1"/>
    <col min="15104" max="15110" width="9.625" style="30" customWidth="1"/>
    <col min="15111" max="15112" width="11.375" style="30" customWidth="1"/>
    <col min="15113" max="15114" width="9.125" style="30"/>
    <col min="15115" max="15115" width="18.375" style="30" customWidth="1"/>
    <col min="15116" max="15356" width="9.125" style="30"/>
    <col min="15357" max="15357" width="3.375" style="30" customWidth="1"/>
    <col min="15358" max="15358" width="32.25" style="30" customWidth="1"/>
    <col min="15359" max="15359" width="13" style="30" customWidth="1"/>
    <col min="15360" max="15366" width="9.625" style="30" customWidth="1"/>
    <col min="15367" max="15368" width="11.375" style="30" customWidth="1"/>
    <col min="15369" max="15370" width="9.125" style="30"/>
    <col min="15371" max="15371" width="18.375" style="30" customWidth="1"/>
    <col min="15372" max="15612" width="9.125" style="30"/>
    <col min="15613" max="15613" width="3.375" style="30" customWidth="1"/>
    <col min="15614" max="15614" width="32.25" style="30" customWidth="1"/>
    <col min="15615" max="15615" width="13" style="30" customWidth="1"/>
    <col min="15616" max="15622" width="9.625" style="30" customWidth="1"/>
    <col min="15623" max="15624" width="11.375" style="30" customWidth="1"/>
    <col min="15625" max="15626" width="9.125" style="30"/>
    <col min="15627" max="15627" width="18.375" style="30" customWidth="1"/>
    <col min="15628" max="15868" width="9.125" style="30"/>
    <col min="15869" max="15869" width="3.375" style="30" customWidth="1"/>
    <col min="15870" max="15870" width="32.25" style="30" customWidth="1"/>
    <col min="15871" max="15871" width="13" style="30" customWidth="1"/>
    <col min="15872" max="15878" width="9.625" style="30" customWidth="1"/>
    <col min="15879" max="15880" width="11.375" style="30" customWidth="1"/>
    <col min="15881" max="15882" width="9.125" style="30"/>
    <col min="15883" max="15883" width="18.375" style="30" customWidth="1"/>
    <col min="15884" max="16124" width="9.125" style="30"/>
    <col min="16125" max="16125" width="3.375" style="30" customWidth="1"/>
    <col min="16126" max="16126" width="32.25" style="30" customWidth="1"/>
    <col min="16127" max="16127" width="13" style="30" customWidth="1"/>
    <col min="16128" max="16134" width="9.625" style="30" customWidth="1"/>
    <col min="16135" max="16136" width="11.375" style="30" customWidth="1"/>
    <col min="16137" max="16138" width="9.125" style="30"/>
    <col min="16139" max="16139" width="18.375" style="30" customWidth="1"/>
    <col min="16140" max="16384" width="9.125" style="30"/>
  </cols>
  <sheetData>
    <row r="1" spans="1:37" ht="18.75" x14ac:dyDescent="0.3">
      <c r="A1" s="105" t="s">
        <v>101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</row>
    <row r="2" spans="1:37" ht="18.75" x14ac:dyDescent="0.3">
      <c r="A2" s="106" t="s">
        <v>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</row>
    <row r="3" spans="1:37" ht="19.5" thickBot="1" x14ac:dyDescent="0.35">
      <c r="A3" s="107" t="s">
        <v>130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</row>
    <row r="4" spans="1:37" ht="15" customHeight="1" x14ac:dyDescent="0.25">
      <c r="A4" s="108" t="s">
        <v>1</v>
      </c>
      <c r="B4" s="111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101" t="s">
        <v>102</v>
      </c>
      <c r="AI4" s="104" t="s">
        <v>100</v>
      </c>
    </row>
    <row r="5" spans="1:37" x14ac:dyDescent="0.25">
      <c r="A5" s="109"/>
      <c r="B5" s="112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  <c r="AH5" s="102"/>
      <c r="AI5" s="102"/>
    </row>
    <row r="6" spans="1:37" ht="27" customHeight="1" thickBot="1" x14ac:dyDescent="0.3">
      <c r="A6" s="110"/>
      <c r="B6" s="11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103"/>
      <c r="AI6" s="103"/>
    </row>
    <row r="7" spans="1:37" x14ac:dyDescent="0.25">
      <c r="A7" s="114">
        <v>1</v>
      </c>
      <c r="B7" s="19" t="s">
        <v>3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20"/>
      <c r="AI7" s="31"/>
    </row>
    <row r="8" spans="1:37" x14ac:dyDescent="0.25">
      <c r="A8" s="97"/>
      <c r="B8" s="11" t="s">
        <v>115</v>
      </c>
      <c r="C8" s="12">
        <f>'01'!K8</f>
        <v>13428.571428571429</v>
      </c>
      <c r="D8" s="12">
        <f>'02'!K8</f>
        <v>13357.142857142857</v>
      </c>
      <c r="E8" s="12">
        <f>'03'!K8</f>
        <v>13357.142857142857</v>
      </c>
      <c r="F8" s="12">
        <f>'04'!K8</f>
        <v>13357.142857142857</v>
      </c>
      <c r="G8" s="12">
        <f>'05'!K8</f>
        <v>13357.142857142857</v>
      </c>
      <c r="H8" s="12">
        <f>'06'!K8</f>
        <v>13357.142857142857</v>
      </c>
      <c r="I8" s="12">
        <f>'07'!K8</f>
        <v>13357.142857142857</v>
      </c>
      <c r="J8" s="12">
        <f>'08'!K8</f>
        <v>13357.142857142857</v>
      </c>
      <c r="K8" s="12">
        <f>'09'!K8</f>
        <v>13357.142857142857</v>
      </c>
      <c r="L8" s="12">
        <f>'10'!K8</f>
        <v>13357.142857142857</v>
      </c>
      <c r="M8" s="12">
        <f>'11'!K8</f>
        <v>13357.142857142857</v>
      </c>
      <c r="N8" s="12">
        <f>'12'!K8</f>
        <v>13571.428571428571</v>
      </c>
      <c r="O8" s="12">
        <f>'13'!K8</f>
        <v>13642.857142857143</v>
      </c>
      <c r="P8" s="12">
        <f>'14'!K8</f>
        <v>13714.285714285714</v>
      </c>
      <c r="Q8" s="12">
        <f>'15'!K8</f>
        <v>13714.285714285714</v>
      </c>
      <c r="R8" s="12">
        <f>'16'!K8</f>
        <v>13714.285714285714</v>
      </c>
      <c r="S8" s="12">
        <f>'17'!K8</f>
        <v>13714.285714285714</v>
      </c>
      <c r="T8" s="12">
        <f>'18'!K8</f>
        <v>13642.857142857143</v>
      </c>
      <c r="U8" s="12">
        <f>'19'!K8</f>
        <v>13642.857142857143</v>
      </c>
      <c r="V8" s="12">
        <f>'20'!K8</f>
        <v>13714.285714285714</v>
      </c>
      <c r="W8" s="12">
        <f>'21'!K8</f>
        <v>13714.285714285714</v>
      </c>
      <c r="X8" s="12">
        <f>'22'!K8</f>
        <v>13714.285714285714</v>
      </c>
      <c r="Y8" s="12">
        <f>'23'!K8</f>
        <v>13714.285714285714</v>
      </c>
      <c r="Z8" s="12">
        <f>'24'!K8</f>
        <v>13714.285714285714</v>
      </c>
      <c r="AA8" s="12">
        <f>'25'!K8</f>
        <v>13714.285714285714</v>
      </c>
      <c r="AB8" s="12">
        <f>'26'!K8</f>
        <v>13714.285714285714</v>
      </c>
      <c r="AC8" s="12">
        <f>'27'!K8</f>
        <v>13714.285714285714</v>
      </c>
      <c r="AD8" s="12">
        <f>'28'!K8</f>
        <v>13714.285714285714</v>
      </c>
      <c r="AE8" s="12">
        <f>'29'!K8</f>
        <v>13714.285714285714</v>
      </c>
      <c r="AF8" s="12">
        <f>'30'!K8</f>
        <v>13714.285714285714</v>
      </c>
      <c r="AG8" s="12">
        <f>'31'!K8</f>
        <v>13714.285714285714</v>
      </c>
      <c r="AH8" s="12">
        <v>12800</v>
      </c>
      <c r="AI8" s="12">
        <f>AG8-C8</f>
        <v>285.71428571428442</v>
      </c>
      <c r="AJ8" s="130">
        <f>AVERAGE(C8:AG8)</f>
        <v>13578.341013824893</v>
      </c>
    </row>
    <row r="9" spans="1:37" x14ac:dyDescent="0.25">
      <c r="A9" s="97"/>
      <c r="B9" s="11" t="s">
        <v>126</v>
      </c>
      <c r="C9" s="12">
        <f>'01'!K9</f>
        <v>10783.333333333334</v>
      </c>
      <c r="D9" s="12">
        <f>'02'!K9</f>
        <v>10850</v>
      </c>
      <c r="E9" s="12">
        <f>'03'!K9</f>
        <v>10850</v>
      </c>
      <c r="F9" s="12">
        <f>'04'!K9</f>
        <v>10850</v>
      </c>
      <c r="G9" s="12">
        <f>'05'!K9</f>
        <v>10850</v>
      </c>
      <c r="H9" s="12">
        <f>'06'!K9</f>
        <v>10850</v>
      </c>
      <c r="I9" s="12">
        <f>'07'!K9</f>
        <v>10850</v>
      </c>
      <c r="J9" s="12">
        <f>'08'!K9</f>
        <v>10916.666666666666</v>
      </c>
      <c r="K9" s="12">
        <f>'09'!K9</f>
        <v>10916.666666666666</v>
      </c>
      <c r="L9" s="12">
        <f>'10'!K9</f>
        <v>10916.666666666666</v>
      </c>
      <c r="M9" s="12">
        <f>'11'!K9</f>
        <v>10900</v>
      </c>
      <c r="N9" s="12">
        <f>'12'!K9</f>
        <v>10916.666666666666</v>
      </c>
      <c r="O9" s="12">
        <f>'13'!K9</f>
        <v>10916.666666666666</v>
      </c>
      <c r="P9" s="12">
        <f>'14'!K9</f>
        <v>10916.666666666666</v>
      </c>
      <c r="Q9" s="12">
        <f>'15'!K9</f>
        <v>10916.666666666666</v>
      </c>
      <c r="R9" s="12">
        <f>'16'!K9</f>
        <v>10916.666666666666</v>
      </c>
      <c r="S9" s="12">
        <f>'17'!K9</f>
        <v>10916.666666666666</v>
      </c>
      <c r="T9" s="12">
        <f>'18'!K9</f>
        <v>10933.333333333334</v>
      </c>
      <c r="U9" s="12">
        <f>'19'!K9</f>
        <v>10933.333333333334</v>
      </c>
      <c r="V9" s="12">
        <f>'20'!K9</f>
        <v>10933.333333333334</v>
      </c>
      <c r="W9" s="12">
        <f>'21'!K9</f>
        <v>10933.333333333334</v>
      </c>
      <c r="X9" s="12">
        <f>'22'!K9</f>
        <v>10933.333333333334</v>
      </c>
      <c r="Y9" s="12">
        <f>'23'!K9</f>
        <v>10933.333333333334</v>
      </c>
      <c r="Z9" s="12">
        <f>'24'!K9</f>
        <v>10916.666666666666</v>
      </c>
      <c r="AA9" s="12">
        <f>'25'!K9</f>
        <v>10916.666666666666</v>
      </c>
      <c r="AB9" s="12">
        <f>'26'!K9</f>
        <v>10916.666666666666</v>
      </c>
      <c r="AC9" s="12">
        <f>'27'!K9</f>
        <v>10916.666666666666</v>
      </c>
      <c r="AD9" s="12">
        <f>'28'!K9</f>
        <v>10916.666666666666</v>
      </c>
      <c r="AE9" s="12">
        <f>'29'!K9</f>
        <v>10916.666666666666</v>
      </c>
      <c r="AF9" s="12">
        <f>'30'!K9</f>
        <v>10916.666666666666</v>
      </c>
      <c r="AG9" s="12">
        <f>'31'!K9</f>
        <v>10916.666666666666</v>
      </c>
      <c r="AH9" s="12"/>
      <c r="AI9" s="12">
        <f t="shared" ref="AI9:AI72" si="0">AG9-C9</f>
        <v>133.33333333333212</v>
      </c>
      <c r="AJ9" s="130">
        <f t="shared" ref="AJ9:AJ72" si="1">AVERAGE(C9:AG9)</f>
        <v>10902.150537634412</v>
      </c>
    </row>
    <row r="10" spans="1:37" x14ac:dyDescent="0.25">
      <c r="A10" s="97"/>
      <c r="B10" s="11" t="s">
        <v>107</v>
      </c>
      <c r="C10" s="12">
        <f>'01'!K10</f>
        <v>0</v>
      </c>
      <c r="D10" s="12">
        <f>'02'!K10</f>
        <v>0</v>
      </c>
      <c r="E10" s="12">
        <f>'03'!K10</f>
        <v>0</v>
      </c>
      <c r="F10" s="12">
        <f>'04'!K10</f>
        <v>0</v>
      </c>
      <c r="G10" s="12">
        <f>'05'!K10</f>
        <v>0</v>
      </c>
      <c r="H10" s="12">
        <f>'06'!K10</f>
        <v>0</v>
      </c>
      <c r="I10" s="12">
        <f>'07'!K10</f>
        <v>0</v>
      </c>
      <c r="J10" s="12">
        <f>'08'!K10</f>
        <v>0</v>
      </c>
      <c r="K10" s="12">
        <f>'09'!K10</f>
        <v>0</v>
      </c>
      <c r="L10" s="12">
        <f>'10'!K10</f>
        <v>0</v>
      </c>
      <c r="M10" s="12">
        <f>'11'!K10</f>
        <v>0</v>
      </c>
      <c r="N10" s="12">
        <f>'12'!K10</f>
        <v>0</v>
      </c>
      <c r="O10" s="12">
        <f>'13'!K10</f>
        <v>0</v>
      </c>
      <c r="P10" s="12">
        <f>'14'!K10</f>
        <v>0</v>
      </c>
      <c r="Q10" s="12">
        <f>'15'!K10</f>
        <v>0</v>
      </c>
      <c r="R10" s="12">
        <f>'16'!K10</f>
        <v>0</v>
      </c>
      <c r="S10" s="12">
        <f>'17'!K10</f>
        <v>0</v>
      </c>
      <c r="T10" s="12">
        <f>'18'!K10</f>
        <v>0</v>
      </c>
      <c r="U10" s="12">
        <f>'19'!K10</f>
        <v>0</v>
      </c>
      <c r="V10" s="12">
        <f>'20'!K10</f>
        <v>0</v>
      </c>
      <c r="W10" s="12">
        <f>'21'!K10</f>
        <v>0</v>
      </c>
      <c r="X10" s="12">
        <f>'22'!K10</f>
        <v>0</v>
      </c>
      <c r="Y10" s="12">
        <f>'23'!K10</f>
        <v>0</v>
      </c>
      <c r="Z10" s="12">
        <f>'24'!K10</f>
        <v>11000</v>
      </c>
      <c r="AA10" s="12">
        <f>'25'!K10</f>
        <v>11000</v>
      </c>
      <c r="AB10" s="12">
        <f>'26'!K10</f>
        <v>11000</v>
      </c>
      <c r="AC10" s="12">
        <f>'27'!K10</f>
        <v>0</v>
      </c>
      <c r="AD10" s="12">
        <f>'28'!K10</f>
        <v>0</v>
      </c>
      <c r="AE10" s="12">
        <f>'29'!K10</f>
        <v>0</v>
      </c>
      <c r="AF10" s="12">
        <f>'30'!K10</f>
        <v>0</v>
      </c>
      <c r="AG10" s="12">
        <f>'31'!K10</f>
        <v>0</v>
      </c>
      <c r="AH10" s="12">
        <v>9450</v>
      </c>
      <c r="AI10" s="12">
        <f t="shared" si="0"/>
        <v>0</v>
      </c>
      <c r="AJ10" s="130">
        <f t="shared" si="1"/>
        <v>1064.516129032258</v>
      </c>
      <c r="AK10" s="30" t="s">
        <v>1</v>
      </c>
    </row>
    <row r="11" spans="1:37" x14ac:dyDescent="0.25">
      <c r="A11" s="97"/>
      <c r="B11" s="11" t="s">
        <v>5</v>
      </c>
      <c r="C11" s="12">
        <f>'01'!K11</f>
        <v>10400</v>
      </c>
      <c r="D11" s="12">
        <f>'02'!K11</f>
        <v>10400</v>
      </c>
      <c r="E11" s="12">
        <f>'03'!K11</f>
        <v>10400</v>
      </c>
      <c r="F11" s="12">
        <f>'04'!K11</f>
        <v>10400</v>
      </c>
      <c r="G11" s="12">
        <f>'05'!K11</f>
        <v>10400</v>
      </c>
      <c r="H11" s="12">
        <f>'06'!K11</f>
        <v>10400</v>
      </c>
      <c r="I11" s="12">
        <f>'07'!K11</f>
        <v>10400</v>
      </c>
      <c r="J11" s="12">
        <f>'08'!K11</f>
        <v>10400</v>
      </c>
      <c r="K11" s="12">
        <f>'09'!K11</f>
        <v>10400</v>
      </c>
      <c r="L11" s="12">
        <f>'10'!K11</f>
        <v>10400</v>
      </c>
      <c r="M11" s="12">
        <f>'11'!K11</f>
        <v>10400</v>
      </c>
      <c r="N11" s="12">
        <f>'12'!K11</f>
        <v>10400</v>
      </c>
      <c r="O11" s="12">
        <f>'13'!K11</f>
        <v>10400</v>
      </c>
      <c r="P11" s="12">
        <f>'14'!K11</f>
        <v>10400</v>
      </c>
      <c r="Q11" s="12">
        <f>'15'!K11</f>
        <v>10400</v>
      </c>
      <c r="R11" s="12">
        <f>'16'!K11</f>
        <v>10400</v>
      </c>
      <c r="S11" s="12">
        <f>'17'!K11</f>
        <v>10400</v>
      </c>
      <c r="T11" s="12">
        <f>'18'!K11</f>
        <v>10400</v>
      </c>
      <c r="U11" s="12">
        <f>'19'!K11</f>
        <v>10400</v>
      </c>
      <c r="V11" s="12">
        <f>'20'!K11</f>
        <v>10400</v>
      </c>
      <c r="W11" s="12">
        <f>'21'!K11</f>
        <v>10400</v>
      </c>
      <c r="X11" s="12">
        <f>'22'!K11</f>
        <v>10400</v>
      </c>
      <c r="Y11" s="12">
        <f>'23'!K11</f>
        <v>10400</v>
      </c>
      <c r="Z11" s="12">
        <f>'24'!K11</f>
        <v>10400</v>
      </c>
      <c r="AA11" s="12">
        <f>'25'!K11</f>
        <v>10400</v>
      </c>
      <c r="AB11" s="12">
        <f>'26'!K11</f>
        <v>10400</v>
      </c>
      <c r="AC11" s="12">
        <f>'27'!K11</f>
        <v>10400</v>
      </c>
      <c r="AD11" s="12">
        <f>'28'!K11</f>
        <v>10400</v>
      </c>
      <c r="AE11" s="12">
        <f>'29'!K11</f>
        <v>10400</v>
      </c>
      <c r="AF11" s="12">
        <f>'30'!K11</f>
        <v>10400</v>
      </c>
      <c r="AG11" s="12">
        <f>'31'!K11</f>
        <v>10400</v>
      </c>
      <c r="AH11" s="12"/>
      <c r="AI11" s="12">
        <f t="shared" si="0"/>
        <v>0</v>
      </c>
      <c r="AJ11" s="130">
        <f t="shared" si="1"/>
        <v>10400</v>
      </c>
    </row>
    <row r="12" spans="1:37" x14ac:dyDescent="0.25">
      <c r="A12" s="98"/>
      <c r="B12" s="11" t="s">
        <v>6</v>
      </c>
      <c r="C12" s="12">
        <f>'01'!K12</f>
        <v>18400</v>
      </c>
      <c r="D12" s="12">
        <f>'02'!K12</f>
        <v>18400</v>
      </c>
      <c r="E12" s="12">
        <f>'03'!K12</f>
        <v>18400</v>
      </c>
      <c r="F12" s="12">
        <f>'04'!K12</f>
        <v>18400</v>
      </c>
      <c r="G12" s="12">
        <f>'05'!K12</f>
        <v>18400</v>
      </c>
      <c r="H12" s="12">
        <f>'06'!K12</f>
        <v>18400</v>
      </c>
      <c r="I12" s="12">
        <f>'07'!K12</f>
        <v>18400</v>
      </c>
      <c r="J12" s="12">
        <f>'08'!K12</f>
        <v>18400</v>
      </c>
      <c r="K12" s="12">
        <f>'09'!K12</f>
        <v>18400</v>
      </c>
      <c r="L12" s="12">
        <f>'10'!K12</f>
        <v>18400</v>
      </c>
      <c r="M12" s="12">
        <f>'11'!K12</f>
        <v>18400</v>
      </c>
      <c r="N12" s="12">
        <f>'12'!K12</f>
        <v>18400</v>
      </c>
      <c r="O12" s="12">
        <f>'13'!K12</f>
        <v>18400</v>
      </c>
      <c r="P12" s="12">
        <f>'14'!K12</f>
        <v>18400</v>
      </c>
      <c r="Q12" s="12">
        <f>'15'!K12</f>
        <v>18400</v>
      </c>
      <c r="R12" s="12">
        <f>'16'!K12</f>
        <v>18400</v>
      </c>
      <c r="S12" s="12">
        <f>'17'!K12</f>
        <v>18400</v>
      </c>
      <c r="T12" s="12">
        <f>'18'!K12</f>
        <v>18400</v>
      </c>
      <c r="U12" s="12">
        <f>'19'!K12</f>
        <v>18400</v>
      </c>
      <c r="V12" s="12">
        <f>'20'!K12</f>
        <v>18400</v>
      </c>
      <c r="W12" s="12">
        <f>'21'!K12</f>
        <v>18400</v>
      </c>
      <c r="X12" s="12">
        <f>'22'!K12</f>
        <v>18400</v>
      </c>
      <c r="Y12" s="12">
        <f>'23'!K12</f>
        <v>18400</v>
      </c>
      <c r="Z12" s="12">
        <f>'24'!K12</f>
        <v>18400</v>
      </c>
      <c r="AA12" s="12">
        <f>'25'!K12</f>
        <v>18400</v>
      </c>
      <c r="AB12" s="12">
        <f>'26'!K12</f>
        <v>18400</v>
      </c>
      <c r="AC12" s="12">
        <f>'27'!K12</f>
        <v>18400</v>
      </c>
      <c r="AD12" s="12">
        <f>'28'!K12</f>
        <v>18400</v>
      </c>
      <c r="AE12" s="12">
        <f>'29'!K12</f>
        <v>18400</v>
      </c>
      <c r="AF12" s="12">
        <f>'30'!K12</f>
        <v>18400</v>
      </c>
      <c r="AG12" s="12">
        <f>'31'!K12</f>
        <v>18400</v>
      </c>
      <c r="AH12" s="12"/>
      <c r="AI12" s="12">
        <f t="shared" si="0"/>
        <v>0</v>
      </c>
      <c r="AJ12" s="130">
        <f t="shared" si="1"/>
        <v>18400</v>
      </c>
    </row>
    <row r="13" spans="1:37" x14ac:dyDescent="0.25">
      <c r="A13" s="96">
        <v>2</v>
      </c>
      <c r="B13" s="15" t="s">
        <v>7</v>
      </c>
      <c r="C13" s="12">
        <f>'01'!K13</f>
        <v>0</v>
      </c>
      <c r="D13" s="12">
        <f>'02'!K13</f>
        <v>0</v>
      </c>
      <c r="E13" s="12">
        <f>'03'!K13</f>
        <v>0</v>
      </c>
      <c r="F13" s="12">
        <f>'04'!K13</f>
        <v>0</v>
      </c>
      <c r="G13" s="12">
        <f>'05'!K13</f>
        <v>0</v>
      </c>
      <c r="H13" s="12">
        <f>'06'!K13</f>
        <v>0</v>
      </c>
      <c r="I13" s="12">
        <f>'07'!K13</f>
        <v>0</v>
      </c>
      <c r="J13" s="12">
        <f>'08'!K13</f>
        <v>0</v>
      </c>
      <c r="K13" s="12">
        <f>'09'!K13</f>
        <v>0</v>
      </c>
      <c r="L13" s="12">
        <f>'10'!K13</f>
        <v>0</v>
      </c>
      <c r="M13" s="12">
        <f>'11'!K13</f>
        <v>0</v>
      </c>
      <c r="N13" s="12">
        <f>'12'!K13</f>
        <v>0</v>
      </c>
      <c r="O13" s="12">
        <f>'13'!K13</f>
        <v>0</v>
      </c>
      <c r="P13" s="12">
        <f>'14'!K13</f>
        <v>0</v>
      </c>
      <c r="Q13" s="12">
        <f>'15'!K13</f>
        <v>0</v>
      </c>
      <c r="R13" s="12">
        <f>'16'!K13</f>
        <v>0</v>
      </c>
      <c r="S13" s="12">
        <f>'17'!K13</f>
        <v>0</v>
      </c>
      <c r="T13" s="12">
        <f>'18'!K13</f>
        <v>0</v>
      </c>
      <c r="U13" s="12">
        <f>'19'!K13</f>
        <v>0</v>
      </c>
      <c r="V13" s="12">
        <f>'20'!K13</f>
        <v>0</v>
      </c>
      <c r="W13" s="12">
        <f>'21'!K13</f>
        <v>0</v>
      </c>
      <c r="X13" s="12">
        <f>'22'!K13</f>
        <v>0</v>
      </c>
      <c r="Y13" s="12">
        <f>'23'!K13</f>
        <v>0</v>
      </c>
      <c r="Z13" s="12">
        <f>'24'!K13</f>
        <v>0</v>
      </c>
      <c r="AA13" s="12">
        <f>'25'!K13</f>
        <v>0</v>
      </c>
      <c r="AB13" s="12">
        <f>'26'!K13</f>
        <v>0</v>
      </c>
      <c r="AC13" s="12">
        <f>'27'!K13</f>
        <v>0</v>
      </c>
      <c r="AD13" s="12">
        <f>'28'!K13</f>
        <v>0</v>
      </c>
      <c r="AE13" s="12">
        <f>'29'!K13</f>
        <v>0</v>
      </c>
      <c r="AF13" s="12">
        <f>'30'!K13</f>
        <v>0</v>
      </c>
      <c r="AG13" s="12">
        <f>'31'!K13</f>
        <v>0</v>
      </c>
      <c r="AH13" s="12"/>
      <c r="AI13" s="12">
        <f t="shared" si="0"/>
        <v>0</v>
      </c>
      <c r="AJ13" s="130">
        <f t="shared" si="1"/>
        <v>0</v>
      </c>
    </row>
    <row r="14" spans="1:37" x14ac:dyDescent="0.25">
      <c r="A14" s="97"/>
      <c r="B14" s="13" t="s">
        <v>8</v>
      </c>
      <c r="C14" s="12">
        <f>'01'!K14</f>
        <v>13500</v>
      </c>
      <c r="D14" s="12">
        <f>'02'!K14</f>
        <v>13500</v>
      </c>
      <c r="E14" s="12">
        <f>'03'!K14</f>
        <v>13500</v>
      </c>
      <c r="F14" s="12">
        <f>'04'!K14</f>
        <v>13500</v>
      </c>
      <c r="G14" s="12">
        <f>'05'!K14</f>
        <v>13500</v>
      </c>
      <c r="H14" s="12">
        <f>'06'!K14</f>
        <v>13500</v>
      </c>
      <c r="I14" s="12">
        <f>'07'!K14</f>
        <v>13500</v>
      </c>
      <c r="J14" s="12">
        <f>'08'!K14</f>
        <v>13500</v>
      </c>
      <c r="K14" s="12">
        <f>'09'!K14</f>
        <v>13500</v>
      </c>
      <c r="L14" s="12">
        <f>'10'!K14</f>
        <v>13557.142857142857</v>
      </c>
      <c r="M14" s="12">
        <f>'11'!K14</f>
        <v>13500</v>
      </c>
      <c r="N14" s="12">
        <f>'12'!K14</f>
        <v>13500</v>
      </c>
      <c r="O14" s="12">
        <f>'13'!K14</f>
        <v>13500</v>
      </c>
      <c r="P14" s="12">
        <f>'14'!K14</f>
        <v>13500</v>
      </c>
      <c r="Q14" s="12">
        <f>'15'!K14</f>
        <v>13500</v>
      </c>
      <c r="R14" s="12">
        <f>'16'!K14</f>
        <v>13500</v>
      </c>
      <c r="S14" s="12">
        <f>'17'!K14</f>
        <v>13500</v>
      </c>
      <c r="T14" s="12">
        <f>'18'!K14</f>
        <v>13500</v>
      </c>
      <c r="U14" s="12">
        <f>'19'!K14</f>
        <v>13500</v>
      </c>
      <c r="V14" s="12">
        <f>'20'!K14</f>
        <v>13500</v>
      </c>
      <c r="W14" s="12">
        <f>'21'!K14</f>
        <v>13500</v>
      </c>
      <c r="X14" s="12">
        <f>'22'!K14</f>
        <v>13500</v>
      </c>
      <c r="Y14" s="12">
        <f>'23'!K14</f>
        <v>13500</v>
      </c>
      <c r="Z14" s="12">
        <f>'24'!K14</f>
        <v>13571.428571428571</v>
      </c>
      <c r="AA14" s="12">
        <f>'25'!K14</f>
        <v>13571.428571428571</v>
      </c>
      <c r="AB14" s="12">
        <f>'26'!K14</f>
        <v>13785.714285714286</v>
      </c>
      <c r="AC14" s="12">
        <f>'27'!K14</f>
        <v>14285.714285714286</v>
      </c>
      <c r="AD14" s="12">
        <f>'28'!K14</f>
        <v>14285.714285714286</v>
      </c>
      <c r="AE14" s="12">
        <f>'29'!K14</f>
        <v>14285.714285714286</v>
      </c>
      <c r="AF14" s="12">
        <f>'30'!K14</f>
        <v>14428.571428571429</v>
      </c>
      <c r="AG14" s="12">
        <f>'31'!K14</f>
        <v>14500</v>
      </c>
      <c r="AH14" s="12">
        <v>13500</v>
      </c>
      <c r="AI14" s="12">
        <f t="shared" si="0"/>
        <v>1000</v>
      </c>
      <c r="AJ14" s="130">
        <f t="shared" si="1"/>
        <v>13653.917050691241</v>
      </c>
    </row>
    <row r="15" spans="1:37" x14ac:dyDescent="0.25">
      <c r="A15" s="98"/>
      <c r="B15" s="14" t="s">
        <v>9</v>
      </c>
      <c r="C15" s="12">
        <f>'01'!K15</f>
        <v>15142.857142857143</v>
      </c>
      <c r="D15" s="12">
        <f>'02'!K15</f>
        <v>15142.857142857143</v>
      </c>
      <c r="E15" s="12">
        <f>'03'!K15</f>
        <v>15142.857142857143</v>
      </c>
      <c r="F15" s="12">
        <f>'04'!K15</f>
        <v>15142.857142857143</v>
      </c>
      <c r="G15" s="12">
        <f>'05'!K15</f>
        <v>15142.857142857143</v>
      </c>
      <c r="H15" s="12">
        <f>'06'!K15</f>
        <v>15142.857142857143</v>
      </c>
      <c r="I15" s="12">
        <f>'07'!K15</f>
        <v>15142.857142857143</v>
      </c>
      <c r="J15" s="12">
        <f>'08'!K15</f>
        <v>15142.857142857143</v>
      </c>
      <c r="K15" s="12">
        <f>'09'!K15</f>
        <v>15142.857142857143</v>
      </c>
      <c r="L15" s="12">
        <f>'10'!K15</f>
        <v>15142.857142857143</v>
      </c>
      <c r="M15" s="12">
        <f>'11'!K15</f>
        <v>15142.857142857143</v>
      </c>
      <c r="N15" s="12">
        <f>'12'!K15</f>
        <v>15142.857142857143</v>
      </c>
      <c r="O15" s="12">
        <f>'13'!K15</f>
        <v>15142.857142857143</v>
      </c>
      <c r="P15" s="12">
        <f>'14'!K15</f>
        <v>15142.857142857143</v>
      </c>
      <c r="Q15" s="12">
        <f>'15'!K15</f>
        <v>15142.857142857143</v>
      </c>
      <c r="R15" s="12">
        <f>'16'!K15</f>
        <v>15142.857142857143</v>
      </c>
      <c r="S15" s="12">
        <f>'17'!K15</f>
        <v>15142.857142857143</v>
      </c>
      <c r="T15" s="12">
        <f>'18'!K15</f>
        <v>15142.857142857143</v>
      </c>
      <c r="U15" s="12">
        <f>'19'!K15</f>
        <v>15142.857142857143</v>
      </c>
      <c r="V15" s="12">
        <f>'20'!K15</f>
        <v>15142.857142857143</v>
      </c>
      <c r="W15" s="12">
        <f>'21'!K15</f>
        <v>15142.857142857143</v>
      </c>
      <c r="X15" s="12">
        <f>'22'!K15</f>
        <v>15142.857142857143</v>
      </c>
      <c r="Y15" s="12">
        <f>'23'!K15</f>
        <v>15142.857142857143</v>
      </c>
      <c r="Z15" s="12">
        <f>'24'!K15</f>
        <v>15142.857142857143</v>
      </c>
      <c r="AA15" s="12">
        <f>'25'!K15</f>
        <v>15142.857142857143</v>
      </c>
      <c r="AB15" s="12">
        <f>'26'!K15</f>
        <v>15142.857142857143</v>
      </c>
      <c r="AC15" s="12">
        <f>'27'!K15</f>
        <v>15142.857142857143</v>
      </c>
      <c r="AD15" s="12">
        <f>'28'!K15</f>
        <v>15142.857142857143</v>
      </c>
      <c r="AE15" s="12">
        <f>'29'!K15</f>
        <v>15142.857142857143</v>
      </c>
      <c r="AF15" s="12">
        <f>'30'!K15</f>
        <v>15142.857142857143</v>
      </c>
      <c r="AG15" s="12">
        <f>'31'!K15</f>
        <v>15142.857142857143</v>
      </c>
      <c r="AH15" s="12"/>
      <c r="AI15" s="12">
        <f t="shared" si="0"/>
        <v>0</v>
      </c>
      <c r="AJ15" s="130">
        <f t="shared" si="1"/>
        <v>15142.857142857147</v>
      </c>
    </row>
    <row r="16" spans="1:37" x14ac:dyDescent="0.25">
      <c r="A16" s="96"/>
      <c r="B16" s="15" t="s">
        <v>10</v>
      </c>
      <c r="C16" s="12">
        <f>'01'!K16</f>
        <v>0</v>
      </c>
      <c r="D16" s="12">
        <f>'02'!K16</f>
        <v>0</v>
      </c>
      <c r="E16" s="12">
        <f>'03'!K16</f>
        <v>0</v>
      </c>
      <c r="F16" s="12">
        <f>'04'!K16</f>
        <v>0</v>
      </c>
      <c r="G16" s="12">
        <f>'05'!K16</f>
        <v>0</v>
      </c>
      <c r="H16" s="12">
        <f>'06'!K16</f>
        <v>0</v>
      </c>
      <c r="I16" s="12">
        <f>'07'!K16</f>
        <v>0</v>
      </c>
      <c r="J16" s="12">
        <f>'08'!K16</f>
        <v>0</v>
      </c>
      <c r="K16" s="12">
        <f>'09'!K16</f>
        <v>0</v>
      </c>
      <c r="L16" s="12">
        <f>'10'!K16</f>
        <v>0</v>
      </c>
      <c r="M16" s="12">
        <f>'11'!K16</f>
        <v>0</v>
      </c>
      <c r="N16" s="12">
        <f>'12'!K16</f>
        <v>0</v>
      </c>
      <c r="O16" s="12">
        <f>'13'!K16</f>
        <v>0</v>
      </c>
      <c r="P16" s="12">
        <f>'14'!K16</f>
        <v>0</v>
      </c>
      <c r="Q16" s="12">
        <f>'15'!K16</f>
        <v>0</v>
      </c>
      <c r="R16" s="12">
        <f>'16'!K16</f>
        <v>0</v>
      </c>
      <c r="S16" s="12">
        <f>'17'!K16</f>
        <v>0</v>
      </c>
      <c r="T16" s="12">
        <f>'18'!K16</f>
        <v>0</v>
      </c>
      <c r="U16" s="12">
        <f>'19'!K16</f>
        <v>0</v>
      </c>
      <c r="V16" s="12">
        <f>'20'!K16</f>
        <v>0</v>
      </c>
      <c r="W16" s="12">
        <f>'21'!K16</f>
        <v>0</v>
      </c>
      <c r="X16" s="12">
        <f>'22'!K16</f>
        <v>0</v>
      </c>
      <c r="Y16" s="12">
        <f>'23'!K16</f>
        <v>0</v>
      </c>
      <c r="Z16" s="12">
        <f>'24'!K16</f>
        <v>0</v>
      </c>
      <c r="AA16" s="12">
        <f>'25'!K16</f>
        <v>0</v>
      </c>
      <c r="AB16" s="12">
        <f>'26'!K16</f>
        <v>0</v>
      </c>
      <c r="AC16" s="12">
        <f>'27'!K16</f>
        <v>0</v>
      </c>
      <c r="AD16" s="12">
        <f>'28'!K16</f>
        <v>0</v>
      </c>
      <c r="AE16" s="12">
        <f>'29'!K16</f>
        <v>0</v>
      </c>
      <c r="AF16" s="12">
        <f>'30'!K16</f>
        <v>0</v>
      </c>
      <c r="AG16" s="12">
        <f>'31'!K16</f>
        <v>0</v>
      </c>
      <c r="AH16" s="12"/>
      <c r="AI16" s="12">
        <f t="shared" si="0"/>
        <v>0</v>
      </c>
      <c r="AJ16" s="130">
        <f t="shared" si="1"/>
        <v>0</v>
      </c>
    </row>
    <row r="17" spans="1:36" x14ac:dyDescent="0.25">
      <c r="A17" s="97"/>
      <c r="B17" s="14" t="s">
        <v>11</v>
      </c>
      <c r="C17" s="12">
        <f>'01'!K17</f>
        <v>15000</v>
      </c>
      <c r="D17" s="12">
        <f>'02'!K17</f>
        <v>15000</v>
      </c>
      <c r="E17" s="12">
        <f>'03'!K17</f>
        <v>15000</v>
      </c>
      <c r="F17" s="12">
        <f>'04'!K17</f>
        <v>15000</v>
      </c>
      <c r="G17" s="12">
        <f>'05'!K17</f>
        <v>15000</v>
      </c>
      <c r="H17" s="12">
        <f>'06'!K17</f>
        <v>15000</v>
      </c>
      <c r="I17" s="12">
        <f>'07'!K17</f>
        <v>15000</v>
      </c>
      <c r="J17" s="12">
        <f>'08'!K17</f>
        <v>15000</v>
      </c>
      <c r="K17" s="12">
        <f>'09'!K17</f>
        <v>15000</v>
      </c>
      <c r="L17" s="12">
        <f>'10'!K17</f>
        <v>15000</v>
      </c>
      <c r="M17" s="12">
        <f>'11'!K17</f>
        <v>15000</v>
      </c>
      <c r="N17" s="12">
        <f>'12'!K17</f>
        <v>15000</v>
      </c>
      <c r="O17" s="12">
        <f>'13'!K17</f>
        <v>15000</v>
      </c>
      <c r="P17" s="12">
        <f>'14'!K17</f>
        <v>15000</v>
      </c>
      <c r="Q17" s="12">
        <f>'15'!K17</f>
        <v>15000</v>
      </c>
      <c r="R17" s="12">
        <f>'16'!K17</f>
        <v>15000</v>
      </c>
      <c r="S17" s="12">
        <f>'17'!K17</f>
        <v>15000</v>
      </c>
      <c r="T17" s="12">
        <f>'18'!K17</f>
        <v>15000</v>
      </c>
      <c r="U17" s="12">
        <f>'19'!K17</f>
        <v>15000</v>
      </c>
      <c r="V17" s="12">
        <f>'20'!K17</f>
        <v>15000</v>
      </c>
      <c r="W17" s="12">
        <f>'21'!K17</f>
        <v>15000</v>
      </c>
      <c r="X17" s="12">
        <f>'22'!K17</f>
        <v>15000</v>
      </c>
      <c r="Y17" s="12">
        <f>'23'!K17</f>
        <v>15000</v>
      </c>
      <c r="Z17" s="12">
        <f>'24'!K17</f>
        <v>15000</v>
      </c>
      <c r="AA17" s="12">
        <f>'25'!K17</f>
        <v>15000</v>
      </c>
      <c r="AB17" s="12">
        <f>'26'!K17</f>
        <v>15000</v>
      </c>
      <c r="AC17" s="12">
        <f>'27'!K17</f>
        <v>15000</v>
      </c>
      <c r="AD17" s="12">
        <f>'28'!K17</f>
        <v>15142.857142857143</v>
      </c>
      <c r="AE17" s="12">
        <f>'29'!K17</f>
        <v>15142.857142857143</v>
      </c>
      <c r="AF17" s="12">
        <f>'30'!K17</f>
        <v>15142.857142857143</v>
      </c>
      <c r="AG17" s="12">
        <f>'31'!K17</f>
        <v>15142.857142857143</v>
      </c>
      <c r="AH17" s="12">
        <v>15500</v>
      </c>
      <c r="AI17" s="12">
        <f t="shared" si="0"/>
        <v>142.85714285714312</v>
      </c>
      <c r="AJ17" s="130">
        <f t="shared" si="1"/>
        <v>15018.433179723505</v>
      </c>
    </row>
    <row r="18" spans="1:36" x14ac:dyDescent="0.25">
      <c r="A18" s="98"/>
      <c r="B18" s="14" t="s">
        <v>108</v>
      </c>
      <c r="C18" s="12">
        <f>'01'!K18</f>
        <v>14000</v>
      </c>
      <c r="D18" s="12">
        <f>'02'!K18</f>
        <v>14000</v>
      </c>
      <c r="E18" s="12">
        <f>'03'!K18</f>
        <v>14000</v>
      </c>
      <c r="F18" s="12">
        <f>'04'!K18</f>
        <v>14000</v>
      </c>
      <c r="G18" s="12">
        <f>'05'!K18</f>
        <v>14000</v>
      </c>
      <c r="H18" s="12">
        <f>'06'!K18</f>
        <v>14000</v>
      </c>
      <c r="I18" s="12">
        <f>'07'!K18</f>
        <v>14000</v>
      </c>
      <c r="J18" s="12">
        <f>'08'!K18</f>
        <v>14000</v>
      </c>
      <c r="K18" s="12">
        <f>'09'!K18</f>
        <v>14000</v>
      </c>
      <c r="L18" s="12">
        <f>'10'!K18</f>
        <v>14000</v>
      </c>
      <c r="M18" s="12">
        <f>'11'!K18</f>
        <v>14000</v>
      </c>
      <c r="N18" s="12">
        <f>'12'!K18</f>
        <v>14000</v>
      </c>
      <c r="O18" s="12">
        <f>'13'!K18</f>
        <v>14000</v>
      </c>
      <c r="P18" s="12">
        <f>'14'!K18</f>
        <v>14000</v>
      </c>
      <c r="Q18" s="12">
        <f>'15'!K18</f>
        <v>14000</v>
      </c>
      <c r="R18" s="12">
        <f>'16'!K18</f>
        <v>14000</v>
      </c>
      <c r="S18" s="12">
        <f>'17'!K18</f>
        <v>14000</v>
      </c>
      <c r="T18" s="12">
        <f>'18'!K18</f>
        <v>14000</v>
      </c>
      <c r="U18" s="12">
        <f>'19'!K18</f>
        <v>14000</v>
      </c>
      <c r="V18" s="12">
        <f>'20'!K18</f>
        <v>14000</v>
      </c>
      <c r="W18" s="12">
        <f>'21'!K18</f>
        <v>14000</v>
      </c>
      <c r="X18" s="12">
        <f>'22'!K18</f>
        <v>14000</v>
      </c>
      <c r="Y18" s="12">
        <f>'23'!K18</f>
        <v>14000</v>
      </c>
      <c r="Z18" s="12">
        <f>'24'!K18</f>
        <v>14000</v>
      </c>
      <c r="AA18" s="12">
        <f>'25'!K18</f>
        <v>14000</v>
      </c>
      <c r="AB18" s="12">
        <f>'26'!K18</f>
        <v>14000</v>
      </c>
      <c r="AC18" s="12">
        <f>'27'!K18</f>
        <v>14000</v>
      </c>
      <c r="AD18" s="12">
        <f>'28'!K18</f>
        <v>14000</v>
      </c>
      <c r="AE18" s="12">
        <f>'29'!K18</f>
        <v>14000</v>
      </c>
      <c r="AF18" s="12">
        <f>'30'!K18</f>
        <v>14000</v>
      </c>
      <c r="AG18" s="12">
        <f>'31'!K18</f>
        <v>14000</v>
      </c>
      <c r="AH18" s="12">
        <v>14000</v>
      </c>
      <c r="AI18" s="12">
        <f t="shared" si="0"/>
        <v>0</v>
      </c>
      <c r="AJ18" s="130">
        <f t="shared" si="1"/>
        <v>14000</v>
      </c>
    </row>
    <row r="19" spans="1:36" x14ac:dyDescent="0.25">
      <c r="A19" s="96">
        <v>4</v>
      </c>
      <c r="B19" s="15" t="s">
        <v>12</v>
      </c>
      <c r="C19" s="12">
        <f>'01'!K19</f>
        <v>0</v>
      </c>
      <c r="D19" s="12">
        <f>'02'!K19</f>
        <v>0</v>
      </c>
      <c r="E19" s="12">
        <f>'03'!K19</f>
        <v>0</v>
      </c>
      <c r="F19" s="12">
        <f>'04'!K19</f>
        <v>0</v>
      </c>
      <c r="G19" s="12">
        <f>'05'!K19</f>
        <v>0</v>
      </c>
      <c r="H19" s="12">
        <f>'06'!K19</f>
        <v>0</v>
      </c>
      <c r="I19" s="12">
        <f>'07'!K19</f>
        <v>0</v>
      </c>
      <c r="J19" s="12">
        <f>'08'!K19</f>
        <v>0</v>
      </c>
      <c r="K19" s="12">
        <f>'09'!K19</f>
        <v>0</v>
      </c>
      <c r="L19" s="12">
        <f>'10'!K19</f>
        <v>0</v>
      </c>
      <c r="M19" s="12">
        <f>'11'!K19</f>
        <v>0</v>
      </c>
      <c r="N19" s="12">
        <f>'12'!K19</f>
        <v>0</v>
      </c>
      <c r="O19" s="12">
        <f>'13'!K19</f>
        <v>0</v>
      </c>
      <c r="P19" s="12">
        <f>'14'!K19</f>
        <v>0</v>
      </c>
      <c r="Q19" s="12">
        <f>'15'!K19</f>
        <v>0</v>
      </c>
      <c r="R19" s="12">
        <f>'16'!K19</f>
        <v>0</v>
      </c>
      <c r="S19" s="12">
        <f>'17'!K19</f>
        <v>0</v>
      </c>
      <c r="T19" s="12">
        <f>'18'!K19</f>
        <v>0</v>
      </c>
      <c r="U19" s="12">
        <f>'19'!K19</f>
        <v>0</v>
      </c>
      <c r="V19" s="12">
        <f>'20'!K19</f>
        <v>0</v>
      </c>
      <c r="W19" s="12">
        <f>'21'!K19</f>
        <v>0</v>
      </c>
      <c r="X19" s="12">
        <f>'22'!K19</f>
        <v>0</v>
      </c>
      <c r="Y19" s="12">
        <f>'23'!K19</f>
        <v>0</v>
      </c>
      <c r="Z19" s="12">
        <f>'24'!K19</f>
        <v>0</v>
      </c>
      <c r="AA19" s="12">
        <f>'25'!K19</f>
        <v>0</v>
      </c>
      <c r="AB19" s="12">
        <f>'26'!K19</f>
        <v>0</v>
      </c>
      <c r="AC19" s="12">
        <f>'27'!K19</f>
        <v>0</v>
      </c>
      <c r="AD19" s="12">
        <f>'28'!K19</f>
        <v>0</v>
      </c>
      <c r="AE19" s="12">
        <f>'29'!K19</f>
        <v>0</v>
      </c>
      <c r="AF19" s="12">
        <f>'30'!K19</f>
        <v>0</v>
      </c>
      <c r="AG19" s="12">
        <f>'31'!K19</f>
        <v>0</v>
      </c>
      <c r="AH19" s="12"/>
      <c r="AI19" s="12">
        <f t="shared" si="0"/>
        <v>0</v>
      </c>
      <c r="AJ19" s="130">
        <f t="shared" si="1"/>
        <v>0</v>
      </c>
    </row>
    <row r="20" spans="1:36" x14ac:dyDescent="0.25">
      <c r="A20" s="98"/>
      <c r="B20" s="14" t="s">
        <v>13</v>
      </c>
      <c r="C20" s="12">
        <f>'01'!K20</f>
        <v>20500</v>
      </c>
      <c r="D20" s="12">
        <f>'02'!K20</f>
        <v>20500</v>
      </c>
      <c r="E20" s="12">
        <f>'03'!K20</f>
        <v>20500</v>
      </c>
      <c r="F20" s="12">
        <f>'04'!K20</f>
        <v>20500</v>
      </c>
      <c r="G20" s="12">
        <f>'05'!K20</f>
        <v>20500</v>
      </c>
      <c r="H20" s="12">
        <f>'06'!K20</f>
        <v>20500</v>
      </c>
      <c r="I20" s="12">
        <f>'07'!K20</f>
        <v>20500</v>
      </c>
      <c r="J20" s="12">
        <f>'08'!K20</f>
        <v>20500</v>
      </c>
      <c r="K20" s="12">
        <f>'09'!K20</f>
        <v>20500</v>
      </c>
      <c r="L20" s="12">
        <f>'10'!K20</f>
        <v>20500</v>
      </c>
      <c r="M20" s="12">
        <f>'11'!K20</f>
        <v>20500</v>
      </c>
      <c r="N20" s="12">
        <f>'12'!K20</f>
        <v>20500</v>
      </c>
      <c r="O20" s="12">
        <f>'13'!K20</f>
        <v>20500</v>
      </c>
      <c r="P20" s="12">
        <f>'14'!K20</f>
        <v>20500</v>
      </c>
      <c r="Q20" s="12">
        <f>'15'!K20</f>
        <v>20400</v>
      </c>
      <c r="R20" s="12">
        <f>'16'!K20</f>
        <v>20400</v>
      </c>
      <c r="S20" s="12">
        <f>'17'!K20</f>
        <v>20400</v>
      </c>
      <c r="T20" s="12">
        <f>'18'!K20</f>
        <v>20400</v>
      </c>
      <c r="U20" s="12">
        <f>'19'!K20</f>
        <v>20400</v>
      </c>
      <c r="V20" s="12">
        <f>'20'!K20</f>
        <v>20400</v>
      </c>
      <c r="W20" s="12">
        <f>'21'!K20</f>
        <v>20400</v>
      </c>
      <c r="X20" s="12">
        <f>'22'!K20</f>
        <v>20400</v>
      </c>
      <c r="Y20" s="12">
        <f>'23'!K20</f>
        <v>20400</v>
      </c>
      <c r="Z20" s="12">
        <f>'24'!K20</f>
        <v>20400</v>
      </c>
      <c r="AA20" s="12">
        <f>'25'!K20</f>
        <v>20400</v>
      </c>
      <c r="AB20" s="12">
        <f>'26'!K20</f>
        <v>20400</v>
      </c>
      <c r="AC20" s="12">
        <f>'27'!K20</f>
        <v>20400</v>
      </c>
      <c r="AD20" s="12">
        <f>'28'!K20</f>
        <v>20400</v>
      </c>
      <c r="AE20" s="12">
        <f>'29'!K20</f>
        <v>20400</v>
      </c>
      <c r="AF20" s="12">
        <f>'30'!K20</f>
        <v>20400</v>
      </c>
      <c r="AG20" s="12">
        <f>'31'!K20</f>
        <v>20400</v>
      </c>
      <c r="AH20" s="12"/>
      <c r="AI20" s="12">
        <f t="shared" si="0"/>
        <v>-100</v>
      </c>
      <c r="AJ20" s="130">
        <f t="shared" si="1"/>
        <v>20445.16129032258</v>
      </c>
    </row>
    <row r="21" spans="1:36" x14ac:dyDescent="0.25">
      <c r="A21" s="96">
        <v>5</v>
      </c>
      <c r="B21" s="15" t="s">
        <v>14</v>
      </c>
      <c r="C21" s="12">
        <f>'01'!K21</f>
        <v>0</v>
      </c>
      <c r="D21" s="12">
        <f>'02'!K21</f>
        <v>0</v>
      </c>
      <c r="E21" s="12">
        <f>'03'!K21</f>
        <v>0</v>
      </c>
      <c r="F21" s="12">
        <f>'04'!K21</f>
        <v>0</v>
      </c>
      <c r="G21" s="12">
        <f>'05'!K21</f>
        <v>0</v>
      </c>
      <c r="H21" s="12">
        <f>'06'!K21</f>
        <v>0</v>
      </c>
      <c r="I21" s="12">
        <f>'07'!K21</f>
        <v>0</v>
      </c>
      <c r="J21" s="12">
        <f>'08'!K21</f>
        <v>0</v>
      </c>
      <c r="K21" s="12">
        <f>'09'!K21</f>
        <v>0</v>
      </c>
      <c r="L21" s="12">
        <f>'10'!K21</f>
        <v>0</v>
      </c>
      <c r="M21" s="12">
        <f>'11'!K21</f>
        <v>0</v>
      </c>
      <c r="N21" s="12">
        <f>'12'!K21</f>
        <v>0</v>
      </c>
      <c r="O21" s="12">
        <f>'13'!K21</f>
        <v>0</v>
      </c>
      <c r="P21" s="12">
        <f>'14'!K21</f>
        <v>0</v>
      </c>
      <c r="Q21" s="12">
        <f>'15'!K21</f>
        <v>0</v>
      </c>
      <c r="R21" s="12">
        <f>'16'!K21</f>
        <v>0</v>
      </c>
      <c r="S21" s="12">
        <f>'17'!K21</f>
        <v>0</v>
      </c>
      <c r="T21" s="12">
        <f>'18'!K21</f>
        <v>0</v>
      </c>
      <c r="U21" s="12">
        <f>'19'!K21</f>
        <v>0</v>
      </c>
      <c r="V21" s="12">
        <f>'20'!K21</f>
        <v>0</v>
      </c>
      <c r="W21" s="12">
        <f>'21'!K21</f>
        <v>0</v>
      </c>
      <c r="X21" s="12">
        <f>'22'!K21</f>
        <v>0</v>
      </c>
      <c r="Y21" s="12">
        <f>'23'!K21</f>
        <v>0</v>
      </c>
      <c r="Z21" s="12">
        <f>'24'!K21</f>
        <v>0</v>
      </c>
      <c r="AA21" s="12">
        <f>'25'!K21</f>
        <v>0</v>
      </c>
      <c r="AB21" s="12">
        <f>'26'!K21</f>
        <v>0</v>
      </c>
      <c r="AC21" s="12">
        <f>'27'!K21</f>
        <v>0</v>
      </c>
      <c r="AD21" s="12">
        <f>'28'!K21</f>
        <v>0</v>
      </c>
      <c r="AE21" s="12">
        <f>'29'!K21</f>
        <v>0</v>
      </c>
      <c r="AF21" s="12">
        <f>'30'!K21</f>
        <v>0</v>
      </c>
      <c r="AG21" s="12">
        <f>'31'!K21</f>
        <v>0</v>
      </c>
      <c r="AH21" s="12"/>
      <c r="AI21" s="12">
        <f t="shared" si="0"/>
        <v>0</v>
      </c>
      <c r="AJ21" s="130">
        <f t="shared" si="1"/>
        <v>0</v>
      </c>
    </row>
    <row r="22" spans="1:36" x14ac:dyDescent="0.25">
      <c r="A22" s="97"/>
      <c r="B22" s="14" t="s">
        <v>15</v>
      </c>
      <c r="C22" s="12">
        <f>'01'!K22</f>
        <v>120833.33333333333</v>
      </c>
      <c r="D22" s="12">
        <f>'02'!K22</f>
        <v>120833.33333333333</v>
      </c>
      <c r="E22" s="12">
        <f>'03'!K22</f>
        <v>120833.33333333333</v>
      </c>
      <c r="F22" s="12">
        <f>'04'!K22</f>
        <v>120833.33333333333</v>
      </c>
      <c r="G22" s="12">
        <f>'05'!K22</f>
        <v>120833.33333333333</v>
      </c>
      <c r="H22" s="12">
        <f>'06'!K22</f>
        <v>120833.33333333333</v>
      </c>
      <c r="I22" s="12">
        <f>'07'!K22</f>
        <v>120833.33333333333</v>
      </c>
      <c r="J22" s="12">
        <f>'08'!K22</f>
        <v>120833.33333333333</v>
      </c>
      <c r="K22" s="12">
        <f>'09'!K22</f>
        <v>120833.33333333333</v>
      </c>
      <c r="L22" s="12">
        <f>'10'!K22</f>
        <v>120833.33333333333</v>
      </c>
      <c r="M22" s="12">
        <f>'11'!K22</f>
        <v>120833.33333333333</v>
      </c>
      <c r="N22" s="12">
        <f>'12'!K22</f>
        <v>120833.33333333333</v>
      </c>
      <c r="O22" s="12">
        <f>'13'!K22</f>
        <v>120833.33333333333</v>
      </c>
      <c r="P22" s="12">
        <f>'14'!K22</f>
        <v>120833.33333333333</v>
      </c>
      <c r="Q22" s="12">
        <f>'15'!K22</f>
        <v>120833.33333333333</v>
      </c>
      <c r="R22" s="12">
        <f>'16'!K22</f>
        <v>120833.33333333333</v>
      </c>
      <c r="S22" s="12">
        <f>'17'!K22</f>
        <v>120833.33333333333</v>
      </c>
      <c r="T22" s="12">
        <f>'18'!K22</f>
        <v>120833.33333333333</v>
      </c>
      <c r="U22" s="12">
        <f>'19'!K22</f>
        <v>120833.33333333333</v>
      </c>
      <c r="V22" s="12">
        <f>'20'!K22</f>
        <v>120833.33333333333</v>
      </c>
      <c r="W22" s="12">
        <f>'21'!K22</f>
        <v>120833.33333333333</v>
      </c>
      <c r="X22" s="12">
        <f>'22'!K22</f>
        <v>120833.33333333333</v>
      </c>
      <c r="Y22" s="12">
        <f>'23'!K22</f>
        <v>120833.33333333333</v>
      </c>
      <c r="Z22" s="12">
        <f>'24'!K22</f>
        <v>120000</v>
      </c>
      <c r="AA22" s="12">
        <f>'25'!K22</f>
        <v>120000</v>
      </c>
      <c r="AB22" s="12">
        <f>'26'!K22</f>
        <v>120000</v>
      </c>
      <c r="AC22" s="12">
        <f>'27'!K22</f>
        <v>120000</v>
      </c>
      <c r="AD22" s="12">
        <f>'28'!K22</f>
        <v>120000</v>
      </c>
      <c r="AE22" s="12">
        <f>'29'!K22</f>
        <v>120000</v>
      </c>
      <c r="AF22" s="12">
        <f>'30'!K22</f>
        <v>120000</v>
      </c>
      <c r="AG22" s="12">
        <f>'31'!K22</f>
        <v>120000</v>
      </c>
      <c r="AH22" s="12">
        <v>105000</v>
      </c>
      <c r="AI22" s="12">
        <f t="shared" si="0"/>
        <v>-833.33333333332848</v>
      </c>
      <c r="AJ22" s="130">
        <f t="shared" si="1"/>
        <v>120618.27956989249</v>
      </c>
    </row>
    <row r="23" spans="1:36" x14ac:dyDescent="0.25">
      <c r="A23" s="97"/>
      <c r="B23" s="14" t="s">
        <v>16</v>
      </c>
      <c r="C23" s="12">
        <f>'01'!K23</f>
        <v>112142.85714285714</v>
      </c>
      <c r="D23" s="12">
        <f>'02'!K23</f>
        <v>112142.85714285714</v>
      </c>
      <c r="E23" s="12">
        <f>'03'!K23</f>
        <v>112142.85714285714</v>
      </c>
      <c r="F23" s="12">
        <f>'04'!K23</f>
        <v>112142.85714285714</v>
      </c>
      <c r="G23" s="12">
        <f>'05'!K23</f>
        <v>112142.85714285714</v>
      </c>
      <c r="H23" s="12">
        <f>'06'!K23</f>
        <v>112142.85714285714</v>
      </c>
      <c r="I23" s="12">
        <f>'07'!K23</f>
        <v>112142.85714285714</v>
      </c>
      <c r="J23" s="12">
        <f>'08'!K23</f>
        <v>112142.85714285714</v>
      </c>
      <c r="K23" s="12">
        <f>'09'!K23</f>
        <v>112142.85714285714</v>
      </c>
      <c r="L23" s="12">
        <f>'10'!K23</f>
        <v>112142.85714285714</v>
      </c>
      <c r="M23" s="12">
        <f>'11'!K23</f>
        <v>112142.85714285714</v>
      </c>
      <c r="N23" s="12">
        <f>'12'!K23</f>
        <v>112142.85714285714</v>
      </c>
      <c r="O23" s="12">
        <f>'13'!K23</f>
        <v>112142.85714285714</v>
      </c>
      <c r="P23" s="12">
        <f>'14'!K23</f>
        <v>112142.85714285714</v>
      </c>
      <c r="Q23" s="12">
        <f>'15'!K23</f>
        <v>112142.85714285714</v>
      </c>
      <c r="R23" s="12">
        <f>'16'!K23</f>
        <v>112142.85714285714</v>
      </c>
      <c r="S23" s="12">
        <f>'17'!K23</f>
        <v>112142.85714285714</v>
      </c>
      <c r="T23" s="12">
        <f>'18'!K23</f>
        <v>112142.85714285714</v>
      </c>
      <c r="U23" s="12">
        <f>'19'!K23</f>
        <v>112142.85714285714</v>
      </c>
      <c r="V23" s="12">
        <f>'20'!K23</f>
        <v>112142.85714285714</v>
      </c>
      <c r="W23" s="12">
        <f>'21'!K23</f>
        <v>112142.85714285714</v>
      </c>
      <c r="X23" s="12">
        <f>'22'!K23</f>
        <v>112142.85714285714</v>
      </c>
      <c r="Y23" s="12">
        <f>'23'!K23</f>
        <v>112142.85714285714</v>
      </c>
      <c r="Z23" s="12">
        <f>'24'!K23</f>
        <v>111428.57142857143</v>
      </c>
      <c r="AA23" s="12">
        <f>'25'!K23</f>
        <v>111428.57142857143</v>
      </c>
      <c r="AB23" s="12">
        <f>'26'!K23</f>
        <v>111428.57142857143</v>
      </c>
      <c r="AC23" s="12">
        <f>'27'!K23</f>
        <v>111428.57142857143</v>
      </c>
      <c r="AD23" s="12">
        <f>'28'!K23</f>
        <v>111428.57142857143</v>
      </c>
      <c r="AE23" s="12">
        <f>'29'!K23</f>
        <v>111428.57142857143</v>
      </c>
      <c r="AF23" s="12">
        <f>'30'!K23</f>
        <v>111428.57142857143</v>
      </c>
      <c r="AG23" s="12">
        <f>'31'!K23</f>
        <v>111428.57142857143</v>
      </c>
      <c r="AH23" s="12">
        <v>80000</v>
      </c>
      <c r="AI23" s="12">
        <f t="shared" si="0"/>
        <v>-714.28571428571013</v>
      </c>
      <c r="AJ23" s="130">
        <f t="shared" si="1"/>
        <v>111958.5253456221</v>
      </c>
    </row>
    <row r="24" spans="1:36" x14ac:dyDescent="0.25">
      <c r="A24" s="97"/>
      <c r="B24" s="14" t="s">
        <v>17</v>
      </c>
      <c r="C24" s="12">
        <f>'01'!K24</f>
        <v>100714.28571428571</v>
      </c>
      <c r="D24" s="12">
        <f>'02'!K24</f>
        <v>100714.28571428571</v>
      </c>
      <c r="E24" s="12">
        <f>'03'!K24</f>
        <v>100714.28571428571</v>
      </c>
      <c r="F24" s="12">
        <f>'04'!K24</f>
        <v>100714.28571428571</v>
      </c>
      <c r="G24" s="12">
        <f>'05'!K24</f>
        <v>100714.28571428571</v>
      </c>
      <c r="H24" s="12">
        <f>'06'!K24</f>
        <v>100714.28571428571</v>
      </c>
      <c r="I24" s="12">
        <f>'07'!K24</f>
        <v>100714.28571428571</v>
      </c>
      <c r="J24" s="12">
        <f>'08'!K24</f>
        <v>100714.28571428571</v>
      </c>
      <c r="K24" s="12">
        <f>'09'!K24</f>
        <v>100714.28571428571</v>
      </c>
      <c r="L24" s="12">
        <f>'10'!K24</f>
        <v>100714.28571428571</v>
      </c>
      <c r="M24" s="12">
        <f>'11'!K24</f>
        <v>100714.28571428571</v>
      </c>
      <c r="N24" s="12">
        <f>'12'!K24</f>
        <v>100714.28571428571</v>
      </c>
      <c r="O24" s="12">
        <f>'13'!K24</f>
        <v>100714.28571428571</v>
      </c>
      <c r="P24" s="12">
        <f>'14'!K24</f>
        <v>100714.28571428571</v>
      </c>
      <c r="Q24" s="12">
        <f>'15'!K24</f>
        <v>100714.28571428571</v>
      </c>
      <c r="R24" s="12">
        <f>'16'!K24</f>
        <v>100714.28571428571</v>
      </c>
      <c r="S24" s="12">
        <f>'17'!K24</f>
        <v>100714.28571428571</v>
      </c>
      <c r="T24" s="12">
        <f>'18'!K24</f>
        <v>100714.28571428571</v>
      </c>
      <c r="U24" s="12">
        <f>'19'!K24</f>
        <v>100714.28571428571</v>
      </c>
      <c r="V24" s="12">
        <f>'20'!K24</f>
        <v>100714.28571428571</v>
      </c>
      <c r="W24" s="12">
        <f>'21'!K24</f>
        <v>100714.28571428571</v>
      </c>
      <c r="X24" s="12">
        <f>'22'!K24</f>
        <v>100714.28571428571</v>
      </c>
      <c r="Y24" s="12">
        <f>'23'!K24</f>
        <v>100714.28571428571</v>
      </c>
      <c r="Z24" s="12">
        <f>'24'!K24</f>
        <v>100714.28571428571</v>
      </c>
      <c r="AA24" s="12">
        <f>'25'!K24</f>
        <v>100714.28571428571</v>
      </c>
      <c r="AB24" s="12">
        <f>'26'!K24</f>
        <v>100714.28571428571</v>
      </c>
      <c r="AC24" s="12">
        <f>'27'!K24</f>
        <v>100714.28571428571</v>
      </c>
      <c r="AD24" s="12">
        <f>'28'!K24</f>
        <v>100714.28571428571</v>
      </c>
      <c r="AE24" s="12">
        <f>'29'!K24</f>
        <v>100714.28571428571</v>
      </c>
      <c r="AF24" s="12">
        <f>'30'!K24</f>
        <v>100714.28571428571</v>
      </c>
      <c r="AG24" s="12">
        <f>'31'!K24</f>
        <v>100714.28571428571</v>
      </c>
      <c r="AH24" s="12">
        <v>80000</v>
      </c>
      <c r="AI24" s="12">
        <f t="shared" si="0"/>
        <v>0</v>
      </c>
      <c r="AJ24" s="130">
        <f t="shared" si="1"/>
        <v>100714.28571428577</v>
      </c>
    </row>
    <row r="25" spans="1:36" x14ac:dyDescent="0.25">
      <c r="A25" s="98"/>
      <c r="B25" s="14" t="s">
        <v>18</v>
      </c>
      <c r="C25" s="12">
        <f>'01'!K25</f>
        <v>35000</v>
      </c>
      <c r="D25" s="12">
        <f>'02'!K25</f>
        <v>35000</v>
      </c>
      <c r="E25" s="12">
        <f>'03'!K25</f>
        <v>35000</v>
      </c>
      <c r="F25" s="12">
        <f>'04'!K25</f>
        <v>35285.714285714283</v>
      </c>
      <c r="G25" s="12">
        <f>'05'!K25</f>
        <v>35142.857142857145</v>
      </c>
      <c r="H25" s="12">
        <f>'06'!K25</f>
        <v>35285.714285714283</v>
      </c>
      <c r="I25" s="12">
        <f>'07'!K25</f>
        <v>35285.714285714283</v>
      </c>
      <c r="J25" s="12">
        <f>'08'!K25</f>
        <v>35285.714285714283</v>
      </c>
      <c r="K25" s="12">
        <f>'09'!K25</f>
        <v>35571.428571428572</v>
      </c>
      <c r="L25" s="12">
        <f>'10'!K25</f>
        <v>35428.571428571428</v>
      </c>
      <c r="M25" s="12">
        <f>'11'!K25</f>
        <v>35285.714285714283</v>
      </c>
      <c r="N25" s="12">
        <f>'12'!K25</f>
        <v>35142.857142857145</v>
      </c>
      <c r="O25" s="12">
        <f>'13'!K25</f>
        <v>35285.714285714283</v>
      </c>
      <c r="P25" s="12">
        <f>'14'!K25</f>
        <v>35285.714285714283</v>
      </c>
      <c r="Q25" s="12">
        <f>'15'!K25</f>
        <v>35285.714285714283</v>
      </c>
      <c r="R25" s="12">
        <f>'16'!K25</f>
        <v>35000</v>
      </c>
      <c r="S25" s="12">
        <f>'17'!K25</f>
        <v>35000</v>
      </c>
      <c r="T25" s="12">
        <f>'18'!K25</f>
        <v>34571.428571428572</v>
      </c>
      <c r="U25" s="12">
        <f>'19'!K25</f>
        <v>34714.285714285717</v>
      </c>
      <c r="V25" s="12">
        <f>'20'!K25</f>
        <v>34714.285714285717</v>
      </c>
      <c r="W25" s="12">
        <f>'21'!K25</f>
        <v>34714.285714285717</v>
      </c>
      <c r="X25" s="12">
        <f>'22'!K25</f>
        <v>34857.142857142855</v>
      </c>
      <c r="Y25" s="12">
        <f>'23'!K25</f>
        <v>34857.142857142855</v>
      </c>
      <c r="Z25" s="12">
        <f>'24'!K25</f>
        <v>34857.142857142855</v>
      </c>
      <c r="AA25" s="12">
        <f>'25'!K25</f>
        <v>34428.571428571428</v>
      </c>
      <c r="AB25" s="12">
        <f>'26'!K25</f>
        <v>34428.571428571428</v>
      </c>
      <c r="AC25" s="12">
        <f>'27'!K25</f>
        <v>33857.142857142855</v>
      </c>
      <c r="AD25" s="12">
        <f>'28'!K25</f>
        <v>33857.142857142855</v>
      </c>
      <c r="AE25" s="12">
        <f>'29'!K25</f>
        <v>33857.142857142855</v>
      </c>
      <c r="AF25" s="12">
        <f>'30'!K25</f>
        <v>34000</v>
      </c>
      <c r="AG25" s="12">
        <f>'31'!K25</f>
        <v>34000</v>
      </c>
      <c r="AH25" s="12">
        <v>36750</v>
      </c>
      <c r="AI25" s="12">
        <f t="shared" si="0"/>
        <v>-1000</v>
      </c>
      <c r="AJ25" s="130">
        <f t="shared" si="1"/>
        <v>34847.926267281102</v>
      </c>
    </row>
    <row r="26" spans="1:36" x14ac:dyDescent="0.25">
      <c r="A26" s="96">
        <v>6</v>
      </c>
      <c r="B26" s="15" t="s">
        <v>19</v>
      </c>
      <c r="C26" s="12">
        <f>'01'!K26</f>
        <v>0</v>
      </c>
      <c r="D26" s="12">
        <f>'02'!K26</f>
        <v>0</v>
      </c>
      <c r="E26" s="12">
        <f>'03'!K26</f>
        <v>0</v>
      </c>
      <c r="F26" s="12">
        <f>'04'!K26</f>
        <v>0</v>
      </c>
      <c r="G26" s="12">
        <f>'05'!K26</f>
        <v>0</v>
      </c>
      <c r="H26" s="12">
        <f>'06'!K26</f>
        <v>0</v>
      </c>
      <c r="I26" s="12">
        <f>'07'!K26</f>
        <v>0</v>
      </c>
      <c r="J26" s="12">
        <f>'08'!K26</f>
        <v>0</v>
      </c>
      <c r="K26" s="12">
        <f>'09'!K26</f>
        <v>0</v>
      </c>
      <c r="L26" s="12">
        <f>'10'!K26</f>
        <v>0</v>
      </c>
      <c r="M26" s="12">
        <f>'11'!K26</f>
        <v>0</v>
      </c>
      <c r="N26" s="12">
        <f>'12'!K26</f>
        <v>0</v>
      </c>
      <c r="O26" s="12">
        <f>'13'!K26</f>
        <v>0</v>
      </c>
      <c r="P26" s="12">
        <f>'14'!K26</f>
        <v>0</v>
      </c>
      <c r="Q26" s="12">
        <f>'15'!K26</f>
        <v>0</v>
      </c>
      <c r="R26" s="12">
        <f>'16'!K26</f>
        <v>0</v>
      </c>
      <c r="S26" s="12">
        <f>'17'!K26</f>
        <v>0</v>
      </c>
      <c r="T26" s="12">
        <f>'18'!K26</f>
        <v>0</v>
      </c>
      <c r="U26" s="12">
        <f>'19'!K26</f>
        <v>0</v>
      </c>
      <c r="V26" s="12">
        <f>'20'!K26</f>
        <v>0</v>
      </c>
      <c r="W26" s="12">
        <f>'21'!K26</f>
        <v>0</v>
      </c>
      <c r="X26" s="12">
        <f>'22'!K26</f>
        <v>0</v>
      </c>
      <c r="Y26" s="12">
        <f>'23'!K26</f>
        <v>0</v>
      </c>
      <c r="Z26" s="12">
        <f>'24'!K26</f>
        <v>0</v>
      </c>
      <c r="AA26" s="12">
        <f>'25'!K26</f>
        <v>0</v>
      </c>
      <c r="AB26" s="12">
        <f>'26'!K26</f>
        <v>0</v>
      </c>
      <c r="AC26" s="12">
        <f>'27'!K26</f>
        <v>0</v>
      </c>
      <c r="AD26" s="12">
        <f>'28'!K26</f>
        <v>0</v>
      </c>
      <c r="AE26" s="12">
        <f>'29'!K26</f>
        <v>0</v>
      </c>
      <c r="AF26" s="12">
        <f>'30'!K26</f>
        <v>0</v>
      </c>
      <c r="AG26" s="12">
        <f>'31'!K26</f>
        <v>0</v>
      </c>
      <c r="AH26" s="12"/>
      <c r="AI26" s="12">
        <f t="shared" si="0"/>
        <v>0</v>
      </c>
      <c r="AJ26" s="130">
        <f t="shared" si="1"/>
        <v>0</v>
      </c>
    </row>
    <row r="27" spans="1:36" x14ac:dyDescent="0.25">
      <c r="A27" s="97"/>
      <c r="B27" s="14" t="s">
        <v>20</v>
      </c>
      <c r="C27" s="12">
        <f>'01'!K27</f>
        <v>35166.666666666664</v>
      </c>
      <c r="D27" s="12">
        <f>'02'!K27</f>
        <v>35166.666666666664</v>
      </c>
      <c r="E27" s="12">
        <f>'03'!K27</f>
        <v>35166.666666666664</v>
      </c>
      <c r="F27" s="12">
        <f>'04'!K27</f>
        <v>35166.666666666664</v>
      </c>
      <c r="G27" s="12">
        <f>'05'!K27</f>
        <v>35166.666666666664</v>
      </c>
      <c r="H27" s="12">
        <f>'06'!K27</f>
        <v>35166.666666666664</v>
      </c>
      <c r="I27" s="12">
        <f>'07'!K27</f>
        <v>35166.666666666664</v>
      </c>
      <c r="J27" s="12">
        <f>'08'!K27</f>
        <v>35166.666666666664</v>
      </c>
      <c r="K27" s="12">
        <f>'09'!K27</f>
        <v>35166.666666666664</v>
      </c>
      <c r="L27" s="12">
        <f>'10'!K27</f>
        <v>35166.666666666664</v>
      </c>
      <c r="M27" s="12">
        <f>'11'!K27</f>
        <v>35166.666666666664</v>
      </c>
      <c r="N27" s="12">
        <f>'12'!K27</f>
        <v>35166.666666666664</v>
      </c>
      <c r="O27" s="12">
        <f>'13'!K27</f>
        <v>35166.666666666664</v>
      </c>
      <c r="P27" s="12">
        <f>'14'!K27</f>
        <v>35166.666666666664</v>
      </c>
      <c r="Q27" s="12">
        <f>'15'!K27</f>
        <v>35166.666666666664</v>
      </c>
      <c r="R27" s="12">
        <f>'16'!K27</f>
        <v>35166.666666666664</v>
      </c>
      <c r="S27" s="12">
        <f>'17'!K27</f>
        <v>35166.666666666664</v>
      </c>
      <c r="T27" s="12">
        <f>'18'!K27</f>
        <v>35166.666666666664</v>
      </c>
      <c r="U27" s="12">
        <f>'19'!K27</f>
        <v>35166.666666666664</v>
      </c>
      <c r="V27" s="12">
        <f>'20'!K27</f>
        <v>35166.666666666664</v>
      </c>
      <c r="W27" s="12">
        <f>'21'!K27</f>
        <v>35166.666666666664</v>
      </c>
      <c r="X27" s="12">
        <f>'22'!K27</f>
        <v>35166.666666666664</v>
      </c>
      <c r="Y27" s="12">
        <f>'23'!K27</f>
        <v>35166.666666666664</v>
      </c>
      <c r="Z27" s="12">
        <f>'24'!K27</f>
        <v>35166.666666666664</v>
      </c>
      <c r="AA27" s="12">
        <f>'25'!K27</f>
        <v>35166.666666666664</v>
      </c>
      <c r="AB27" s="12">
        <f>'26'!K27</f>
        <v>35166.666666666664</v>
      </c>
      <c r="AC27" s="12">
        <f>'27'!K27</f>
        <v>35166.666666666664</v>
      </c>
      <c r="AD27" s="12">
        <f>'28'!K27</f>
        <v>35166.666666666664</v>
      </c>
      <c r="AE27" s="12">
        <f>'29'!K27</f>
        <v>35166.666666666664</v>
      </c>
      <c r="AF27" s="12">
        <f>'30'!K27</f>
        <v>35166.666666666664</v>
      </c>
      <c r="AG27" s="12">
        <f>'31'!K27</f>
        <v>35166.666666666664</v>
      </c>
      <c r="AH27" s="12"/>
      <c r="AI27" s="12">
        <f t="shared" si="0"/>
        <v>0</v>
      </c>
      <c r="AJ27" s="130">
        <f t="shared" si="1"/>
        <v>35166.666666666657</v>
      </c>
    </row>
    <row r="28" spans="1:36" x14ac:dyDescent="0.25">
      <c r="A28" s="97"/>
      <c r="B28" s="14" t="s">
        <v>21</v>
      </c>
      <c r="C28" s="12">
        <f>'01'!K28</f>
        <v>27000</v>
      </c>
      <c r="D28" s="12">
        <f>'02'!K28</f>
        <v>27000</v>
      </c>
      <c r="E28" s="12">
        <f>'03'!K28</f>
        <v>27000</v>
      </c>
      <c r="F28" s="12">
        <f>'04'!K28</f>
        <v>27000</v>
      </c>
      <c r="G28" s="12">
        <f>'05'!K28</f>
        <v>27000</v>
      </c>
      <c r="H28" s="12">
        <f>'06'!K28</f>
        <v>27000</v>
      </c>
      <c r="I28" s="12">
        <f>'07'!K28</f>
        <v>27000</v>
      </c>
      <c r="J28" s="12">
        <f>'08'!K28</f>
        <v>27000</v>
      </c>
      <c r="K28" s="12">
        <f>'09'!K28</f>
        <v>27000</v>
      </c>
      <c r="L28" s="12">
        <f>'10'!K28</f>
        <v>27000</v>
      </c>
      <c r="M28" s="12">
        <f>'11'!K28</f>
        <v>27000</v>
      </c>
      <c r="N28" s="12">
        <f>'12'!K28</f>
        <v>27000</v>
      </c>
      <c r="O28" s="12">
        <f>'13'!K28</f>
        <v>27000</v>
      </c>
      <c r="P28" s="12">
        <f>'14'!K28</f>
        <v>27000</v>
      </c>
      <c r="Q28" s="12">
        <f>'15'!K28</f>
        <v>27000</v>
      </c>
      <c r="R28" s="12">
        <f>'16'!K28</f>
        <v>27000</v>
      </c>
      <c r="S28" s="12">
        <f>'17'!K28</f>
        <v>27000</v>
      </c>
      <c r="T28" s="12">
        <f>'18'!K28</f>
        <v>27000</v>
      </c>
      <c r="U28" s="12">
        <f>'19'!K28</f>
        <v>27000</v>
      </c>
      <c r="V28" s="12">
        <f>'20'!K28</f>
        <v>27000</v>
      </c>
      <c r="W28" s="12">
        <f>'21'!K28</f>
        <v>27000</v>
      </c>
      <c r="X28" s="12">
        <f>'22'!K28</f>
        <v>27000</v>
      </c>
      <c r="Y28" s="12">
        <f>'23'!K28</f>
        <v>27000</v>
      </c>
      <c r="Z28" s="12">
        <f>'24'!K28</f>
        <v>27000</v>
      </c>
      <c r="AA28" s="12">
        <f>'25'!K28</f>
        <v>27000</v>
      </c>
      <c r="AB28" s="12">
        <f>'26'!K28</f>
        <v>27000</v>
      </c>
      <c r="AC28" s="12">
        <f>'27'!K28</f>
        <v>27285.714285714286</v>
      </c>
      <c r="AD28" s="12">
        <f>'28'!K28</f>
        <v>27285.714285714286</v>
      </c>
      <c r="AE28" s="12">
        <f>'29'!K28</f>
        <v>27285.714285714286</v>
      </c>
      <c r="AF28" s="12">
        <f>'30'!K28</f>
        <v>27285.714285714286</v>
      </c>
      <c r="AG28" s="12">
        <f>'31'!K28</f>
        <v>27285.714285714286</v>
      </c>
      <c r="AH28" s="12"/>
      <c r="AI28" s="12">
        <f t="shared" si="0"/>
        <v>285.71428571428623</v>
      </c>
      <c r="AJ28" s="130">
        <f t="shared" si="1"/>
        <v>27046.082949308762</v>
      </c>
    </row>
    <row r="29" spans="1:36" x14ac:dyDescent="0.25">
      <c r="A29" s="97"/>
      <c r="B29" s="14" t="s">
        <v>22</v>
      </c>
      <c r="C29" s="12">
        <f>'01'!K29</f>
        <v>64000</v>
      </c>
      <c r="D29" s="12">
        <f>'02'!K29</f>
        <v>64000</v>
      </c>
      <c r="E29" s="12">
        <f>'03'!K29</f>
        <v>64000</v>
      </c>
      <c r="F29" s="12">
        <f>'04'!K29</f>
        <v>64000</v>
      </c>
      <c r="G29" s="12">
        <f>'05'!K29</f>
        <v>63285.714285714283</v>
      </c>
      <c r="H29" s="12">
        <f>'06'!K29</f>
        <v>63285.714285714283</v>
      </c>
      <c r="I29" s="12">
        <f>'07'!K29</f>
        <v>63285.714285714283</v>
      </c>
      <c r="J29" s="12">
        <f>'08'!K29</f>
        <v>63285.714285714283</v>
      </c>
      <c r="K29" s="12">
        <f>'09'!K29</f>
        <v>63285.714285714283</v>
      </c>
      <c r="L29" s="12">
        <f>'10'!K29</f>
        <v>63285.714285714283</v>
      </c>
      <c r="M29" s="12">
        <f>'11'!K29</f>
        <v>63285.714285714283</v>
      </c>
      <c r="N29" s="12">
        <f>'12'!K29</f>
        <v>64428.571428571428</v>
      </c>
      <c r="O29" s="12">
        <f>'13'!K29</f>
        <v>66571.428571428565</v>
      </c>
      <c r="P29" s="12">
        <f>'14'!K29</f>
        <v>66571.428571428565</v>
      </c>
      <c r="Q29" s="12">
        <f>'15'!K29</f>
        <v>66571.428571428565</v>
      </c>
      <c r="R29" s="12">
        <f>'16'!K29</f>
        <v>66571.428571428565</v>
      </c>
      <c r="S29" s="12">
        <f>'17'!K29</f>
        <v>66571.428571428565</v>
      </c>
      <c r="T29" s="12">
        <f>'18'!K29</f>
        <v>66571.428571428565</v>
      </c>
      <c r="U29" s="12">
        <f>'19'!K29</f>
        <v>66571.428571428565</v>
      </c>
      <c r="V29" s="12">
        <f>'20'!K29</f>
        <v>66571.428571428565</v>
      </c>
      <c r="W29" s="12">
        <f>'21'!K29</f>
        <v>66571.428571428565</v>
      </c>
      <c r="X29" s="12">
        <f>'22'!K29</f>
        <v>66571.428571428565</v>
      </c>
      <c r="Y29" s="12">
        <f>'23'!K29</f>
        <v>66571.428571428565</v>
      </c>
      <c r="Z29" s="12">
        <f>'24'!K29</f>
        <v>66571.428571428565</v>
      </c>
      <c r="AA29" s="12">
        <f>'25'!K29</f>
        <v>66571.428571428565</v>
      </c>
      <c r="AB29" s="12">
        <f>'26'!K29</f>
        <v>66571.428571428565</v>
      </c>
      <c r="AC29" s="12">
        <f>'27'!K29</f>
        <v>66571.428571428565</v>
      </c>
      <c r="AD29" s="12">
        <f>'28'!K29</f>
        <v>66571.428571428565</v>
      </c>
      <c r="AE29" s="12">
        <f>'29'!K29</f>
        <v>66571.428571428565</v>
      </c>
      <c r="AF29" s="12">
        <f>'30'!K29</f>
        <v>66571.428571428565</v>
      </c>
      <c r="AG29" s="12">
        <f>'31'!K29</f>
        <v>66571.428571428565</v>
      </c>
      <c r="AH29" s="12"/>
      <c r="AI29" s="12">
        <f t="shared" si="0"/>
        <v>2571.4285714285652</v>
      </c>
      <c r="AJ29" s="130">
        <f t="shared" si="1"/>
        <v>65428.571428571449</v>
      </c>
    </row>
    <row r="30" spans="1:36" x14ac:dyDescent="0.25">
      <c r="A30" s="97"/>
      <c r="B30" s="14" t="s">
        <v>23</v>
      </c>
      <c r="C30" s="12">
        <f>'01'!K30</f>
        <v>24600</v>
      </c>
      <c r="D30" s="12">
        <f>'02'!K30</f>
        <v>24600</v>
      </c>
      <c r="E30" s="12">
        <f>'03'!K30</f>
        <v>24600</v>
      </c>
      <c r="F30" s="12">
        <f>'04'!K30</f>
        <v>24600</v>
      </c>
      <c r="G30" s="12">
        <f>'05'!K30</f>
        <v>24600</v>
      </c>
      <c r="H30" s="12">
        <f>'06'!K30</f>
        <v>24600</v>
      </c>
      <c r="I30" s="12">
        <f>'07'!K30</f>
        <v>24600</v>
      </c>
      <c r="J30" s="12">
        <f>'08'!K30</f>
        <v>24600</v>
      </c>
      <c r="K30" s="12">
        <f>'09'!K30</f>
        <v>24600</v>
      </c>
      <c r="L30" s="12">
        <f>'10'!K30</f>
        <v>24600</v>
      </c>
      <c r="M30" s="12">
        <f>'11'!K30</f>
        <v>24600</v>
      </c>
      <c r="N30" s="12">
        <f>'12'!K30</f>
        <v>24600</v>
      </c>
      <c r="O30" s="12">
        <f>'13'!K30</f>
        <v>24600</v>
      </c>
      <c r="P30" s="12">
        <f>'14'!K30</f>
        <v>24600</v>
      </c>
      <c r="Q30" s="12">
        <f>'15'!K30</f>
        <v>24600</v>
      </c>
      <c r="R30" s="12">
        <f>'16'!K30</f>
        <v>24600</v>
      </c>
      <c r="S30" s="12">
        <f>'17'!K30</f>
        <v>24600</v>
      </c>
      <c r="T30" s="12">
        <f>'18'!K30</f>
        <v>24600</v>
      </c>
      <c r="U30" s="12">
        <f>'19'!K30</f>
        <v>24600</v>
      </c>
      <c r="V30" s="12">
        <f>'20'!K30</f>
        <v>24600</v>
      </c>
      <c r="W30" s="12">
        <f>'21'!K30</f>
        <v>24600</v>
      </c>
      <c r="X30" s="12">
        <f>'22'!K30</f>
        <v>24600</v>
      </c>
      <c r="Y30" s="12">
        <f>'23'!K30</f>
        <v>24600</v>
      </c>
      <c r="Z30" s="12">
        <f>'24'!K30</f>
        <v>24600</v>
      </c>
      <c r="AA30" s="12">
        <f>'25'!K30</f>
        <v>24600</v>
      </c>
      <c r="AB30" s="12">
        <f>'26'!K30</f>
        <v>24600</v>
      </c>
      <c r="AC30" s="12">
        <f>'27'!K30</f>
        <v>24600</v>
      </c>
      <c r="AD30" s="12">
        <f>'28'!K30</f>
        <v>24600</v>
      </c>
      <c r="AE30" s="12">
        <f>'29'!K30</f>
        <v>24600</v>
      </c>
      <c r="AF30" s="12">
        <f>'30'!K30</f>
        <v>24600</v>
      </c>
      <c r="AG30" s="12">
        <f>'31'!K30</f>
        <v>24600</v>
      </c>
      <c r="AH30" s="12"/>
      <c r="AI30" s="12">
        <f t="shared" si="0"/>
        <v>0</v>
      </c>
      <c r="AJ30" s="130">
        <f t="shared" si="1"/>
        <v>24600</v>
      </c>
    </row>
    <row r="31" spans="1:36" x14ac:dyDescent="0.25">
      <c r="A31" s="97"/>
      <c r="B31" s="14" t="s">
        <v>24</v>
      </c>
      <c r="C31" s="12">
        <f>'01'!K31</f>
        <v>35285.714285714283</v>
      </c>
      <c r="D31" s="12">
        <f>'02'!K31</f>
        <v>35285.714285714283</v>
      </c>
      <c r="E31" s="12">
        <f>'03'!K31</f>
        <v>34571.428571428572</v>
      </c>
      <c r="F31" s="12">
        <f>'04'!K31</f>
        <v>34571.428571428572</v>
      </c>
      <c r="G31" s="12">
        <f>'05'!K31</f>
        <v>34285.714285714283</v>
      </c>
      <c r="H31" s="12">
        <f>'06'!K31</f>
        <v>34857.142857142855</v>
      </c>
      <c r="I31" s="12">
        <f>'07'!K31</f>
        <v>34857.142857142855</v>
      </c>
      <c r="J31" s="12">
        <f>'08'!K31</f>
        <v>34857.142857142855</v>
      </c>
      <c r="K31" s="12">
        <f>'09'!K31</f>
        <v>34857.142857142855</v>
      </c>
      <c r="L31" s="12">
        <f>'10'!K31</f>
        <v>34571.428571428572</v>
      </c>
      <c r="M31" s="12">
        <f>'11'!K31</f>
        <v>34571.428571428572</v>
      </c>
      <c r="N31" s="12">
        <f>'12'!K31</f>
        <v>35000</v>
      </c>
      <c r="O31" s="12">
        <f>'13'!K31</f>
        <v>35285.714285714283</v>
      </c>
      <c r="P31" s="12">
        <f>'14'!K31</f>
        <v>35285.714285714283</v>
      </c>
      <c r="Q31" s="12">
        <f>'15'!K31</f>
        <v>35285.714285714283</v>
      </c>
      <c r="R31" s="12">
        <f>'16'!K31</f>
        <v>35285.714285714283</v>
      </c>
      <c r="S31" s="12">
        <f>'17'!K31</f>
        <v>35285.714285714283</v>
      </c>
      <c r="T31" s="12">
        <f>'18'!K31</f>
        <v>35285.714285714283</v>
      </c>
      <c r="U31" s="12">
        <f>'19'!K31</f>
        <v>35285.714285714283</v>
      </c>
      <c r="V31" s="12">
        <f>'20'!K31</f>
        <v>36000</v>
      </c>
      <c r="W31" s="12">
        <f>'21'!K31</f>
        <v>36000</v>
      </c>
      <c r="X31" s="12">
        <f>'22'!K31</f>
        <v>36000</v>
      </c>
      <c r="Y31" s="12">
        <f>'23'!K31</f>
        <v>35428.571428571428</v>
      </c>
      <c r="Z31" s="12">
        <f>'24'!K31</f>
        <v>35428.571428571428</v>
      </c>
      <c r="AA31" s="12">
        <f>'25'!K31</f>
        <v>35714.285714285717</v>
      </c>
      <c r="AB31" s="12">
        <f>'26'!K31</f>
        <v>36000</v>
      </c>
      <c r="AC31" s="12">
        <f>'27'!K31</f>
        <v>36428.571428571428</v>
      </c>
      <c r="AD31" s="12">
        <f>'28'!K31</f>
        <v>36428.571428571428</v>
      </c>
      <c r="AE31" s="12">
        <f>'29'!K31</f>
        <v>36428.571428571428</v>
      </c>
      <c r="AF31" s="12">
        <f>'30'!K31</f>
        <v>36000</v>
      </c>
      <c r="AG31" s="12">
        <f>'31'!K31</f>
        <v>36000</v>
      </c>
      <c r="AH31" s="12"/>
      <c r="AI31" s="12">
        <f t="shared" si="0"/>
        <v>714.2857142857174</v>
      </c>
      <c r="AJ31" s="130">
        <f t="shared" si="1"/>
        <v>35368.663594470054</v>
      </c>
    </row>
    <row r="32" spans="1:36" x14ac:dyDescent="0.25">
      <c r="A32" s="98"/>
      <c r="B32" s="14" t="s">
        <v>25</v>
      </c>
      <c r="C32" s="12">
        <f>'01'!K32</f>
        <v>87500</v>
      </c>
      <c r="D32" s="12">
        <f>'02'!K32</f>
        <v>87500</v>
      </c>
      <c r="E32" s="12">
        <f>'03'!K32</f>
        <v>87500</v>
      </c>
      <c r="F32" s="12">
        <f>'04'!K32</f>
        <v>87500</v>
      </c>
      <c r="G32" s="12">
        <f>'05'!K32</f>
        <v>87500</v>
      </c>
      <c r="H32" s="12">
        <f>'06'!K32</f>
        <v>87500</v>
      </c>
      <c r="I32" s="12">
        <f>'07'!K32</f>
        <v>87500</v>
      </c>
      <c r="J32" s="12">
        <f>'08'!K32</f>
        <v>87500</v>
      </c>
      <c r="K32" s="12">
        <f>'09'!K32</f>
        <v>87500</v>
      </c>
      <c r="L32" s="12">
        <f>'10'!K32</f>
        <v>87500</v>
      </c>
      <c r="M32" s="12">
        <f>'11'!K32</f>
        <v>87500</v>
      </c>
      <c r="N32" s="12">
        <f>'12'!K32</f>
        <v>87500</v>
      </c>
      <c r="O32" s="12">
        <f>'13'!K32</f>
        <v>87500</v>
      </c>
      <c r="P32" s="12">
        <f>'14'!K32</f>
        <v>87500</v>
      </c>
      <c r="Q32" s="12">
        <f>'15'!K32</f>
        <v>87500</v>
      </c>
      <c r="R32" s="12">
        <f>'16'!K32</f>
        <v>87500</v>
      </c>
      <c r="S32" s="12">
        <f>'17'!K32</f>
        <v>87500</v>
      </c>
      <c r="T32" s="12">
        <f>'18'!K32</f>
        <v>87500</v>
      </c>
      <c r="U32" s="12">
        <f>'19'!K32</f>
        <v>87500</v>
      </c>
      <c r="V32" s="12">
        <f>'20'!K32</f>
        <v>87500</v>
      </c>
      <c r="W32" s="12">
        <f>'21'!K32</f>
        <v>87500</v>
      </c>
      <c r="X32" s="12">
        <f>'22'!K32</f>
        <v>87500</v>
      </c>
      <c r="Y32" s="12">
        <f>'23'!K32</f>
        <v>87500</v>
      </c>
      <c r="Z32" s="12">
        <f>'24'!K32</f>
        <v>87500</v>
      </c>
      <c r="AA32" s="12">
        <f>'25'!K32</f>
        <v>87500</v>
      </c>
      <c r="AB32" s="12">
        <f>'26'!K32</f>
        <v>87500</v>
      </c>
      <c r="AC32" s="12">
        <f>'27'!K32</f>
        <v>87500</v>
      </c>
      <c r="AD32" s="12">
        <f>'28'!K32</f>
        <v>87500</v>
      </c>
      <c r="AE32" s="12">
        <f>'29'!K32</f>
        <v>87500</v>
      </c>
      <c r="AF32" s="12">
        <f>'30'!K32</f>
        <v>87500</v>
      </c>
      <c r="AG32" s="12">
        <f>'31'!K32</f>
        <v>87500</v>
      </c>
      <c r="AH32" s="12"/>
      <c r="AI32" s="12">
        <f t="shared" si="0"/>
        <v>0</v>
      </c>
      <c r="AJ32" s="130">
        <f t="shared" si="1"/>
        <v>87500</v>
      </c>
    </row>
    <row r="33" spans="1:36" x14ac:dyDescent="0.25">
      <c r="A33" s="96">
        <v>7</v>
      </c>
      <c r="B33" s="15" t="s">
        <v>26</v>
      </c>
      <c r="C33" s="12">
        <f>'01'!K33</f>
        <v>0</v>
      </c>
      <c r="D33" s="12">
        <f>'02'!K33</f>
        <v>0</v>
      </c>
      <c r="E33" s="12">
        <f>'03'!K33</f>
        <v>0</v>
      </c>
      <c r="F33" s="12">
        <f>'04'!K33</f>
        <v>0</v>
      </c>
      <c r="G33" s="12">
        <f>'05'!K33</f>
        <v>0</v>
      </c>
      <c r="H33" s="12">
        <f>'06'!K33</f>
        <v>0</v>
      </c>
      <c r="I33" s="12">
        <f>'07'!K33</f>
        <v>0</v>
      </c>
      <c r="J33" s="12">
        <f>'08'!K33</f>
        <v>0</v>
      </c>
      <c r="K33" s="12">
        <f>'09'!K33</f>
        <v>0</v>
      </c>
      <c r="L33" s="12">
        <f>'10'!K33</f>
        <v>0</v>
      </c>
      <c r="M33" s="12">
        <f>'11'!K33</f>
        <v>0</v>
      </c>
      <c r="N33" s="12">
        <f>'12'!K33</f>
        <v>0</v>
      </c>
      <c r="O33" s="12">
        <f>'13'!K33</f>
        <v>0</v>
      </c>
      <c r="P33" s="12">
        <f>'14'!K33</f>
        <v>0</v>
      </c>
      <c r="Q33" s="12">
        <f>'15'!K33</f>
        <v>0</v>
      </c>
      <c r="R33" s="12">
        <f>'16'!K33</f>
        <v>0</v>
      </c>
      <c r="S33" s="12">
        <f>'17'!K33</f>
        <v>0</v>
      </c>
      <c r="T33" s="12">
        <f>'18'!K33</f>
        <v>0</v>
      </c>
      <c r="U33" s="12">
        <f>'19'!K33</f>
        <v>0</v>
      </c>
      <c r="V33" s="12">
        <f>'20'!K33</f>
        <v>0</v>
      </c>
      <c r="W33" s="12">
        <f>'21'!K33</f>
        <v>0</v>
      </c>
      <c r="X33" s="12">
        <f>'22'!K33</f>
        <v>0</v>
      </c>
      <c r="Y33" s="12">
        <f>'23'!K33</f>
        <v>0</v>
      </c>
      <c r="Z33" s="12">
        <f>'24'!K33</f>
        <v>0</v>
      </c>
      <c r="AA33" s="12">
        <f>'25'!K33</f>
        <v>0</v>
      </c>
      <c r="AB33" s="12">
        <f>'26'!K33</f>
        <v>0</v>
      </c>
      <c r="AC33" s="12">
        <f>'27'!K33</f>
        <v>0</v>
      </c>
      <c r="AD33" s="12">
        <f>'28'!K33</f>
        <v>0</v>
      </c>
      <c r="AE33" s="12">
        <f>'29'!K33</f>
        <v>0</v>
      </c>
      <c r="AF33" s="12">
        <f>'30'!K33</f>
        <v>0</v>
      </c>
      <c r="AG33" s="12">
        <f>'31'!K33</f>
        <v>0</v>
      </c>
      <c r="AH33" s="12"/>
      <c r="AI33" s="12">
        <f t="shared" si="0"/>
        <v>0</v>
      </c>
      <c r="AJ33" s="130">
        <f t="shared" si="1"/>
        <v>0</v>
      </c>
    </row>
    <row r="34" spans="1:36" x14ac:dyDescent="0.25">
      <c r="A34" s="97"/>
      <c r="B34" s="14" t="s">
        <v>99</v>
      </c>
      <c r="C34" s="12">
        <f>'01'!K34</f>
        <v>24428.571428571428</v>
      </c>
      <c r="D34" s="12">
        <f>'02'!K34</f>
        <v>24571.428571428572</v>
      </c>
      <c r="E34" s="12">
        <f>'03'!K34</f>
        <v>24714.285714285714</v>
      </c>
      <c r="F34" s="12">
        <f>'04'!K34</f>
        <v>24785.714285714286</v>
      </c>
      <c r="G34" s="12">
        <f>'05'!K34</f>
        <v>24785.714285714286</v>
      </c>
      <c r="H34" s="12">
        <f>'06'!K34</f>
        <v>25000</v>
      </c>
      <c r="I34" s="12">
        <f>'07'!K34</f>
        <v>25000</v>
      </c>
      <c r="J34" s="12">
        <f>'08'!K34</f>
        <v>24857.142857142859</v>
      </c>
      <c r="K34" s="12">
        <f>'09'!K34</f>
        <v>25000</v>
      </c>
      <c r="L34" s="12">
        <f>'10'!K34</f>
        <v>25000</v>
      </c>
      <c r="M34" s="12">
        <f>'11'!K34</f>
        <v>25000</v>
      </c>
      <c r="N34" s="12">
        <f>'12'!K34</f>
        <v>25000</v>
      </c>
      <c r="O34" s="12">
        <f>'13'!K34</f>
        <v>24928.571428571428</v>
      </c>
      <c r="P34" s="12">
        <f>'14'!K34</f>
        <v>24928.571428571428</v>
      </c>
      <c r="Q34" s="12">
        <f>'15'!K34</f>
        <v>24928.571428571428</v>
      </c>
      <c r="R34" s="12">
        <f>'16'!K34</f>
        <v>24857.142857142859</v>
      </c>
      <c r="S34" s="12">
        <f>'17'!K34</f>
        <v>24857.142857142859</v>
      </c>
      <c r="T34" s="12">
        <f>'18'!K34</f>
        <v>24857.142857142859</v>
      </c>
      <c r="U34" s="12">
        <f>'19'!K34</f>
        <v>24857.142857142859</v>
      </c>
      <c r="V34" s="12">
        <f>'20'!K34</f>
        <v>24857.142857142859</v>
      </c>
      <c r="W34" s="12">
        <f>'21'!K34</f>
        <v>24857.142857142859</v>
      </c>
      <c r="X34" s="12">
        <f>'22'!K34</f>
        <v>25000</v>
      </c>
      <c r="Y34" s="12">
        <f>'23'!K34</f>
        <v>24714.285714285714</v>
      </c>
      <c r="Z34" s="12">
        <f>'24'!K34</f>
        <v>24714.285714285714</v>
      </c>
      <c r="AA34" s="12">
        <f>'25'!K34</f>
        <v>24571.428571428572</v>
      </c>
      <c r="AB34" s="12">
        <f>'26'!K34</f>
        <v>24571.428571428572</v>
      </c>
      <c r="AC34" s="12">
        <f>'27'!K34</f>
        <v>24571.428571428572</v>
      </c>
      <c r="AD34" s="12">
        <f>'28'!K34</f>
        <v>24571.428571428572</v>
      </c>
      <c r="AE34" s="12">
        <f>'29'!K34</f>
        <v>24571.428571428572</v>
      </c>
      <c r="AF34" s="12">
        <f>'30'!K34</f>
        <v>24571.428571428572</v>
      </c>
      <c r="AG34" s="12">
        <f>'31'!K34</f>
        <v>24428.571428571428</v>
      </c>
      <c r="AH34" s="12">
        <v>27000</v>
      </c>
      <c r="AI34" s="12">
        <f t="shared" si="0"/>
        <v>0</v>
      </c>
      <c r="AJ34" s="130">
        <f t="shared" si="1"/>
        <v>24785.714285714272</v>
      </c>
    </row>
    <row r="35" spans="1:36" x14ac:dyDescent="0.25">
      <c r="A35" s="98"/>
      <c r="B35" s="14" t="s">
        <v>28</v>
      </c>
      <c r="C35" s="12">
        <f>'01'!K35</f>
        <v>2757.1428571428573</v>
      </c>
      <c r="D35" s="12">
        <f>'02'!K35</f>
        <v>2757.1428571428573</v>
      </c>
      <c r="E35" s="12">
        <f>'03'!K35</f>
        <v>2757.1428571428573</v>
      </c>
      <c r="F35" s="12">
        <f>'04'!K35</f>
        <v>2757.1428571428573</v>
      </c>
      <c r="G35" s="12">
        <f>'05'!K35</f>
        <v>2757.1428571428573</v>
      </c>
      <c r="H35" s="12">
        <f>'06'!K35</f>
        <v>2757.1428571428573</v>
      </c>
      <c r="I35" s="12">
        <f>'07'!K35</f>
        <v>2757.1428571428573</v>
      </c>
      <c r="J35" s="12">
        <f>'08'!K35</f>
        <v>2757.1428571428573</v>
      </c>
      <c r="K35" s="12">
        <f>'09'!K35</f>
        <v>2757.1428571428573</v>
      </c>
      <c r="L35" s="12">
        <f>'10'!K35</f>
        <v>2757.1428571428573</v>
      </c>
      <c r="M35" s="12">
        <f>'11'!K35</f>
        <v>2757.1428571428573</v>
      </c>
      <c r="N35" s="12">
        <f>'12'!K35</f>
        <v>2757.1428571428573</v>
      </c>
      <c r="O35" s="12">
        <f>'13'!K35</f>
        <v>2757.1428571428573</v>
      </c>
      <c r="P35" s="12">
        <f>'14'!K35</f>
        <v>2757.1428571428573</v>
      </c>
      <c r="Q35" s="12">
        <f>'15'!K35</f>
        <v>2757.1428571428573</v>
      </c>
      <c r="R35" s="12">
        <f>'16'!K35</f>
        <v>2757.1428571428573</v>
      </c>
      <c r="S35" s="12">
        <f>'17'!K35</f>
        <v>2757.1428571428573</v>
      </c>
      <c r="T35" s="12">
        <f>'18'!K35</f>
        <v>2757.1428571428573</v>
      </c>
      <c r="U35" s="12">
        <f>'19'!K35</f>
        <v>2757.1428571428573</v>
      </c>
      <c r="V35" s="12">
        <f>'20'!K35</f>
        <v>2757.1428571428573</v>
      </c>
      <c r="W35" s="12">
        <f>'21'!K35</f>
        <v>2757.1428571428573</v>
      </c>
      <c r="X35" s="12">
        <f>'22'!K35</f>
        <v>2757.1428571428573</v>
      </c>
      <c r="Y35" s="12">
        <f>'23'!K35</f>
        <v>2757.1428571428573</v>
      </c>
      <c r="Z35" s="12">
        <f>'24'!K35</f>
        <v>2757.1428571428573</v>
      </c>
      <c r="AA35" s="12">
        <f>'25'!K35</f>
        <v>2757.1428571428573</v>
      </c>
      <c r="AB35" s="12">
        <f>'26'!K35</f>
        <v>2757.1428571428573</v>
      </c>
      <c r="AC35" s="12">
        <f>'27'!K35</f>
        <v>2757.1428571428573</v>
      </c>
      <c r="AD35" s="12">
        <f>'28'!K35</f>
        <v>2728.5714285714284</v>
      </c>
      <c r="AE35" s="12">
        <f>'29'!K35</f>
        <v>2728.5714285714284</v>
      </c>
      <c r="AF35" s="12">
        <f>'30'!K35</f>
        <v>2728.5714285714284</v>
      </c>
      <c r="AG35" s="12">
        <f>'31'!K35</f>
        <v>2728.5714285714284</v>
      </c>
      <c r="AH35" s="12"/>
      <c r="AI35" s="12">
        <f t="shared" si="0"/>
        <v>-28.571428571428896</v>
      </c>
      <c r="AJ35" s="130">
        <f t="shared" si="1"/>
        <v>2753.456221198157</v>
      </c>
    </row>
    <row r="36" spans="1:36" x14ac:dyDescent="0.25">
      <c r="A36" s="25">
        <v>8</v>
      </c>
      <c r="B36" s="16" t="s">
        <v>117</v>
      </c>
      <c r="C36" s="12">
        <f>'01'!K36</f>
        <v>0</v>
      </c>
      <c r="D36" s="12">
        <f>'02'!K36</f>
        <v>0</v>
      </c>
      <c r="E36" s="12">
        <f>'03'!K36</f>
        <v>0</v>
      </c>
      <c r="F36" s="12">
        <f>'04'!K36</f>
        <v>0</v>
      </c>
      <c r="G36" s="12">
        <f>'05'!K36</f>
        <v>0</v>
      </c>
      <c r="H36" s="12">
        <f>'06'!K36</f>
        <v>0</v>
      </c>
      <c r="I36" s="12">
        <f>'07'!K36</f>
        <v>0</v>
      </c>
      <c r="J36" s="12">
        <f>'08'!K36</f>
        <v>0</v>
      </c>
      <c r="K36" s="12">
        <f>'09'!K36</f>
        <v>0</v>
      </c>
      <c r="L36" s="12">
        <f>'10'!K36</f>
        <v>0</v>
      </c>
      <c r="M36" s="12">
        <f>'11'!K36</f>
        <v>0</v>
      </c>
      <c r="N36" s="12">
        <f>'12'!K36</f>
        <v>0</v>
      </c>
      <c r="O36" s="12">
        <f>'13'!K36</f>
        <v>0</v>
      </c>
      <c r="P36" s="12">
        <f>'14'!K36</f>
        <v>0</v>
      </c>
      <c r="Q36" s="12">
        <f>'15'!K36</f>
        <v>0</v>
      </c>
      <c r="R36" s="12">
        <f>'16'!K36</f>
        <v>0</v>
      </c>
      <c r="S36" s="12">
        <f>'17'!K36</f>
        <v>0</v>
      </c>
      <c r="T36" s="12">
        <f>'18'!K36</f>
        <v>0</v>
      </c>
      <c r="U36" s="12">
        <f>'19'!K36</f>
        <v>0</v>
      </c>
      <c r="V36" s="12">
        <f>'20'!K36</f>
        <v>0</v>
      </c>
      <c r="W36" s="12">
        <f>'21'!K36</f>
        <v>0</v>
      </c>
      <c r="X36" s="12">
        <f>'22'!K36</f>
        <v>0</v>
      </c>
      <c r="Y36" s="12">
        <f>'23'!K36</f>
        <v>0</v>
      </c>
      <c r="Z36" s="12">
        <f>'24'!K36</f>
        <v>0</v>
      </c>
      <c r="AA36" s="12">
        <f>'25'!K36</f>
        <v>0</v>
      </c>
      <c r="AB36" s="12">
        <f>'26'!K36</f>
        <v>0</v>
      </c>
      <c r="AC36" s="12">
        <f>'27'!K36</f>
        <v>0</v>
      </c>
      <c r="AD36" s="12">
        <f>'28'!K36</f>
        <v>0</v>
      </c>
      <c r="AE36" s="12">
        <f>'29'!K36</f>
        <v>0</v>
      </c>
      <c r="AF36" s="12">
        <f>'30'!K36</f>
        <v>0</v>
      </c>
      <c r="AG36" s="12">
        <f>'31'!K36</f>
        <v>0</v>
      </c>
      <c r="AH36" s="12"/>
      <c r="AI36" s="12">
        <f t="shared" si="0"/>
        <v>0</v>
      </c>
      <c r="AJ36" s="130">
        <f t="shared" si="1"/>
        <v>0</v>
      </c>
    </row>
    <row r="37" spans="1:36" x14ac:dyDescent="0.25">
      <c r="A37" s="25"/>
      <c r="B37" s="17" t="s">
        <v>118</v>
      </c>
      <c r="C37" s="12">
        <f>'01'!K37</f>
        <v>9857.1428571428569</v>
      </c>
      <c r="D37" s="12">
        <f>'02'!K37</f>
        <v>9857.1428571428569</v>
      </c>
      <c r="E37" s="12">
        <f>'03'!K37</f>
        <v>9857.1428571428569</v>
      </c>
      <c r="F37" s="12">
        <f>'04'!K37</f>
        <v>9857.1428571428569</v>
      </c>
      <c r="G37" s="12">
        <f>'05'!K37</f>
        <v>9857.1428571428569</v>
      </c>
      <c r="H37" s="12">
        <f>'06'!K37</f>
        <v>9857.1428571428569</v>
      </c>
      <c r="I37" s="12">
        <f>'07'!K37</f>
        <v>9857.1428571428569</v>
      </c>
      <c r="J37" s="12">
        <f>'08'!K37</f>
        <v>9857.1428571428569</v>
      </c>
      <c r="K37" s="12">
        <f>'09'!K37</f>
        <v>9857.1428571428569</v>
      </c>
      <c r="L37" s="12">
        <f>'10'!K37</f>
        <v>9857.1428571428569</v>
      </c>
      <c r="M37" s="12">
        <f>'11'!K37</f>
        <v>9857.1428571428569</v>
      </c>
      <c r="N37" s="12">
        <f>'12'!K37</f>
        <v>9857.1428571428569</v>
      </c>
      <c r="O37" s="12">
        <f>'13'!K37</f>
        <v>9857.1428571428569</v>
      </c>
      <c r="P37" s="12">
        <f>'14'!K37</f>
        <v>9857.1428571428569</v>
      </c>
      <c r="Q37" s="12">
        <f>'15'!K37</f>
        <v>9857.1428571428569</v>
      </c>
      <c r="R37" s="12">
        <f>'16'!K37</f>
        <v>9857.1428571428569</v>
      </c>
      <c r="S37" s="12">
        <f>'17'!K37</f>
        <v>9857.1428571428569</v>
      </c>
      <c r="T37" s="12">
        <f>'18'!K37</f>
        <v>9857.1428571428569</v>
      </c>
      <c r="U37" s="12">
        <f>'19'!K37</f>
        <v>9857.1428571428569</v>
      </c>
      <c r="V37" s="12">
        <f>'20'!K37</f>
        <v>9857.1428571428569</v>
      </c>
      <c r="W37" s="12">
        <f>'21'!K37</f>
        <v>9857.1428571428569</v>
      </c>
      <c r="X37" s="12">
        <f>'22'!K37</f>
        <v>9857.1428571428569</v>
      </c>
      <c r="Y37" s="12">
        <f>'23'!K37</f>
        <v>9857.1428571428569</v>
      </c>
      <c r="Z37" s="12">
        <f>'24'!K37</f>
        <v>9857.1428571428569</v>
      </c>
      <c r="AA37" s="12">
        <f>'25'!K37</f>
        <v>9857.1428571428569</v>
      </c>
      <c r="AB37" s="12">
        <f>'26'!K37</f>
        <v>9857.1428571428569</v>
      </c>
      <c r="AC37" s="12">
        <f>'27'!K37</f>
        <v>8750</v>
      </c>
      <c r="AD37" s="12">
        <f>'28'!K37</f>
        <v>8750</v>
      </c>
      <c r="AE37" s="12">
        <f>'29'!K37</f>
        <v>8750</v>
      </c>
      <c r="AF37" s="12">
        <f>'30'!K37</f>
        <v>8750</v>
      </c>
      <c r="AG37" s="12">
        <f>'31'!K37</f>
        <v>8750</v>
      </c>
      <c r="AH37" s="12"/>
      <c r="AI37" s="12">
        <f t="shared" si="0"/>
        <v>-1107.1428571428569</v>
      </c>
      <c r="AJ37" s="130">
        <f t="shared" si="1"/>
        <v>9678.571428571433</v>
      </c>
    </row>
    <row r="38" spans="1:36" x14ac:dyDescent="0.25">
      <c r="A38" s="26"/>
      <c r="B38" s="17" t="s">
        <v>119</v>
      </c>
      <c r="C38" s="12">
        <f>'01'!K38</f>
        <v>12600</v>
      </c>
      <c r="D38" s="12">
        <f>'02'!K38</f>
        <v>12600</v>
      </c>
      <c r="E38" s="12">
        <f>'03'!K38</f>
        <v>12600</v>
      </c>
      <c r="F38" s="12">
        <f>'04'!K38</f>
        <v>12600</v>
      </c>
      <c r="G38" s="12">
        <f>'05'!K38</f>
        <v>12600</v>
      </c>
      <c r="H38" s="12">
        <f>'06'!K38</f>
        <v>12600</v>
      </c>
      <c r="I38" s="12">
        <f>'07'!K38</f>
        <v>12600</v>
      </c>
      <c r="J38" s="12">
        <f>'08'!K38</f>
        <v>12600</v>
      </c>
      <c r="K38" s="12">
        <f>'09'!K38</f>
        <v>12600</v>
      </c>
      <c r="L38" s="12">
        <f>'10'!K38</f>
        <v>12600</v>
      </c>
      <c r="M38" s="12">
        <f>'11'!K38</f>
        <v>12600</v>
      </c>
      <c r="N38" s="12">
        <f>'12'!K38</f>
        <v>12600</v>
      </c>
      <c r="O38" s="12">
        <f>'13'!K38</f>
        <v>12600</v>
      </c>
      <c r="P38" s="12">
        <f>'14'!K38</f>
        <v>12600</v>
      </c>
      <c r="Q38" s="12">
        <f>'15'!K38</f>
        <v>12600</v>
      </c>
      <c r="R38" s="12">
        <f>'16'!K38</f>
        <v>12600</v>
      </c>
      <c r="S38" s="12">
        <f>'17'!K38</f>
        <v>12600</v>
      </c>
      <c r="T38" s="12">
        <f>'18'!K38</f>
        <v>12600</v>
      </c>
      <c r="U38" s="12">
        <f>'19'!K38</f>
        <v>12600</v>
      </c>
      <c r="V38" s="12">
        <f>'20'!K38</f>
        <v>12600</v>
      </c>
      <c r="W38" s="12">
        <f>'21'!K38</f>
        <v>12600</v>
      </c>
      <c r="X38" s="12">
        <f>'22'!K38</f>
        <v>12600</v>
      </c>
      <c r="Y38" s="12">
        <f>'23'!K38</f>
        <v>12600</v>
      </c>
      <c r="Z38" s="12">
        <f>'24'!K38</f>
        <v>12600</v>
      </c>
      <c r="AA38" s="12">
        <f>'25'!K38</f>
        <v>12600</v>
      </c>
      <c r="AB38" s="12">
        <f>'26'!K38</f>
        <v>12600</v>
      </c>
      <c r="AC38" s="12">
        <f>'27'!K38</f>
        <v>12600</v>
      </c>
      <c r="AD38" s="12">
        <f>'28'!K38</f>
        <v>12600</v>
      </c>
      <c r="AE38" s="12">
        <f>'29'!K38</f>
        <v>12600</v>
      </c>
      <c r="AF38" s="12">
        <f>'30'!K38</f>
        <v>12600</v>
      </c>
      <c r="AG38" s="12">
        <f>'31'!K38</f>
        <v>12600</v>
      </c>
      <c r="AH38" s="12"/>
      <c r="AI38" s="12">
        <f t="shared" si="0"/>
        <v>0</v>
      </c>
      <c r="AJ38" s="130">
        <f t="shared" si="1"/>
        <v>12600</v>
      </c>
    </row>
    <row r="39" spans="1:36" x14ac:dyDescent="0.25">
      <c r="A39" s="25">
        <v>9</v>
      </c>
      <c r="B39" s="16" t="s">
        <v>120</v>
      </c>
      <c r="C39" s="12">
        <f>'01'!K39</f>
        <v>0</v>
      </c>
      <c r="D39" s="12">
        <f>'02'!K39</f>
        <v>0</v>
      </c>
      <c r="E39" s="12">
        <f>'03'!K39</f>
        <v>0</v>
      </c>
      <c r="F39" s="12">
        <f>'04'!K39</f>
        <v>0</v>
      </c>
      <c r="G39" s="12">
        <f>'05'!K39</f>
        <v>0</v>
      </c>
      <c r="H39" s="12">
        <f>'06'!K39</f>
        <v>0</v>
      </c>
      <c r="I39" s="12">
        <f>'07'!K39</f>
        <v>0</v>
      </c>
      <c r="J39" s="12">
        <f>'08'!K39</f>
        <v>0</v>
      </c>
      <c r="K39" s="12">
        <f>'09'!K39</f>
        <v>0</v>
      </c>
      <c r="L39" s="12">
        <f>'10'!K39</f>
        <v>0</v>
      </c>
      <c r="M39" s="12">
        <f>'11'!K39</f>
        <v>0</v>
      </c>
      <c r="N39" s="12">
        <f>'12'!K39</f>
        <v>0</v>
      </c>
      <c r="O39" s="12">
        <f>'13'!K39</f>
        <v>0</v>
      </c>
      <c r="P39" s="12">
        <f>'14'!K39</f>
        <v>0</v>
      </c>
      <c r="Q39" s="12">
        <f>'15'!K39</f>
        <v>0</v>
      </c>
      <c r="R39" s="12">
        <f>'16'!K39</f>
        <v>0</v>
      </c>
      <c r="S39" s="12">
        <f>'17'!K39</f>
        <v>0</v>
      </c>
      <c r="T39" s="12">
        <f>'18'!K39</f>
        <v>0</v>
      </c>
      <c r="U39" s="12">
        <f>'19'!K39</f>
        <v>0</v>
      </c>
      <c r="V39" s="12">
        <f>'20'!K39</f>
        <v>0</v>
      </c>
      <c r="W39" s="12">
        <f>'21'!K39</f>
        <v>0</v>
      </c>
      <c r="X39" s="12">
        <f>'22'!K39</f>
        <v>0</v>
      </c>
      <c r="Y39" s="12">
        <f>'23'!K39</f>
        <v>0</v>
      </c>
      <c r="Z39" s="12">
        <f>'24'!K39</f>
        <v>0</v>
      </c>
      <c r="AA39" s="12">
        <f>'25'!K39</f>
        <v>0</v>
      </c>
      <c r="AB39" s="12">
        <f>'26'!K39</f>
        <v>0</v>
      </c>
      <c r="AC39" s="12">
        <f>'27'!K39</f>
        <v>0</v>
      </c>
      <c r="AD39" s="12">
        <f>'28'!K39</f>
        <v>0</v>
      </c>
      <c r="AE39" s="12">
        <f>'29'!K39</f>
        <v>0</v>
      </c>
      <c r="AF39" s="12">
        <f>'30'!K39</f>
        <v>0</v>
      </c>
      <c r="AG39" s="12">
        <f>'31'!K39</f>
        <v>0</v>
      </c>
      <c r="AH39" s="12"/>
      <c r="AI39" s="12">
        <f t="shared" si="0"/>
        <v>0</v>
      </c>
      <c r="AJ39" s="130">
        <f t="shared" si="1"/>
        <v>0</v>
      </c>
    </row>
    <row r="40" spans="1:36" x14ac:dyDescent="0.25">
      <c r="A40" s="25"/>
      <c r="B40" s="17" t="s">
        <v>121</v>
      </c>
      <c r="C40" s="12">
        <f>'01'!K40</f>
        <v>13000</v>
      </c>
      <c r="D40" s="12">
        <f>'02'!K40</f>
        <v>13000</v>
      </c>
      <c r="E40" s="12">
        <f>'03'!K40</f>
        <v>13000</v>
      </c>
      <c r="F40" s="12">
        <f>'04'!K40</f>
        <v>13000</v>
      </c>
      <c r="G40" s="12">
        <f>'05'!K40</f>
        <v>13000</v>
      </c>
      <c r="H40" s="12">
        <f>'06'!K40</f>
        <v>13000</v>
      </c>
      <c r="I40" s="12">
        <f>'07'!K40</f>
        <v>13000</v>
      </c>
      <c r="J40" s="12">
        <f>'08'!K40</f>
        <v>13000</v>
      </c>
      <c r="K40" s="12">
        <f>'09'!K40</f>
        <v>13000</v>
      </c>
      <c r="L40" s="12">
        <f>'10'!K40</f>
        <v>13000</v>
      </c>
      <c r="M40" s="12">
        <f>'11'!K40</f>
        <v>13000</v>
      </c>
      <c r="N40" s="12">
        <f>'12'!K40</f>
        <v>13000</v>
      </c>
      <c r="O40" s="12">
        <f>'13'!K40</f>
        <v>13000</v>
      </c>
      <c r="P40" s="12">
        <f>'14'!K40</f>
        <v>13000</v>
      </c>
      <c r="Q40" s="12">
        <f>'15'!K40</f>
        <v>13000</v>
      </c>
      <c r="R40" s="12">
        <f>'16'!K40</f>
        <v>13000</v>
      </c>
      <c r="S40" s="12">
        <f>'17'!K40</f>
        <v>13000</v>
      </c>
      <c r="T40" s="12">
        <f>'18'!K40</f>
        <v>13000</v>
      </c>
      <c r="U40" s="12">
        <f>'19'!K40</f>
        <v>13000</v>
      </c>
      <c r="V40" s="12">
        <f>'20'!K40</f>
        <v>13000</v>
      </c>
      <c r="W40" s="12">
        <f>'21'!K40</f>
        <v>13000</v>
      </c>
      <c r="X40" s="12">
        <f>'22'!K40</f>
        <v>13000</v>
      </c>
      <c r="Y40" s="12">
        <f>'23'!K40</f>
        <v>13000</v>
      </c>
      <c r="Z40" s="12">
        <f>'24'!K40</f>
        <v>13000</v>
      </c>
      <c r="AA40" s="12">
        <f>'25'!K40</f>
        <v>13000</v>
      </c>
      <c r="AB40" s="12">
        <f>'26'!K40</f>
        <v>13000</v>
      </c>
      <c r="AC40" s="12">
        <f>'27'!K40</f>
        <v>13000</v>
      </c>
      <c r="AD40" s="12">
        <f>'28'!K40</f>
        <v>13000</v>
      </c>
      <c r="AE40" s="12">
        <f>'29'!K40</f>
        <v>13000</v>
      </c>
      <c r="AF40" s="12">
        <f>'30'!K40</f>
        <v>13000</v>
      </c>
      <c r="AG40" s="12">
        <f>'31'!K40</f>
        <v>13000</v>
      </c>
      <c r="AH40" s="12"/>
      <c r="AI40" s="12">
        <f t="shared" si="0"/>
        <v>0</v>
      </c>
      <c r="AJ40" s="130">
        <f t="shared" si="1"/>
        <v>13000</v>
      </c>
    </row>
    <row r="41" spans="1:36" x14ac:dyDescent="0.25">
      <c r="A41" s="25"/>
      <c r="B41" s="17" t="s">
        <v>122</v>
      </c>
      <c r="C41" s="12">
        <f>'01'!K41</f>
        <v>4250</v>
      </c>
      <c r="D41" s="12">
        <f>'02'!K41</f>
        <v>4250</v>
      </c>
      <c r="E41" s="12">
        <f>'03'!K41</f>
        <v>4250</v>
      </c>
      <c r="F41" s="12">
        <f>'04'!K41</f>
        <v>4250</v>
      </c>
      <c r="G41" s="12">
        <f>'05'!K41</f>
        <v>4250</v>
      </c>
      <c r="H41" s="12">
        <f>'06'!K41</f>
        <v>4250</v>
      </c>
      <c r="I41" s="12">
        <f>'07'!K41</f>
        <v>4250</v>
      </c>
      <c r="J41" s="12">
        <f>'08'!K41</f>
        <v>4250</v>
      </c>
      <c r="K41" s="12">
        <f>'09'!K41</f>
        <v>4250</v>
      </c>
      <c r="L41" s="12">
        <f>'10'!K41</f>
        <v>4250</v>
      </c>
      <c r="M41" s="12">
        <f>'11'!K41</f>
        <v>4250</v>
      </c>
      <c r="N41" s="12">
        <f>'12'!K41</f>
        <v>4250</v>
      </c>
      <c r="O41" s="12">
        <f>'13'!K41</f>
        <v>4250</v>
      </c>
      <c r="P41" s="12">
        <f>'14'!K41</f>
        <v>4250</v>
      </c>
      <c r="Q41" s="12">
        <f>'15'!K41</f>
        <v>4250</v>
      </c>
      <c r="R41" s="12">
        <f>'16'!K41</f>
        <v>4250</v>
      </c>
      <c r="S41" s="12">
        <f>'17'!K41</f>
        <v>4250</v>
      </c>
      <c r="T41" s="12">
        <f>'18'!K41</f>
        <v>4250</v>
      </c>
      <c r="U41" s="12">
        <f>'19'!K41</f>
        <v>4250</v>
      </c>
      <c r="V41" s="12">
        <f>'20'!K41</f>
        <v>4250</v>
      </c>
      <c r="W41" s="12">
        <f>'21'!K41</f>
        <v>4250</v>
      </c>
      <c r="X41" s="12">
        <f>'22'!K41</f>
        <v>4250</v>
      </c>
      <c r="Y41" s="12">
        <f>'23'!K41</f>
        <v>4250</v>
      </c>
      <c r="Z41" s="12">
        <f>'24'!K41</f>
        <v>4250</v>
      </c>
      <c r="AA41" s="12">
        <f>'25'!K41</f>
        <v>4250</v>
      </c>
      <c r="AB41" s="12">
        <f>'26'!K41</f>
        <v>4250</v>
      </c>
      <c r="AC41" s="12">
        <f>'27'!K41</f>
        <v>4250</v>
      </c>
      <c r="AD41" s="12">
        <f>'28'!K41</f>
        <v>4250</v>
      </c>
      <c r="AE41" s="12">
        <f>'29'!K41</f>
        <v>4250</v>
      </c>
      <c r="AF41" s="12">
        <f>'30'!K41</f>
        <v>4250</v>
      </c>
      <c r="AG41" s="12">
        <f>'31'!K41</f>
        <v>4250</v>
      </c>
      <c r="AH41" s="12"/>
      <c r="AI41" s="12">
        <f t="shared" si="0"/>
        <v>0</v>
      </c>
      <c r="AJ41" s="130">
        <f t="shared" si="1"/>
        <v>4250</v>
      </c>
    </row>
    <row r="42" spans="1:36" x14ac:dyDescent="0.25">
      <c r="A42" s="25"/>
      <c r="B42" s="17" t="s">
        <v>123</v>
      </c>
      <c r="C42" s="12">
        <f>'01'!K42</f>
        <v>2500</v>
      </c>
      <c r="D42" s="12">
        <f>'02'!K42</f>
        <v>2500</v>
      </c>
      <c r="E42" s="12">
        <f>'03'!K42</f>
        <v>2500</v>
      </c>
      <c r="F42" s="12">
        <f>'04'!K42</f>
        <v>2500</v>
      </c>
      <c r="G42" s="12">
        <f>'05'!K42</f>
        <v>2500</v>
      </c>
      <c r="H42" s="12">
        <f>'06'!K42</f>
        <v>2500</v>
      </c>
      <c r="I42" s="12">
        <f>'07'!K42</f>
        <v>2500</v>
      </c>
      <c r="J42" s="12">
        <f>'08'!K42</f>
        <v>2500</v>
      </c>
      <c r="K42" s="12">
        <f>'09'!K42</f>
        <v>2500</v>
      </c>
      <c r="L42" s="12">
        <f>'10'!K42</f>
        <v>2500</v>
      </c>
      <c r="M42" s="12">
        <f>'11'!K42</f>
        <v>2500</v>
      </c>
      <c r="N42" s="12">
        <f>'12'!K42</f>
        <v>2500</v>
      </c>
      <c r="O42" s="12">
        <f>'13'!K42</f>
        <v>2500</v>
      </c>
      <c r="P42" s="12">
        <f>'14'!K42</f>
        <v>2500</v>
      </c>
      <c r="Q42" s="12">
        <f>'15'!K42</f>
        <v>2500</v>
      </c>
      <c r="R42" s="12">
        <f>'16'!K42</f>
        <v>2500</v>
      </c>
      <c r="S42" s="12">
        <f>'17'!K42</f>
        <v>2500</v>
      </c>
      <c r="T42" s="12">
        <f>'18'!K42</f>
        <v>2500</v>
      </c>
      <c r="U42" s="12">
        <f>'19'!K42</f>
        <v>2500</v>
      </c>
      <c r="V42" s="12">
        <f>'20'!K42</f>
        <v>2500</v>
      </c>
      <c r="W42" s="12">
        <f>'21'!K42</f>
        <v>2500</v>
      </c>
      <c r="X42" s="12">
        <f>'22'!K42</f>
        <v>2500</v>
      </c>
      <c r="Y42" s="12">
        <f>'23'!K42</f>
        <v>2500</v>
      </c>
      <c r="Z42" s="12">
        <f>'24'!K42</f>
        <v>2500</v>
      </c>
      <c r="AA42" s="12">
        <f>'25'!K42</f>
        <v>2500</v>
      </c>
      <c r="AB42" s="12">
        <f>'26'!K42</f>
        <v>2500</v>
      </c>
      <c r="AC42" s="12">
        <f>'27'!K42</f>
        <v>2500</v>
      </c>
      <c r="AD42" s="12">
        <f>'28'!K42</f>
        <v>2500</v>
      </c>
      <c r="AE42" s="12">
        <f>'29'!K42</f>
        <v>2500</v>
      </c>
      <c r="AF42" s="12">
        <f>'30'!K42</f>
        <v>2500</v>
      </c>
      <c r="AG42" s="12">
        <f>'31'!K42</f>
        <v>2500</v>
      </c>
      <c r="AH42" s="12"/>
      <c r="AI42" s="12">
        <f t="shared" si="0"/>
        <v>0</v>
      </c>
      <c r="AJ42" s="130">
        <f t="shared" si="1"/>
        <v>2500</v>
      </c>
    </row>
    <row r="43" spans="1:36" x14ac:dyDescent="0.25">
      <c r="A43" s="96">
        <v>10</v>
      </c>
      <c r="B43" s="15" t="s">
        <v>30</v>
      </c>
      <c r="C43" s="12">
        <f>'01'!K43</f>
        <v>0</v>
      </c>
      <c r="D43" s="12">
        <f>'02'!K43</f>
        <v>0</v>
      </c>
      <c r="E43" s="12">
        <f>'03'!K43</f>
        <v>0</v>
      </c>
      <c r="F43" s="12">
        <f>'04'!K43</f>
        <v>0</v>
      </c>
      <c r="G43" s="12">
        <f>'05'!K43</f>
        <v>0</v>
      </c>
      <c r="H43" s="12">
        <f>'06'!K43</f>
        <v>0</v>
      </c>
      <c r="I43" s="12">
        <f>'07'!K43</f>
        <v>0</v>
      </c>
      <c r="J43" s="12">
        <f>'08'!K43</f>
        <v>0</v>
      </c>
      <c r="K43" s="12">
        <f>'09'!K43</f>
        <v>0</v>
      </c>
      <c r="L43" s="12">
        <f>'10'!K43</f>
        <v>0</v>
      </c>
      <c r="M43" s="12">
        <f>'11'!K43</f>
        <v>0</v>
      </c>
      <c r="N43" s="12">
        <f>'12'!K43</f>
        <v>0</v>
      </c>
      <c r="O43" s="12">
        <f>'13'!K43</f>
        <v>0</v>
      </c>
      <c r="P43" s="12">
        <f>'14'!K43</f>
        <v>0</v>
      </c>
      <c r="Q43" s="12">
        <f>'15'!K43</f>
        <v>0</v>
      </c>
      <c r="R43" s="12">
        <f>'16'!K43</f>
        <v>0</v>
      </c>
      <c r="S43" s="12">
        <f>'17'!K43</f>
        <v>0</v>
      </c>
      <c r="T43" s="12">
        <f>'18'!K43</f>
        <v>0</v>
      </c>
      <c r="U43" s="12">
        <f>'19'!K43</f>
        <v>0</v>
      </c>
      <c r="V43" s="12">
        <f>'20'!K43</f>
        <v>0</v>
      </c>
      <c r="W43" s="12">
        <f>'21'!K43</f>
        <v>0</v>
      </c>
      <c r="X43" s="12">
        <f>'22'!K43</f>
        <v>0</v>
      </c>
      <c r="Y43" s="12">
        <f>'23'!K43</f>
        <v>0</v>
      </c>
      <c r="Z43" s="12">
        <f>'24'!K43</f>
        <v>0</v>
      </c>
      <c r="AA43" s="12">
        <f>'25'!K43</f>
        <v>0</v>
      </c>
      <c r="AB43" s="12">
        <f>'26'!K43</f>
        <v>0</v>
      </c>
      <c r="AC43" s="12">
        <f>'27'!K43</f>
        <v>0</v>
      </c>
      <c r="AD43" s="12">
        <f>'28'!K43</f>
        <v>0</v>
      </c>
      <c r="AE43" s="12">
        <f>'29'!K43</f>
        <v>0</v>
      </c>
      <c r="AF43" s="12">
        <f>'30'!K43</f>
        <v>0</v>
      </c>
      <c r="AG43" s="12">
        <f>'31'!K43</f>
        <v>0</v>
      </c>
      <c r="AH43" s="12"/>
      <c r="AI43" s="12">
        <f t="shared" si="0"/>
        <v>0</v>
      </c>
      <c r="AJ43" s="130">
        <f t="shared" si="1"/>
        <v>0</v>
      </c>
    </row>
    <row r="44" spans="1:36" x14ac:dyDescent="0.25">
      <c r="A44" s="97"/>
      <c r="B44" s="14" t="s">
        <v>31</v>
      </c>
      <c r="C44" s="12">
        <f>'01'!K44</f>
        <v>12416.666666666666</v>
      </c>
      <c r="D44" s="12">
        <f>'02'!K44</f>
        <v>12416.666666666666</v>
      </c>
      <c r="E44" s="12">
        <f>'03'!K44</f>
        <v>12416.666666666666</v>
      </c>
      <c r="F44" s="12">
        <f>'04'!K44</f>
        <v>12416.666666666666</v>
      </c>
      <c r="G44" s="12">
        <f>'05'!K44</f>
        <v>12416.666666666666</v>
      </c>
      <c r="H44" s="12">
        <f>'06'!K44</f>
        <v>12416.666666666666</v>
      </c>
      <c r="I44" s="12">
        <f>'07'!K44</f>
        <v>12416.666666666666</v>
      </c>
      <c r="J44" s="12">
        <f>'08'!K44</f>
        <v>12416.666666666666</v>
      </c>
      <c r="K44" s="12">
        <f>'09'!K44</f>
        <v>12416.666666666666</v>
      </c>
      <c r="L44" s="12">
        <f>'10'!K44</f>
        <v>12416.666666666666</v>
      </c>
      <c r="M44" s="12">
        <f>'11'!K44</f>
        <v>12416.666666666666</v>
      </c>
      <c r="N44" s="12">
        <f>'12'!K44</f>
        <v>12416.666666666666</v>
      </c>
      <c r="O44" s="12">
        <f>'13'!K44</f>
        <v>12416.666666666666</v>
      </c>
      <c r="P44" s="12">
        <f>'14'!K44</f>
        <v>12416.666666666666</v>
      </c>
      <c r="Q44" s="12">
        <f>'15'!K44</f>
        <v>12416.666666666666</v>
      </c>
      <c r="R44" s="12">
        <f>'16'!K44</f>
        <v>12416.666666666666</v>
      </c>
      <c r="S44" s="12">
        <f>'17'!K44</f>
        <v>12416.666666666666</v>
      </c>
      <c r="T44" s="12">
        <f>'18'!K44</f>
        <v>12416.666666666666</v>
      </c>
      <c r="U44" s="12">
        <f>'19'!K44</f>
        <v>12416.666666666666</v>
      </c>
      <c r="V44" s="12">
        <f>'20'!K44</f>
        <v>12416.666666666666</v>
      </c>
      <c r="W44" s="12">
        <f>'21'!K44</f>
        <v>12416.666666666666</v>
      </c>
      <c r="X44" s="12">
        <f>'22'!K44</f>
        <v>12416.666666666666</v>
      </c>
      <c r="Y44" s="12">
        <f>'23'!K44</f>
        <v>12416.666666666666</v>
      </c>
      <c r="Z44" s="12">
        <f>'24'!K44</f>
        <v>12416.666666666666</v>
      </c>
      <c r="AA44" s="12">
        <f>'25'!K44</f>
        <v>12416.666666666666</v>
      </c>
      <c r="AB44" s="12">
        <f>'26'!K44</f>
        <v>12416.666666666666</v>
      </c>
      <c r="AC44" s="12">
        <f>'27'!K44</f>
        <v>12416.666666666666</v>
      </c>
      <c r="AD44" s="12">
        <f>'28'!K44</f>
        <v>12416.666666666666</v>
      </c>
      <c r="AE44" s="12">
        <f>'29'!K44</f>
        <v>12416.666666666666</v>
      </c>
      <c r="AF44" s="12">
        <f>'30'!K44</f>
        <v>12416.666666666666</v>
      </c>
      <c r="AG44" s="12">
        <f>'31'!K44</f>
        <v>12416.666666666666</v>
      </c>
      <c r="AH44" s="12"/>
      <c r="AI44" s="12">
        <f t="shared" si="0"/>
        <v>0</v>
      </c>
      <c r="AJ44" s="130">
        <f t="shared" si="1"/>
        <v>12416.66666666667</v>
      </c>
    </row>
    <row r="45" spans="1:36" x14ac:dyDescent="0.25">
      <c r="A45" s="98"/>
      <c r="B45" s="14" t="s">
        <v>33</v>
      </c>
      <c r="C45" s="12">
        <f>'01'!K45</f>
        <v>12583.333333333334</v>
      </c>
      <c r="D45" s="12">
        <f>'02'!K45</f>
        <v>12583.333333333334</v>
      </c>
      <c r="E45" s="12">
        <f>'03'!K45</f>
        <v>12583.333333333334</v>
      </c>
      <c r="F45" s="12">
        <f>'04'!K45</f>
        <v>12583.333333333334</v>
      </c>
      <c r="G45" s="12">
        <f>'05'!K45</f>
        <v>12583.333333333334</v>
      </c>
      <c r="H45" s="12">
        <f>'06'!K45</f>
        <v>12583.333333333334</v>
      </c>
      <c r="I45" s="12">
        <f>'07'!K45</f>
        <v>12583.333333333334</v>
      </c>
      <c r="J45" s="12">
        <f>'08'!K45</f>
        <v>12583.333333333334</v>
      </c>
      <c r="K45" s="12">
        <f>'09'!K45</f>
        <v>12583.333333333334</v>
      </c>
      <c r="L45" s="12">
        <f>'10'!K45</f>
        <v>12583.333333333334</v>
      </c>
      <c r="M45" s="12">
        <f>'11'!K45</f>
        <v>12583.333333333334</v>
      </c>
      <c r="N45" s="12">
        <f>'12'!K45</f>
        <v>12583.333333333334</v>
      </c>
      <c r="O45" s="12">
        <f>'13'!K45</f>
        <v>12583.333333333334</v>
      </c>
      <c r="P45" s="12">
        <f>'14'!K45</f>
        <v>12583.333333333334</v>
      </c>
      <c r="Q45" s="12">
        <f>'15'!K45</f>
        <v>12583.333333333334</v>
      </c>
      <c r="R45" s="12">
        <f>'16'!K45</f>
        <v>12583.333333333334</v>
      </c>
      <c r="S45" s="12">
        <f>'17'!K45</f>
        <v>12583.333333333334</v>
      </c>
      <c r="T45" s="12">
        <f>'18'!K45</f>
        <v>12583.333333333334</v>
      </c>
      <c r="U45" s="12">
        <f>'19'!K45</f>
        <v>12583.333333333334</v>
      </c>
      <c r="V45" s="12">
        <f>'20'!K45</f>
        <v>12583.333333333334</v>
      </c>
      <c r="W45" s="12">
        <f>'21'!K45</f>
        <v>12583.333333333334</v>
      </c>
      <c r="X45" s="12">
        <f>'22'!K45</f>
        <v>12583.333333333334</v>
      </c>
      <c r="Y45" s="12">
        <f>'23'!K45</f>
        <v>12583.333333333334</v>
      </c>
      <c r="Z45" s="12">
        <f>'24'!K45</f>
        <v>12583.333333333334</v>
      </c>
      <c r="AA45" s="12">
        <f>'25'!K45</f>
        <v>12583.333333333334</v>
      </c>
      <c r="AB45" s="12">
        <f>'26'!K45</f>
        <v>12583.333333333334</v>
      </c>
      <c r="AC45" s="12">
        <f>'27'!K45</f>
        <v>12583.333333333334</v>
      </c>
      <c r="AD45" s="12">
        <f>'28'!K45</f>
        <v>12583.333333333334</v>
      </c>
      <c r="AE45" s="12">
        <f>'29'!K45</f>
        <v>12583.333333333334</v>
      </c>
      <c r="AF45" s="12">
        <f>'30'!K45</f>
        <v>12583.333333333334</v>
      </c>
      <c r="AG45" s="12">
        <f>'31'!K45</f>
        <v>12583.333333333334</v>
      </c>
      <c r="AH45" s="12"/>
      <c r="AI45" s="12">
        <f t="shared" si="0"/>
        <v>0</v>
      </c>
      <c r="AJ45" s="130">
        <f t="shared" si="1"/>
        <v>12583.333333333328</v>
      </c>
    </row>
    <row r="46" spans="1:36" x14ac:dyDescent="0.25">
      <c r="A46" s="96">
        <v>11</v>
      </c>
      <c r="B46" s="15" t="s">
        <v>34</v>
      </c>
      <c r="C46" s="12">
        <f>'01'!K46</f>
        <v>0</v>
      </c>
      <c r="D46" s="12">
        <f>'02'!K46</f>
        <v>0</v>
      </c>
      <c r="E46" s="12">
        <f>'03'!K46</f>
        <v>0</v>
      </c>
      <c r="F46" s="12">
        <f>'04'!K46</f>
        <v>0</v>
      </c>
      <c r="G46" s="12">
        <f>'05'!K46</f>
        <v>0</v>
      </c>
      <c r="H46" s="12">
        <f>'06'!K46</f>
        <v>0</v>
      </c>
      <c r="I46" s="12">
        <f>'07'!K46</f>
        <v>0</v>
      </c>
      <c r="J46" s="12">
        <f>'08'!K46</f>
        <v>0</v>
      </c>
      <c r="K46" s="12">
        <f>'09'!K46</f>
        <v>0</v>
      </c>
      <c r="L46" s="12">
        <f>'10'!K46</f>
        <v>0</v>
      </c>
      <c r="M46" s="12">
        <f>'11'!K46</f>
        <v>0</v>
      </c>
      <c r="N46" s="12">
        <f>'12'!K46</f>
        <v>0</v>
      </c>
      <c r="O46" s="12">
        <f>'13'!K46</f>
        <v>0</v>
      </c>
      <c r="P46" s="12">
        <f>'14'!K46</f>
        <v>0</v>
      </c>
      <c r="Q46" s="12">
        <f>'15'!K46</f>
        <v>0</v>
      </c>
      <c r="R46" s="12">
        <f>'16'!K46</f>
        <v>0</v>
      </c>
      <c r="S46" s="12">
        <f>'17'!K46</f>
        <v>0</v>
      </c>
      <c r="T46" s="12">
        <f>'18'!K46</f>
        <v>0</v>
      </c>
      <c r="U46" s="12">
        <f>'19'!K46</f>
        <v>0</v>
      </c>
      <c r="V46" s="12">
        <f>'20'!K46</f>
        <v>0</v>
      </c>
      <c r="W46" s="12">
        <f>'21'!K46</f>
        <v>0</v>
      </c>
      <c r="X46" s="12">
        <f>'22'!K46</f>
        <v>0</v>
      </c>
      <c r="Y46" s="12">
        <f>'23'!K46</f>
        <v>0</v>
      </c>
      <c r="Z46" s="12">
        <f>'24'!K46</f>
        <v>0</v>
      </c>
      <c r="AA46" s="12">
        <f>'25'!K46</f>
        <v>0</v>
      </c>
      <c r="AB46" s="12">
        <f>'26'!K46</f>
        <v>0</v>
      </c>
      <c r="AC46" s="12">
        <f>'27'!K46</f>
        <v>0</v>
      </c>
      <c r="AD46" s="12">
        <f>'28'!K46</f>
        <v>0</v>
      </c>
      <c r="AE46" s="12">
        <f>'29'!K46</f>
        <v>0</v>
      </c>
      <c r="AF46" s="12">
        <f>'30'!K46</f>
        <v>0</v>
      </c>
      <c r="AG46" s="12">
        <f>'31'!K46</f>
        <v>0</v>
      </c>
      <c r="AH46" s="12"/>
      <c r="AI46" s="12">
        <f t="shared" si="0"/>
        <v>0</v>
      </c>
      <c r="AJ46" s="130">
        <f t="shared" si="1"/>
        <v>0</v>
      </c>
    </row>
    <row r="47" spans="1:36" x14ac:dyDescent="0.25">
      <c r="A47" s="97"/>
      <c r="B47" s="14" t="s">
        <v>35</v>
      </c>
      <c r="C47" s="12">
        <f>'01'!K47</f>
        <v>17500</v>
      </c>
      <c r="D47" s="12">
        <f>'02'!K47</f>
        <v>17500</v>
      </c>
      <c r="E47" s="12">
        <f>'03'!K47</f>
        <v>17500</v>
      </c>
      <c r="F47" s="12">
        <f>'04'!K47</f>
        <v>17500</v>
      </c>
      <c r="G47" s="12">
        <f>'05'!K47</f>
        <v>17500</v>
      </c>
      <c r="H47" s="12">
        <f>'06'!K47</f>
        <v>17500</v>
      </c>
      <c r="I47" s="12">
        <f>'07'!K47</f>
        <v>17500</v>
      </c>
      <c r="J47" s="12">
        <f>'08'!K47</f>
        <v>17500</v>
      </c>
      <c r="K47" s="12">
        <f>'09'!K47</f>
        <v>17500</v>
      </c>
      <c r="L47" s="12">
        <f>'10'!K47</f>
        <v>17500</v>
      </c>
      <c r="M47" s="12">
        <f>'11'!K47</f>
        <v>17500</v>
      </c>
      <c r="N47" s="12">
        <f>'12'!K47</f>
        <v>17500</v>
      </c>
      <c r="O47" s="12">
        <f>'13'!K47</f>
        <v>17500</v>
      </c>
      <c r="P47" s="12">
        <f>'14'!K47</f>
        <v>17500</v>
      </c>
      <c r="Q47" s="12">
        <f>'15'!K47</f>
        <v>17500</v>
      </c>
      <c r="R47" s="12">
        <f>'16'!K47</f>
        <v>17500</v>
      </c>
      <c r="S47" s="12">
        <f>'17'!K47</f>
        <v>17500</v>
      </c>
      <c r="T47" s="12">
        <f>'18'!K47</f>
        <v>17500</v>
      </c>
      <c r="U47" s="12">
        <f>'19'!K47</f>
        <v>17500</v>
      </c>
      <c r="V47" s="12">
        <f>'20'!K47</f>
        <v>17500</v>
      </c>
      <c r="W47" s="12">
        <f>'21'!K47</f>
        <v>17500</v>
      </c>
      <c r="X47" s="12">
        <f>'22'!K47</f>
        <v>17500</v>
      </c>
      <c r="Y47" s="12">
        <f>'23'!K47</f>
        <v>17500</v>
      </c>
      <c r="Z47" s="12">
        <f>'24'!K47</f>
        <v>17500</v>
      </c>
      <c r="AA47" s="12">
        <f>'25'!K47</f>
        <v>17500</v>
      </c>
      <c r="AB47" s="12">
        <f>'26'!K47</f>
        <v>17500</v>
      </c>
      <c r="AC47" s="12">
        <f>'27'!K47</f>
        <v>17500</v>
      </c>
      <c r="AD47" s="12">
        <f>'28'!K47</f>
        <v>17500</v>
      </c>
      <c r="AE47" s="12">
        <f>'29'!K47</f>
        <v>17500</v>
      </c>
      <c r="AF47" s="12">
        <f>'30'!K47</f>
        <v>17500</v>
      </c>
      <c r="AG47" s="12">
        <f>'31'!K47</f>
        <v>17500</v>
      </c>
      <c r="AH47" s="12"/>
      <c r="AI47" s="12">
        <f t="shared" si="0"/>
        <v>0</v>
      </c>
      <c r="AJ47" s="130">
        <f t="shared" si="1"/>
        <v>17500</v>
      </c>
    </row>
    <row r="48" spans="1:36" x14ac:dyDescent="0.25">
      <c r="A48" s="98"/>
      <c r="B48" s="14" t="s">
        <v>37</v>
      </c>
      <c r="C48" s="12">
        <f>'01'!K48</f>
        <v>2000</v>
      </c>
      <c r="D48" s="12">
        <f>'02'!K48</f>
        <v>2000</v>
      </c>
      <c r="E48" s="12">
        <f>'03'!K48</f>
        <v>2000</v>
      </c>
      <c r="F48" s="12">
        <f>'04'!K48</f>
        <v>2000</v>
      </c>
      <c r="G48" s="12">
        <f>'05'!K48</f>
        <v>2000</v>
      </c>
      <c r="H48" s="12">
        <f>'06'!K48</f>
        <v>2000</v>
      </c>
      <c r="I48" s="12">
        <f>'07'!K48</f>
        <v>2000</v>
      </c>
      <c r="J48" s="12">
        <f>'08'!K48</f>
        <v>2000</v>
      </c>
      <c r="K48" s="12">
        <f>'09'!K48</f>
        <v>2000</v>
      </c>
      <c r="L48" s="12">
        <f>'10'!K48</f>
        <v>2000</v>
      </c>
      <c r="M48" s="12">
        <f>'11'!K48</f>
        <v>2000</v>
      </c>
      <c r="N48" s="12">
        <f>'12'!K48</f>
        <v>2000</v>
      </c>
      <c r="O48" s="12">
        <f>'13'!K48</f>
        <v>2000</v>
      </c>
      <c r="P48" s="12">
        <f>'14'!K48</f>
        <v>2000</v>
      </c>
      <c r="Q48" s="12">
        <f>'15'!K48</f>
        <v>2000</v>
      </c>
      <c r="R48" s="12">
        <f>'16'!K48</f>
        <v>2000</v>
      </c>
      <c r="S48" s="12">
        <f>'17'!K48</f>
        <v>2000</v>
      </c>
      <c r="T48" s="12">
        <f>'18'!K48</f>
        <v>2000</v>
      </c>
      <c r="U48" s="12">
        <f>'19'!K48</f>
        <v>2000</v>
      </c>
      <c r="V48" s="12">
        <f>'20'!K48</f>
        <v>2000</v>
      </c>
      <c r="W48" s="12">
        <f>'21'!K48</f>
        <v>2000</v>
      </c>
      <c r="X48" s="12">
        <f>'22'!K48</f>
        <v>2000</v>
      </c>
      <c r="Y48" s="12">
        <f>'23'!K48</f>
        <v>2000</v>
      </c>
      <c r="Z48" s="12">
        <f>'24'!K48</f>
        <v>2000</v>
      </c>
      <c r="AA48" s="12">
        <f>'25'!K48</f>
        <v>2000</v>
      </c>
      <c r="AB48" s="12">
        <f>'26'!K48</f>
        <v>2000</v>
      </c>
      <c r="AC48" s="12">
        <f>'27'!K48</f>
        <v>2000</v>
      </c>
      <c r="AD48" s="12">
        <f>'28'!K48</f>
        <v>2000</v>
      </c>
      <c r="AE48" s="12">
        <f>'29'!K48</f>
        <v>2000</v>
      </c>
      <c r="AF48" s="12">
        <f>'30'!K48</f>
        <v>2000</v>
      </c>
      <c r="AG48" s="12">
        <f>'31'!K48</f>
        <v>2000</v>
      </c>
      <c r="AH48" s="12"/>
      <c r="AI48" s="12">
        <f t="shared" si="0"/>
        <v>0</v>
      </c>
      <c r="AJ48" s="130">
        <f t="shared" si="1"/>
        <v>2000</v>
      </c>
    </row>
    <row r="49" spans="1:36" x14ac:dyDescent="0.25">
      <c r="A49" s="23">
        <v>12</v>
      </c>
      <c r="B49" s="18" t="s">
        <v>39</v>
      </c>
      <c r="C49" s="12">
        <f>'01'!K49</f>
        <v>0</v>
      </c>
      <c r="D49" s="12">
        <f>'02'!K49</f>
        <v>0</v>
      </c>
      <c r="E49" s="12">
        <f>'03'!K49</f>
        <v>0</v>
      </c>
      <c r="F49" s="12">
        <f>'04'!K49</f>
        <v>0</v>
      </c>
      <c r="G49" s="12">
        <f>'05'!K49</f>
        <v>0</v>
      </c>
      <c r="H49" s="12">
        <f>'06'!K49</f>
        <v>0</v>
      </c>
      <c r="I49" s="12">
        <f>'07'!K49</f>
        <v>0</v>
      </c>
      <c r="J49" s="12">
        <f>'08'!K49</f>
        <v>0</v>
      </c>
      <c r="K49" s="12">
        <f>'09'!K49</f>
        <v>0</v>
      </c>
      <c r="L49" s="12">
        <f>'10'!K49</f>
        <v>0</v>
      </c>
      <c r="M49" s="12">
        <f>'11'!K49</f>
        <v>0</v>
      </c>
      <c r="N49" s="12">
        <f>'12'!K49</f>
        <v>0</v>
      </c>
      <c r="O49" s="12">
        <f>'13'!K49</f>
        <v>0</v>
      </c>
      <c r="P49" s="12">
        <f>'14'!K49</f>
        <v>0</v>
      </c>
      <c r="Q49" s="12">
        <f>'15'!K49</f>
        <v>0</v>
      </c>
      <c r="R49" s="12">
        <f>'16'!K49</f>
        <v>0</v>
      </c>
      <c r="S49" s="12">
        <f>'17'!K49</f>
        <v>0</v>
      </c>
      <c r="T49" s="12">
        <f>'18'!K49</f>
        <v>0</v>
      </c>
      <c r="U49" s="12">
        <f>'19'!K49</f>
        <v>0</v>
      </c>
      <c r="V49" s="12">
        <f>'20'!K49</f>
        <v>0</v>
      </c>
      <c r="W49" s="12">
        <f>'21'!K49</f>
        <v>0</v>
      </c>
      <c r="X49" s="12">
        <f>'22'!K49</f>
        <v>0</v>
      </c>
      <c r="Y49" s="12">
        <f>'23'!K49</f>
        <v>0</v>
      </c>
      <c r="Z49" s="12">
        <f>'24'!K49</f>
        <v>0</v>
      </c>
      <c r="AA49" s="12">
        <f>'25'!K49</f>
        <v>0</v>
      </c>
      <c r="AB49" s="12">
        <f>'26'!K49</f>
        <v>0</v>
      </c>
      <c r="AC49" s="12">
        <f>'27'!K49</f>
        <v>0</v>
      </c>
      <c r="AD49" s="12">
        <f>'28'!K49</f>
        <v>0</v>
      </c>
      <c r="AE49" s="12">
        <f>'29'!K49</f>
        <v>0</v>
      </c>
      <c r="AF49" s="12">
        <f>'30'!K49</f>
        <v>0</v>
      </c>
      <c r="AG49" s="12">
        <f>'31'!K49</f>
        <v>0</v>
      </c>
      <c r="AH49" s="12"/>
      <c r="AI49" s="12">
        <f t="shared" si="0"/>
        <v>0</v>
      </c>
      <c r="AJ49" s="130">
        <f t="shared" si="1"/>
        <v>0</v>
      </c>
    </row>
    <row r="50" spans="1:36" x14ac:dyDescent="0.25">
      <c r="A50" s="23"/>
      <c r="B50" s="14" t="s">
        <v>40</v>
      </c>
      <c r="C50" s="12">
        <f>'01'!K50</f>
        <v>9285.7142857142862</v>
      </c>
      <c r="D50" s="12">
        <f>'02'!K50</f>
        <v>9285.7142857142862</v>
      </c>
      <c r="E50" s="12">
        <f>'03'!K50</f>
        <v>9285.7142857142862</v>
      </c>
      <c r="F50" s="12">
        <f>'04'!K50</f>
        <v>9285.7142857142862</v>
      </c>
      <c r="G50" s="12">
        <f>'05'!K50</f>
        <v>9285.7142857142862</v>
      </c>
      <c r="H50" s="12">
        <f>'06'!K50</f>
        <v>9285.7142857142862</v>
      </c>
      <c r="I50" s="12">
        <f>'07'!K50</f>
        <v>9285.7142857142862</v>
      </c>
      <c r="J50" s="12">
        <f>'08'!K50</f>
        <v>9285.7142857142862</v>
      </c>
      <c r="K50" s="12">
        <f>'09'!K50</f>
        <v>9285.7142857142862</v>
      </c>
      <c r="L50" s="12">
        <f>'10'!K50</f>
        <v>9285.7142857142862</v>
      </c>
      <c r="M50" s="12">
        <f>'11'!K50</f>
        <v>9285.7142857142862</v>
      </c>
      <c r="N50" s="12">
        <f>'12'!K50</f>
        <v>9285.7142857142862</v>
      </c>
      <c r="O50" s="12">
        <f>'13'!K50</f>
        <v>9285.7142857142862</v>
      </c>
      <c r="P50" s="12">
        <f>'14'!K50</f>
        <v>9285.7142857142862</v>
      </c>
      <c r="Q50" s="12">
        <f>'15'!K50</f>
        <v>9285.7142857142862</v>
      </c>
      <c r="R50" s="12">
        <f>'16'!K50</f>
        <v>9285.7142857142862</v>
      </c>
      <c r="S50" s="12">
        <f>'17'!K50</f>
        <v>9285.7142857142862</v>
      </c>
      <c r="T50" s="12">
        <f>'18'!K50</f>
        <v>9285.7142857142862</v>
      </c>
      <c r="U50" s="12">
        <f>'19'!K50</f>
        <v>9285.7142857142862</v>
      </c>
      <c r="V50" s="12">
        <f>'20'!K50</f>
        <v>9285.7142857142862</v>
      </c>
      <c r="W50" s="12">
        <f>'21'!K50</f>
        <v>9285.7142857142862</v>
      </c>
      <c r="X50" s="12">
        <f>'22'!K50</f>
        <v>9285.7142857142862</v>
      </c>
      <c r="Y50" s="12">
        <f>'23'!K50</f>
        <v>9285.7142857142862</v>
      </c>
      <c r="Z50" s="12">
        <f>'24'!K50</f>
        <v>9285.7142857142862</v>
      </c>
      <c r="AA50" s="12">
        <f>'25'!K50</f>
        <v>9285.7142857142862</v>
      </c>
      <c r="AB50" s="12">
        <f>'26'!K50</f>
        <v>9285.7142857142862</v>
      </c>
      <c r="AC50" s="12">
        <f>'27'!K50</f>
        <v>9166.6666666666661</v>
      </c>
      <c r="AD50" s="12">
        <f>'28'!K50</f>
        <v>9166.6666666666661</v>
      </c>
      <c r="AE50" s="12">
        <f>'29'!K50</f>
        <v>9166.6666666666661</v>
      </c>
      <c r="AF50" s="12">
        <f>'30'!K50</f>
        <v>9166.6666666666661</v>
      </c>
      <c r="AG50" s="12">
        <f>'31'!K50</f>
        <v>9166.6666666666661</v>
      </c>
      <c r="AH50" s="12"/>
      <c r="AI50" s="12">
        <f t="shared" si="0"/>
        <v>-119.04761904762017</v>
      </c>
      <c r="AJ50" s="130">
        <f t="shared" si="1"/>
        <v>9266.5130568356399</v>
      </c>
    </row>
    <row r="51" spans="1:36" x14ac:dyDescent="0.25">
      <c r="A51" s="24"/>
      <c r="B51" s="14" t="s">
        <v>41</v>
      </c>
      <c r="C51" s="12">
        <f>'01'!K51</f>
        <v>8333.3333333333339</v>
      </c>
      <c r="D51" s="12">
        <f>'02'!K51</f>
        <v>8333.3333333333339</v>
      </c>
      <c r="E51" s="12">
        <f>'03'!K51</f>
        <v>8333.3333333333339</v>
      </c>
      <c r="F51" s="12">
        <f>'04'!K51</f>
        <v>8333.3333333333339</v>
      </c>
      <c r="G51" s="12">
        <f>'05'!K51</f>
        <v>8333.3333333333339</v>
      </c>
      <c r="H51" s="12">
        <f>'06'!K51</f>
        <v>8333.3333333333339</v>
      </c>
      <c r="I51" s="12">
        <f>'07'!K51</f>
        <v>8333.3333333333339</v>
      </c>
      <c r="J51" s="12">
        <f>'08'!K51</f>
        <v>8333.3333333333339</v>
      </c>
      <c r="K51" s="12">
        <f>'09'!K51</f>
        <v>8333.3333333333339</v>
      </c>
      <c r="L51" s="12">
        <f>'10'!K51</f>
        <v>8333.3333333333339</v>
      </c>
      <c r="M51" s="12">
        <f>'11'!K51</f>
        <v>8333.3333333333339</v>
      </c>
      <c r="N51" s="12">
        <f>'12'!K51</f>
        <v>8428.5714285714294</v>
      </c>
      <c r="O51" s="12">
        <f>'13'!K51</f>
        <v>8428.5714285714294</v>
      </c>
      <c r="P51" s="12">
        <f>'14'!K51</f>
        <v>8428.5714285714294</v>
      </c>
      <c r="Q51" s="12">
        <f>'15'!K51</f>
        <v>8428.5714285714294</v>
      </c>
      <c r="R51" s="12">
        <f>'16'!K51</f>
        <v>8428.5714285714294</v>
      </c>
      <c r="S51" s="12">
        <f>'17'!K51</f>
        <v>8428.5714285714294</v>
      </c>
      <c r="T51" s="12">
        <f>'18'!K51</f>
        <v>8428.5714285714294</v>
      </c>
      <c r="U51" s="12">
        <f>'19'!K51</f>
        <v>8428.5714285714294</v>
      </c>
      <c r="V51" s="12">
        <f>'20'!K51</f>
        <v>8428.5714285714294</v>
      </c>
      <c r="W51" s="12">
        <f>'21'!K51</f>
        <v>8428.5714285714294</v>
      </c>
      <c r="X51" s="12">
        <f>'22'!K51</f>
        <v>8428.5714285714294</v>
      </c>
      <c r="Y51" s="12">
        <f>'23'!K51</f>
        <v>8428.5714285714294</v>
      </c>
      <c r="Z51" s="12">
        <f>'24'!K51</f>
        <v>8428.5714285714294</v>
      </c>
      <c r="AA51" s="12">
        <f>'25'!K51</f>
        <v>8428.5714285714294</v>
      </c>
      <c r="AB51" s="12">
        <f>'26'!K51</f>
        <v>8428.5714285714294</v>
      </c>
      <c r="AC51" s="12">
        <f>'27'!K51</f>
        <v>8571.4285714285706</v>
      </c>
      <c r="AD51" s="12">
        <f>'28'!K51</f>
        <v>8571.4285714285706</v>
      </c>
      <c r="AE51" s="12">
        <f>'29'!K51</f>
        <v>8571.4285714285706</v>
      </c>
      <c r="AF51" s="12">
        <f>'30'!K51</f>
        <v>8571.4285714285706</v>
      </c>
      <c r="AG51" s="12">
        <f>'31'!K51</f>
        <v>8571.4285714285706</v>
      </c>
      <c r="AH51" s="12"/>
      <c r="AI51" s="12">
        <f t="shared" si="0"/>
        <v>238.09523809523671</v>
      </c>
      <c r="AJ51" s="130">
        <f t="shared" si="1"/>
        <v>8417.8187403993852</v>
      </c>
    </row>
    <row r="52" spans="1:36" x14ac:dyDescent="0.25">
      <c r="A52" s="96">
        <v>13</v>
      </c>
      <c r="B52" s="15" t="s">
        <v>42</v>
      </c>
      <c r="C52" s="12">
        <f>'01'!K52</f>
        <v>0</v>
      </c>
      <c r="D52" s="12">
        <f>'02'!K52</f>
        <v>0</v>
      </c>
      <c r="E52" s="12">
        <f>'03'!K52</f>
        <v>0</v>
      </c>
      <c r="F52" s="12">
        <f>'04'!K52</f>
        <v>0</v>
      </c>
      <c r="G52" s="12">
        <f>'05'!K52</f>
        <v>0</v>
      </c>
      <c r="H52" s="12">
        <f>'06'!K52</f>
        <v>0</v>
      </c>
      <c r="I52" s="12">
        <f>'07'!K52</f>
        <v>0</v>
      </c>
      <c r="J52" s="12">
        <f>'08'!K52</f>
        <v>0</v>
      </c>
      <c r="K52" s="12">
        <f>'09'!K52</f>
        <v>0</v>
      </c>
      <c r="L52" s="12">
        <f>'10'!K52</f>
        <v>0</v>
      </c>
      <c r="M52" s="12">
        <f>'11'!K52</f>
        <v>0</v>
      </c>
      <c r="N52" s="12">
        <f>'12'!K52</f>
        <v>0</v>
      </c>
      <c r="O52" s="12">
        <f>'13'!K52</f>
        <v>0</v>
      </c>
      <c r="P52" s="12">
        <f>'14'!K52</f>
        <v>0</v>
      </c>
      <c r="Q52" s="12">
        <f>'15'!K52</f>
        <v>0</v>
      </c>
      <c r="R52" s="12">
        <f>'16'!K52</f>
        <v>0</v>
      </c>
      <c r="S52" s="12">
        <f>'17'!K52</f>
        <v>0</v>
      </c>
      <c r="T52" s="12">
        <f>'18'!K52</f>
        <v>0</v>
      </c>
      <c r="U52" s="12">
        <f>'19'!K52</f>
        <v>0</v>
      </c>
      <c r="V52" s="12">
        <f>'20'!K52</f>
        <v>0</v>
      </c>
      <c r="W52" s="12">
        <f>'21'!K52</f>
        <v>0</v>
      </c>
      <c r="X52" s="12">
        <f>'22'!K52</f>
        <v>0</v>
      </c>
      <c r="Y52" s="12">
        <f>'23'!K52</f>
        <v>0</v>
      </c>
      <c r="Z52" s="12">
        <f>'24'!K52</f>
        <v>0</v>
      </c>
      <c r="AA52" s="12">
        <f>'25'!K52</f>
        <v>0</v>
      </c>
      <c r="AB52" s="12">
        <f>'26'!K52</f>
        <v>0</v>
      </c>
      <c r="AC52" s="12">
        <f>'27'!K52</f>
        <v>0</v>
      </c>
      <c r="AD52" s="12">
        <f>'28'!K52</f>
        <v>0</v>
      </c>
      <c r="AE52" s="12">
        <f>'29'!K52</f>
        <v>0</v>
      </c>
      <c r="AF52" s="12">
        <f>'30'!K52</f>
        <v>0</v>
      </c>
      <c r="AG52" s="12">
        <f>'31'!K52</f>
        <v>0</v>
      </c>
      <c r="AH52" s="12"/>
      <c r="AI52" s="12">
        <f t="shared" si="0"/>
        <v>0</v>
      </c>
      <c r="AJ52" s="130">
        <f t="shared" si="1"/>
        <v>0</v>
      </c>
    </row>
    <row r="53" spans="1:36" x14ac:dyDescent="0.25">
      <c r="A53" s="98"/>
      <c r="B53" s="14" t="s">
        <v>43</v>
      </c>
      <c r="C53" s="12">
        <f>'01'!K53</f>
        <v>4071.4285714285716</v>
      </c>
      <c r="D53" s="12">
        <f>'02'!K53</f>
        <v>4071.4285714285716</v>
      </c>
      <c r="E53" s="12">
        <f>'03'!K53</f>
        <v>4071.4285714285716</v>
      </c>
      <c r="F53" s="12">
        <f>'04'!K53</f>
        <v>4071.4285714285716</v>
      </c>
      <c r="G53" s="12">
        <f>'05'!K53</f>
        <v>4071.4285714285716</v>
      </c>
      <c r="H53" s="12">
        <f>'06'!K53</f>
        <v>4071.4285714285716</v>
      </c>
      <c r="I53" s="12">
        <f>'07'!K53</f>
        <v>4071.4285714285716</v>
      </c>
      <c r="J53" s="12">
        <f>'08'!K53</f>
        <v>4071.4285714285716</v>
      </c>
      <c r="K53" s="12">
        <f>'09'!K53</f>
        <v>4071.4285714285716</v>
      </c>
      <c r="L53" s="12">
        <f>'10'!K53</f>
        <v>4071.4285714285716</v>
      </c>
      <c r="M53" s="12">
        <f>'11'!K53</f>
        <v>4071.4285714285716</v>
      </c>
      <c r="N53" s="12">
        <f>'12'!K53</f>
        <v>4071.4285714285716</v>
      </c>
      <c r="O53" s="12">
        <f>'13'!K53</f>
        <v>4071.4285714285716</v>
      </c>
      <c r="P53" s="12">
        <f>'14'!K53</f>
        <v>4071.4285714285716</v>
      </c>
      <c r="Q53" s="12">
        <f>'15'!K53</f>
        <v>4071.4285714285716</v>
      </c>
      <c r="R53" s="12">
        <f>'16'!K53</f>
        <v>4071.4285714285716</v>
      </c>
      <c r="S53" s="12">
        <f>'17'!K53</f>
        <v>4071.4285714285716</v>
      </c>
      <c r="T53" s="12">
        <f>'18'!K53</f>
        <v>4071.4285714285716</v>
      </c>
      <c r="U53" s="12">
        <f>'19'!K53</f>
        <v>4071.4285714285716</v>
      </c>
      <c r="V53" s="12">
        <f>'20'!K53</f>
        <v>4071.4285714285716</v>
      </c>
      <c r="W53" s="12">
        <f>'21'!K53</f>
        <v>4071.4285714285716</v>
      </c>
      <c r="X53" s="12">
        <f>'22'!K53</f>
        <v>4071.4285714285716</v>
      </c>
      <c r="Y53" s="12">
        <f>'23'!K53</f>
        <v>4071.4285714285716</v>
      </c>
      <c r="Z53" s="12">
        <f>'24'!K53</f>
        <v>4071.4285714285716</v>
      </c>
      <c r="AA53" s="12">
        <f>'25'!K53</f>
        <v>4071.4285714285716</v>
      </c>
      <c r="AB53" s="12">
        <f>'26'!K53</f>
        <v>4071.4285714285716</v>
      </c>
      <c r="AC53" s="12">
        <f>'27'!K53</f>
        <v>4071.4285714285716</v>
      </c>
      <c r="AD53" s="12">
        <f>'28'!K53</f>
        <v>4071.4285714285716</v>
      </c>
      <c r="AE53" s="12">
        <f>'29'!K53</f>
        <v>4071.4285714285716</v>
      </c>
      <c r="AF53" s="12">
        <f>'30'!K53</f>
        <v>4071.4285714285716</v>
      </c>
      <c r="AG53" s="12">
        <f>'31'!K53</f>
        <v>4071.4285714285716</v>
      </c>
      <c r="AH53" s="12"/>
      <c r="AI53" s="12">
        <f t="shared" si="0"/>
        <v>0</v>
      </c>
      <c r="AJ53" s="130">
        <f t="shared" si="1"/>
        <v>4071.4285714285688</v>
      </c>
    </row>
    <row r="54" spans="1:36" x14ac:dyDescent="0.25">
      <c r="A54" s="96">
        <v>14</v>
      </c>
      <c r="B54" s="15" t="s">
        <v>45</v>
      </c>
      <c r="C54" s="12">
        <f>'01'!K54</f>
        <v>0</v>
      </c>
      <c r="D54" s="12">
        <f>'02'!K54</f>
        <v>0</v>
      </c>
      <c r="E54" s="12">
        <f>'03'!K54</f>
        <v>0</v>
      </c>
      <c r="F54" s="12">
        <f>'04'!K54</f>
        <v>0</v>
      </c>
      <c r="G54" s="12">
        <f>'05'!K54</f>
        <v>0</v>
      </c>
      <c r="H54" s="12">
        <f>'06'!K54</f>
        <v>0</v>
      </c>
      <c r="I54" s="12">
        <f>'07'!K54</f>
        <v>0</v>
      </c>
      <c r="J54" s="12">
        <f>'08'!K54</f>
        <v>0</v>
      </c>
      <c r="K54" s="12">
        <f>'09'!K54</f>
        <v>0</v>
      </c>
      <c r="L54" s="12">
        <f>'10'!K54</f>
        <v>0</v>
      </c>
      <c r="M54" s="12">
        <f>'11'!K54</f>
        <v>0</v>
      </c>
      <c r="N54" s="12">
        <f>'12'!K54</f>
        <v>0</v>
      </c>
      <c r="O54" s="12">
        <f>'13'!K54</f>
        <v>0</v>
      </c>
      <c r="P54" s="12">
        <f>'14'!K54</f>
        <v>0</v>
      </c>
      <c r="Q54" s="12">
        <f>'15'!K54</f>
        <v>0</v>
      </c>
      <c r="R54" s="12">
        <f>'16'!K54</f>
        <v>0</v>
      </c>
      <c r="S54" s="12">
        <f>'17'!K54</f>
        <v>0</v>
      </c>
      <c r="T54" s="12">
        <f>'18'!K54</f>
        <v>0</v>
      </c>
      <c r="U54" s="12">
        <f>'19'!K54</f>
        <v>0</v>
      </c>
      <c r="V54" s="12">
        <f>'20'!K54</f>
        <v>0</v>
      </c>
      <c r="W54" s="12">
        <f>'21'!K54</f>
        <v>0</v>
      </c>
      <c r="X54" s="12">
        <f>'22'!K54</f>
        <v>0</v>
      </c>
      <c r="Y54" s="12">
        <f>'23'!K54</f>
        <v>0</v>
      </c>
      <c r="Z54" s="12">
        <f>'24'!K54</f>
        <v>0</v>
      </c>
      <c r="AA54" s="12">
        <f>'25'!K54</f>
        <v>0</v>
      </c>
      <c r="AB54" s="12">
        <f>'26'!K54</f>
        <v>0</v>
      </c>
      <c r="AC54" s="12">
        <f>'27'!K54</f>
        <v>0</v>
      </c>
      <c r="AD54" s="12">
        <f>'28'!K54</f>
        <v>0</v>
      </c>
      <c r="AE54" s="12">
        <f>'29'!K54</f>
        <v>0</v>
      </c>
      <c r="AF54" s="12">
        <f>'30'!K54</f>
        <v>0</v>
      </c>
      <c r="AG54" s="12">
        <f>'31'!K54</f>
        <v>0</v>
      </c>
      <c r="AH54" s="12"/>
      <c r="AI54" s="12">
        <f t="shared" si="0"/>
        <v>0</v>
      </c>
      <c r="AJ54" s="130">
        <f t="shared" si="1"/>
        <v>0</v>
      </c>
    </row>
    <row r="55" spans="1:36" x14ac:dyDescent="0.25">
      <c r="A55" s="98"/>
      <c r="B55" s="14" t="s">
        <v>46</v>
      </c>
      <c r="C55" s="12">
        <f>'01'!K55</f>
        <v>10500</v>
      </c>
      <c r="D55" s="12">
        <f>'02'!K55</f>
        <v>10500</v>
      </c>
      <c r="E55" s="12">
        <f>'03'!K55</f>
        <v>10500</v>
      </c>
      <c r="F55" s="12">
        <f>'04'!K55</f>
        <v>10500</v>
      </c>
      <c r="G55" s="12">
        <f>'05'!K55</f>
        <v>10500</v>
      </c>
      <c r="H55" s="12">
        <f>'06'!K55</f>
        <v>10500</v>
      </c>
      <c r="I55" s="12">
        <f>'07'!K55</f>
        <v>10500</v>
      </c>
      <c r="J55" s="12">
        <f>'08'!K55</f>
        <v>10500</v>
      </c>
      <c r="K55" s="12">
        <f>'09'!K55</f>
        <v>10500</v>
      </c>
      <c r="L55" s="12">
        <f>'10'!K55</f>
        <v>10500</v>
      </c>
      <c r="M55" s="12">
        <f>'11'!K55</f>
        <v>10500</v>
      </c>
      <c r="N55" s="12">
        <f>'12'!K55</f>
        <v>10500</v>
      </c>
      <c r="O55" s="12">
        <f>'13'!K55</f>
        <v>10500</v>
      </c>
      <c r="P55" s="12">
        <f>'14'!K55</f>
        <v>10500</v>
      </c>
      <c r="Q55" s="12">
        <f>'15'!K55</f>
        <v>10500</v>
      </c>
      <c r="R55" s="12">
        <f>'16'!K55</f>
        <v>10500</v>
      </c>
      <c r="S55" s="12">
        <f>'17'!K55</f>
        <v>10500</v>
      </c>
      <c r="T55" s="12">
        <f>'18'!K55</f>
        <v>10500</v>
      </c>
      <c r="U55" s="12">
        <f>'19'!K55</f>
        <v>10500</v>
      </c>
      <c r="V55" s="12">
        <f>'20'!K55</f>
        <v>10500</v>
      </c>
      <c r="W55" s="12">
        <f>'21'!K55</f>
        <v>10500</v>
      </c>
      <c r="X55" s="12">
        <f>'22'!K55</f>
        <v>10500</v>
      </c>
      <c r="Y55" s="12">
        <f>'23'!K55</f>
        <v>10500</v>
      </c>
      <c r="Z55" s="12">
        <f>'24'!K55</f>
        <v>10500</v>
      </c>
      <c r="AA55" s="12">
        <f>'25'!K55</f>
        <v>10500</v>
      </c>
      <c r="AB55" s="12">
        <f>'26'!K55</f>
        <v>10500</v>
      </c>
      <c r="AC55" s="12">
        <f>'27'!K55</f>
        <v>10500</v>
      </c>
      <c r="AD55" s="12">
        <f>'28'!K55</f>
        <v>10500</v>
      </c>
      <c r="AE55" s="12">
        <f>'29'!K55</f>
        <v>10500</v>
      </c>
      <c r="AF55" s="12">
        <f>'30'!K55</f>
        <v>10500</v>
      </c>
      <c r="AG55" s="12">
        <f>'31'!K55</f>
        <v>10500</v>
      </c>
      <c r="AH55" s="12"/>
      <c r="AI55" s="12">
        <f t="shared" si="0"/>
        <v>0</v>
      </c>
      <c r="AJ55" s="130">
        <f t="shared" si="1"/>
        <v>10500</v>
      </c>
    </row>
    <row r="56" spans="1:36" x14ac:dyDescent="0.25">
      <c r="A56" s="96">
        <v>15</v>
      </c>
      <c r="B56" s="15" t="s">
        <v>47</v>
      </c>
      <c r="C56" s="12">
        <f>'01'!K56</f>
        <v>0</v>
      </c>
      <c r="D56" s="12">
        <f>'02'!K56</f>
        <v>0</v>
      </c>
      <c r="E56" s="12">
        <f>'03'!K56</f>
        <v>0</v>
      </c>
      <c r="F56" s="12">
        <f>'04'!K56</f>
        <v>0</v>
      </c>
      <c r="G56" s="12">
        <f>'05'!K56</f>
        <v>0</v>
      </c>
      <c r="H56" s="12">
        <f>'06'!K56</f>
        <v>0</v>
      </c>
      <c r="I56" s="12">
        <f>'07'!K56</f>
        <v>0</v>
      </c>
      <c r="J56" s="12">
        <f>'08'!K56</f>
        <v>0</v>
      </c>
      <c r="K56" s="12">
        <f>'09'!K56</f>
        <v>0</v>
      </c>
      <c r="L56" s="12">
        <f>'10'!K56</f>
        <v>0</v>
      </c>
      <c r="M56" s="12">
        <f>'11'!K56</f>
        <v>0</v>
      </c>
      <c r="N56" s="12">
        <f>'12'!K56</f>
        <v>0</v>
      </c>
      <c r="O56" s="12">
        <f>'13'!K56</f>
        <v>0</v>
      </c>
      <c r="P56" s="12">
        <f>'14'!K56</f>
        <v>0</v>
      </c>
      <c r="Q56" s="12">
        <f>'15'!K56</f>
        <v>0</v>
      </c>
      <c r="R56" s="12">
        <f>'16'!K56</f>
        <v>0</v>
      </c>
      <c r="S56" s="12">
        <f>'17'!K56</f>
        <v>0</v>
      </c>
      <c r="T56" s="12">
        <f>'18'!K56</f>
        <v>0</v>
      </c>
      <c r="U56" s="12">
        <f>'19'!K56</f>
        <v>0</v>
      </c>
      <c r="V56" s="12">
        <f>'20'!K56</f>
        <v>0</v>
      </c>
      <c r="W56" s="12">
        <f>'21'!K56</f>
        <v>0</v>
      </c>
      <c r="X56" s="12">
        <f>'22'!K56</f>
        <v>0</v>
      </c>
      <c r="Y56" s="12">
        <f>'23'!K56</f>
        <v>0</v>
      </c>
      <c r="Z56" s="12">
        <f>'24'!K56</f>
        <v>0</v>
      </c>
      <c r="AA56" s="12">
        <f>'25'!K56</f>
        <v>0</v>
      </c>
      <c r="AB56" s="12">
        <f>'26'!K56</f>
        <v>0</v>
      </c>
      <c r="AC56" s="12">
        <f>'27'!K56</f>
        <v>0</v>
      </c>
      <c r="AD56" s="12">
        <f>'28'!K56</f>
        <v>0</v>
      </c>
      <c r="AE56" s="12">
        <f>'29'!K56</f>
        <v>0</v>
      </c>
      <c r="AF56" s="12">
        <f>'30'!K56</f>
        <v>0</v>
      </c>
      <c r="AG56" s="12">
        <f>'31'!K56</f>
        <v>0</v>
      </c>
      <c r="AH56" s="12"/>
      <c r="AI56" s="12">
        <f t="shared" si="0"/>
        <v>0</v>
      </c>
      <c r="AJ56" s="130">
        <f t="shared" si="1"/>
        <v>0</v>
      </c>
    </row>
    <row r="57" spans="1:36" x14ac:dyDescent="0.25">
      <c r="A57" s="97"/>
      <c r="B57" s="14" t="s">
        <v>48</v>
      </c>
      <c r="C57" s="12">
        <f>'01'!K57</f>
        <v>13833.333333333334</v>
      </c>
      <c r="D57" s="12">
        <f>'02'!K57</f>
        <v>13833.333333333334</v>
      </c>
      <c r="E57" s="12">
        <f>'03'!K57</f>
        <v>13333.333333333334</v>
      </c>
      <c r="F57" s="12">
        <f>'04'!K57</f>
        <v>13333.333333333334</v>
      </c>
      <c r="G57" s="12">
        <f>'05'!K57</f>
        <v>13333.333333333334</v>
      </c>
      <c r="H57" s="12">
        <f>'06'!K57</f>
        <v>13333.333333333334</v>
      </c>
      <c r="I57" s="12">
        <f>'07'!K57</f>
        <v>13333.333333333334</v>
      </c>
      <c r="J57" s="12">
        <f>'08'!K57</f>
        <v>13333.333333333334</v>
      </c>
      <c r="K57" s="12">
        <f>'09'!K57</f>
        <v>13333.333333333334</v>
      </c>
      <c r="L57" s="12">
        <f>'10'!K57</f>
        <v>13333.333333333334</v>
      </c>
      <c r="M57" s="12">
        <f>'11'!K57</f>
        <v>13333.333333333334</v>
      </c>
      <c r="N57" s="12">
        <f>'12'!K57</f>
        <v>13333.333333333334</v>
      </c>
      <c r="O57" s="12">
        <f>'13'!K57</f>
        <v>13333.333333333334</v>
      </c>
      <c r="P57" s="12">
        <f>'14'!K57</f>
        <v>13333.333333333334</v>
      </c>
      <c r="Q57" s="12">
        <f>'15'!K57</f>
        <v>13333.333333333334</v>
      </c>
      <c r="R57" s="12">
        <f>'16'!K57</f>
        <v>13333.333333333334</v>
      </c>
      <c r="S57" s="12">
        <f>'17'!K57</f>
        <v>13333.333333333334</v>
      </c>
      <c r="T57" s="12">
        <f>'18'!K57</f>
        <v>13333.333333333334</v>
      </c>
      <c r="U57" s="12">
        <f>'19'!K57</f>
        <v>13333.333333333334</v>
      </c>
      <c r="V57" s="12">
        <f>'20'!K57</f>
        <v>13666.666666666666</v>
      </c>
      <c r="W57" s="12">
        <f>'21'!K57</f>
        <v>13666.666666666666</v>
      </c>
      <c r="X57" s="12">
        <f>'22'!K57</f>
        <v>13666.666666666666</v>
      </c>
      <c r="Y57" s="12">
        <f>'23'!K57</f>
        <v>13666.666666666666</v>
      </c>
      <c r="Z57" s="12">
        <f>'24'!K57</f>
        <v>13666.666666666666</v>
      </c>
      <c r="AA57" s="12">
        <f>'25'!K57</f>
        <v>13666.666666666666</v>
      </c>
      <c r="AB57" s="12">
        <f>'26'!K57</f>
        <v>13666.666666666666</v>
      </c>
      <c r="AC57" s="12">
        <f>'27'!K57</f>
        <v>13666.666666666666</v>
      </c>
      <c r="AD57" s="12">
        <f>'28'!K57</f>
        <v>13666.666666666666</v>
      </c>
      <c r="AE57" s="12">
        <f>'29'!K57</f>
        <v>13666.666666666666</v>
      </c>
      <c r="AF57" s="12">
        <f>'30'!K57</f>
        <v>13666.666666666666</v>
      </c>
      <c r="AG57" s="12">
        <f>'31'!K57</f>
        <v>13666.666666666666</v>
      </c>
      <c r="AH57" s="12">
        <v>6800</v>
      </c>
      <c r="AI57" s="12">
        <f t="shared" si="0"/>
        <v>-166.66666666666788</v>
      </c>
      <c r="AJ57" s="130">
        <f t="shared" si="1"/>
        <v>13494.623655913987</v>
      </c>
    </row>
    <row r="58" spans="1:36" x14ac:dyDescent="0.25">
      <c r="A58" s="97"/>
      <c r="B58" s="14" t="s">
        <v>49</v>
      </c>
      <c r="C58" s="12">
        <f>'01'!K58</f>
        <v>13833.333333333334</v>
      </c>
      <c r="D58" s="12">
        <f>'02'!K58</f>
        <v>13833.333333333334</v>
      </c>
      <c r="E58" s="12">
        <f>'03'!K58</f>
        <v>13750</v>
      </c>
      <c r="F58" s="12">
        <f>'04'!K58</f>
        <v>13750</v>
      </c>
      <c r="G58" s="12">
        <f>'05'!K58</f>
        <v>13750</v>
      </c>
      <c r="H58" s="12">
        <f>'06'!K58</f>
        <v>13750</v>
      </c>
      <c r="I58" s="12">
        <f>'07'!K58</f>
        <v>13750</v>
      </c>
      <c r="J58" s="12">
        <f>'08'!K58</f>
        <v>13750</v>
      </c>
      <c r="K58" s="12">
        <f>'09'!K58</f>
        <v>13750</v>
      </c>
      <c r="L58" s="12">
        <f>'10'!K58</f>
        <v>13750</v>
      </c>
      <c r="M58" s="12">
        <f>'11'!K58</f>
        <v>14000</v>
      </c>
      <c r="N58" s="12">
        <f>'12'!K58</f>
        <v>14000</v>
      </c>
      <c r="O58" s="12">
        <f>'13'!K58</f>
        <v>14000</v>
      </c>
      <c r="P58" s="12">
        <f>'14'!K58</f>
        <v>14000</v>
      </c>
      <c r="Q58" s="12">
        <f>'15'!K58</f>
        <v>14000</v>
      </c>
      <c r="R58" s="12">
        <f>'16'!K58</f>
        <v>14000</v>
      </c>
      <c r="S58" s="12">
        <f>'17'!K58</f>
        <v>14000</v>
      </c>
      <c r="T58" s="12">
        <f>'18'!K58</f>
        <v>14000</v>
      </c>
      <c r="U58" s="12">
        <f>'19'!K58</f>
        <v>14000</v>
      </c>
      <c r="V58" s="12">
        <f>'20'!K58</f>
        <v>14000</v>
      </c>
      <c r="W58" s="12">
        <f>'21'!K58</f>
        <v>14000</v>
      </c>
      <c r="X58" s="12">
        <f>'22'!K58</f>
        <v>14000</v>
      </c>
      <c r="Y58" s="12">
        <f>'23'!K58</f>
        <v>14000</v>
      </c>
      <c r="Z58" s="12">
        <f>'24'!K58</f>
        <v>14000</v>
      </c>
      <c r="AA58" s="12">
        <f>'25'!K58</f>
        <v>14000</v>
      </c>
      <c r="AB58" s="12">
        <f>'26'!K58</f>
        <v>14000</v>
      </c>
      <c r="AC58" s="12">
        <f>'27'!K58</f>
        <v>14000</v>
      </c>
      <c r="AD58" s="12">
        <f>'28'!K58</f>
        <v>14000</v>
      </c>
      <c r="AE58" s="12">
        <f>'29'!K58</f>
        <v>14000</v>
      </c>
      <c r="AF58" s="12">
        <f>'30'!K58</f>
        <v>14000</v>
      </c>
      <c r="AG58" s="12">
        <f>'31'!K58</f>
        <v>14000</v>
      </c>
      <c r="AH58" s="12">
        <v>9200</v>
      </c>
      <c r="AI58" s="12">
        <f t="shared" si="0"/>
        <v>166.66666666666606</v>
      </c>
      <c r="AJ58" s="130">
        <f t="shared" si="1"/>
        <v>13924.7311827957</v>
      </c>
    </row>
    <row r="59" spans="1:36" x14ac:dyDescent="0.25">
      <c r="A59" s="97"/>
      <c r="B59" s="14" t="s">
        <v>50</v>
      </c>
      <c r="C59" s="12">
        <f>'01'!K59</f>
        <v>23142.857142857141</v>
      </c>
      <c r="D59" s="12">
        <f>'02'!K59</f>
        <v>23142.857142857141</v>
      </c>
      <c r="E59" s="12">
        <f>'03'!K59</f>
        <v>23142.857142857141</v>
      </c>
      <c r="F59" s="12">
        <f>'04'!K59</f>
        <v>23142.857142857141</v>
      </c>
      <c r="G59" s="12">
        <f>'05'!K59</f>
        <v>23142.857142857141</v>
      </c>
      <c r="H59" s="12">
        <f>'06'!K59</f>
        <v>22428.571428571428</v>
      </c>
      <c r="I59" s="12">
        <f>'07'!K59</f>
        <v>22428.571428571428</v>
      </c>
      <c r="J59" s="12">
        <f>'08'!K59</f>
        <v>22428.571428571428</v>
      </c>
      <c r="K59" s="12">
        <f>'09'!K59</f>
        <v>22428.571428571428</v>
      </c>
      <c r="L59" s="12">
        <f>'10'!K59</f>
        <v>22428.571428571428</v>
      </c>
      <c r="M59" s="12">
        <f>'11'!K59</f>
        <v>22428.571428571428</v>
      </c>
      <c r="N59" s="12">
        <f>'12'!K59</f>
        <v>22142.857142857141</v>
      </c>
      <c r="O59" s="12">
        <f>'13'!K59</f>
        <v>22142.857142857141</v>
      </c>
      <c r="P59" s="12">
        <f>'14'!K59</f>
        <v>22142.857142857141</v>
      </c>
      <c r="Q59" s="12">
        <f>'15'!K59</f>
        <v>22142.857142857141</v>
      </c>
      <c r="R59" s="12">
        <f>'16'!K59</f>
        <v>22142.857142857141</v>
      </c>
      <c r="S59" s="12">
        <f>'17'!K59</f>
        <v>22142.857142857141</v>
      </c>
      <c r="T59" s="12">
        <f>'18'!K59</f>
        <v>22142.857142857141</v>
      </c>
      <c r="U59" s="12">
        <f>'19'!K59</f>
        <v>22142.857142857141</v>
      </c>
      <c r="V59" s="12">
        <f>'20'!K59</f>
        <v>22142.857142857141</v>
      </c>
      <c r="W59" s="12">
        <f>'21'!K59</f>
        <v>22142.857142857141</v>
      </c>
      <c r="X59" s="12">
        <f>'22'!K59</f>
        <v>22142.857142857141</v>
      </c>
      <c r="Y59" s="12">
        <f>'23'!K59</f>
        <v>22142.857142857141</v>
      </c>
      <c r="Z59" s="12">
        <f>'24'!K59</f>
        <v>22142.857142857141</v>
      </c>
      <c r="AA59" s="12">
        <f>'25'!K59</f>
        <v>22142.857142857141</v>
      </c>
      <c r="AB59" s="12">
        <f>'26'!K59</f>
        <v>22142.857142857141</v>
      </c>
      <c r="AC59" s="12">
        <f>'27'!K59</f>
        <v>22142.857142857141</v>
      </c>
      <c r="AD59" s="12">
        <f>'28'!K59</f>
        <v>22142.857142857141</v>
      </c>
      <c r="AE59" s="12">
        <f>'29'!K59</f>
        <v>22142.857142857141</v>
      </c>
      <c r="AF59" s="12">
        <f>'30'!K59</f>
        <v>22142.857142857141</v>
      </c>
      <c r="AG59" s="12">
        <f>'31'!K59</f>
        <v>22142.857142857141</v>
      </c>
      <c r="AH59" s="12"/>
      <c r="AI59" s="12">
        <f t="shared" si="0"/>
        <v>-1000</v>
      </c>
      <c r="AJ59" s="130">
        <f t="shared" si="1"/>
        <v>22359.447004608304</v>
      </c>
    </row>
    <row r="60" spans="1:36" x14ac:dyDescent="0.25">
      <c r="A60" s="98"/>
      <c r="B60" s="14" t="s">
        <v>51</v>
      </c>
      <c r="C60" s="12">
        <f>'01'!K60</f>
        <v>28571.428571428572</v>
      </c>
      <c r="D60" s="12">
        <f>'02'!K60</f>
        <v>28571.428571428572</v>
      </c>
      <c r="E60" s="12">
        <f>'03'!K60</f>
        <v>28571.428571428572</v>
      </c>
      <c r="F60" s="12">
        <f>'04'!K60</f>
        <v>28571.428571428572</v>
      </c>
      <c r="G60" s="12">
        <f>'05'!K60</f>
        <v>28571.428571428572</v>
      </c>
      <c r="H60" s="12">
        <f>'06'!K60</f>
        <v>28285.714285714286</v>
      </c>
      <c r="I60" s="12">
        <f>'07'!K60</f>
        <v>28285.714285714286</v>
      </c>
      <c r="J60" s="12">
        <f>'08'!K60</f>
        <v>28285.714285714286</v>
      </c>
      <c r="K60" s="12">
        <f>'09'!K60</f>
        <v>28285.714285714286</v>
      </c>
      <c r="L60" s="12">
        <f>'10'!K60</f>
        <v>28285.714285714286</v>
      </c>
      <c r="M60" s="12">
        <f>'11'!K60</f>
        <v>28285.714285714286</v>
      </c>
      <c r="N60" s="12">
        <f>'12'!K60</f>
        <v>28285.714285714286</v>
      </c>
      <c r="O60" s="12">
        <f>'13'!K60</f>
        <v>28285.714285714286</v>
      </c>
      <c r="P60" s="12">
        <f>'14'!K60</f>
        <v>28285.714285714286</v>
      </c>
      <c r="Q60" s="12">
        <f>'15'!K60</f>
        <v>28285.714285714286</v>
      </c>
      <c r="R60" s="12">
        <f>'16'!K60</f>
        <v>28285.714285714286</v>
      </c>
      <c r="S60" s="12">
        <f>'17'!K60</f>
        <v>28285.714285714286</v>
      </c>
      <c r="T60" s="12">
        <f>'18'!K60</f>
        <v>28285.714285714286</v>
      </c>
      <c r="U60" s="12">
        <f>'19'!K60</f>
        <v>28285.714285714286</v>
      </c>
      <c r="V60" s="12">
        <f>'20'!K60</f>
        <v>28285.714285714286</v>
      </c>
      <c r="W60" s="12">
        <f>'21'!K60</f>
        <v>28285.714285714286</v>
      </c>
      <c r="X60" s="12">
        <f>'22'!K60</f>
        <v>28285.714285714286</v>
      </c>
      <c r="Y60" s="12">
        <f>'23'!K60</f>
        <v>28285.714285714286</v>
      </c>
      <c r="Z60" s="12">
        <f>'24'!K60</f>
        <v>28285.714285714286</v>
      </c>
      <c r="AA60" s="12">
        <f>'25'!K60</f>
        <v>28285.714285714286</v>
      </c>
      <c r="AB60" s="12">
        <f>'26'!K60</f>
        <v>28285.714285714286</v>
      </c>
      <c r="AC60" s="12">
        <f>'27'!K60</f>
        <v>28285.714285714286</v>
      </c>
      <c r="AD60" s="12">
        <f>'28'!K60</f>
        <v>28285.714285714286</v>
      </c>
      <c r="AE60" s="12">
        <f>'29'!K60</f>
        <v>28285.714285714286</v>
      </c>
      <c r="AF60" s="12">
        <f>'30'!K60</f>
        <v>28285.714285714286</v>
      </c>
      <c r="AG60" s="12">
        <f>'31'!K60</f>
        <v>28285.714285714286</v>
      </c>
      <c r="AH60" s="12"/>
      <c r="AI60" s="12">
        <f t="shared" si="0"/>
        <v>-285.71428571428623</v>
      </c>
      <c r="AJ60" s="130">
        <f t="shared" si="1"/>
        <v>28331.797235023048</v>
      </c>
    </row>
    <row r="61" spans="1:36" x14ac:dyDescent="0.25">
      <c r="A61" s="27">
        <v>16</v>
      </c>
      <c r="B61" s="15" t="s">
        <v>52</v>
      </c>
      <c r="C61" s="12">
        <f>'01'!K61</f>
        <v>0</v>
      </c>
      <c r="D61" s="12">
        <f>'02'!K61</f>
        <v>0</v>
      </c>
      <c r="E61" s="12">
        <f>'03'!K61</f>
        <v>0</v>
      </c>
      <c r="F61" s="12">
        <f>'04'!K61</f>
        <v>0</v>
      </c>
      <c r="G61" s="12">
        <f>'05'!K61</f>
        <v>0</v>
      </c>
      <c r="H61" s="12">
        <f>'06'!K61</f>
        <v>0</v>
      </c>
      <c r="I61" s="12">
        <f>'07'!K61</f>
        <v>0</v>
      </c>
      <c r="J61" s="12">
        <f>'08'!K61</f>
        <v>0</v>
      </c>
      <c r="K61" s="12">
        <f>'09'!K61</f>
        <v>0</v>
      </c>
      <c r="L61" s="12">
        <f>'10'!K61</f>
        <v>0</v>
      </c>
      <c r="M61" s="12">
        <f>'11'!K61</f>
        <v>0</v>
      </c>
      <c r="N61" s="12">
        <f>'12'!K61</f>
        <v>0</v>
      </c>
      <c r="O61" s="12">
        <f>'13'!K61</f>
        <v>0</v>
      </c>
      <c r="P61" s="12">
        <f>'14'!K61</f>
        <v>0</v>
      </c>
      <c r="Q61" s="12">
        <f>'15'!K61</f>
        <v>0</v>
      </c>
      <c r="R61" s="12">
        <f>'16'!K61</f>
        <v>0</v>
      </c>
      <c r="S61" s="12">
        <f>'17'!K61</f>
        <v>0</v>
      </c>
      <c r="T61" s="12">
        <f>'18'!K61</f>
        <v>0</v>
      </c>
      <c r="U61" s="12">
        <f>'19'!K61</f>
        <v>0</v>
      </c>
      <c r="V61" s="12">
        <f>'20'!K61</f>
        <v>0</v>
      </c>
      <c r="W61" s="12">
        <f>'21'!K61</f>
        <v>0</v>
      </c>
      <c r="X61" s="12">
        <f>'22'!K61</f>
        <v>0</v>
      </c>
      <c r="Y61" s="12">
        <f>'23'!K61</f>
        <v>0</v>
      </c>
      <c r="Z61" s="12">
        <f>'24'!K61</f>
        <v>0</v>
      </c>
      <c r="AA61" s="12">
        <f>'25'!K61</f>
        <v>0</v>
      </c>
      <c r="AB61" s="12">
        <f>'26'!K61</f>
        <v>0</v>
      </c>
      <c r="AC61" s="12">
        <f>'27'!K61</f>
        <v>0</v>
      </c>
      <c r="AD61" s="12">
        <f>'28'!K61</f>
        <v>0</v>
      </c>
      <c r="AE61" s="12">
        <f>'29'!K61</f>
        <v>0</v>
      </c>
      <c r="AF61" s="12">
        <f>'30'!K61</f>
        <v>0</v>
      </c>
      <c r="AG61" s="12">
        <f>'31'!K61</f>
        <v>0</v>
      </c>
      <c r="AH61" s="12"/>
      <c r="AI61" s="12">
        <f t="shared" si="0"/>
        <v>0</v>
      </c>
      <c r="AJ61" s="130">
        <f t="shared" si="1"/>
        <v>0</v>
      </c>
    </row>
    <row r="62" spans="1:36" x14ac:dyDescent="0.25">
      <c r="A62" s="28"/>
      <c r="B62" s="14" t="s">
        <v>53</v>
      </c>
      <c r="C62" s="12">
        <f>'01'!K62</f>
        <v>3200</v>
      </c>
      <c r="D62" s="12">
        <f>'02'!K62</f>
        <v>3200</v>
      </c>
      <c r="E62" s="12">
        <f>'03'!K62</f>
        <v>3200</v>
      </c>
      <c r="F62" s="12">
        <f>'04'!K62</f>
        <v>3200</v>
      </c>
      <c r="G62" s="12">
        <f>'05'!K62</f>
        <v>3200</v>
      </c>
      <c r="H62" s="12">
        <f>'06'!K62</f>
        <v>3200</v>
      </c>
      <c r="I62" s="12">
        <f>'07'!K62</f>
        <v>3200</v>
      </c>
      <c r="J62" s="12">
        <f>'08'!K62</f>
        <v>3200</v>
      </c>
      <c r="K62" s="12">
        <f>'09'!K62</f>
        <v>3200</v>
      </c>
      <c r="L62" s="12">
        <f>'10'!K62</f>
        <v>3200</v>
      </c>
      <c r="M62" s="12">
        <f>'11'!K62</f>
        <v>3200</v>
      </c>
      <c r="N62" s="12">
        <f>'12'!K62</f>
        <v>3200</v>
      </c>
      <c r="O62" s="12">
        <f>'13'!K62</f>
        <v>3200</v>
      </c>
      <c r="P62" s="12">
        <f>'14'!K62</f>
        <v>3200</v>
      </c>
      <c r="Q62" s="12">
        <f>'15'!K62</f>
        <v>3200</v>
      </c>
      <c r="R62" s="12">
        <f>'16'!K62</f>
        <v>3200</v>
      </c>
      <c r="S62" s="12">
        <f>'17'!K62</f>
        <v>3200</v>
      </c>
      <c r="T62" s="12">
        <f>'18'!K62</f>
        <v>3200</v>
      </c>
      <c r="U62" s="12">
        <f>'19'!K62</f>
        <v>3200</v>
      </c>
      <c r="V62" s="12">
        <f>'20'!K62</f>
        <v>3200</v>
      </c>
      <c r="W62" s="12">
        <f>'21'!K62</f>
        <v>3200</v>
      </c>
      <c r="X62" s="12">
        <f>'22'!K62</f>
        <v>3200</v>
      </c>
      <c r="Y62" s="12">
        <f>'23'!K62</f>
        <v>3200</v>
      </c>
      <c r="Z62" s="12">
        <f>'24'!K62</f>
        <v>3200</v>
      </c>
      <c r="AA62" s="12">
        <f>'25'!K62</f>
        <v>3200</v>
      </c>
      <c r="AB62" s="12">
        <f>'26'!K62</f>
        <v>3200</v>
      </c>
      <c r="AC62" s="12">
        <f>'27'!K62</f>
        <v>3200</v>
      </c>
      <c r="AD62" s="12">
        <f>'28'!K62</f>
        <v>3200</v>
      </c>
      <c r="AE62" s="12">
        <f>'29'!K62</f>
        <v>3200</v>
      </c>
      <c r="AF62" s="12">
        <f>'30'!K62</f>
        <v>3200</v>
      </c>
      <c r="AG62" s="12">
        <f>'31'!K62</f>
        <v>3200</v>
      </c>
      <c r="AH62" s="12"/>
      <c r="AI62" s="12">
        <f t="shared" si="0"/>
        <v>0</v>
      </c>
      <c r="AJ62" s="130">
        <f t="shared" si="1"/>
        <v>3200</v>
      </c>
    </row>
    <row r="63" spans="1:36" x14ac:dyDescent="0.25">
      <c r="A63" s="96">
        <v>17</v>
      </c>
      <c r="B63" s="15" t="s">
        <v>55</v>
      </c>
      <c r="C63" s="12">
        <f>'01'!K63</f>
        <v>0</v>
      </c>
      <c r="D63" s="12">
        <f>'02'!K63</f>
        <v>0</v>
      </c>
      <c r="E63" s="12">
        <f>'03'!K63</f>
        <v>0</v>
      </c>
      <c r="F63" s="12">
        <f>'04'!K63</f>
        <v>0</v>
      </c>
      <c r="G63" s="12">
        <f>'05'!K63</f>
        <v>0</v>
      </c>
      <c r="H63" s="12">
        <f>'06'!K63</f>
        <v>0</v>
      </c>
      <c r="I63" s="12">
        <f>'07'!K63</f>
        <v>0</v>
      </c>
      <c r="J63" s="12">
        <f>'08'!K63</f>
        <v>0</v>
      </c>
      <c r="K63" s="12">
        <f>'09'!K63</f>
        <v>0</v>
      </c>
      <c r="L63" s="12">
        <f>'10'!K63</f>
        <v>0</v>
      </c>
      <c r="M63" s="12">
        <f>'11'!K63</f>
        <v>0</v>
      </c>
      <c r="N63" s="12">
        <f>'12'!K63</f>
        <v>0</v>
      </c>
      <c r="O63" s="12">
        <f>'13'!K63</f>
        <v>0</v>
      </c>
      <c r="P63" s="12">
        <f>'14'!K63</f>
        <v>0</v>
      </c>
      <c r="Q63" s="12">
        <f>'15'!K63</f>
        <v>0</v>
      </c>
      <c r="R63" s="12">
        <f>'16'!K63</f>
        <v>0</v>
      </c>
      <c r="S63" s="12">
        <f>'17'!K63</f>
        <v>0</v>
      </c>
      <c r="T63" s="12">
        <f>'18'!K63</f>
        <v>0</v>
      </c>
      <c r="U63" s="12">
        <f>'19'!K63</f>
        <v>0</v>
      </c>
      <c r="V63" s="12">
        <f>'20'!K63</f>
        <v>0</v>
      </c>
      <c r="W63" s="12">
        <f>'21'!K63</f>
        <v>0</v>
      </c>
      <c r="X63" s="12">
        <f>'22'!K63</f>
        <v>0</v>
      </c>
      <c r="Y63" s="12">
        <f>'23'!K63</f>
        <v>0</v>
      </c>
      <c r="Z63" s="12">
        <f>'24'!K63</f>
        <v>0</v>
      </c>
      <c r="AA63" s="12">
        <f>'25'!K63</f>
        <v>0</v>
      </c>
      <c r="AB63" s="12">
        <f>'26'!K63</f>
        <v>0</v>
      </c>
      <c r="AC63" s="12">
        <f>'27'!K63</f>
        <v>0</v>
      </c>
      <c r="AD63" s="12">
        <f>'28'!K63</f>
        <v>0</v>
      </c>
      <c r="AE63" s="12">
        <f>'29'!K63</f>
        <v>0</v>
      </c>
      <c r="AF63" s="12">
        <f>'30'!K63</f>
        <v>0</v>
      </c>
      <c r="AG63" s="12">
        <f>'31'!K63</f>
        <v>0</v>
      </c>
      <c r="AH63" s="12"/>
      <c r="AI63" s="12">
        <f t="shared" si="0"/>
        <v>0</v>
      </c>
      <c r="AJ63" s="130">
        <f t="shared" si="1"/>
        <v>0</v>
      </c>
    </row>
    <row r="64" spans="1:36" x14ac:dyDescent="0.25">
      <c r="A64" s="97"/>
      <c r="B64" s="14" t="s">
        <v>56</v>
      </c>
      <c r="C64" s="12">
        <f>'01'!K64</f>
        <v>26714.285714285714</v>
      </c>
      <c r="D64" s="12">
        <f>'02'!K64</f>
        <v>27142.857142857141</v>
      </c>
      <c r="E64" s="12">
        <f>'03'!K64</f>
        <v>25000</v>
      </c>
      <c r="F64" s="12">
        <f>'04'!K64</f>
        <v>27857.142857142859</v>
      </c>
      <c r="G64" s="12">
        <f>'05'!K64</f>
        <v>27142.857142857141</v>
      </c>
      <c r="H64" s="12">
        <f>'06'!K64</f>
        <v>27428.571428571428</v>
      </c>
      <c r="I64" s="12">
        <f>'07'!K64</f>
        <v>27142.857142857141</v>
      </c>
      <c r="J64" s="12">
        <f>'08'!K64</f>
        <v>26142.857142857141</v>
      </c>
      <c r="K64" s="12">
        <f>'09'!K64</f>
        <v>26000</v>
      </c>
      <c r="L64" s="12">
        <f>'10'!K64</f>
        <v>27142.857142857141</v>
      </c>
      <c r="M64" s="12">
        <f>'11'!K64</f>
        <v>26714.285714285714</v>
      </c>
      <c r="N64" s="12">
        <f>'12'!K64</f>
        <v>25571.428571428572</v>
      </c>
      <c r="O64" s="12">
        <f>'13'!K64</f>
        <v>25571.428571428572</v>
      </c>
      <c r="P64" s="12">
        <f>'14'!K64</f>
        <v>25428.571428571428</v>
      </c>
      <c r="Q64" s="12">
        <f>'15'!K64</f>
        <v>25428.571428571428</v>
      </c>
      <c r="R64" s="12">
        <f>'16'!K64</f>
        <v>27857.142857142859</v>
      </c>
      <c r="S64" s="12">
        <f>'17'!K64</f>
        <v>28000</v>
      </c>
      <c r="T64" s="12">
        <f>'18'!K64</f>
        <v>24571.428571428572</v>
      </c>
      <c r="U64" s="12">
        <f>'19'!K64</f>
        <v>25285.714285714286</v>
      </c>
      <c r="V64" s="12">
        <f>'20'!K64</f>
        <v>24833.333333333332</v>
      </c>
      <c r="W64" s="12">
        <f>'21'!K64</f>
        <v>24714.285714285714</v>
      </c>
      <c r="X64" s="12">
        <f>'22'!K64</f>
        <v>25142.857142857141</v>
      </c>
      <c r="Y64" s="12">
        <f>'23'!K64</f>
        <v>26142.857142857141</v>
      </c>
      <c r="Z64" s="12">
        <f>'24'!K64</f>
        <v>25571.428571428572</v>
      </c>
      <c r="AA64" s="12">
        <f>'25'!K64</f>
        <v>25142.857142857141</v>
      </c>
      <c r="AB64" s="12">
        <f>'26'!K64</f>
        <v>25000</v>
      </c>
      <c r="AC64" s="12">
        <f>'27'!K64</f>
        <v>25571.428571428572</v>
      </c>
      <c r="AD64" s="12">
        <f>'28'!K64</f>
        <v>25428.571428571428</v>
      </c>
      <c r="AE64" s="12">
        <f>'29'!K64</f>
        <v>25428.571428571428</v>
      </c>
      <c r="AF64" s="12">
        <f>'30'!K64</f>
        <v>26714.285714285714</v>
      </c>
      <c r="AG64" s="12">
        <f>'31'!K64</f>
        <v>28714.285714285714</v>
      </c>
      <c r="AH64" s="12"/>
      <c r="AI64" s="12">
        <f t="shared" si="0"/>
        <v>2000</v>
      </c>
      <c r="AJ64" s="130">
        <f t="shared" si="1"/>
        <v>26146.697388632871</v>
      </c>
    </row>
    <row r="65" spans="1:36" x14ac:dyDescent="0.25">
      <c r="A65" s="97"/>
      <c r="B65" s="14" t="s">
        <v>57</v>
      </c>
      <c r="C65" s="12">
        <f>'01'!K65</f>
        <v>24166.666666666668</v>
      </c>
      <c r="D65" s="12">
        <f>'02'!K65</f>
        <v>24666.666666666668</v>
      </c>
      <c r="E65" s="12">
        <f>'03'!K65</f>
        <v>23000</v>
      </c>
      <c r="F65" s="12">
        <f>'04'!K65</f>
        <v>25833.333333333332</v>
      </c>
      <c r="G65" s="12">
        <f>'05'!K65</f>
        <v>24333.333333333332</v>
      </c>
      <c r="H65" s="12">
        <f>'06'!K65</f>
        <v>25833.333333333332</v>
      </c>
      <c r="I65" s="12">
        <f>'07'!K65</f>
        <v>26000</v>
      </c>
      <c r="J65" s="12">
        <f>'08'!K65</f>
        <v>26000</v>
      </c>
      <c r="K65" s="12">
        <f>'09'!K65</f>
        <v>24000</v>
      </c>
      <c r="L65" s="12">
        <f>'10'!K65</f>
        <v>24000</v>
      </c>
      <c r="M65" s="12">
        <f>'11'!K65</f>
        <v>25000</v>
      </c>
      <c r="N65" s="12">
        <f>'12'!K65</f>
        <v>25833.333333333332</v>
      </c>
      <c r="O65" s="12">
        <f>'13'!K65</f>
        <v>25833.333333333332</v>
      </c>
      <c r="P65" s="12">
        <f>'14'!K65</f>
        <v>26166.666666666668</v>
      </c>
      <c r="Q65" s="12">
        <f>'15'!K65</f>
        <v>26166.666666666668</v>
      </c>
      <c r="R65" s="12">
        <f>'16'!K65</f>
        <v>26333.333333333332</v>
      </c>
      <c r="S65" s="12">
        <f>'17'!K65</f>
        <v>26333.333333333332</v>
      </c>
      <c r="T65" s="12">
        <f>'18'!K65</f>
        <v>24166.666666666668</v>
      </c>
      <c r="U65" s="12">
        <f>'19'!K65</f>
        <v>24666.666666666668</v>
      </c>
      <c r="V65" s="12">
        <f>'20'!K65</f>
        <v>26666.666666666668</v>
      </c>
      <c r="W65" s="12">
        <f>'21'!K65</f>
        <v>26666.666666666668</v>
      </c>
      <c r="X65" s="12">
        <f>'22'!K65</f>
        <v>27166.666666666668</v>
      </c>
      <c r="Y65" s="12">
        <f>'23'!K65</f>
        <v>27000</v>
      </c>
      <c r="Z65" s="12">
        <f>'24'!K65</f>
        <v>26500</v>
      </c>
      <c r="AA65" s="12">
        <f>'25'!K65</f>
        <v>26000</v>
      </c>
      <c r="AB65" s="12">
        <f>'26'!K65</f>
        <v>25500</v>
      </c>
      <c r="AC65" s="12">
        <f>'27'!K65</f>
        <v>28000</v>
      </c>
      <c r="AD65" s="12">
        <f>'28'!K65</f>
        <v>27833.333333333332</v>
      </c>
      <c r="AE65" s="12">
        <f>'29'!K65</f>
        <v>27833.333333333332</v>
      </c>
      <c r="AF65" s="12">
        <f>'30'!K65</f>
        <v>30166.666666666668</v>
      </c>
      <c r="AG65" s="12">
        <f>'31'!K65</f>
        <v>35333.333333333336</v>
      </c>
      <c r="AH65" s="12"/>
      <c r="AI65" s="12">
        <f t="shared" si="0"/>
        <v>11166.666666666668</v>
      </c>
      <c r="AJ65" s="130">
        <f t="shared" si="1"/>
        <v>26225.806451612905</v>
      </c>
    </row>
    <row r="66" spans="1:36" x14ac:dyDescent="0.25">
      <c r="A66" s="98"/>
      <c r="B66" s="14" t="s">
        <v>58</v>
      </c>
      <c r="C66" s="12">
        <f>'01'!K66</f>
        <v>24142.857142857141</v>
      </c>
      <c r="D66" s="12">
        <f>'02'!K66</f>
        <v>25571.428571428572</v>
      </c>
      <c r="E66" s="12">
        <f>'03'!K66</f>
        <v>24571.428571428572</v>
      </c>
      <c r="F66" s="12">
        <f>'04'!K66</f>
        <v>26714.285714285714</v>
      </c>
      <c r="G66" s="12">
        <f>'05'!K66</f>
        <v>29285.714285714286</v>
      </c>
      <c r="H66" s="12">
        <f>'06'!K66</f>
        <v>30285.714285714286</v>
      </c>
      <c r="I66" s="12">
        <f>'07'!K66</f>
        <v>30285.714285714286</v>
      </c>
      <c r="J66" s="12">
        <f>'08'!K66</f>
        <v>31857.142857142859</v>
      </c>
      <c r="K66" s="12">
        <f>'09'!K66</f>
        <v>33285.714285714283</v>
      </c>
      <c r="L66" s="12">
        <f>'10'!K66</f>
        <v>34285.714285714283</v>
      </c>
      <c r="M66" s="12">
        <f>'11'!K66</f>
        <v>36714.285714285717</v>
      </c>
      <c r="N66" s="12">
        <f>'12'!K66</f>
        <v>37571.428571428572</v>
      </c>
      <c r="O66" s="12">
        <f>'13'!K66</f>
        <v>37571.428571428572</v>
      </c>
      <c r="P66" s="12">
        <f>'14'!K66</f>
        <v>37571.428571428572</v>
      </c>
      <c r="Q66" s="12">
        <f>'15'!K66</f>
        <v>38142.857142857145</v>
      </c>
      <c r="R66" s="12">
        <f>'16'!K66</f>
        <v>40428.571428571428</v>
      </c>
      <c r="S66" s="12">
        <f>'17'!K66</f>
        <v>41000</v>
      </c>
      <c r="T66" s="12">
        <f>'18'!K66</f>
        <v>42142.857142857145</v>
      </c>
      <c r="U66" s="12">
        <f>'19'!K66</f>
        <v>43000</v>
      </c>
      <c r="V66" s="12">
        <f>'20'!K66</f>
        <v>43571.428571428572</v>
      </c>
      <c r="W66" s="12">
        <f>'21'!K66</f>
        <v>43428.571428571428</v>
      </c>
      <c r="X66" s="12">
        <f>'22'!K66</f>
        <v>43571.428571428572</v>
      </c>
      <c r="Y66" s="12">
        <f>'23'!K66</f>
        <v>50000</v>
      </c>
      <c r="Z66" s="12">
        <f>'24'!K66</f>
        <v>50857.142857142855</v>
      </c>
      <c r="AA66" s="12">
        <f>'25'!K66</f>
        <v>50857.142857142855</v>
      </c>
      <c r="AB66" s="12">
        <f>'26'!K66</f>
        <v>53142.857142857145</v>
      </c>
      <c r="AC66" s="12">
        <f>'27'!K66</f>
        <v>57857.142857142855</v>
      </c>
      <c r="AD66" s="12">
        <f>'28'!K66</f>
        <v>58571.428571428572</v>
      </c>
      <c r="AE66" s="12">
        <f>'29'!K66</f>
        <v>58571.428571428572</v>
      </c>
      <c r="AF66" s="12">
        <f>'30'!K66</f>
        <v>61000</v>
      </c>
      <c r="AG66" s="12">
        <f>'31'!K66</f>
        <v>62666.666666666664</v>
      </c>
      <c r="AH66" s="12"/>
      <c r="AI66" s="12">
        <f t="shared" si="0"/>
        <v>38523.809523809527</v>
      </c>
      <c r="AJ66" s="130">
        <f t="shared" si="1"/>
        <v>41242.703533026121</v>
      </c>
    </row>
    <row r="67" spans="1:36" x14ac:dyDescent="0.25">
      <c r="A67" s="27">
        <v>18</v>
      </c>
      <c r="B67" s="15" t="s">
        <v>59</v>
      </c>
      <c r="C67" s="12">
        <f>'01'!K67</f>
        <v>0</v>
      </c>
      <c r="D67" s="12">
        <f>'02'!K67</f>
        <v>0</v>
      </c>
      <c r="E67" s="12">
        <f>'03'!K67</f>
        <v>0</v>
      </c>
      <c r="F67" s="12">
        <f>'04'!K67</f>
        <v>0</v>
      </c>
      <c r="G67" s="12">
        <f>'05'!K67</f>
        <v>0</v>
      </c>
      <c r="H67" s="12">
        <f>'06'!K67</f>
        <v>0</v>
      </c>
      <c r="I67" s="12">
        <f>'07'!K67</f>
        <v>0</v>
      </c>
      <c r="J67" s="12">
        <f>'08'!K67</f>
        <v>0</v>
      </c>
      <c r="K67" s="12">
        <f>'09'!K67</f>
        <v>0</v>
      </c>
      <c r="L67" s="12">
        <f>'10'!K67</f>
        <v>0</v>
      </c>
      <c r="M67" s="12">
        <f>'11'!K67</f>
        <v>0</v>
      </c>
      <c r="N67" s="12">
        <f>'12'!K67</f>
        <v>0</v>
      </c>
      <c r="O67" s="12">
        <f>'13'!K67</f>
        <v>0</v>
      </c>
      <c r="P67" s="12">
        <f>'14'!K67</f>
        <v>0</v>
      </c>
      <c r="Q67" s="12">
        <f>'15'!K67</f>
        <v>0</v>
      </c>
      <c r="R67" s="12">
        <f>'16'!K67</f>
        <v>0</v>
      </c>
      <c r="S67" s="12">
        <f>'17'!K67</f>
        <v>0</v>
      </c>
      <c r="T67" s="12">
        <f>'18'!K67</f>
        <v>0</v>
      </c>
      <c r="U67" s="12">
        <f>'19'!K67</f>
        <v>0</v>
      </c>
      <c r="V67" s="12">
        <f>'20'!K67</f>
        <v>0</v>
      </c>
      <c r="W67" s="12">
        <f>'21'!K67</f>
        <v>0</v>
      </c>
      <c r="X67" s="12">
        <f>'22'!K67</f>
        <v>0</v>
      </c>
      <c r="Y67" s="12">
        <f>'23'!K67</f>
        <v>0</v>
      </c>
      <c r="Z67" s="12">
        <f>'24'!K67</f>
        <v>0</v>
      </c>
      <c r="AA67" s="12">
        <f>'25'!K67</f>
        <v>0</v>
      </c>
      <c r="AB67" s="12">
        <f>'26'!K67</f>
        <v>0</v>
      </c>
      <c r="AC67" s="12">
        <f>'27'!K67</f>
        <v>0</v>
      </c>
      <c r="AD67" s="12">
        <f>'28'!K67</f>
        <v>0</v>
      </c>
      <c r="AE67" s="12">
        <f>'29'!K67</f>
        <v>0</v>
      </c>
      <c r="AF67" s="12">
        <f>'30'!K67</f>
        <v>0</v>
      </c>
      <c r="AG67" s="12">
        <f>'31'!K67</f>
        <v>0</v>
      </c>
      <c r="AH67" s="12"/>
      <c r="AI67" s="12">
        <f t="shared" si="0"/>
        <v>0</v>
      </c>
      <c r="AJ67" s="130">
        <f t="shared" si="1"/>
        <v>0</v>
      </c>
    </row>
    <row r="68" spans="1:36" x14ac:dyDescent="0.25">
      <c r="A68" s="28"/>
      <c r="B68" s="14" t="s">
        <v>60</v>
      </c>
      <c r="C68" s="12">
        <f>'01'!K68</f>
        <v>18666.666666666668</v>
      </c>
      <c r="D68" s="12">
        <f>'02'!K68</f>
        <v>18666.666666666668</v>
      </c>
      <c r="E68" s="12">
        <f>'03'!K68</f>
        <v>18666.666666666668</v>
      </c>
      <c r="F68" s="12">
        <f>'04'!K68</f>
        <v>18666.666666666668</v>
      </c>
      <c r="G68" s="12">
        <f>'05'!K68</f>
        <v>18666.666666666668</v>
      </c>
      <c r="H68" s="12">
        <f>'06'!K68</f>
        <v>18666.666666666668</v>
      </c>
      <c r="I68" s="12">
        <f>'07'!K68</f>
        <v>18666.666666666668</v>
      </c>
      <c r="J68" s="12">
        <f>'08'!K68</f>
        <v>18666.666666666668</v>
      </c>
      <c r="K68" s="12">
        <f>'09'!K68</f>
        <v>18666.666666666668</v>
      </c>
      <c r="L68" s="12">
        <f>'10'!K68</f>
        <v>18666.666666666668</v>
      </c>
      <c r="M68" s="12">
        <f>'11'!K68</f>
        <v>18666.666666666668</v>
      </c>
      <c r="N68" s="12">
        <f>'12'!K68</f>
        <v>18666.666666666668</v>
      </c>
      <c r="O68" s="12">
        <f>'13'!K68</f>
        <v>18666.666666666668</v>
      </c>
      <c r="P68" s="12">
        <f>'14'!K68</f>
        <v>18666.666666666668</v>
      </c>
      <c r="Q68" s="12">
        <f>'15'!K68</f>
        <v>18666.666666666668</v>
      </c>
      <c r="R68" s="12">
        <f>'16'!K68</f>
        <v>18666.666666666668</v>
      </c>
      <c r="S68" s="12">
        <f>'17'!K68</f>
        <v>18666.666666666668</v>
      </c>
      <c r="T68" s="12">
        <f>'18'!K68</f>
        <v>18666.666666666668</v>
      </c>
      <c r="U68" s="12">
        <f>'19'!K68</f>
        <v>18666.666666666668</v>
      </c>
      <c r="V68" s="12">
        <f>'20'!K68</f>
        <v>18666.666666666668</v>
      </c>
      <c r="W68" s="12">
        <f>'21'!K68</f>
        <v>18666.666666666668</v>
      </c>
      <c r="X68" s="12">
        <f>'22'!K68</f>
        <v>18666.666666666668</v>
      </c>
      <c r="Y68" s="12">
        <f>'23'!K68</f>
        <v>18666.666666666668</v>
      </c>
      <c r="Z68" s="12">
        <f>'24'!K68</f>
        <v>18666.666666666668</v>
      </c>
      <c r="AA68" s="12">
        <f>'25'!K68</f>
        <v>18666.666666666668</v>
      </c>
      <c r="AB68" s="12">
        <f>'26'!K68</f>
        <v>18666.666666666668</v>
      </c>
      <c r="AC68" s="12">
        <f>'27'!K68</f>
        <v>18666.666666666668</v>
      </c>
      <c r="AD68" s="12">
        <f>'28'!K68</f>
        <v>18666.666666666668</v>
      </c>
      <c r="AE68" s="12">
        <f>'29'!K68</f>
        <v>18666.666666666668</v>
      </c>
      <c r="AF68" s="12">
        <f>'30'!K68</f>
        <v>18666.666666666668</v>
      </c>
      <c r="AG68" s="12">
        <f>'31'!K68</f>
        <v>18666.666666666668</v>
      </c>
      <c r="AH68" s="12"/>
      <c r="AI68" s="12">
        <f t="shared" si="0"/>
        <v>0</v>
      </c>
      <c r="AJ68" s="130">
        <f t="shared" si="1"/>
        <v>18666.666666666668</v>
      </c>
    </row>
    <row r="69" spans="1:36" x14ac:dyDescent="0.25">
      <c r="A69" s="96">
        <v>19</v>
      </c>
      <c r="B69" s="15" t="s">
        <v>62</v>
      </c>
      <c r="C69" s="12">
        <f>'01'!K69</f>
        <v>0</v>
      </c>
      <c r="D69" s="12">
        <f>'02'!K69</f>
        <v>0</v>
      </c>
      <c r="E69" s="12">
        <f>'03'!K69</f>
        <v>0</v>
      </c>
      <c r="F69" s="12">
        <f>'04'!K69</f>
        <v>0</v>
      </c>
      <c r="G69" s="12">
        <f>'05'!K69</f>
        <v>0</v>
      </c>
      <c r="H69" s="12">
        <f>'06'!K69</f>
        <v>0</v>
      </c>
      <c r="I69" s="12">
        <f>'07'!K69</f>
        <v>0</v>
      </c>
      <c r="J69" s="12">
        <f>'08'!K69</f>
        <v>0</v>
      </c>
      <c r="K69" s="12">
        <f>'09'!K69</f>
        <v>0</v>
      </c>
      <c r="L69" s="12">
        <f>'10'!K69</f>
        <v>0</v>
      </c>
      <c r="M69" s="12">
        <f>'11'!K69</f>
        <v>0</v>
      </c>
      <c r="N69" s="12">
        <f>'12'!K69</f>
        <v>0</v>
      </c>
      <c r="O69" s="12">
        <f>'13'!K69</f>
        <v>0</v>
      </c>
      <c r="P69" s="12">
        <f>'14'!K69</f>
        <v>0</v>
      </c>
      <c r="Q69" s="12">
        <f>'15'!K69</f>
        <v>0</v>
      </c>
      <c r="R69" s="12">
        <f>'16'!K69</f>
        <v>0</v>
      </c>
      <c r="S69" s="12">
        <f>'17'!K69</f>
        <v>0</v>
      </c>
      <c r="T69" s="12">
        <f>'18'!K69</f>
        <v>0</v>
      </c>
      <c r="U69" s="12">
        <f>'19'!K69</f>
        <v>0</v>
      </c>
      <c r="V69" s="12">
        <f>'20'!K69</f>
        <v>0</v>
      </c>
      <c r="W69" s="12">
        <f>'21'!K69</f>
        <v>0</v>
      </c>
      <c r="X69" s="12">
        <f>'22'!K69</f>
        <v>0</v>
      </c>
      <c r="Y69" s="12">
        <f>'23'!K69</f>
        <v>0</v>
      </c>
      <c r="Z69" s="12">
        <f>'24'!K69</f>
        <v>0</v>
      </c>
      <c r="AA69" s="12">
        <f>'25'!K69</f>
        <v>0</v>
      </c>
      <c r="AB69" s="12">
        <f>'26'!K69</f>
        <v>0</v>
      </c>
      <c r="AC69" s="12">
        <f>'27'!K69</f>
        <v>0</v>
      </c>
      <c r="AD69" s="12">
        <f>'28'!K69</f>
        <v>0</v>
      </c>
      <c r="AE69" s="12">
        <f>'29'!K69</f>
        <v>0</v>
      </c>
      <c r="AF69" s="12">
        <f>'30'!K69</f>
        <v>0</v>
      </c>
      <c r="AG69" s="12">
        <f>'31'!K69</f>
        <v>0</v>
      </c>
      <c r="AH69" s="12"/>
      <c r="AI69" s="12">
        <f t="shared" si="0"/>
        <v>0</v>
      </c>
      <c r="AJ69" s="130">
        <f t="shared" si="1"/>
        <v>0</v>
      </c>
    </row>
    <row r="70" spans="1:36" x14ac:dyDescent="0.25">
      <c r="A70" s="97"/>
      <c r="B70" s="14" t="s">
        <v>63</v>
      </c>
      <c r="C70" s="12">
        <f>'01'!K70</f>
        <v>34714.285714285717</v>
      </c>
      <c r="D70" s="12">
        <f>'02'!K70</f>
        <v>34142.857142857145</v>
      </c>
      <c r="E70" s="12">
        <f>'03'!K70</f>
        <v>33714.285714285717</v>
      </c>
      <c r="F70" s="12">
        <f>'04'!K70</f>
        <v>33857.142857142855</v>
      </c>
      <c r="G70" s="12">
        <f>'05'!K70</f>
        <v>34142.857142857145</v>
      </c>
      <c r="H70" s="12">
        <f>'06'!K70</f>
        <v>34285.714285714283</v>
      </c>
      <c r="I70" s="12">
        <f>'07'!K70</f>
        <v>35000</v>
      </c>
      <c r="J70" s="12">
        <f>'08'!K70</f>
        <v>34714.285714285717</v>
      </c>
      <c r="K70" s="12">
        <f>'09'!K70</f>
        <v>34428.571428571428</v>
      </c>
      <c r="L70" s="12">
        <f>'10'!K70</f>
        <v>34571.428571428572</v>
      </c>
      <c r="M70" s="12">
        <f>'11'!K70</f>
        <v>34285.714285714283</v>
      </c>
      <c r="N70" s="12">
        <f>'12'!K70</f>
        <v>34285.714285714283</v>
      </c>
      <c r="O70" s="12">
        <f>'13'!K70</f>
        <v>34285.714285714283</v>
      </c>
      <c r="P70" s="12">
        <f>'14'!K70</f>
        <v>34285.714285714283</v>
      </c>
      <c r="Q70" s="12">
        <f>'15'!K70</f>
        <v>34285.714285714283</v>
      </c>
      <c r="R70" s="12">
        <f>'16'!K70</f>
        <v>34142.857142857145</v>
      </c>
      <c r="S70" s="12">
        <f>'17'!K70</f>
        <v>34142.857142857145</v>
      </c>
      <c r="T70" s="12">
        <f>'18'!K70</f>
        <v>34428.571428571428</v>
      </c>
      <c r="U70" s="12">
        <f>'19'!K70</f>
        <v>34428.571428571428</v>
      </c>
      <c r="V70" s="12">
        <f>'20'!K70</f>
        <v>34714.285714285717</v>
      </c>
      <c r="W70" s="12">
        <f>'21'!K70</f>
        <v>34571.428571428572</v>
      </c>
      <c r="X70" s="12">
        <f>'22'!K70</f>
        <v>34571.428571428572</v>
      </c>
      <c r="Y70" s="12">
        <f>'23'!K70</f>
        <v>34714.285714285717</v>
      </c>
      <c r="Z70" s="12">
        <f>'24'!K70</f>
        <v>34571.428571428572</v>
      </c>
      <c r="AA70" s="12">
        <f>'25'!K70</f>
        <v>34285.714285714283</v>
      </c>
      <c r="AB70" s="12">
        <f>'26'!K70</f>
        <v>34428.571428571428</v>
      </c>
      <c r="AC70" s="12">
        <f>'27'!K70</f>
        <v>34714.285714285717</v>
      </c>
      <c r="AD70" s="12">
        <f>'28'!K70</f>
        <v>34428.571428571428</v>
      </c>
      <c r="AE70" s="12">
        <f>'29'!K70</f>
        <v>34428.571428571428</v>
      </c>
      <c r="AF70" s="12">
        <f>'30'!K70</f>
        <v>34571.428571428572</v>
      </c>
      <c r="AG70" s="12">
        <f>'31'!K70</f>
        <v>34571.428571428572</v>
      </c>
      <c r="AH70" s="12"/>
      <c r="AI70" s="12">
        <f t="shared" si="0"/>
        <v>-142.85714285714494</v>
      </c>
      <c r="AJ70" s="130">
        <f t="shared" si="1"/>
        <v>34410.138248847928</v>
      </c>
    </row>
    <row r="71" spans="1:36" x14ac:dyDescent="0.25">
      <c r="A71" s="97"/>
      <c r="B71" s="14" t="s">
        <v>64</v>
      </c>
      <c r="C71" s="12">
        <f>'01'!K71</f>
        <v>32714.285714285714</v>
      </c>
      <c r="D71" s="12">
        <f>'02'!K71</f>
        <v>33000</v>
      </c>
      <c r="E71" s="12">
        <f>'03'!K71</f>
        <v>32714.285714285714</v>
      </c>
      <c r="F71" s="12">
        <f>'04'!K71</f>
        <v>32571.428571428572</v>
      </c>
      <c r="G71" s="12">
        <f>'05'!K71</f>
        <v>32571.428571428572</v>
      </c>
      <c r="H71" s="12">
        <f>'06'!K71</f>
        <v>32571.428571428572</v>
      </c>
      <c r="I71" s="12">
        <f>'07'!K71</f>
        <v>32285.714285714286</v>
      </c>
      <c r="J71" s="12">
        <f>'08'!K71</f>
        <v>32285.714285714286</v>
      </c>
      <c r="K71" s="12">
        <f>'09'!K71</f>
        <v>32142.857142857141</v>
      </c>
      <c r="L71" s="12">
        <f>'10'!K71</f>
        <v>32142.857142857141</v>
      </c>
      <c r="M71" s="12">
        <f>'11'!K71</f>
        <v>32000</v>
      </c>
      <c r="N71" s="12">
        <f>'12'!K71</f>
        <v>32142.857142857141</v>
      </c>
      <c r="O71" s="12">
        <f>'13'!K71</f>
        <v>32142.857142857141</v>
      </c>
      <c r="P71" s="12">
        <f>'14'!K71</f>
        <v>32142.857142857141</v>
      </c>
      <c r="Q71" s="12">
        <f>'15'!K71</f>
        <v>32000</v>
      </c>
      <c r="R71" s="12">
        <f>'16'!K71</f>
        <v>31857.142857142859</v>
      </c>
      <c r="S71" s="12">
        <f>'17'!K71</f>
        <v>31857.142857142859</v>
      </c>
      <c r="T71" s="12">
        <f>'18'!K71</f>
        <v>31857.142857142859</v>
      </c>
      <c r="U71" s="12">
        <f>'19'!K71</f>
        <v>31857.142857142859</v>
      </c>
      <c r="V71" s="12">
        <f>'20'!K71</f>
        <v>32000</v>
      </c>
      <c r="W71" s="12">
        <f>'21'!K71</f>
        <v>31571.428571428572</v>
      </c>
      <c r="X71" s="12">
        <f>'22'!K71</f>
        <v>31714.285714285714</v>
      </c>
      <c r="Y71" s="12">
        <f>'23'!K71</f>
        <v>32428.571428571428</v>
      </c>
      <c r="Z71" s="12">
        <f>'24'!K71</f>
        <v>32285.714285714286</v>
      </c>
      <c r="AA71" s="12">
        <f>'25'!K71</f>
        <v>31857.142857142859</v>
      </c>
      <c r="AB71" s="12">
        <f>'26'!K71</f>
        <v>31857.142857142859</v>
      </c>
      <c r="AC71" s="12">
        <f>'27'!K71</f>
        <v>31857.142857142859</v>
      </c>
      <c r="AD71" s="12">
        <f>'28'!K71</f>
        <v>31857.142857142859</v>
      </c>
      <c r="AE71" s="12">
        <f>'29'!K71</f>
        <v>31857.142857142859</v>
      </c>
      <c r="AF71" s="12">
        <f>'30'!K71</f>
        <v>32285.714285714286</v>
      </c>
      <c r="AG71" s="12">
        <f>'31'!K71</f>
        <v>32285.714285714286</v>
      </c>
      <c r="AH71" s="12"/>
      <c r="AI71" s="12">
        <f t="shared" si="0"/>
        <v>-428.57142857142753</v>
      </c>
      <c r="AJ71" s="130">
        <f t="shared" si="1"/>
        <v>32152.073732718898</v>
      </c>
    </row>
    <row r="72" spans="1:36" x14ac:dyDescent="0.25">
      <c r="A72" s="97"/>
      <c r="B72" s="14" t="s">
        <v>65</v>
      </c>
      <c r="C72" s="12">
        <f>'01'!K72</f>
        <v>19714.285714285714</v>
      </c>
      <c r="D72" s="12">
        <f>'02'!K72</f>
        <v>19142.857142857141</v>
      </c>
      <c r="E72" s="12">
        <f>'03'!K72</f>
        <v>18714.285714285714</v>
      </c>
      <c r="F72" s="12">
        <f>'04'!K72</f>
        <v>19000</v>
      </c>
      <c r="G72" s="12">
        <f>'05'!K72</f>
        <v>19428.571428571428</v>
      </c>
      <c r="H72" s="12">
        <f>'06'!K72</f>
        <v>19142.857142857141</v>
      </c>
      <c r="I72" s="12">
        <f>'07'!K72</f>
        <v>19142.857142857141</v>
      </c>
      <c r="J72" s="12">
        <f>'08'!K72</f>
        <v>19142.857142857141</v>
      </c>
      <c r="K72" s="12">
        <f>'09'!K72</f>
        <v>19428.571428571428</v>
      </c>
      <c r="L72" s="12">
        <f>'10'!K72</f>
        <v>19428.571428571428</v>
      </c>
      <c r="M72" s="12">
        <f>'11'!K72</f>
        <v>19428.571428571428</v>
      </c>
      <c r="N72" s="12">
        <f>'12'!K72</f>
        <v>19142.857142857141</v>
      </c>
      <c r="O72" s="12">
        <f>'13'!K72</f>
        <v>19142.857142857141</v>
      </c>
      <c r="P72" s="12">
        <f>'14'!K72</f>
        <v>19142.857142857141</v>
      </c>
      <c r="Q72" s="12">
        <f>'15'!K72</f>
        <v>19142.857142857141</v>
      </c>
      <c r="R72" s="12">
        <f>'16'!K72</f>
        <v>20285.714285714286</v>
      </c>
      <c r="S72" s="12">
        <f>'17'!K72</f>
        <v>20285.714285714286</v>
      </c>
      <c r="T72" s="12">
        <f>'18'!K72</f>
        <v>20000</v>
      </c>
      <c r="U72" s="12">
        <f>'19'!K72</f>
        <v>19714.285714285714</v>
      </c>
      <c r="V72" s="12">
        <f>'20'!K72</f>
        <v>19714.285714285714</v>
      </c>
      <c r="W72" s="12">
        <f>'21'!K72</f>
        <v>19142.857142857141</v>
      </c>
      <c r="X72" s="12">
        <f>'22'!K72</f>
        <v>19142.857142857141</v>
      </c>
      <c r="Y72" s="12">
        <f>'23'!K72</f>
        <v>19428.571428571428</v>
      </c>
      <c r="Z72" s="12">
        <f>'24'!K72</f>
        <v>19428.571428571428</v>
      </c>
      <c r="AA72" s="12">
        <f>'25'!K72</f>
        <v>19428.571428571428</v>
      </c>
      <c r="AB72" s="12">
        <f>'26'!K72</f>
        <v>19428.571428571428</v>
      </c>
      <c r="AC72" s="12">
        <f>'27'!K72</f>
        <v>19428.571428571428</v>
      </c>
      <c r="AD72" s="12">
        <f>'28'!K72</f>
        <v>19428.571428571428</v>
      </c>
      <c r="AE72" s="12">
        <f>'29'!K72</f>
        <v>19428.571428571428</v>
      </c>
      <c r="AF72" s="12">
        <f>'30'!K72</f>
        <v>19714.285714285714</v>
      </c>
      <c r="AG72" s="12">
        <f>'31'!K72</f>
        <v>19714.285714285714</v>
      </c>
      <c r="AH72" s="12"/>
      <c r="AI72" s="12">
        <f t="shared" si="0"/>
        <v>0</v>
      </c>
      <c r="AJ72" s="130">
        <f t="shared" si="1"/>
        <v>19419.354838709678</v>
      </c>
    </row>
    <row r="73" spans="1:36" x14ac:dyDescent="0.25">
      <c r="A73" s="98"/>
      <c r="B73" s="14" t="s">
        <v>66</v>
      </c>
      <c r="C73" s="12">
        <f>'01'!K73</f>
        <v>26714.285714285714</v>
      </c>
      <c r="D73" s="12">
        <f>'02'!K73</f>
        <v>26714.285714285714</v>
      </c>
      <c r="E73" s="12">
        <f>'03'!K73</f>
        <v>26714.285714285714</v>
      </c>
      <c r="F73" s="12">
        <f>'04'!K73</f>
        <v>26714.285714285714</v>
      </c>
      <c r="G73" s="12">
        <f>'05'!K73</f>
        <v>26714.285714285714</v>
      </c>
      <c r="H73" s="12">
        <f>'06'!K73</f>
        <v>27000</v>
      </c>
      <c r="I73" s="12">
        <f>'07'!K73</f>
        <v>27000</v>
      </c>
      <c r="J73" s="12">
        <f>'08'!K73</f>
        <v>27000</v>
      </c>
      <c r="K73" s="12">
        <f>'09'!K73</f>
        <v>27000</v>
      </c>
      <c r="L73" s="12">
        <f>'10'!K73</f>
        <v>27000</v>
      </c>
      <c r="M73" s="12">
        <f>'11'!K73</f>
        <v>27000</v>
      </c>
      <c r="N73" s="12">
        <f>'12'!K73</f>
        <v>27142.857142857141</v>
      </c>
      <c r="O73" s="12">
        <f>'13'!K73</f>
        <v>27142.857142857141</v>
      </c>
      <c r="P73" s="12">
        <f>'14'!K73</f>
        <v>27142.857142857141</v>
      </c>
      <c r="Q73" s="12">
        <f>'15'!K73</f>
        <v>27142.857142857141</v>
      </c>
      <c r="R73" s="12">
        <f>'16'!K73</f>
        <v>27142.857142857141</v>
      </c>
      <c r="S73" s="12">
        <f>'17'!K73</f>
        <v>27142.857142857141</v>
      </c>
      <c r="T73" s="12">
        <f>'18'!K73</f>
        <v>27142.857142857141</v>
      </c>
      <c r="U73" s="12">
        <f>'19'!K73</f>
        <v>27142.857142857141</v>
      </c>
      <c r="V73" s="12">
        <f>'20'!K73</f>
        <v>27142.857142857141</v>
      </c>
      <c r="W73" s="12">
        <f>'21'!K73</f>
        <v>27142.857142857141</v>
      </c>
      <c r="X73" s="12">
        <f>'22'!K73</f>
        <v>27142.857142857141</v>
      </c>
      <c r="Y73" s="12">
        <f>'23'!K73</f>
        <v>27142.857142857141</v>
      </c>
      <c r="Z73" s="12">
        <f>'24'!K73</f>
        <v>27142.857142857141</v>
      </c>
      <c r="AA73" s="12">
        <f>'25'!K73</f>
        <v>27142.857142857141</v>
      </c>
      <c r="AB73" s="12">
        <f>'26'!K73</f>
        <v>27142.857142857141</v>
      </c>
      <c r="AC73" s="12">
        <f>'27'!K73</f>
        <v>27428.571428571428</v>
      </c>
      <c r="AD73" s="12">
        <f>'28'!K73</f>
        <v>27428.571428571428</v>
      </c>
      <c r="AE73" s="12">
        <f>'29'!K73</f>
        <v>27428.571428571428</v>
      </c>
      <c r="AF73" s="12">
        <f>'30'!K73</f>
        <v>27000</v>
      </c>
      <c r="AG73" s="12">
        <f>'31'!K73</f>
        <v>27000</v>
      </c>
      <c r="AH73" s="12"/>
      <c r="AI73" s="12">
        <f t="shared" ref="AI73:AI88" si="2">AG73-C73</f>
        <v>285.71428571428623</v>
      </c>
      <c r="AJ73" s="130">
        <f t="shared" ref="AJ73:AJ88" si="3">AVERAGE(C73:AG73)</f>
        <v>27064.516129032269</v>
      </c>
    </row>
    <row r="74" spans="1:36" x14ac:dyDescent="0.25">
      <c r="A74" s="27">
        <v>20</v>
      </c>
      <c r="B74" s="15" t="s">
        <v>67</v>
      </c>
      <c r="C74" s="12">
        <f>'01'!K74</f>
        <v>0</v>
      </c>
      <c r="D74" s="12">
        <f>'02'!K74</f>
        <v>0</v>
      </c>
      <c r="E74" s="12">
        <f>'03'!K74</f>
        <v>0</v>
      </c>
      <c r="F74" s="12">
        <f>'04'!K74</f>
        <v>0</v>
      </c>
      <c r="G74" s="12">
        <f>'05'!K74</f>
        <v>0</v>
      </c>
      <c r="H74" s="12">
        <f>'06'!K74</f>
        <v>0</v>
      </c>
      <c r="I74" s="12">
        <f>'07'!K74</f>
        <v>0</v>
      </c>
      <c r="J74" s="12">
        <f>'08'!K74</f>
        <v>0</v>
      </c>
      <c r="K74" s="12">
        <f>'09'!K74</f>
        <v>0</v>
      </c>
      <c r="L74" s="12">
        <f>'10'!K74</f>
        <v>0</v>
      </c>
      <c r="M74" s="12">
        <f>'11'!K74</f>
        <v>0</v>
      </c>
      <c r="N74" s="12">
        <f>'12'!K74</f>
        <v>0</v>
      </c>
      <c r="O74" s="12">
        <f>'13'!K74</f>
        <v>0</v>
      </c>
      <c r="P74" s="12">
        <f>'14'!K74</f>
        <v>0</v>
      </c>
      <c r="Q74" s="12">
        <f>'15'!K74</f>
        <v>0</v>
      </c>
      <c r="R74" s="12">
        <f>'16'!K74</f>
        <v>0</v>
      </c>
      <c r="S74" s="12">
        <f>'17'!K74</f>
        <v>0</v>
      </c>
      <c r="T74" s="12">
        <f>'18'!K74</f>
        <v>0</v>
      </c>
      <c r="U74" s="12">
        <f>'19'!K74</f>
        <v>0</v>
      </c>
      <c r="V74" s="12">
        <f>'20'!K74</f>
        <v>0</v>
      </c>
      <c r="W74" s="12">
        <f>'21'!K74</f>
        <v>0</v>
      </c>
      <c r="X74" s="12">
        <f>'22'!K74</f>
        <v>0</v>
      </c>
      <c r="Y74" s="12">
        <f>'23'!K74</f>
        <v>0</v>
      </c>
      <c r="Z74" s="12">
        <f>'24'!K74</f>
        <v>0</v>
      </c>
      <c r="AA74" s="12">
        <f>'25'!K74</f>
        <v>0</v>
      </c>
      <c r="AB74" s="12">
        <f>'26'!K74</f>
        <v>0</v>
      </c>
      <c r="AC74" s="12">
        <f>'27'!K74</f>
        <v>0</v>
      </c>
      <c r="AD74" s="12">
        <f>'28'!K74</f>
        <v>0</v>
      </c>
      <c r="AE74" s="12">
        <f>'29'!K74</f>
        <v>0</v>
      </c>
      <c r="AF74" s="12">
        <f>'30'!K74</f>
        <v>0</v>
      </c>
      <c r="AG74" s="12">
        <f>'31'!K74</f>
        <v>0</v>
      </c>
      <c r="AH74" s="12"/>
      <c r="AI74" s="12">
        <f t="shared" si="2"/>
        <v>0</v>
      </c>
      <c r="AJ74" s="130">
        <f t="shared" si="3"/>
        <v>0</v>
      </c>
    </row>
    <row r="75" spans="1:36" x14ac:dyDescent="0.25">
      <c r="A75" s="29"/>
      <c r="B75" s="14" t="s">
        <v>68</v>
      </c>
      <c r="C75" s="12">
        <f>'01'!K75</f>
        <v>5428.5714285714284</v>
      </c>
      <c r="D75" s="12">
        <f>'02'!K75</f>
        <v>5428.5714285714284</v>
      </c>
      <c r="E75" s="12">
        <f>'03'!K75</f>
        <v>5428.5714285714284</v>
      </c>
      <c r="F75" s="12">
        <f>'04'!K75</f>
        <v>5428.5714285714284</v>
      </c>
      <c r="G75" s="12">
        <f>'05'!K75</f>
        <v>5428.5714285714284</v>
      </c>
      <c r="H75" s="12">
        <f>'06'!K75</f>
        <v>5428.5714285714284</v>
      </c>
      <c r="I75" s="12">
        <f>'07'!K75</f>
        <v>5571.4285714285716</v>
      </c>
      <c r="J75" s="12">
        <f>'08'!K75</f>
        <v>5571.4285714285716</v>
      </c>
      <c r="K75" s="12">
        <f>'09'!K75</f>
        <v>5571.4285714285716</v>
      </c>
      <c r="L75" s="12">
        <f>'10'!K75</f>
        <v>5571.4285714285716</v>
      </c>
      <c r="M75" s="12">
        <f>'11'!K75</f>
        <v>5571.4285714285716</v>
      </c>
      <c r="N75" s="12">
        <f>'12'!K75</f>
        <v>5571.4285714285716</v>
      </c>
      <c r="O75" s="12">
        <f>'13'!K75</f>
        <v>5571.4285714285716</v>
      </c>
      <c r="P75" s="12">
        <f>'14'!K75</f>
        <v>5571.4285714285716</v>
      </c>
      <c r="Q75" s="12">
        <f>'15'!K75</f>
        <v>5571.4285714285716</v>
      </c>
      <c r="R75" s="12">
        <f>'16'!K75</f>
        <v>5571.4285714285716</v>
      </c>
      <c r="S75" s="12">
        <f>'17'!K75</f>
        <v>5571.4285714285716</v>
      </c>
      <c r="T75" s="12">
        <f>'18'!K75</f>
        <v>5571.4285714285716</v>
      </c>
      <c r="U75" s="12">
        <f>'19'!K75</f>
        <v>5571.4285714285716</v>
      </c>
      <c r="V75" s="12">
        <f>'20'!K75</f>
        <v>5571.4285714285716</v>
      </c>
      <c r="W75" s="12">
        <f>'21'!K75</f>
        <v>5571.4285714285716</v>
      </c>
      <c r="X75" s="12">
        <f>'22'!K75</f>
        <v>5571.4285714285716</v>
      </c>
      <c r="Y75" s="12">
        <f>'23'!K75</f>
        <v>5571.4285714285716</v>
      </c>
      <c r="Z75" s="12">
        <f>'24'!K75</f>
        <v>5571.4285714285716</v>
      </c>
      <c r="AA75" s="12">
        <f>'25'!K75</f>
        <v>5571.4285714285716</v>
      </c>
      <c r="AB75" s="12">
        <f>'26'!K75</f>
        <v>5571.4285714285716</v>
      </c>
      <c r="AC75" s="12">
        <f>'27'!K75</f>
        <v>5571.4285714285716</v>
      </c>
      <c r="AD75" s="12">
        <f>'28'!K75</f>
        <v>5571.4285714285716</v>
      </c>
      <c r="AE75" s="12">
        <f>'29'!K75</f>
        <v>5571.4285714285716</v>
      </c>
      <c r="AF75" s="12">
        <f>'30'!K75</f>
        <v>5571.4285714285716</v>
      </c>
      <c r="AG75" s="12">
        <f>'31'!K75</f>
        <v>5571.4285714285716</v>
      </c>
      <c r="AH75" s="12"/>
      <c r="AI75" s="12">
        <f t="shared" si="2"/>
        <v>142.85714285714312</v>
      </c>
      <c r="AJ75" s="130">
        <f t="shared" si="3"/>
        <v>5543.7788018433175</v>
      </c>
    </row>
    <row r="76" spans="1:36" x14ac:dyDescent="0.25">
      <c r="A76" s="28"/>
      <c r="B76" s="14" t="s">
        <v>69</v>
      </c>
      <c r="C76" s="12">
        <f>'01'!K76</f>
        <v>5857.1428571428569</v>
      </c>
      <c r="D76" s="12">
        <f>'02'!K76</f>
        <v>5857.1428571428569</v>
      </c>
      <c r="E76" s="12">
        <f>'03'!K76</f>
        <v>5857.1428571428569</v>
      </c>
      <c r="F76" s="12">
        <f>'04'!K76</f>
        <v>5857.1428571428569</v>
      </c>
      <c r="G76" s="12">
        <f>'05'!K76</f>
        <v>5857.1428571428569</v>
      </c>
      <c r="H76" s="12">
        <f>'06'!K76</f>
        <v>5857.1428571428569</v>
      </c>
      <c r="I76" s="12">
        <f>'07'!K76</f>
        <v>5857.1428571428569</v>
      </c>
      <c r="J76" s="12">
        <f>'08'!K76</f>
        <v>5857.1428571428569</v>
      </c>
      <c r="K76" s="12">
        <f>'09'!K76</f>
        <v>5857.1428571428569</v>
      </c>
      <c r="L76" s="12">
        <f>'10'!K76</f>
        <v>5857.1428571428569</v>
      </c>
      <c r="M76" s="12">
        <f>'11'!K76</f>
        <v>5857.1428571428569</v>
      </c>
      <c r="N76" s="12">
        <f>'12'!K76</f>
        <v>5857.1428571428569</v>
      </c>
      <c r="O76" s="12">
        <f>'13'!K76</f>
        <v>5857.1428571428569</v>
      </c>
      <c r="P76" s="12">
        <f>'14'!K76</f>
        <v>5857.1428571428569</v>
      </c>
      <c r="Q76" s="12">
        <f>'15'!K76</f>
        <v>5857.1428571428569</v>
      </c>
      <c r="R76" s="12">
        <f>'16'!K76</f>
        <v>5857.1428571428569</v>
      </c>
      <c r="S76" s="12">
        <f>'17'!K76</f>
        <v>5857.1428571428569</v>
      </c>
      <c r="T76" s="12">
        <f>'18'!K76</f>
        <v>5857.1428571428569</v>
      </c>
      <c r="U76" s="12">
        <f>'19'!K76</f>
        <v>5857.1428571428569</v>
      </c>
      <c r="V76" s="12">
        <f>'20'!K76</f>
        <v>5857.1428571428569</v>
      </c>
      <c r="W76" s="12">
        <f>'21'!K76</f>
        <v>5857.1428571428569</v>
      </c>
      <c r="X76" s="12">
        <f>'22'!K76</f>
        <v>5857.1428571428569</v>
      </c>
      <c r="Y76" s="12">
        <f>'23'!K76</f>
        <v>5857.1428571428569</v>
      </c>
      <c r="Z76" s="12">
        <f>'24'!K76</f>
        <v>5857.1428571428569</v>
      </c>
      <c r="AA76" s="12">
        <f>'25'!K76</f>
        <v>5857.1428571428569</v>
      </c>
      <c r="AB76" s="12">
        <f>'26'!K76</f>
        <v>5857.1428571428569</v>
      </c>
      <c r="AC76" s="12">
        <f>'27'!K76</f>
        <v>5857.1428571428569</v>
      </c>
      <c r="AD76" s="12">
        <f>'28'!K76</f>
        <v>5857.1428571428569</v>
      </c>
      <c r="AE76" s="12">
        <f>'29'!K76</f>
        <v>5857.1428571428569</v>
      </c>
      <c r="AF76" s="12">
        <f>'30'!K76</f>
        <v>5857.1428571428569</v>
      </c>
      <c r="AG76" s="12">
        <f>'31'!K76</f>
        <v>5857.1428571428569</v>
      </c>
      <c r="AH76" s="12"/>
      <c r="AI76" s="12">
        <f t="shared" si="2"/>
        <v>0</v>
      </c>
      <c r="AJ76" s="130">
        <f t="shared" si="3"/>
        <v>5857.1428571428596</v>
      </c>
    </row>
    <row r="77" spans="1:36" x14ac:dyDescent="0.25">
      <c r="A77" s="27">
        <v>21</v>
      </c>
      <c r="B77" s="15" t="s">
        <v>70</v>
      </c>
      <c r="C77" s="12">
        <f>'01'!K77</f>
        <v>0</v>
      </c>
      <c r="D77" s="12">
        <f>'02'!K77</f>
        <v>0</v>
      </c>
      <c r="E77" s="12">
        <f>'03'!K77</f>
        <v>0</v>
      </c>
      <c r="F77" s="12">
        <f>'04'!K77</f>
        <v>0</v>
      </c>
      <c r="G77" s="12">
        <f>'05'!K77</f>
        <v>0</v>
      </c>
      <c r="H77" s="12">
        <f>'06'!K77</f>
        <v>0</v>
      </c>
      <c r="I77" s="12">
        <f>'07'!K77</f>
        <v>0</v>
      </c>
      <c r="J77" s="12">
        <f>'08'!K77</f>
        <v>0</v>
      </c>
      <c r="K77" s="12">
        <f>'09'!K77</f>
        <v>0</v>
      </c>
      <c r="L77" s="12">
        <f>'10'!K77</f>
        <v>0</v>
      </c>
      <c r="M77" s="12">
        <f>'11'!K77</f>
        <v>0</v>
      </c>
      <c r="N77" s="12">
        <f>'12'!K77</f>
        <v>0</v>
      </c>
      <c r="O77" s="12">
        <f>'13'!K77</f>
        <v>0</v>
      </c>
      <c r="P77" s="12">
        <f>'14'!K77</f>
        <v>0</v>
      </c>
      <c r="Q77" s="12">
        <f>'15'!K77</f>
        <v>0</v>
      </c>
      <c r="R77" s="12">
        <f>'16'!K77</f>
        <v>0</v>
      </c>
      <c r="S77" s="12">
        <f>'17'!K77</f>
        <v>0</v>
      </c>
      <c r="T77" s="12">
        <f>'18'!K77</f>
        <v>0</v>
      </c>
      <c r="U77" s="12">
        <f>'19'!K77</f>
        <v>0</v>
      </c>
      <c r="V77" s="12">
        <f>'20'!K77</f>
        <v>0</v>
      </c>
      <c r="W77" s="12">
        <f>'21'!K77</f>
        <v>0</v>
      </c>
      <c r="X77" s="12">
        <f>'22'!K77</f>
        <v>0</v>
      </c>
      <c r="Y77" s="12">
        <f>'23'!K77</f>
        <v>0</v>
      </c>
      <c r="Z77" s="12">
        <f>'24'!K77</f>
        <v>0</v>
      </c>
      <c r="AA77" s="12">
        <f>'25'!K77</f>
        <v>0</v>
      </c>
      <c r="AB77" s="12">
        <f>'26'!K77</f>
        <v>0</v>
      </c>
      <c r="AC77" s="12">
        <f>'27'!K77</f>
        <v>0</v>
      </c>
      <c r="AD77" s="12">
        <f>'28'!K77</f>
        <v>0</v>
      </c>
      <c r="AE77" s="12">
        <f>'29'!K77</f>
        <v>0</v>
      </c>
      <c r="AF77" s="12">
        <f>'30'!K77</f>
        <v>0</v>
      </c>
      <c r="AG77" s="12">
        <f>'31'!K77</f>
        <v>0</v>
      </c>
      <c r="AH77" s="12"/>
      <c r="AI77" s="12">
        <f t="shared" si="2"/>
        <v>0</v>
      </c>
      <c r="AJ77" s="130">
        <f t="shared" si="3"/>
        <v>0</v>
      </c>
    </row>
    <row r="78" spans="1:36" x14ac:dyDescent="0.25">
      <c r="A78" s="29"/>
      <c r="B78" s="14" t="s">
        <v>71</v>
      </c>
      <c r="C78" s="12">
        <f>'01'!K78</f>
        <v>7285.7142857142853</v>
      </c>
      <c r="D78" s="12">
        <f>'02'!K78</f>
        <v>7142.8571428571431</v>
      </c>
      <c r="E78" s="12">
        <f>'03'!K78</f>
        <v>7142.8571428571431</v>
      </c>
      <c r="F78" s="12">
        <f>'04'!K78</f>
        <v>7142.8571428571431</v>
      </c>
      <c r="G78" s="12">
        <f>'05'!K78</f>
        <v>7142.8571428571431</v>
      </c>
      <c r="H78" s="12">
        <f>'06'!K78</f>
        <v>7428.5714285714284</v>
      </c>
      <c r="I78" s="12">
        <f>'07'!K78</f>
        <v>7428.5714285714284</v>
      </c>
      <c r="J78" s="12">
        <f>'08'!K78</f>
        <v>7428.5714285714284</v>
      </c>
      <c r="K78" s="12">
        <f>'09'!K78</f>
        <v>7428.5714285714284</v>
      </c>
      <c r="L78" s="12">
        <f>'10'!K78</f>
        <v>7428.5714285714284</v>
      </c>
      <c r="M78" s="12">
        <f>'11'!K78</f>
        <v>7428.5714285714284</v>
      </c>
      <c r="N78" s="12">
        <f>'12'!K78</f>
        <v>7285.7142857142853</v>
      </c>
      <c r="O78" s="12">
        <f>'13'!K78</f>
        <v>7285.7142857142853</v>
      </c>
      <c r="P78" s="12">
        <f>'14'!K78</f>
        <v>7285.7142857142853</v>
      </c>
      <c r="Q78" s="12">
        <f>'15'!K78</f>
        <v>7285.7142857142853</v>
      </c>
      <c r="R78" s="12">
        <f>'16'!K78</f>
        <v>7285.7142857142853</v>
      </c>
      <c r="S78" s="12">
        <f>'17'!K78</f>
        <v>7285.7142857142853</v>
      </c>
      <c r="T78" s="12">
        <f>'18'!K78</f>
        <v>7285.7142857142853</v>
      </c>
      <c r="U78" s="12">
        <f>'19'!K78</f>
        <v>7285.7142857142853</v>
      </c>
      <c r="V78" s="12">
        <f>'20'!K78</f>
        <v>7428.5714285714284</v>
      </c>
      <c r="W78" s="12">
        <f>'21'!K78</f>
        <v>7428.5714285714284</v>
      </c>
      <c r="X78" s="12">
        <f>'22'!K78</f>
        <v>7428.5714285714284</v>
      </c>
      <c r="Y78" s="12">
        <f>'23'!K78</f>
        <v>7428.5714285714284</v>
      </c>
      <c r="Z78" s="12">
        <f>'24'!K78</f>
        <v>7428.5714285714284</v>
      </c>
      <c r="AA78" s="12">
        <f>'25'!K78</f>
        <v>7428.5714285714284</v>
      </c>
      <c r="AB78" s="12">
        <f>'26'!K78</f>
        <v>7714.2857142857147</v>
      </c>
      <c r="AC78" s="12">
        <f>'27'!K78</f>
        <v>7714.2857142857147</v>
      </c>
      <c r="AD78" s="12">
        <f>'28'!K78</f>
        <v>8000</v>
      </c>
      <c r="AE78" s="12">
        <f>'29'!K78</f>
        <v>8000</v>
      </c>
      <c r="AF78" s="12">
        <f>'30'!K78</f>
        <v>8000</v>
      </c>
      <c r="AG78" s="12">
        <f>'31'!K78</f>
        <v>8000</v>
      </c>
      <c r="AH78" s="12"/>
      <c r="AI78" s="12">
        <f t="shared" si="2"/>
        <v>714.28571428571468</v>
      </c>
      <c r="AJ78" s="130">
        <f t="shared" si="3"/>
        <v>7442.3963133640555</v>
      </c>
    </row>
    <row r="79" spans="1:36" x14ac:dyDescent="0.25">
      <c r="A79" s="29"/>
      <c r="B79" s="14" t="s">
        <v>72</v>
      </c>
      <c r="C79" s="12">
        <f>'01'!K79</f>
        <v>12142.857142857143</v>
      </c>
      <c r="D79" s="12">
        <f>'02'!K79</f>
        <v>12142.857142857143</v>
      </c>
      <c r="E79" s="12">
        <f>'03'!K79</f>
        <v>12142.857142857143</v>
      </c>
      <c r="F79" s="12">
        <f>'04'!K79</f>
        <v>12142.857142857143</v>
      </c>
      <c r="G79" s="12">
        <f>'05'!K79</f>
        <v>12000</v>
      </c>
      <c r="H79" s="12">
        <f>'06'!K79</f>
        <v>12285.714285714286</v>
      </c>
      <c r="I79" s="12">
        <f>'07'!K79</f>
        <v>12285.714285714286</v>
      </c>
      <c r="J79" s="12">
        <f>'08'!K79</f>
        <v>12285.714285714286</v>
      </c>
      <c r="K79" s="12">
        <f>'09'!K79</f>
        <v>12285.714285714286</v>
      </c>
      <c r="L79" s="12">
        <f>'10'!K79</f>
        <v>12285.714285714286</v>
      </c>
      <c r="M79" s="12">
        <f>'11'!K79</f>
        <v>12285.714285714286</v>
      </c>
      <c r="N79" s="12">
        <f>'12'!K79</f>
        <v>12285.714285714286</v>
      </c>
      <c r="O79" s="12">
        <f>'13'!K79</f>
        <v>12285.714285714286</v>
      </c>
      <c r="P79" s="12">
        <f>'14'!K79</f>
        <v>12428.571428571429</v>
      </c>
      <c r="Q79" s="12">
        <f>'15'!K79</f>
        <v>12428.571428571429</v>
      </c>
      <c r="R79" s="12">
        <f>'16'!K79</f>
        <v>12571.428571428571</v>
      </c>
      <c r="S79" s="12">
        <f>'17'!K79</f>
        <v>12571.428571428571</v>
      </c>
      <c r="T79" s="12">
        <f>'18'!K79</f>
        <v>12571.428571428571</v>
      </c>
      <c r="U79" s="12">
        <f>'19'!K79</f>
        <v>12571.428571428571</v>
      </c>
      <c r="V79" s="12">
        <f>'20'!K79</f>
        <v>12571.428571428571</v>
      </c>
      <c r="W79" s="12">
        <f>'21'!K79</f>
        <v>12571.428571428571</v>
      </c>
      <c r="X79" s="12">
        <f>'22'!K79</f>
        <v>12571.428571428571</v>
      </c>
      <c r="Y79" s="12">
        <f>'23'!K79</f>
        <v>12571.428571428571</v>
      </c>
      <c r="Z79" s="12">
        <f>'24'!K79</f>
        <v>12571.428571428571</v>
      </c>
      <c r="AA79" s="12">
        <f>'25'!K79</f>
        <v>12571.428571428571</v>
      </c>
      <c r="AB79" s="12">
        <f>'26'!K79</f>
        <v>12857.142857142857</v>
      </c>
      <c r="AC79" s="12">
        <f>'27'!K79</f>
        <v>12857.142857142857</v>
      </c>
      <c r="AD79" s="12">
        <f>'28'!K79</f>
        <v>12857.142857142857</v>
      </c>
      <c r="AE79" s="12">
        <f>'29'!K79</f>
        <v>12857.142857142857</v>
      </c>
      <c r="AF79" s="12">
        <f>'30'!K79</f>
        <v>12857.142857142857</v>
      </c>
      <c r="AG79" s="12">
        <f>'31'!K79</f>
        <v>12857.142857142857</v>
      </c>
      <c r="AH79" s="12"/>
      <c r="AI79" s="12">
        <f t="shared" si="2"/>
        <v>714.28571428571377</v>
      </c>
      <c r="AJ79" s="130">
        <f t="shared" si="3"/>
        <v>12470.046082949308</v>
      </c>
    </row>
    <row r="80" spans="1:36" x14ac:dyDescent="0.25">
      <c r="A80" s="29"/>
      <c r="B80" s="14" t="s">
        <v>73</v>
      </c>
      <c r="C80" s="12">
        <f>'01'!K80</f>
        <v>16857.142857142859</v>
      </c>
      <c r="D80" s="12">
        <f>'02'!K80</f>
        <v>16285.714285714286</v>
      </c>
      <c r="E80" s="12">
        <f>'03'!K80</f>
        <v>16142.857142857143</v>
      </c>
      <c r="F80" s="12">
        <f>'04'!K80</f>
        <v>16428.571428571428</v>
      </c>
      <c r="G80" s="12">
        <f>'05'!K80</f>
        <v>16428.571428571428</v>
      </c>
      <c r="H80" s="12">
        <f>'06'!K80</f>
        <v>16285.714285714286</v>
      </c>
      <c r="I80" s="12">
        <f>'07'!K80</f>
        <v>16285.714285714286</v>
      </c>
      <c r="J80" s="12">
        <f>'08'!K80</f>
        <v>16285.714285714286</v>
      </c>
      <c r="K80" s="12">
        <f>'09'!K80</f>
        <v>16000</v>
      </c>
      <c r="L80" s="12">
        <f>'10'!K80</f>
        <v>16000</v>
      </c>
      <c r="M80" s="12">
        <f>'11'!K80</f>
        <v>16000</v>
      </c>
      <c r="N80" s="12">
        <f>'12'!K80</f>
        <v>15714.285714285714</v>
      </c>
      <c r="O80" s="12">
        <f>'13'!K80</f>
        <v>15714.285714285714</v>
      </c>
      <c r="P80" s="12">
        <f>'14'!K80</f>
        <v>15714.285714285714</v>
      </c>
      <c r="Q80" s="12">
        <f>'15'!K80</f>
        <v>15714.285714285714</v>
      </c>
      <c r="R80" s="12">
        <f>'16'!K80</f>
        <v>15571.428571428571</v>
      </c>
      <c r="S80" s="12">
        <f>'17'!K80</f>
        <v>15571.428571428571</v>
      </c>
      <c r="T80" s="12">
        <f>'18'!K80</f>
        <v>15571.428571428571</v>
      </c>
      <c r="U80" s="12">
        <f>'19'!K80</f>
        <v>15571.428571428571</v>
      </c>
      <c r="V80" s="12">
        <f>'20'!K80</f>
        <v>15571.428571428571</v>
      </c>
      <c r="W80" s="12">
        <f>'21'!K80</f>
        <v>15571.428571428571</v>
      </c>
      <c r="X80" s="12">
        <f>'22'!K80</f>
        <v>15571.428571428571</v>
      </c>
      <c r="Y80" s="12">
        <f>'23'!K80</f>
        <v>15571.428571428571</v>
      </c>
      <c r="Z80" s="12">
        <f>'24'!K80</f>
        <v>15428.571428571429</v>
      </c>
      <c r="AA80" s="12">
        <f>'25'!K80</f>
        <v>15428.571428571429</v>
      </c>
      <c r="AB80" s="12">
        <f>'26'!K80</f>
        <v>15285.714285714286</v>
      </c>
      <c r="AC80" s="12">
        <f>'27'!K80</f>
        <v>15285.714285714286</v>
      </c>
      <c r="AD80" s="12">
        <f>'28'!K80</f>
        <v>15285.714285714286</v>
      </c>
      <c r="AE80" s="12">
        <f>'29'!K80</f>
        <v>15285.714285714286</v>
      </c>
      <c r="AF80" s="12">
        <f>'30'!K80</f>
        <v>15142.857142857143</v>
      </c>
      <c r="AG80" s="12">
        <f>'31'!K80</f>
        <v>15142.857142857143</v>
      </c>
      <c r="AH80" s="12"/>
      <c r="AI80" s="12">
        <f t="shared" si="2"/>
        <v>-1714.2857142857156</v>
      </c>
      <c r="AJ80" s="130">
        <f t="shared" si="3"/>
        <v>15764.976958525345</v>
      </c>
    </row>
    <row r="81" spans="1:39" x14ac:dyDescent="0.25">
      <c r="A81" s="29"/>
      <c r="B81" s="14" t="s">
        <v>74</v>
      </c>
      <c r="C81" s="12">
        <f>'01'!K81</f>
        <v>8000</v>
      </c>
      <c r="D81" s="12">
        <f>'02'!K81</f>
        <v>8000</v>
      </c>
      <c r="E81" s="12">
        <f>'03'!K81</f>
        <v>8000</v>
      </c>
      <c r="F81" s="12">
        <f>'04'!K81</f>
        <v>8000</v>
      </c>
      <c r="G81" s="12">
        <f>'05'!K81</f>
        <v>8000</v>
      </c>
      <c r="H81" s="12">
        <f>'06'!K81</f>
        <v>7714.2857142857147</v>
      </c>
      <c r="I81" s="12">
        <f>'07'!K81</f>
        <v>7714.2857142857147</v>
      </c>
      <c r="J81" s="12">
        <f>'08'!K81</f>
        <v>7714.2857142857147</v>
      </c>
      <c r="K81" s="12">
        <f>'09'!K81</f>
        <v>7142.8571428571431</v>
      </c>
      <c r="L81" s="12">
        <f>'10'!K81</f>
        <v>7142.8571428571431</v>
      </c>
      <c r="M81" s="12">
        <f>'11'!K81</f>
        <v>7142.8571428571431</v>
      </c>
      <c r="N81" s="12">
        <f>'12'!K81</f>
        <v>7142.8571428571431</v>
      </c>
      <c r="O81" s="12">
        <f>'13'!K81</f>
        <v>7142.8571428571431</v>
      </c>
      <c r="P81" s="12">
        <f>'14'!K81</f>
        <v>7142.8571428571431</v>
      </c>
      <c r="Q81" s="12">
        <f>'15'!K81</f>
        <v>7142.8571428571431</v>
      </c>
      <c r="R81" s="12">
        <f>'16'!K81</f>
        <v>7142.8571428571431</v>
      </c>
      <c r="S81" s="12">
        <f>'17'!K81</f>
        <v>7142.8571428571431</v>
      </c>
      <c r="T81" s="12">
        <f>'18'!K81</f>
        <v>7142.8571428571431</v>
      </c>
      <c r="U81" s="12">
        <f>'19'!K81</f>
        <v>7142.8571428571431</v>
      </c>
      <c r="V81" s="12">
        <f>'20'!K81</f>
        <v>7142.8571428571431</v>
      </c>
      <c r="W81" s="12">
        <f>'21'!K81</f>
        <v>7142.8571428571431</v>
      </c>
      <c r="X81" s="12">
        <f>'22'!K81</f>
        <v>7142.8571428571431</v>
      </c>
      <c r="Y81" s="12">
        <f>'23'!K81</f>
        <v>7142.8571428571431</v>
      </c>
      <c r="Z81" s="12">
        <f>'24'!K81</f>
        <v>7142.8571428571431</v>
      </c>
      <c r="AA81" s="12">
        <f>'25'!K81</f>
        <v>7142.8571428571431</v>
      </c>
      <c r="AB81" s="12">
        <f>'26'!K81</f>
        <v>7142.8571428571431</v>
      </c>
      <c r="AC81" s="12">
        <f>'27'!K81</f>
        <v>7142.8571428571431</v>
      </c>
      <c r="AD81" s="12">
        <f>'28'!K81</f>
        <v>7142.8571428571431</v>
      </c>
      <c r="AE81" s="12">
        <f>'29'!K81</f>
        <v>7142.8571428571431</v>
      </c>
      <c r="AF81" s="12">
        <f>'30'!K81</f>
        <v>7142.8571428571431</v>
      </c>
      <c r="AG81" s="12">
        <f>'31'!K81</f>
        <v>7142.8571428571431</v>
      </c>
      <c r="AH81" s="12"/>
      <c r="AI81" s="12">
        <f t="shared" si="2"/>
        <v>-857.14285714285688</v>
      </c>
      <c r="AJ81" s="130">
        <f t="shared" si="3"/>
        <v>7336.4055299539123</v>
      </c>
    </row>
    <row r="82" spans="1:39" x14ac:dyDescent="0.25">
      <c r="A82" s="29"/>
      <c r="B82" s="14" t="s">
        <v>75</v>
      </c>
      <c r="C82" s="12">
        <f>'01'!K82</f>
        <v>12714.285714285714</v>
      </c>
      <c r="D82" s="12">
        <f>'02'!K82</f>
        <v>12714.285714285714</v>
      </c>
      <c r="E82" s="12">
        <f>'03'!K82</f>
        <v>12428.571428571429</v>
      </c>
      <c r="F82" s="12">
        <f>'04'!K82</f>
        <v>12428.571428571429</v>
      </c>
      <c r="G82" s="12">
        <f>'05'!K82</f>
        <v>12428.571428571429</v>
      </c>
      <c r="H82" s="12">
        <f>'06'!K82</f>
        <v>12714.285714285714</v>
      </c>
      <c r="I82" s="12">
        <f>'07'!K82</f>
        <v>12714.285714285714</v>
      </c>
      <c r="J82" s="12">
        <f>'08'!K82</f>
        <v>12714.285714285714</v>
      </c>
      <c r="K82" s="12">
        <f>'09'!K82</f>
        <v>12857.142857142857</v>
      </c>
      <c r="L82" s="12">
        <f>'10'!K82</f>
        <v>12857.142857142857</v>
      </c>
      <c r="M82" s="12">
        <f>'11'!K82</f>
        <v>12857.142857142857</v>
      </c>
      <c r="N82" s="12">
        <f>'12'!K82</f>
        <v>12714.285714285714</v>
      </c>
      <c r="O82" s="12">
        <f>'13'!K82</f>
        <v>12714.285714285714</v>
      </c>
      <c r="P82" s="12">
        <f>'14'!K82</f>
        <v>12714.285714285714</v>
      </c>
      <c r="Q82" s="12">
        <f>'15'!K82</f>
        <v>12714.285714285714</v>
      </c>
      <c r="R82" s="12">
        <f>'16'!K82</f>
        <v>12714.285714285714</v>
      </c>
      <c r="S82" s="12">
        <f>'17'!K82</f>
        <v>12714.285714285714</v>
      </c>
      <c r="T82" s="12">
        <f>'18'!K82</f>
        <v>12714.285714285714</v>
      </c>
      <c r="U82" s="12">
        <f>'19'!K82</f>
        <v>12714.285714285714</v>
      </c>
      <c r="V82" s="12">
        <f>'20'!K82</f>
        <v>12714.285714285714</v>
      </c>
      <c r="W82" s="12">
        <f>'21'!K82</f>
        <v>12714.285714285714</v>
      </c>
      <c r="X82" s="12">
        <f>'22'!K82</f>
        <v>12714.285714285714</v>
      </c>
      <c r="Y82" s="12">
        <f>'23'!K82</f>
        <v>12714.285714285714</v>
      </c>
      <c r="Z82" s="12">
        <f>'24'!K82</f>
        <v>12285.714285714286</v>
      </c>
      <c r="AA82" s="12">
        <f>'25'!K82</f>
        <v>12285.714285714286</v>
      </c>
      <c r="AB82" s="12">
        <f>'26'!K82</f>
        <v>12285.714285714286</v>
      </c>
      <c r="AC82" s="12">
        <f>'27'!K82</f>
        <v>12285.714285714286</v>
      </c>
      <c r="AD82" s="12">
        <f>'28'!K82</f>
        <v>12285.714285714286</v>
      </c>
      <c r="AE82" s="12">
        <f>'29'!K82</f>
        <v>12285.714285714286</v>
      </c>
      <c r="AF82" s="12">
        <f>'30'!K82</f>
        <v>12285.714285714286</v>
      </c>
      <c r="AG82" s="12">
        <f>'31'!K82</f>
        <v>12285.714285714286</v>
      </c>
      <c r="AH82" s="12"/>
      <c r="AI82" s="12">
        <f t="shared" si="2"/>
        <v>-428.57142857142753</v>
      </c>
      <c r="AJ82" s="130">
        <f t="shared" si="3"/>
        <v>12589.861751152068</v>
      </c>
    </row>
    <row r="83" spans="1:39" x14ac:dyDescent="0.25">
      <c r="A83" s="29"/>
      <c r="B83" s="14" t="s">
        <v>76</v>
      </c>
      <c r="C83" s="12">
        <f>'01'!K83</f>
        <v>8285.7142857142862</v>
      </c>
      <c r="D83" s="12">
        <f>'02'!K83</f>
        <v>8285.7142857142862</v>
      </c>
      <c r="E83" s="12">
        <f>'03'!K83</f>
        <v>8285.7142857142862</v>
      </c>
      <c r="F83" s="12">
        <f>'04'!K83</f>
        <v>8285.7142857142862</v>
      </c>
      <c r="G83" s="12">
        <f>'05'!K83</f>
        <v>8285.7142857142862</v>
      </c>
      <c r="H83" s="12">
        <f>'06'!K83</f>
        <v>8285.7142857142862</v>
      </c>
      <c r="I83" s="12">
        <f>'07'!K83</f>
        <v>8285.7142857142862</v>
      </c>
      <c r="J83" s="12">
        <f>'08'!K83</f>
        <v>8285.7142857142862</v>
      </c>
      <c r="K83" s="12">
        <f>'09'!K83</f>
        <v>8285.7142857142862</v>
      </c>
      <c r="L83" s="12">
        <f>'10'!K83</f>
        <v>8285.7142857142862</v>
      </c>
      <c r="M83" s="12">
        <f>'11'!K83</f>
        <v>8285.7142857142862</v>
      </c>
      <c r="N83" s="12">
        <f>'12'!K83</f>
        <v>8428.5714285714294</v>
      </c>
      <c r="O83" s="12">
        <f>'13'!K83</f>
        <v>8428.5714285714294</v>
      </c>
      <c r="P83" s="12">
        <f>'14'!K83</f>
        <v>8428.5714285714294</v>
      </c>
      <c r="Q83" s="12">
        <f>'15'!K83</f>
        <v>8428.5714285714294</v>
      </c>
      <c r="R83" s="12">
        <f>'16'!K83</f>
        <v>8428.5714285714294</v>
      </c>
      <c r="S83" s="12">
        <f>'17'!K83</f>
        <v>8428.5714285714294</v>
      </c>
      <c r="T83" s="12">
        <f>'18'!K83</f>
        <v>8428.5714285714294</v>
      </c>
      <c r="U83" s="12">
        <f>'19'!K83</f>
        <v>8428.5714285714294</v>
      </c>
      <c r="V83" s="12">
        <f>'20'!K83</f>
        <v>8428.5714285714294</v>
      </c>
      <c r="W83" s="12">
        <f>'21'!K83</f>
        <v>8428.5714285714294</v>
      </c>
      <c r="X83" s="12">
        <f>'22'!K83</f>
        <v>8428.5714285714294</v>
      </c>
      <c r="Y83" s="12">
        <f>'23'!K83</f>
        <v>8428.5714285714294</v>
      </c>
      <c r="Z83" s="12">
        <f>'24'!K83</f>
        <v>8428.5714285714294</v>
      </c>
      <c r="AA83" s="12">
        <f>'25'!K83</f>
        <v>8428.5714285714294</v>
      </c>
      <c r="AB83" s="12">
        <f>'26'!K83</f>
        <v>8428.5714285714294</v>
      </c>
      <c r="AC83" s="12">
        <f>'27'!K83</f>
        <v>8428.5714285714294</v>
      </c>
      <c r="AD83" s="12">
        <f>'28'!K83</f>
        <v>8428.5714285714294</v>
      </c>
      <c r="AE83" s="12">
        <f>'29'!K83</f>
        <v>8428.5714285714294</v>
      </c>
      <c r="AF83" s="12">
        <f>'30'!K83</f>
        <v>8428.5714285714294</v>
      </c>
      <c r="AG83" s="12">
        <f>'31'!K83</f>
        <v>8428.5714285714294</v>
      </c>
      <c r="AH83" s="12"/>
      <c r="AI83" s="12">
        <f t="shared" si="2"/>
        <v>142.85714285714312</v>
      </c>
      <c r="AJ83" s="130">
        <f t="shared" si="3"/>
        <v>8377.880184331796</v>
      </c>
    </row>
    <row r="84" spans="1:39" x14ac:dyDescent="0.25">
      <c r="A84" s="29"/>
      <c r="B84" s="14" t="s">
        <v>77</v>
      </c>
      <c r="C84" s="12">
        <f>'01'!K84</f>
        <v>1714.2857142857142</v>
      </c>
      <c r="D84" s="12">
        <f>'02'!K84</f>
        <v>1714.2857142857142</v>
      </c>
      <c r="E84" s="12">
        <f>'03'!K84</f>
        <v>1714.2857142857142</v>
      </c>
      <c r="F84" s="12">
        <f>'04'!K84</f>
        <v>1714.2857142857142</v>
      </c>
      <c r="G84" s="12">
        <f>'05'!K84</f>
        <v>1714.2857142857142</v>
      </c>
      <c r="H84" s="12">
        <f>'06'!K84</f>
        <v>1714.2857142857142</v>
      </c>
      <c r="I84" s="12">
        <f>'07'!K84</f>
        <v>1642.8571428571429</v>
      </c>
      <c r="J84" s="12">
        <f>'08'!K84</f>
        <v>1642.8571428571429</v>
      </c>
      <c r="K84" s="12">
        <f>'09'!K84</f>
        <v>1642.8571428571429</v>
      </c>
      <c r="L84" s="12">
        <f>'10'!K84</f>
        <v>1642.8571428571429</v>
      </c>
      <c r="M84" s="12">
        <f>'11'!K84</f>
        <v>1642.8571428571429</v>
      </c>
      <c r="N84" s="12">
        <f>'12'!K84</f>
        <v>1571.4285714285713</v>
      </c>
      <c r="O84" s="12">
        <f>'13'!K84</f>
        <v>1571.4285714285713</v>
      </c>
      <c r="P84" s="12">
        <f>'14'!K84</f>
        <v>1642.8571428571429</v>
      </c>
      <c r="Q84" s="12">
        <f>'15'!K84</f>
        <v>1642.8571428571429</v>
      </c>
      <c r="R84" s="12">
        <f>'16'!K84</f>
        <v>1714.2857142857142</v>
      </c>
      <c r="S84" s="12">
        <f>'17'!K84</f>
        <v>1714.2857142857142</v>
      </c>
      <c r="T84" s="12">
        <f>'18'!K84</f>
        <v>1714.2857142857142</v>
      </c>
      <c r="U84" s="12">
        <f>'19'!K84</f>
        <v>1714.2857142857142</v>
      </c>
      <c r="V84" s="12">
        <f>'20'!K84</f>
        <v>1714.2857142857142</v>
      </c>
      <c r="W84" s="12">
        <f>'21'!K84</f>
        <v>1714.2857142857142</v>
      </c>
      <c r="X84" s="12">
        <f>'22'!K84</f>
        <v>1714.2857142857142</v>
      </c>
      <c r="Y84" s="12">
        <f>'23'!K84</f>
        <v>1714.2857142857142</v>
      </c>
      <c r="Z84" s="12">
        <f>'24'!K84</f>
        <v>1714.2857142857142</v>
      </c>
      <c r="AA84" s="12">
        <f>'25'!K84</f>
        <v>1714.2857142857142</v>
      </c>
      <c r="AB84" s="12">
        <f>'26'!K84</f>
        <v>1714.2857142857142</v>
      </c>
      <c r="AC84" s="12">
        <f>'27'!K84</f>
        <v>1714.2857142857142</v>
      </c>
      <c r="AD84" s="12">
        <f>'28'!K84</f>
        <v>1714.2857142857142</v>
      </c>
      <c r="AE84" s="12">
        <f>'29'!K84</f>
        <v>1714.2857142857142</v>
      </c>
      <c r="AF84" s="12">
        <f>'30'!K84</f>
        <v>1714.2857142857142</v>
      </c>
      <c r="AG84" s="12">
        <f>'31'!K84</f>
        <v>1714.2857142857142</v>
      </c>
      <c r="AH84" s="12"/>
      <c r="AI84" s="12">
        <f t="shared" si="2"/>
        <v>0</v>
      </c>
      <c r="AJ84" s="130">
        <f t="shared" si="3"/>
        <v>1688.9400921658994</v>
      </c>
    </row>
    <row r="85" spans="1:39" x14ac:dyDescent="0.25">
      <c r="A85" s="29"/>
      <c r="B85" s="14" t="s">
        <v>79</v>
      </c>
      <c r="C85" s="12">
        <f>'01'!K85</f>
        <v>1500</v>
      </c>
      <c r="D85" s="12">
        <f>'02'!K85</f>
        <v>1500</v>
      </c>
      <c r="E85" s="12">
        <f>'03'!K85</f>
        <v>1500</v>
      </c>
      <c r="F85" s="12">
        <f>'04'!K85</f>
        <v>1500</v>
      </c>
      <c r="G85" s="12">
        <f>'05'!K85</f>
        <v>1500</v>
      </c>
      <c r="H85" s="12">
        <f>'06'!K85</f>
        <v>1500</v>
      </c>
      <c r="I85" s="12">
        <f>'07'!K85</f>
        <v>1500</v>
      </c>
      <c r="J85" s="12">
        <f>'08'!K85</f>
        <v>1500</v>
      </c>
      <c r="K85" s="12">
        <f>'09'!K85</f>
        <v>1500</v>
      </c>
      <c r="L85" s="12">
        <f>'10'!K85</f>
        <v>1500</v>
      </c>
      <c r="M85" s="12">
        <f>'11'!K85</f>
        <v>1500</v>
      </c>
      <c r="N85" s="12">
        <f>'12'!K85</f>
        <v>1500</v>
      </c>
      <c r="O85" s="12">
        <f>'13'!K85</f>
        <v>1500</v>
      </c>
      <c r="P85" s="12">
        <f>'14'!K85</f>
        <v>1500</v>
      </c>
      <c r="Q85" s="12">
        <f>'15'!K85</f>
        <v>1500</v>
      </c>
      <c r="R85" s="12">
        <f>'16'!K85</f>
        <v>1500</v>
      </c>
      <c r="S85" s="12">
        <f>'17'!K85</f>
        <v>1500</v>
      </c>
      <c r="T85" s="12">
        <f>'18'!K85</f>
        <v>1500</v>
      </c>
      <c r="U85" s="12">
        <f>'19'!K85</f>
        <v>1500</v>
      </c>
      <c r="V85" s="12">
        <f>'20'!K85</f>
        <v>1500</v>
      </c>
      <c r="W85" s="12">
        <f>'21'!K85</f>
        <v>1500</v>
      </c>
      <c r="X85" s="12">
        <f>'22'!K85</f>
        <v>1500</v>
      </c>
      <c r="Y85" s="12">
        <f>'23'!K85</f>
        <v>1500</v>
      </c>
      <c r="Z85" s="12">
        <f>'24'!K85</f>
        <v>1500</v>
      </c>
      <c r="AA85" s="12">
        <f>'25'!K85</f>
        <v>1500</v>
      </c>
      <c r="AB85" s="12">
        <f>'26'!K85</f>
        <v>1500</v>
      </c>
      <c r="AC85" s="12">
        <f>'27'!K85</f>
        <v>1500</v>
      </c>
      <c r="AD85" s="12">
        <f>'28'!K85</f>
        <v>1500</v>
      </c>
      <c r="AE85" s="12">
        <f>'29'!K85</f>
        <v>1500</v>
      </c>
      <c r="AF85" s="12">
        <f>'30'!K85</f>
        <v>1500</v>
      </c>
      <c r="AG85" s="12">
        <f>'31'!K85</f>
        <v>1500</v>
      </c>
      <c r="AH85" s="12"/>
      <c r="AI85" s="12">
        <f t="shared" si="2"/>
        <v>0</v>
      </c>
      <c r="AJ85" s="130">
        <f t="shared" si="3"/>
        <v>1500</v>
      </c>
    </row>
    <row r="86" spans="1:39" x14ac:dyDescent="0.25">
      <c r="A86" s="28"/>
      <c r="B86" s="14" t="s">
        <v>80</v>
      </c>
      <c r="C86" s="12">
        <f>'01'!K86</f>
        <v>2250</v>
      </c>
      <c r="D86" s="12">
        <f>'02'!K86</f>
        <v>2250</v>
      </c>
      <c r="E86" s="12">
        <f>'03'!K86</f>
        <v>2250</v>
      </c>
      <c r="F86" s="12">
        <f>'04'!K86</f>
        <v>2250</v>
      </c>
      <c r="G86" s="12">
        <f>'05'!K86</f>
        <v>2250</v>
      </c>
      <c r="H86" s="12">
        <f>'06'!K86</f>
        <v>2250</v>
      </c>
      <c r="I86" s="12">
        <f>'07'!K86</f>
        <v>2250</v>
      </c>
      <c r="J86" s="12">
        <f>'08'!K86</f>
        <v>2250</v>
      </c>
      <c r="K86" s="12">
        <f>'09'!K86</f>
        <v>2250</v>
      </c>
      <c r="L86" s="12">
        <f>'10'!K86</f>
        <v>2250</v>
      </c>
      <c r="M86" s="12">
        <f>'11'!K86</f>
        <v>2250</v>
      </c>
      <c r="N86" s="12">
        <f>'12'!K86</f>
        <v>2250</v>
      </c>
      <c r="O86" s="12">
        <f>'13'!K86</f>
        <v>2250</v>
      </c>
      <c r="P86" s="12">
        <f>'14'!K86</f>
        <v>2250</v>
      </c>
      <c r="Q86" s="12">
        <f>'15'!K86</f>
        <v>2250</v>
      </c>
      <c r="R86" s="12">
        <f>'16'!K86</f>
        <v>2250</v>
      </c>
      <c r="S86" s="12">
        <f>'17'!K86</f>
        <v>2250</v>
      </c>
      <c r="T86" s="12">
        <f>'18'!K86</f>
        <v>2250</v>
      </c>
      <c r="U86" s="12">
        <f>'19'!K86</f>
        <v>2250</v>
      </c>
      <c r="V86" s="12">
        <f>'20'!K86</f>
        <v>2250</v>
      </c>
      <c r="W86" s="12">
        <f>'21'!K86</f>
        <v>2166.6666666666665</v>
      </c>
      <c r="X86" s="12">
        <f>'22'!K86</f>
        <v>2166.6666666666665</v>
      </c>
      <c r="Y86" s="12">
        <f>'23'!K86</f>
        <v>2166.6666666666665</v>
      </c>
      <c r="Z86" s="12">
        <f>'24'!K86</f>
        <v>2166.6666666666665</v>
      </c>
      <c r="AA86" s="12">
        <f>'25'!K86</f>
        <v>2166.6666666666665</v>
      </c>
      <c r="AB86" s="12">
        <f>'26'!K86</f>
        <v>2166.6666666666665</v>
      </c>
      <c r="AC86" s="12">
        <f>'27'!K86</f>
        <v>2166.6666666666665</v>
      </c>
      <c r="AD86" s="12">
        <f>'28'!K86</f>
        <v>2166.6666666666665</v>
      </c>
      <c r="AE86" s="12">
        <f>'29'!K86</f>
        <v>2166.6666666666665</v>
      </c>
      <c r="AF86" s="12">
        <f>'30'!K86</f>
        <v>2166.6666666666665</v>
      </c>
      <c r="AG86" s="12">
        <f>'31'!K86</f>
        <v>2166.6666666666665</v>
      </c>
      <c r="AH86" s="12"/>
      <c r="AI86" s="12">
        <f t="shared" si="2"/>
        <v>-83.333333333333485</v>
      </c>
      <c r="AJ86" s="130">
        <f t="shared" si="3"/>
        <v>2220.4301075268809</v>
      </c>
    </row>
    <row r="87" spans="1:39" x14ac:dyDescent="0.25">
      <c r="A87" s="27">
        <v>22</v>
      </c>
      <c r="B87" s="15" t="s">
        <v>81</v>
      </c>
      <c r="C87" s="12">
        <f>'01'!K87</f>
        <v>0</v>
      </c>
      <c r="D87" s="12">
        <f>'02'!K87</f>
        <v>0</v>
      </c>
      <c r="E87" s="12">
        <f>'03'!K87</f>
        <v>0</v>
      </c>
      <c r="F87" s="12">
        <f>'04'!K87</f>
        <v>0</v>
      </c>
      <c r="G87" s="12">
        <f>'05'!K87</f>
        <v>0</v>
      </c>
      <c r="H87" s="12">
        <f>'06'!K87</f>
        <v>0</v>
      </c>
      <c r="I87" s="12">
        <f>'07'!K87</f>
        <v>0</v>
      </c>
      <c r="J87" s="12">
        <f>'08'!K87</f>
        <v>0</v>
      </c>
      <c r="K87" s="12">
        <f>'09'!K87</f>
        <v>0</v>
      </c>
      <c r="L87" s="12">
        <f>'10'!K87</f>
        <v>0</v>
      </c>
      <c r="M87" s="12">
        <f>'11'!K87</f>
        <v>0</v>
      </c>
      <c r="N87" s="12">
        <f>'12'!K87</f>
        <v>0</v>
      </c>
      <c r="O87" s="12">
        <f>'13'!K87</f>
        <v>0</v>
      </c>
      <c r="P87" s="12">
        <f>'14'!K87</f>
        <v>0</v>
      </c>
      <c r="Q87" s="12">
        <f>'15'!K87</f>
        <v>0</v>
      </c>
      <c r="R87" s="12">
        <f>'16'!K87</f>
        <v>0</v>
      </c>
      <c r="S87" s="12">
        <f>'17'!K87</f>
        <v>0</v>
      </c>
      <c r="T87" s="12">
        <f>'18'!K87</f>
        <v>0</v>
      </c>
      <c r="U87" s="12">
        <f>'19'!K87</f>
        <v>0</v>
      </c>
      <c r="V87" s="12">
        <f>'20'!K87</f>
        <v>0</v>
      </c>
      <c r="W87" s="12">
        <f>'21'!K87</f>
        <v>0</v>
      </c>
      <c r="X87" s="12">
        <f>'22'!K87</f>
        <v>0</v>
      </c>
      <c r="Y87" s="12">
        <f>'23'!K87</f>
        <v>0</v>
      </c>
      <c r="Z87" s="12">
        <f>'24'!K87</f>
        <v>0</v>
      </c>
      <c r="AA87" s="12">
        <f>'25'!K87</f>
        <v>0</v>
      </c>
      <c r="AB87" s="12">
        <f>'26'!K87</f>
        <v>0</v>
      </c>
      <c r="AC87" s="12">
        <f>'27'!K87</f>
        <v>0</v>
      </c>
      <c r="AD87" s="12">
        <f>'28'!K87</f>
        <v>0</v>
      </c>
      <c r="AE87" s="12">
        <f>'29'!K87</f>
        <v>0</v>
      </c>
      <c r="AF87" s="12">
        <f>'30'!K87</f>
        <v>0</v>
      </c>
      <c r="AG87" s="12">
        <f>'31'!K87</f>
        <v>0</v>
      </c>
      <c r="AH87" s="12"/>
      <c r="AI87" s="12">
        <f t="shared" si="2"/>
        <v>0</v>
      </c>
      <c r="AJ87" s="130">
        <f t="shared" si="3"/>
        <v>0</v>
      </c>
    </row>
    <row r="88" spans="1:39" ht="14.25" customHeight="1" x14ac:dyDescent="0.25">
      <c r="A88" s="28"/>
      <c r="B88" s="14" t="s">
        <v>82</v>
      </c>
      <c r="C88" s="12">
        <f>'01'!K88</f>
        <v>18000</v>
      </c>
      <c r="D88" s="12">
        <f>'02'!K88</f>
        <v>18000</v>
      </c>
      <c r="E88" s="12">
        <f>'03'!K88</f>
        <v>18000</v>
      </c>
      <c r="F88" s="12">
        <f>'04'!K88</f>
        <v>18000</v>
      </c>
      <c r="G88" s="12">
        <f>'05'!K88</f>
        <v>18000</v>
      </c>
      <c r="H88" s="12">
        <f>'06'!K88</f>
        <v>18000</v>
      </c>
      <c r="I88" s="12">
        <f>'07'!K88</f>
        <v>18000</v>
      </c>
      <c r="J88" s="12">
        <f>'08'!K88</f>
        <v>18000</v>
      </c>
      <c r="K88" s="12">
        <f>'09'!K88</f>
        <v>18000</v>
      </c>
      <c r="L88" s="12">
        <f>'10'!K88</f>
        <v>18000</v>
      </c>
      <c r="M88" s="12">
        <f>'11'!K88</f>
        <v>18000</v>
      </c>
      <c r="N88" s="12">
        <f>'12'!K88</f>
        <v>18000</v>
      </c>
      <c r="O88" s="12">
        <f>'13'!K88</f>
        <v>18000</v>
      </c>
      <c r="P88" s="12">
        <f>'14'!K88</f>
        <v>18000</v>
      </c>
      <c r="Q88" s="12">
        <f>'15'!K88</f>
        <v>18000</v>
      </c>
      <c r="R88" s="12">
        <f>'16'!K88</f>
        <v>18000</v>
      </c>
      <c r="S88" s="12">
        <f>'17'!K88</f>
        <v>18000</v>
      </c>
      <c r="T88" s="12">
        <f>'18'!K88</f>
        <v>18000</v>
      </c>
      <c r="U88" s="12">
        <f>'19'!K88</f>
        <v>18000</v>
      </c>
      <c r="V88" s="12">
        <f>'20'!K88</f>
        <v>18000</v>
      </c>
      <c r="W88" s="12">
        <f>'21'!K88</f>
        <v>18000</v>
      </c>
      <c r="X88" s="12">
        <f>'22'!K88</f>
        <v>18000</v>
      </c>
      <c r="Y88" s="12">
        <f>'23'!K88</f>
        <v>18000</v>
      </c>
      <c r="Z88" s="12">
        <f>'24'!K88</f>
        <v>18000</v>
      </c>
      <c r="AA88" s="12">
        <f>'25'!K88</f>
        <v>18000</v>
      </c>
      <c r="AB88" s="12">
        <f>'26'!K88</f>
        <v>18000</v>
      </c>
      <c r="AC88" s="12">
        <f>'27'!K88</f>
        <v>18000</v>
      </c>
      <c r="AD88" s="12">
        <f>'28'!K88</f>
        <v>18000</v>
      </c>
      <c r="AE88" s="12">
        <f>'29'!K88</f>
        <v>18000</v>
      </c>
      <c r="AF88" s="12">
        <f>'30'!K88</f>
        <v>18000</v>
      </c>
      <c r="AG88" s="12">
        <f>'31'!K88</f>
        <v>18000</v>
      </c>
      <c r="AH88" s="12"/>
      <c r="AI88" s="12">
        <f t="shared" si="2"/>
        <v>0</v>
      </c>
      <c r="AJ88" s="130">
        <f t="shared" si="3"/>
        <v>18000</v>
      </c>
      <c r="AM88" s="30" t="s">
        <v>98</v>
      </c>
    </row>
    <row r="89" spans="1:39" ht="14.25" customHeight="1" x14ac:dyDescent="0.25">
      <c r="A89" s="32"/>
      <c r="B89" s="62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4"/>
    </row>
    <row r="90" spans="1:39" ht="12.75" customHeight="1" x14ac:dyDescent="0.25">
      <c r="A90" s="34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100"/>
    </row>
    <row r="91" spans="1:39" ht="3" customHeight="1" x14ac:dyDescent="0.25">
      <c r="A91" s="34"/>
      <c r="B91" s="65"/>
      <c r="AI91" s="35"/>
    </row>
    <row r="92" spans="1:39" ht="14.25" hidden="1" customHeight="1" x14ac:dyDescent="0.25">
      <c r="A92" s="34"/>
      <c r="AI92" s="35"/>
    </row>
    <row r="93" spans="1:39" ht="14.25" customHeight="1" x14ac:dyDescent="0.25">
      <c r="A93" s="36" t="s">
        <v>98</v>
      </c>
      <c r="B93" s="40" t="s">
        <v>109</v>
      </c>
      <c r="AC93" s="43"/>
      <c r="AD93" s="33" t="s">
        <v>110</v>
      </c>
      <c r="AI93" s="35"/>
    </row>
    <row r="94" spans="1:39" ht="15.75" customHeight="1" x14ac:dyDescent="0.25">
      <c r="A94" s="34"/>
      <c r="B94" s="79" t="s">
        <v>111</v>
      </c>
      <c r="AC94" s="42"/>
      <c r="AD94" s="33" t="s">
        <v>112</v>
      </c>
      <c r="AI94" s="35"/>
    </row>
    <row r="95" spans="1:39" ht="15.75" customHeight="1" x14ac:dyDescent="0.25">
      <c r="A95" s="37"/>
      <c r="B95" s="41" t="s">
        <v>113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78"/>
      <c r="AD95" s="37" t="s">
        <v>114</v>
      </c>
      <c r="AE95" s="38"/>
      <c r="AF95" s="38"/>
      <c r="AG95" s="38"/>
      <c r="AH95" s="38"/>
      <c r="AI95" s="39"/>
    </row>
  </sheetData>
  <mergeCells count="22">
    <mergeCell ref="B90:AI90"/>
    <mergeCell ref="AH4:AH6"/>
    <mergeCell ref="AI4:AI6"/>
    <mergeCell ref="A1:AI1"/>
    <mergeCell ref="A2:AI2"/>
    <mergeCell ref="A3:AI3"/>
    <mergeCell ref="A33:A35"/>
    <mergeCell ref="A4:A6"/>
    <mergeCell ref="B4:B6"/>
    <mergeCell ref="A7:A12"/>
    <mergeCell ref="A13:A15"/>
    <mergeCell ref="A16:A18"/>
    <mergeCell ref="A19:A20"/>
    <mergeCell ref="A21:A25"/>
    <mergeCell ref="A26:A32"/>
    <mergeCell ref="A69:A73"/>
    <mergeCell ref="A63:A66"/>
    <mergeCell ref="A43:A45"/>
    <mergeCell ref="A46:A48"/>
    <mergeCell ref="A52:A53"/>
    <mergeCell ref="A54:A55"/>
    <mergeCell ref="A56:A60"/>
  </mergeCells>
  <pageMargins left="0.7" right="0.7" top="0.25" bottom="0.25" header="0.3" footer="0.3"/>
  <pageSetup paperSize="5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E963-F545-4DF8-9222-E66734316C91}">
  <dimension ref="A1:N94"/>
  <sheetViews>
    <sheetView zoomScale="85" zoomScaleNormal="85"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M1" s="2"/>
      <c r="N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M2" s="2"/>
      <c r="N2" s="2"/>
    </row>
    <row r="3" spans="1:14" ht="27.75" customHeight="1" x14ac:dyDescent="0.25">
      <c r="A3" s="118" t="s">
        <v>131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M3" s="2"/>
      <c r="N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132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13500</v>
      </c>
      <c r="J8" s="88">
        <v>14000</v>
      </c>
      <c r="K8" s="71">
        <f>AVERAGE(D8:J8)</f>
        <v>13428.571428571429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10500</v>
      </c>
      <c r="J9" s="88" t="s">
        <v>95</v>
      </c>
      <c r="K9" s="71">
        <f t="shared" ref="K9:K80" si="0">AVERAGE(D9:J9)</f>
        <v>10783.333333333334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4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 t="s">
        <v>1</v>
      </c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34000</v>
      </c>
      <c r="E25" s="87">
        <v>34000</v>
      </c>
      <c r="F25" s="87">
        <v>35000</v>
      </c>
      <c r="G25" s="87">
        <v>35000</v>
      </c>
      <c r="H25" s="50">
        <v>36000</v>
      </c>
      <c r="I25" s="87">
        <v>35000</v>
      </c>
      <c r="J25" s="50">
        <v>36000</v>
      </c>
      <c r="K25" s="71">
        <f t="shared" si="0"/>
        <v>35000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t="s">
        <v>96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65000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64000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35000</v>
      </c>
      <c r="J31" s="50">
        <v>40000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24000</v>
      </c>
      <c r="E34" s="87">
        <v>24000</v>
      </c>
      <c r="F34" s="87">
        <v>25000</v>
      </c>
      <c r="G34" s="87">
        <v>24000</v>
      </c>
      <c r="H34" s="87">
        <v>24000</v>
      </c>
      <c r="I34" s="87">
        <v>25000</v>
      </c>
      <c r="J34" s="50">
        <v>25000</v>
      </c>
      <c r="K34" s="71">
        <f t="shared" si="0"/>
        <v>24428.571428571428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/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2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16000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13833.333333333334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>
        <v>14000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13833.333333333334</v>
      </c>
      <c r="M58" s="2" t="s">
        <v>97</v>
      </c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25000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23142.857142857141</v>
      </c>
      <c r="M59" s="2"/>
      <c r="N59" s="8"/>
    </row>
    <row r="60" spans="1:14" ht="15.75" x14ac:dyDescent="0.25">
      <c r="A60" s="115"/>
      <c r="B60" s="47" t="s">
        <v>51</v>
      </c>
      <c r="C60" s="6" t="s">
        <v>4</v>
      </c>
      <c r="D60" s="87">
        <v>30000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28571.428571428572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25000</v>
      </c>
      <c r="E64" s="87">
        <v>25000</v>
      </c>
      <c r="F64" s="87">
        <v>22000</v>
      </c>
      <c r="G64" s="87">
        <v>25000</v>
      </c>
      <c r="H64" s="87">
        <v>30000</v>
      </c>
      <c r="I64" s="87">
        <v>25000</v>
      </c>
      <c r="J64" s="50">
        <v>35000</v>
      </c>
      <c r="K64" s="71">
        <f t="shared" si="0"/>
        <v>26714.285714285714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25000</v>
      </c>
      <c r="E65" s="87">
        <v>25000</v>
      </c>
      <c r="F65" s="87">
        <v>20000</v>
      </c>
      <c r="G65" s="87">
        <v>25000</v>
      </c>
      <c r="H65" s="87">
        <v>30000</v>
      </c>
      <c r="I65" s="89">
        <v>20000</v>
      </c>
      <c r="J65" s="50" t="s">
        <v>95</v>
      </c>
      <c r="K65" s="71">
        <f t="shared" si="0"/>
        <v>24166.666666666668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24000</v>
      </c>
      <c r="E66" s="87">
        <v>22000</v>
      </c>
      <c r="F66" s="87">
        <v>25000</v>
      </c>
      <c r="G66" s="87">
        <v>24000</v>
      </c>
      <c r="H66" s="87">
        <v>27000</v>
      </c>
      <c r="I66" s="87">
        <v>22000</v>
      </c>
      <c r="J66" s="50">
        <v>25000</v>
      </c>
      <c r="K66" s="71">
        <f t="shared" si="0"/>
        <v>24142.857142857141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38000</v>
      </c>
      <c r="K70" s="71">
        <f t="shared" si="0"/>
        <v>34714.285714285717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32000</v>
      </c>
      <c r="I71" s="87">
        <v>32000</v>
      </c>
      <c r="J71" s="50">
        <v>37000</v>
      </c>
      <c r="K71" s="71">
        <f t="shared" si="0"/>
        <v>32714.285714285714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19714.285714285714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26000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26714.285714285714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5428.5714285714284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6000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12000</v>
      </c>
      <c r="E79" s="87">
        <v>12000</v>
      </c>
      <c r="F79" s="87">
        <v>13000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12142.857142857143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17000</v>
      </c>
      <c r="E80" s="87">
        <v>17000</v>
      </c>
      <c r="F80" s="87">
        <v>18000</v>
      </c>
      <c r="G80" s="87">
        <v>15000</v>
      </c>
      <c r="H80" s="87">
        <v>15000</v>
      </c>
      <c r="I80" s="87">
        <v>18000</v>
      </c>
      <c r="J80" s="50">
        <v>18000</v>
      </c>
      <c r="K80" s="71">
        <f t="shared" si="0"/>
        <v>16857.142857142859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8000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8000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15000</v>
      </c>
      <c r="K82" s="71">
        <f t="shared" si="1"/>
        <v>12714.285714285714</v>
      </c>
      <c r="M82" s="2"/>
      <c r="N82" s="2"/>
    </row>
    <row r="83" spans="1:14" ht="15.75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  <c r="M83" s="2"/>
      <c r="N83" s="2"/>
    </row>
    <row r="84" spans="1:14" ht="15.75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  <c r="M84" s="2"/>
      <c r="N84" s="2"/>
    </row>
    <row r="85" spans="1:14" ht="15.75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  <c r="M85" s="2"/>
      <c r="N85" s="2"/>
    </row>
    <row r="86" spans="1:14" ht="15.75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M86" s="2"/>
      <c r="N86" s="2"/>
    </row>
    <row r="87" spans="1:14" ht="15.75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M87" s="2"/>
      <c r="N87" s="2"/>
    </row>
    <row r="88" spans="1:14" ht="15.75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B4E4-A6A0-426E-92ED-7DB70BBFE345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M1" s="2"/>
      <c r="N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M2" s="2"/>
      <c r="N2" s="2"/>
    </row>
    <row r="3" spans="1:14" ht="27.75" customHeight="1" x14ac:dyDescent="0.25">
      <c r="A3" s="118" t="s">
        <v>133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M3" s="2"/>
      <c r="N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132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10850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4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 t="s">
        <v>1</v>
      </c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34000</v>
      </c>
      <c r="H25" s="50">
        <v>36000</v>
      </c>
      <c r="I25" s="87">
        <v>35000</v>
      </c>
      <c r="J25" s="50">
        <v>36000</v>
      </c>
      <c r="K25" s="71">
        <f t="shared" si="0"/>
        <v>35000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t="s">
        <v>96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65000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64000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35000</v>
      </c>
      <c r="J31" s="50">
        <v>40000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24000</v>
      </c>
      <c r="H34" s="87">
        <v>24000</v>
      </c>
      <c r="I34" s="87">
        <v>25000</v>
      </c>
      <c r="J34" s="50">
        <v>25000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/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2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16000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13833.333333333334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>
        <v>14000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13833.333333333334</v>
      </c>
      <c r="M58" s="2" t="s">
        <v>97</v>
      </c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25000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23142.857142857141</v>
      </c>
      <c r="M59" s="2"/>
      <c r="N59" s="8"/>
    </row>
    <row r="60" spans="1:14" ht="15.75" x14ac:dyDescent="0.25">
      <c r="A60" s="115"/>
      <c r="B60" s="47" t="s">
        <v>51</v>
      </c>
      <c r="C60" s="6" t="s">
        <v>4</v>
      </c>
      <c r="D60" s="87">
        <v>30000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28571.428571428572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25000</v>
      </c>
      <c r="E64" s="87">
        <v>25000</v>
      </c>
      <c r="F64" s="87">
        <v>25000</v>
      </c>
      <c r="G64" s="87">
        <v>25000</v>
      </c>
      <c r="H64" s="87">
        <v>30000</v>
      </c>
      <c r="I64" s="87">
        <v>25000</v>
      </c>
      <c r="J64" s="50">
        <v>35000</v>
      </c>
      <c r="K64" s="71">
        <f t="shared" si="0"/>
        <v>27142.857142857141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25000</v>
      </c>
      <c r="E65" s="87">
        <v>25000</v>
      </c>
      <c r="F65" s="87">
        <v>23000</v>
      </c>
      <c r="G65" s="87">
        <v>25000</v>
      </c>
      <c r="H65" s="87">
        <v>30000</v>
      </c>
      <c r="I65" s="89">
        <v>20000</v>
      </c>
      <c r="J65" s="50" t="s">
        <v>95</v>
      </c>
      <c r="K65" s="71">
        <f t="shared" si="0"/>
        <v>24666.666666666668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24000</v>
      </c>
      <c r="E66" s="87">
        <v>22000</v>
      </c>
      <c r="F66" s="87">
        <v>30000</v>
      </c>
      <c r="G66" s="87">
        <v>24000</v>
      </c>
      <c r="H66" s="87">
        <v>27000</v>
      </c>
      <c r="I66" s="87">
        <v>22000</v>
      </c>
      <c r="J66" s="50">
        <v>30000</v>
      </c>
      <c r="K66" s="71">
        <f t="shared" si="0"/>
        <v>25571.428571428572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34000</v>
      </c>
      <c r="I70" s="87">
        <v>30000</v>
      </c>
      <c r="J70" s="50">
        <v>38000</v>
      </c>
      <c r="K70" s="71">
        <f t="shared" si="0"/>
        <v>34142.857142857145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34000</v>
      </c>
      <c r="G71" s="87">
        <v>32000</v>
      </c>
      <c r="H71" s="87">
        <v>32000</v>
      </c>
      <c r="I71" s="87">
        <v>32000</v>
      </c>
      <c r="J71" s="50">
        <v>37000</v>
      </c>
      <c r="K71" s="71">
        <f t="shared" si="0"/>
        <v>33000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16000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26000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26714.285714285714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5428.5714285714284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6000</v>
      </c>
      <c r="E78" s="87">
        <v>7000</v>
      </c>
      <c r="F78" s="87">
        <v>6000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7142.8571428571431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12000</v>
      </c>
      <c r="E79" s="87">
        <v>12000</v>
      </c>
      <c r="F79" s="87">
        <v>13000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12142.857142857143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17000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18000</v>
      </c>
      <c r="J80" s="50">
        <v>18000</v>
      </c>
      <c r="K80" s="71">
        <f t="shared" si="0"/>
        <v>16285.714285714286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8000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8000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15000</v>
      </c>
      <c r="K82" s="71">
        <f t="shared" si="1"/>
        <v>12714.285714285714</v>
      </c>
      <c r="M82" s="2"/>
      <c r="N82" s="2"/>
    </row>
    <row r="83" spans="1:14" ht="15.75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  <c r="M83" s="2"/>
      <c r="N83" s="2"/>
    </row>
    <row r="84" spans="1:14" ht="15.75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  <c r="M84" s="2"/>
      <c r="N84" s="2"/>
    </row>
    <row r="85" spans="1:14" ht="15.75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  <c r="M85" s="2"/>
      <c r="N85" s="2"/>
    </row>
    <row r="86" spans="1:14" ht="15.75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M86" s="2"/>
      <c r="N86" s="2"/>
    </row>
    <row r="87" spans="1:14" ht="15.75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M87" s="2"/>
      <c r="N87" s="2"/>
    </row>
    <row r="88" spans="1:14" ht="15.75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FB2-6043-429E-9FDD-FBA869FBBDE4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M1" s="2"/>
      <c r="N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M2" s="2"/>
      <c r="N2" s="2"/>
    </row>
    <row r="3" spans="1:14" ht="27.75" customHeight="1" x14ac:dyDescent="0.25">
      <c r="A3" s="118" t="s">
        <v>134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M3" s="2"/>
      <c r="N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132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10850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4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 t="s">
        <v>1</v>
      </c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34000</v>
      </c>
      <c r="H25" s="50">
        <v>36000</v>
      </c>
      <c r="I25" s="87">
        <v>35000</v>
      </c>
      <c r="J25" s="50">
        <v>36000</v>
      </c>
      <c r="K25" s="71">
        <f t="shared" si="0"/>
        <v>35000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t="s">
        <v>96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65000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64000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34571.428571428572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24714.285714285714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/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2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 t="s">
        <v>97</v>
      </c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25000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23142.857142857141</v>
      </c>
      <c r="M59" s="2"/>
      <c r="N59" s="8"/>
    </row>
    <row r="60" spans="1:14" ht="15.75" x14ac:dyDescent="0.25">
      <c r="A60" s="115"/>
      <c r="B60" s="47" t="s">
        <v>51</v>
      </c>
      <c r="C60" s="6" t="s">
        <v>4</v>
      </c>
      <c r="D60" s="87">
        <v>30000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28571.428571428572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25000</v>
      </c>
      <c r="E64" s="87">
        <v>25000</v>
      </c>
      <c r="F64" s="87">
        <v>25000</v>
      </c>
      <c r="G64" s="87">
        <v>25000</v>
      </c>
      <c r="H64" s="87">
        <v>20000</v>
      </c>
      <c r="I64" s="87">
        <v>25000</v>
      </c>
      <c r="J64" s="50">
        <v>30000</v>
      </c>
      <c r="K64" s="71">
        <f t="shared" si="0"/>
        <v>25000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25000</v>
      </c>
      <c r="E65" s="87">
        <v>25000</v>
      </c>
      <c r="F65" s="87">
        <v>23000</v>
      </c>
      <c r="G65" s="87">
        <v>25000</v>
      </c>
      <c r="H65" s="87">
        <v>20000</v>
      </c>
      <c r="I65" s="89">
        <v>20000</v>
      </c>
      <c r="J65" s="50" t="s">
        <v>95</v>
      </c>
      <c r="K65" s="71">
        <f t="shared" si="0"/>
        <v>23000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24000</v>
      </c>
      <c r="E66" s="87">
        <v>22000</v>
      </c>
      <c r="F66" s="87">
        <v>30000</v>
      </c>
      <c r="G66" s="87">
        <v>24000</v>
      </c>
      <c r="H66" s="87">
        <v>20000</v>
      </c>
      <c r="I66" s="87">
        <v>22000</v>
      </c>
      <c r="J66" s="50">
        <v>30000</v>
      </c>
      <c r="K66" s="71">
        <f t="shared" si="0"/>
        <v>24571.428571428572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34000</v>
      </c>
      <c r="I70" s="87">
        <v>30000</v>
      </c>
      <c r="J70" s="50">
        <v>35000</v>
      </c>
      <c r="K70" s="71">
        <f t="shared" si="0"/>
        <v>33714.285714285717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34000</v>
      </c>
      <c r="G71" s="87">
        <v>32000</v>
      </c>
      <c r="H71" s="87">
        <v>32000</v>
      </c>
      <c r="I71" s="87">
        <v>32000</v>
      </c>
      <c r="J71" s="50">
        <v>35000</v>
      </c>
      <c r="K71" s="71">
        <f t="shared" si="0"/>
        <v>32714.285714285714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16000</v>
      </c>
      <c r="G72" s="87">
        <v>20000</v>
      </c>
      <c r="H72" s="87">
        <v>18000</v>
      </c>
      <c r="I72" s="87">
        <v>20000</v>
      </c>
      <c r="J72" s="50">
        <v>17000</v>
      </c>
      <c r="K72" s="71">
        <f t="shared" si="0"/>
        <v>18714.285714285714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26000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26714.285714285714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5428.5714285714284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6000</v>
      </c>
      <c r="E78" s="87">
        <v>7000</v>
      </c>
      <c r="F78" s="87">
        <v>6000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7142.8571428571431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12000</v>
      </c>
      <c r="E79" s="87">
        <v>12000</v>
      </c>
      <c r="F79" s="87">
        <v>13000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12142.857142857143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17000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18000</v>
      </c>
      <c r="J80" s="50">
        <v>17000</v>
      </c>
      <c r="K80" s="71">
        <f t="shared" si="0"/>
        <v>16142.857142857143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8000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8000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12428.571428571429</v>
      </c>
      <c r="M82" s="2"/>
      <c r="N82" s="2"/>
    </row>
    <row r="83" spans="1:14" ht="15.75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  <c r="M83" s="2"/>
      <c r="N83" s="2"/>
    </row>
    <row r="84" spans="1:14" ht="15.75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  <c r="M84" s="2"/>
      <c r="N84" s="2"/>
    </row>
    <row r="85" spans="1:14" ht="15.75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  <c r="M85" s="2"/>
      <c r="N85" s="2"/>
    </row>
    <row r="86" spans="1:14" ht="15.75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M86" s="2"/>
      <c r="N86" s="2"/>
    </row>
    <row r="87" spans="1:14" ht="15.75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M87" s="2"/>
      <c r="N87" s="2"/>
    </row>
    <row r="88" spans="1:14" ht="15.75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E939-B88C-4A96-94D3-F2A1C1208D05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M1" s="2"/>
      <c r="N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M2" s="2"/>
      <c r="N2" s="2"/>
    </row>
    <row r="3" spans="1:14" ht="27.75" customHeight="1" x14ac:dyDescent="0.25">
      <c r="A3" s="118" t="s">
        <v>135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M3" s="2"/>
      <c r="N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10850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4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 t="s">
        <v>1</v>
      </c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35285.714285714283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t="s">
        <v>96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65000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64000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34571.428571428572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25500</v>
      </c>
      <c r="K34" s="71">
        <f t="shared" si="0"/>
        <v>24785.714285714286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/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2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 t="s">
        <v>97</v>
      </c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25000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23142.857142857141</v>
      </c>
      <c r="M59" s="2"/>
      <c r="N59" s="8"/>
    </row>
    <row r="60" spans="1:14" ht="15.75" x14ac:dyDescent="0.25">
      <c r="A60" s="115"/>
      <c r="B60" s="47" t="s">
        <v>51</v>
      </c>
      <c r="C60" s="6" t="s">
        <v>4</v>
      </c>
      <c r="D60" s="87">
        <v>30000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28571.428571428572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25000</v>
      </c>
      <c r="E64" s="87">
        <v>25000</v>
      </c>
      <c r="F64" s="87">
        <v>30000</v>
      </c>
      <c r="G64" s="87">
        <v>25000</v>
      </c>
      <c r="H64" s="87">
        <v>35000</v>
      </c>
      <c r="I64" s="87">
        <v>25000</v>
      </c>
      <c r="J64" s="50">
        <v>30000</v>
      </c>
      <c r="K64" s="71">
        <f t="shared" si="0"/>
        <v>27857.142857142859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25000</v>
      </c>
      <c r="E65" s="87">
        <v>25000</v>
      </c>
      <c r="F65" s="87">
        <v>25000</v>
      </c>
      <c r="G65" s="87">
        <v>25000</v>
      </c>
      <c r="H65" s="87">
        <v>35000</v>
      </c>
      <c r="I65" s="89">
        <v>20000</v>
      </c>
      <c r="J65" s="50" t="s">
        <v>95</v>
      </c>
      <c r="K65" s="71">
        <f t="shared" si="0"/>
        <v>25833.333333333332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24000</v>
      </c>
      <c r="E66" s="87">
        <v>22000</v>
      </c>
      <c r="F66" s="87">
        <v>40000</v>
      </c>
      <c r="G66" s="87">
        <v>24000</v>
      </c>
      <c r="H66" s="87">
        <v>25000</v>
      </c>
      <c r="I66" s="87">
        <v>22000</v>
      </c>
      <c r="J66" s="50">
        <v>30000</v>
      </c>
      <c r="K66" s="71">
        <f t="shared" si="0"/>
        <v>26714.285714285714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35000</v>
      </c>
      <c r="I70" s="87">
        <v>30000</v>
      </c>
      <c r="J70" s="50">
        <v>35000</v>
      </c>
      <c r="K70" s="71">
        <f t="shared" si="0"/>
        <v>33857.142857142855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32000</v>
      </c>
      <c r="I71" s="87">
        <v>32000</v>
      </c>
      <c r="J71" s="50">
        <v>35000</v>
      </c>
      <c r="K71" s="71">
        <f t="shared" si="0"/>
        <v>32571.428571428572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17000</v>
      </c>
      <c r="K72" s="71">
        <f t="shared" si="0"/>
        <v>19000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26000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26714.285714285714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5428.5714285714284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6000</v>
      </c>
      <c r="E78" s="87">
        <v>7000</v>
      </c>
      <c r="F78" s="87">
        <v>6000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7142.8571428571431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12000</v>
      </c>
      <c r="E79" s="87">
        <v>12000</v>
      </c>
      <c r="F79" s="87">
        <v>13000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12142.857142857143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17000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17000</v>
      </c>
      <c r="K80" s="71">
        <f t="shared" si="0"/>
        <v>16428.571428571428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8000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8000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12428.571428571429</v>
      </c>
      <c r="M82" s="2"/>
      <c r="N82" s="2"/>
    </row>
    <row r="83" spans="1:14" ht="15.75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  <c r="M83" s="2"/>
      <c r="N83" s="2"/>
    </row>
    <row r="84" spans="1:14" ht="15.75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  <c r="M84" s="2"/>
      <c r="N84" s="2"/>
    </row>
    <row r="85" spans="1:14" ht="15.75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  <c r="M85" s="2"/>
      <c r="N85" s="2"/>
    </row>
    <row r="86" spans="1:14" ht="15.75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M86" s="2"/>
      <c r="N86" s="2"/>
    </row>
    <row r="87" spans="1:14" ht="15.75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M87" s="2"/>
      <c r="N87" s="2"/>
    </row>
    <row r="88" spans="1:14" ht="15.75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13B2-F311-4DD6-92CE-147978800542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136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10850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34000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35142.857142857145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36000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25500</v>
      </c>
      <c r="K34" s="71">
        <f t="shared" si="0"/>
        <v>24785.714285714286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25000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23142.857142857141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30000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28571.428571428572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25000</v>
      </c>
      <c r="E64" s="87">
        <v>25000</v>
      </c>
      <c r="F64" s="87">
        <v>30000</v>
      </c>
      <c r="G64" s="87">
        <v>25000</v>
      </c>
      <c r="H64" s="87">
        <v>25000</v>
      </c>
      <c r="I64" s="87">
        <v>25000</v>
      </c>
      <c r="J64" s="50">
        <v>35000</v>
      </c>
      <c r="K64" s="71">
        <f t="shared" si="0"/>
        <v>27142.857142857141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25000</v>
      </c>
      <c r="E65" s="87">
        <v>26000</v>
      </c>
      <c r="F65" s="87">
        <v>25000</v>
      </c>
      <c r="G65" s="87">
        <v>25000</v>
      </c>
      <c r="H65" s="87">
        <v>25000</v>
      </c>
      <c r="I65" s="89">
        <v>20000</v>
      </c>
      <c r="J65" s="50" t="s">
        <v>95</v>
      </c>
      <c r="K65" s="71">
        <f t="shared" si="0"/>
        <v>24333.333333333332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24000</v>
      </c>
      <c r="E66" s="87">
        <v>25000</v>
      </c>
      <c r="F66" s="87">
        <v>37000</v>
      </c>
      <c r="G66" s="87">
        <v>24000</v>
      </c>
      <c r="H66" s="87">
        <v>35000</v>
      </c>
      <c r="I66" s="87">
        <v>22000</v>
      </c>
      <c r="J66" s="50">
        <v>38000</v>
      </c>
      <c r="K66" s="71">
        <f t="shared" si="0"/>
        <v>29285.714285714286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35000</v>
      </c>
      <c r="I70" s="87">
        <v>30000</v>
      </c>
      <c r="J70" s="50">
        <v>37000</v>
      </c>
      <c r="K70" s="71">
        <f t="shared" si="0"/>
        <v>34142.857142857145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32000</v>
      </c>
      <c r="I71" s="87">
        <v>32000</v>
      </c>
      <c r="J71" s="50">
        <v>35000</v>
      </c>
      <c r="K71" s="71">
        <f t="shared" si="0"/>
        <v>32571.428571428572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26000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26714.285714285714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5428.5714285714284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6000</v>
      </c>
      <c r="E78" s="87">
        <v>7000</v>
      </c>
      <c r="F78" s="87">
        <v>6000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7142.8571428571431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12000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12000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17000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17000</v>
      </c>
      <c r="K80" s="71">
        <f t="shared" si="0"/>
        <v>16428.571428571428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8000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8000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12428.571428571429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63DC-1405-4817-96FD-20FE13D19E95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137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10850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34000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35285.714285714283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34857.142857142855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26000</v>
      </c>
      <c r="H34" s="87">
        <v>24000</v>
      </c>
      <c r="I34" s="87">
        <v>25000</v>
      </c>
      <c r="J34" s="50">
        <v>25000</v>
      </c>
      <c r="K34" s="71">
        <f t="shared" si="0"/>
        <v>25000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22428.571428571428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26000</v>
      </c>
      <c r="F64" s="87">
        <v>28000</v>
      </c>
      <c r="G64" s="87">
        <v>25000</v>
      </c>
      <c r="H64" s="87">
        <v>25000</v>
      </c>
      <c r="I64" s="87">
        <v>25000</v>
      </c>
      <c r="J64" s="50">
        <v>35000</v>
      </c>
      <c r="K64" s="71">
        <f t="shared" si="0"/>
        <v>27428.571428571428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27000</v>
      </c>
      <c r="F65" s="87">
        <v>30000</v>
      </c>
      <c r="G65" s="87">
        <v>25000</v>
      </c>
      <c r="H65" s="87">
        <v>25000</v>
      </c>
      <c r="I65" s="89">
        <v>20000</v>
      </c>
      <c r="J65" s="50" t="s">
        <v>95</v>
      </c>
      <c r="K65" s="71">
        <f t="shared" si="0"/>
        <v>25833.333333333332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26000</v>
      </c>
      <c r="E66" s="87">
        <v>27000</v>
      </c>
      <c r="F66" s="87">
        <v>34000</v>
      </c>
      <c r="G66" s="87">
        <v>30000</v>
      </c>
      <c r="H66" s="87">
        <v>35000</v>
      </c>
      <c r="I66" s="87">
        <v>22000</v>
      </c>
      <c r="J66" s="50">
        <v>38000</v>
      </c>
      <c r="K66" s="71">
        <f t="shared" si="0"/>
        <v>30285.714285714286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36000</v>
      </c>
      <c r="G70" s="87">
        <v>34000</v>
      </c>
      <c r="H70" s="87">
        <v>35000</v>
      </c>
      <c r="I70" s="87">
        <v>30000</v>
      </c>
      <c r="J70" s="50">
        <v>37000</v>
      </c>
      <c r="K70" s="71">
        <f t="shared" si="0"/>
        <v>34285.714285714283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32000</v>
      </c>
      <c r="I71" s="87">
        <v>32000</v>
      </c>
      <c r="J71" s="50">
        <v>35000</v>
      </c>
      <c r="K71" s="71">
        <f t="shared" si="0"/>
        <v>32571.428571428572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27000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5428.5714285714284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17000</v>
      </c>
      <c r="K80" s="71">
        <f t="shared" si="0"/>
        <v>16285.714285714286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6000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7714.2857142857147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876C-E9D8-46D5-B23A-7800ECB62E0C}">
  <dimension ref="A1:W94"/>
  <sheetViews>
    <sheetView topLeftCell="A4"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81"/>
      <c r="M1" s="81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1"/>
      <c r="M2" s="81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3" ht="27.75" customHeight="1" x14ac:dyDescent="0.25">
      <c r="A3" s="118" t="s">
        <v>138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81"/>
      <c r="M3" s="81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3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L4" s="80"/>
      <c r="M4" s="81"/>
      <c r="N4" s="81"/>
      <c r="O4" s="80"/>
      <c r="P4" s="80"/>
      <c r="Q4" s="80"/>
      <c r="R4" s="80"/>
      <c r="S4" s="80"/>
      <c r="T4" s="80"/>
      <c r="U4" s="80"/>
      <c r="V4" s="80"/>
      <c r="W4" s="80"/>
    </row>
    <row r="5" spans="1:23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L5" s="80"/>
      <c r="M5" s="81"/>
      <c r="N5" s="81"/>
      <c r="O5" s="80"/>
      <c r="P5" s="80"/>
      <c r="Q5" s="80"/>
      <c r="R5" s="80"/>
      <c r="S5" s="80"/>
      <c r="T5" s="80"/>
      <c r="U5" s="80"/>
      <c r="V5" s="80"/>
      <c r="W5" s="80"/>
    </row>
    <row r="6" spans="1:23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L6" s="80"/>
      <c r="M6" s="81"/>
      <c r="N6" s="81"/>
      <c r="O6" s="80"/>
      <c r="P6" s="80"/>
      <c r="Q6" s="80"/>
      <c r="R6" s="80"/>
      <c r="S6" s="80"/>
      <c r="T6" s="80"/>
      <c r="U6" s="80"/>
      <c r="V6" s="80"/>
      <c r="W6" s="80"/>
    </row>
    <row r="7" spans="1:23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L7" s="80"/>
      <c r="M7" s="81"/>
      <c r="N7" s="81"/>
      <c r="O7" s="80"/>
      <c r="P7" s="80"/>
      <c r="Q7" s="80"/>
      <c r="R7" s="80"/>
      <c r="S7" s="80"/>
      <c r="T7" s="80"/>
      <c r="U7" s="80"/>
      <c r="V7" s="80"/>
      <c r="W7" s="80"/>
    </row>
    <row r="8" spans="1:23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84"/>
      <c r="M8" s="82"/>
      <c r="N8" s="81"/>
      <c r="O8" s="80"/>
      <c r="P8" s="80"/>
      <c r="Q8" s="80"/>
      <c r="R8" s="80"/>
      <c r="S8" s="80"/>
      <c r="T8" s="80"/>
      <c r="U8" s="80"/>
      <c r="V8" s="80"/>
      <c r="W8" s="80"/>
    </row>
    <row r="9" spans="1:23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10500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10850</v>
      </c>
      <c r="L9" s="80"/>
      <c r="M9" s="81"/>
      <c r="N9" s="81"/>
      <c r="O9" s="80"/>
      <c r="P9" s="80"/>
      <c r="Q9" s="80"/>
      <c r="R9" s="80"/>
      <c r="S9" s="80"/>
      <c r="T9" s="80"/>
      <c r="U9" s="80"/>
      <c r="V9" s="80"/>
      <c r="W9" s="80"/>
    </row>
    <row r="10" spans="1:23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L10" s="80"/>
      <c r="M10" s="81"/>
      <c r="N10" s="81"/>
      <c r="O10" s="80"/>
      <c r="P10" s="80"/>
      <c r="Q10" s="80"/>
      <c r="R10" s="80"/>
      <c r="S10" s="80"/>
      <c r="T10" s="80"/>
      <c r="U10" s="80"/>
      <c r="V10" s="80"/>
      <c r="W10" s="80"/>
    </row>
    <row r="11" spans="1:23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L11" s="80"/>
      <c r="M11" s="81"/>
      <c r="N11" s="81"/>
      <c r="O11" s="80"/>
      <c r="P11" s="80"/>
      <c r="Q11" s="80"/>
      <c r="R11" s="80"/>
      <c r="S11" s="80"/>
      <c r="T11" s="80"/>
      <c r="U11" s="80"/>
      <c r="V11" s="80"/>
      <c r="W11" s="80"/>
    </row>
    <row r="12" spans="1:23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L12" s="80"/>
      <c r="M12" s="81"/>
      <c r="N12" s="81"/>
      <c r="O12" s="80"/>
      <c r="P12" s="80"/>
      <c r="Q12" s="80"/>
      <c r="R12" s="80"/>
      <c r="S12" s="80"/>
      <c r="T12" s="80"/>
      <c r="U12" s="80"/>
      <c r="V12" s="80"/>
      <c r="W12" s="80"/>
    </row>
    <row r="13" spans="1:23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L13" s="80"/>
      <c r="M13" s="81"/>
      <c r="N13" s="81"/>
      <c r="O13" s="80"/>
      <c r="P13" s="80"/>
      <c r="Q13" s="80"/>
      <c r="R13" s="80"/>
      <c r="S13" s="80"/>
      <c r="T13" s="80"/>
      <c r="U13" s="80"/>
      <c r="V13" s="80"/>
      <c r="W13" s="80"/>
    </row>
    <row r="14" spans="1:23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L14" s="80"/>
      <c r="M14" s="81"/>
      <c r="N14" s="81"/>
      <c r="O14" s="80"/>
      <c r="P14" s="80"/>
      <c r="Q14" s="80"/>
      <c r="R14" s="80"/>
      <c r="S14" s="80"/>
      <c r="T14" s="80"/>
      <c r="U14" s="80"/>
      <c r="V14" s="80"/>
      <c r="W14" s="80"/>
    </row>
    <row r="15" spans="1:23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L15" s="80"/>
      <c r="M15" s="81"/>
      <c r="N15" s="81"/>
      <c r="O15" s="80"/>
      <c r="P15" s="80"/>
      <c r="Q15" s="80"/>
      <c r="R15" s="80"/>
      <c r="S15" s="80"/>
      <c r="T15" s="80"/>
      <c r="U15" s="80"/>
      <c r="V15" s="80"/>
      <c r="W15" s="80"/>
    </row>
    <row r="16" spans="1:23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80"/>
      <c r="M16" s="81"/>
      <c r="N16" s="81"/>
      <c r="O16" s="80"/>
      <c r="P16" s="80"/>
      <c r="Q16" s="80"/>
      <c r="R16" s="80"/>
      <c r="S16" s="80"/>
      <c r="T16" s="80"/>
      <c r="U16" s="80"/>
      <c r="V16" s="80"/>
      <c r="W16" s="80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L17" s="80"/>
      <c r="M17" s="81"/>
      <c r="N17" s="81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L18" s="80"/>
      <c r="M18" s="81"/>
      <c r="N18" s="81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L19" s="80"/>
      <c r="M19" s="81"/>
      <c r="N19" s="81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L20" s="80"/>
      <c r="M20" s="81"/>
      <c r="N20" s="81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L21" s="80"/>
      <c r="M21" s="81"/>
      <c r="N21" s="81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L22" s="80"/>
      <c r="M22" s="81"/>
      <c r="N22" s="81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L23" s="80"/>
      <c r="M23" s="81"/>
      <c r="N23" s="81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L24" s="80"/>
      <c r="M24" s="81"/>
      <c r="N24" s="81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34000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35285.714285714283</v>
      </c>
      <c r="L25" s="80"/>
      <c r="M25" s="81"/>
      <c r="N25" s="81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L26" s="80"/>
      <c r="M26" s="81"/>
      <c r="N26" s="81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L27" s="80"/>
      <c r="M27" s="81"/>
      <c r="N27" s="81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s="80"/>
      <c r="M28" s="81"/>
      <c r="N28" s="81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L29" s="80"/>
      <c r="M29" s="81"/>
      <c r="N29" s="81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L30" s="80"/>
      <c r="M30" s="81"/>
      <c r="N30" s="81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34857.142857142855</v>
      </c>
      <c r="L31" s="80"/>
      <c r="M31" s="81"/>
      <c r="N31" s="81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L32" s="80"/>
      <c r="M32" s="81"/>
      <c r="N32" s="81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L33" s="80"/>
      <c r="M33" s="81"/>
      <c r="N33" s="81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26000</v>
      </c>
      <c r="H34" s="87">
        <v>24000</v>
      </c>
      <c r="I34" s="87">
        <v>25000</v>
      </c>
      <c r="J34" s="50">
        <v>25000</v>
      </c>
      <c r="K34" s="71">
        <f t="shared" si="0"/>
        <v>25000</v>
      </c>
      <c r="L34" s="80"/>
      <c r="M34" s="81"/>
      <c r="N34" s="81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L35" s="80"/>
      <c r="M35" s="81"/>
      <c r="N35" s="81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L36" s="80"/>
      <c r="M36" s="81"/>
      <c r="N36" s="81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L37" s="80"/>
      <c r="M37" s="81"/>
      <c r="N37" s="81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L38" s="80"/>
      <c r="M38" s="81"/>
      <c r="N38" s="81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L39" s="80"/>
      <c r="M39" s="81"/>
      <c r="N39" s="81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L40" s="80"/>
      <c r="M40" s="81"/>
      <c r="N40" s="81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L41" s="80"/>
      <c r="M41" s="81"/>
      <c r="N41" s="81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L42" s="80"/>
      <c r="M42" s="81"/>
      <c r="N42" s="81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L43" s="80"/>
      <c r="M43" s="81"/>
      <c r="N43" s="81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L44" s="80"/>
      <c r="M44" s="81"/>
      <c r="N44" s="81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L45" s="80"/>
      <c r="M45" s="81"/>
      <c r="N45" s="81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L46" s="80"/>
      <c r="M46" s="81"/>
      <c r="N46" s="81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L47" s="80"/>
      <c r="M47" s="81"/>
      <c r="N47" s="81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L48" s="80"/>
      <c r="M48" s="81"/>
      <c r="N48" s="81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L49" s="80"/>
      <c r="M49" s="81"/>
      <c r="N49" s="81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L50" s="80"/>
      <c r="M50" s="81"/>
      <c r="N50" s="81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L51" s="80"/>
      <c r="M51" s="81"/>
      <c r="N51" s="81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80"/>
      <c r="M52" s="81" t="s">
        <v>97</v>
      </c>
      <c r="N52" s="81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L53" s="80"/>
      <c r="M53" s="81"/>
      <c r="N53" s="83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L54" s="80"/>
      <c r="M54" s="81"/>
      <c r="N54" s="81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L55" s="80"/>
      <c r="M55" s="81"/>
      <c r="N55" s="81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L56" s="80"/>
      <c r="M56" s="81"/>
      <c r="N56" s="81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L57" s="80"/>
      <c r="M57" s="81"/>
      <c r="N57" s="81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L58" s="80"/>
      <c r="M58" s="81"/>
      <c r="N58" s="81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22428.571428571428</v>
      </c>
      <c r="L59" s="80"/>
      <c r="M59" s="81"/>
      <c r="N59" s="81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L60" s="80"/>
      <c r="M60" s="81"/>
      <c r="N60" s="81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L61" s="80"/>
      <c r="M61" s="81"/>
      <c r="N61" s="81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L62" s="80"/>
      <c r="M62" s="81"/>
      <c r="N62" s="81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L63" s="80"/>
      <c r="M63" s="81"/>
      <c r="N63" s="81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26000</v>
      </c>
      <c r="F64" s="87">
        <v>26000</v>
      </c>
      <c r="G64" s="87">
        <v>25000</v>
      </c>
      <c r="H64" s="87">
        <v>25000</v>
      </c>
      <c r="I64" s="87">
        <v>25000</v>
      </c>
      <c r="J64" s="50">
        <v>35000</v>
      </c>
      <c r="K64" s="71">
        <f t="shared" si="0"/>
        <v>27142.857142857141</v>
      </c>
      <c r="L64" s="80"/>
      <c r="M64" s="81"/>
      <c r="N64" s="81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27000</v>
      </c>
      <c r="F65" s="87">
        <v>30000</v>
      </c>
      <c r="G65" s="87">
        <v>26000</v>
      </c>
      <c r="H65" s="87">
        <v>25000</v>
      </c>
      <c r="I65" s="89">
        <v>20000</v>
      </c>
      <c r="J65" s="50" t="s">
        <v>95</v>
      </c>
      <c r="K65" s="71">
        <f t="shared" si="0"/>
        <v>26000</v>
      </c>
      <c r="L65" s="80"/>
      <c r="M65" s="81"/>
      <c r="N65" s="81"/>
    </row>
    <row r="66" spans="1:14" ht="15.75" x14ac:dyDescent="0.25">
      <c r="A66" s="115"/>
      <c r="B66" s="47" t="s">
        <v>58</v>
      </c>
      <c r="C66" s="6" t="s">
        <v>4</v>
      </c>
      <c r="D66" s="87">
        <v>26000</v>
      </c>
      <c r="E66" s="87">
        <v>27000</v>
      </c>
      <c r="F66" s="87">
        <v>34000</v>
      </c>
      <c r="G66" s="87">
        <v>30000</v>
      </c>
      <c r="H66" s="87">
        <v>35000</v>
      </c>
      <c r="I66" s="87">
        <v>22000</v>
      </c>
      <c r="J66" s="50">
        <v>38000</v>
      </c>
      <c r="K66" s="71">
        <f t="shared" si="0"/>
        <v>30285.714285714286</v>
      </c>
      <c r="L66" s="80"/>
      <c r="M66" s="81"/>
      <c r="N66" s="81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L67" s="80"/>
      <c r="M67" s="81"/>
      <c r="N67" s="81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L68" s="80"/>
      <c r="M68" s="81"/>
      <c r="N68" s="81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L69" s="80"/>
      <c r="M69" s="81"/>
      <c r="N69" s="81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36000</v>
      </c>
      <c r="G70" s="87">
        <v>34000</v>
      </c>
      <c r="H70" s="87">
        <v>35000</v>
      </c>
      <c r="I70" s="87">
        <v>35000</v>
      </c>
      <c r="J70" s="50">
        <v>37000</v>
      </c>
      <c r="K70" s="71">
        <f t="shared" si="0"/>
        <v>35000</v>
      </c>
      <c r="L70" s="80"/>
      <c r="M70" s="81"/>
      <c r="N70" s="81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32000</v>
      </c>
      <c r="I71" s="87">
        <v>30000</v>
      </c>
      <c r="J71" s="50">
        <v>35000</v>
      </c>
      <c r="K71" s="71">
        <f t="shared" si="0"/>
        <v>32285.714285714286</v>
      </c>
      <c r="L71" s="80"/>
      <c r="M71" s="81"/>
      <c r="N71" s="81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L72" s="80"/>
      <c r="M72" s="81"/>
      <c r="N72" s="81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27000</v>
      </c>
      <c r="L73" s="80"/>
      <c r="M73" s="81"/>
      <c r="N73" s="81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L74" s="80"/>
      <c r="M74" s="81"/>
      <c r="N74" s="81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L75" s="80"/>
      <c r="M75" s="81"/>
      <c r="N75" s="81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L76" s="80"/>
      <c r="M76" s="81"/>
      <c r="N76" s="81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L77" s="80"/>
      <c r="M77" s="81"/>
      <c r="N77" s="81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7428.5714285714284</v>
      </c>
      <c r="L78" s="80"/>
      <c r="M78" s="81"/>
      <c r="N78" s="81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L79" s="80"/>
      <c r="M79" s="81"/>
      <c r="N79" s="81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17000</v>
      </c>
      <c r="K80" s="71">
        <f t="shared" si="0"/>
        <v>16285.714285714286</v>
      </c>
      <c r="L80" s="80"/>
      <c r="M80" s="81"/>
      <c r="N80" s="81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6000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7714.2857142857147</v>
      </c>
      <c r="L81" s="80"/>
      <c r="M81" s="81"/>
      <c r="N81" s="81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L82" s="80"/>
      <c r="M82" s="81"/>
      <c r="N82" s="81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  <c r="L83" s="80"/>
      <c r="M83" s="80"/>
      <c r="N83" s="80"/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  <c r="L84" s="80"/>
      <c r="M84" s="80"/>
      <c r="N84" s="80"/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  <c r="L85" s="80"/>
      <c r="M85" s="80"/>
      <c r="N85" s="80"/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L86" s="80"/>
      <c r="M86" s="80"/>
      <c r="N86" s="80"/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L87" s="80"/>
      <c r="M87" s="80"/>
      <c r="N87" s="80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L88" s="80"/>
      <c r="M88" s="80"/>
      <c r="N88" s="80"/>
    </row>
    <row r="89" spans="1:14" ht="15.75" x14ac:dyDescent="0.25">
      <c r="A89" s="80"/>
      <c r="B89" s="80"/>
      <c r="C89" s="80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</row>
    <row r="90" spans="1:14" ht="15.75" x14ac:dyDescent="0.25">
      <c r="A90" s="80"/>
      <c r="B90" s="9"/>
      <c r="C90" s="80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</row>
    <row r="91" spans="1:14" ht="15.75" x14ac:dyDescent="0.25">
      <c r="A91" s="80"/>
      <c r="B91" s="80"/>
      <c r="C91" s="80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</row>
    <row r="92" spans="1:14" ht="15.75" x14ac:dyDescent="0.25">
      <c r="A92" s="81"/>
      <c r="B92" s="81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</row>
    <row r="93" spans="1:14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</row>
    <row r="94" spans="1:14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</row>
  </sheetData>
  <mergeCells count="28">
    <mergeCell ref="A63:A66"/>
    <mergeCell ref="A69:A73"/>
    <mergeCell ref="A26:A32"/>
    <mergeCell ref="A33:A35"/>
    <mergeCell ref="A43:A45"/>
    <mergeCell ref="A46:A48"/>
    <mergeCell ref="A52:A53"/>
    <mergeCell ref="A54:A55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16:A17"/>
    <mergeCell ref="A19:A20"/>
    <mergeCell ref="A21:A25"/>
    <mergeCell ref="A56:A60"/>
    <mergeCell ref="A7:A12"/>
    <mergeCell ref="A13:A15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D59-CBEC-4FAD-BCCF-7B5EF3850420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139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34000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35285.714285714283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34857.142857142855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22428.571428571428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26000</v>
      </c>
      <c r="F64" s="87">
        <v>24000</v>
      </c>
      <c r="G64" s="87">
        <v>25000</v>
      </c>
      <c r="H64" s="87">
        <v>25000</v>
      </c>
      <c r="I64" s="87">
        <v>25000</v>
      </c>
      <c r="J64" s="50">
        <v>30000</v>
      </c>
      <c r="K64" s="71">
        <f t="shared" si="0"/>
        <v>26142.857142857141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27000</v>
      </c>
      <c r="F65" s="87">
        <v>30000</v>
      </c>
      <c r="G65" s="87">
        <v>26000</v>
      </c>
      <c r="H65" s="87">
        <v>25000</v>
      </c>
      <c r="I65" s="89">
        <v>20000</v>
      </c>
      <c r="J65" s="50" t="s">
        <v>95</v>
      </c>
      <c r="K65" s="71">
        <f t="shared" si="0"/>
        <v>26000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26000</v>
      </c>
      <c r="E66" s="87">
        <v>27000</v>
      </c>
      <c r="F66" s="87">
        <v>34000</v>
      </c>
      <c r="G66" s="87">
        <v>28000</v>
      </c>
      <c r="H66" s="87">
        <v>35000</v>
      </c>
      <c r="I66" s="87">
        <v>35000</v>
      </c>
      <c r="J66" s="50">
        <v>38000</v>
      </c>
      <c r="K66" s="71">
        <f t="shared" si="0"/>
        <v>31857.142857142859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35000</v>
      </c>
      <c r="I70" s="87">
        <v>35000</v>
      </c>
      <c r="J70" s="50">
        <v>37000</v>
      </c>
      <c r="K70" s="71">
        <f t="shared" si="0"/>
        <v>34714.285714285717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32000</v>
      </c>
      <c r="I71" s="87">
        <v>30000</v>
      </c>
      <c r="J71" s="50">
        <v>35000</v>
      </c>
      <c r="K71" s="71">
        <f t="shared" si="0"/>
        <v>32285.714285714286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27000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17000</v>
      </c>
      <c r="K80" s="71">
        <f t="shared" si="0"/>
        <v>16285.714285714286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6000</v>
      </c>
      <c r="G81" s="87">
        <v>10000</v>
      </c>
      <c r="H81" s="87">
        <v>5000</v>
      </c>
      <c r="I81" s="89">
        <v>9000</v>
      </c>
      <c r="J81" s="50">
        <v>8000</v>
      </c>
      <c r="K81" s="71">
        <f t="shared" ref="K81:K88" si="1">AVERAGE(D81:J81)</f>
        <v>7714.2857142857147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BF0-D9FF-475A-8467-4CEBD086C04E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36000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35571.428571428572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34857.142857142855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25000</v>
      </c>
      <c r="K34" s="71">
        <f t="shared" si="0"/>
        <v>25000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22428.571428571428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25000</v>
      </c>
      <c r="F64" s="87">
        <v>26000</v>
      </c>
      <c r="G64" s="87">
        <v>26000</v>
      </c>
      <c r="H64" s="87">
        <v>20000</v>
      </c>
      <c r="I64" s="87">
        <v>26000</v>
      </c>
      <c r="J64" s="50">
        <v>35000</v>
      </c>
      <c r="K64" s="71">
        <f t="shared" si="0"/>
        <v>26000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25000</v>
      </c>
      <c r="F65" s="87">
        <v>25000</v>
      </c>
      <c r="G65" s="87">
        <v>26000</v>
      </c>
      <c r="H65" s="87">
        <v>20000</v>
      </c>
      <c r="I65" s="89">
        <v>20000</v>
      </c>
      <c r="J65" s="50" t="s">
        <v>95</v>
      </c>
      <c r="K65" s="71">
        <f t="shared" si="0"/>
        <v>24000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35000</v>
      </c>
      <c r="E66" s="87">
        <v>27000</v>
      </c>
      <c r="F66" s="87">
        <v>34000</v>
      </c>
      <c r="G66" s="87">
        <v>30000</v>
      </c>
      <c r="H66" s="87">
        <v>35000</v>
      </c>
      <c r="I66" s="87">
        <v>34000</v>
      </c>
      <c r="J66" s="50">
        <v>38000</v>
      </c>
      <c r="K66" s="71">
        <f t="shared" si="0"/>
        <v>33285.714285714283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34000</v>
      </c>
      <c r="I70" s="87">
        <v>35000</v>
      </c>
      <c r="J70" s="50">
        <v>35000</v>
      </c>
      <c r="K70" s="71">
        <f t="shared" si="0"/>
        <v>34428.571428571428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32000</v>
      </c>
      <c r="I71" s="87">
        <v>30000</v>
      </c>
      <c r="J71" s="50">
        <v>35000</v>
      </c>
      <c r="K71" s="71">
        <f t="shared" si="0"/>
        <v>32142.857142857141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27000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15000</v>
      </c>
      <c r="K80" s="71">
        <f t="shared" si="0"/>
        <v>16000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16000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12857.142857142857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8CE8-6657-4DB8-8684-DC765C7DF8BC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13900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13557.142857142857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35000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35428.571428571428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34571.428571428572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25000</v>
      </c>
      <c r="K34" s="71">
        <f t="shared" si="0"/>
        <v>25000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13500</v>
      </c>
      <c r="K58" s="71">
        <f t="shared" si="0"/>
        <v>13750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22428.571428571428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25000</v>
      </c>
      <c r="F64" s="87">
        <v>30000</v>
      </c>
      <c r="G64" s="87">
        <v>30000</v>
      </c>
      <c r="H64" s="87">
        <v>20000</v>
      </c>
      <c r="I64" s="87">
        <v>26000</v>
      </c>
      <c r="J64" s="50">
        <v>35000</v>
      </c>
      <c r="K64" s="71">
        <f t="shared" si="0"/>
        <v>27142.857142857141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25000</v>
      </c>
      <c r="F65" s="87">
        <v>25000</v>
      </c>
      <c r="G65" s="87">
        <v>26000</v>
      </c>
      <c r="H65" s="87">
        <v>20000</v>
      </c>
      <c r="I65" s="89">
        <v>20000</v>
      </c>
      <c r="J65" s="50" t="s">
        <v>95</v>
      </c>
      <c r="K65" s="71">
        <f t="shared" si="0"/>
        <v>24000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35000</v>
      </c>
      <c r="E66" s="87">
        <v>27000</v>
      </c>
      <c r="F66" s="87">
        <v>36000</v>
      </c>
      <c r="G66" s="87">
        <v>35000</v>
      </c>
      <c r="H66" s="87">
        <v>35000</v>
      </c>
      <c r="I66" s="87">
        <v>34000</v>
      </c>
      <c r="J66" s="50">
        <v>38000</v>
      </c>
      <c r="K66" s="71">
        <f t="shared" si="0"/>
        <v>34285.714285714283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35000</v>
      </c>
      <c r="H70" s="87">
        <v>34000</v>
      </c>
      <c r="I70" s="87">
        <v>35000</v>
      </c>
      <c r="J70" s="50">
        <v>35000</v>
      </c>
      <c r="K70" s="71">
        <f t="shared" si="0"/>
        <v>34571.428571428572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32000</v>
      </c>
      <c r="I71" s="87">
        <v>30000</v>
      </c>
      <c r="J71" s="50">
        <v>35000</v>
      </c>
      <c r="K71" s="71">
        <f t="shared" si="0"/>
        <v>32142.857142857141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27000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15000</v>
      </c>
      <c r="K80" s="71">
        <f t="shared" si="0"/>
        <v>16000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16000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12857.142857142857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2A62-A19F-4632-ADFC-14238581B244}">
  <dimension ref="A1:W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81"/>
      <c r="M1" s="81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1"/>
      <c r="M2" s="81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3" ht="27.75" customHeight="1" x14ac:dyDescent="0.25">
      <c r="A3" s="118" t="s">
        <v>142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81"/>
      <c r="M3" s="81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3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L4" s="80"/>
      <c r="M4" s="81"/>
      <c r="N4" s="81"/>
      <c r="O4" s="80"/>
      <c r="P4" s="80"/>
      <c r="Q4" s="80"/>
      <c r="R4" s="80"/>
      <c r="S4" s="80"/>
      <c r="T4" s="80"/>
      <c r="U4" s="80"/>
      <c r="V4" s="80"/>
      <c r="W4" s="80"/>
    </row>
    <row r="5" spans="1:23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L5" s="80"/>
      <c r="M5" s="81"/>
      <c r="N5" s="81"/>
      <c r="O5" s="80"/>
      <c r="P5" s="80"/>
      <c r="Q5" s="80"/>
      <c r="R5" s="80"/>
      <c r="S5" s="80"/>
      <c r="T5" s="80"/>
      <c r="U5" s="80"/>
      <c r="V5" s="80"/>
      <c r="W5" s="80"/>
    </row>
    <row r="6" spans="1:23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L6" s="80"/>
      <c r="M6" s="81"/>
      <c r="N6" s="81"/>
      <c r="O6" s="80"/>
      <c r="P6" s="80"/>
      <c r="Q6" s="80"/>
      <c r="R6" s="80"/>
      <c r="S6" s="80"/>
      <c r="T6" s="80"/>
      <c r="U6" s="80"/>
      <c r="V6" s="80"/>
      <c r="W6" s="80"/>
    </row>
    <row r="7" spans="1:23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L7" s="80"/>
      <c r="M7" s="81"/>
      <c r="N7" s="81"/>
      <c r="O7" s="80"/>
      <c r="P7" s="80"/>
      <c r="Q7" s="80"/>
      <c r="R7" s="80"/>
      <c r="S7" s="80"/>
      <c r="T7" s="80"/>
      <c r="U7" s="80"/>
      <c r="V7" s="80"/>
      <c r="W7" s="80"/>
    </row>
    <row r="8" spans="1:23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13000</v>
      </c>
      <c r="H8" s="87">
        <v>14000</v>
      </c>
      <c r="I8" s="87">
        <v>13000</v>
      </c>
      <c r="J8" s="88">
        <v>14000</v>
      </c>
      <c r="K8" s="71">
        <f>AVERAGE(D8:J8)</f>
        <v>13357.142857142857</v>
      </c>
      <c r="L8" s="84"/>
      <c r="M8" s="82"/>
      <c r="N8" s="81"/>
      <c r="O8" s="80"/>
      <c r="P8" s="80"/>
      <c r="Q8" s="80"/>
      <c r="R8" s="80"/>
      <c r="S8" s="80"/>
      <c r="T8" s="80"/>
      <c r="U8" s="80"/>
      <c r="V8" s="80"/>
      <c r="W8" s="80"/>
    </row>
    <row r="9" spans="1:23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10900</v>
      </c>
      <c r="J9" s="88" t="s">
        <v>95</v>
      </c>
      <c r="K9" s="71">
        <f t="shared" ref="K9:K80" si="0">AVERAGE(D9:J9)</f>
        <v>10900</v>
      </c>
      <c r="L9" s="80"/>
      <c r="M9" s="81"/>
      <c r="N9" s="81"/>
      <c r="O9" s="80"/>
      <c r="P9" s="80"/>
      <c r="Q9" s="80"/>
      <c r="R9" s="80"/>
      <c r="S9" s="80"/>
      <c r="T9" s="80"/>
      <c r="U9" s="80"/>
      <c r="V9" s="80"/>
      <c r="W9" s="80"/>
    </row>
    <row r="10" spans="1:23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L10" s="80"/>
      <c r="M10" s="81"/>
      <c r="N10" s="81"/>
      <c r="O10" s="80"/>
      <c r="P10" s="80"/>
      <c r="Q10" s="80"/>
      <c r="R10" s="80"/>
      <c r="S10" s="80"/>
      <c r="T10" s="80"/>
      <c r="U10" s="80"/>
      <c r="V10" s="80"/>
      <c r="W10" s="80"/>
    </row>
    <row r="11" spans="1:23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L11" s="80"/>
      <c r="M11" s="81"/>
      <c r="N11" s="81"/>
      <c r="O11" s="80"/>
      <c r="P11" s="80"/>
      <c r="Q11" s="80"/>
      <c r="R11" s="80"/>
      <c r="S11" s="80"/>
      <c r="T11" s="80"/>
      <c r="U11" s="80"/>
      <c r="V11" s="80"/>
      <c r="W11" s="80"/>
    </row>
    <row r="12" spans="1:23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L12" s="80"/>
      <c r="M12" s="81"/>
      <c r="N12" s="81"/>
      <c r="O12" s="80"/>
      <c r="P12" s="80"/>
      <c r="Q12" s="80"/>
      <c r="R12" s="80"/>
      <c r="S12" s="80"/>
      <c r="T12" s="80"/>
      <c r="U12" s="80"/>
      <c r="V12" s="80"/>
      <c r="W12" s="80"/>
    </row>
    <row r="13" spans="1:23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L13" s="80"/>
      <c r="M13" s="81"/>
      <c r="N13" s="81"/>
      <c r="O13" s="80"/>
      <c r="P13" s="80"/>
      <c r="Q13" s="80"/>
      <c r="R13" s="80"/>
      <c r="S13" s="80"/>
      <c r="T13" s="80"/>
      <c r="U13" s="80"/>
      <c r="V13" s="80"/>
      <c r="W13" s="80"/>
    </row>
    <row r="14" spans="1:23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L14" s="80"/>
      <c r="M14" s="81"/>
      <c r="N14" s="81"/>
      <c r="O14" s="80"/>
      <c r="P14" s="80"/>
      <c r="Q14" s="80"/>
      <c r="R14" s="80"/>
      <c r="S14" s="80"/>
      <c r="T14" s="80"/>
      <c r="U14" s="80"/>
      <c r="V14" s="80"/>
      <c r="W14" s="80"/>
    </row>
    <row r="15" spans="1:23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L15" s="80"/>
      <c r="M15" s="81"/>
      <c r="N15" s="81"/>
      <c r="O15" s="80"/>
      <c r="P15" s="80"/>
      <c r="Q15" s="80"/>
      <c r="R15" s="80"/>
      <c r="S15" s="80"/>
      <c r="T15" s="80"/>
      <c r="U15" s="80"/>
      <c r="V15" s="80"/>
      <c r="W15" s="80"/>
    </row>
    <row r="16" spans="1:23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80"/>
      <c r="M16" s="81"/>
      <c r="N16" s="81"/>
      <c r="O16" s="80"/>
      <c r="P16" s="80"/>
      <c r="Q16" s="80"/>
      <c r="R16" s="80"/>
      <c r="S16" s="80"/>
      <c r="T16" s="80"/>
      <c r="U16" s="80"/>
      <c r="V16" s="80"/>
      <c r="W16" s="80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L17" s="80"/>
      <c r="M17" s="81"/>
      <c r="N17" s="81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L18" s="80"/>
      <c r="M18" s="81"/>
      <c r="N18" s="81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L19" s="80"/>
      <c r="M19" s="81"/>
      <c r="N19" s="81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L20" s="80"/>
      <c r="M20" s="81"/>
      <c r="N20" s="81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L21" s="80"/>
      <c r="M21" s="81"/>
      <c r="N21" s="81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L22" s="80"/>
      <c r="M22" s="81"/>
      <c r="N22" s="81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L23" s="80"/>
      <c r="M23" s="81"/>
      <c r="N23" s="81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L24" s="80"/>
      <c r="M24" s="81"/>
      <c r="N24" s="81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34000</v>
      </c>
      <c r="G25" s="87">
        <v>35000</v>
      </c>
      <c r="H25" s="50">
        <v>36000</v>
      </c>
      <c r="I25" s="87">
        <v>35000</v>
      </c>
      <c r="J25" s="50">
        <v>37000</v>
      </c>
      <c r="K25" s="71">
        <f t="shared" si="0"/>
        <v>35285.714285714283</v>
      </c>
      <c r="L25" s="80"/>
      <c r="M25" s="81"/>
      <c r="N25" s="81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L26" s="80"/>
      <c r="M26" s="81"/>
      <c r="N26" s="81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L27" s="80"/>
      <c r="M27" s="81"/>
      <c r="N27" s="81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s="80"/>
      <c r="M28" s="81"/>
      <c r="N28" s="81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60000</v>
      </c>
      <c r="J29" s="53">
        <v>65000</v>
      </c>
      <c r="K29" s="71">
        <f t="shared" si="0"/>
        <v>63285.714285714283</v>
      </c>
      <c r="L29" s="80"/>
      <c r="M29" s="81"/>
      <c r="N29" s="81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L30" s="80"/>
      <c r="M30" s="81"/>
      <c r="N30" s="81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35000</v>
      </c>
      <c r="J31" s="50">
        <v>35000</v>
      </c>
      <c r="K31" s="71">
        <f t="shared" si="0"/>
        <v>34571.428571428572</v>
      </c>
      <c r="L31" s="80"/>
      <c r="M31" s="81"/>
      <c r="N31" s="81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L32" s="80"/>
      <c r="M32" s="81"/>
      <c r="N32" s="81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L33" s="80"/>
      <c r="M33" s="81"/>
      <c r="N33" s="81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25000</v>
      </c>
      <c r="K34" s="71">
        <f t="shared" si="0"/>
        <v>25000</v>
      </c>
      <c r="L34" s="80"/>
      <c r="M34" s="81"/>
      <c r="N34" s="81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L35" s="80"/>
      <c r="M35" s="81"/>
      <c r="N35" s="81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L36" s="80"/>
      <c r="M36" s="81"/>
      <c r="N36" s="81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L37" s="80"/>
      <c r="M37" s="81"/>
      <c r="N37" s="81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L38" s="80"/>
      <c r="M38" s="81"/>
      <c r="N38" s="81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L39" s="80"/>
      <c r="M39" s="81"/>
      <c r="N39" s="81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L40" s="80"/>
      <c r="M40" s="81"/>
      <c r="N40" s="81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L41" s="80"/>
      <c r="M41" s="81"/>
      <c r="N41" s="81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L42" s="80"/>
      <c r="M42" s="81"/>
      <c r="N42" s="81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L43" s="80"/>
      <c r="M43" s="81"/>
      <c r="N43" s="81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L44" s="80"/>
      <c r="M44" s="81"/>
      <c r="N44" s="81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L45" s="80"/>
      <c r="M45" s="81"/>
      <c r="N45" s="81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L46" s="80"/>
      <c r="M46" s="81"/>
      <c r="N46" s="81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L47" s="80"/>
      <c r="M47" s="81"/>
      <c r="N47" s="81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L48" s="80"/>
      <c r="M48" s="81"/>
      <c r="N48" s="81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L49" s="80"/>
      <c r="M49" s="81"/>
      <c r="N49" s="81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L50" s="80"/>
      <c r="M50" s="81"/>
      <c r="N50" s="81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 t="s">
        <v>95</v>
      </c>
      <c r="J51" s="50">
        <v>6000</v>
      </c>
      <c r="K51" s="71">
        <f t="shared" si="0"/>
        <v>8333.3333333333339</v>
      </c>
      <c r="L51" s="80"/>
      <c r="M51" s="81"/>
      <c r="N51" s="81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80"/>
      <c r="M52" s="81" t="s">
        <v>97</v>
      </c>
      <c r="N52" s="81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L53" s="80"/>
      <c r="M53" s="81"/>
      <c r="N53" s="83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L54" s="80"/>
      <c r="M54" s="81"/>
      <c r="N54" s="81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L55" s="80"/>
      <c r="M55" s="81"/>
      <c r="N55" s="81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L56" s="80"/>
      <c r="M56" s="81"/>
      <c r="N56" s="81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L57" s="80"/>
      <c r="M57" s="81"/>
      <c r="N57" s="81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L58" s="80"/>
      <c r="M58" s="81"/>
      <c r="N58" s="81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25000</v>
      </c>
      <c r="J59" s="50">
        <v>22000</v>
      </c>
      <c r="K59" s="71">
        <f t="shared" si="0"/>
        <v>22428.571428571428</v>
      </c>
      <c r="L59" s="80"/>
      <c r="M59" s="81"/>
      <c r="N59" s="81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L60" s="80"/>
      <c r="M60" s="81"/>
      <c r="N60" s="81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L61" s="80"/>
      <c r="M61" s="81"/>
      <c r="N61" s="81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L62" s="80"/>
      <c r="M62" s="81"/>
      <c r="N62" s="81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L63" s="80"/>
      <c r="M63" s="81"/>
      <c r="N63" s="81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27000</v>
      </c>
      <c r="F64" s="87">
        <v>27000</v>
      </c>
      <c r="G64" s="87">
        <v>28000</v>
      </c>
      <c r="H64" s="87">
        <v>25000</v>
      </c>
      <c r="I64" s="87">
        <v>26000</v>
      </c>
      <c r="J64" s="50">
        <v>30000</v>
      </c>
      <c r="K64" s="71">
        <f t="shared" si="0"/>
        <v>26714.285714285714</v>
      </c>
      <c r="L64" s="80"/>
      <c r="M64" s="81"/>
      <c r="N64" s="81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25000</v>
      </c>
      <c r="G65" s="87">
        <v>26000</v>
      </c>
      <c r="H65" s="87">
        <v>25000</v>
      </c>
      <c r="I65" s="89">
        <v>20000</v>
      </c>
      <c r="J65" s="50" t="s">
        <v>95</v>
      </c>
      <c r="K65" s="71">
        <f t="shared" si="0"/>
        <v>25000</v>
      </c>
      <c r="L65" s="80"/>
      <c r="M65" s="81"/>
      <c r="N65" s="81"/>
    </row>
    <row r="66" spans="1:14" ht="15.75" x14ac:dyDescent="0.25">
      <c r="A66" s="115"/>
      <c r="B66" s="47" t="s">
        <v>58</v>
      </c>
      <c r="C66" s="6" t="s">
        <v>4</v>
      </c>
      <c r="D66" s="87">
        <v>36000</v>
      </c>
      <c r="E66" s="87">
        <v>30000</v>
      </c>
      <c r="F66" s="87">
        <v>38000</v>
      </c>
      <c r="G66" s="87">
        <v>35000</v>
      </c>
      <c r="H66" s="87">
        <v>40000</v>
      </c>
      <c r="I66" s="87">
        <v>40000</v>
      </c>
      <c r="J66" s="50">
        <v>38000</v>
      </c>
      <c r="K66" s="71">
        <f t="shared" si="0"/>
        <v>36714.285714285717</v>
      </c>
      <c r="L66" s="80"/>
      <c r="M66" s="81"/>
      <c r="N66" s="81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L67" s="80"/>
      <c r="M67" s="81"/>
      <c r="N67" s="81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L68" s="80"/>
      <c r="M68" s="81"/>
      <c r="N68" s="81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L69" s="80"/>
      <c r="M69" s="81"/>
      <c r="N69" s="81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35000</v>
      </c>
      <c r="K70" s="71">
        <f t="shared" si="0"/>
        <v>34285.714285714283</v>
      </c>
      <c r="L70" s="80"/>
      <c r="M70" s="81"/>
      <c r="N70" s="81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31000</v>
      </c>
      <c r="I71" s="87">
        <v>30000</v>
      </c>
      <c r="J71" s="50">
        <v>35000</v>
      </c>
      <c r="K71" s="71">
        <f t="shared" si="0"/>
        <v>32000</v>
      </c>
      <c r="L71" s="80"/>
      <c r="M71" s="81"/>
      <c r="N71" s="81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L72" s="80"/>
      <c r="M72" s="81"/>
      <c r="N72" s="81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24000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27000</v>
      </c>
      <c r="L73" s="80"/>
      <c r="M73" s="81"/>
      <c r="N73" s="81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L74" s="80"/>
      <c r="M74" s="81"/>
      <c r="N74" s="81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L75" s="80"/>
      <c r="M75" s="81"/>
      <c r="N75" s="81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L76" s="80"/>
      <c r="M76" s="81"/>
      <c r="N76" s="81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L77" s="80"/>
      <c r="M77" s="81"/>
      <c r="N77" s="81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7000</v>
      </c>
      <c r="J78" s="50">
        <v>6000</v>
      </c>
      <c r="K78" s="71">
        <f t="shared" si="0"/>
        <v>7428.5714285714284</v>
      </c>
      <c r="L78" s="80"/>
      <c r="M78" s="81"/>
      <c r="N78" s="81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L79" s="80"/>
      <c r="M79" s="81"/>
      <c r="N79" s="81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18000</v>
      </c>
      <c r="J80" s="50">
        <v>15000</v>
      </c>
      <c r="K80" s="71">
        <f t="shared" si="0"/>
        <v>16000</v>
      </c>
      <c r="L80" s="80"/>
      <c r="M80" s="81"/>
      <c r="N80" s="81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L81" s="80"/>
      <c r="M81" s="81"/>
      <c r="N81" s="81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16000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12857.142857142857</v>
      </c>
      <c r="L82" s="80"/>
      <c r="M82" s="81"/>
      <c r="N82" s="81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8000</v>
      </c>
      <c r="J83" s="50">
        <v>8000</v>
      </c>
      <c r="K83" s="71">
        <f t="shared" si="1"/>
        <v>8285.7142857142862</v>
      </c>
      <c r="L83" s="80"/>
      <c r="M83" s="80"/>
      <c r="N83" s="80"/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  <c r="L84" s="80"/>
      <c r="M84" s="80"/>
      <c r="N84" s="80"/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  <c r="L85" s="80"/>
      <c r="M85" s="80"/>
      <c r="N85" s="80"/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L86" s="80"/>
      <c r="M86" s="80"/>
      <c r="N86" s="80"/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L87" s="80"/>
      <c r="M87" s="80"/>
      <c r="N87" s="80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L88" s="80"/>
      <c r="M88" s="80"/>
      <c r="N88" s="80"/>
    </row>
    <row r="89" spans="1:14" ht="15.75" x14ac:dyDescent="0.25">
      <c r="A89" s="80"/>
      <c r="B89" s="80"/>
      <c r="C89" s="80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</row>
    <row r="90" spans="1:14" ht="15.75" x14ac:dyDescent="0.25">
      <c r="A90" s="80"/>
      <c r="B90" s="9"/>
      <c r="C90" s="80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</row>
    <row r="91" spans="1:14" ht="15.75" x14ac:dyDescent="0.25">
      <c r="A91" s="80"/>
      <c r="B91" s="80"/>
      <c r="C91" s="80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</row>
    <row r="92" spans="1:14" ht="15.75" x14ac:dyDescent="0.25">
      <c r="A92" s="81"/>
      <c r="B92" s="81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</row>
    <row r="93" spans="1:14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</row>
    <row r="94" spans="1:14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</row>
  </sheetData>
  <mergeCells count="28">
    <mergeCell ref="A16:A17"/>
    <mergeCell ref="A19:A20"/>
    <mergeCell ref="A21:A25"/>
    <mergeCell ref="A56:A60"/>
    <mergeCell ref="A7:A12"/>
    <mergeCell ref="A13:A15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63:A66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65CE-64A7-457C-B0C0-726522C0B16A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13000</v>
      </c>
      <c r="F8" s="87">
        <v>13500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13571.428571428571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34000</v>
      </c>
      <c r="G25" s="87">
        <v>35000</v>
      </c>
      <c r="H25" s="50">
        <v>36000</v>
      </c>
      <c r="I25" s="87">
        <v>34000</v>
      </c>
      <c r="J25" s="50">
        <v>37000</v>
      </c>
      <c r="K25" s="71">
        <f t="shared" si="0"/>
        <v>35142.857142857145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60000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64428.571428571428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38000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25000</v>
      </c>
      <c r="K34" s="71">
        <f t="shared" si="0"/>
        <v>25000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28000</v>
      </c>
      <c r="F64" s="87">
        <v>22000</v>
      </c>
      <c r="G64" s="87">
        <v>28000</v>
      </c>
      <c r="H64" s="87">
        <v>25000</v>
      </c>
      <c r="I64" s="87">
        <v>22000</v>
      </c>
      <c r="J64" s="50">
        <v>30000</v>
      </c>
      <c r="K64" s="71">
        <f t="shared" si="0"/>
        <v>25571.428571428572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25000</v>
      </c>
      <c r="G65" s="87">
        <v>26000</v>
      </c>
      <c r="H65" s="87">
        <v>25000</v>
      </c>
      <c r="I65" s="89">
        <v>25000</v>
      </c>
      <c r="J65" s="50" t="s">
        <v>95</v>
      </c>
      <c r="K65" s="71">
        <f t="shared" si="0"/>
        <v>25833.333333333332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36000</v>
      </c>
      <c r="E66" s="87">
        <v>32000</v>
      </c>
      <c r="F66" s="87">
        <v>40000</v>
      </c>
      <c r="G66" s="87">
        <v>35000</v>
      </c>
      <c r="H66" s="87">
        <v>40000</v>
      </c>
      <c r="I66" s="87">
        <v>40000</v>
      </c>
      <c r="J66" s="50">
        <v>40000</v>
      </c>
      <c r="K66" s="71">
        <f t="shared" si="0"/>
        <v>37571.428571428572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35000</v>
      </c>
      <c r="K70" s="71">
        <f t="shared" si="0"/>
        <v>34285.714285714283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31000</v>
      </c>
      <c r="I71" s="87">
        <v>33000</v>
      </c>
      <c r="J71" s="50">
        <v>32000</v>
      </c>
      <c r="K71" s="71">
        <f t="shared" si="0"/>
        <v>32142.857142857141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16000</v>
      </c>
      <c r="J80" s="50">
        <v>15000</v>
      </c>
      <c r="K80" s="71">
        <f t="shared" si="0"/>
        <v>15714.285714285714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1500</v>
      </c>
      <c r="J84" s="53">
        <v>1000</v>
      </c>
      <c r="K84" s="71">
        <f t="shared" si="1"/>
        <v>1571.4285714285713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470C-11B2-47BF-9B22-15C11A93D99A}">
  <dimension ref="A1:W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81"/>
      <c r="M1" s="81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1"/>
      <c r="M2" s="81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3" ht="27.75" customHeight="1" x14ac:dyDescent="0.25">
      <c r="A3" s="118" t="s">
        <v>144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81"/>
      <c r="M3" s="81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3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L4" s="80"/>
      <c r="M4" s="81"/>
      <c r="N4" s="81"/>
      <c r="O4" s="80"/>
      <c r="P4" s="80"/>
      <c r="Q4" s="80"/>
      <c r="R4" s="80"/>
      <c r="S4" s="80"/>
      <c r="T4" s="80"/>
      <c r="U4" s="80"/>
      <c r="V4" s="80"/>
      <c r="W4" s="80"/>
    </row>
    <row r="5" spans="1:23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L5" s="80"/>
      <c r="M5" s="81"/>
      <c r="N5" s="81"/>
      <c r="O5" s="80"/>
      <c r="P5" s="80"/>
      <c r="Q5" s="80"/>
      <c r="R5" s="80"/>
      <c r="S5" s="80"/>
      <c r="T5" s="80"/>
      <c r="U5" s="80"/>
      <c r="V5" s="80"/>
      <c r="W5" s="80"/>
    </row>
    <row r="6" spans="1:23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L6" s="80"/>
      <c r="M6" s="81"/>
      <c r="N6" s="81"/>
      <c r="O6" s="80"/>
      <c r="P6" s="80"/>
      <c r="Q6" s="80"/>
      <c r="R6" s="80"/>
      <c r="S6" s="80"/>
      <c r="T6" s="80"/>
      <c r="U6" s="80"/>
      <c r="V6" s="80"/>
      <c r="W6" s="80"/>
    </row>
    <row r="7" spans="1:23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L7" s="80"/>
      <c r="M7" s="81"/>
      <c r="N7" s="81"/>
      <c r="O7" s="80"/>
      <c r="P7" s="80"/>
      <c r="Q7" s="80"/>
      <c r="R7" s="80"/>
      <c r="S7" s="80"/>
      <c r="T7" s="80"/>
      <c r="U7" s="80"/>
      <c r="V7" s="80"/>
      <c r="W7" s="80"/>
    </row>
    <row r="8" spans="1:23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13500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13642.857142857143</v>
      </c>
      <c r="L8" s="84"/>
      <c r="M8" s="82"/>
      <c r="N8" s="81"/>
      <c r="O8" s="80"/>
      <c r="P8" s="80"/>
      <c r="Q8" s="80"/>
      <c r="R8" s="80"/>
      <c r="S8" s="80"/>
      <c r="T8" s="80"/>
      <c r="U8" s="80"/>
      <c r="V8" s="80"/>
      <c r="W8" s="80"/>
    </row>
    <row r="9" spans="1:23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10916.666666666666</v>
      </c>
      <c r="L9" s="80"/>
      <c r="M9" s="81"/>
      <c r="N9" s="81"/>
      <c r="O9" s="80"/>
      <c r="P9" s="80"/>
      <c r="Q9" s="80"/>
      <c r="R9" s="80"/>
      <c r="S9" s="80"/>
      <c r="T9" s="80"/>
      <c r="U9" s="80"/>
      <c r="V9" s="80"/>
      <c r="W9" s="80"/>
    </row>
    <row r="10" spans="1:23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L10" s="80"/>
      <c r="M10" s="81"/>
      <c r="N10" s="81"/>
      <c r="O10" s="80"/>
      <c r="P10" s="80"/>
      <c r="Q10" s="80"/>
      <c r="R10" s="80"/>
      <c r="S10" s="80"/>
      <c r="T10" s="80"/>
      <c r="U10" s="80"/>
      <c r="V10" s="80"/>
      <c r="W10" s="80"/>
    </row>
    <row r="11" spans="1:23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L11" s="80"/>
      <c r="M11" s="81"/>
      <c r="N11" s="81"/>
      <c r="O11" s="80"/>
      <c r="P11" s="80"/>
      <c r="Q11" s="80"/>
      <c r="R11" s="80"/>
      <c r="S11" s="80"/>
      <c r="T11" s="80"/>
      <c r="U11" s="80"/>
      <c r="V11" s="80"/>
      <c r="W11" s="80"/>
    </row>
    <row r="12" spans="1:23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L12" s="80"/>
      <c r="M12" s="81"/>
      <c r="N12" s="81"/>
      <c r="O12" s="80"/>
      <c r="P12" s="80"/>
      <c r="Q12" s="80"/>
      <c r="R12" s="80"/>
      <c r="S12" s="80"/>
      <c r="T12" s="80"/>
      <c r="U12" s="80"/>
      <c r="V12" s="80"/>
      <c r="W12" s="80"/>
    </row>
    <row r="13" spans="1:23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L13" s="80"/>
      <c r="M13" s="81"/>
      <c r="N13" s="81"/>
      <c r="O13" s="80"/>
      <c r="P13" s="80"/>
      <c r="Q13" s="80"/>
      <c r="R13" s="80"/>
      <c r="S13" s="80"/>
      <c r="T13" s="80"/>
      <c r="U13" s="80"/>
      <c r="V13" s="80"/>
      <c r="W13" s="80"/>
    </row>
    <row r="14" spans="1:23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L14" s="80"/>
      <c r="M14" s="81"/>
      <c r="N14" s="81"/>
      <c r="O14" s="80"/>
      <c r="P14" s="80"/>
      <c r="Q14" s="80"/>
      <c r="R14" s="80"/>
      <c r="S14" s="80"/>
      <c r="T14" s="80"/>
      <c r="U14" s="80"/>
      <c r="V14" s="80"/>
      <c r="W14" s="80"/>
    </row>
    <row r="15" spans="1:23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L15" s="80"/>
      <c r="M15" s="81"/>
      <c r="N15" s="81"/>
      <c r="O15" s="80"/>
      <c r="P15" s="80"/>
      <c r="Q15" s="80"/>
      <c r="R15" s="80"/>
      <c r="S15" s="80"/>
      <c r="T15" s="80"/>
      <c r="U15" s="80"/>
      <c r="V15" s="80"/>
      <c r="W15" s="80"/>
    </row>
    <row r="16" spans="1:23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80"/>
      <c r="M16" s="81"/>
      <c r="N16" s="81"/>
      <c r="O16" s="80"/>
      <c r="P16" s="80"/>
      <c r="Q16" s="80"/>
      <c r="R16" s="80"/>
      <c r="S16" s="80"/>
      <c r="T16" s="80"/>
      <c r="U16" s="80"/>
      <c r="V16" s="80"/>
      <c r="W16" s="80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L17" s="80"/>
      <c r="M17" s="81"/>
      <c r="N17" s="81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L18" s="80"/>
      <c r="M18" s="81"/>
      <c r="N18" s="81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L19" s="80"/>
      <c r="M19" s="81"/>
      <c r="N19" s="81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L20" s="80"/>
      <c r="M20" s="81"/>
      <c r="N20" s="81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L21" s="80"/>
      <c r="M21" s="81"/>
      <c r="N21" s="81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L22" s="80"/>
      <c r="M22" s="81"/>
      <c r="N22" s="81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L23" s="80"/>
      <c r="M23" s="81"/>
      <c r="N23" s="81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L24" s="80"/>
      <c r="M24" s="81"/>
      <c r="N24" s="81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37000</v>
      </c>
      <c r="K25" s="71">
        <f t="shared" si="0"/>
        <v>35285.714285714283</v>
      </c>
      <c r="L25" s="80"/>
      <c r="M25" s="81"/>
      <c r="N25" s="81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L26" s="80"/>
      <c r="M26" s="81"/>
      <c r="N26" s="81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L27" s="80"/>
      <c r="M27" s="81"/>
      <c r="N27" s="81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L28" s="80"/>
      <c r="M28" s="81"/>
      <c r="N28" s="81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L29" s="80"/>
      <c r="M29" s="81"/>
      <c r="N29" s="81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L30" s="80"/>
      <c r="M30" s="81"/>
      <c r="N30" s="81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L31" s="80"/>
      <c r="M31" s="81"/>
      <c r="N31" s="81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L32" s="80"/>
      <c r="M32" s="81"/>
      <c r="N32" s="81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L33" s="80"/>
      <c r="M33" s="81"/>
      <c r="N33" s="81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24500</v>
      </c>
      <c r="K34" s="71">
        <f t="shared" si="0"/>
        <v>24928.571428571428</v>
      </c>
      <c r="L34" s="80"/>
      <c r="M34" s="81"/>
      <c r="N34" s="81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L35" s="80"/>
      <c r="M35" s="81"/>
      <c r="N35" s="81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L36" s="80"/>
      <c r="M36" s="81"/>
      <c r="N36" s="81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L37" s="80"/>
      <c r="M37" s="81"/>
      <c r="N37" s="81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L38" s="80"/>
      <c r="M38" s="81"/>
      <c r="N38" s="81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L39" s="80"/>
      <c r="M39" s="81"/>
      <c r="N39" s="81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L40" s="80"/>
      <c r="M40" s="81"/>
      <c r="N40" s="81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L41" s="80"/>
      <c r="M41" s="81"/>
      <c r="N41" s="81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L42" s="80"/>
      <c r="M42" s="81"/>
      <c r="N42" s="81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L43" s="80"/>
      <c r="M43" s="81"/>
      <c r="N43" s="81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L44" s="80"/>
      <c r="M44" s="81"/>
      <c r="N44" s="81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L45" s="80"/>
      <c r="M45" s="81"/>
      <c r="N45" s="81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L46" s="80"/>
      <c r="M46" s="81"/>
      <c r="N46" s="81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L47" s="80"/>
      <c r="M47" s="81"/>
      <c r="N47" s="81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L48" s="80"/>
      <c r="M48" s="81"/>
      <c r="N48" s="81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L49" s="80"/>
      <c r="M49" s="81"/>
      <c r="N49" s="81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L50" s="80"/>
      <c r="M50" s="81"/>
      <c r="N50" s="81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L51" s="80"/>
      <c r="M51" s="81"/>
      <c r="N51" s="81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80"/>
      <c r="M52" s="81" t="s">
        <v>97</v>
      </c>
      <c r="N52" s="81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L53" s="80"/>
      <c r="M53" s="81"/>
      <c r="N53" s="83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L54" s="80"/>
      <c r="M54" s="81"/>
      <c r="N54" s="81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L55" s="80"/>
      <c r="M55" s="81"/>
      <c r="N55" s="81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L56" s="80"/>
      <c r="M56" s="81"/>
      <c r="N56" s="81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L57" s="80"/>
      <c r="M57" s="81"/>
      <c r="N57" s="81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L58" s="80"/>
      <c r="M58" s="81"/>
      <c r="N58" s="81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L59" s="80"/>
      <c r="M59" s="81"/>
      <c r="N59" s="81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L60" s="80"/>
      <c r="M60" s="81"/>
      <c r="N60" s="81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L61" s="80"/>
      <c r="M61" s="81"/>
      <c r="N61" s="81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L62" s="80"/>
      <c r="M62" s="81"/>
      <c r="N62" s="81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L63" s="80"/>
      <c r="M63" s="81"/>
      <c r="N63" s="81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28000</v>
      </c>
      <c r="F64" s="87">
        <v>22000</v>
      </c>
      <c r="G64" s="87">
        <v>28000</v>
      </c>
      <c r="H64" s="87">
        <v>25000</v>
      </c>
      <c r="I64" s="87">
        <v>22000</v>
      </c>
      <c r="J64" s="50">
        <v>30000</v>
      </c>
      <c r="K64" s="71">
        <f t="shared" si="0"/>
        <v>25571.428571428572</v>
      </c>
      <c r="L64" s="80"/>
      <c r="M64" s="81"/>
      <c r="N64" s="81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25000</v>
      </c>
      <c r="G65" s="87">
        <v>26000</v>
      </c>
      <c r="H65" s="87">
        <v>25000</v>
      </c>
      <c r="I65" s="89">
        <v>25000</v>
      </c>
      <c r="J65" s="50" t="s">
        <v>95</v>
      </c>
      <c r="K65" s="71">
        <f t="shared" si="0"/>
        <v>25833.333333333332</v>
      </c>
      <c r="L65" s="80"/>
      <c r="M65" s="81"/>
      <c r="N65" s="81"/>
    </row>
    <row r="66" spans="1:14" ht="15.75" x14ac:dyDescent="0.25">
      <c r="A66" s="115"/>
      <c r="B66" s="47" t="s">
        <v>58</v>
      </c>
      <c r="C66" s="6" t="s">
        <v>4</v>
      </c>
      <c r="D66" s="87">
        <v>36000</v>
      </c>
      <c r="E66" s="87">
        <v>32000</v>
      </c>
      <c r="F66" s="87">
        <v>40000</v>
      </c>
      <c r="G66" s="87">
        <v>35000</v>
      </c>
      <c r="H66" s="87">
        <v>40000</v>
      </c>
      <c r="I66" s="87">
        <v>40000</v>
      </c>
      <c r="J66" s="50">
        <v>40000</v>
      </c>
      <c r="K66" s="71">
        <f t="shared" si="0"/>
        <v>37571.428571428572</v>
      </c>
      <c r="L66" s="80"/>
      <c r="M66" s="81"/>
      <c r="N66" s="81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L67" s="80"/>
      <c r="M67" s="81"/>
      <c r="N67" s="81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L68" s="80"/>
      <c r="M68" s="81"/>
      <c r="N68" s="81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L69" s="80"/>
      <c r="M69" s="81"/>
      <c r="N69" s="81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35000</v>
      </c>
      <c r="K70" s="71">
        <f t="shared" si="0"/>
        <v>34285.714285714283</v>
      </c>
      <c r="L70" s="80"/>
      <c r="M70" s="81"/>
      <c r="N70" s="81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31000</v>
      </c>
      <c r="I71" s="87">
        <v>33000</v>
      </c>
      <c r="J71" s="50">
        <v>32000</v>
      </c>
      <c r="K71" s="71">
        <f t="shared" si="0"/>
        <v>32142.857142857141</v>
      </c>
      <c r="L71" s="80"/>
      <c r="M71" s="81"/>
      <c r="N71" s="81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L72" s="80"/>
      <c r="M72" s="81"/>
      <c r="N72" s="81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L73" s="80"/>
      <c r="M73" s="81"/>
      <c r="N73" s="81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L74" s="80"/>
      <c r="M74" s="81"/>
      <c r="N74" s="81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L75" s="80"/>
      <c r="M75" s="81"/>
      <c r="N75" s="81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L76" s="80"/>
      <c r="M76" s="81"/>
      <c r="N76" s="81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L77" s="80"/>
      <c r="M77" s="81"/>
      <c r="N77" s="81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L78" s="80"/>
      <c r="M78" s="81"/>
      <c r="N78" s="81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12000</v>
      </c>
      <c r="H79" s="87">
        <v>10000</v>
      </c>
      <c r="I79" s="88">
        <v>12000</v>
      </c>
      <c r="J79" s="50">
        <v>14000</v>
      </c>
      <c r="K79" s="71">
        <f t="shared" si="0"/>
        <v>12285.714285714286</v>
      </c>
      <c r="L79" s="80"/>
      <c r="M79" s="81"/>
      <c r="N79" s="81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16000</v>
      </c>
      <c r="J80" s="50">
        <v>15000</v>
      </c>
      <c r="K80" s="71">
        <f t="shared" si="0"/>
        <v>15714.285714285714</v>
      </c>
      <c r="L80" s="80"/>
      <c r="M80" s="81"/>
      <c r="N80" s="81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L81" s="80"/>
      <c r="M81" s="81"/>
      <c r="N81" s="81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L82" s="80"/>
      <c r="M82" s="81"/>
      <c r="N82" s="81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  <c r="L83" s="80"/>
      <c r="M83" s="80"/>
      <c r="N83" s="80"/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1500</v>
      </c>
      <c r="J84" s="53">
        <v>1000</v>
      </c>
      <c r="K84" s="71">
        <f t="shared" si="1"/>
        <v>1571.4285714285713</v>
      </c>
      <c r="L84" s="80"/>
      <c r="M84" s="80"/>
      <c r="N84" s="80"/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 t="s">
        <v>1</v>
      </c>
      <c r="J85" s="53">
        <v>1000</v>
      </c>
      <c r="K85" s="71">
        <f t="shared" si="1"/>
        <v>1500</v>
      </c>
      <c r="L85" s="80"/>
      <c r="M85" s="80"/>
      <c r="N85" s="80"/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  <c r="L86" s="80"/>
      <c r="M86" s="80"/>
      <c r="N86" s="80"/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  <c r="L87" s="80"/>
      <c r="M87" s="80"/>
      <c r="N87" s="80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  <c r="L88" s="80"/>
      <c r="M88" s="80"/>
      <c r="N88" s="80"/>
    </row>
    <row r="89" spans="1:14" ht="15.75" x14ac:dyDescent="0.25">
      <c r="A89" s="80"/>
      <c r="B89" s="80"/>
      <c r="C89" s="80"/>
      <c r="D89" s="81"/>
      <c r="E89" s="81"/>
      <c r="F89" s="80"/>
      <c r="G89" s="80"/>
      <c r="H89" s="80"/>
      <c r="I89" s="80"/>
      <c r="J89" s="80"/>
      <c r="K89" s="80"/>
      <c r="L89" s="80"/>
      <c r="M89" s="80"/>
      <c r="N89" s="80"/>
    </row>
    <row r="90" spans="1:14" ht="15.75" x14ac:dyDescent="0.25">
      <c r="A90" s="80"/>
      <c r="B90" s="9"/>
      <c r="C90" s="80"/>
      <c r="D90" s="81"/>
      <c r="E90" s="81"/>
      <c r="F90" s="80"/>
      <c r="G90" s="80"/>
      <c r="H90" s="80"/>
      <c r="I90" s="80"/>
      <c r="J90" s="80"/>
      <c r="K90" s="80"/>
      <c r="L90" s="80"/>
      <c r="M90" s="80"/>
      <c r="N90" s="80"/>
    </row>
    <row r="91" spans="1:14" ht="15.75" x14ac:dyDescent="0.25">
      <c r="A91" s="80"/>
      <c r="B91" s="80"/>
      <c r="C91" s="80"/>
      <c r="D91" s="81"/>
      <c r="E91" s="81"/>
      <c r="F91" s="80"/>
      <c r="G91" s="80"/>
      <c r="H91" s="80"/>
      <c r="I91" s="80"/>
      <c r="J91" s="80"/>
      <c r="K91" s="80"/>
      <c r="L91" s="80"/>
      <c r="M91" s="80"/>
      <c r="N91" s="80"/>
    </row>
    <row r="92" spans="1:14" ht="15.75" x14ac:dyDescent="0.25">
      <c r="A92" s="81"/>
      <c r="B92" s="81"/>
      <c r="C92" s="81"/>
      <c r="D92" s="81"/>
      <c r="E92" s="81"/>
      <c r="F92" s="80"/>
      <c r="G92" s="80"/>
      <c r="H92" s="80"/>
      <c r="I92" s="80"/>
      <c r="J92" s="80"/>
      <c r="K92" s="80"/>
      <c r="L92" s="80"/>
      <c r="M92" s="80"/>
      <c r="N92" s="80"/>
    </row>
    <row r="93" spans="1:14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</row>
    <row r="94" spans="1:14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</row>
  </sheetData>
  <mergeCells count="28">
    <mergeCell ref="A16:A17"/>
    <mergeCell ref="A19:A20"/>
    <mergeCell ref="A21:A25"/>
    <mergeCell ref="A56:A60"/>
    <mergeCell ref="A7:A12"/>
    <mergeCell ref="A13:A15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63:A66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4667-8614-410A-A44F-1877B603EB15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 t="s">
        <v>95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20500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37000</v>
      </c>
      <c r="K25" s="71">
        <f t="shared" si="0"/>
        <v>35285.714285714283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24500</v>
      </c>
      <c r="K34" s="71">
        <f t="shared" si="0"/>
        <v>24928.571428571428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28000</v>
      </c>
      <c r="F64" s="87">
        <v>24000</v>
      </c>
      <c r="G64" s="87">
        <v>25000</v>
      </c>
      <c r="H64" s="87">
        <v>25000</v>
      </c>
      <c r="I64" s="87">
        <v>22000</v>
      </c>
      <c r="J64" s="50">
        <v>30000</v>
      </c>
      <c r="K64" s="71">
        <f t="shared" si="0"/>
        <v>25428.571428571428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25000</v>
      </c>
      <c r="G65" s="87">
        <v>28000</v>
      </c>
      <c r="H65" s="87">
        <v>25000</v>
      </c>
      <c r="I65" s="89">
        <v>25000</v>
      </c>
      <c r="J65" s="50" t="s">
        <v>95</v>
      </c>
      <c r="K65" s="71">
        <f t="shared" si="0"/>
        <v>26166.666666666668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36000</v>
      </c>
      <c r="E66" s="87">
        <v>32000</v>
      </c>
      <c r="F66" s="87">
        <v>40000</v>
      </c>
      <c r="G66" s="87">
        <v>35000</v>
      </c>
      <c r="H66" s="87">
        <v>40000</v>
      </c>
      <c r="I66" s="87">
        <v>40000</v>
      </c>
      <c r="J66" s="50">
        <v>40000</v>
      </c>
      <c r="K66" s="71">
        <f t="shared" si="0"/>
        <v>37571.428571428572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35000</v>
      </c>
      <c r="K70" s="71">
        <f t="shared" si="0"/>
        <v>34285.714285714283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31000</v>
      </c>
      <c r="I71" s="87">
        <v>33000</v>
      </c>
      <c r="J71" s="50">
        <v>32000</v>
      </c>
      <c r="K71" s="71">
        <f t="shared" si="0"/>
        <v>32142.857142857141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14000</v>
      </c>
      <c r="K79" s="71">
        <f t="shared" si="0"/>
        <v>12428.571428571429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16000</v>
      </c>
      <c r="J80" s="50">
        <v>15000</v>
      </c>
      <c r="K80" s="71">
        <f t="shared" si="0"/>
        <v>15714.285714285714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 t="s">
        <v>127</v>
      </c>
      <c r="D90" s="2"/>
      <c r="E90" s="2"/>
      <c r="F90"/>
      <c r="G90"/>
      <c r="H90"/>
      <c r="I90"/>
      <c r="J90"/>
      <c r="K90"/>
    </row>
    <row r="91" spans="1:14" ht="15.75" x14ac:dyDescent="0.25">
      <c r="B91" t="s">
        <v>128</v>
      </c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 t="s">
        <v>129</v>
      </c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C763-F367-4A77-8AF3-AC22967964D7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/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37000</v>
      </c>
      <c r="K25" s="71">
        <f t="shared" si="0"/>
        <v>35285.714285714283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24500</v>
      </c>
      <c r="K34" s="71">
        <f t="shared" si="0"/>
        <v>24928.571428571428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24000</v>
      </c>
      <c r="E64" s="87">
        <v>28000</v>
      </c>
      <c r="F64" s="87">
        <v>24000</v>
      </c>
      <c r="G64" s="87">
        <v>25000</v>
      </c>
      <c r="H64" s="87">
        <v>25000</v>
      </c>
      <c r="I64" s="87">
        <v>22000</v>
      </c>
      <c r="J64" s="50">
        <v>30000</v>
      </c>
      <c r="K64" s="71">
        <f t="shared" si="0"/>
        <v>25428.571428571428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25000</v>
      </c>
      <c r="G65" s="87">
        <v>28000</v>
      </c>
      <c r="H65" s="87">
        <v>25000</v>
      </c>
      <c r="I65" s="89">
        <v>25000</v>
      </c>
      <c r="J65" s="50" t="s">
        <v>95</v>
      </c>
      <c r="K65" s="71">
        <f t="shared" si="0"/>
        <v>26166.666666666668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36000</v>
      </c>
      <c r="E66" s="87">
        <v>35000</v>
      </c>
      <c r="F66" s="87">
        <v>41000</v>
      </c>
      <c r="G66" s="87">
        <v>35000</v>
      </c>
      <c r="H66" s="87">
        <v>40000</v>
      </c>
      <c r="I66" s="87">
        <v>40000</v>
      </c>
      <c r="J66" s="50">
        <v>40000</v>
      </c>
      <c r="K66" s="71">
        <f t="shared" si="0"/>
        <v>38142.857142857145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35000</v>
      </c>
      <c r="K70" s="71">
        <f t="shared" si="0"/>
        <v>34285.714285714283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31000</v>
      </c>
      <c r="I71" s="87">
        <v>33000</v>
      </c>
      <c r="J71" s="50">
        <v>32000</v>
      </c>
      <c r="K71" s="71">
        <f t="shared" si="0"/>
        <v>32000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14000</v>
      </c>
      <c r="K79" s="71">
        <f t="shared" si="0"/>
        <v>12428.571428571429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17000</v>
      </c>
      <c r="H80" s="87">
        <v>15000</v>
      </c>
      <c r="I80" s="87">
        <v>16000</v>
      </c>
      <c r="J80" s="50">
        <v>15000</v>
      </c>
      <c r="K80" s="71">
        <f t="shared" si="0"/>
        <v>15714.285714285714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1000</v>
      </c>
      <c r="K84" s="71">
        <f t="shared" si="1"/>
        <v>1642.8571428571429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 t="s">
        <v>127</v>
      </c>
      <c r="D90" s="2"/>
      <c r="E90" s="2"/>
      <c r="F90"/>
      <c r="G90"/>
      <c r="H90"/>
      <c r="I90"/>
      <c r="J90"/>
      <c r="K90"/>
    </row>
    <row r="91" spans="1:14" ht="15.75" x14ac:dyDescent="0.25">
      <c r="B91" t="s">
        <v>128</v>
      </c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 t="s">
        <v>129</v>
      </c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3551-CCD0-46DB-AE2C-BD04CE16ED26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147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35000</v>
      </c>
      <c r="K25" s="71">
        <f t="shared" si="0"/>
        <v>35000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32000</v>
      </c>
      <c r="G64" s="87">
        <v>25000</v>
      </c>
      <c r="H64" s="87">
        <v>25000</v>
      </c>
      <c r="I64" s="87">
        <v>22000</v>
      </c>
      <c r="J64" s="50">
        <v>35000</v>
      </c>
      <c r="K64" s="71">
        <f t="shared" si="0"/>
        <v>27857.142857142859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32000</v>
      </c>
      <c r="E65" s="87">
        <v>26000</v>
      </c>
      <c r="F65" s="87">
        <v>25000</v>
      </c>
      <c r="G65" s="87">
        <v>25000</v>
      </c>
      <c r="H65" s="87">
        <v>25000</v>
      </c>
      <c r="I65" s="89">
        <v>25000</v>
      </c>
      <c r="J65" s="50" t="s">
        <v>95</v>
      </c>
      <c r="K65" s="71">
        <f t="shared" si="0"/>
        <v>26333.333333333332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42000</v>
      </c>
      <c r="E66" s="87">
        <v>38000</v>
      </c>
      <c r="F66" s="87">
        <v>40000</v>
      </c>
      <c r="G66" s="87">
        <v>38000</v>
      </c>
      <c r="H66" s="87">
        <v>40000</v>
      </c>
      <c r="I66" s="87">
        <v>40000</v>
      </c>
      <c r="J66" s="50">
        <v>45000</v>
      </c>
      <c r="K66" s="71">
        <f t="shared" si="0"/>
        <v>40428.571428571428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35000</v>
      </c>
      <c r="K70" s="71">
        <f t="shared" si="0"/>
        <v>34142.857142857145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24000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20285.714285714286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A19:A20"/>
    <mergeCell ref="E4:E6"/>
    <mergeCell ref="F4:F6"/>
    <mergeCell ref="A69:A73"/>
    <mergeCell ref="A56:A60"/>
    <mergeCell ref="A63:A66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7ED0-2B2B-4FD0-94FA-90EAA1F5CAD0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148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10800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35000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35000</v>
      </c>
      <c r="K25" s="71">
        <f t="shared" si="0"/>
        <v>35000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33000</v>
      </c>
      <c r="G64" s="87">
        <v>25000</v>
      </c>
      <c r="H64" s="87">
        <v>25000</v>
      </c>
      <c r="I64" s="87">
        <v>22000</v>
      </c>
      <c r="J64" s="50">
        <v>35000</v>
      </c>
      <c r="K64" s="71">
        <f t="shared" si="0"/>
        <v>28000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32000</v>
      </c>
      <c r="E65" s="87">
        <v>26000</v>
      </c>
      <c r="F65" s="87">
        <v>25000</v>
      </c>
      <c r="G65" s="87">
        <v>25000</v>
      </c>
      <c r="H65" s="87">
        <v>25000</v>
      </c>
      <c r="I65" s="89">
        <v>25000</v>
      </c>
      <c r="J65" s="50" t="s">
        <v>95</v>
      </c>
      <c r="K65" s="71">
        <f t="shared" si="0"/>
        <v>26333.333333333332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42000</v>
      </c>
      <c r="E66" s="87">
        <v>40000</v>
      </c>
      <c r="F66" s="87">
        <v>42000</v>
      </c>
      <c r="G66" s="87">
        <v>38000</v>
      </c>
      <c r="H66" s="87">
        <v>40000</v>
      </c>
      <c r="I66" s="87">
        <v>40000</v>
      </c>
      <c r="J66" s="50">
        <v>45000</v>
      </c>
      <c r="K66" s="71">
        <f t="shared" si="0"/>
        <v>41000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35000</v>
      </c>
      <c r="K70" s="71">
        <f t="shared" si="0"/>
        <v>34142.857142857145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24000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20285.714285714286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1FDF-D60A-41E5-AC8B-9379B329B099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149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13500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13642.857142857143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10933.333333333334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34000</v>
      </c>
      <c r="G25" s="87">
        <v>35000</v>
      </c>
      <c r="H25" s="50">
        <v>35000</v>
      </c>
      <c r="I25" s="87">
        <v>34000</v>
      </c>
      <c r="J25" s="50">
        <v>35000</v>
      </c>
      <c r="K25" s="71">
        <f t="shared" si="0"/>
        <v>34571.428571428572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25000</v>
      </c>
      <c r="H64" s="87">
        <v>20000</v>
      </c>
      <c r="I64" s="87">
        <v>22000</v>
      </c>
      <c r="J64" s="50">
        <v>24000</v>
      </c>
      <c r="K64" s="71">
        <f t="shared" si="0"/>
        <v>24571.428571428572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26000</v>
      </c>
      <c r="E65" s="87">
        <v>26000</v>
      </c>
      <c r="F65" s="87">
        <v>23000</v>
      </c>
      <c r="G65" s="87">
        <v>25000</v>
      </c>
      <c r="H65" s="87">
        <v>20000</v>
      </c>
      <c r="I65" s="89">
        <v>25000</v>
      </c>
      <c r="J65" s="50" t="s">
        <v>95</v>
      </c>
      <c r="K65" s="71">
        <f t="shared" si="0"/>
        <v>24166.666666666668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40000</v>
      </c>
      <c r="E66" s="87">
        <v>40000</v>
      </c>
      <c r="F66" s="87">
        <v>44000</v>
      </c>
      <c r="G66" s="87">
        <v>38000</v>
      </c>
      <c r="H66" s="87">
        <v>45000</v>
      </c>
      <c r="I66" s="87">
        <v>40000</v>
      </c>
      <c r="J66" s="50">
        <v>48000</v>
      </c>
      <c r="K66" s="71">
        <f t="shared" si="0"/>
        <v>42142.857142857145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34428.571428571428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24000</v>
      </c>
      <c r="E72" s="87">
        <v>20000</v>
      </c>
      <c r="F72" s="87">
        <v>20000</v>
      </c>
      <c r="G72" s="87">
        <v>20000</v>
      </c>
      <c r="H72" s="87">
        <v>18000</v>
      </c>
      <c r="I72" s="87">
        <v>20000</v>
      </c>
      <c r="J72" s="50">
        <v>18000</v>
      </c>
      <c r="K72" s="71">
        <f t="shared" si="0"/>
        <v>20000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A19:A20"/>
    <mergeCell ref="E4:E6"/>
    <mergeCell ref="F4:F6"/>
    <mergeCell ref="A69:A73"/>
    <mergeCell ref="A56:A60"/>
    <mergeCell ref="A63:A66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B7BF-7634-4847-A596-77BF80A21EEC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13500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13642.857142857143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10933.333333333334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34000</v>
      </c>
      <c r="G25" s="87">
        <v>35000</v>
      </c>
      <c r="H25" s="50">
        <v>36000</v>
      </c>
      <c r="I25" s="87">
        <v>34000</v>
      </c>
      <c r="J25" s="50">
        <v>35000</v>
      </c>
      <c r="K25" s="71">
        <f t="shared" si="0"/>
        <v>34714.285714285717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35000</v>
      </c>
      <c r="K31" s="71">
        <f t="shared" si="0"/>
        <v>35285.714285714283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13000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13333.333333333334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28000</v>
      </c>
      <c r="H64" s="87">
        <v>22000</v>
      </c>
      <c r="I64" s="87">
        <v>22000</v>
      </c>
      <c r="J64" s="50">
        <v>24000</v>
      </c>
      <c r="K64" s="71">
        <f t="shared" si="0"/>
        <v>25285.714285714286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26000</v>
      </c>
      <c r="E65" s="87">
        <v>26000</v>
      </c>
      <c r="F65" s="87">
        <v>23000</v>
      </c>
      <c r="G65" s="87">
        <v>26000</v>
      </c>
      <c r="H65" s="87">
        <v>22000</v>
      </c>
      <c r="I65" s="89">
        <v>25000</v>
      </c>
      <c r="J65" s="50" t="s">
        <v>95</v>
      </c>
      <c r="K65" s="71">
        <f t="shared" si="0"/>
        <v>24666.666666666668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40000</v>
      </c>
      <c r="E66" s="87">
        <v>40000</v>
      </c>
      <c r="F66" s="87">
        <v>43000</v>
      </c>
      <c r="G66" s="87">
        <v>40000</v>
      </c>
      <c r="H66" s="87">
        <v>45000</v>
      </c>
      <c r="I66" s="87">
        <v>45000</v>
      </c>
      <c r="J66" s="50">
        <v>48000</v>
      </c>
      <c r="K66" s="71">
        <f t="shared" si="0"/>
        <v>43000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34428.571428571428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24000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18000</v>
      </c>
      <c r="K72" s="71">
        <f t="shared" si="0"/>
        <v>19714.285714285714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7000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7285.7142857142853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95</v>
      </c>
      <c r="H86" s="87">
        <v>2500</v>
      </c>
      <c r="I86" s="87" t="s">
        <v>95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1C8D-8581-42B0-BDD8-0909C0A911DD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10933.333333333334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35000</v>
      </c>
      <c r="H25" s="50">
        <v>35000</v>
      </c>
      <c r="I25" s="87">
        <v>34000</v>
      </c>
      <c r="J25" s="50">
        <v>35000</v>
      </c>
      <c r="K25" s="71">
        <f t="shared" si="0"/>
        <v>34714.285714285717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 t="s">
        <v>98</v>
      </c>
      <c r="E64" s="87">
        <v>28000</v>
      </c>
      <c r="F64" s="87">
        <v>28000</v>
      </c>
      <c r="G64" s="87">
        <v>25000</v>
      </c>
      <c r="H64" s="87">
        <v>22000</v>
      </c>
      <c r="I64" s="87">
        <v>22000</v>
      </c>
      <c r="J64" s="50">
        <v>24000</v>
      </c>
      <c r="K64" s="71">
        <f t="shared" si="0"/>
        <v>24833.333333333332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26000</v>
      </c>
      <c r="E65" s="87">
        <v>26000</v>
      </c>
      <c r="F65" s="87">
        <v>35000</v>
      </c>
      <c r="G65" s="87">
        <v>26000</v>
      </c>
      <c r="H65" s="87">
        <v>22000</v>
      </c>
      <c r="I65" s="89">
        <v>25000</v>
      </c>
      <c r="J65" s="50" t="s">
        <v>95</v>
      </c>
      <c r="K65" s="71">
        <f t="shared" si="0"/>
        <v>26666.666666666668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40000</v>
      </c>
      <c r="E66" s="87">
        <v>40000</v>
      </c>
      <c r="F66" s="87">
        <v>45000</v>
      </c>
      <c r="G66" s="87">
        <v>40000</v>
      </c>
      <c r="H66" s="87">
        <v>47000</v>
      </c>
      <c r="I66" s="87">
        <v>45000</v>
      </c>
      <c r="J66" s="50">
        <v>48000</v>
      </c>
      <c r="K66" s="71">
        <f t="shared" si="0"/>
        <v>43571.428571428572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35000</v>
      </c>
      <c r="H70" s="87">
        <v>33000</v>
      </c>
      <c r="I70" s="87">
        <v>35000</v>
      </c>
      <c r="J70" s="50">
        <v>37000</v>
      </c>
      <c r="K70" s="71">
        <f t="shared" si="0"/>
        <v>34714.285714285717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32000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24000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18000</v>
      </c>
      <c r="K72" s="71">
        <f t="shared" si="0"/>
        <v>19714.285714285714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 t="s">
        <v>95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2250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AA42-76A4-496B-ADC2-88FF5BF14D2B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10933.333333333334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35000</v>
      </c>
      <c r="H25" s="50">
        <v>35000</v>
      </c>
      <c r="I25" s="87">
        <v>34000</v>
      </c>
      <c r="J25" s="50">
        <v>35000</v>
      </c>
      <c r="K25" s="71">
        <f t="shared" si="0"/>
        <v>34714.285714285717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24857.142857142859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24000</v>
      </c>
      <c r="G64" s="87">
        <v>25000</v>
      </c>
      <c r="H64" s="87">
        <v>22000</v>
      </c>
      <c r="I64" s="87">
        <v>22000</v>
      </c>
      <c r="J64" s="50">
        <v>24000</v>
      </c>
      <c r="K64" s="71">
        <f t="shared" si="0"/>
        <v>24714.285714285714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26000</v>
      </c>
      <c r="E65" s="87">
        <v>26000</v>
      </c>
      <c r="F65" s="87">
        <v>35000</v>
      </c>
      <c r="G65" s="87">
        <v>26000</v>
      </c>
      <c r="H65" s="87">
        <v>22000</v>
      </c>
      <c r="I65" s="89">
        <v>25000</v>
      </c>
      <c r="J65" s="50" t="s">
        <v>95</v>
      </c>
      <c r="K65" s="71">
        <f t="shared" si="0"/>
        <v>26666.666666666668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40000</v>
      </c>
      <c r="E66" s="87">
        <v>40000</v>
      </c>
      <c r="F66" s="87">
        <v>44000</v>
      </c>
      <c r="G66" s="87">
        <v>40000</v>
      </c>
      <c r="H66" s="87">
        <v>47000</v>
      </c>
      <c r="I66" s="87">
        <v>45000</v>
      </c>
      <c r="J66" s="50">
        <v>48000</v>
      </c>
      <c r="K66" s="71">
        <f t="shared" si="0"/>
        <v>43428.571428571428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34571.428571428572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30000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31571.428571428572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18000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0424-884C-427A-8A27-A0B42C48F4B8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154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10933.333333333334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35000</v>
      </c>
      <c r="K25" s="71">
        <f t="shared" si="0"/>
        <v>34857.142857142855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25000</v>
      </c>
      <c r="F34" s="87">
        <v>25000</v>
      </c>
      <c r="G34" s="87">
        <v>25000</v>
      </c>
      <c r="H34" s="87">
        <v>25000</v>
      </c>
      <c r="I34" s="87">
        <v>25000</v>
      </c>
      <c r="J34" s="50">
        <v>25000</v>
      </c>
      <c r="K34" s="71">
        <f t="shared" si="0"/>
        <v>25000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24000</v>
      </c>
      <c r="G64" s="87">
        <v>25000</v>
      </c>
      <c r="H64" s="87">
        <v>25000</v>
      </c>
      <c r="I64" s="87">
        <v>22000</v>
      </c>
      <c r="J64" s="50">
        <v>24000</v>
      </c>
      <c r="K64" s="71">
        <f t="shared" si="0"/>
        <v>25142.857142857141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26000</v>
      </c>
      <c r="E65" s="87">
        <v>26000</v>
      </c>
      <c r="F65" s="87">
        <v>35000</v>
      </c>
      <c r="G65" s="87">
        <v>26000</v>
      </c>
      <c r="H65" s="87">
        <v>25000</v>
      </c>
      <c r="I65" s="89">
        <v>25000</v>
      </c>
      <c r="J65" s="50" t="s">
        <v>95</v>
      </c>
      <c r="K65" s="71">
        <f t="shared" si="0"/>
        <v>27166.666666666668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40000</v>
      </c>
      <c r="E66" s="87">
        <v>40000</v>
      </c>
      <c r="F66" s="87">
        <v>50000</v>
      </c>
      <c r="G66" s="87">
        <v>42000</v>
      </c>
      <c r="H66" s="87">
        <v>40000</v>
      </c>
      <c r="I66" s="87">
        <v>45000</v>
      </c>
      <c r="J66" s="50">
        <v>48000</v>
      </c>
      <c r="K66" s="71">
        <f t="shared" si="0"/>
        <v>43571.428571428572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34000</v>
      </c>
      <c r="I70" s="87">
        <v>35000</v>
      </c>
      <c r="J70" s="50">
        <v>37000</v>
      </c>
      <c r="K70" s="71">
        <f t="shared" si="0"/>
        <v>34571.428571428572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30000</v>
      </c>
      <c r="G71" s="87">
        <v>32000</v>
      </c>
      <c r="H71" s="87">
        <v>31000</v>
      </c>
      <c r="I71" s="87">
        <v>33000</v>
      </c>
      <c r="J71" s="50">
        <v>32000</v>
      </c>
      <c r="K71" s="71">
        <f t="shared" si="0"/>
        <v>31714.285714285714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18000</v>
      </c>
      <c r="K72" s="71">
        <f t="shared" si="0"/>
        <v>19142.857142857141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E4:E6"/>
    <mergeCell ref="F4:F6"/>
    <mergeCell ref="A56:A60"/>
    <mergeCell ref="A63:A66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7CE-E940-4D06-B123-43AF76A68B53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11000</v>
      </c>
      <c r="I9" s="87">
        <v>11000</v>
      </c>
      <c r="J9" s="88" t="s">
        <v>95</v>
      </c>
      <c r="K9" s="71">
        <f t="shared" ref="K9:K80" si="0">AVERAGE(D9:J9)</f>
        <v>10933.333333333334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13500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125000</v>
      </c>
      <c r="I22" s="89">
        <v>120000</v>
      </c>
      <c r="J22" s="50" t="s">
        <v>95</v>
      </c>
      <c r="K22" s="71">
        <f t="shared" si="0"/>
        <v>120833.33333333333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120000</v>
      </c>
      <c r="I23" s="87">
        <v>115000</v>
      </c>
      <c r="J23" s="50">
        <v>110000</v>
      </c>
      <c r="K23" s="71">
        <f t="shared" si="0"/>
        <v>112142.85714285714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35000</v>
      </c>
      <c r="K25" s="71">
        <f t="shared" si="0"/>
        <v>34857.142857142855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36000</v>
      </c>
      <c r="K31" s="71">
        <f t="shared" si="0"/>
        <v>35428.571428571428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24714.285714285714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30000</v>
      </c>
      <c r="H64" s="87">
        <v>25000</v>
      </c>
      <c r="I64" s="87">
        <v>22000</v>
      </c>
      <c r="J64" s="50">
        <v>25000</v>
      </c>
      <c r="K64" s="71">
        <f t="shared" si="0"/>
        <v>26142.857142857141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26000</v>
      </c>
      <c r="E65" s="87">
        <v>26000</v>
      </c>
      <c r="F65" s="87">
        <v>32000</v>
      </c>
      <c r="G65" s="87">
        <v>28000</v>
      </c>
      <c r="H65" s="87">
        <v>25000</v>
      </c>
      <c r="I65" s="89">
        <v>25000</v>
      </c>
      <c r="J65" s="50" t="s">
        <v>95</v>
      </c>
      <c r="K65" s="71">
        <f t="shared" si="0"/>
        <v>27000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40000</v>
      </c>
      <c r="E66" s="87">
        <v>45000</v>
      </c>
      <c r="F66" s="87">
        <v>55000</v>
      </c>
      <c r="G66" s="87">
        <v>50000</v>
      </c>
      <c r="H66" s="87">
        <v>55000</v>
      </c>
      <c r="I66" s="87">
        <v>45000</v>
      </c>
      <c r="J66" s="50">
        <v>60000</v>
      </c>
      <c r="K66" s="71">
        <f t="shared" si="0"/>
        <v>50000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36000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34714.285714285717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33000</v>
      </c>
      <c r="G71" s="87">
        <v>32000</v>
      </c>
      <c r="H71" s="87">
        <v>30000</v>
      </c>
      <c r="I71" s="87">
        <v>33000</v>
      </c>
      <c r="J71" s="50">
        <v>35000</v>
      </c>
      <c r="K71" s="71">
        <f t="shared" si="0"/>
        <v>32428.571428571428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16000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15571.428571428571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14000</v>
      </c>
      <c r="E82" s="87">
        <v>12000</v>
      </c>
      <c r="F82" s="87">
        <v>15000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12714.285714285714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32C-35F4-4868-9EF0-12FF909DB615}">
  <dimension ref="A1:N94"/>
  <sheetViews>
    <sheetView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>
        <v>11000</v>
      </c>
      <c r="I10" s="87" t="s">
        <v>95</v>
      </c>
      <c r="J10" s="88" t="s">
        <v>95</v>
      </c>
      <c r="K10" s="71">
        <f t="shared" si="0"/>
        <v>11000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14000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13571.428571428571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35000</v>
      </c>
      <c r="G25" s="87">
        <v>35000</v>
      </c>
      <c r="H25" s="50">
        <v>36000</v>
      </c>
      <c r="I25" s="87">
        <v>34000</v>
      </c>
      <c r="J25" s="50">
        <v>35000</v>
      </c>
      <c r="K25" s="71">
        <f t="shared" si="0"/>
        <v>34857.142857142855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36000</v>
      </c>
      <c r="K31" s="71">
        <f t="shared" si="0"/>
        <v>35428.571428571428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24714.285714285714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28000</v>
      </c>
      <c r="H64" s="87">
        <v>23000</v>
      </c>
      <c r="I64" s="87">
        <v>22000</v>
      </c>
      <c r="J64" s="50">
        <v>25000</v>
      </c>
      <c r="K64" s="71">
        <f t="shared" si="0"/>
        <v>25571.428571428572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27000</v>
      </c>
      <c r="G65" s="87">
        <v>28000</v>
      </c>
      <c r="H65" s="87">
        <v>25000</v>
      </c>
      <c r="I65" s="89">
        <v>25000</v>
      </c>
      <c r="J65" s="50" t="s">
        <v>95</v>
      </c>
      <c r="K65" s="71">
        <f t="shared" si="0"/>
        <v>26500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46000</v>
      </c>
      <c r="E66" s="87">
        <v>45000</v>
      </c>
      <c r="F66" s="87">
        <v>55000</v>
      </c>
      <c r="G66" s="87">
        <v>50000</v>
      </c>
      <c r="H66" s="87">
        <v>55000</v>
      </c>
      <c r="I66" s="87">
        <v>45000</v>
      </c>
      <c r="J66" s="50">
        <v>60000</v>
      </c>
      <c r="K66" s="71">
        <f t="shared" si="0"/>
        <v>50857.142857142855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34571.428571428572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35000</v>
      </c>
      <c r="K71" s="71">
        <f t="shared" si="0"/>
        <v>32285.714285714286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15000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15428.571428571429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D586-DEDB-4D1D-938F-17E0C3BF643F}">
  <dimension ref="A1:N94"/>
  <sheetViews>
    <sheetView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157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>
        <v>11000</v>
      </c>
      <c r="I10" s="87" t="s">
        <v>95</v>
      </c>
      <c r="J10" s="88" t="s">
        <v>95</v>
      </c>
      <c r="K10" s="71">
        <f t="shared" si="0"/>
        <v>11000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14000</v>
      </c>
      <c r="G14" s="87">
        <v>13500</v>
      </c>
      <c r="H14" s="87">
        <v>13500</v>
      </c>
      <c r="I14" s="87">
        <v>13500</v>
      </c>
      <c r="J14" s="50">
        <v>14000</v>
      </c>
      <c r="K14" s="71">
        <f t="shared" si="0"/>
        <v>13571.428571428571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M16" s="2" t="s">
        <v>1</v>
      </c>
      <c r="N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34000</v>
      </c>
      <c r="G25" s="87">
        <v>35000</v>
      </c>
      <c r="H25" s="50">
        <v>35000</v>
      </c>
      <c r="I25" s="87">
        <v>34000</v>
      </c>
      <c r="J25" s="50">
        <v>34000</v>
      </c>
      <c r="K25" s="71">
        <f t="shared" si="0"/>
        <v>34428.571428571428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38000</v>
      </c>
      <c r="K31" s="71">
        <f t="shared" si="0"/>
        <v>35714.285714285717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24000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M52" s="2" t="s">
        <v>97</v>
      </c>
      <c r="N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26000</v>
      </c>
      <c r="H64" s="87">
        <v>22000</v>
      </c>
      <c r="I64" s="87">
        <v>22000</v>
      </c>
      <c r="J64" s="50">
        <v>25000</v>
      </c>
      <c r="K64" s="71">
        <f t="shared" si="0"/>
        <v>25142.857142857141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27000</v>
      </c>
      <c r="G65" s="87">
        <v>28000</v>
      </c>
      <c r="H65" s="87">
        <v>22000</v>
      </c>
      <c r="I65" s="89">
        <v>25000</v>
      </c>
      <c r="J65" s="50" t="s">
        <v>95</v>
      </c>
      <c r="K65" s="71">
        <f t="shared" si="0"/>
        <v>26000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46000</v>
      </c>
      <c r="E66" s="87">
        <v>45000</v>
      </c>
      <c r="F66" s="87">
        <v>55000</v>
      </c>
      <c r="G66" s="87">
        <v>50000</v>
      </c>
      <c r="H66" s="87">
        <v>55000</v>
      </c>
      <c r="I66" s="87">
        <v>45000</v>
      </c>
      <c r="J66" s="50">
        <v>60000</v>
      </c>
      <c r="K66" s="71">
        <f t="shared" si="0"/>
        <v>50857.142857142855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35000</v>
      </c>
      <c r="G70" s="87">
        <v>34000</v>
      </c>
      <c r="H70" s="87">
        <v>33000</v>
      </c>
      <c r="I70" s="87">
        <v>35000</v>
      </c>
      <c r="J70" s="50">
        <v>35000</v>
      </c>
      <c r="K70" s="71">
        <f t="shared" si="0"/>
        <v>34285.714285714283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6000</v>
      </c>
      <c r="K78" s="71">
        <f t="shared" si="0"/>
        <v>7428.5714285714284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13000</v>
      </c>
      <c r="H79" s="87">
        <v>10000</v>
      </c>
      <c r="I79" s="88">
        <v>12000</v>
      </c>
      <c r="J79" s="50">
        <v>15000</v>
      </c>
      <c r="K79" s="71">
        <f t="shared" si="0"/>
        <v>12571.428571428571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15000</v>
      </c>
      <c r="E80" s="87">
        <v>15000</v>
      </c>
      <c r="F80" s="87">
        <v>16000</v>
      </c>
      <c r="G80" s="87">
        <v>16000</v>
      </c>
      <c r="H80" s="87">
        <v>15000</v>
      </c>
      <c r="I80" s="87">
        <v>16000</v>
      </c>
      <c r="J80" s="50">
        <v>15000</v>
      </c>
      <c r="K80" s="71">
        <f t="shared" si="0"/>
        <v>15428.571428571429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E92-1C30-4F97-BA38-EC7C02996CA2}">
  <dimension ref="A1:N94"/>
  <sheetViews>
    <sheetView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158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>
        <v>11000</v>
      </c>
      <c r="I10" s="87" t="s">
        <v>95</v>
      </c>
      <c r="J10" s="88" t="s">
        <v>95</v>
      </c>
      <c r="K10" s="71">
        <f t="shared" si="0"/>
        <v>11000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13000</v>
      </c>
      <c r="E14" s="87">
        <v>13500</v>
      </c>
      <c r="F14" s="87">
        <v>14500</v>
      </c>
      <c r="G14" s="87">
        <v>13500</v>
      </c>
      <c r="H14" s="87">
        <v>13500</v>
      </c>
      <c r="I14" s="87">
        <v>13500</v>
      </c>
      <c r="J14" s="50">
        <v>15000</v>
      </c>
      <c r="K14" s="71">
        <f t="shared" si="0"/>
        <v>13785.714285714286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35000</v>
      </c>
      <c r="E25" s="87">
        <v>34000</v>
      </c>
      <c r="F25" s="87">
        <v>34000</v>
      </c>
      <c r="G25" s="87">
        <v>35000</v>
      </c>
      <c r="H25" s="50">
        <v>35000</v>
      </c>
      <c r="I25" s="87">
        <v>34000</v>
      </c>
      <c r="J25" s="50">
        <v>34000</v>
      </c>
      <c r="K25" s="71">
        <f t="shared" si="0"/>
        <v>34428.571428571428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28000</v>
      </c>
      <c r="J28" s="52">
        <v>25000</v>
      </c>
      <c r="K28" s="71">
        <f t="shared" si="0"/>
        <v>27000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25000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24000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9000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9857.1428571428569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>
        <v>10000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9285.7142857142862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9000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8428.5714285714294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25000</v>
      </c>
      <c r="H64" s="87">
        <v>22000</v>
      </c>
      <c r="I64" s="87">
        <v>22000</v>
      </c>
      <c r="J64" s="50">
        <v>25000</v>
      </c>
      <c r="K64" s="71">
        <f t="shared" si="0"/>
        <v>25000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28000</v>
      </c>
      <c r="E65" s="87">
        <v>26000</v>
      </c>
      <c r="F65" s="87">
        <v>27000</v>
      </c>
      <c r="G65" s="87">
        <v>25000</v>
      </c>
      <c r="H65" s="87">
        <v>22000</v>
      </c>
      <c r="I65" s="89">
        <v>25000</v>
      </c>
      <c r="J65" s="50" t="s">
        <v>95</v>
      </c>
      <c r="K65" s="71">
        <f t="shared" si="0"/>
        <v>25500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52000</v>
      </c>
      <c r="E66" s="87">
        <v>50000</v>
      </c>
      <c r="F66" s="87">
        <v>55000</v>
      </c>
      <c r="G66" s="87">
        <v>55000</v>
      </c>
      <c r="H66" s="87">
        <v>55000</v>
      </c>
      <c r="I66" s="87">
        <v>45000</v>
      </c>
      <c r="J66" s="50">
        <v>60000</v>
      </c>
      <c r="K66" s="71">
        <f t="shared" si="0"/>
        <v>53142.857142857145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34428.571428571428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28000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27142.857142857141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8000</v>
      </c>
      <c r="K78" s="71">
        <f t="shared" si="0"/>
        <v>7714.2857142857147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15000</v>
      </c>
      <c r="H79" s="87">
        <v>10000</v>
      </c>
      <c r="I79" s="88">
        <v>12000</v>
      </c>
      <c r="J79" s="50">
        <v>15000</v>
      </c>
      <c r="K79" s="71">
        <f t="shared" si="0"/>
        <v>12857.142857142857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15000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16000</v>
      </c>
      <c r="J80" s="50">
        <v>15000</v>
      </c>
      <c r="K80" s="71">
        <f t="shared" si="0"/>
        <v>15285.714285714286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BED3-DA7F-4F50-B148-865C661740FB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159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15000</v>
      </c>
      <c r="E14" s="87">
        <v>13500</v>
      </c>
      <c r="F14" s="87">
        <v>14500</v>
      </c>
      <c r="G14" s="87">
        <v>13500</v>
      </c>
      <c r="H14" s="87">
        <v>15000</v>
      </c>
      <c r="I14" s="87">
        <v>13500</v>
      </c>
      <c r="J14" s="50">
        <v>15000</v>
      </c>
      <c r="K14" s="71">
        <f t="shared" si="0"/>
        <v>14285.714285714286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15000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15000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34000</v>
      </c>
      <c r="E25" s="87">
        <v>33000</v>
      </c>
      <c r="F25" s="87">
        <v>33000</v>
      </c>
      <c r="G25" s="87">
        <v>34000</v>
      </c>
      <c r="H25" s="50">
        <v>35000</v>
      </c>
      <c r="I25" s="87">
        <v>34000</v>
      </c>
      <c r="J25" s="50">
        <v>34000</v>
      </c>
      <c r="K25" s="71">
        <f t="shared" si="0"/>
        <v>33857.142857142855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30000</v>
      </c>
      <c r="J28" s="52">
        <v>25000</v>
      </c>
      <c r="K28" s="71">
        <f t="shared" si="0"/>
        <v>27285.714285714286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38000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36428.571428571428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24000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2800</v>
      </c>
      <c r="H35" s="87">
        <v>2500</v>
      </c>
      <c r="I35" s="87">
        <v>3000</v>
      </c>
      <c r="J35" s="50">
        <v>3000</v>
      </c>
      <c r="K35" s="71">
        <f t="shared" si="0"/>
        <v>2757.1428571428573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1250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8750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 t="s">
        <v>95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9166.6666666666661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10000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8571.4285714285706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26000</v>
      </c>
      <c r="G64" s="87">
        <v>25000</v>
      </c>
      <c r="H64" s="87">
        <v>25000</v>
      </c>
      <c r="I64" s="87">
        <v>22000</v>
      </c>
      <c r="J64" s="50">
        <v>25000</v>
      </c>
      <c r="K64" s="71">
        <f t="shared" si="0"/>
        <v>25571.428571428572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40000</v>
      </c>
      <c r="E65" s="87">
        <v>26000</v>
      </c>
      <c r="F65" s="87">
        <v>27000</v>
      </c>
      <c r="G65" s="87">
        <v>25000</v>
      </c>
      <c r="H65" s="87">
        <v>25000</v>
      </c>
      <c r="I65" s="89">
        <v>25000</v>
      </c>
      <c r="J65" s="50" t="s">
        <v>95</v>
      </c>
      <c r="K65" s="71">
        <f t="shared" si="0"/>
        <v>28000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60000</v>
      </c>
      <c r="E66" s="87">
        <v>55000</v>
      </c>
      <c r="F66" s="87">
        <v>55000</v>
      </c>
      <c r="G66" s="87">
        <v>55000</v>
      </c>
      <c r="H66" s="87">
        <v>65000</v>
      </c>
      <c r="I66" s="87">
        <v>55000</v>
      </c>
      <c r="J66" s="50">
        <v>60000</v>
      </c>
      <c r="K66" s="71">
        <f t="shared" si="0"/>
        <v>57857.142857142855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36000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34714.285714285717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30000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27428.571428571428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8000</v>
      </c>
      <c r="K78" s="71">
        <f t="shared" si="0"/>
        <v>7714.2857142857147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15000</v>
      </c>
      <c r="H79" s="87">
        <v>10000</v>
      </c>
      <c r="I79" s="88">
        <v>12000</v>
      </c>
      <c r="J79" s="50">
        <v>15000</v>
      </c>
      <c r="K79" s="71">
        <f t="shared" si="0"/>
        <v>12857.142857142857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15000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16000</v>
      </c>
      <c r="J80" s="50">
        <v>15000</v>
      </c>
      <c r="K80" s="71">
        <f t="shared" si="0"/>
        <v>15285.714285714286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EA65-ED1A-413E-8498-84DC2101CA52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160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15000</v>
      </c>
      <c r="E14" s="87">
        <v>13500</v>
      </c>
      <c r="F14" s="87">
        <v>14500</v>
      </c>
      <c r="G14" s="87">
        <v>13500</v>
      </c>
      <c r="H14" s="87">
        <v>15000</v>
      </c>
      <c r="I14" s="87">
        <v>13500</v>
      </c>
      <c r="J14" s="50">
        <v>15000</v>
      </c>
      <c r="K14" s="71">
        <f t="shared" si="0"/>
        <v>14285.714285714286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16000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15142.857142857143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34000</v>
      </c>
      <c r="E25" s="87">
        <v>33000</v>
      </c>
      <c r="F25" s="87">
        <v>33000</v>
      </c>
      <c r="G25" s="87">
        <v>34000</v>
      </c>
      <c r="H25" s="50">
        <v>35000</v>
      </c>
      <c r="I25" s="87">
        <v>34000</v>
      </c>
      <c r="J25" s="50">
        <v>34000</v>
      </c>
      <c r="K25" s="71">
        <f t="shared" si="0"/>
        <v>33857.142857142855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30000</v>
      </c>
      <c r="J28" s="52">
        <v>25000</v>
      </c>
      <c r="K28" s="71">
        <f t="shared" si="0"/>
        <v>27285.714285714286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38000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36428.571428571428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24000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2600</v>
      </c>
      <c r="H35" s="87">
        <v>2500</v>
      </c>
      <c r="I35" s="87">
        <v>3000</v>
      </c>
      <c r="J35" s="50">
        <v>3000</v>
      </c>
      <c r="K35" s="71">
        <f t="shared" si="0"/>
        <v>2728.5714285714284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1250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8750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 t="s">
        <v>95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9166.6666666666661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10000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8571.4285714285706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25000</v>
      </c>
      <c r="H64" s="87">
        <v>25000</v>
      </c>
      <c r="I64" s="87">
        <v>22000</v>
      </c>
      <c r="J64" s="50">
        <v>25000</v>
      </c>
      <c r="K64" s="71">
        <f t="shared" si="0"/>
        <v>25428.571428571428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40000</v>
      </c>
      <c r="E65" s="87">
        <v>26000</v>
      </c>
      <c r="F65" s="87">
        <v>26000</v>
      </c>
      <c r="G65" s="87">
        <v>25000</v>
      </c>
      <c r="H65" s="87">
        <v>25000</v>
      </c>
      <c r="I65" s="89">
        <v>25000</v>
      </c>
      <c r="J65" s="50" t="s">
        <v>95</v>
      </c>
      <c r="K65" s="71">
        <f t="shared" si="0"/>
        <v>27833.333333333332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60000</v>
      </c>
      <c r="E66" s="87">
        <v>55000</v>
      </c>
      <c r="F66" s="87">
        <v>55000</v>
      </c>
      <c r="G66" s="87">
        <v>55000</v>
      </c>
      <c r="H66" s="87">
        <v>65000</v>
      </c>
      <c r="I66" s="87">
        <v>55000</v>
      </c>
      <c r="J66" s="50">
        <v>65000</v>
      </c>
      <c r="K66" s="71">
        <f t="shared" si="0"/>
        <v>58571.428571428572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34428.571428571428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30000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27428.571428571428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10000</v>
      </c>
      <c r="K78" s="71">
        <f t="shared" si="0"/>
        <v>8000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15000</v>
      </c>
      <c r="H79" s="87">
        <v>10000</v>
      </c>
      <c r="I79" s="88">
        <v>12000</v>
      </c>
      <c r="J79" s="50">
        <v>15000</v>
      </c>
      <c r="K79" s="71">
        <f t="shared" si="0"/>
        <v>12857.142857142857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15000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16000</v>
      </c>
      <c r="J80" s="50">
        <v>15000</v>
      </c>
      <c r="K80" s="71">
        <f t="shared" si="0"/>
        <v>15285.714285714286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6199-7731-4C9C-9B53-310ED4937676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161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15000</v>
      </c>
      <c r="E14" s="87">
        <v>13500</v>
      </c>
      <c r="F14" s="87">
        <v>14500</v>
      </c>
      <c r="G14" s="87">
        <v>13500</v>
      </c>
      <c r="H14" s="87">
        <v>15000</v>
      </c>
      <c r="I14" s="87">
        <v>13500</v>
      </c>
      <c r="J14" s="50">
        <v>15000</v>
      </c>
      <c r="K14" s="71">
        <f t="shared" si="0"/>
        <v>14285.714285714286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16000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15142.857142857143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34000</v>
      </c>
      <c r="E25" s="87">
        <v>33000</v>
      </c>
      <c r="F25" s="87">
        <v>33000</v>
      </c>
      <c r="G25" s="87">
        <v>34000</v>
      </c>
      <c r="H25" s="50">
        <v>35000</v>
      </c>
      <c r="I25" s="87">
        <v>34000</v>
      </c>
      <c r="J25" s="50">
        <v>34000</v>
      </c>
      <c r="K25" s="71">
        <f t="shared" si="0"/>
        <v>33857.142857142855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30000</v>
      </c>
      <c r="J28" s="52">
        <v>25000</v>
      </c>
      <c r="K28" s="71">
        <f t="shared" si="0"/>
        <v>27285.714285714286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38000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36428.571428571428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24000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2600</v>
      </c>
      <c r="H35" s="87">
        <v>2500</v>
      </c>
      <c r="I35" s="87">
        <v>3000</v>
      </c>
      <c r="J35" s="50">
        <v>3000</v>
      </c>
      <c r="K35" s="71">
        <f t="shared" si="0"/>
        <v>2728.5714285714284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1250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8750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 t="s">
        <v>95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9166.6666666666661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10000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8571.4285714285706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28000</v>
      </c>
      <c r="E64" s="87">
        <v>28000</v>
      </c>
      <c r="F64" s="87">
        <v>25000</v>
      </c>
      <c r="G64" s="87">
        <v>25000</v>
      </c>
      <c r="H64" s="87">
        <v>25000</v>
      </c>
      <c r="I64" s="87">
        <v>22000</v>
      </c>
      <c r="J64" s="50">
        <v>25000</v>
      </c>
      <c r="K64" s="71">
        <f t="shared" si="0"/>
        <v>25428.571428571428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40000</v>
      </c>
      <c r="E65" s="87">
        <v>26000</v>
      </c>
      <c r="F65" s="87">
        <v>26000</v>
      </c>
      <c r="G65" s="87">
        <v>25000</v>
      </c>
      <c r="H65" s="87">
        <v>25000</v>
      </c>
      <c r="I65" s="89">
        <v>25000</v>
      </c>
      <c r="J65" s="50" t="s">
        <v>95</v>
      </c>
      <c r="K65" s="71">
        <f t="shared" si="0"/>
        <v>27833.333333333332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60000</v>
      </c>
      <c r="E66" s="87">
        <v>55000</v>
      </c>
      <c r="F66" s="87">
        <v>55000</v>
      </c>
      <c r="G66" s="87">
        <v>55000</v>
      </c>
      <c r="H66" s="87">
        <v>65000</v>
      </c>
      <c r="I66" s="87">
        <v>55000</v>
      </c>
      <c r="J66" s="50">
        <v>65000</v>
      </c>
      <c r="K66" s="71">
        <f t="shared" si="0"/>
        <v>58571.428571428572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37000</v>
      </c>
      <c r="K70" s="71">
        <f t="shared" si="0"/>
        <v>34428.571428571428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32000</v>
      </c>
      <c r="K71" s="71">
        <f t="shared" si="0"/>
        <v>31857.142857142859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20000</v>
      </c>
      <c r="E72" s="87">
        <v>20000</v>
      </c>
      <c r="F72" s="87">
        <v>18000</v>
      </c>
      <c r="G72" s="87">
        <v>20000</v>
      </c>
      <c r="H72" s="87">
        <v>18000</v>
      </c>
      <c r="I72" s="87">
        <v>20000</v>
      </c>
      <c r="J72" s="50">
        <v>20000</v>
      </c>
      <c r="K72" s="71">
        <f t="shared" si="0"/>
        <v>19428.571428571428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30000</v>
      </c>
      <c r="E73" s="87">
        <v>25000</v>
      </c>
      <c r="F73" s="88">
        <v>27000</v>
      </c>
      <c r="G73" s="89">
        <v>30000</v>
      </c>
      <c r="H73" s="87">
        <v>25000</v>
      </c>
      <c r="I73" s="87">
        <v>27000</v>
      </c>
      <c r="J73" s="50">
        <v>28000</v>
      </c>
      <c r="K73" s="71">
        <f t="shared" si="0"/>
        <v>27428.571428571428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10000</v>
      </c>
      <c r="K78" s="71">
        <f t="shared" si="0"/>
        <v>8000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15000</v>
      </c>
      <c r="H79" s="87">
        <v>10000</v>
      </c>
      <c r="I79" s="88">
        <v>12000</v>
      </c>
      <c r="J79" s="50">
        <v>15000</v>
      </c>
      <c r="K79" s="71">
        <f t="shared" si="0"/>
        <v>12857.142857142857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15000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16000</v>
      </c>
      <c r="J80" s="50">
        <v>15000</v>
      </c>
      <c r="K80" s="71">
        <f t="shared" si="0"/>
        <v>15285.714285714286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E4:E6"/>
    <mergeCell ref="F4:F6"/>
    <mergeCell ref="A56:A60"/>
    <mergeCell ref="A63:A66"/>
    <mergeCell ref="A19:A20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7285-E3AD-4469-8013-FB8DE84D1DCE}">
  <dimension ref="A1:N94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162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15000</v>
      </c>
      <c r="E14" s="87">
        <v>14500</v>
      </c>
      <c r="F14" s="87">
        <v>14500</v>
      </c>
      <c r="G14" s="87">
        <v>13500</v>
      </c>
      <c r="H14" s="87">
        <v>15000</v>
      </c>
      <c r="I14" s="87">
        <v>13500</v>
      </c>
      <c r="J14" s="50">
        <v>15000</v>
      </c>
      <c r="K14" s="71">
        <f t="shared" si="0"/>
        <v>14428.571428571429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16000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15142.857142857143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34000</v>
      </c>
      <c r="E25" s="87">
        <v>33000</v>
      </c>
      <c r="F25" s="87">
        <v>34000</v>
      </c>
      <c r="G25" s="87">
        <v>34000</v>
      </c>
      <c r="H25" s="50">
        <v>35000</v>
      </c>
      <c r="I25" s="87">
        <v>34000</v>
      </c>
      <c r="J25" s="50">
        <v>34000</v>
      </c>
      <c r="K25" s="71">
        <f t="shared" si="0"/>
        <v>34000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30000</v>
      </c>
      <c r="J28" s="52">
        <v>25000</v>
      </c>
      <c r="K28" s="71">
        <f t="shared" si="0"/>
        <v>27285.714285714286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24000</v>
      </c>
      <c r="E34" s="87">
        <v>24000</v>
      </c>
      <c r="F34" s="87">
        <v>25000</v>
      </c>
      <c r="G34" s="87">
        <v>25000</v>
      </c>
      <c r="H34" s="87">
        <v>24000</v>
      </c>
      <c r="I34" s="87">
        <v>25000</v>
      </c>
      <c r="J34" s="50">
        <v>25000</v>
      </c>
      <c r="K34" s="71">
        <f t="shared" si="0"/>
        <v>24571.428571428572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2600</v>
      </c>
      <c r="H35" s="87">
        <v>2500</v>
      </c>
      <c r="I35" s="87">
        <v>3000</v>
      </c>
      <c r="J35" s="50">
        <v>3000</v>
      </c>
      <c r="K35" s="71">
        <f t="shared" si="0"/>
        <v>2728.5714285714284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1250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8750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 t="s">
        <v>95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9166.6666666666661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10000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8571.4285714285706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30000</v>
      </c>
      <c r="E64" s="87">
        <v>28000</v>
      </c>
      <c r="F64" s="87">
        <v>27000</v>
      </c>
      <c r="G64" s="87">
        <v>28000</v>
      </c>
      <c r="H64" s="87">
        <v>27000</v>
      </c>
      <c r="I64" s="87">
        <v>22000</v>
      </c>
      <c r="J64" s="50">
        <v>25000</v>
      </c>
      <c r="K64" s="71">
        <f t="shared" si="0"/>
        <v>26714.285714285714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50000</v>
      </c>
      <c r="E65" s="87">
        <v>26000</v>
      </c>
      <c r="F65" s="87">
        <v>25000</v>
      </c>
      <c r="G65" s="87">
        <v>28000</v>
      </c>
      <c r="H65" s="87">
        <v>27000</v>
      </c>
      <c r="I65" s="89">
        <v>25000</v>
      </c>
      <c r="J65" s="50" t="s">
        <v>95</v>
      </c>
      <c r="K65" s="71">
        <f t="shared" si="0"/>
        <v>30166.666666666668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66000</v>
      </c>
      <c r="E66" s="87">
        <v>55000</v>
      </c>
      <c r="F66" s="87" t="s">
        <v>95</v>
      </c>
      <c r="G66" s="87">
        <v>55000</v>
      </c>
      <c r="H66" s="87">
        <v>65000</v>
      </c>
      <c r="I66" s="87">
        <v>55000</v>
      </c>
      <c r="J66" s="50">
        <v>70000</v>
      </c>
      <c r="K66" s="71">
        <f t="shared" si="0"/>
        <v>61000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38000</v>
      </c>
      <c r="K70" s="71">
        <f t="shared" si="0"/>
        <v>34571.428571428572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35000</v>
      </c>
      <c r="K71" s="71">
        <f t="shared" si="0"/>
        <v>32285.714285714286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20000</v>
      </c>
      <c r="G72" s="87">
        <v>20000</v>
      </c>
      <c r="H72" s="87">
        <v>20000</v>
      </c>
      <c r="I72" s="87">
        <v>20000</v>
      </c>
      <c r="J72" s="50">
        <v>20000</v>
      </c>
      <c r="K72" s="71">
        <f t="shared" si="0"/>
        <v>19714.285714285714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30000</v>
      </c>
      <c r="E73" s="87">
        <v>25000</v>
      </c>
      <c r="F73" s="88">
        <v>25000</v>
      </c>
      <c r="G73" s="89">
        <v>30000</v>
      </c>
      <c r="H73" s="87">
        <v>25000</v>
      </c>
      <c r="I73" s="87">
        <v>27000</v>
      </c>
      <c r="J73" s="50" t="s">
        <v>95</v>
      </c>
      <c r="K73" s="71">
        <f t="shared" si="0"/>
        <v>27000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10000</v>
      </c>
      <c r="K78" s="71">
        <f t="shared" si="0"/>
        <v>8000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15000</v>
      </c>
      <c r="H79" s="87">
        <v>10000</v>
      </c>
      <c r="I79" s="88">
        <v>12000</v>
      </c>
      <c r="J79" s="50">
        <v>15000</v>
      </c>
      <c r="K79" s="71">
        <f t="shared" si="0"/>
        <v>12857.142857142857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14000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16000</v>
      </c>
      <c r="J80" s="50">
        <v>15000</v>
      </c>
      <c r="K80" s="71">
        <f t="shared" si="0"/>
        <v>15142.857142857143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63DA-5920-4202-BC48-90675A8408B3}">
  <dimension ref="A1:N94"/>
  <sheetViews>
    <sheetView workbookViewId="0">
      <selection activeCell="K11" sqref="K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67" customWidth="1"/>
    <col min="5" max="5" width="15.125" style="68" customWidth="1"/>
    <col min="6" max="6" width="15.375" style="68" customWidth="1"/>
    <col min="7" max="7" width="14.625" style="68" customWidth="1"/>
    <col min="8" max="8" width="14.75" style="68" customWidth="1"/>
    <col min="9" max="9" width="14.25" style="68" customWidth="1"/>
    <col min="10" max="10" width="14.125" style="68" customWidth="1"/>
    <col min="11" max="11" width="13" style="6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2"/>
      <c r="M1" s="2"/>
    </row>
    <row r="2" spans="1:14" ht="27.75" customHeight="1" x14ac:dyDescent="0.25">
      <c r="A2" s="117" t="s">
        <v>85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2"/>
      <c r="M2" s="2"/>
    </row>
    <row r="3" spans="1:14" ht="27.75" customHeight="1" x14ac:dyDescent="0.25">
      <c r="A3" s="118" t="s">
        <v>163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2"/>
      <c r="M3" s="2"/>
    </row>
    <row r="4" spans="1:14" ht="25.5" customHeight="1" x14ac:dyDescent="0.25">
      <c r="A4" s="119" t="s">
        <v>1</v>
      </c>
      <c r="B4" s="120" t="s">
        <v>2</v>
      </c>
      <c r="C4" s="121" t="s">
        <v>86</v>
      </c>
      <c r="D4" s="122" t="s">
        <v>87</v>
      </c>
      <c r="E4" s="123" t="s">
        <v>88</v>
      </c>
      <c r="F4" s="124" t="s">
        <v>89</v>
      </c>
      <c r="G4" s="125" t="s">
        <v>90</v>
      </c>
      <c r="H4" s="126" t="s">
        <v>91</v>
      </c>
      <c r="I4" s="127" t="s">
        <v>92</v>
      </c>
      <c r="J4" s="128" t="s">
        <v>93</v>
      </c>
      <c r="K4" s="129" t="s">
        <v>94</v>
      </c>
      <c r="M4" s="2"/>
      <c r="N4" s="2"/>
    </row>
    <row r="5" spans="1:14" ht="15" customHeight="1" x14ac:dyDescent="0.25">
      <c r="A5" s="119"/>
      <c r="B5" s="120"/>
      <c r="C5" s="121"/>
      <c r="D5" s="122"/>
      <c r="E5" s="123"/>
      <c r="F5" s="124"/>
      <c r="G5" s="125"/>
      <c r="H5" s="126"/>
      <c r="I5" s="127"/>
      <c r="J5" s="128"/>
      <c r="K5" s="129"/>
      <c r="M5" s="2"/>
      <c r="N5" s="2"/>
    </row>
    <row r="6" spans="1:14" ht="15.75" x14ac:dyDescent="0.25">
      <c r="A6" s="119"/>
      <c r="B6" s="120"/>
      <c r="C6" s="121"/>
      <c r="D6" s="122"/>
      <c r="E6" s="123"/>
      <c r="F6" s="124"/>
      <c r="G6" s="125"/>
      <c r="H6" s="126"/>
      <c r="I6" s="127"/>
      <c r="J6" s="128"/>
      <c r="K6" s="129"/>
      <c r="M6" s="2"/>
      <c r="N6" s="2"/>
    </row>
    <row r="7" spans="1:14" ht="15.75" x14ac:dyDescent="0.25">
      <c r="A7" s="115">
        <v>1</v>
      </c>
      <c r="B7" s="44" t="s">
        <v>3</v>
      </c>
      <c r="C7" s="45"/>
      <c r="D7" s="59"/>
      <c r="E7" s="6" t="s">
        <v>98</v>
      </c>
      <c r="F7" s="6"/>
      <c r="G7" s="69"/>
      <c r="H7" s="69" t="s">
        <v>1</v>
      </c>
      <c r="I7" s="46"/>
      <c r="J7" s="69"/>
      <c r="K7" s="70"/>
      <c r="M7" s="2"/>
      <c r="N7" s="2"/>
    </row>
    <row r="8" spans="1:14" ht="15.75" x14ac:dyDescent="0.25">
      <c r="A8" s="115"/>
      <c r="B8" s="47" t="s">
        <v>103</v>
      </c>
      <c r="C8" s="6" t="s">
        <v>4</v>
      </c>
      <c r="D8" s="87">
        <v>13000</v>
      </c>
      <c r="E8" s="87">
        <v>13500</v>
      </c>
      <c r="F8" s="87">
        <v>14000</v>
      </c>
      <c r="G8" s="87">
        <v>13500</v>
      </c>
      <c r="H8" s="87">
        <v>14000</v>
      </c>
      <c r="I8" s="87">
        <v>14000</v>
      </c>
      <c r="J8" s="88">
        <v>14000</v>
      </c>
      <c r="K8" s="71">
        <f>AVERAGE(D8:J8)</f>
        <v>13714.285714285714</v>
      </c>
      <c r="L8" s="1"/>
      <c r="M8" s="3"/>
      <c r="N8" s="2"/>
    </row>
    <row r="9" spans="1:14" ht="15.75" x14ac:dyDescent="0.25">
      <c r="A9" s="115"/>
      <c r="B9" s="47" t="s">
        <v>125</v>
      </c>
      <c r="C9" s="6" t="s">
        <v>4</v>
      </c>
      <c r="D9" s="87">
        <v>10900</v>
      </c>
      <c r="E9" s="87">
        <v>10900</v>
      </c>
      <c r="F9" s="87">
        <v>10900</v>
      </c>
      <c r="G9" s="89">
        <v>10900</v>
      </c>
      <c r="H9" s="87">
        <v>10900</v>
      </c>
      <c r="I9" s="87">
        <v>11000</v>
      </c>
      <c r="J9" s="88" t="s">
        <v>95</v>
      </c>
      <c r="K9" s="71">
        <f t="shared" ref="K9:K80" si="0">AVERAGE(D9:J9)</f>
        <v>10916.666666666666</v>
      </c>
      <c r="M9" s="2"/>
      <c r="N9" s="2"/>
    </row>
    <row r="10" spans="1:14" ht="15.75" x14ac:dyDescent="0.25">
      <c r="A10" s="115"/>
      <c r="B10" s="47" t="s">
        <v>104</v>
      </c>
      <c r="C10" s="6" t="s">
        <v>4</v>
      </c>
      <c r="D10" s="87" t="s">
        <v>95</v>
      </c>
      <c r="E10" s="87" t="s">
        <v>95</v>
      </c>
      <c r="F10" s="87" t="s">
        <v>95</v>
      </c>
      <c r="G10" s="89" t="s">
        <v>95</v>
      </c>
      <c r="H10" s="87" t="s">
        <v>95</v>
      </c>
      <c r="I10" s="87" t="s">
        <v>95</v>
      </c>
      <c r="J10" s="88" t="s">
        <v>95</v>
      </c>
      <c r="K10" s="71">
        <v>0</v>
      </c>
      <c r="M10" s="2"/>
      <c r="N10" s="2"/>
    </row>
    <row r="11" spans="1:14" ht="15.75" x14ac:dyDescent="0.25">
      <c r="A11" s="115"/>
      <c r="B11" s="47" t="s">
        <v>5</v>
      </c>
      <c r="C11" s="6" t="s">
        <v>4</v>
      </c>
      <c r="D11" s="87" t="s">
        <v>95</v>
      </c>
      <c r="E11" s="87">
        <v>10000</v>
      </c>
      <c r="F11" s="88">
        <v>12000</v>
      </c>
      <c r="G11" s="89">
        <v>10000</v>
      </c>
      <c r="H11" s="87" t="s">
        <v>95</v>
      </c>
      <c r="I11" s="88">
        <v>12000</v>
      </c>
      <c r="J11" s="88">
        <v>8000</v>
      </c>
      <c r="K11" s="71">
        <f>AVERAGE(D11:J11)</f>
        <v>10400</v>
      </c>
      <c r="M11" s="2"/>
      <c r="N11" s="2"/>
    </row>
    <row r="12" spans="1:14" ht="15.75" x14ac:dyDescent="0.25">
      <c r="A12" s="115"/>
      <c r="B12" s="47" t="s">
        <v>6</v>
      </c>
      <c r="C12" s="6" t="s">
        <v>4</v>
      </c>
      <c r="D12" s="87" t="s">
        <v>95</v>
      </c>
      <c r="E12" s="87">
        <v>21000</v>
      </c>
      <c r="F12" s="88">
        <v>17000</v>
      </c>
      <c r="G12" s="89">
        <v>20000</v>
      </c>
      <c r="H12" s="87" t="s">
        <v>95</v>
      </c>
      <c r="I12" s="88">
        <v>17000</v>
      </c>
      <c r="J12" s="88">
        <v>17000</v>
      </c>
      <c r="K12" s="71">
        <f t="shared" si="0"/>
        <v>18400</v>
      </c>
      <c r="M12" s="2"/>
      <c r="N12" s="2"/>
    </row>
    <row r="13" spans="1:14" ht="15.75" x14ac:dyDescent="0.25">
      <c r="A13" s="115">
        <v>2</v>
      </c>
      <c r="B13" s="44" t="s">
        <v>7</v>
      </c>
      <c r="C13" s="48"/>
      <c r="D13" s="59"/>
      <c r="E13" s="90"/>
      <c r="F13" s="6"/>
      <c r="G13" s="91"/>
      <c r="H13" s="91"/>
      <c r="I13" s="91"/>
      <c r="J13" s="91"/>
      <c r="K13" s="72"/>
      <c r="M13" s="2"/>
      <c r="N13" s="2"/>
    </row>
    <row r="14" spans="1:14" ht="15.75" x14ac:dyDescent="0.25">
      <c r="A14" s="115"/>
      <c r="B14" s="47" t="s">
        <v>116</v>
      </c>
      <c r="C14" s="6" t="s">
        <v>4</v>
      </c>
      <c r="D14" s="87">
        <v>15000</v>
      </c>
      <c r="E14" s="87">
        <v>14000</v>
      </c>
      <c r="F14" s="87">
        <v>14500</v>
      </c>
      <c r="G14" s="87">
        <v>13500</v>
      </c>
      <c r="H14" s="87">
        <v>15000</v>
      </c>
      <c r="I14" s="87">
        <v>13500</v>
      </c>
      <c r="J14" s="50">
        <v>16000</v>
      </c>
      <c r="K14" s="71">
        <f t="shared" si="0"/>
        <v>14500</v>
      </c>
      <c r="M14" s="2"/>
      <c r="N14" s="2"/>
    </row>
    <row r="15" spans="1:14" ht="15.75" x14ac:dyDescent="0.25">
      <c r="A15" s="115"/>
      <c r="B15" s="47" t="s">
        <v>9</v>
      </c>
      <c r="C15" s="6" t="s">
        <v>4</v>
      </c>
      <c r="D15" s="87">
        <v>15000</v>
      </c>
      <c r="E15" s="87">
        <v>16000</v>
      </c>
      <c r="F15" s="88">
        <v>15000</v>
      </c>
      <c r="G15" s="89">
        <v>14000</v>
      </c>
      <c r="H15" s="87">
        <v>15000</v>
      </c>
      <c r="I15" s="87">
        <v>15000</v>
      </c>
      <c r="J15" s="50">
        <v>16000</v>
      </c>
      <c r="K15" s="71">
        <f>AVERAGE(D15:J15)</f>
        <v>15142.857142857143</v>
      </c>
      <c r="M15" s="2"/>
      <c r="N15" s="2"/>
    </row>
    <row r="16" spans="1:14" ht="15.75" x14ac:dyDescent="0.25">
      <c r="A16" s="115">
        <v>3</v>
      </c>
      <c r="B16" s="44" t="s">
        <v>10</v>
      </c>
      <c r="C16" s="49"/>
      <c r="D16" s="73"/>
      <c r="E16" s="5"/>
      <c r="F16" s="5"/>
      <c r="G16" s="5"/>
      <c r="H16" s="5"/>
      <c r="I16" s="5"/>
      <c r="J16" s="86"/>
      <c r="K16" s="72"/>
      <c r="L16" s="2"/>
    </row>
    <row r="17" spans="1:14" ht="15.75" x14ac:dyDescent="0.25">
      <c r="A17" s="115"/>
      <c r="B17" s="47" t="s">
        <v>11</v>
      </c>
      <c r="C17" s="6" t="s">
        <v>4</v>
      </c>
      <c r="D17" s="87">
        <v>15000</v>
      </c>
      <c r="E17" s="87">
        <v>15000</v>
      </c>
      <c r="F17" s="87">
        <v>16000</v>
      </c>
      <c r="G17" s="87">
        <v>15000</v>
      </c>
      <c r="H17" s="87">
        <v>15000</v>
      </c>
      <c r="I17" s="87">
        <v>15000</v>
      </c>
      <c r="J17" s="50">
        <v>15000</v>
      </c>
      <c r="K17" s="71">
        <f t="shared" si="0"/>
        <v>15142.857142857143</v>
      </c>
      <c r="M17" s="2"/>
      <c r="N17" s="2"/>
    </row>
    <row r="18" spans="1:14" ht="15.75" x14ac:dyDescent="0.25">
      <c r="A18" s="85"/>
      <c r="B18" s="47" t="s">
        <v>105</v>
      </c>
      <c r="C18" s="6" t="s">
        <v>106</v>
      </c>
      <c r="D18" s="87">
        <v>14000</v>
      </c>
      <c r="E18" s="87">
        <v>14000</v>
      </c>
      <c r="F18" s="87">
        <v>14000</v>
      </c>
      <c r="G18" s="87">
        <v>14000</v>
      </c>
      <c r="H18" s="87" t="s">
        <v>95</v>
      </c>
      <c r="I18" s="87">
        <v>14000</v>
      </c>
      <c r="J18" s="50">
        <v>14000</v>
      </c>
      <c r="K18" s="71">
        <f t="shared" si="0"/>
        <v>14000</v>
      </c>
      <c r="M18" s="2"/>
      <c r="N18" s="2"/>
    </row>
    <row r="19" spans="1:14" ht="15.75" x14ac:dyDescent="0.25">
      <c r="A19" s="115">
        <v>4</v>
      </c>
      <c r="B19" s="44" t="s">
        <v>12</v>
      </c>
      <c r="C19" s="49"/>
      <c r="D19" s="73"/>
      <c r="E19" s="5"/>
      <c r="F19" s="5"/>
      <c r="G19" s="66"/>
      <c r="H19" s="5"/>
      <c r="I19" s="5"/>
      <c r="J19" s="86"/>
      <c r="K19" s="72"/>
      <c r="M19" s="2"/>
      <c r="N19" s="2"/>
    </row>
    <row r="20" spans="1:14" ht="17.25" customHeight="1" x14ac:dyDescent="0.25">
      <c r="A20" s="115"/>
      <c r="B20" s="47" t="s">
        <v>13</v>
      </c>
      <c r="C20" s="6" t="s">
        <v>4</v>
      </c>
      <c r="D20" s="87">
        <v>20000</v>
      </c>
      <c r="E20" s="87">
        <v>20000</v>
      </c>
      <c r="F20" s="88">
        <v>20000</v>
      </c>
      <c r="G20" s="89">
        <v>22000</v>
      </c>
      <c r="H20" s="90" t="s">
        <v>95</v>
      </c>
      <c r="I20" s="88">
        <v>20000</v>
      </c>
      <c r="J20" s="51" t="s">
        <v>95</v>
      </c>
      <c r="K20" s="71">
        <f t="shared" si="0"/>
        <v>20400</v>
      </c>
      <c r="M20" s="2"/>
      <c r="N20" s="2"/>
    </row>
    <row r="21" spans="1:14" ht="15.75" x14ac:dyDescent="0.25">
      <c r="A21" s="115">
        <v>5</v>
      </c>
      <c r="B21" s="44" t="s">
        <v>14</v>
      </c>
      <c r="C21" s="49"/>
      <c r="D21" s="73"/>
      <c r="E21" s="6"/>
      <c r="F21" s="5"/>
      <c r="G21" s="66"/>
      <c r="H21" s="5"/>
      <c r="I21" s="5"/>
      <c r="J21" s="86"/>
      <c r="K21" s="72"/>
      <c r="M21" s="2"/>
      <c r="N21" s="2"/>
    </row>
    <row r="22" spans="1:14" ht="15.75" x14ac:dyDescent="0.25">
      <c r="A22" s="115"/>
      <c r="B22" s="47" t="s">
        <v>15</v>
      </c>
      <c r="C22" s="6" t="s">
        <v>4</v>
      </c>
      <c r="D22" s="87">
        <v>120000</v>
      </c>
      <c r="E22" s="87">
        <v>120000</v>
      </c>
      <c r="F22" s="87">
        <v>120000</v>
      </c>
      <c r="G22" s="87">
        <v>120000</v>
      </c>
      <c r="H22" s="87">
        <v>120000</v>
      </c>
      <c r="I22" s="89">
        <v>120000</v>
      </c>
      <c r="J22" s="50" t="s">
        <v>95</v>
      </c>
      <c r="K22" s="71">
        <f t="shared" si="0"/>
        <v>120000</v>
      </c>
      <c r="M22" s="2"/>
      <c r="N22" s="2"/>
    </row>
    <row r="23" spans="1:14" ht="15.75" x14ac:dyDescent="0.25">
      <c r="A23" s="115"/>
      <c r="B23" s="47" t="s">
        <v>16</v>
      </c>
      <c r="C23" s="6" t="s">
        <v>4</v>
      </c>
      <c r="D23" s="87">
        <v>110000</v>
      </c>
      <c r="E23" s="87">
        <v>110000</v>
      </c>
      <c r="F23" s="87">
        <v>110000</v>
      </c>
      <c r="G23" s="87">
        <v>110000</v>
      </c>
      <c r="H23" s="87">
        <v>115000</v>
      </c>
      <c r="I23" s="87">
        <v>115000</v>
      </c>
      <c r="J23" s="50">
        <v>110000</v>
      </c>
      <c r="K23" s="71">
        <f t="shared" si="0"/>
        <v>111428.57142857143</v>
      </c>
      <c r="M23" s="2"/>
      <c r="N23" s="2"/>
    </row>
    <row r="24" spans="1:14" ht="15.75" x14ac:dyDescent="0.25">
      <c r="A24" s="115"/>
      <c r="B24" s="47" t="s">
        <v>17</v>
      </c>
      <c r="C24" s="6" t="s">
        <v>4</v>
      </c>
      <c r="D24" s="87">
        <v>90000</v>
      </c>
      <c r="E24" s="87">
        <v>95000</v>
      </c>
      <c r="F24" s="87">
        <v>100000</v>
      </c>
      <c r="G24" s="87">
        <v>105000</v>
      </c>
      <c r="H24" s="87">
        <v>110000</v>
      </c>
      <c r="I24" s="89">
        <v>100000</v>
      </c>
      <c r="J24" s="50">
        <v>105000</v>
      </c>
      <c r="K24" s="71">
        <f t="shared" si="0"/>
        <v>100714.28571428571</v>
      </c>
      <c r="M24" s="2"/>
      <c r="N24" s="2"/>
    </row>
    <row r="25" spans="1:14" ht="15.75" x14ac:dyDescent="0.25">
      <c r="A25" s="115"/>
      <c r="B25" s="47" t="s">
        <v>18</v>
      </c>
      <c r="C25" s="6" t="s">
        <v>4</v>
      </c>
      <c r="D25" s="87">
        <v>34000</v>
      </c>
      <c r="E25" s="87">
        <v>33000</v>
      </c>
      <c r="F25" s="87">
        <v>34000</v>
      </c>
      <c r="G25" s="87">
        <v>34000</v>
      </c>
      <c r="H25" s="50">
        <v>35000</v>
      </c>
      <c r="I25" s="87">
        <v>34000</v>
      </c>
      <c r="J25" s="50">
        <v>34000</v>
      </c>
      <c r="K25" s="71">
        <f t="shared" si="0"/>
        <v>34000</v>
      </c>
      <c r="M25" s="2"/>
      <c r="N25" s="2"/>
    </row>
    <row r="26" spans="1:14" ht="15.75" x14ac:dyDescent="0.25">
      <c r="A26" s="115">
        <v>6</v>
      </c>
      <c r="B26" s="44" t="s">
        <v>19</v>
      </c>
      <c r="C26" s="49"/>
      <c r="D26" s="73"/>
      <c r="E26" s="6"/>
      <c r="F26" s="66"/>
      <c r="G26" s="5"/>
      <c r="H26" s="86"/>
      <c r="I26" s="5"/>
      <c r="J26" s="86"/>
      <c r="K26" s="72"/>
      <c r="M26" s="2"/>
      <c r="N26" s="2"/>
    </row>
    <row r="27" spans="1:14" ht="15.75" x14ac:dyDescent="0.25">
      <c r="A27" s="115"/>
      <c r="B27" s="47" t="s">
        <v>20</v>
      </c>
      <c r="C27" s="6" t="s">
        <v>4</v>
      </c>
      <c r="D27" s="87">
        <v>35000</v>
      </c>
      <c r="E27" s="87">
        <v>36000</v>
      </c>
      <c r="F27" s="87" t="s">
        <v>95</v>
      </c>
      <c r="G27" s="87">
        <v>35000</v>
      </c>
      <c r="H27" s="87">
        <v>35000</v>
      </c>
      <c r="I27" s="87">
        <v>35000</v>
      </c>
      <c r="J27" s="50">
        <v>35000</v>
      </c>
      <c r="K27" s="71">
        <f t="shared" si="0"/>
        <v>35166.666666666664</v>
      </c>
      <c r="M27" s="2"/>
      <c r="N27" s="2"/>
    </row>
    <row r="28" spans="1:14" ht="15.75" x14ac:dyDescent="0.25">
      <c r="A28" s="115"/>
      <c r="B28" s="47" t="s">
        <v>21</v>
      </c>
      <c r="C28" s="6" t="s">
        <v>4</v>
      </c>
      <c r="D28" s="87">
        <v>25000</v>
      </c>
      <c r="E28" s="87">
        <v>28000</v>
      </c>
      <c r="F28" s="87">
        <v>30000</v>
      </c>
      <c r="G28" s="89">
        <v>30000</v>
      </c>
      <c r="H28" s="87">
        <v>23000</v>
      </c>
      <c r="I28" s="87">
        <v>30000</v>
      </c>
      <c r="J28" s="52">
        <v>25000</v>
      </c>
      <c r="K28" s="71">
        <f t="shared" si="0"/>
        <v>27285.714285714286</v>
      </c>
      <c r="M28" s="2"/>
      <c r="N28" s="2"/>
    </row>
    <row r="29" spans="1:14" ht="15.75" x14ac:dyDescent="0.25">
      <c r="A29" s="115"/>
      <c r="B29" s="47" t="s">
        <v>22</v>
      </c>
      <c r="C29" s="6" t="s">
        <v>4</v>
      </c>
      <c r="D29" s="87">
        <v>60000</v>
      </c>
      <c r="E29" s="87">
        <v>60000</v>
      </c>
      <c r="F29" s="88">
        <v>75000</v>
      </c>
      <c r="G29" s="89">
        <v>70000</v>
      </c>
      <c r="H29" s="87">
        <v>68000</v>
      </c>
      <c r="I29" s="87">
        <v>68000</v>
      </c>
      <c r="J29" s="53">
        <v>65000</v>
      </c>
      <c r="K29" s="71">
        <f t="shared" si="0"/>
        <v>66571.428571428565</v>
      </c>
      <c r="M29" s="2"/>
      <c r="N29" s="2"/>
    </row>
    <row r="30" spans="1:14" ht="15.75" x14ac:dyDescent="0.25">
      <c r="A30" s="115"/>
      <c r="B30" s="47" t="s">
        <v>23</v>
      </c>
      <c r="C30" s="6" t="s">
        <v>4</v>
      </c>
      <c r="D30" s="87">
        <v>25000</v>
      </c>
      <c r="E30" s="87" t="s">
        <v>95</v>
      </c>
      <c r="F30" s="90" t="s">
        <v>95</v>
      </c>
      <c r="G30" s="89">
        <v>25000</v>
      </c>
      <c r="H30" s="87">
        <v>23000</v>
      </c>
      <c r="I30" s="87">
        <v>24000</v>
      </c>
      <c r="J30" s="53">
        <v>26000</v>
      </c>
      <c r="K30" s="71">
        <f t="shared" si="0"/>
        <v>24600</v>
      </c>
      <c r="M30" s="2"/>
      <c r="N30" s="2"/>
    </row>
    <row r="31" spans="1:14" ht="15.75" x14ac:dyDescent="0.25">
      <c r="A31" s="115"/>
      <c r="B31" s="47" t="s">
        <v>24</v>
      </c>
      <c r="C31" s="6" t="s">
        <v>4</v>
      </c>
      <c r="D31" s="87">
        <v>35000</v>
      </c>
      <c r="E31" s="87">
        <v>36000</v>
      </c>
      <c r="F31" s="87">
        <v>40000</v>
      </c>
      <c r="G31" s="87">
        <v>35000</v>
      </c>
      <c r="H31" s="87">
        <v>28000</v>
      </c>
      <c r="I31" s="87">
        <v>38000</v>
      </c>
      <c r="J31" s="50">
        <v>40000</v>
      </c>
      <c r="K31" s="71">
        <f t="shared" si="0"/>
        <v>36000</v>
      </c>
      <c r="M31" s="2"/>
      <c r="N31" s="2"/>
    </row>
    <row r="32" spans="1:14" ht="15.75" x14ac:dyDescent="0.25">
      <c r="A32" s="115"/>
      <c r="B32" s="47" t="s">
        <v>25</v>
      </c>
      <c r="C32" s="6" t="s">
        <v>4</v>
      </c>
      <c r="D32" s="87" t="s">
        <v>95</v>
      </c>
      <c r="E32" s="87">
        <v>100000</v>
      </c>
      <c r="F32" s="87">
        <v>100000</v>
      </c>
      <c r="G32" s="87" t="s">
        <v>95</v>
      </c>
      <c r="H32" s="87">
        <v>80000</v>
      </c>
      <c r="I32" s="87" t="s">
        <v>95</v>
      </c>
      <c r="J32" s="53">
        <v>70000</v>
      </c>
      <c r="K32" s="71">
        <f t="shared" si="0"/>
        <v>87500</v>
      </c>
      <c r="M32" s="2"/>
      <c r="N32" s="2"/>
    </row>
    <row r="33" spans="1:14" ht="15.75" x14ac:dyDescent="0.25">
      <c r="A33" s="115">
        <v>7</v>
      </c>
      <c r="B33" s="44" t="s">
        <v>26</v>
      </c>
      <c r="C33" s="49"/>
      <c r="D33" s="73"/>
      <c r="E33" s="6"/>
      <c r="F33" s="66"/>
      <c r="G33" s="66"/>
      <c r="H33" s="5"/>
      <c r="I33" s="5"/>
      <c r="J33" s="86"/>
      <c r="K33" s="72"/>
      <c r="M33" s="2"/>
      <c r="N33" s="2"/>
    </row>
    <row r="34" spans="1:14" ht="15.75" x14ac:dyDescent="0.25">
      <c r="A34" s="115"/>
      <c r="B34" s="47" t="s">
        <v>27</v>
      </c>
      <c r="C34" s="6" t="s">
        <v>4</v>
      </c>
      <c r="D34" s="87">
        <v>24000</v>
      </c>
      <c r="E34" s="87">
        <v>24000</v>
      </c>
      <c r="F34" s="87">
        <v>25000</v>
      </c>
      <c r="G34" s="87">
        <v>24000</v>
      </c>
      <c r="H34" s="87">
        <v>24000</v>
      </c>
      <c r="I34" s="87">
        <v>25000</v>
      </c>
      <c r="J34" s="50">
        <v>25000</v>
      </c>
      <c r="K34" s="71">
        <f t="shared" si="0"/>
        <v>24428.571428571428</v>
      </c>
      <c r="M34" s="2"/>
      <c r="N34" s="2"/>
    </row>
    <row r="35" spans="1:14" ht="15.75" x14ac:dyDescent="0.25">
      <c r="A35" s="115"/>
      <c r="B35" s="47" t="s">
        <v>28</v>
      </c>
      <c r="C35" s="6" t="s">
        <v>29</v>
      </c>
      <c r="D35" s="87">
        <v>3000</v>
      </c>
      <c r="E35" s="87">
        <v>2500</v>
      </c>
      <c r="F35" s="87">
        <v>2500</v>
      </c>
      <c r="G35" s="87">
        <v>2600</v>
      </c>
      <c r="H35" s="87">
        <v>2500</v>
      </c>
      <c r="I35" s="87">
        <v>3000</v>
      </c>
      <c r="J35" s="50">
        <v>3000</v>
      </c>
      <c r="K35" s="71">
        <f t="shared" si="0"/>
        <v>2728.5714285714284</v>
      </c>
      <c r="M35" s="2"/>
      <c r="N35" s="2"/>
    </row>
    <row r="36" spans="1:14" ht="15.75" x14ac:dyDescent="0.25">
      <c r="A36" s="85">
        <v>8</v>
      </c>
      <c r="B36" s="49" t="s">
        <v>117</v>
      </c>
      <c r="C36" s="54"/>
      <c r="D36" s="87"/>
      <c r="E36" s="87"/>
      <c r="F36" s="87"/>
      <c r="G36" s="87"/>
      <c r="H36" s="87"/>
      <c r="I36" s="87"/>
      <c r="J36" s="50"/>
      <c r="K36" s="74"/>
      <c r="M36" s="2"/>
      <c r="N36" s="2"/>
    </row>
    <row r="37" spans="1:14" ht="15.75" x14ac:dyDescent="0.25">
      <c r="A37" s="85"/>
      <c r="B37" s="47" t="s">
        <v>118</v>
      </c>
      <c r="C37" s="6" t="s">
        <v>4</v>
      </c>
      <c r="D37" s="87">
        <v>10000</v>
      </c>
      <c r="E37" s="87">
        <v>1250</v>
      </c>
      <c r="F37" s="87">
        <v>9000</v>
      </c>
      <c r="G37" s="87">
        <v>9000</v>
      </c>
      <c r="H37" s="87">
        <v>16000</v>
      </c>
      <c r="I37" s="87">
        <v>7000</v>
      </c>
      <c r="J37" s="50">
        <v>9000</v>
      </c>
      <c r="K37" s="71">
        <f t="shared" si="0"/>
        <v>8750</v>
      </c>
      <c r="M37" s="2"/>
      <c r="N37" s="2"/>
    </row>
    <row r="38" spans="1:14" ht="15.75" x14ac:dyDescent="0.25">
      <c r="A38" s="85"/>
      <c r="B38" s="47" t="s">
        <v>119</v>
      </c>
      <c r="C38" s="6" t="s">
        <v>4</v>
      </c>
      <c r="D38" s="87" t="s">
        <v>95</v>
      </c>
      <c r="E38" s="87">
        <v>10000</v>
      </c>
      <c r="F38" s="87">
        <v>12000</v>
      </c>
      <c r="G38" s="87">
        <v>14000</v>
      </c>
      <c r="H38" s="87" t="s">
        <v>95</v>
      </c>
      <c r="I38" s="87">
        <v>15000</v>
      </c>
      <c r="J38" s="50">
        <v>12000</v>
      </c>
      <c r="K38" s="71">
        <f>AVERAGE(D38:J38)</f>
        <v>12600</v>
      </c>
      <c r="M38" s="2"/>
      <c r="N38" s="2"/>
    </row>
    <row r="39" spans="1:14" ht="15.75" x14ac:dyDescent="0.25">
      <c r="A39" s="85">
        <v>9</v>
      </c>
      <c r="B39" s="55" t="s">
        <v>120</v>
      </c>
      <c r="C39" s="56"/>
      <c r="D39" s="87"/>
      <c r="E39" s="87"/>
      <c r="F39" s="87"/>
      <c r="G39" s="87"/>
      <c r="H39" s="87"/>
      <c r="I39" s="87"/>
      <c r="J39" s="50"/>
      <c r="K39" s="74"/>
      <c r="M39" s="2"/>
      <c r="N39" s="2"/>
    </row>
    <row r="40" spans="1:14" ht="15.75" x14ac:dyDescent="0.25">
      <c r="A40" s="85"/>
      <c r="B40" s="47" t="s">
        <v>121</v>
      </c>
      <c r="C40" s="6" t="s">
        <v>4</v>
      </c>
      <c r="D40" s="87" t="s">
        <v>95</v>
      </c>
      <c r="E40" s="87" t="s">
        <v>95</v>
      </c>
      <c r="F40" s="87" t="s">
        <v>95</v>
      </c>
      <c r="G40" s="87">
        <v>16000</v>
      </c>
      <c r="H40" s="87">
        <v>14000</v>
      </c>
      <c r="I40" s="87">
        <v>7000</v>
      </c>
      <c r="J40" s="50">
        <v>15000</v>
      </c>
      <c r="K40" s="71">
        <f t="shared" si="0"/>
        <v>13000</v>
      </c>
      <c r="M40" s="2"/>
      <c r="N40" s="2"/>
    </row>
    <row r="41" spans="1:14" ht="15.75" x14ac:dyDescent="0.25">
      <c r="A41" s="85"/>
      <c r="B41" s="47" t="s">
        <v>122</v>
      </c>
      <c r="C41" s="6" t="s">
        <v>4</v>
      </c>
      <c r="D41" s="87">
        <v>2500</v>
      </c>
      <c r="E41" s="87" t="s">
        <v>95</v>
      </c>
      <c r="F41" s="87">
        <v>6000</v>
      </c>
      <c r="G41" s="87" t="s">
        <v>95</v>
      </c>
      <c r="H41" s="87" t="s">
        <v>95</v>
      </c>
      <c r="I41" s="87" t="s">
        <v>95</v>
      </c>
      <c r="J41" s="50" t="s">
        <v>95</v>
      </c>
      <c r="K41" s="71">
        <f t="shared" si="0"/>
        <v>4250</v>
      </c>
      <c r="M41" s="2"/>
      <c r="N41" s="2"/>
    </row>
    <row r="42" spans="1:14" ht="15.75" x14ac:dyDescent="0.25">
      <c r="A42" s="85"/>
      <c r="B42" s="47" t="s">
        <v>123</v>
      </c>
      <c r="C42" s="6" t="s">
        <v>4</v>
      </c>
      <c r="D42" s="87" t="s">
        <v>95</v>
      </c>
      <c r="E42" s="87">
        <v>2500</v>
      </c>
      <c r="F42" s="87" t="s">
        <v>95</v>
      </c>
      <c r="G42" s="87" t="s">
        <v>95</v>
      </c>
      <c r="H42" s="87" t="s">
        <v>95</v>
      </c>
      <c r="I42" s="87" t="s">
        <v>95</v>
      </c>
      <c r="J42" s="50" t="s">
        <v>95</v>
      </c>
      <c r="K42" s="71">
        <f t="shared" si="0"/>
        <v>2500</v>
      </c>
      <c r="M42" s="2"/>
      <c r="N42" s="2"/>
    </row>
    <row r="43" spans="1:14" ht="15.75" x14ac:dyDescent="0.25">
      <c r="A43" s="115">
        <v>10</v>
      </c>
      <c r="B43" s="44" t="s">
        <v>30</v>
      </c>
      <c r="C43" s="49"/>
      <c r="D43" s="73"/>
      <c r="E43" s="6"/>
      <c r="F43" s="66"/>
      <c r="G43" s="5"/>
      <c r="H43" s="5"/>
      <c r="I43" s="5"/>
      <c r="J43" s="75"/>
      <c r="K43" s="72"/>
      <c r="M43" s="2"/>
      <c r="N43" s="2"/>
    </row>
    <row r="44" spans="1:14" ht="15.75" x14ac:dyDescent="0.25">
      <c r="A44" s="115"/>
      <c r="B44" s="47" t="s">
        <v>31</v>
      </c>
      <c r="C44" s="6" t="s">
        <v>32</v>
      </c>
      <c r="D44" s="87">
        <v>12500</v>
      </c>
      <c r="E44" s="87">
        <v>12000</v>
      </c>
      <c r="F44" s="87">
        <v>12500</v>
      </c>
      <c r="G44" s="87">
        <v>12500</v>
      </c>
      <c r="H44" s="90" t="s">
        <v>95</v>
      </c>
      <c r="I44" s="88">
        <v>12500</v>
      </c>
      <c r="J44" s="50">
        <v>12500</v>
      </c>
      <c r="K44" s="71">
        <f t="shared" si="0"/>
        <v>12416.666666666666</v>
      </c>
      <c r="M44" s="2"/>
      <c r="N44" s="2"/>
    </row>
    <row r="45" spans="1:14" ht="15.75" x14ac:dyDescent="0.25">
      <c r="A45" s="115"/>
      <c r="B45" s="47" t="s">
        <v>124</v>
      </c>
      <c r="C45" s="6" t="s">
        <v>32</v>
      </c>
      <c r="D45" s="87">
        <v>12500</v>
      </c>
      <c r="E45" s="87">
        <v>13000</v>
      </c>
      <c r="F45" s="88">
        <v>12500</v>
      </c>
      <c r="G45" s="87">
        <v>12500</v>
      </c>
      <c r="H45" s="90" t="s">
        <v>95</v>
      </c>
      <c r="I45" s="88">
        <v>12500</v>
      </c>
      <c r="J45" s="53">
        <v>12500</v>
      </c>
      <c r="K45" s="71">
        <f>AVERAGE(D45:J45)</f>
        <v>12583.333333333334</v>
      </c>
      <c r="M45" s="2"/>
      <c r="N45" s="2"/>
    </row>
    <row r="46" spans="1:14" ht="15.75" x14ac:dyDescent="0.25">
      <c r="A46" s="115">
        <v>11</v>
      </c>
      <c r="B46" s="44" t="s">
        <v>34</v>
      </c>
      <c r="C46" s="49"/>
      <c r="D46" s="73"/>
      <c r="E46" s="6"/>
      <c r="F46" s="5"/>
      <c r="G46" s="66"/>
      <c r="H46" s="5"/>
      <c r="I46" s="5"/>
      <c r="J46" s="86"/>
      <c r="K46" s="72"/>
      <c r="M46" s="2"/>
      <c r="N46" s="2"/>
    </row>
    <row r="47" spans="1:14" ht="15.75" x14ac:dyDescent="0.25">
      <c r="A47" s="115"/>
      <c r="B47" s="47" t="s">
        <v>35</v>
      </c>
      <c r="C47" s="6" t="s">
        <v>36</v>
      </c>
      <c r="D47" s="87" t="s">
        <v>95</v>
      </c>
      <c r="E47" s="87" t="s">
        <v>95</v>
      </c>
      <c r="F47" s="90" t="s">
        <v>95</v>
      </c>
      <c r="G47" s="89" t="s">
        <v>95</v>
      </c>
      <c r="H47" s="87">
        <v>17500</v>
      </c>
      <c r="I47" s="88" t="s">
        <v>95</v>
      </c>
      <c r="J47" s="53" t="s">
        <v>95</v>
      </c>
      <c r="K47" s="71">
        <f t="shared" si="0"/>
        <v>17500</v>
      </c>
      <c r="M47" s="2"/>
      <c r="N47" s="2"/>
    </row>
    <row r="48" spans="1:14" ht="15.75" x14ac:dyDescent="0.25">
      <c r="A48" s="115"/>
      <c r="B48" s="47" t="s">
        <v>37</v>
      </c>
      <c r="C48" s="6" t="s">
        <v>38</v>
      </c>
      <c r="D48" s="87" t="s">
        <v>95</v>
      </c>
      <c r="E48" s="87" t="s">
        <v>95</v>
      </c>
      <c r="F48" s="90" t="s">
        <v>95</v>
      </c>
      <c r="G48" s="89" t="s">
        <v>95</v>
      </c>
      <c r="H48" s="87">
        <v>2000</v>
      </c>
      <c r="I48" s="88" t="s">
        <v>95</v>
      </c>
      <c r="J48" s="53" t="s">
        <v>95</v>
      </c>
      <c r="K48" s="71">
        <f t="shared" si="0"/>
        <v>2000</v>
      </c>
      <c r="M48" s="2"/>
      <c r="N48" s="2"/>
    </row>
    <row r="49" spans="1:14" ht="15.75" x14ac:dyDescent="0.25">
      <c r="A49" s="85">
        <v>12</v>
      </c>
      <c r="B49" s="57" t="s">
        <v>39</v>
      </c>
      <c r="C49" s="54"/>
      <c r="D49" s="92"/>
      <c r="E49" s="90"/>
      <c r="F49" s="90"/>
      <c r="G49" s="93"/>
      <c r="H49" s="90"/>
      <c r="I49" s="90"/>
      <c r="J49" s="51"/>
      <c r="K49" s="72"/>
      <c r="M49" s="2"/>
      <c r="N49" s="2"/>
    </row>
    <row r="50" spans="1:14" ht="15.75" x14ac:dyDescent="0.25">
      <c r="A50" s="85"/>
      <c r="B50" s="47" t="s">
        <v>40</v>
      </c>
      <c r="C50" s="58" t="s">
        <v>4</v>
      </c>
      <c r="D50" s="87" t="s">
        <v>95</v>
      </c>
      <c r="E50" s="87">
        <v>8000</v>
      </c>
      <c r="F50" s="87">
        <v>10000</v>
      </c>
      <c r="G50" s="87">
        <v>10000</v>
      </c>
      <c r="H50" s="87">
        <v>9000</v>
      </c>
      <c r="I50" s="89">
        <v>10000</v>
      </c>
      <c r="J50" s="50">
        <v>8000</v>
      </c>
      <c r="K50" s="71">
        <f t="shared" si="0"/>
        <v>9166.6666666666661</v>
      </c>
      <c r="M50" s="2"/>
      <c r="N50" s="2"/>
    </row>
    <row r="51" spans="1:14" ht="15.75" x14ac:dyDescent="0.25">
      <c r="A51" s="85"/>
      <c r="B51" s="47" t="s">
        <v>41</v>
      </c>
      <c r="C51" s="58" t="s">
        <v>4</v>
      </c>
      <c r="D51" s="87">
        <v>10000</v>
      </c>
      <c r="E51" s="87">
        <v>10000</v>
      </c>
      <c r="F51" s="89">
        <v>9000</v>
      </c>
      <c r="G51" s="87">
        <v>10000</v>
      </c>
      <c r="H51" s="87">
        <v>6000</v>
      </c>
      <c r="I51" s="87">
        <v>9000</v>
      </c>
      <c r="J51" s="50">
        <v>6000</v>
      </c>
      <c r="K51" s="71">
        <f t="shared" si="0"/>
        <v>8571.4285714285706</v>
      </c>
      <c r="M51" s="2"/>
      <c r="N51" s="2"/>
    </row>
    <row r="52" spans="1:14" ht="15.75" x14ac:dyDescent="0.25">
      <c r="A52" s="115">
        <v>13</v>
      </c>
      <c r="B52" s="44" t="s">
        <v>42</v>
      </c>
      <c r="C52" s="49"/>
      <c r="D52" s="73"/>
      <c r="E52" s="6"/>
      <c r="F52" s="66"/>
      <c r="G52" s="66"/>
      <c r="H52" s="5"/>
      <c r="I52" s="5"/>
      <c r="J52" s="75"/>
      <c r="K52" s="72"/>
      <c r="L52" s="2"/>
    </row>
    <row r="53" spans="1:14" ht="15.75" x14ac:dyDescent="0.25">
      <c r="A53" s="115"/>
      <c r="B53" s="47" t="s">
        <v>43</v>
      </c>
      <c r="C53" s="6" t="s">
        <v>44</v>
      </c>
      <c r="D53" s="87">
        <v>3000</v>
      </c>
      <c r="E53" s="87">
        <v>8000</v>
      </c>
      <c r="F53" s="87">
        <v>5000</v>
      </c>
      <c r="G53" s="87">
        <v>5000</v>
      </c>
      <c r="H53" s="87">
        <v>2500</v>
      </c>
      <c r="I53" s="88">
        <v>2500</v>
      </c>
      <c r="J53" s="50">
        <v>2500</v>
      </c>
      <c r="K53" s="71">
        <f t="shared" si="0"/>
        <v>4071.4285714285716</v>
      </c>
      <c r="M53" s="2"/>
      <c r="N53" s="8"/>
    </row>
    <row r="54" spans="1:14" ht="15.75" x14ac:dyDescent="0.25">
      <c r="A54" s="115">
        <v>14</v>
      </c>
      <c r="B54" s="44" t="s">
        <v>45</v>
      </c>
      <c r="C54" s="54"/>
      <c r="D54" s="59"/>
      <c r="E54" s="6"/>
      <c r="F54" s="7"/>
      <c r="G54" s="7"/>
      <c r="H54" s="6"/>
      <c r="I54" s="6"/>
      <c r="J54" s="76"/>
      <c r="K54" s="72"/>
      <c r="M54" s="2"/>
      <c r="N54" s="2"/>
    </row>
    <row r="55" spans="1:14" ht="15.75" x14ac:dyDescent="0.25">
      <c r="A55" s="115"/>
      <c r="B55" s="60" t="s">
        <v>46</v>
      </c>
      <c r="C55" s="58" t="s">
        <v>4</v>
      </c>
      <c r="D55" s="87">
        <v>10000</v>
      </c>
      <c r="E55" s="87">
        <v>10500</v>
      </c>
      <c r="F55" s="87">
        <v>10000</v>
      </c>
      <c r="G55" s="87">
        <v>11000</v>
      </c>
      <c r="H55" s="87">
        <v>12000</v>
      </c>
      <c r="I55" s="87">
        <v>10000</v>
      </c>
      <c r="J55" s="50">
        <v>10000</v>
      </c>
      <c r="K55" s="71">
        <f t="shared" si="0"/>
        <v>10500</v>
      </c>
      <c r="M55" s="2"/>
      <c r="N55" s="2"/>
    </row>
    <row r="56" spans="1:14" ht="15.75" x14ac:dyDescent="0.25">
      <c r="A56" s="115">
        <v>15</v>
      </c>
      <c r="B56" s="44" t="s">
        <v>47</v>
      </c>
      <c r="C56" s="49"/>
      <c r="D56" s="73"/>
      <c r="E56" s="6"/>
      <c r="F56" s="66"/>
      <c r="G56" s="5"/>
      <c r="H56" s="5"/>
      <c r="I56" s="5"/>
      <c r="J56" s="75"/>
      <c r="K56" s="72"/>
      <c r="M56" s="2"/>
      <c r="N56" s="2"/>
    </row>
    <row r="57" spans="1:14" ht="15.75" x14ac:dyDescent="0.25">
      <c r="A57" s="115"/>
      <c r="B57" s="47" t="s">
        <v>48</v>
      </c>
      <c r="C57" s="6" t="s">
        <v>4</v>
      </c>
      <c r="D57" s="87">
        <v>15000</v>
      </c>
      <c r="E57" s="87">
        <v>13000</v>
      </c>
      <c r="F57" s="87">
        <v>15000</v>
      </c>
      <c r="G57" s="87">
        <v>12000</v>
      </c>
      <c r="H57" s="87">
        <v>13000</v>
      </c>
      <c r="I57" s="87">
        <v>14000</v>
      </c>
      <c r="J57" s="50" t="s">
        <v>95</v>
      </c>
      <c r="K57" s="71">
        <f t="shared" si="0"/>
        <v>13666.666666666666</v>
      </c>
      <c r="M57" s="2"/>
      <c r="N57" s="2"/>
    </row>
    <row r="58" spans="1:14" ht="15.75" x14ac:dyDescent="0.25">
      <c r="A58" s="115"/>
      <c r="B58" s="47" t="s">
        <v>49</v>
      </c>
      <c r="C58" s="6" t="s">
        <v>4</v>
      </c>
      <c r="D58" s="87" t="s">
        <v>95</v>
      </c>
      <c r="E58" s="87" t="s">
        <v>95</v>
      </c>
      <c r="F58" s="88">
        <v>14000</v>
      </c>
      <c r="G58" s="93" t="s">
        <v>95</v>
      </c>
      <c r="H58" s="94" t="s">
        <v>95</v>
      </c>
      <c r="I58" s="89" t="s">
        <v>95</v>
      </c>
      <c r="J58" s="50">
        <v>14000</v>
      </c>
      <c r="K58" s="71">
        <f t="shared" si="0"/>
        <v>14000</v>
      </c>
      <c r="M58" s="2"/>
      <c r="N58" s="2"/>
    </row>
    <row r="59" spans="1:14" ht="15.75" x14ac:dyDescent="0.25">
      <c r="A59" s="115"/>
      <c r="B59" s="47" t="s">
        <v>50</v>
      </c>
      <c r="C59" s="6" t="s">
        <v>4</v>
      </c>
      <c r="D59" s="87">
        <v>20000</v>
      </c>
      <c r="E59" s="87">
        <v>23000</v>
      </c>
      <c r="F59" s="87">
        <v>23000</v>
      </c>
      <c r="G59" s="87">
        <v>22000</v>
      </c>
      <c r="H59" s="87">
        <v>22000</v>
      </c>
      <c r="I59" s="87">
        <v>23000</v>
      </c>
      <c r="J59" s="50">
        <v>22000</v>
      </c>
      <c r="K59" s="71">
        <f t="shared" si="0"/>
        <v>22142.857142857141</v>
      </c>
      <c r="M59" s="2"/>
      <c r="N59" s="2"/>
    </row>
    <row r="60" spans="1:14" ht="15.75" x14ac:dyDescent="0.25">
      <c r="A60" s="115"/>
      <c r="B60" s="47" t="s">
        <v>51</v>
      </c>
      <c r="C60" s="6" t="s">
        <v>4</v>
      </c>
      <c r="D60" s="87">
        <v>28000</v>
      </c>
      <c r="E60" s="87">
        <v>30000</v>
      </c>
      <c r="F60" s="87">
        <v>28000</v>
      </c>
      <c r="G60" s="87">
        <v>30000</v>
      </c>
      <c r="H60" s="87">
        <v>26000</v>
      </c>
      <c r="I60" s="87">
        <v>28000</v>
      </c>
      <c r="J60" s="50">
        <v>28000</v>
      </c>
      <c r="K60" s="71">
        <f t="shared" si="0"/>
        <v>28285.714285714286</v>
      </c>
      <c r="M60" s="2"/>
      <c r="N60" s="2"/>
    </row>
    <row r="61" spans="1:14" ht="15.75" x14ac:dyDescent="0.25">
      <c r="A61" s="6">
        <v>16</v>
      </c>
      <c r="B61" s="44" t="s">
        <v>52</v>
      </c>
      <c r="C61" s="54"/>
      <c r="D61" s="95"/>
      <c r="E61" s="90"/>
      <c r="F61" s="93"/>
      <c r="G61" s="90"/>
      <c r="H61" s="90"/>
      <c r="I61" s="90"/>
      <c r="J61" s="77"/>
      <c r="K61" s="72"/>
      <c r="M61" s="2"/>
      <c r="N61" s="2"/>
    </row>
    <row r="62" spans="1:14" ht="15.75" x14ac:dyDescent="0.25">
      <c r="A62" s="6"/>
      <c r="B62" s="47" t="s">
        <v>53</v>
      </c>
      <c r="C62" s="58" t="s">
        <v>54</v>
      </c>
      <c r="D62" s="87">
        <v>3000</v>
      </c>
      <c r="E62" s="87">
        <v>3200</v>
      </c>
      <c r="F62" s="87">
        <v>3000</v>
      </c>
      <c r="G62" s="87">
        <v>3000</v>
      </c>
      <c r="H62" s="90" t="s">
        <v>95</v>
      </c>
      <c r="I62" s="88">
        <v>3500</v>
      </c>
      <c r="J62" s="50">
        <v>3500</v>
      </c>
      <c r="K62" s="71">
        <f t="shared" si="0"/>
        <v>3200</v>
      </c>
      <c r="M62" s="2"/>
      <c r="N62" s="2"/>
    </row>
    <row r="63" spans="1:14" ht="15.75" x14ac:dyDescent="0.25">
      <c r="A63" s="115">
        <v>17</v>
      </c>
      <c r="B63" s="44" t="s">
        <v>55</v>
      </c>
      <c r="C63" s="49"/>
      <c r="D63" s="73"/>
      <c r="E63" s="6"/>
      <c r="F63" s="66"/>
      <c r="G63" s="66"/>
      <c r="H63" s="5"/>
      <c r="I63" s="5"/>
      <c r="J63" s="75"/>
      <c r="K63" s="72"/>
      <c r="M63" s="2"/>
      <c r="N63" s="2"/>
    </row>
    <row r="64" spans="1:14" ht="15.75" x14ac:dyDescent="0.25">
      <c r="A64" s="115"/>
      <c r="B64" s="47" t="s">
        <v>56</v>
      </c>
      <c r="C64" s="6" t="s">
        <v>4</v>
      </c>
      <c r="D64" s="87">
        <v>30000</v>
      </c>
      <c r="E64" s="87">
        <v>30000</v>
      </c>
      <c r="F64" s="87">
        <v>27000</v>
      </c>
      <c r="G64" s="87">
        <v>40000</v>
      </c>
      <c r="H64" s="87">
        <v>27000</v>
      </c>
      <c r="I64" s="87">
        <v>22000</v>
      </c>
      <c r="J64" s="50">
        <v>25000</v>
      </c>
      <c r="K64" s="71">
        <f t="shared" si="0"/>
        <v>28714.285714285714</v>
      </c>
      <c r="M64" s="2"/>
      <c r="N64" s="2"/>
    </row>
    <row r="65" spans="1:14" ht="15.75" x14ac:dyDescent="0.25">
      <c r="A65" s="115"/>
      <c r="B65" s="47" t="s">
        <v>57</v>
      </c>
      <c r="C65" s="6" t="s">
        <v>4</v>
      </c>
      <c r="D65" s="87">
        <v>50000</v>
      </c>
      <c r="E65" s="87">
        <v>35000</v>
      </c>
      <c r="F65" s="87">
        <v>25000</v>
      </c>
      <c r="G65" s="87">
        <v>50000</v>
      </c>
      <c r="H65" s="87">
        <v>27000</v>
      </c>
      <c r="I65" s="89">
        <v>25000</v>
      </c>
      <c r="J65" s="50" t="s">
        <v>95</v>
      </c>
      <c r="K65" s="71">
        <f t="shared" si="0"/>
        <v>35333.333333333336</v>
      </c>
      <c r="M65" s="2"/>
      <c r="N65" s="2"/>
    </row>
    <row r="66" spans="1:14" ht="15.75" x14ac:dyDescent="0.25">
      <c r="A66" s="115"/>
      <c r="B66" s="47" t="s">
        <v>58</v>
      </c>
      <c r="C66" s="6" t="s">
        <v>4</v>
      </c>
      <c r="D66" s="87">
        <v>66000</v>
      </c>
      <c r="E66" s="87">
        <v>55000</v>
      </c>
      <c r="F66" s="87" t="s">
        <v>95</v>
      </c>
      <c r="G66" s="87">
        <v>65000</v>
      </c>
      <c r="H66" s="87">
        <v>65000</v>
      </c>
      <c r="I66" s="87">
        <v>55000</v>
      </c>
      <c r="J66" s="50">
        <v>70000</v>
      </c>
      <c r="K66" s="71">
        <f t="shared" si="0"/>
        <v>62666.666666666664</v>
      </c>
      <c r="M66" s="2"/>
      <c r="N66" s="2"/>
    </row>
    <row r="67" spans="1:14" ht="15.75" x14ac:dyDescent="0.25">
      <c r="A67" s="6">
        <v>18</v>
      </c>
      <c r="B67" s="44" t="s">
        <v>59</v>
      </c>
      <c r="C67" s="54"/>
      <c r="D67" s="94"/>
      <c r="E67" s="90"/>
      <c r="F67" s="93"/>
      <c r="G67" s="90"/>
      <c r="H67" s="90"/>
      <c r="I67" s="90"/>
      <c r="J67" s="51"/>
      <c r="K67" s="72"/>
      <c r="M67" s="2"/>
      <c r="N67" s="2"/>
    </row>
    <row r="68" spans="1:14" ht="15.75" x14ac:dyDescent="0.25">
      <c r="A68" s="6"/>
      <c r="B68" s="47" t="s">
        <v>60</v>
      </c>
      <c r="C68" s="6" t="s">
        <v>61</v>
      </c>
      <c r="D68" s="87">
        <v>20000</v>
      </c>
      <c r="E68" s="87">
        <v>18000</v>
      </c>
      <c r="F68" s="87">
        <v>20000</v>
      </c>
      <c r="G68" s="87">
        <v>18000</v>
      </c>
      <c r="H68" s="90" t="s">
        <v>95</v>
      </c>
      <c r="I68" s="87">
        <v>18000</v>
      </c>
      <c r="J68" s="53">
        <v>18000</v>
      </c>
      <c r="K68" s="71">
        <f t="shared" si="0"/>
        <v>18666.666666666668</v>
      </c>
      <c r="M68" s="2"/>
      <c r="N68" s="2"/>
    </row>
    <row r="69" spans="1:14" ht="15.75" x14ac:dyDescent="0.25">
      <c r="A69" s="115">
        <v>19</v>
      </c>
      <c r="B69" s="44" t="s">
        <v>62</v>
      </c>
      <c r="C69" s="44"/>
      <c r="D69" s="73"/>
      <c r="E69" s="6"/>
      <c r="F69" s="5"/>
      <c r="G69" s="5"/>
      <c r="H69" s="5"/>
      <c r="I69" s="5"/>
      <c r="J69" s="86"/>
      <c r="K69" s="72"/>
      <c r="M69" s="2"/>
      <c r="N69" s="2"/>
    </row>
    <row r="70" spans="1:14" ht="15.75" x14ac:dyDescent="0.25">
      <c r="A70" s="115"/>
      <c r="B70" s="47" t="s">
        <v>63</v>
      </c>
      <c r="C70" s="6" t="s">
        <v>4</v>
      </c>
      <c r="D70" s="87">
        <v>34000</v>
      </c>
      <c r="E70" s="87">
        <v>34000</v>
      </c>
      <c r="F70" s="87">
        <v>34000</v>
      </c>
      <c r="G70" s="87">
        <v>34000</v>
      </c>
      <c r="H70" s="87">
        <v>33000</v>
      </c>
      <c r="I70" s="87">
        <v>35000</v>
      </c>
      <c r="J70" s="50">
        <v>38000</v>
      </c>
      <c r="K70" s="71">
        <f t="shared" si="0"/>
        <v>34571.428571428572</v>
      </c>
      <c r="M70" s="2"/>
      <c r="N70" s="2"/>
    </row>
    <row r="71" spans="1:14" ht="15.75" x14ac:dyDescent="0.25">
      <c r="A71" s="115"/>
      <c r="B71" s="47" t="s">
        <v>64</v>
      </c>
      <c r="C71" s="6" t="s">
        <v>4</v>
      </c>
      <c r="D71" s="87">
        <v>32000</v>
      </c>
      <c r="E71" s="87">
        <v>32000</v>
      </c>
      <c r="F71" s="87">
        <v>32000</v>
      </c>
      <c r="G71" s="87">
        <v>32000</v>
      </c>
      <c r="H71" s="87">
        <v>30000</v>
      </c>
      <c r="I71" s="87">
        <v>33000</v>
      </c>
      <c r="J71" s="50">
        <v>35000</v>
      </c>
      <c r="K71" s="71">
        <f t="shared" si="0"/>
        <v>32285.714285714286</v>
      </c>
      <c r="M71" s="2"/>
      <c r="N71" s="2"/>
    </row>
    <row r="72" spans="1:14" ht="15.75" x14ac:dyDescent="0.25">
      <c r="A72" s="115"/>
      <c r="B72" s="47" t="s">
        <v>65</v>
      </c>
      <c r="C72" s="6" t="s">
        <v>4</v>
      </c>
      <c r="D72" s="87">
        <v>18000</v>
      </c>
      <c r="E72" s="87">
        <v>20000</v>
      </c>
      <c r="F72" s="87">
        <v>20000</v>
      </c>
      <c r="G72" s="87">
        <v>20000</v>
      </c>
      <c r="H72" s="87">
        <v>20000</v>
      </c>
      <c r="I72" s="87">
        <v>20000</v>
      </c>
      <c r="J72" s="50">
        <v>20000</v>
      </c>
      <c r="K72" s="71">
        <f t="shared" si="0"/>
        <v>19714.285714285714</v>
      </c>
      <c r="M72" s="2"/>
      <c r="N72" s="2"/>
    </row>
    <row r="73" spans="1:14" ht="15.75" x14ac:dyDescent="0.25">
      <c r="A73" s="115"/>
      <c r="B73" s="47" t="s">
        <v>66</v>
      </c>
      <c r="C73" s="6" t="s">
        <v>4</v>
      </c>
      <c r="D73" s="87">
        <v>30000</v>
      </c>
      <c r="E73" s="87">
        <v>25000</v>
      </c>
      <c r="F73" s="88">
        <v>25000</v>
      </c>
      <c r="G73" s="89">
        <v>30000</v>
      </c>
      <c r="H73" s="87">
        <v>25000</v>
      </c>
      <c r="I73" s="87">
        <v>27000</v>
      </c>
      <c r="J73" s="50" t="s">
        <v>95</v>
      </c>
      <c r="K73" s="71">
        <f t="shared" si="0"/>
        <v>27000</v>
      </c>
      <c r="M73" s="2"/>
      <c r="N73" s="2"/>
    </row>
    <row r="74" spans="1:14" ht="15.75" x14ac:dyDescent="0.25">
      <c r="A74" s="6">
        <v>20</v>
      </c>
      <c r="B74" s="44" t="s">
        <v>67</v>
      </c>
      <c r="C74" s="61"/>
      <c r="D74" s="94"/>
      <c r="E74" s="90"/>
      <c r="F74" s="90"/>
      <c r="G74" s="95"/>
      <c r="H74" s="90"/>
      <c r="I74" s="90"/>
      <c r="J74" s="77"/>
      <c r="K74" s="72"/>
      <c r="M74" s="2"/>
      <c r="N74" s="2"/>
    </row>
    <row r="75" spans="1:14" ht="15.75" x14ac:dyDescent="0.25">
      <c r="A75" s="6"/>
      <c r="B75" s="47" t="s">
        <v>68</v>
      </c>
      <c r="C75" s="58" t="s">
        <v>4</v>
      </c>
      <c r="D75" s="87">
        <v>6000</v>
      </c>
      <c r="E75" s="87">
        <v>7000</v>
      </c>
      <c r="F75" s="87">
        <v>5000</v>
      </c>
      <c r="G75" s="87">
        <v>6000</v>
      </c>
      <c r="H75" s="87">
        <v>5000</v>
      </c>
      <c r="I75" s="87">
        <v>5000</v>
      </c>
      <c r="J75" s="50">
        <v>5000</v>
      </c>
      <c r="K75" s="71">
        <f t="shared" si="0"/>
        <v>5571.4285714285716</v>
      </c>
      <c r="M75" s="2"/>
      <c r="N75" s="2"/>
    </row>
    <row r="76" spans="1:14" ht="15.75" x14ac:dyDescent="0.25">
      <c r="A76" s="6"/>
      <c r="B76" s="47" t="s">
        <v>69</v>
      </c>
      <c r="C76" s="58" t="s">
        <v>4</v>
      </c>
      <c r="D76" s="87">
        <v>6000</v>
      </c>
      <c r="E76" s="87">
        <v>6000</v>
      </c>
      <c r="F76" s="88">
        <v>6000</v>
      </c>
      <c r="G76" s="89">
        <v>6000</v>
      </c>
      <c r="H76" s="87">
        <v>5000</v>
      </c>
      <c r="I76" s="87">
        <v>6000</v>
      </c>
      <c r="J76" s="53">
        <v>6000</v>
      </c>
      <c r="K76" s="71">
        <f t="shared" si="0"/>
        <v>5857.1428571428569</v>
      </c>
      <c r="M76" s="2"/>
      <c r="N76" s="2"/>
    </row>
    <row r="77" spans="1:14" ht="15.75" x14ac:dyDescent="0.25">
      <c r="A77" s="6">
        <v>21</v>
      </c>
      <c r="B77" s="44" t="s">
        <v>70</v>
      </c>
      <c r="C77" s="61"/>
      <c r="D77" s="92"/>
      <c r="E77" s="90"/>
      <c r="F77" s="90"/>
      <c r="G77" s="93"/>
      <c r="H77" s="90"/>
      <c r="I77" s="90"/>
      <c r="J77" s="51"/>
      <c r="K77" s="72"/>
      <c r="M77" s="2"/>
      <c r="N77" s="2"/>
    </row>
    <row r="78" spans="1:14" ht="15.75" x14ac:dyDescent="0.25">
      <c r="A78" s="6"/>
      <c r="B78" s="47" t="s">
        <v>71</v>
      </c>
      <c r="C78" s="58" t="s">
        <v>4</v>
      </c>
      <c r="D78" s="87">
        <v>7000</v>
      </c>
      <c r="E78" s="87">
        <v>7000</v>
      </c>
      <c r="F78" s="87">
        <v>8000</v>
      </c>
      <c r="G78" s="87">
        <v>8000</v>
      </c>
      <c r="H78" s="87">
        <v>10000</v>
      </c>
      <c r="I78" s="88">
        <v>6000</v>
      </c>
      <c r="J78" s="50">
        <v>10000</v>
      </c>
      <c r="K78" s="71">
        <f t="shared" si="0"/>
        <v>8000</v>
      </c>
      <c r="M78" s="2"/>
      <c r="N78" s="2"/>
    </row>
    <row r="79" spans="1:14" ht="15.75" x14ac:dyDescent="0.25">
      <c r="A79" s="6"/>
      <c r="B79" s="47" t="s">
        <v>72</v>
      </c>
      <c r="C79" s="58" t="s">
        <v>4</v>
      </c>
      <c r="D79" s="87">
        <v>14000</v>
      </c>
      <c r="E79" s="87">
        <v>12000</v>
      </c>
      <c r="F79" s="87">
        <v>12000</v>
      </c>
      <c r="G79" s="87">
        <v>15000</v>
      </c>
      <c r="H79" s="87">
        <v>10000</v>
      </c>
      <c r="I79" s="88">
        <v>12000</v>
      </c>
      <c r="J79" s="50">
        <v>15000</v>
      </c>
      <c r="K79" s="71">
        <f t="shared" si="0"/>
        <v>12857.142857142857</v>
      </c>
      <c r="M79" s="2"/>
      <c r="N79" s="2"/>
    </row>
    <row r="80" spans="1:14" ht="15.75" x14ac:dyDescent="0.25">
      <c r="A80" s="6"/>
      <c r="B80" s="47" t="s">
        <v>73</v>
      </c>
      <c r="C80" s="58" t="s">
        <v>4</v>
      </c>
      <c r="D80" s="87">
        <v>14000</v>
      </c>
      <c r="E80" s="87">
        <v>15000</v>
      </c>
      <c r="F80" s="87">
        <v>16000</v>
      </c>
      <c r="G80" s="87">
        <v>15000</v>
      </c>
      <c r="H80" s="87">
        <v>15000</v>
      </c>
      <c r="I80" s="87">
        <v>16000</v>
      </c>
      <c r="J80" s="50">
        <v>15000</v>
      </c>
      <c r="K80" s="71">
        <f t="shared" si="0"/>
        <v>15142.857142857143</v>
      </c>
      <c r="M80" s="2"/>
      <c r="N80" s="2"/>
    </row>
    <row r="81" spans="1:14" ht="15.75" x14ac:dyDescent="0.25">
      <c r="A81" s="6"/>
      <c r="B81" s="47" t="s">
        <v>74</v>
      </c>
      <c r="C81" s="58" t="s">
        <v>4</v>
      </c>
      <c r="D81" s="87">
        <v>8000</v>
      </c>
      <c r="E81" s="87">
        <v>8000</v>
      </c>
      <c r="F81" s="87">
        <v>5000</v>
      </c>
      <c r="G81" s="87">
        <v>10000</v>
      </c>
      <c r="H81" s="87">
        <v>5000</v>
      </c>
      <c r="I81" s="89">
        <v>9000</v>
      </c>
      <c r="J81" s="50">
        <v>5000</v>
      </c>
      <c r="K81" s="71">
        <f t="shared" ref="K81:K88" si="1">AVERAGE(D81:J81)</f>
        <v>7142.8571428571431</v>
      </c>
      <c r="M81" s="2"/>
      <c r="N81" s="2"/>
    </row>
    <row r="82" spans="1:14" ht="15.75" x14ac:dyDescent="0.25">
      <c r="A82" s="6"/>
      <c r="B82" s="47" t="s">
        <v>75</v>
      </c>
      <c r="C82" s="58" t="s">
        <v>4</v>
      </c>
      <c r="D82" s="87">
        <v>13000</v>
      </c>
      <c r="E82" s="87">
        <v>12000</v>
      </c>
      <c r="F82" s="87">
        <v>13000</v>
      </c>
      <c r="G82" s="87">
        <v>12000</v>
      </c>
      <c r="H82" s="87">
        <v>10000</v>
      </c>
      <c r="I82" s="87">
        <v>13000</v>
      </c>
      <c r="J82" s="50">
        <v>13000</v>
      </c>
      <c r="K82" s="71">
        <f t="shared" si="1"/>
        <v>12285.714285714286</v>
      </c>
      <c r="M82" s="2"/>
      <c r="N82" s="2"/>
    </row>
    <row r="83" spans="1:14" x14ac:dyDescent="0.25">
      <c r="A83" s="6"/>
      <c r="B83" s="47" t="s">
        <v>76</v>
      </c>
      <c r="C83" s="58" t="s">
        <v>4</v>
      </c>
      <c r="D83" s="87">
        <v>8000</v>
      </c>
      <c r="E83" s="87">
        <v>8000</v>
      </c>
      <c r="F83" s="88">
        <v>9000</v>
      </c>
      <c r="G83" s="89">
        <v>8000</v>
      </c>
      <c r="H83" s="87">
        <v>9000</v>
      </c>
      <c r="I83" s="88">
        <v>9000</v>
      </c>
      <c r="J83" s="50">
        <v>8000</v>
      </c>
      <c r="K83" s="71">
        <f t="shared" si="1"/>
        <v>8428.5714285714294</v>
      </c>
    </row>
    <row r="84" spans="1:14" x14ac:dyDescent="0.25">
      <c r="A84" s="6"/>
      <c r="B84" s="47" t="s">
        <v>77</v>
      </c>
      <c r="C84" s="58" t="s">
        <v>78</v>
      </c>
      <c r="D84" s="87">
        <v>1500</v>
      </c>
      <c r="E84" s="87">
        <v>1500</v>
      </c>
      <c r="F84" s="87">
        <v>2000</v>
      </c>
      <c r="G84" s="89">
        <v>2000</v>
      </c>
      <c r="H84" s="87">
        <v>1500</v>
      </c>
      <c r="I84" s="87">
        <v>2000</v>
      </c>
      <c r="J84" s="53">
        <v>1500</v>
      </c>
      <c r="K84" s="71">
        <f t="shared" si="1"/>
        <v>1714.2857142857142</v>
      </c>
    </row>
    <row r="85" spans="1:14" x14ac:dyDescent="0.25">
      <c r="A85" s="6"/>
      <c r="B85" s="47" t="s">
        <v>79</v>
      </c>
      <c r="C85" s="58" t="s">
        <v>78</v>
      </c>
      <c r="D85" s="87">
        <v>1500</v>
      </c>
      <c r="E85" s="87">
        <v>1500</v>
      </c>
      <c r="F85" s="87">
        <v>1500</v>
      </c>
      <c r="G85" s="89">
        <v>2000</v>
      </c>
      <c r="H85" s="87">
        <v>1500</v>
      </c>
      <c r="I85" s="87">
        <v>1500</v>
      </c>
      <c r="J85" s="53">
        <v>1000</v>
      </c>
      <c r="K85" s="71">
        <f t="shared" si="1"/>
        <v>1500</v>
      </c>
    </row>
    <row r="86" spans="1:14" x14ac:dyDescent="0.25">
      <c r="A86" s="6"/>
      <c r="B86" s="47" t="s">
        <v>80</v>
      </c>
      <c r="C86" s="58" t="s">
        <v>78</v>
      </c>
      <c r="D86" s="87" t="s">
        <v>95</v>
      </c>
      <c r="E86" s="87">
        <v>2000</v>
      </c>
      <c r="F86" s="87" t="s">
        <v>95</v>
      </c>
      <c r="G86" s="89" t="s">
        <v>152</v>
      </c>
      <c r="H86" s="87">
        <v>2500</v>
      </c>
      <c r="I86" s="87" t="s">
        <v>132</v>
      </c>
      <c r="J86" s="53">
        <v>2000</v>
      </c>
      <c r="K86" s="71">
        <f t="shared" si="1"/>
        <v>2166.6666666666665</v>
      </c>
    </row>
    <row r="87" spans="1:14" x14ac:dyDescent="0.25">
      <c r="A87" s="6">
        <v>22</v>
      </c>
      <c r="B87" s="44" t="s">
        <v>81</v>
      </c>
      <c r="C87" s="61"/>
      <c r="D87" s="93"/>
      <c r="E87" s="90"/>
      <c r="F87" s="90" t="s">
        <v>98</v>
      </c>
      <c r="G87" s="93"/>
      <c r="H87" s="90"/>
      <c r="I87" s="90"/>
      <c r="J87" s="51"/>
      <c r="K87" s="72"/>
    </row>
    <row r="88" spans="1:14" x14ac:dyDescent="0.25">
      <c r="A88" s="6"/>
      <c r="B88" s="47" t="s">
        <v>82</v>
      </c>
      <c r="C88" s="58" t="s">
        <v>83</v>
      </c>
      <c r="D88" s="87" t="s">
        <v>95</v>
      </c>
      <c r="E88" s="87" t="s">
        <v>95</v>
      </c>
      <c r="F88" s="87">
        <v>18000</v>
      </c>
      <c r="G88" s="89">
        <v>17000</v>
      </c>
      <c r="H88" s="90" t="s">
        <v>95</v>
      </c>
      <c r="I88" s="88">
        <v>19000</v>
      </c>
      <c r="J88" s="53">
        <v>18000</v>
      </c>
      <c r="K88" s="7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9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REKAPITULASI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2023-08-31T08:44:54Z</cp:lastPrinted>
  <dcterms:created xsi:type="dcterms:W3CDTF">2022-08-09T08:09:18Z</dcterms:created>
  <dcterms:modified xsi:type="dcterms:W3CDTF">2024-01-17T08:32:24Z</dcterms:modified>
</cp:coreProperties>
</file>