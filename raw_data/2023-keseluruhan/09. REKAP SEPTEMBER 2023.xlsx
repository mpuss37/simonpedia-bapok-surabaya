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A5333AE4-1052-43BE-AE6B-F882173F48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KAPITULASI" sheetId="1" r:id="rId1"/>
    <sheet name="1" sheetId="146" r:id="rId2"/>
    <sheet name="2" sheetId="147" r:id="rId3"/>
    <sheet name="3" sheetId="148" r:id="rId4"/>
    <sheet name="4" sheetId="149" r:id="rId5"/>
    <sheet name="5" sheetId="150" r:id="rId6"/>
    <sheet name="6" sheetId="151" r:id="rId7"/>
    <sheet name="7" sheetId="139" r:id="rId8"/>
    <sheet name="8" sheetId="140" r:id="rId9"/>
    <sheet name="9" sheetId="141" r:id="rId10"/>
    <sheet name="10" sheetId="142" r:id="rId11"/>
    <sheet name="11" sheetId="143" r:id="rId12"/>
    <sheet name="12" sheetId="144" r:id="rId13"/>
    <sheet name="13" sheetId="145" r:id="rId14"/>
    <sheet name="14" sheetId="152" r:id="rId15"/>
    <sheet name="15" sheetId="153" r:id="rId16"/>
    <sheet name="16" sheetId="154" r:id="rId17"/>
    <sheet name="17" sheetId="155" r:id="rId18"/>
    <sheet name="18" sheetId="156" r:id="rId19"/>
    <sheet name="19" sheetId="157" r:id="rId20"/>
    <sheet name="20" sheetId="159" r:id="rId21"/>
    <sheet name="21" sheetId="160" r:id="rId22"/>
    <sheet name="22" sheetId="161" r:id="rId23"/>
    <sheet name="23" sheetId="162" r:id="rId24"/>
    <sheet name="24" sheetId="163" r:id="rId25"/>
    <sheet name="25" sheetId="164" r:id="rId26"/>
    <sheet name="26" sheetId="165" r:id="rId27"/>
    <sheet name="27" sheetId="166" r:id="rId28"/>
    <sheet name="28" sheetId="167" r:id="rId29"/>
    <sheet name="29" sheetId="169" r:id="rId30"/>
    <sheet name="30" sheetId="168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" i="1"/>
  <c r="AF11" i="1"/>
  <c r="AF12" i="1"/>
  <c r="AF13" i="1"/>
  <c r="AF16" i="1"/>
  <c r="AF19" i="1"/>
  <c r="AF21" i="1"/>
  <c r="AF23" i="1"/>
  <c r="AF24" i="1"/>
  <c r="AF26" i="1"/>
  <c r="AF28" i="1"/>
  <c r="AF32" i="1"/>
  <c r="AF33" i="1"/>
  <c r="AF36" i="1"/>
  <c r="AF39" i="1"/>
  <c r="AF40" i="1"/>
  <c r="AF43" i="1"/>
  <c r="AF44" i="1"/>
  <c r="AF46" i="1"/>
  <c r="AF48" i="1"/>
  <c r="AF49" i="1"/>
  <c r="AF51" i="1"/>
  <c r="AF52" i="1"/>
  <c r="AF54" i="1"/>
  <c r="AF56" i="1"/>
  <c r="AF60" i="1"/>
  <c r="AF61" i="1"/>
  <c r="AF63" i="1"/>
  <c r="AF64" i="1"/>
  <c r="AF67" i="1"/>
  <c r="AF68" i="1"/>
  <c r="AF69" i="1"/>
  <c r="AF72" i="1"/>
  <c r="AF74" i="1"/>
  <c r="AF75" i="1"/>
  <c r="AF77" i="1"/>
  <c r="AF79" i="1"/>
  <c r="AF80" i="1"/>
  <c r="AF83" i="1"/>
  <c r="AF84" i="1"/>
  <c r="AF87" i="1"/>
  <c r="AF88" i="1"/>
  <c r="K88" i="168"/>
  <c r="K86" i="168"/>
  <c r="K85" i="168"/>
  <c r="K84" i="168"/>
  <c r="K83" i="168"/>
  <c r="K82" i="168"/>
  <c r="K81" i="168"/>
  <c r="K80" i="168"/>
  <c r="K79" i="168"/>
  <c r="K78" i="168"/>
  <c r="K76" i="168"/>
  <c r="K75" i="168"/>
  <c r="K73" i="168"/>
  <c r="K72" i="168"/>
  <c r="K71" i="168"/>
  <c r="K70" i="168"/>
  <c r="K68" i="168"/>
  <c r="K66" i="168"/>
  <c r="K65" i="168"/>
  <c r="K64" i="168"/>
  <c r="K62" i="168"/>
  <c r="K60" i="168"/>
  <c r="K59" i="168"/>
  <c r="K58" i="168"/>
  <c r="K57" i="168"/>
  <c r="K55" i="168"/>
  <c r="K53" i="168"/>
  <c r="K51" i="168"/>
  <c r="K50" i="168"/>
  <c r="K48" i="168"/>
  <c r="K47" i="168"/>
  <c r="K45" i="168"/>
  <c r="K44" i="168"/>
  <c r="K42" i="168"/>
  <c r="K41" i="168"/>
  <c r="K40" i="168"/>
  <c r="K38" i="168"/>
  <c r="K37" i="168"/>
  <c r="K35" i="168"/>
  <c r="K34" i="168"/>
  <c r="K32" i="168"/>
  <c r="K31" i="168"/>
  <c r="K30" i="168"/>
  <c r="K29" i="168"/>
  <c r="K28" i="168"/>
  <c r="K27" i="168"/>
  <c r="K25" i="168"/>
  <c r="K24" i="168"/>
  <c r="K23" i="168"/>
  <c r="K22" i="168"/>
  <c r="K20" i="168"/>
  <c r="K18" i="168"/>
  <c r="K17" i="168"/>
  <c r="K15" i="168"/>
  <c r="K14" i="168"/>
  <c r="K12" i="168"/>
  <c r="K11" i="168"/>
  <c r="K9" i="168"/>
  <c r="K8" i="168"/>
  <c r="K88" i="169"/>
  <c r="K86" i="169"/>
  <c r="AF86" i="1" s="1"/>
  <c r="K85" i="169"/>
  <c r="AF85" i="1" s="1"/>
  <c r="K84" i="169"/>
  <c r="K83" i="169"/>
  <c r="K82" i="169"/>
  <c r="AF82" i="1" s="1"/>
  <c r="K81" i="169"/>
  <c r="AF81" i="1" s="1"/>
  <c r="K80" i="169"/>
  <c r="K79" i="169"/>
  <c r="K78" i="169"/>
  <c r="AF78" i="1" s="1"/>
  <c r="K76" i="169"/>
  <c r="AF76" i="1" s="1"/>
  <c r="K75" i="169"/>
  <c r="K73" i="169"/>
  <c r="AF73" i="1" s="1"/>
  <c r="K72" i="169"/>
  <c r="K71" i="169"/>
  <c r="AF71" i="1" s="1"/>
  <c r="K70" i="169"/>
  <c r="AF70" i="1" s="1"/>
  <c r="K68" i="169"/>
  <c r="K66" i="169"/>
  <c r="AF66" i="1" s="1"/>
  <c r="K65" i="169"/>
  <c r="AF65" i="1" s="1"/>
  <c r="K64" i="169"/>
  <c r="K62" i="169"/>
  <c r="AF62" i="1" s="1"/>
  <c r="K60" i="169"/>
  <c r="K59" i="169"/>
  <c r="AF59" i="1" s="1"/>
  <c r="K58" i="169"/>
  <c r="AF58" i="1" s="1"/>
  <c r="K57" i="169"/>
  <c r="AF57" i="1" s="1"/>
  <c r="K55" i="169"/>
  <c r="AF55" i="1" s="1"/>
  <c r="K53" i="169"/>
  <c r="AF53" i="1" s="1"/>
  <c r="K51" i="169"/>
  <c r="K50" i="169"/>
  <c r="AF50" i="1" s="1"/>
  <c r="K48" i="169"/>
  <c r="K47" i="169"/>
  <c r="AF47" i="1" s="1"/>
  <c r="K45" i="169"/>
  <c r="AF45" i="1" s="1"/>
  <c r="K44" i="169"/>
  <c r="K42" i="169"/>
  <c r="AF42" i="1" s="1"/>
  <c r="K41" i="169"/>
  <c r="AF41" i="1" s="1"/>
  <c r="K40" i="169"/>
  <c r="K38" i="169"/>
  <c r="AF38" i="1" s="1"/>
  <c r="K37" i="169"/>
  <c r="AF37" i="1" s="1"/>
  <c r="K35" i="169"/>
  <c r="AF35" i="1" s="1"/>
  <c r="K34" i="169"/>
  <c r="AF34" i="1" s="1"/>
  <c r="K32" i="169"/>
  <c r="K31" i="169"/>
  <c r="AF31" i="1" s="1"/>
  <c r="K30" i="169"/>
  <c r="AF30" i="1" s="1"/>
  <c r="K29" i="169"/>
  <c r="AF29" i="1" s="1"/>
  <c r="K28" i="169"/>
  <c r="K27" i="169"/>
  <c r="AF27" i="1" s="1"/>
  <c r="K25" i="169"/>
  <c r="AF25" i="1" s="1"/>
  <c r="K24" i="169"/>
  <c r="K23" i="169"/>
  <c r="K22" i="169"/>
  <c r="AF22" i="1" s="1"/>
  <c r="K20" i="169"/>
  <c r="AF20" i="1" s="1"/>
  <c r="K18" i="169"/>
  <c r="AF18" i="1" s="1"/>
  <c r="K17" i="169"/>
  <c r="AF17" i="1" s="1"/>
  <c r="K15" i="169"/>
  <c r="AF15" i="1" s="1"/>
  <c r="K14" i="169"/>
  <c r="AF14" i="1" s="1"/>
  <c r="K12" i="169"/>
  <c r="K11" i="169"/>
  <c r="K10" i="169"/>
  <c r="AF10" i="1" s="1"/>
  <c r="K9" i="169"/>
  <c r="AF9" i="1" s="1"/>
  <c r="K8" i="169"/>
  <c r="AF8" i="1" s="1"/>
  <c r="K88" i="167"/>
  <c r="K86" i="167"/>
  <c r="K85" i="167"/>
  <c r="K84" i="167"/>
  <c r="K83" i="167"/>
  <c r="K82" i="167"/>
  <c r="K81" i="167"/>
  <c r="K80" i="167"/>
  <c r="K79" i="167"/>
  <c r="K78" i="167"/>
  <c r="K76" i="167"/>
  <c r="K75" i="167"/>
  <c r="K73" i="167"/>
  <c r="K72" i="167"/>
  <c r="K71" i="167"/>
  <c r="K70" i="167"/>
  <c r="K68" i="167"/>
  <c r="K66" i="167"/>
  <c r="K65" i="167"/>
  <c r="K64" i="167"/>
  <c r="K62" i="167"/>
  <c r="K60" i="167"/>
  <c r="K59" i="167"/>
  <c r="K58" i="167"/>
  <c r="K57" i="167"/>
  <c r="K55" i="167"/>
  <c r="K53" i="167"/>
  <c r="K51" i="167"/>
  <c r="K50" i="167"/>
  <c r="K48" i="167"/>
  <c r="K47" i="167"/>
  <c r="K45" i="167"/>
  <c r="K44" i="167"/>
  <c r="K42" i="167"/>
  <c r="K41" i="167"/>
  <c r="K40" i="167"/>
  <c r="K38" i="167"/>
  <c r="K37" i="167"/>
  <c r="K35" i="167"/>
  <c r="K34" i="167"/>
  <c r="K32" i="167"/>
  <c r="K31" i="167"/>
  <c r="K30" i="167"/>
  <c r="K29" i="167"/>
  <c r="K28" i="167"/>
  <c r="K27" i="167"/>
  <c r="K25" i="167"/>
  <c r="K24" i="167"/>
  <c r="K23" i="167"/>
  <c r="K22" i="167"/>
  <c r="K20" i="167"/>
  <c r="K18" i="167"/>
  <c r="K17" i="167"/>
  <c r="K15" i="167"/>
  <c r="K14" i="167"/>
  <c r="K12" i="167"/>
  <c r="K11" i="167"/>
  <c r="K10" i="167"/>
  <c r="K9" i="167"/>
  <c r="K8" i="167"/>
  <c r="AE8" i="1" s="1"/>
  <c r="K88" i="166"/>
  <c r="K86" i="166"/>
  <c r="K85" i="166"/>
  <c r="K84" i="166"/>
  <c r="K83" i="166"/>
  <c r="K82" i="166"/>
  <c r="K81" i="166"/>
  <c r="K80" i="166"/>
  <c r="K79" i="166"/>
  <c r="K78" i="166"/>
  <c r="K76" i="166"/>
  <c r="K75" i="166"/>
  <c r="K73" i="166"/>
  <c r="K72" i="166"/>
  <c r="K71" i="166"/>
  <c r="K70" i="166"/>
  <c r="K68" i="166"/>
  <c r="K66" i="166"/>
  <c r="K65" i="166"/>
  <c r="K64" i="166"/>
  <c r="K62" i="166"/>
  <c r="K60" i="166"/>
  <c r="K59" i="166"/>
  <c r="K58" i="166"/>
  <c r="K57" i="166"/>
  <c r="K55" i="166"/>
  <c r="K53" i="166"/>
  <c r="K51" i="166"/>
  <c r="K50" i="166"/>
  <c r="K48" i="166"/>
  <c r="K47" i="166"/>
  <c r="K45" i="166"/>
  <c r="K44" i="166"/>
  <c r="K42" i="166"/>
  <c r="K41" i="166"/>
  <c r="K40" i="166"/>
  <c r="K38" i="166"/>
  <c r="K37" i="166"/>
  <c r="K35" i="166"/>
  <c r="K34" i="166"/>
  <c r="K32" i="166"/>
  <c r="K31" i="166"/>
  <c r="K30" i="166"/>
  <c r="K29" i="166"/>
  <c r="K28" i="166"/>
  <c r="K27" i="166"/>
  <c r="K25" i="166"/>
  <c r="K24" i="166"/>
  <c r="K23" i="166"/>
  <c r="K22" i="166"/>
  <c r="K20" i="166"/>
  <c r="K18" i="166"/>
  <c r="K17" i="166"/>
  <c r="K15" i="166"/>
  <c r="K14" i="166"/>
  <c r="K12" i="166"/>
  <c r="K11" i="166"/>
  <c r="K10" i="166"/>
  <c r="K9" i="166"/>
  <c r="K8" i="166"/>
  <c r="K88" i="165"/>
  <c r="K86" i="165"/>
  <c r="K85" i="165"/>
  <c r="K84" i="165"/>
  <c r="K83" i="165"/>
  <c r="K82" i="165"/>
  <c r="K81" i="165"/>
  <c r="K80" i="165"/>
  <c r="K79" i="165"/>
  <c r="K78" i="165"/>
  <c r="K76" i="165"/>
  <c r="K75" i="165"/>
  <c r="K73" i="165"/>
  <c r="K72" i="165"/>
  <c r="K71" i="165"/>
  <c r="K70" i="165"/>
  <c r="K68" i="165"/>
  <c r="K66" i="165"/>
  <c r="K65" i="165"/>
  <c r="K64" i="165"/>
  <c r="K62" i="165"/>
  <c r="K60" i="165"/>
  <c r="K59" i="165"/>
  <c r="K58" i="165"/>
  <c r="K57" i="165"/>
  <c r="K55" i="165"/>
  <c r="K53" i="165"/>
  <c r="K51" i="165"/>
  <c r="K50" i="165"/>
  <c r="K48" i="165"/>
  <c r="K47" i="165"/>
  <c r="K45" i="165"/>
  <c r="K44" i="165"/>
  <c r="K42" i="165"/>
  <c r="K41" i="165"/>
  <c r="K40" i="165"/>
  <c r="K38" i="165"/>
  <c r="K37" i="165"/>
  <c r="K35" i="165"/>
  <c r="K34" i="165"/>
  <c r="K32" i="165"/>
  <c r="K31" i="165"/>
  <c r="K30" i="165"/>
  <c r="K29" i="165"/>
  <c r="K28" i="165"/>
  <c r="K27" i="165"/>
  <c r="K25" i="165"/>
  <c r="K24" i="165"/>
  <c r="K23" i="165"/>
  <c r="K22" i="165"/>
  <c r="K20" i="165"/>
  <c r="K18" i="165"/>
  <c r="K17" i="165"/>
  <c r="K15" i="165"/>
  <c r="K14" i="165"/>
  <c r="K12" i="165"/>
  <c r="K11" i="165"/>
  <c r="K10" i="165"/>
  <c r="K9" i="165"/>
  <c r="K8" i="165"/>
  <c r="K88" i="164"/>
  <c r="K86" i="164"/>
  <c r="K85" i="164"/>
  <c r="K84" i="164"/>
  <c r="K83" i="164"/>
  <c r="K82" i="164"/>
  <c r="K81" i="164"/>
  <c r="K80" i="164"/>
  <c r="K79" i="164"/>
  <c r="K78" i="164"/>
  <c r="K76" i="164"/>
  <c r="K75" i="164"/>
  <c r="K73" i="164"/>
  <c r="K72" i="164"/>
  <c r="K71" i="164"/>
  <c r="K70" i="164"/>
  <c r="K68" i="164"/>
  <c r="K66" i="164"/>
  <c r="K65" i="164"/>
  <c r="K64" i="164"/>
  <c r="K62" i="164"/>
  <c r="K60" i="164"/>
  <c r="K59" i="164"/>
  <c r="K58" i="164"/>
  <c r="K57" i="164"/>
  <c r="K55" i="164"/>
  <c r="K53" i="164"/>
  <c r="K51" i="164"/>
  <c r="K50" i="164"/>
  <c r="K48" i="164"/>
  <c r="K47" i="164"/>
  <c r="K45" i="164"/>
  <c r="K44" i="164"/>
  <c r="K42" i="164"/>
  <c r="K41" i="164"/>
  <c r="K40" i="164"/>
  <c r="K38" i="164"/>
  <c r="K37" i="164"/>
  <c r="K35" i="164"/>
  <c r="K34" i="164"/>
  <c r="K32" i="164"/>
  <c r="K31" i="164"/>
  <c r="K30" i="164"/>
  <c r="K29" i="164"/>
  <c r="K28" i="164"/>
  <c r="K27" i="164"/>
  <c r="K25" i="164"/>
  <c r="K24" i="164"/>
  <c r="K23" i="164"/>
  <c r="K22" i="164"/>
  <c r="K20" i="164"/>
  <c r="K18" i="164"/>
  <c r="K17" i="164"/>
  <c r="K15" i="164"/>
  <c r="K14" i="164"/>
  <c r="K12" i="164"/>
  <c r="K11" i="164"/>
  <c r="K10" i="164"/>
  <c r="K9" i="164"/>
  <c r="K8" i="164"/>
  <c r="K88" i="163"/>
  <c r="K86" i="163"/>
  <c r="K85" i="163"/>
  <c r="K84" i="163"/>
  <c r="K83" i="163"/>
  <c r="K82" i="163"/>
  <c r="K81" i="163"/>
  <c r="K80" i="163"/>
  <c r="K79" i="163"/>
  <c r="K78" i="163"/>
  <c r="K76" i="163"/>
  <c r="K75" i="163"/>
  <c r="K73" i="163"/>
  <c r="K72" i="163"/>
  <c r="K71" i="163"/>
  <c r="K70" i="163"/>
  <c r="K68" i="163"/>
  <c r="K66" i="163"/>
  <c r="K65" i="163"/>
  <c r="K64" i="163"/>
  <c r="K62" i="163"/>
  <c r="K60" i="163"/>
  <c r="K59" i="163"/>
  <c r="K58" i="163"/>
  <c r="K57" i="163"/>
  <c r="K55" i="163"/>
  <c r="K53" i="163"/>
  <c r="K51" i="163"/>
  <c r="K50" i="163"/>
  <c r="K48" i="163"/>
  <c r="K47" i="163"/>
  <c r="K45" i="163"/>
  <c r="K44" i="163"/>
  <c r="K42" i="163"/>
  <c r="K41" i="163"/>
  <c r="K40" i="163"/>
  <c r="K38" i="163"/>
  <c r="K37" i="163"/>
  <c r="K35" i="163"/>
  <c r="K34" i="163"/>
  <c r="K32" i="163"/>
  <c r="K31" i="163"/>
  <c r="K30" i="163"/>
  <c r="K29" i="163"/>
  <c r="K28" i="163"/>
  <c r="K27" i="163"/>
  <c r="K25" i="163"/>
  <c r="K24" i="163"/>
  <c r="K23" i="163"/>
  <c r="K22" i="163"/>
  <c r="K20" i="163"/>
  <c r="K18" i="163"/>
  <c r="K17" i="163"/>
  <c r="K15" i="163"/>
  <c r="K14" i="163"/>
  <c r="K12" i="163"/>
  <c r="K11" i="163"/>
  <c r="K10" i="163"/>
  <c r="K9" i="163"/>
  <c r="K8" i="163"/>
  <c r="K88" i="162"/>
  <c r="K86" i="162"/>
  <c r="K85" i="162"/>
  <c r="K84" i="162"/>
  <c r="K83" i="162"/>
  <c r="K82" i="162"/>
  <c r="K81" i="162"/>
  <c r="K80" i="162"/>
  <c r="K79" i="162"/>
  <c r="K78" i="162"/>
  <c r="K76" i="162"/>
  <c r="K75" i="162"/>
  <c r="K73" i="162"/>
  <c r="K72" i="162"/>
  <c r="K71" i="162"/>
  <c r="K70" i="162"/>
  <c r="K68" i="162"/>
  <c r="K66" i="162"/>
  <c r="K65" i="162"/>
  <c r="K64" i="162"/>
  <c r="K62" i="162"/>
  <c r="K60" i="162"/>
  <c r="K59" i="162"/>
  <c r="K58" i="162"/>
  <c r="K57" i="162"/>
  <c r="K55" i="162"/>
  <c r="K53" i="162"/>
  <c r="K51" i="162"/>
  <c r="K50" i="162"/>
  <c r="K48" i="162"/>
  <c r="K47" i="162"/>
  <c r="K45" i="162"/>
  <c r="K44" i="162"/>
  <c r="K42" i="162"/>
  <c r="K41" i="162"/>
  <c r="K40" i="162"/>
  <c r="K38" i="162"/>
  <c r="K37" i="162"/>
  <c r="K35" i="162"/>
  <c r="K34" i="162"/>
  <c r="K32" i="162"/>
  <c r="K31" i="162"/>
  <c r="K30" i="162"/>
  <c r="K29" i="162"/>
  <c r="K28" i="162"/>
  <c r="K27" i="162"/>
  <c r="K25" i="162"/>
  <c r="K24" i="162"/>
  <c r="K23" i="162"/>
  <c r="K22" i="162"/>
  <c r="K20" i="162"/>
  <c r="K18" i="162"/>
  <c r="K17" i="162"/>
  <c r="K15" i="162"/>
  <c r="K14" i="162"/>
  <c r="K12" i="162"/>
  <c r="K11" i="162"/>
  <c r="K10" i="162"/>
  <c r="K9" i="162"/>
  <c r="K8" i="162"/>
  <c r="K88" i="161"/>
  <c r="K86" i="161"/>
  <c r="K85" i="161"/>
  <c r="K84" i="161"/>
  <c r="K83" i="161"/>
  <c r="K82" i="161"/>
  <c r="K81" i="161"/>
  <c r="K80" i="161"/>
  <c r="K79" i="161"/>
  <c r="K78" i="161"/>
  <c r="K76" i="161"/>
  <c r="K75" i="161"/>
  <c r="K73" i="161"/>
  <c r="K72" i="161"/>
  <c r="K71" i="161"/>
  <c r="K70" i="161"/>
  <c r="K68" i="161"/>
  <c r="K66" i="161"/>
  <c r="K65" i="161"/>
  <c r="K64" i="161"/>
  <c r="K62" i="161"/>
  <c r="K60" i="161"/>
  <c r="K59" i="161"/>
  <c r="K58" i="161"/>
  <c r="K57" i="161"/>
  <c r="K55" i="161"/>
  <c r="K53" i="161"/>
  <c r="K51" i="161"/>
  <c r="K50" i="161"/>
  <c r="K48" i="161"/>
  <c r="K47" i="161"/>
  <c r="K45" i="161"/>
  <c r="K44" i="161"/>
  <c r="K42" i="161"/>
  <c r="K41" i="161"/>
  <c r="K40" i="161"/>
  <c r="K38" i="161"/>
  <c r="K37" i="161"/>
  <c r="K35" i="161"/>
  <c r="K34" i="161"/>
  <c r="K32" i="161"/>
  <c r="K31" i="161"/>
  <c r="K30" i="161"/>
  <c r="K29" i="161"/>
  <c r="K28" i="161"/>
  <c r="K27" i="161"/>
  <c r="K25" i="161"/>
  <c r="K24" i="161"/>
  <c r="K23" i="161"/>
  <c r="K22" i="161"/>
  <c r="K20" i="161"/>
  <c r="K18" i="161"/>
  <c r="K17" i="161"/>
  <c r="K15" i="161"/>
  <c r="K14" i="161"/>
  <c r="K12" i="161"/>
  <c r="K11" i="161"/>
  <c r="K10" i="161"/>
  <c r="K9" i="161"/>
  <c r="K8" i="161"/>
  <c r="K88" i="160"/>
  <c r="K86" i="160"/>
  <c r="K85" i="160"/>
  <c r="K84" i="160"/>
  <c r="K83" i="160"/>
  <c r="K82" i="160"/>
  <c r="K81" i="160"/>
  <c r="K80" i="160"/>
  <c r="K79" i="160"/>
  <c r="K78" i="160"/>
  <c r="K76" i="160"/>
  <c r="K75" i="160"/>
  <c r="K73" i="160"/>
  <c r="K72" i="160"/>
  <c r="K71" i="160"/>
  <c r="K70" i="160"/>
  <c r="K68" i="160"/>
  <c r="K66" i="160"/>
  <c r="K65" i="160"/>
  <c r="K64" i="160"/>
  <c r="K62" i="160"/>
  <c r="K60" i="160"/>
  <c r="K59" i="160"/>
  <c r="K58" i="160"/>
  <c r="K57" i="160"/>
  <c r="K55" i="160"/>
  <c r="K53" i="160"/>
  <c r="K51" i="160"/>
  <c r="K50" i="160"/>
  <c r="K48" i="160"/>
  <c r="K47" i="160"/>
  <c r="K45" i="160"/>
  <c r="K44" i="160"/>
  <c r="K42" i="160"/>
  <c r="K41" i="160"/>
  <c r="K40" i="160"/>
  <c r="K38" i="160"/>
  <c r="K37" i="160"/>
  <c r="K35" i="160"/>
  <c r="K34" i="160"/>
  <c r="K32" i="160"/>
  <c r="K31" i="160"/>
  <c r="K30" i="160"/>
  <c r="K29" i="160"/>
  <c r="K28" i="160"/>
  <c r="K27" i="160"/>
  <c r="K25" i="160"/>
  <c r="K24" i="160"/>
  <c r="K23" i="160"/>
  <c r="K22" i="160"/>
  <c r="K20" i="160"/>
  <c r="K18" i="160"/>
  <c r="K17" i="160"/>
  <c r="K15" i="160"/>
  <c r="K14" i="160"/>
  <c r="K12" i="160"/>
  <c r="K11" i="160"/>
  <c r="K10" i="160"/>
  <c r="K9" i="160"/>
  <c r="K8" i="160"/>
  <c r="K88" i="159"/>
  <c r="K86" i="159"/>
  <c r="K85" i="159"/>
  <c r="K84" i="159"/>
  <c r="K83" i="159"/>
  <c r="K82" i="159"/>
  <c r="K81" i="159"/>
  <c r="K80" i="159"/>
  <c r="K79" i="159"/>
  <c r="K78" i="159"/>
  <c r="K76" i="159"/>
  <c r="K75" i="159"/>
  <c r="K73" i="159"/>
  <c r="K72" i="159"/>
  <c r="K71" i="159"/>
  <c r="K70" i="159"/>
  <c r="K68" i="159"/>
  <c r="K66" i="159"/>
  <c r="K65" i="159"/>
  <c r="K64" i="159"/>
  <c r="K62" i="159"/>
  <c r="K60" i="159"/>
  <c r="K59" i="159"/>
  <c r="K58" i="159"/>
  <c r="K57" i="159"/>
  <c r="K55" i="159"/>
  <c r="K53" i="159"/>
  <c r="K51" i="159"/>
  <c r="K50" i="159"/>
  <c r="K48" i="159"/>
  <c r="K47" i="159"/>
  <c r="K45" i="159"/>
  <c r="K44" i="159"/>
  <c r="K42" i="159"/>
  <c r="K41" i="159"/>
  <c r="K40" i="159"/>
  <c r="K38" i="159"/>
  <c r="K37" i="159"/>
  <c r="K35" i="159"/>
  <c r="K34" i="159"/>
  <c r="K32" i="159"/>
  <c r="K31" i="159"/>
  <c r="K30" i="159"/>
  <c r="K29" i="159"/>
  <c r="K28" i="159"/>
  <c r="K27" i="159"/>
  <c r="K25" i="159"/>
  <c r="K24" i="159"/>
  <c r="K23" i="159"/>
  <c r="K22" i="159"/>
  <c r="K20" i="159"/>
  <c r="K18" i="159"/>
  <c r="K17" i="159"/>
  <c r="K15" i="159"/>
  <c r="K14" i="159"/>
  <c r="K12" i="159"/>
  <c r="K11" i="159"/>
  <c r="K10" i="159"/>
  <c r="K9" i="159"/>
  <c r="K8" i="159"/>
  <c r="K88" i="157"/>
  <c r="K86" i="157"/>
  <c r="K85" i="157"/>
  <c r="K84" i="157"/>
  <c r="K83" i="157"/>
  <c r="K82" i="157"/>
  <c r="K81" i="157"/>
  <c r="K80" i="157"/>
  <c r="K79" i="157"/>
  <c r="K78" i="157"/>
  <c r="K76" i="157"/>
  <c r="K75" i="157"/>
  <c r="K73" i="157"/>
  <c r="K72" i="157"/>
  <c r="K71" i="157"/>
  <c r="K70" i="157"/>
  <c r="K68" i="157"/>
  <c r="K66" i="157"/>
  <c r="K65" i="157"/>
  <c r="K64" i="157"/>
  <c r="K62" i="157"/>
  <c r="K60" i="157"/>
  <c r="K59" i="157"/>
  <c r="K58" i="157"/>
  <c r="K57" i="157"/>
  <c r="K55" i="157"/>
  <c r="K53" i="157"/>
  <c r="K51" i="157"/>
  <c r="K50" i="157"/>
  <c r="K48" i="157"/>
  <c r="K47" i="157"/>
  <c r="K45" i="157"/>
  <c r="K44" i="157"/>
  <c r="K42" i="157"/>
  <c r="K41" i="157"/>
  <c r="K40" i="157"/>
  <c r="K38" i="157"/>
  <c r="K37" i="157"/>
  <c r="K35" i="157"/>
  <c r="K34" i="157"/>
  <c r="K32" i="157"/>
  <c r="K31" i="157"/>
  <c r="K30" i="157"/>
  <c r="K29" i="157"/>
  <c r="K28" i="157"/>
  <c r="K27" i="157"/>
  <c r="K25" i="157"/>
  <c r="K24" i="157"/>
  <c r="K23" i="157"/>
  <c r="K22" i="157"/>
  <c r="K20" i="157"/>
  <c r="K18" i="157"/>
  <c r="K17" i="157"/>
  <c r="K15" i="157"/>
  <c r="K14" i="157"/>
  <c r="K12" i="157"/>
  <c r="K11" i="157"/>
  <c r="K10" i="157"/>
  <c r="K9" i="157"/>
  <c r="K8" i="157"/>
  <c r="K88" i="156"/>
  <c r="K86" i="156"/>
  <c r="K85" i="156"/>
  <c r="K84" i="156"/>
  <c r="K83" i="156"/>
  <c r="K82" i="156"/>
  <c r="K81" i="156"/>
  <c r="K80" i="156"/>
  <c r="K79" i="156"/>
  <c r="K78" i="156"/>
  <c r="K76" i="156"/>
  <c r="K75" i="156"/>
  <c r="K73" i="156"/>
  <c r="K72" i="156"/>
  <c r="K71" i="156"/>
  <c r="K70" i="156"/>
  <c r="K68" i="156"/>
  <c r="K66" i="156"/>
  <c r="K65" i="156"/>
  <c r="K64" i="156"/>
  <c r="K62" i="156"/>
  <c r="K60" i="156"/>
  <c r="K59" i="156"/>
  <c r="K58" i="156"/>
  <c r="K57" i="156"/>
  <c r="K55" i="156"/>
  <c r="K53" i="156"/>
  <c r="K51" i="156"/>
  <c r="K50" i="156"/>
  <c r="K48" i="156"/>
  <c r="K47" i="156"/>
  <c r="K45" i="156"/>
  <c r="K44" i="156"/>
  <c r="K42" i="156"/>
  <c r="K41" i="156"/>
  <c r="K40" i="156"/>
  <c r="K38" i="156"/>
  <c r="K37" i="156"/>
  <c r="K35" i="156"/>
  <c r="K34" i="156"/>
  <c r="K32" i="156"/>
  <c r="K31" i="156"/>
  <c r="K30" i="156"/>
  <c r="K29" i="156"/>
  <c r="K28" i="156"/>
  <c r="K27" i="156"/>
  <c r="K25" i="156"/>
  <c r="K24" i="156"/>
  <c r="K23" i="156"/>
  <c r="K22" i="156"/>
  <c r="K20" i="156"/>
  <c r="K18" i="156"/>
  <c r="K17" i="156"/>
  <c r="K15" i="156"/>
  <c r="K14" i="156"/>
  <c r="K12" i="156"/>
  <c r="K11" i="156"/>
  <c r="K10" i="156"/>
  <c r="K9" i="156"/>
  <c r="K8" i="156"/>
  <c r="K88" i="155"/>
  <c r="K86" i="155"/>
  <c r="K85" i="155"/>
  <c r="K84" i="155"/>
  <c r="K83" i="155"/>
  <c r="K82" i="155"/>
  <c r="K81" i="155"/>
  <c r="K80" i="155"/>
  <c r="K79" i="155"/>
  <c r="K78" i="155"/>
  <c r="K76" i="155"/>
  <c r="K75" i="155"/>
  <c r="K73" i="155"/>
  <c r="K72" i="155"/>
  <c r="K71" i="155"/>
  <c r="K70" i="155"/>
  <c r="K68" i="155"/>
  <c r="K66" i="155"/>
  <c r="K65" i="155"/>
  <c r="K64" i="155"/>
  <c r="K62" i="155"/>
  <c r="K60" i="155"/>
  <c r="K59" i="155"/>
  <c r="K58" i="155"/>
  <c r="K57" i="155"/>
  <c r="K55" i="155"/>
  <c r="K53" i="155"/>
  <c r="K51" i="155"/>
  <c r="K50" i="155"/>
  <c r="K48" i="155"/>
  <c r="K47" i="155"/>
  <c r="K45" i="155"/>
  <c r="K44" i="155"/>
  <c r="K42" i="155"/>
  <c r="K41" i="155"/>
  <c r="K40" i="155"/>
  <c r="K38" i="155"/>
  <c r="K37" i="155"/>
  <c r="K35" i="155"/>
  <c r="K34" i="155"/>
  <c r="K32" i="155"/>
  <c r="K31" i="155"/>
  <c r="K30" i="155"/>
  <c r="K29" i="155"/>
  <c r="K28" i="155"/>
  <c r="K27" i="155"/>
  <c r="K25" i="155"/>
  <c r="K24" i="155"/>
  <c r="K23" i="155"/>
  <c r="K22" i="155"/>
  <c r="K20" i="155"/>
  <c r="K18" i="155"/>
  <c r="K17" i="155"/>
  <c r="K15" i="155"/>
  <c r="K14" i="155"/>
  <c r="K12" i="155"/>
  <c r="K11" i="155"/>
  <c r="K10" i="155"/>
  <c r="K9" i="155"/>
  <c r="K8" i="155"/>
  <c r="K88" i="154"/>
  <c r="K86" i="154"/>
  <c r="K85" i="154"/>
  <c r="K84" i="154"/>
  <c r="K83" i="154"/>
  <c r="K82" i="154"/>
  <c r="K81" i="154"/>
  <c r="K80" i="154"/>
  <c r="K79" i="154"/>
  <c r="K78" i="154"/>
  <c r="K76" i="154"/>
  <c r="K75" i="154"/>
  <c r="K73" i="154"/>
  <c r="K72" i="154"/>
  <c r="K71" i="154"/>
  <c r="K70" i="154"/>
  <c r="K68" i="154"/>
  <c r="K66" i="154"/>
  <c r="K65" i="154"/>
  <c r="K64" i="154"/>
  <c r="K62" i="154"/>
  <c r="K60" i="154"/>
  <c r="K59" i="154"/>
  <c r="K58" i="154"/>
  <c r="K57" i="154"/>
  <c r="K55" i="154"/>
  <c r="K53" i="154"/>
  <c r="K51" i="154"/>
  <c r="K50" i="154"/>
  <c r="K48" i="154"/>
  <c r="K47" i="154"/>
  <c r="K45" i="154"/>
  <c r="K44" i="154"/>
  <c r="K42" i="154"/>
  <c r="K41" i="154"/>
  <c r="K40" i="154"/>
  <c r="K38" i="154"/>
  <c r="K37" i="154"/>
  <c r="K35" i="154"/>
  <c r="K34" i="154"/>
  <c r="K32" i="154"/>
  <c r="K31" i="154"/>
  <c r="K30" i="154"/>
  <c r="K29" i="154"/>
  <c r="K28" i="154"/>
  <c r="K27" i="154"/>
  <c r="K25" i="154"/>
  <c r="K24" i="154"/>
  <c r="K23" i="154"/>
  <c r="K22" i="154"/>
  <c r="K20" i="154"/>
  <c r="K18" i="154"/>
  <c r="K17" i="154"/>
  <c r="K15" i="154"/>
  <c r="K14" i="154"/>
  <c r="K12" i="154"/>
  <c r="K11" i="154"/>
  <c r="K10" i="154"/>
  <c r="K9" i="154"/>
  <c r="K8" i="154"/>
  <c r="K88" i="153"/>
  <c r="K86" i="153"/>
  <c r="K85" i="153"/>
  <c r="K84" i="153"/>
  <c r="K83" i="153"/>
  <c r="K82" i="153"/>
  <c r="K81" i="153"/>
  <c r="K80" i="153"/>
  <c r="K79" i="153"/>
  <c r="K78" i="153"/>
  <c r="K76" i="153"/>
  <c r="K75" i="153"/>
  <c r="K73" i="153"/>
  <c r="K72" i="153"/>
  <c r="K71" i="153"/>
  <c r="K70" i="153"/>
  <c r="K68" i="153"/>
  <c r="K66" i="153"/>
  <c r="K65" i="153"/>
  <c r="K64" i="153"/>
  <c r="K62" i="153"/>
  <c r="K60" i="153"/>
  <c r="K59" i="153"/>
  <c r="K58" i="153"/>
  <c r="K57" i="153"/>
  <c r="K55" i="153"/>
  <c r="K53" i="153"/>
  <c r="K51" i="153"/>
  <c r="K50" i="153"/>
  <c r="K48" i="153"/>
  <c r="K47" i="153"/>
  <c r="K45" i="153"/>
  <c r="K44" i="153"/>
  <c r="K42" i="153"/>
  <c r="K41" i="153"/>
  <c r="K40" i="153"/>
  <c r="K38" i="153"/>
  <c r="K37" i="153"/>
  <c r="K35" i="153"/>
  <c r="K34" i="153"/>
  <c r="K32" i="153"/>
  <c r="K31" i="153"/>
  <c r="K30" i="153"/>
  <c r="K29" i="153"/>
  <c r="K28" i="153"/>
  <c r="K27" i="153"/>
  <c r="K25" i="153"/>
  <c r="K24" i="153"/>
  <c r="K23" i="153"/>
  <c r="K22" i="153"/>
  <c r="K20" i="153"/>
  <c r="K18" i="153"/>
  <c r="K17" i="153"/>
  <c r="K15" i="153"/>
  <c r="K14" i="153"/>
  <c r="K12" i="153"/>
  <c r="K11" i="153"/>
  <c r="K10" i="153"/>
  <c r="K9" i="153"/>
  <c r="K8" i="153"/>
  <c r="K88" i="152"/>
  <c r="K86" i="152"/>
  <c r="K85" i="152"/>
  <c r="K84" i="152"/>
  <c r="K83" i="152"/>
  <c r="K82" i="152"/>
  <c r="K81" i="152"/>
  <c r="K80" i="152"/>
  <c r="K79" i="152"/>
  <c r="K78" i="152"/>
  <c r="K76" i="152"/>
  <c r="K75" i="152"/>
  <c r="K73" i="152"/>
  <c r="K72" i="152"/>
  <c r="K71" i="152"/>
  <c r="K70" i="152"/>
  <c r="K68" i="152"/>
  <c r="K66" i="152"/>
  <c r="K65" i="152"/>
  <c r="K64" i="152"/>
  <c r="K62" i="152"/>
  <c r="K60" i="152"/>
  <c r="K59" i="152"/>
  <c r="K58" i="152"/>
  <c r="K57" i="152"/>
  <c r="K55" i="152"/>
  <c r="K53" i="152"/>
  <c r="K51" i="152"/>
  <c r="K50" i="152"/>
  <c r="K48" i="152"/>
  <c r="K47" i="152"/>
  <c r="K45" i="152"/>
  <c r="K44" i="152"/>
  <c r="K42" i="152"/>
  <c r="K41" i="152"/>
  <c r="K40" i="152"/>
  <c r="K38" i="152"/>
  <c r="K37" i="152"/>
  <c r="K35" i="152"/>
  <c r="K34" i="152"/>
  <c r="K32" i="152"/>
  <c r="K31" i="152"/>
  <c r="K30" i="152"/>
  <c r="K29" i="152"/>
  <c r="K28" i="152"/>
  <c r="K27" i="152"/>
  <c r="K25" i="152"/>
  <c r="K24" i="152"/>
  <c r="K23" i="152"/>
  <c r="K22" i="152"/>
  <c r="K20" i="152"/>
  <c r="K18" i="152"/>
  <c r="K17" i="152"/>
  <c r="K15" i="152"/>
  <c r="K14" i="152"/>
  <c r="K12" i="152"/>
  <c r="K11" i="152"/>
  <c r="K10" i="152"/>
  <c r="K9" i="152"/>
  <c r="K8" i="152"/>
  <c r="K88" i="145"/>
  <c r="K86" i="145"/>
  <c r="K85" i="145"/>
  <c r="K84" i="145"/>
  <c r="K83" i="145"/>
  <c r="K82" i="145"/>
  <c r="K81" i="145"/>
  <c r="K80" i="145"/>
  <c r="K79" i="145"/>
  <c r="K78" i="145"/>
  <c r="K76" i="145"/>
  <c r="K75" i="145"/>
  <c r="K73" i="145"/>
  <c r="K72" i="145"/>
  <c r="K71" i="145"/>
  <c r="K70" i="145"/>
  <c r="K68" i="145"/>
  <c r="K66" i="145"/>
  <c r="K65" i="145"/>
  <c r="K64" i="145"/>
  <c r="K62" i="145"/>
  <c r="K60" i="145"/>
  <c r="K59" i="145"/>
  <c r="K58" i="145"/>
  <c r="K57" i="145"/>
  <c r="K55" i="145"/>
  <c r="K53" i="145"/>
  <c r="K51" i="145"/>
  <c r="K50" i="145"/>
  <c r="K48" i="145"/>
  <c r="K47" i="145"/>
  <c r="K45" i="145"/>
  <c r="K44" i="145"/>
  <c r="K42" i="145"/>
  <c r="K41" i="145"/>
  <c r="K40" i="145"/>
  <c r="K38" i="145"/>
  <c r="K37" i="145"/>
  <c r="K35" i="145"/>
  <c r="K34" i="145"/>
  <c r="K32" i="145"/>
  <c r="K31" i="145"/>
  <c r="K30" i="145"/>
  <c r="K29" i="145"/>
  <c r="K28" i="145"/>
  <c r="K27" i="145"/>
  <c r="K25" i="145"/>
  <c r="K24" i="145"/>
  <c r="K23" i="145"/>
  <c r="K22" i="145"/>
  <c r="K20" i="145"/>
  <c r="K18" i="145"/>
  <c r="K17" i="145"/>
  <c r="K15" i="145"/>
  <c r="K14" i="145"/>
  <c r="K12" i="145"/>
  <c r="K11" i="145"/>
  <c r="K10" i="145"/>
  <c r="K9" i="145"/>
  <c r="K8" i="145"/>
  <c r="K88" i="144"/>
  <c r="K86" i="144"/>
  <c r="K85" i="144"/>
  <c r="K84" i="144"/>
  <c r="K83" i="144"/>
  <c r="K82" i="144"/>
  <c r="K81" i="144"/>
  <c r="K80" i="144"/>
  <c r="K79" i="144"/>
  <c r="K78" i="144"/>
  <c r="K76" i="144"/>
  <c r="K75" i="144"/>
  <c r="K73" i="144"/>
  <c r="K72" i="144"/>
  <c r="K71" i="144"/>
  <c r="K70" i="144"/>
  <c r="K68" i="144"/>
  <c r="K66" i="144"/>
  <c r="K65" i="144"/>
  <c r="K64" i="144"/>
  <c r="K62" i="144"/>
  <c r="K60" i="144"/>
  <c r="K59" i="144"/>
  <c r="K58" i="144"/>
  <c r="K57" i="144"/>
  <c r="K55" i="144"/>
  <c r="K53" i="144"/>
  <c r="K51" i="144"/>
  <c r="K50" i="144"/>
  <c r="K48" i="144"/>
  <c r="K47" i="144"/>
  <c r="K45" i="144"/>
  <c r="K44" i="144"/>
  <c r="K42" i="144"/>
  <c r="K41" i="144"/>
  <c r="K40" i="144"/>
  <c r="K38" i="144"/>
  <c r="K37" i="144"/>
  <c r="K35" i="144"/>
  <c r="K34" i="144"/>
  <c r="K32" i="144"/>
  <c r="K31" i="144"/>
  <c r="K30" i="144"/>
  <c r="K29" i="144"/>
  <c r="K28" i="144"/>
  <c r="K27" i="144"/>
  <c r="K25" i="144"/>
  <c r="K24" i="144"/>
  <c r="K23" i="144"/>
  <c r="K22" i="144"/>
  <c r="K20" i="144"/>
  <c r="K18" i="144"/>
  <c r="K17" i="144"/>
  <c r="K15" i="144"/>
  <c r="K14" i="144"/>
  <c r="K12" i="144"/>
  <c r="K11" i="144"/>
  <c r="K10" i="144"/>
  <c r="K9" i="144"/>
  <c r="K8" i="144"/>
  <c r="K88" i="143"/>
  <c r="K86" i="143"/>
  <c r="K85" i="143"/>
  <c r="K84" i="143"/>
  <c r="K83" i="143"/>
  <c r="K82" i="143"/>
  <c r="K81" i="143"/>
  <c r="K80" i="143"/>
  <c r="K79" i="143"/>
  <c r="K78" i="143"/>
  <c r="K76" i="143"/>
  <c r="K75" i="143"/>
  <c r="K73" i="143"/>
  <c r="K72" i="143"/>
  <c r="K71" i="143"/>
  <c r="K70" i="143"/>
  <c r="K68" i="143"/>
  <c r="K66" i="143"/>
  <c r="K65" i="143"/>
  <c r="K64" i="143"/>
  <c r="K62" i="143"/>
  <c r="K60" i="143"/>
  <c r="K59" i="143"/>
  <c r="K58" i="143"/>
  <c r="K57" i="143"/>
  <c r="K55" i="143"/>
  <c r="K53" i="143"/>
  <c r="K51" i="143"/>
  <c r="K50" i="143"/>
  <c r="K48" i="143"/>
  <c r="K47" i="143"/>
  <c r="K45" i="143"/>
  <c r="K44" i="143"/>
  <c r="K42" i="143"/>
  <c r="K41" i="143"/>
  <c r="K40" i="143"/>
  <c r="K38" i="143"/>
  <c r="K37" i="143"/>
  <c r="K35" i="143"/>
  <c r="K34" i="143"/>
  <c r="K32" i="143"/>
  <c r="K31" i="143"/>
  <c r="K30" i="143"/>
  <c r="K29" i="143"/>
  <c r="K28" i="143"/>
  <c r="K27" i="143"/>
  <c r="K25" i="143"/>
  <c r="K24" i="143"/>
  <c r="K23" i="143"/>
  <c r="K22" i="143"/>
  <c r="K20" i="143"/>
  <c r="K18" i="143"/>
  <c r="K17" i="143"/>
  <c r="K15" i="143"/>
  <c r="K14" i="143"/>
  <c r="K12" i="143"/>
  <c r="K11" i="143"/>
  <c r="K10" i="143"/>
  <c r="K9" i="143"/>
  <c r="K8" i="143"/>
  <c r="K88" i="142"/>
  <c r="K86" i="142"/>
  <c r="K85" i="142"/>
  <c r="K84" i="142"/>
  <c r="K83" i="142"/>
  <c r="K82" i="142"/>
  <c r="K81" i="142"/>
  <c r="K80" i="142"/>
  <c r="K79" i="142"/>
  <c r="K78" i="142"/>
  <c r="K76" i="142"/>
  <c r="K75" i="142"/>
  <c r="K73" i="142"/>
  <c r="K72" i="142"/>
  <c r="K71" i="142"/>
  <c r="K70" i="142"/>
  <c r="K68" i="142"/>
  <c r="K66" i="142"/>
  <c r="K65" i="142"/>
  <c r="K64" i="142"/>
  <c r="K62" i="142"/>
  <c r="K60" i="142"/>
  <c r="K59" i="142"/>
  <c r="K58" i="142"/>
  <c r="K57" i="142"/>
  <c r="K55" i="142"/>
  <c r="K53" i="142"/>
  <c r="K51" i="142"/>
  <c r="K50" i="142"/>
  <c r="K48" i="142"/>
  <c r="K47" i="142"/>
  <c r="K45" i="142"/>
  <c r="K44" i="142"/>
  <c r="K42" i="142"/>
  <c r="K41" i="142"/>
  <c r="K40" i="142"/>
  <c r="K38" i="142"/>
  <c r="K37" i="142"/>
  <c r="K35" i="142"/>
  <c r="K34" i="142"/>
  <c r="K32" i="142"/>
  <c r="K31" i="142"/>
  <c r="K30" i="142"/>
  <c r="K29" i="142"/>
  <c r="K28" i="142"/>
  <c r="K27" i="142"/>
  <c r="K25" i="142"/>
  <c r="K24" i="142"/>
  <c r="K23" i="142"/>
  <c r="K22" i="142"/>
  <c r="K20" i="142"/>
  <c r="K18" i="142"/>
  <c r="K17" i="142"/>
  <c r="K15" i="142"/>
  <c r="K14" i="142"/>
  <c r="K12" i="142"/>
  <c r="K11" i="142"/>
  <c r="K10" i="142"/>
  <c r="K9" i="142"/>
  <c r="K8" i="142"/>
  <c r="K88" i="141"/>
  <c r="K86" i="141"/>
  <c r="K85" i="141"/>
  <c r="K84" i="141"/>
  <c r="K83" i="141"/>
  <c r="K82" i="141"/>
  <c r="K81" i="141"/>
  <c r="K80" i="141"/>
  <c r="K79" i="141"/>
  <c r="K78" i="141"/>
  <c r="K76" i="141"/>
  <c r="K75" i="141"/>
  <c r="K73" i="141"/>
  <c r="K72" i="141"/>
  <c r="K71" i="141"/>
  <c r="K70" i="141"/>
  <c r="K68" i="141"/>
  <c r="K66" i="141"/>
  <c r="K65" i="141"/>
  <c r="K64" i="141"/>
  <c r="K62" i="141"/>
  <c r="K60" i="141"/>
  <c r="K59" i="141"/>
  <c r="K58" i="141"/>
  <c r="K57" i="141"/>
  <c r="K55" i="141"/>
  <c r="K53" i="141"/>
  <c r="K51" i="141"/>
  <c r="K50" i="141"/>
  <c r="K48" i="141"/>
  <c r="K47" i="141"/>
  <c r="K45" i="141"/>
  <c r="K44" i="141"/>
  <c r="K42" i="141"/>
  <c r="K41" i="141"/>
  <c r="K40" i="141"/>
  <c r="K38" i="141"/>
  <c r="K37" i="141"/>
  <c r="K35" i="141"/>
  <c r="K34" i="141"/>
  <c r="K32" i="141"/>
  <c r="K31" i="141"/>
  <c r="K30" i="141"/>
  <c r="K29" i="141"/>
  <c r="K28" i="141"/>
  <c r="K27" i="141"/>
  <c r="K25" i="141"/>
  <c r="K24" i="141"/>
  <c r="K23" i="141"/>
  <c r="K22" i="141"/>
  <c r="K20" i="141"/>
  <c r="K18" i="141"/>
  <c r="K17" i="141"/>
  <c r="K15" i="141"/>
  <c r="K14" i="141"/>
  <c r="K12" i="141"/>
  <c r="K11" i="141"/>
  <c r="K10" i="141"/>
  <c r="K9" i="141"/>
  <c r="K8" i="141"/>
  <c r="K88" i="140"/>
  <c r="K86" i="140"/>
  <c r="K85" i="140"/>
  <c r="K84" i="140"/>
  <c r="K83" i="140"/>
  <c r="K82" i="140"/>
  <c r="K81" i="140"/>
  <c r="K80" i="140"/>
  <c r="K79" i="140"/>
  <c r="K78" i="140"/>
  <c r="K76" i="140"/>
  <c r="K75" i="140"/>
  <c r="K73" i="140"/>
  <c r="K72" i="140"/>
  <c r="K71" i="140"/>
  <c r="K70" i="140"/>
  <c r="K68" i="140"/>
  <c r="K66" i="140"/>
  <c r="K65" i="140"/>
  <c r="K64" i="140"/>
  <c r="K62" i="140"/>
  <c r="K60" i="140"/>
  <c r="K59" i="140"/>
  <c r="K58" i="140"/>
  <c r="K57" i="140"/>
  <c r="K55" i="140"/>
  <c r="K53" i="140"/>
  <c r="K51" i="140"/>
  <c r="K50" i="140"/>
  <c r="K48" i="140"/>
  <c r="K47" i="140"/>
  <c r="K45" i="140"/>
  <c r="K44" i="140"/>
  <c r="K42" i="140"/>
  <c r="K41" i="140"/>
  <c r="K40" i="140"/>
  <c r="K38" i="140"/>
  <c r="K37" i="140"/>
  <c r="K35" i="140"/>
  <c r="K34" i="140"/>
  <c r="K32" i="140"/>
  <c r="K31" i="140"/>
  <c r="K30" i="140"/>
  <c r="K29" i="140"/>
  <c r="K28" i="140"/>
  <c r="K27" i="140"/>
  <c r="K25" i="140"/>
  <c r="K24" i="140"/>
  <c r="K23" i="140"/>
  <c r="K22" i="140"/>
  <c r="K20" i="140"/>
  <c r="K18" i="140"/>
  <c r="K17" i="140"/>
  <c r="K15" i="140"/>
  <c r="K14" i="140"/>
  <c r="K12" i="140"/>
  <c r="K11" i="140"/>
  <c r="K10" i="140"/>
  <c r="K9" i="140"/>
  <c r="K8" i="140"/>
  <c r="K88" i="139"/>
  <c r="K86" i="139"/>
  <c r="K85" i="139"/>
  <c r="K84" i="139"/>
  <c r="K83" i="139"/>
  <c r="K82" i="139"/>
  <c r="K81" i="139"/>
  <c r="K80" i="139"/>
  <c r="K79" i="139"/>
  <c r="K78" i="139"/>
  <c r="K76" i="139"/>
  <c r="K75" i="139"/>
  <c r="K73" i="139"/>
  <c r="K72" i="139"/>
  <c r="K71" i="139"/>
  <c r="K70" i="139"/>
  <c r="K68" i="139"/>
  <c r="K66" i="139"/>
  <c r="K65" i="139"/>
  <c r="K64" i="139"/>
  <c r="K62" i="139"/>
  <c r="K60" i="139"/>
  <c r="K59" i="139"/>
  <c r="K58" i="139"/>
  <c r="K57" i="139"/>
  <c r="K55" i="139"/>
  <c r="K53" i="139"/>
  <c r="K51" i="139"/>
  <c r="K50" i="139"/>
  <c r="K48" i="139"/>
  <c r="K47" i="139"/>
  <c r="K45" i="139"/>
  <c r="K44" i="139"/>
  <c r="K42" i="139"/>
  <c r="K41" i="139"/>
  <c r="K40" i="139"/>
  <c r="K38" i="139"/>
  <c r="K37" i="139"/>
  <c r="K35" i="139"/>
  <c r="K34" i="139"/>
  <c r="K32" i="139"/>
  <c r="K31" i="139"/>
  <c r="K30" i="139"/>
  <c r="K29" i="139"/>
  <c r="K28" i="139"/>
  <c r="K27" i="139"/>
  <c r="K25" i="139"/>
  <c r="K24" i="139"/>
  <c r="K23" i="139"/>
  <c r="K22" i="139"/>
  <c r="K20" i="139"/>
  <c r="K18" i="139"/>
  <c r="K17" i="139"/>
  <c r="K15" i="139"/>
  <c r="K14" i="139"/>
  <c r="K12" i="139"/>
  <c r="K11" i="139"/>
  <c r="K10" i="139"/>
  <c r="K9" i="139"/>
  <c r="K8" i="139"/>
  <c r="K88" i="151"/>
  <c r="K86" i="151"/>
  <c r="K85" i="151"/>
  <c r="K84" i="151"/>
  <c r="K83" i="151"/>
  <c r="K82" i="151"/>
  <c r="K81" i="151"/>
  <c r="K80" i="151"/>
  <c r="K79" i="151"/>
  <c r="K78" i="151"/>
  <c r="K76" i="151"/>
  <c r="K75" i="151"/>
  <c r="K73" i="151"/>
  <c r="K72" i="151"/>
  <c r="K71" i="151"/>
  <c r="K70" i="151"/>
  <c r="K68" i="151"/>
  <c r="K66" i="151"/>
  <c r="K65" i="151"/>
  <c r="K64" i="151"/>
  <c r="K62" i="151"/>
  <c r="K60" i="151"/>
  <c r="K59" i="151"/>
  <c r="K58" i="151"/>
  <c r="K57" i="151"/>
  <c r="K55" i="151"/>
  <c r="K53" i="151"/>
  <c r="K51" i="151"/>
  <c r="K50" i="151"/>
  <c r="K48" i="151"/>
  <c r="K47" i="151"/>
  <c r="K45" i="151"/>
  <c r="K44" i="151"/>
  <c r="K42" i="151"/>
  <c r="K41" i="151"/>
  <c r="K40" i="151"/>
  <c r="K38" i="151"/>
  <c r="K37" i="151"/>
  <c r="K35" i="151"/>
  <c r="K34" i="151"/>
  <c r="K32" i="151"/>
  <c r="K31" i="151"/>
  <c r="K30" i="151"/>
  <c r="K29" i="151"/>
  <c r="K28" i="151"/>
  <c r="K27" i="151"/>
  <c r="K25" i="151"/>
  <c r="K24" i="151"/>
  <c r="K23" i="151"/>
  <c r="K22" i="151"/>
  <c r="K20" i="151"/>
  <c r="K18" i="151"/>
  <c r="K17" i="151"/>
  <c r="K15" i="151"/>
  <c r="K14" i="151"/>
  <c r="K12" i="151"/>
  <c r="K11" i="151"/>
  <c r="K10" i="151"/>
  <c r="K9" i="151"/>
  <c r="K8" i="151"/>
  <c r="K88" i="150"/>
  <c r="K86" i="150"/>
  <c r="K85" i="150"/>
  <c r="K84" i="150"/>
  <c r="K83" i="150"/>
  <c r="K82" i="150"/>
  <c r="K81" i="150"/>
  <c r="K80" i="150"/>
  <c r="K79" i="150"/>
  <c r="K78" i="150"/>
  <c r="K76" i="150"/>
  <c r="K75" i="150"/>
  <c r="K73" i="150"/>
  <c r="K72" i="150"/>
  <c r="K71" i="150"/>
  <c r="K70" i="150"/>
  <c r="K68" i="150"/>
  <c r="K66" i="150"/>
  <c r="K65" i="150"/>
  <c r="K64" i="150"/>
  <c r="K62" i="150"/>
  <c r="K60" i="150"/>
  <c r="K59" i="150"/>
  <c r="K58" i="150"/>
  <c r="K57" i="150"/>
  <c r="K55" i="150"/>
  <c r="K53" i="150"/>
  <c r="K51" i="150"/>
  <c r="K50" i="150"/>
  <c r="K48" i="150"/>
  <c r="K47" i="150"/>
  <c r="K45" i="150"/>
  <c r="K44" i="150"/>
  <c r="K42" i="150"/>
  <c r="K41" i="150"/>
  <c r="K40" i="150"/>
  <c r="K38" i="150"/>
  <c r="K37" i="150"/>
  <c r="K35" i="150"/>
  <c r="K34" i="150"/>
  <c r="K32" i="150"/>
  <c r="K31" i="150"/>
  <c r="K30" i="150"/>
  <c r="K29" i="150"/>
  <c r="K28" i="150"/>
  <c r="K27" i="150"/>
  <c r="K25" i="150"/>
  <c r="K24" i="150"/>
  <c r="K23" i="150"/>
  <c r="K22" i="150"/>
  <c r="K20" i="150"/>
  <c r="K18" i="150"/>
  <c r="K17" i="150"/>
  <c r="K15" i="150"/>
  <c r="K14" i="150"/>
  <c r="K12" i="150"/>
  <c r="K11" i="150"/>
  <c r="K10" i="150"/>
  <c r="K9" i="150"/>
  <c r="K8" i="150"/>
  <c r="K88" i="149"/>
  <c r="K86" i="149"/>
  <c r="K85" i="149"/>
  <c r="K84" i="149"/>
  <c r="K83" i="149"/>
  <c r="K82" i="149"/>
  <c r="K81" i="149"/>
  <c r="K80" i="149"/>
  <c r="K79" i="149"/>
  <c r="K78" i="149"/>
  <c r="K76" i="149"/>
  <c r="K75" i="149"/>
  <c r="K73" i="149"/>
  <c r="K72" i="149"/>
  <c r="K71" i="149"/>
  <c r="K70" i="149"/>
  <c r="K68" i="149"/>
  <c r="K66" i="149"/>
  <c r="K65" i="149"/>
  <c r="K64" i="149"/>
  <c r="K62" i="149"/>
  <c r="K60" i="149"/>
  <c r="K59" i="149"/>
  <c r="K58" i="149"/>
  <c r="K57" i="149"/>
  <c r="K55" i="149"/>
  <c r="K53" i="149"/>
  <c r="K51" i="149"/>
  <c r="K50" i="149"/>
  <c r="K48" i="149"/>
  <c r="K47" i="149"/>
  <c r="K45" i="149"/>
  <c r="K44" i="149"/>
  <c r="K42" i="149"/>
  <c r="K41" i="149"/>
  <c r="K40" i="149"/>
  <c r="K38" i="149"/>
  <c r="K37" i="149"/>
  <c r="K35" i="149"/>
  <c r="K34" i="149"/>
  <c r="K32" i="149"/>
  <c r="K31" i="149"/>
  <c r="K30" i="149"/>
  <c r="K29" i="149"/>
  <c r="K28" i="149"/>
  <c r="K27" i="149"/>
  <c r="K25" i="149"/>
  <c r="K24" i="149"/>
  <c r="K23" i="149"/>
  <c r="K22" i="149"/>
  <c r="K20" i="149"/>
  <c r="K18" i="149"/>
  <c r="K17" i="149"/>
  <c r="K15" i="149"/>
  <c r="K14" i="149"/>
  <c r="K12" i="149"/>
  <c r="K11" i="149"/>
  <c r="K10" i="149"/>
  <c r="K9" i="149"/>
  <c r="K8" i="149"/>
  <c r="K88" i="148"/>
  <c r="K86" i="148"/>
  <c r="K85" i="148"/>
  <c r="K84" i="148"/>
  <c r="K83" i="148"/>
  <c r="K82" i="148"/>
  <c r="K81" i="148"/>
  <c r="K80" i="148"/>
  <c r="K79" i="148"/>
  <c r="K78" i="148"/>
  <c r="K76" i="148"/>
  <c r="K75" i="148"/>
  <c r="K73" i="148"/>
  <c r="K72" i="148"/>
  <c r="K71" i="148"/>
  <c r="K70" i="148"/>
  <c r="K68" i="148"/>
  <c r="K66" i="148"/>
  <c r="K65" i="148"/>
  <c r="K64" i="148"/>
  <c r="K62" i="148"/>
  <c r="K60" i="148"/>
  <c r="K59" i="148"/>
  <c r="K58" i="148"/>
  <c r="K57" i="148"/>
  <c r="K55" i="148"/>
  <c r="K53" i="148"/>
  <c r="K51" i="148"/>
  <c r="K50" i="148"/>
  <c r="K48" i="148"/>
  <c r="K47" i="148"/>
  <c r="K45" i="148"/>
  <c r="K44" i="148"/>
  <c r="K42" i="148"/>
  <c r="K41" i="148"/>
  <c r="K40" i="148"/>
  <c r="K38" i="148"/>
  <c r="K37" i="148"/>
  <c r="K35" i="148"/>
  <c r="K34" i="148"/>
  <c r="K32" i="148"/>
  <c r="K31" i="148"/>
  <c r="K30" i="148"/>
  <c r="K29" i="148"/>
  <c r="K28" i="148"/>
  <c r="K27" i="148"/>
  <c r="K25" i="148"/>
  <c r="K24" i="148"/>
  <c r="K23" i="148"/>
  <c r="K22" i="148"/>
  <c r="K20" i="148"/>
  <c r="K18" i="148"/>
  <c r="K17" i="148"/>
  <c r="K15" i="148"/>
  <c r="K14" i="148"/>
  <c r="K12" i="148"/>
  <c r="K11" i="148"/>
  <c r="K10" i="148"/>
  <c r="K9" i="148"/>
  <c r="K8" i="148"/>
  <c r="K88" i="147"/>
  <c r="K86" i="147"/>
  <c r="K85" i="147"/>
  <c r="K84" i="147"/>
  <c r="K83" i="147"/>
  <c r="K82" i="147"/>
  <c r="K81" i="147"/>
  <c r="K80" i="147"/>
  <c r="K79" i="147"/>
  <c r="K78" i="147"/>
  <c r="K76" i="147"/>
  <c r="K75" i="147"/>
  <c r="K73" i="147"/>
  <c r="K72" i="147"/>
  <c r="K71" i="147"/>
  <c r="K70" i="147"/>
  <c r="K68" i="147"/>
  <c r="K66" i="147"/>
  <c r="K65" i="147"/>
  <c r="K64" i="147"/>
  <c r="K62" i="147"/>
  <c r="K60" i="147"/>
  <c r="K59" i="147"/>
  <c r="K58" i="147"/>
  <c r="K57" i="147"/>
  <c r="K55" i="147"/>
  <c r="K53" i="147"/>
  <c r="K51" i="147"/>
  <c r="K50" i="147"/>
  <c r="K48" i="147"/>
  <c r="K47" i="147"/>
  <c r="K45" i="147"/>
  <c r="K44" i="147"/>
  <c r="K42" i="147"/>
  <c r="K41" i="147"/>
  <c r="K40" i="147"/>
  <c r="K38" i="147"/>
  <c r="K37" i="147"/>
  <c r="K35" i="147"/>
  <c r="K34" i="147"/>
  <c r="K32" i="147"/>
  <c r="K31" i="147"/>
  <c r="K30" i="147"/>
  <c r="K29" i="147"/>
  <c r="K28" i="147"/>
  <c r="K27" i="147"/>
  <c r="K25" i="147"/>
  <c r="K24" i="147"/>
  <c r="K23" i="147"/>
  <c r="K22" i="147"/>
  <c r="K20" i="147"/>
  <c r="K18" i="147"/>
  <c r="K17" i="147"/>
  <c r="K15" i="147"/>
  <c r="K14" i="147"/>
  <c r="K12" i="147"/>
  <c r="K11" i="147"/>
  <c r="K10" i="147"/>
  <c r="K9" i="147"/>
  <c r="K8" i="147"/>
  <c r="K88" i="146"/>
  <c r="K86" i="146"/>
  <c r="K85" i="146"/>
  <c r="K84" i="146"/>
  <c r="K83" i="146"/>
  <c r="K82" i="146"/>
  <c r="K81" i="146"/>
  <c r="K80" i="146"/>
  <c r="K79" i="146"/>
  <c r="K78" i="146"/>
  <c r="K76" i="146"/>
  <c r="K75" i="146"/>
  <c r="K73" i="146"/>
  <c r="K72" i="146"/>
  <c r="K71" i="146"/>
  <c r="K70" i="146"/>
  <c r="K68" i="146"/>
  <c r="K66" i="146"/>
  <c r="K65" i="146"/>
  <c r="K64" i="146"/>
  <c r="K62" i="146"/>
  <c r="K60" i="146"/>
  <c r="K59" i="146"/>
  <c r="K58" i="146"/>
  <c r="K57" i="146"/>
  <c r="K55" i="146"/>
  <c r="K53" i="146"/>
  <c r="K51" i="146"/>
  <c r="K50" i="146"/>
  <c r="K48" i="146"/>
  <c r="K47" i="146"/>
  <c r="K45" i="146"/>
  <c r="K44" i="146"/>
  <c r="K42" i="146"/>
  <c r="K41" i="146"/>
  <c r="K40" i="146"/>
  <c r="K38" i="146"/>
  <c r="K37" i="146"/>
  <c r="K35" i="146"/>
  <c r="K34" i="146"/>
  <c r="K32" i="146"/>
  <c r="K31" i="146"/>
  <c r="K30" i="146"/>
  <c r="K29" i="146"/>
  <c r="K28" i="146"/>
  <c r="K27" i="146"/>
  <c r="K25" i="146"/>
  <c r="K24" i="146"/>
  <c r="K23" i="146"/>
  <c r="K22" i="146"/>
  <c r="K20" i="146"/>
  <c r="K18" i="146"/>
  <c r="K17" i="146"/>
  <c r="K15" i="146"/>
  <c r="K14" i="146"/>
  <c r="K12" i="146"/>
  <c r="K11" i="146"/>
  <c r="K10" i="146"/>
  <c r="K9" i="146"/>
  <c r="K8" i="146"/>
  <c r="AE9" i="1" l="1"/>
  <c r="AG9" i="1"/>
  <c r="AE10" i="1"/>
  <c r="AG10" i="1"/>
  <c r="AE11" i="1"/>
  <c r="AG11" i="1"/>
  <c r="AE12" i="1"/>
  <c r="AG12" i="1"/>
  <c r="AE13" i="1"/>
  <c r="AG13" i="1"/>
  <c r="AE14" i="1"/>
  <c r="AG14" i="1"/>
  <c r="AE15" i="1"/>
  <c r="AG15" i="1"/>
  <c r="AE16" i="1"/>
  <c r="AG16" i="1"/>
  <c r="AE17" i="1"/>
  <c r="AG17" i="1"/>
  <c r="AE18" i="1"/>
  <c r="AG18" i="1"/>
  <c r="AE19" i="1"/>
  <c r="AG19" i="1"/>
  <c r="AE20" i="1"/>
  <c r="AG20" i="1"/>
  <c r="AE21" i="1"/>
  <c r="AG21" i="1"/>
  <c r="AE22" i="1"/>
  <c r="AG22" i="1"/>
  <c r="AE23" i="1"/>
  <c r="AG23" i="1"/>
  <c r="AE24" i="1"/>
  <c r="AG24" i="1"/>
  <c r="AE25" i="1"/>
  <c r="AG25" i="1"/>
  <c r="AE26" i="1"/>
  <c r="AG26" i="1"/>
  <c r="AE27" i="1"/>
  <c r="AG27" i="1"/>
  <c r="AE28" i="1"/>
  <c r="AG28" i="1"/>
  <c r="AI28" i="1" s="1"/>
  <c r="AE29" i="1"/>
  <c r="AG29" i="1"/>
  <c r="AE30" i="1"/>
  <c r="AG30" i="1"/>
  <c r="AE31" i="1"/>
  <c r="AG31" i="1"/>
  <c r="AE32" i="1"/>
  <c r="AG32" i="1"/>
  <c r="AI32" i="1" s="1"/>
  <c r="AE33" i="1"/>
  <c r="AG33" i="1"/>
  <c r="AE34" i="1"/>
  <c r="AG34" i="1"/>
  <c r="AE35" i="1"/>
  <c r="AG35" i="1"/>
  <c r="AE36" i="1"/>
  <c r="AG36" i="1"/>
  <c r="AI36" i="1" s="1"/>
  <c r="AE37" i="1"/>
  <c r="AG37" i="1"/>
  <c r="AE38" i="1"/>
  <c r="AG38" i="1"/>
  <c r="AE39" i="1"/>
  <c r="AG39" i="1"/>
  <c r="AE40" i="1"/>
  <c r="AG40" i="1"/>
  <c r="AE41" i="1"/>
  <c r="AG41" i="1"/>
  <c r="AE42" i="1"/>
  <c r="AG42" i="1"/>
  <c r="AE43" i="1"/>
  <c r="AG43" i="1"/>
  <c r="AE44" i="1"/>
  <c r="AG44" i="1"/>
  <c r="AI44" i="1" s="1"/>
  <c r="AE45" i="1"/>
  <c r="AG45" i="1"/>
  <c r="AE46" i="1"/>
  <c r="AG46" i="1"/>
  <c r="AE47" i="1"/>
  <c r="AG47" i="1"/>
  <c r="AE48" i="1"/>
  <c r="AG48" i="1"/>
  <c r="AI48" i="1" s="1"/>
  <c r="AE49" i="1"/>
  <c r="AG49" i="1"/>
  <c r="AE50" i="1"/>
  <c r="AG50" i="1"/>
  <c r="AE51" i="1"/>
  <c r="AG51" i="1"/>
  <c r="AE52" i="1"/>
  <c r="AG52" i="1"/>
  <c r="AI52" i="1" s="1"/>
  <c r="AE53" i="1"/>
  <c r="AG53" i="1"/>
  <c r="AE54" i="1"/>
  <c r="AG54" i="1"/>
  <c r="AE55" i="1"/>
  <c r="AG55" i="1"/>
  <c r="AE56" i="1"/>
  <c r="AG56" i="1"/>
  <c r="AE57" i="1"/>
  <c r="AG57" i="1"/>
  <c r="AE58" i="1"/>
  <c r="AG58" i="1"/>
  <c r="AE59" i="1"/>
  <c r="AG59" i="1"/>
  <c r="AE60" i="1"/>
  <c r="AG60" i="1"/>
  <c r="AI60" i="1" s="1"/>
  <c r="AE61" i="1"/>
  <c r="AG61" i="1"/>
  <c r="AE62" i="1"/>
  <c r="AG62" i="1"/>
  <c r="AE63" i="1"/>
  <c r="AG63" i="1"/>
  <c r="AE64" i="1"/>
  <c r="AG64" i="1"/>
  <c r="AI64" i="1" s="1"/>
  <c r="AE65" i="1"/>
  <c r="AG65" i="1"/>
  <c r="AE66" i="1"/>
  <c r="AG66" i="1"/>
  <c r="AE67" i="1"/>
  <c r="AG67" i="1"/>
  <c r="AE68" i="1"/>
  <c r="AG68" i="1"/>
  <c r="AI68" i="1" s="1"/>
  <c r="AE69" i="1"/>
  <c r="AG69" i="1"/>
  <c r="AE70" i="1"/>
  <c r="AG70" i="1"/>
  <c r="AE71" i="1"/>
  <c r="AG71" i="1"/>
  <c r="AE72" i="1"/>
  <c r="AG72" i="1"/>
  <c r="AE73" i="1"/>
  <c r="AG73" i="1"/>
  <c r="AE74" i="1"/>
  <c r="AG74" i="1"/>
  <c r="AE75" i="1"/>
  <c r="AG75" i="1"/>
  <c r="AE76" i="1"/>
  <c r="AG76" i="1"/>
  <c r="AI76" i="1" s="1"/>
  <c r="AE77" i="1"/>
  <c r="AG77" i="1"/>
  <c r="AE78" i="1"/>
  <c r="AG78" i="1"/>
  <c r="AE79" i="1"/>
  <c r="AG79" i="1"/>
  <c r="AE80" i="1"/>
  <c r="AG80" i="1"/>
  <c r="AI80" i="1" s="1"/>
  <c r="AE81" i="1"/>
  <c r="AG81" i="1"/>
  <c r="AE82" i="1"/>
  <c r="AG82" i="1"/>
  <c r="AE83" i="1"/>
  <c r="AG83" i="1"/>
  <c r="AE84" i="1"/>
  <c r="AG84" i="1"/>
  <c r="AI84" i="1" s="1"/>
  <c r="AE85" i="1"/>
  <c r="AG85" i="1"/>
  <c r="AE86" i="1"/>
  <c r="AG86" i="1"/>
  <c r="AE87" i="1"/>
  <c r="AG87" i="1"/>
  <c r="AE88" i="1"/>
  <c r="AG88" i="1"/>
  <c r="AG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Z34" i="1"/>
  <c r="AA34" i="1"/>
  <c r="AB34" i="1"/>
  <c r="AC34" i="1"/>
  <c r="Z35" i="1"/>
  <c r="AA35" i="1"/>
  <c r="AB35" i="1"/>
  <c r="AC35" i="1"/>
  <c r="Z36" i="1"/>
  <c r="AA36" i="1"/>
  <c r="AB36" i="1"/>
  <c r="AC36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Z70" i="1"/>
  <c r="AA70" i="1"/>
  <c r="AB70" i="1"/>
  <c r="AC70" i="1"/>
  <c r="Z71" i="1"/>
  <c r="AA71" i="1"/>
  <c r="AB71" i="1"/>
  <c r="AC71" i="1"/>
  <c r="Z72" i="1"/>
  <c r="AA72" i="1"/>
  <c r="AB72" i="1"/>
  <c r="AC72" i="1"/>
  <c r="Z73" i="1"/>
  <c r="AA73" i="1"/>
  <c r="AB73" i="1"/>
  <c r="AC73" i="1"/>
  <c r="Z74" i="1"/>
  <c r="AA74" i="1"/>
  <c r="AB74" i="1"/>
  <c r="AC74" i="1"/>
  <c r="Z75" i="1"/>
  <c r="AA75" i="1"/>
  <c r="AB75" i="1"/>
  <c r="AC75" i="1"/>
  <c r="Z76" i="1"/>
  <c r="AA76" i="1"/>
  <c r="AB76" i="1"/>
  <c r="AC76" i="1"/>
  <c r="Z77" i="1"/>
  <c r="AA77" i="1"/>
  <c r="AB77" i="1"/>
  <c r="AC77" i="1"/>
  <c r="Z78" i="1"/>
  <c r="AA78" i="1"/>
  <c r="AB78" i="1"/>
  <c r="AC78" i="1"/>
  <c r="Z79" i="1"/>
  <c r="AA79" i="1"/>
  <c r="AB79" i="1"/>
  <c r="AC79" i="1"/>
  <c r="Z80" i="1"/>
  <c r="AA80" i="1"/>
  <c r="AB80" i="1"/>
  <c r="AC80" i="1"/>
  <c r="Z81" i="1"/>
  <c r="AA81" i="1"/>
  <c r="AB81" i="1"/>
  <c r="AC81" i="1"/>
  <c r="Z82" i="1"/>
  <c r="AA82" i="1"/>
  <c r="AB82" i="1"/>
  <c r="AC82" i="1"/>
  <c r="Z83" i="1"/>
  <c r="AA83" i="1"/>
  <c r="AB83" i="1"/>
  <c r="AC83" i="1"/>
  <c r="Z84" i="1"/>
  <c r="AA84" i="1"/>
  <c r="AB84" i="1"/>
  <c r="AC84" i="1"/>
  <c r="Z85" i="1"/>
  <c r="AA85" i="1"/>
  <c r="AB85" i="1"/>
  <c r="AC85" i="1"/>
  <c r="Z86" i="1"/>
  <c r="AA86" i="1"/>
  <c r="AB86" i="1"/>
  <c r="AC86" i="1"/>
  <c r="Z87" i="1"/>
  <c r="AA87" i="1"/>
  <c r="AB87" i="1"/>
  <c r="AC87" i="1"/>
  <c r="Z88" i="1"/>
  <c r="AA88" i="1"/>
  <c r="AB88" i="1"/>
  <c r="AC88" i="1"/>
  <c r="AC8" i="1"/>
  <c r="AB8" i="1"/>
  <c r="AA8" i="1"/>
  <c r="Z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85" i="1"/>
  <c r="T85" i="1"/>
  <c r="U85" i="1"/>
  <c r="V85" i="1"/>
  <c r="S86" i="1"/>
  <c r="T86" i="1"/>
  <c r="U86" i="1"/>
  <c r="V86" i="1"/>
  <c r="S87" i="1"/>
  <c r="T87" i="1"/>
  <c r="U87" i="1"/>
  <c r="V87" i="1"/>
  <c r="S88" i="1"/>
  <c r="T88" i="1"/>
  <c r="U88" i="1"/>
  <c r="V88" i="1"/>
  <c r="V8" i="1"/>
  <c r="U8" i="1"/>
  <c r="T8" i="1"/>
  <c r="S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D9" i="1"/>
  <c r="AI9" i="1" s="1"/>
  <c r="E9" i="1"/>
  <c r="F9" i="1"/>
  <c r="G9" i="1"/>
  <c r="H9" i="1"/>
  <c r="I9" i="1"/>
  <c r="D10" i="1"/>
  <c r="E10" i="1"/>
  <c r="F10" i="1"/>
  <c r="G10" i="1"/>
  <c r="H10" i="1"/>
  <c r="I10" i="1"/>
  <c r="D11" i="1"/>
  <c r="AI11" i="1" s="1"/>
  <c r="E11" i="1"/>
  <c r="F11" i="1"/>
  <c r="G11" i="1"/>
  <c r="H11" i="1"/>
  <c r="I11" i="1"/>
  <c r="D12" i="1"/>
  <c r="E12" i="1"/>
  <c r="F12" i="1"/>
  <c r="G12" i="1"/>
  <c r="H12" i="1"/>
  <c r="I12" i="1"/>
  <c r="D13" i="1"/>
  <c r="AI13" i="1" s="1"/>
  <c r="E13" i="1"/>
  <c r="F13" i="1"/>
  <c r="G13" i="1"/>
  <c r="H13" i="1"/>
  <c r="I13" i="1"/>
  <c r="D14" i="1"/>
  <c r="E14" i="1"/>
  <c r="F14" i="1"/>
  <c r="G14" i="1"/>
  <c r="H14" i="1"/>
  <c r="I14" i="1"/>
  <c r="D15" i="1"/>
  <c r="AI15" i="1" s="1"/>
  <c r="E15" i="1"/>
  <c r="F15" i="1"/>
  <c r="G15" i="1"/>
  <c r="H15" i="1"/>
  <c r="I15" i="1"/>
  <c r="D16" i="1"/>
  <c r="E16" i="1"/>
  <c r="F16" i="1"/>
  <c r="G16" i="1"/>
  <c r="H16" i="1"/>
  <c r="I16" i="1"/>
  <c r="D17" i="1"/>
  <c r="AI17" i="1" s="1"/>
  <c r="E17" i="1"/>
  <c r="F17" i="1"/>
  <c r="G17" i="1"/>
  <c r="H17" i="1"/>
  <c r="I17" i="1"/>
  <c r="D18" i="1"/>
  <c r="E18" i="1"/>
  <c r="F18" i="1"/>
  <c r="G18" i="1"/>
  <c r="H18" i="1"/>
  <c r="I18" i="1"/>
  <c r="D19" i="1"/>
  <c r="AI19" i="1" s="1"/>
  <c r="E19" i="1"/>
  <c r="F19" i="1"/>
  <c r="G19" i="1"/>
  <c r="H19" i="1"/>
  <c r="I19" i="1"/>
  <c r="D20" i="1"/>
  <c r="E20" i="1"/>
  <c r="F20" i="1"/>
  <c r="G20" i="1"/>
  <c r="H20" i="1"/>
  <c r="I20" i="1"/>
  <c r="D21" i="1"/>
  <c r="AI21" i="1" s="1"/>
  <c r="E21" i="1"/>
  <c r="F21" i="1"/>
  <c r="G21" i="1"/>
  <c r="H21" i="1"/>
  <c r="I21" i="1"/>
  <c r="D22" i="1"/>
  <c r="E22" i="1"/>
  <c r="F22" i="1"/>
  <c r="G22" i="1"/>
  <c r="H22" i="1"/>
  <c r="I22" i="1"/>
  <c r="D23" i="1"/>
  <c r="AI23" i="1" s="1"/>
  <c r="E23" i="1"/>
  <c r="F23" i="1"/>
  <c r="G23" i="1"/>
  <c r="H23" i="1"/>
  <c r="I23" i="1"/>
  <c r="D24" i="1"/>
  <c r="E24" i="1"/>
  <c r="F24" i="1"/>
  <c r="G24" i="1"/>
  <c r="H24" i="1"/>
  <c r="I24" i="1"/>
  <c r="D25" i="1"/>
  <c r="AI25" i="1" s="1"/>
  <c r="E25" i="1"/>
  <c r="F25" i="1"/>
  <c r="G25" i="1"/>
  <c r="H25" i="1"/>
  <c r="I25" i="1"/>
  <c r="D26" i="1"/>
  <c r="E26" i="1"/>
  <c r="F26" i="1"/>
  <c r="G26" i="1"/>
  <c r="H26" i="1"/>
  <c r="I26" i="1"/>
  <c r="D27" i="1"/>
  <c r="AI27" i="1" s="1"/>
  <c r="E27" i="1"/>
  <c r="F27" i="1"/>
  <c r="G27" i="1"/>
  <c r="H27" i="1"/>
  <c r="I27" i="1"/>
  <c r="D28" i="1"/>
  <c r="E28" i="1"/>
  <c r="F28" i="1"/>
  <c r="G28" i="1"/>
  <c r="H28" i="1"/>
  <c r="I28" i="1"/>
  <c r="D29" i="1"/>
  <c r="AI29" i="1" s="1"/>
  <c r="E29" i="1"/>
  <c r="F29" i="1"/>
  <c r="G29" i="1"/>
  <c r="H29" i="1"/>
  <c r="I29" i="1"/>
  <c r="D30" i="1"/>
  <c r="E30" i="1"/>
  <c r="F30" i="1"/>
  <c r="G30" i="1"/>
  <c r="H30" i="1"/>
  <c r="I30" i="1"/>
  <c r="D31" i="1"/>
  <c r="AI31" i="1" s="1"/>
  <c r="E31" i="1"/>
  <c r="F31" i="1"/>
  <c r="G31" i="1"/>
  <c r="H31" i="1"/>
  <c r="I31" i="1"/>
  <c r="D32" i="1"/>
  <c r="E32" i="1"/>
  <c r="F32" i="1"/>
  <c r="G32" i="1"/>
  <c r="H32" i="1"/>
  <c r="I32" i="1"/>
  <c r="D33" i="1"/>
  <c r="AI33" i="1" s="1"/>
  <c r="E33" i="1"/>
  <c r="F33" i="1"/>
  <c r="G33" i="1"/>
  <c r="H33" i="1"/>
  <c r="I33" i="1"/>
  <c r="D34" i="1"/>
  <c r="E34" i="1"/>
  <c r="F34" i="1"/>
  <c r="G34" i="1"/>
  <c r="H34" i="1"/>
  <c r="I34" i="1"/>
  <c r="D35" i="1"/>
  <c r="AI35" i="1" s="1"/>
  <c r="E35" i="1"/>
  <c r="F35" i="1"/>
  <c r="G35" i="1"/>
  <c r="H35" i="1"/>
  <c r="I35" i="1"/>
  <c r="D36" i="1"/>
  <c r="E36" i="1"/>
  <c r="F36" i="1"/>
  <c r="G36" i="1"/>
  <c r="H36" i="1"/>
  <c r="I36" i="1"/>
  <c r="D37" i="1"/>
  <c r="AI37" i="1" s="1"/>
  <c r="E37" i="1"/>
  <c r="F37" i="1"/>
  <c r="G37" i="1"/>
  <c r="H37" i="1"/>
  <c r="I37" i="1"/>
  <c r="D38" i="1"/>
  <c r="E38" i="1"/>
  <c r="F38" i="1"/>
  <c r="G38" i="1"/>
  <c r="H38" i="1"/>
  <c r="I38" i="1"/>
  <c r="D39" i="1"/>
  <c r="AI39" i="1" s="1"/>
  <c r="E39" i="1"/>
  <c r="F39" i="1"/>
  <c r="G39" i="1"/>
  <c r="H39" i="1"/>
  <c r="I39" i="1"/>
  <c r="D40" i="1"/>
  <c r="E40" i="1"/>
  <c r="F40" i="1"/>
  <c r="G40" i="1"/>
  <c r="H40" i="1"/>
  <c r="I40" i="1"/>
  <c r="D41" i="1"/>
  <c r="AI41" i="1" s="1"/>
  <c r="E41" i="1"/>
  <c r="F41" i="1"/>
  <c r="G41" i="1"/>
  <c r="H41" i="1"/>
  <c r="I41" i="1"/>
  <c r="D42" i="1"/>
  <c r="E42" i="1"/>
  <c r="F42" i="1"/>
  <c r="G42" i="1"/>
  <c r="H42" i="1"/>
  <c r="I42" i="1"/>
  <c r="D43" i="1"/>
  <c r="AI43" i="1" s="1"/>
  <c r="E43" i="1"/>
  <c r="F43" i="1"/>
  <c r="G43" i="1"/>
  <c r="H43" i="1"/>
  <c r="I43" i="1"/>
  <c r="D44" i="1"/>
  <c r="E44" i="1"/>
  <c r="F44" i="1"/>
  <c r="G44" i="1"/>
  <c r="H44" i="1"/>
  <c r="I44" i="1"/>
  <c r="D45" i="1"/>
  <c r="AI45" i="1" s="1"/>
  <c r="E45" i="1"/>
  <c r="F45" i="1"/>
  <c r="G45" i="1"/>
  <c r="H45" i="1"/>
  <c r="I45" i="1"/>
  <c r="D46" i="1"/>
  <c r="E46" i="1"/>
  <c r="F46" i="1"/>
  <c r="G46" i="1"/>
  <c r="H46" i="1"/>
  <c r="I46" i="1"/>
  <c r="D47" i="1"/>
  <c r="AI47" i="1" s="1"/>
  <c r="E47" i="1"/>
  <c r="F47" i="1"/>
  <c r="G47" i="1"/>
  <c r="H47" i="1"/>
  <c r="I47" i="1"/>
  <c r="D48" i="1"/>
  <c r="E48" i="1"/>
  <c r="F48" i="1"/>
  <c r="G48" i="1"/>
  <c r="H48" i="1"/>
  <c r="I48" i="1"/>
  <c r="D49" i="1"/>
  <c r="AI49" i="1" s="1"/>
  <c r="E49" i="1"/>
  <c r="F49" i="1"/>
  <c r="G49" i="1"/>
  <c r="H49" i="1"/>
  <c r="I49" i="1"/>
  <c r="D50" i="1"/>
  <c r="E50" i="1"/>
  <c r="F50" i="1"/>
  <c r="G50" i="1"/>
  <c r="H50" i="1"/>
  <c r="I50" i="1"/>
  <c r="D51" i="1"/>
  <c r="AI51" i="1" s="1"/>
  <c r="E51" i="1"/>
  <c r="F51" i="1"/>
  <c r="G51" i="1"/>
  <c r="H51" i="1"/>
  <c r="I51" i="1"/>
  <c r="D52" i="1"/>
  <c r="E52" i="1"/>
  <c r="F52" i="1"/>
  <c r="G52" i="1"/>
  <c r="H52" i="1"/>
  <c r="I52" i="1"/>
  <c r="D53" i="1"/>
  <c r="AI53" i="1" s="1"/>
  <c r="E53" i="1"/>
  <c r="F53" i="1"/>
  <c r="G53" i="1"/>
  <c r="H53" i="1"/>
  <c r="I53" i="1"/>
  <c r="D54" i="1"/>
  <c r="E54" i="1"/>
  <c r="F54" i="1"/>
  <c r="G54" i="1"/>
  <c r="H54" i="1"/>
  <c r="I54" i="1"/>
  <c r="D55" i="1"/>
  <c r="AI55" i="1" s="1"/>
  <c r="E55" i="1"/>
  <c r="F55" i="1"/>
  <c r="G55" i="1"/>
  <c r="H55" i="1"/>
  <c r="I55" i="1"/>
  <c r="D56" i="1"/>
  <c r="E56" i="1"/>
  <c r="F56" i="1"/>
  <c r="G56" i="1"/>
  <c r="H56" i="1"/>
  <c r="I56" i="1"/>
  <c r="D57" i="1"/>
  <c r="AI57" i="1" s="1"/>
  <c r="E57" i="1"/>
  <c r="F57" i="1"/>
  <c r="G57" i="1"/>
  <c r="H57" i="1"/>
  <c r="I57" i="1"/>
  <c r="D58" i="1"/>
  <c r="E58" i="1"/>
  <c r="F58" i="1"/>
  <c r="G58" i="1"/>
  <c r="H58" i="1"/>
  <c r="I58" i="1"/>
  <c r="D59" i="1"/>
  <c r="AI59" i="1" s="1"/>
  <c r="E59" i="1"/>
  <c r="F59" i="1"/>
  <c r="G59" i="1"/>
  <c r="H59" i="1"/>
  <c r="I59" i="1"/>
  <c r="D60" i="1"/>
  <c r="E60" i="1"/>
  <c r="F60" i="1"/>
  <c r="G60" i="1"/>
  <c r="H60" i="1"/>
  <c r="I60" i="1"/>
  <c r="D61" i="1"/>
  <c r="AI61" i="1" s="1"/>
  <c r="E61" i="1"/>
  <c r="F61" i="1"/>
  <c r="G61" i="1"/>
  <c r="H61" i="1"/>
  <c r="I61" i="1"/>
  <c r="D62" i="1"/>
  <c r="E62" i="1"/>
  <c r="F62" i="1"/>
  <c r="G62" i="1"/>
  <c r="H62" i="1"/>
  <c r="I62" i="1"/>
  <c r="D63" i="1"/>
  <c r="AI63" i="1" s="1"/>
  <c r="E63" i="1"/>
  <c r="F63" i="1"/>
  <c r="G63" i="1"/>
  <c r="H63" i="1"/>
  <c r="I63" i="1"/>
  <c r="D64" i="1"/>
  <c r="E64" i="1"/>
  <c r="F64" i="1"/>
  <c r="G64" i="1"/>
  <c r="H64" i="1"/>
  <c r="I64" i="1"/>
  <c r="D65" i="1"/>
  <c r="AI65" i="1" s="1"/>
  <c r="E65" i="1"/>
  <c r="F65" i="1"/>
  <c r="G65" i="1"/>
  <c r="H65" i="1"/>
  <c r="I65" i="1"/>
  <c r="D66" i="1"/>
  <c r="E66" i="1"/>
  <c r="F66" i="1"/>
  <c r="G66" i="1"/>
  <c r="H66" i="1"/>
  <c r="I66" i="1"/>
  <c r="D67" i="1"/>
  <c r="AI67" i="1" s="1"/>
  <c r="E67" i="1"/>
  <c r="F67" i="1"/>
  <c r="G67" i="1"/>
  <c r="H67" i="1"/>
  <c r="I67" i="1"/>
  <c r="D68" i="1"/>
  <c r="E68" i="1"/>
  <c r="F68" i="1"/>
  <c r="G68" i="1"/>
  <c r="H68" i="1"/>
  <c r="I68" i="1"/>
  <c r="D69" i="1"/>
  <c r="AI69" i="1" s="1"/>
  <c r="E69" i="1"/>
  <c r="F69" i="1"/>
  <c r="G69" i="1"/>
  <c r="H69" i="1"/>
  <c r="I69" i="1"/>
  <c r="D70" i="1"/>
  <c r="E70" i="1"/>
  <c r="F70" i="1"/>
  <c r="G70" i="1"/>
  <c r="H70" i="1"/>
  <c r="I70" i="1"/>
  <c r="D71" i="1"/>
  <c r="AI71" i="1" s="1"/>
  <c r="E71" i="1"/>
  <c r="F71" i="1"/>
  <c r="G71" i="1"/>
  <c r="H71" i="1"/>
  <c r="I71" i="1"/>
  <c r="D72" i="1"/>
  <c r="E72" i="1"/>
  <c r="F72" i="1"/>
  <c r="G72" i="1"/>
  <c r="H72" i="1"/>
  <c r="I72" i="1"/>
  <c r="D73" i="1"/>
  <c r="AI73" i="1" s="1"/>
  <c r="E73" i="1"/>
  <c r="F73" i="1"/>
  <c r="G73" i="1"/>
  <c r="H73" i="1"/>
  <c r="I73" i="1"/>
  <c r="D74" i="1"/>
  <c r="E74" i="1"/>
  <c r="F74" i="1"/>
  <c r="G74" i="1"/>
  <c r="H74" i="1"/>
  <c r="I74" i="1"/>
  <c r="D75" i="1"/>
  <c r="AI75" i="1" s="1"/>
  <c r="E75" i="1"/>
  <c r="F75" i="1"/>
  <c r="G75" i="1"/>
  <c r="H75" i="1"/>
  <c r="I75" i="1"/>
  <c r="D76" i="1"/>
  <c r="E76" i="1"/>
  <c r="F76" i="1"/>
  <c r="G76" i="1"/>
  <c r="H76" i="1"/>
  <c r="I76" i="1"/>
  <c r="D77" i="1"/>
  <c r="AI77" i="1" s="1"/>
  <c r="E77" i="1"/>
  <c r="F77" i="1"/>
  <c r="G77" i="1"/>
  <c r="H77" i="1"/>
  <c r="I77" i="1"/>
  <c r="D78" i="1"/>
  <c r="E78" i="1"/>
  <c r="F78" i="1"/>
  <c r="G78" i="1"/>
  <c r="H78" i="1"/>
  <c r="I78" i="1"/>
  <c r="D79" i="1"/>
  <c r="AI79" i="1" s="1"/>
  <c r="E79" i="1"/>
  <c r="F79" i="1"/>
  <c r="G79" i="1"/>
  <c r="H79" i="1"/>
  <c r="I79" i="1"/>
  <c r="D80" i="1"/>
  <c r="E80" i="1"/>
  <c r="F80" i="1"/>
  <c r="G80" i="1"/>
  <c r="H80" i="1"/>
  <c r="I80" i="1"/>
  <c r="D81" i="1"/>
  <c r="AI81" i="1" s="1"/>
  <c r="E81" i="1"/>
  <c r="F81" i="1"/>
  <c r="G81" i="1"/>
  <c r="H81" i="1"/>
  <c r="I81" i="1"/>
  <c r="D82" i="1"/>
  <c r="E82" i="1"/>
  <c r="F82" i="1"/>
  <c r="G82" i="1"/>
  <c r="H82" i="1"/>
  <c r="I82" i="1"/>
  <c r="D83" i="1"/>
  <c r="AI83" i="1" s="1"/>
  <c r="E83" i="1"/>
  <c r="F83" i="1"/>
  <c r="G83" i="1"/>
  <c r="H83" i="1"/>
  <c r="I83" i="1"/>
  <c r="D84" i="1"/>
  <c r="E84" i="1"/>
  <c r="F84" i="1"/>
  <c r="G84" i="1"/>
  <c r="H84" i="1"/>
  <c r="I84" i="1"/>
  <c r="D85" i="1"/>
  <c r="AI85" i="1" s="1"/>
  <c r="E85" i="1"/>
  <c r="F85" i="1"/>
  <c r="G85" i="1"/>
  <c r="H85" i="1"/>
  <c r="I85" i="1"/>
  <c r="D86" i="1"/>
  <c r="E86" i="1"/>
  <c r="F86" i="1"/>
  <c r="G86" i="1"/>
  <c r="H86" i="1"/>
  <c r="I86" i="1"/>
  <c r="D87" i="1"/>
  <c r="AI87" i="1" s="1"/>
  <c r="E87" i="1"/>
  <c r="F87" i="1"/>
  <c r="G87" i="1"/>
  <c r="H87" i="1"/>
  <c r="I87" i="1"/>
  <c r="D88" i="1"/>
  <c r="E88" i="1"/>
  <c r="F88" i="1"/>
  <c r="G88" i="1"/>
  <c r="H88" i="1"/>
  <c r="I88" i="1"/>
  <c r="I8" i="1"/>
  <c r="H8" i="1"/>
  <c r="G8" i="1"/>
  <c r="F8" i="1"/>
  <c r="E8" i="1"/>
  <c r="D8" i="1"/>
  <c r="AI8" i="1" s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P8" i="1"/>
  <c r="O8" i="1"/>
  <c r="N8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" i="1"/>
  <c r="AI10" i="1" l="1"/>
  <c r="AI86" i="1"/>
  <c r="AI54" i="1"/>
  <c r="AI50" i="1"/>
  <c r="AI30" i="1"/>
  <c r="AI26" i="1"/>
  <c r="AI18" i="1"/>
  <c r="AI82" i="1"/>
  <c r="AI78" i="1"/>
  <c r="AI74" i="1"/>
  <c r="AI70" i="1"/>
  <c r="AI66" i="1"/>
  <c r="AI62" i="1"/>
  <c r="AI58" i="1"/>
  <c r="AI46" i="1"/>
  <c r="AI42" i="1"/>
  <c r="AI38" i="1"/>
  <c r="AI34" i="1"/>
  <c r="AI22" i="1"/>
  <c r="AI14" i="1"/>
  <c r="AI88" i="1"/>
  <c r="AI40" i="1"/>
  <c r="AI24" i="1"/>
  <c r="AI20" i="1"/>
  <c r="AI16" i="1"/>
  <c r="AI12" i="1"/>
  <c r="AI72" i="1"/>
  <c r="AI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1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1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1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2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2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2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2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2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2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3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3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3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3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3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3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4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4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4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4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4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4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5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5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5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5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5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5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5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6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6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6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6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6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6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6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7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7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7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7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7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7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7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8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8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8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8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8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8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8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9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9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9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9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9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9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9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A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A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A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A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A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A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A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B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B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B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B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B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B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B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C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C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C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C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C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C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C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D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D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D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D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D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D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D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E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E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E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E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E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E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E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E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0F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0F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0F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0F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0F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0F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0F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0F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0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0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0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0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0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0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0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0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1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1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1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1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1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1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1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2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2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2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2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2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2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2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2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3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3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3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3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3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3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3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3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4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4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4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4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4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4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4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4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5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5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5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5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5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5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5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5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6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6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6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6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6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6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6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6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7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7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7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7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7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7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7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7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8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8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8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8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8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8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8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8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9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9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9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9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9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9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9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9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A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A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A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A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A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A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A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A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B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B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B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B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B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B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B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B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C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C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C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C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C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C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C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C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D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D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D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D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D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D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D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D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0000000-0006-0000-1E00-0000020000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0000000-0006-0000-1E00-00000300000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0000000-0006-0000-1E00-000004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000000-0006-0000-1E00-000005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0000000-0006-0000-1E00-000006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000000-0006-0000-1E00-000007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0000000-0006-0000-1E00-0000080000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000000-0006-0000-1E00-000009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<sst xmlns="http://schemas.openxmlformats.org/spreadsheetml/2006/main" count="7035" uniqueCount="159">
  <si>
    <t>LAPORAN HARGA BAHAN POKOK DI KOTA SURABAYA</t>
  </si>
  <si>
    <t xml:space="preserve"> </t>
  </si>
  <si>
    <t>NAMA BAHAN POKOK DAN PENTING LAINNYA</t>
  </si>
  <si>
    <t>SAT</t>
  </si>
  <si>
    <t>BERAS</t>
  </si>
  <si>
    <t>Kg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</si>
  <si>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</si>
  <si>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</si>
  <si>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</si>
  <si>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</si>
  <si>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</si>
  <si>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</si>
  <si>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</si>
  <si>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</si>
  <si>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</si>
  <si>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</si>
  <si>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</si>
  <si>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</si>
  <si>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</si>
  <si>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</si>
  <si>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</si>
  <si>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</si>
  <si>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</si>
  <si>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</si>
  <si>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</si>
  <si>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</si>
  <si>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</si>
  <si>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</si>
  <si>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</si>
  <si>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</si>
  <si>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</si>
  <si>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</si>
  <si>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</si>
  <si>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</si>
  <si>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</si>
  <si>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400 Gr/Dos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</si>
  <si>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</si>
  <si>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</si>
  <si>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</si>
  <si>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</si>
  <si>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</si>
  <si>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</si>
  <si>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</si>
  <si>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</si>
  <si>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</si>
  <si>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</si>
  <si>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</si>
  <si>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</si>
  <si>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</si>
  <si>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</si>
  <si>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</si>
  <si>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</si>
  <si>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</si>
  <si>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</si>
  <si>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</si>
  <si>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</si>
  <si>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</si>
  <si>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</si>
  <si>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</si>
  <si>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</si>
  <si>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</si>
  <si>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</si>
  <si>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</si>
  <si>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</si>
  <si>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</si>
  <si>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</si>
  <si>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</si>
  <si>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</si>
  <si>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</si>
  <si>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</si>
  <si>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</si>
  <si>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</si>
  <si>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</si>
  <si>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</si>
  <si>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</si>
  <si>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</si>
  <si>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</si>
  <si>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</si>
  <si>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</si>
  <si>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</si>
  <si>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</si>
  <si>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</si>
  <si>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</si>
  <si>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</si>
  <si>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</si>
  <si>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</si>
  <si>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</si>
  <si>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</si>
  <si>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</si>
  <si>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</si>
  <si>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</si>
  <si>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</si>
  <si>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</si>
  <si>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</si>
  <si>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</si>
  <si>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</si>
  <si>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</si>
  <si>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</si>
  <si>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</si>
  <si>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</si>
  <si>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</si>
  <si>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</si>
  <si>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</si>
  <si>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</si>
  <si>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</si>
  <si>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</si>
  <si>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</si>
  <si>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</si>
  <si>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</si>
  <si>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- Beras IR.64 Medium</t>
  </si>
  <si>
    <t>- Minyak KITA</t>
  </si>
  <si>
    <t>keterangan :</t>
  </si>
  <si>
    <t>Sumber dari PD Pasar Surya Surabaya</t>
  </si>
  <si>
    <t>- Beras   Premium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</si>
  <si>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</si>
  <si>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</si>
  <si>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</si>
  <si>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</si>
  <si>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</si>
  <si>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</si>
  <si>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</si>
  <si>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</si>
  <si>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</si>
  <si>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- Beras Medium Bulog</t>
  </si>
  <si>
    <t>- Beras IR.64 Medium Bulog</t>
  </si>
  <si>
    <t>KG</t>
  </si>
  <si>
    <t>Fluktuasi dalam 1 Bulan</t>
  </si>
  <si>
    <t>PERIODE SEPTEMBER 2023</t>
  </si>
  <si>
    <t>Hari / Tanggal :  Jumat , 01 September 2023</t>
  </si>
  <si>
    <t>Hari / Tanggal :  Sabtu , 02 September 2023</t>
  </si>
  <si>
    <t>Hari / Tanggal :  Minggu , 03 September 2023</t>
  </si>
  <si>
    <t>Hari / Tanggal :  Senin , 04 September 2023</t>
  </si>
  <si>
    <t>Hari / Tanggal :  Selasa , 05 September 2023</t>
  </si>
  <si>
    <t>Hari / Tanggal :  Rabu , 06 September 2023</t>
  </si>
  <si>
    <t>Hari / Tanggal :  Kamis , 07 September 2023</t>
  </si>
  <si>
    <t>Hari / Tanggal :  Jumat , 08 September 2023</t>
  </si>
  <si>
    <t>Hari / Tanggal :  Sabtu , 09 September 2023</t>
  </si>
  <si>
    <t>Hari / Tanggal : Minggu , 10 September 2023</t>
  </si>
  <si>
    <t>Hari / Tanggal : Senin , 11 September 2023</t>
  </si>
  <si>
    <t>Hari / Tanggal : Selasa , 12 September 2023</t>
  </si>
  <si>
    <t>Hari / Tanggal : Rabu , 13 September 2023</t>
  </si>
  <si>
    <t>Hari / Tanggal : Kamis , 14 September 2023</t>
  </si>
  <si>
    <t>Hari / Tanggal : Jumat , 15 September 2023</t>
  </si>
  <si>
    <t>Hari / Tanggal : Sabtu , 16 September 2023</t>
  </si>
  <si>
    <t>Hari / Tanggal : Minggu, 17 September 2023</t>
  </si>
  <si>
    <t>Hari / Tanggal : Senin, 18 September 2023</t>
  </si>
  <si>
    <t>Hari / Tanggal : Selasa, 19 September 2023</t>
  </si>
  <si>
    <t>Hari / Tanggal :  Rabu, 20 September 2023</t>
  </si>
  <si>
    <t>Hari / Tanggal :  Kamis, 21 September 2023</t>
  </si>
  <si>
    <t>Hari / Tanggal :  Jumat , 22 September 2023</t>
  </si>
  <si>
    <t>Hari / Tanggal :  Sabtu , 23 September 2023</t>
  </si>
  <si>
    <t>Hari / Tanggal :  Minggu , 24 September 2023</t>
  </si>
  <si>
    <t>Hari / Tanggal :  Senin , 25 September 2023</t>
  </si>
  <si>
    <t>Hari / Tanggal :  Selasa , 26 September 2023</t>
  </si>
  <si>
    <t>Hari / Tanggal :  Rabu , 27 September 2023</t>
  </si>
  <si>
    <t xml:space="preserve">                                                                                      </t>
  </si>
  <si>
    <t>Hari / Tanggal :  Kamis , 28 September 2023</t>
  </si>
  <si>
    <t>Hari / Tanggal :  Jumat , 29 September 2023</t>
  </si>
  <si>
    <t>Hari / Tanggal :  Sabtu , 30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</si>
</sst>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Tahoma"/>
      <family val="2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1" fillId="0" borderId="0"/>
  </cellStyleXfs>
  <cellXfs count="161">
    <xf numFmtId="0" fontId="0" fillId="0" borderId="0" xfId="0"/>
    <xf numFmtId="164" fontId="0" fillId="0" borderId="0" xfId="0" applyNumberFormat="1"/>
    <xf numFmtId="0" fontId="0" fillId="2" borderId="0" xfId="0" applyFill="1"/>
    <xf numFmtId="0" fontId="9" fillId="0" borderId="0" xfId="0" applyFont="1"/>
    <xf numFmtId="0" fontId="0" fillId="6" borderId="0" xfId="0" applyFill="1"/>
    <xf numFmtId="0" fontId="11" fillId="0" borderId="0" xfId="0" applyFont="1"/>
    <xf numFmtId="164" fontId="11" fillId="0" borderId="0" xfId="0" applyNumberFormat="1" applyFont="1"/>
    <xf numFmtId="164" fontId="10" fillId="0" borderId="11" xfId="2" applyFont="1" applyFill="1" applyBorder="1" applyAlignment="1">
      <alignment horizontal="center" vertical="center"/>
    </xf>
    <xf numFmtId="164" fontId="15" fillId="0" borderId="11" xfId="2" applyFont="1" applyFill="1" applyBorder="1" applyAlignment="1">
      <alignment horizontal="center" vertical="center"/>
    </xf>
    <xf numFmtId="164" fontId="12" fillId="0" borderId="11" xfId="2" applyFont="1" applyFill="1" applyBorder="1" applyAlignment="1">
      <alignment horizontal="center" vertical="center"/>
    </xf>
    <xf numFmtId="0" fontId="11" fillId="2" borderId="0" xfId="0" applyFont="1" applyFill="1"/>
    <xf numFmtId="164" fontId="2" fillId="0" borderId="11" xfId="2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164" fontId="18" fillId="0" borderId="11" xfId="2" applyFont="1" applyFill="1" applyBorder="1" applyAlignment="1">
      <alignment horizontal="center" vertical="center"/>
    </xf>
    <xf numFmtId="0" fontId="20" fillId="0" borderId="0" xfId="0" applyFont="1"/>
    <xf numFmtId="0" fontId="12" fillId="0" borderId="0" xfId="1" applyFont="1" applyAlignment="1">
      <alignment vertical="center"/>
    </xf>
    <xf numFmtId="0" fontId="5" fillId="2" borderId="6" xfId="1" quotePrefix="1" applyFont="1" applyFill="1" applyBorder="1" applyAlignment="1">
      <alignment vertical="center"/>
    </xf>
    <xf numFmtId="0" fontId="4" fillId="2" borderId="6" xfId="1" applyFont="1" applyFill="1" applyBorder="1" applyAlignment="1">
      <alignment horizontal="center" vertical="center"/>
    </xf>
    <xf numFmtId="164" fontId="6" fillId="2" borderId="6" xfId="2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6" fillId="2" borderId="5" xfId="1" applyFont="1" applyFill="1" applyBorder="1"/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12" fillId="2" borderId="2" xfId="1" applyFont="1" applyFill="1" applyBorder="1" applyAlignment="1">
      <alignment horizontal="center" vertical="top"/>
    </xf>
    <xf numFmtId="0" fontId="12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5" fillId="2" borderId="0" xfId="0" applyFont="1" applyFill="1"/>
    <xf numFmtId="0" fontId="1" fillId="2" borderId="5" xfId="1" applyFill="1" applyBorder="1"/>
    <xf numFmtId="0" fontId="25" fillId="2" borderId="15" xfId="0" applyFont="1" applyFill="1" applyBorder="1"/>
    <xf numFmtId="0" fontId="25" fillId="2" borderId="10" xfId="0" applyFont="1" applyFill="1" applyBorder="1" applyAlignment="1">
      <alignment horizontal="center"/>
    </xf>
    <xf numFmtId="0" fontId="25" fillId="2" borderId="17" xfId="0" applyFont="1" applyFill="1" applyBorder="1"/>
    <xf numFmtId="0" fontId="27" fillId="2" borderId="10" xfId="0" applyFont="1" applyFill="1" applyBorder="1" applyAlignment="1">
      <alignment horizontal="center"/>
    </xf>
    <xf numFmtId="0" fontId="25" fillId="2" borderId="18" xfId="0" applyFont="1" applyFill="1" applyBorder="1"/>
    <xf numFmtId="0" fontId="25" fillId="2" borderId="14" xfId="0" applyFont="1" applyFill="1" applyBorder="1"/>
    <xf numFmtId="0" fontId="25" fillId="2" borderId="12" xfId="0" applyFont="1" applyFill="1" applyBorder="1"/>
    <xf numFmtId="164" fontId="6" fillId="7" borderId="6" xfId="2" applyFont="1" applyFill="1" applyBorder="1" applyAlignment="1">
      <alignment vertical="center"/>
    </xf>
    <xf numFmtId="164" fontId="6" fillId="9" borderId="6" xfId="2" applyFont="1" applyFill="1" applyBorder="1" applyAlignment="1">
      <alignment vertical="center"/>
    </xf>
    <xf numFmtId="0" fontId="12" fillId="2" borderId="0" xfId="0" applyFont="1" applyFill="1"/>
    <xf numFmtId="0" fontId="28" fillId="2" borderId="0" xfId="0" applyFont="1" applyFill="1"/>
    <xf numFmtId="0" fontId="12" fillId="2" borderId="14" xfId="0" applyFont="1" applyFill="1" applyBorder="1"/>
    <xf numFmtId="0" fontId="2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2" fillId="0" borderId="11" xfId="1" quotePrefix="1" applyFont="1" applyBorder="1" applyAlignment="1">
      <alignment vertical="center"/>
    </xf>
    <xf numFmtId="0" fontId="12" fillId="4" borderId="1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164" fontId="15" fillId="2" borderId="11" xfId="2" applyFont="1" applyFill="1" applyBorder="1" applyAlignment="1">
      <alignment horizontal="center" vertical="center"/>
    </xf>
    <xf numFmtId="164" fontId="12" fillId="2" borderId="11" xfId="2" applyFont="1" applyFill="1" applyBorder="1" applyAlignment="1">
      <alignment horizontal="center" vertical="center"/>
    </xf>
    <xf numFmtId="164" fontId="10" fillId="2" borderId="11" xfId="2" applyFont="1" applyFill="1" applyBorder="1" applyAlignment="1">
      <alignment horizontal="center" vertical="center"/>
    </xf>
    <xf numFmtId="164" fontId="2" fillId="2" borderId="11" xfId="2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2" fillId="8" borderId="11" xfId="1" applyFont="1" applyFill="1" applyBorder="1" applyAlignment="1">
      <alignment vertical="center"/>
    </xf>
    <xf numFmtId="0" fontId="12" fillId="8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/>
    </xf>
    <xf numFmtId="0" fontId="12" fillId="5" borderId="11" xfId="1" applyFont="1" applyFill="1" applyBorder="1" applyAlignment="1">
      <alignment horizontal="center" vertical="center"/>
    </xf>
    <xf numFmtId="0" fontId="12" fillId="5" borderId="11" xfId="1" quotePrefix="1" applyFont="1" applyFill="1" applyBorder="1" applyAlignment="1">
      <alignment vertical="center"/>
    </xf>
    <xf numFmtId="164" fontId="19" fillId="0" borderId="11" xfId="2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29" fillId="2" borderId="13" xfId="0" applyFont="1" applyFill="1" applyBorder="1"/>
    <xf numFmtId="0" fontId="25" fillId="2" borderId="13" xfId="0" applyFont="1" applyFill="1" applyBorder="1"/>
    <xf numFmtId="164" fontId="6" fillId="2" borderId="16" xfId="2" applyFont="1" applyFill="1" applyBorder="1" applyAlignment="1">
      <alignment vertical="center"/>
    </xf>
    <xf numFmtId="0" fontId="3" fillId="2" borderId="0" xfId="0" quotePrefix="1" applyFont="1" applyFill="1"/>
    <xf numFmtId="0" fontId="4" fillId="2" borderId="5" xfId="1" applyFont="1" applyFill="1" applyBorder="1" applyAlignment="1">
      <alignment vertical="center"/>
    </xf>
    <xf numFmtId="164" fontId="14" fillId="0" borderId="11" xfId="2" applyFont="1" applyFill="1" applyBorder="1" applyAlignment="1">
      <alignment horizontal="center" vertical="center"/>
    </xf>
    <xf numFmtId="164" fontId="17" fillId="0" borderId="1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164" fontId="16" fillId="0" borderId="11" xfId="2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center" vertical="center"/>
    </xf>
    <xf numFmtId="164" fontId="16" fillId="8" borderId="11" xfId="2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164" fontId="13" fillId="0" borderId="11" xfId="2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164" fontId="19" fillId="2" borderId="11" xfId="2" applyFont="1" applyFill="1" applyBorder="1" applyAlignment="1">
      <alignment horizontal="center" vertical="center"/>
    </xf>
    <xf numFmtId="0" fontId="21" fillId="0" borderId="0" xfId="3"/>
    <xf numFmtId="0" fontId="11" fillId="0" borderId="0" xfId="3" applyFont="1"/>
    <xf numFmtId="164" fontId="11" fillId="0" borderId="0" xfId="3" applyNumberFormat="1" applyFont="1"/>
    <xf numFmtId="0" fontId="11" fillId="2" borderId="0" xfId="3" applyFont="1" applyFill="1"/>
    <xf numFmtId="0" fontId="20" fillId="0" borderId="0" xfId="3" applyFont="1"/>
    <xf numFmtId="164" fontId="21" fillId="0" borderId="0" xfId="3" applyNumberFormat="1"/>
    <xf numFmtId="0" fontId="21" fillId="6" borderId="0" xfId="3" applyFill="1" applyAlignment="1">
      <alignment horizontal="center" vertical="center"/>
    </xf>
    <xf numFmtId="0" fontId="21" fillId="0" borderId="0" xfId="3" applyAlignment="1">
      <alignment horizontal="center" vertical="center"/>
    </xf>
    <xf numFmtId="0" fontId="21" fillId="2" borderId="0" xfId="3" applyFill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2" fillId="0" borderId="11" xfId="1" applyFont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center"/>
    </xf>
    <xf numFmtId="164" fontId="30" fillId="2" borderId="6" xfId="1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16" fontId="4" fillId="2" borderId="1" xfId="1" applyNumberFormat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/>
    </xf>
    <xf numFmtId="16" fontId="4" fillId="2" borderId="3" xfId="1" applyNumberFormat="1" applyFont="1" applyFill="1" applyBorder="1" applyAlignment="1">
      <alignment horizontal="center" vertical="center" wrapText="1"/>
    </xf>
    <xf numFmtId="164" fontId="30" fillId="2" borderId="6" xfId="2" applyFont="1" applyFill="1" applyBorder="1" applyAlignment="1">
      <alignment vertical="center"/>
    </xf>
    <xf numFmtId="0" fontId="30" fillId="2" borderId="5" xfId="1" applyFont="1" applyFill="1" applyBorder="1"/>
    <xf numFmtId="0" fontId="31" fillId="2" borderId="13" xfId="0" applyFont="1" applyFill="1" applyBorder="1"/>
    <xf numFmtId="0" fontId="31" fillId="2" borderId="0" xfId="0" applyFont="1" applyFill="1"/>
    <xf numFmtId="0" fontId="31" fillId="2" borderId="14" xfId="0" applyFont="1" applyFill="1" applyBorder="1"/>
    <xf numFmtId="16" fontId="30" fillId="2" borderId="1" xfId="1" applyNumberFormat="1" applyFont="1" applyFill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/>
    </xf>
    <xf numFmtId="16" fontId="30" fillId="2" borderId="3" xfId="1" applyNumberFormat="1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164" fontId="6" fillId="0" borderId="6" xfId="2" applyFont="1" applyFill="1" applyBorder="1" applyAlignment="1">
      <alignment vertical="center"/>
    </xf>
    <xf numFmtId="0" fontId="4" fillId="2" borderId="8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3" fillId="2" borderId="0" xfId="0" quotePrefix="1" applyFont="1" applyFill="1" applyAlignment="1">
      <alignment horizontal="left" vertical="top" wrapText="1"/>
    </xf>
    <xf numFmtId="0" fontId="3" fillId="2" borderId="17" xfId="0" quotePrefix="1" applyFont="1" applyFill="1" applyBorder="1" applyAlignment="1">
      <alignment horizontal="left" vertical="top" wrapText="1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6" fontId="22" fillId="2" borderId="1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/>
    </xf>
    <xf numFmtId="0" fontId="12" fillId="0" borderId="11" xfId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16" borderId="11" xfId="1" applyFont="1" applyFill="1" applyBorder="1" applyAlignment="1">
      <alignment horizontal="center" vertical="center" wrapText="1"/>
    </xf>
    <xf numFmtId="0" fontId="2" fillId="17" borderId="11" xfId="1" applyFont="1" applyFill="1" applyBorder="1" applyAlignment="1">
      <alignment horizontal="center" vertical="center"/>
    </xf>
    <xf numFmtId="0" fontId="10" fillId="13" borderId="11" xfId="1" applyFont="1" applyFill="1" applyBorder="1" applyAlignment="1">
      <alignment horizontal="center" vertical="center" wrapText="1"/>
    </xf>
    <xf numFmtId="0" fontId="10" fillId="14" borderId="1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15" borderId="11" xfId="1" applyFont="1" applyFill="1" applyBorder="1" applyAlignment="1">
      <alignment horizontal="center" vertical="center" wrapText="1"/>
    </xf>
    <xf numFmtId="0" fontId="10" fillId="12" borderId="11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horizontal="center" vertical="center" wrapText="1"/>
    </xf>
    <xf numFmtId="0" fontId="2" fillId="7" borderId="11" xfId="1" applyFont="1" applyFill="1" applyBorder="1" applyAlignment="1">
      <alignment horizontal="center" vertical="center" wrapText="1"/>
    </xf>
    <xf numFmtId="164" fontId="25" fillId="2" borderId="0" xfId="0" applyNumberFormat="1" applyFont="1" applyFill="1"/>
  </cellXfs>
  <cellStyles count="4">
    <cellStyle name="Comma [0]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4906F6-02A7-4BAA-9223-D5ACFDFA6C5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9</xdr:col>
      <xdr:colOff>161925</xdr:colOff>
      <xdr:row>2</xdr:row>
      <xdr:rowOff>33618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4487DD1B-B20B-4B1E-B8CC-A183917D3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714375" cy="652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17C76C-660B-4937-8B98-5EE74B8F7000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D3953E4B-903E-4DC8-A87D-F6A688FA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D8FDED-78DD-47FF-B8BC-A73E73BAB0D2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2877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AC26B3-781E-4725-A181-8F538E86B849}"/>
            </a:ext>
          </a:extLst>
        </xdr:cNvPr>
        <xdr:cNvSpPr txBox="1"/>
      </xdr:nvSpPr>
      <xdr:spPr>
        <a:xfrm>
          <a:off x="4258408" y="1589942"/>
          <a:ext cx="223622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8BFC53DA-660D-4774-B88D-9F83878FC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7F9AC5-BD79-4E83-BAA0-12ED0B21604D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EAEF4-BCCC-4A96-B785-39C4E2F47A72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A8E05103-9176-467E-B595-B32E6C41F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D3CF29-40F1-4E6D-922E-2AD9C553521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83A700-F680-42E8-8510-E200B62A42FA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CC8E0D43-0710-4F57-83FA-5A06E12E4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FB27EB-419D-455F-B3EE-F67883A07A17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AC9A6D-7823-44E7-BB13-0B897320D180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AF8C7474-0A00-4689-B7C8-AF0B3156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09E959-24F4-4A31-8FE8-47251456207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F9D6D1-0E92-42A5-BF0A-73851C029CD7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5E7B52F6-CD05-40E4-B3DB-12A2BD4DD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55DA4B-AFC2-42AF-A540-6632DCB21460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0E540-D267-4A6F-B98A-2B9D3D1C6BA4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3EF20E63-1879-4731-85D1-8F522B6C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8944C6-4F14-4851-817C-93486E2064A6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FA1C4F-3651-43C6-82C2-04AA92624999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16DA6535-145A-4D99-AF3F-2255B20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2E7039-9CE6-4B71-8ECA-1E837D889BCD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FF984D-9975-43A8-97B7-DC3247DB761A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45A12280-922D-4DA7-8AB4-828FA5A6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76F9CC-33AC-4753-AD17-D187A214AAF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0F114D-CB79-4B86-B92B-AF2B506C4466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84C6448F-9265-4813-8EC9-C8A18417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360D5-06F9-4211-8980-332E5303CFD0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BF9E7A-CB70-4DC8-9D20-6DA12EEB5B44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FC5E23C8-B7BB-4422-BE60-C6E0AC9BF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7490F7-1DFE-445D-B84F-753CEAEA7FB8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FBA148-CD7D-4700-B88C-1F5EB25931FA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5CE41BBA-F09B-4757-A3BC-A92F5ECB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07F8CD-D0FC-4CFC-8316-721BADA7F727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2877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991861-6C3E-42CC-80B5-A59D19013EC9}"/>
            </a:ext>
          </a:extLst>
        </xdr:cNvPr>
        <xdr:cNvSpPr txBox="1"/>
      </xdr:nvSpPr>
      <xdr:spPr>
        <a:xfrm>
          <a:off x="4258408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F84EA90F-11C8-4E42-BBAB-E95468F4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B2006D-1D12-4A4A-B8D1-9EAA6BF4F568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5C59E877-E703-4FF0-82DC-34C51615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E83BE7-974F-4C17-9C28-A2EDD37B842B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9</xdr:col>
      <xdr:colOff>695325</xdr:colOff>
      <xdr:row>2</xdr:row>
      <xdr:rowOff>154006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8EF5F162-2FBB-4F3D-9616-B2EF2A7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1247775" cy="773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8B4821-ED65-4581-BE24-1A75E158EE18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24A08FDD-C4D0-4FB5-B194-D26ED015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BAB25-6660-4928-893E-FD837610D5EF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400051</xdr:colOff>
      <xdr:row>0</xdr:row>
      <xdr:rowOff>142875</xdr:rowOff>
    </xdr:from>
    <xdr:to>
      <xdr:col>9</xdr:col>
      <xdr:colOff>514351</xdr:colOff>
      <xdr:row>2</xdr:row>
      <xdr:rowOff>41873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9FA6EC75-968D-409A-9A8A-F84AD58E4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6" y="142875"/>
          <a:ext cx="1066800" cy="660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59AD4F-31D0-49AD-BD06-1E1EE1105F92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5372E551-155D-47FC-9DAF-25334ED0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214FB-EC7E-45F5-BA32-C3371D2EAD04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E3AB9D-6EA5-4C8A-AD20-0BC0FA23B434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B9E62C94-D109-4997-8C0E-B490E8E36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DDC90A-3C5C-4064-A68C-467C6867E71E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05CC44-288D-4F41-A4E8-46C1ABF14FCB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88E6AC5A-2111-45FE-9336-CB9C6D5C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6BD5A4-1B60-4AE7-8B80-5FF1DB4715AE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90FAB7-98B7-4361-BCEE-8D506262B66A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0909EBB2-60AC-4D22-93BB-FD1A30CFA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0CA0DB-9B4E-4F5F-BBF7-C153C8D2019A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03ED1-C325-489B-AF4D-F37FE7514ECE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0BE9FE06-933D-4F62-8DCC-432EE4BB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2496C7-C68D-4915-A935-0C3DF82C29B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4CACA3-DCAD-440B-B6AA-32BBA847235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B9166F23-0118-410A-AC7C-6155434F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39E9C8-9593-40C5-BC65-8EDDA45E80BB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1BA2E1-8EF2-482D-9AC1-440CC3B1746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549857A8-6D67-4EBC-8B64-52DC8191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08B9A9-64B3-4E63-BA22-42579C31271C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8594A5-1C8A-41BD-A8FA-74A2C38B570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9EBC7DE6-C21F-4848-8E2C-3B83E2BD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F9D924-FA39-49D4-9514-F429538D3674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A60F5A-480D-4A88-96AC-CCBEF6CBA44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7C893504-FEC0-483B-A00A-127C6880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2FB231-7B7D-4678-B518-30D96EB2351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73A048-85BF-493A-8A33-FF57AA5A031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8880E72B-AB86-4B3A-9D75-1B34D104E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2CBFA8-23C2-4542-BD89-FC1AEC94BE76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495300</xdr:colOff>
      <xdr:row>4</xdr:row>
      <xdr:rowOff>104775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0C5C6DF9-176C-4DB6-A8B1-A5B6DC90F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E8D95F-C04B-42A5-8A22-36FF7C027A6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400050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289111E0-B46A-40C1-BB0D-52E94C340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6C8185-2162-49FC-BF5C-E40ECB8166F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02655D-B456-4F83-95EB-3193D6625293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45C21BA9-F259-48C3-8F2A-78690A05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5EFD37-D588-4DB0-9726-DCFDBDDFFBCE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4EBED2-7FAD-483A-A446-431EDA6513A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C258AB55-E0F0-49A6-BBE5-2C7D6E4B4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FFEA6B-C6F7-4224-9D9D-3A4A5FC8749E}"/>
            </a:ext>
          </a:extLst>
        </xdr:cNvPr>
        <xdr:cNvSpPr txBox="1"/>
      </xdr:nvSpPr>
      <xdr:spPr>
        <a:xfrm>
          <a:off x="424888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F61FF6-C5E3-4B89-9E72-5F4C8655C32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7C584F1B-B1EF-4759-BD61-013416C9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B7D0FD2-A9E8-4303-AAD7-A457C36862EA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86BE7F5-6213-4BD3-998C-CE6E303B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C039F1-145F-4129-B291-FB910B24E805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E90C67-DECE-4854-96DC-33CC366D4D5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41379E90-C195-4C71-9082-6040A69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5"/>
  <sheetViews>
    <sheetView tabSelected="1" zoomScale="85" zoomScaleNormal="85" workbookViewId="0">
      <pane xSplit="2" ySplit="6" topLeftCell="AA58" activePane="bottomRight" state="frozen"/>
      <selection pane="topRight" activeCell="C1" sqref="C1"/>
      <selection pane="bottomLeft" activeCell="A7" sqref="A7"/>
      <selection pane="bottomRight" activeCell="B64" sqref="A64:XFD64"/>
    </sheetView>
  </sheetViews>
  <sheetFormatPr defaultRowHeight="15" x14ac:dyDescent="0.25"/>
  <cols>
    <col min="1" max="1" width="3.375" style="36" customWidth="1"/>
    <col min="2" max="2" width="29.75" style="36" customWidth="1"/>
    <col min="3" max="30" width="9" style="36" customWidth="1"/>
    <col min="31" max="32" width="9" style="113" customWidth="1"/>
    <col min="33" max="33" width="7.625" style="113" bestFit="1" customWidth="1"/>
    <col min="34" max="35" width="10.25" style="36" customWidth="1"/>
    <col min="36" max="37" width="8.125" style="36" customWidth="1"/>
    <col min="38" max="252" width="9.125" style="36"/>
    <col min="253" max="253" width="3.375" style="36" customWidth="1"/>
    <col min="254" max="254" width="32.25" style="36" customWidth="1"/>
    <col min="255" max="255" width="13" style="36" customWidth="1"/>
    <col min="256" max="262" width="9.625" style="36" customWidth="1"/>
    <col min="263" max="264" width="11.375" style="36" customWidth="1"/>
    <col min="265" max="266" width="9.125" style="36"/>
    <col min="267" max="267" width="18.375" style="36" customWidth="1"/>
    <col min="268" max="508" width="9.125" style="36"/>
    <col min="509" max="509" width="3.375" style="36" customWidth="1"/>
    <col min="510" max="510" width="32.25" style="36" customWidth="1"/>
    <col min="511" max="511" width="13" style="36" customWidth="1"/>
    <col min="512" max="518" width="9.625" style="36" customWidth="1"/>
    <col min="519" max="520" width="11.375" style="36" customWidth="1"/>
    <col min="521" max="522" width="9.125" style="36"/>
    <col min="523" max="523" width="18.375" style="36" customWidth="1"/>
    <col min="524" max="764" width="9.125" style="36"/>
    <col min="765" max="765" width="3.375" style="36" customWidth="1"/>
    <col min="766" max="766" width="32.25" style="36" customWidth="1"/>
    <col min="767" max="767" width="13" style="36" customWidth="1"/>
    <col min="768" max="774" width="9.625" style="36" customWidth="1"/>
    <col min="775" max="776" width="11.375" style="36" customWidth="1"/>
    <col min="777" max="778" width="9.125" style="36"/>
    <col min="779" max="779" width="18.375" style="36" customWidth="1"/>
    <col min="780" max="1020" width="9.125" style="36"/>
    <col min="1021" max="1021" width="3.375" style="36" customWidth="1"/>
    <col min="1022" max="1022" width="32.25" style="36" customWidth="1"/>
    <col min="1023" max="1023" width="13" style="36" customWidth="1"/>
    <col min="1024" max="1030" width="9.625" style="36" customWidth="1"/>
    <col min="1031" max="1032" width="11.375" style="36" customWidth="1"/>
    <col min="1033" max="1034" width="9.125" style="36"/>
    <col min="1035" max="1035" width="18.375" style="36" customWidth="1"/>
    <col min="1036" max="1276" width="9.125" style="36"/>
    <col min="1277" max="1277" width="3.375" style="36" customWidth="1"/>
    <col min="1278" max="1278" width="32.25" style="36" customWidth="1"/>
    <col min="1279" max="1279" width="13" style="36" customWidth="1"/>
    <col min="1280" max="1286" width="9.625" style="36" customWidth="1"/>
    <col min="1287" max="1288" width="11.375" style="36" customWidth="1"/>
    <col min="1289" max="1290" width="9.125" style="36"/>
    <col min="1291" max="1291" width="18.375" style="36" customWidth="1"/>
    <col min="1292" max="1532" width="9.125" style="36"/>
    <col min="1533" max="1533" width="3.375" style="36" customWidth="1"/>
    <col min="1534" max="1534" width="32.25" style="36" customWidth="1"/>
    <col min="1535" max="1535" width="13" style="36" customWidth="1"/>
    <col min="1536" max="1542" width="9.625" style="36" customWidth="1"/>
    <col min="1543" max="1544" width="11.375" style="36" customWidth="1"/>
    <col min="1545" max="1546" width="9.125" style="36"/>
    <col min="1547" max="1547" width="18.375" style="36" customWidth="1"/>
    <col min="1548" max="1788" width="9.125" style="36"/>
    <col min="1789" max="1789" width="3.375" style="36" customWidth="1"/>
    <col min="1790" max="1790" width="32.25" style="36" customWidth="1"/>
    <col min="1791" max="1791" width="13" style="36" customWidth="1"/>
    <col min="1792" max="1798" width="9.625" style="36" customWidth="1"/>
    <col min="1799" max="1800" width="11.375" style="36" customWidth="1"/>
    <col min="1801" max="1802" width="9.125" style="36"/>
    <col min="1803" max="1803" width="18.375" style="36" customWidth="1"/>
    <col min="1804" max="2044" width="9.125" style="36"/>
    <col min="2045" max="2045" width="3.375" style="36" customWidth="1"/>
    <col min="2046" max="2046" width="32.25" style="36" customWidth="1"/>
    <col min="2047" max="2047" width="13" style="36" customWidth="1"/>
    <col min="2048" max="2054" width="9.625" style="36" customWidth="1"/>
    <col min="2055" max="2056" width="11.375" style="36" customWidth="1"/>
    <col min="2057" max="2058" width="9.125" style="36"/>
    <col min="2059" max="2059" width="18.375" style="36" customWidth="1"/>
    <col min="2060" max="2300" width="9.125" style="36"/>
    <col min="2301" max="2301" width="3.375" style="36" customWidth="1"/>
    <col min="2302" max="2302" width="32.25" style="36" customWidth="1"/>
    <col min="2303" max="2303" width="13" style="36" customWidth="1"/>
    <col min="2304" max="2310" width="9.625" style="36" customWidth="1"/>
    <col min="2311" max="2312" width="11.375" style="36" customWidth="1"/>
    <col min="2313" max="2314" width="9.125" style="36"/>
    <col min="2315" max="2315" width="18.375" style="36" customWidth="1"/>
    <col min="2316" max="2556" width="9.125" style="36"/>
    <col min="2557" max="2557" width="3.375" style="36" customWidth="1"/>
    <col min="2558" max="2558" width="32.25" style="36" customWidth="1"/>
    <col min="2559" max="2559" width="13" style="36" customWidth="1"/>
    <col min="2560" max="2566" width="9.625" style="36" customWidth="1"/>
    <col min="2567" max="2568" width="11.375" style="36" customWidth="1"/>
    <col min="2569" max="2570" width="9.125" style="36"/>
    <col min="2571" max="2571" width="18.375" style="36" customWidth="1"/>
    <col min="2572" max="2812" width="9.125" style="36"/>
    <col min="2813" max="2813" width="3.375" style="36" customWidth="1"/>
    <col min="2814" max="2814" width="32.25" style="36" customWidth="1"/>
    <col min="2815" max="2815" width="13" style="36" customWidth="1"/>
    <col min="2816" max="2822" width="9.625" style="36" customWidth="1"/>
    <col min="2823" max="2824" width="11.375" style="36" customWidth="1"/>
    <col min="2825" max="2826" width="9.125" style="36"/>
    <col min="2827" max="2827" width="18.375" style="36" customWidth="1"/>
    <col min="2828" max="3068" width="9.125" style="36"/>
    <col min="3069" max="3069" width="3.375" style="36" customWidth="1"/>
    <col min="3070" max="3070" width="32.25" style="36" customWidth="1"/>
    <col min="3071" max="3071" width="13" style="36" customWidth="1"/>
    <col min="3072" max="3078" width="9.625" style="36" customWidth="1"/>
    <col min="3079" max="3080" width="11.375" style="36" customWidth="1"/>
    <col min="3081" max="3082" width="9.125" style="36"/>
    <col min="3083" max="3083" width="18.375" style="36" customWidth="1"/>
    <col min="3084" max="3324" width="9.125" style="36"/>
    <col min="3325" max="3325" width="3.375" style="36" customWidth="1"/>
    <col min="3326" max="3326" width="32.25" style="36" customWidth="1"/>
    <col min="3327" max="3327" width="13" style="36" customWidth="1"/>
    <col min="3328" max="3334" width="9.625" style="36" customWidth="1"/>
    <col min="3335" max="3336" width="11.375" style="36" customWidth="1"/>
    <col min="3337" max="3338" width="9.125" style="36"/>
    <col min="3339" max="3339" width="18.375" style="36" customWidth="1"/>
    <col min="3340" max="3580" width="9.125" style="36"/>
    <col min="3581" max="3581" width="3.375" style="36" customWidth="1"/>
    <col min="3582" max="3582" width="32.25" style="36" customWidth="1"/>
    <col min="3583" max="3583" width="13" style="36" customWidth="1"/>
    <col min="3584" max="3590" width="9.625" style="36" customWidth="1"/>
    <col min="3591" max="3592" width="11.375" style="36" customWidth="1"/>
    <col min="3593" max="3594" width="9.125" style="36"/>
    <col min="3595" max="3595" width="18.375" style="36" customWidth="1"/>
    <col min="3596" max="3836" width="9.125" style="36"/>
    <col min="3837" max="3837" width="3.375" style="36" customWidth="1"/>
    <col min="3838" max="3838" width="32.25" style="36" customWidth="1"/>
    <col min="3839" max="3839" width="13" style="36" customWidth="1"/>
    <col min="3840" max="3846" width="9.625" style="36" customWidth="1"/>
    <col min="3847" max="3848" width="11.375" style="36" customWidth="1"/>
    <col min="3849" max="3850" width="9.125" style="36"/>
    <col min="3851" max="3851" width="18.375" style="36" customWidth="1"/>
    <col min="3852" max="4092" width="9.125" style="36"/>
    <col min="4093" max="4093" width="3.375" style="36" customWidth="1"/>
    <col min="4094" max="4094" width="32.25" style="36" customWidth="1"/>
    <col min="4095" max="4095" width="13" style="36" customWidth="1"/>
    <col min="4096" max="4102" width="9.625" style="36" customWidth="1"/>
    <col min="4103" max="4104" width="11.375" style="36" customWidth="1"/>
    <col min="4105" max="4106" width="9.125" style="36"/>
    <col min="4107" max="4107" width="18.375" style="36" customWidth="1"/>
    <col min="4108" max="4348" width="9.125" style="36"/>
    <col min="4349" max="4349" width="3.375" style="36" customWidth="1"/>
    <col min="4350" max="4350" width="32.25" style="36" customWidth="1"/>
    <col min="4351" max="4351" width="13" style="36" customWidth="1"/>
    <col min="4352" max="4358" width="9.625" style="36" customWidth="1"/>
    <col min="4359" max="4360" width="11.375" style="36" customWidth="1"/>
    <col min="4361" max="4362" width="9.125" style="36"/>
    <col min="4363" max="4363" width="18.375" style="36" customWidth="1"/>
    <col min="4364" max="4604" width="9.125" style="36"/>
    <col min="4605" max="4605" width="3.375" style="36" customWidth="1"/>
    <col min="4606" max="4606" width="32.25" style="36" customWidth="1"/>
    <col min="4607" max="4607" width="13" style="36" customWidth="1"/>
    <col min="4608" max="4614" width="9.625" style="36" customWidth="1"/>
    <col min="4615" max="4616" width="11.375" style="36" customWidth="1"/>
    <col min="4617" max="4618" width="9.125" style="36"/>
    <col min="4619" max="4619" width="18.375" style="36" customWidth="1"/>
    <col min="4620" max="4860" width="9.125" style="36"/>
    <col min="4861" max="4861" width="3.375" style="36" customWidth="1"/>
    <col min="4862" max="4862" width="32.25" style="36" customWidth="1"/>
    <col min="4863" max="4863" width="13" style="36" customWidth="1"/>
    <col min="4864" max="4870" width="9.625" style="36" customWidth="1"/>
    <col min="4871" max="4872" width="11.375" style="36" customWidth="1"/>
    <col min="4873" max="4874" width="9.125" style="36"/>
    <col min="4875" max="4875" width="18.375" style="36" customWidth="1"/>
    <col min="4876" max="5116" width="9.125" style="36"/>
    <col min="5117" max="5117" width="3.375" style="36" customWidth="1"/>
    <col min="5118" max="5118" width="32.25" style="36" customWidth="1"/>
    <col min="5119" max="5119" width="13" style="36" customWidth="1"/>
    <col min="5120" max="5126" width="9.625" style="36" customWidth="1"/>
    <col min="5127" max="5128" width="11.375" style="36" customWidth="1"/>
    <col min="5129" max="5130" width="9.125" style="36"/>
    <col min="5131" max="5131" width="18.375" style="36" customWidth="1"/>
    <col min="5132" max="5372" width="9.125" style="36"/>
    <col min="5373" max="5373" width="3.375" style="36" customWidth="1"/>
    <col min="5374" max="5374" width="32.25" style="36" customWidth="1"/>
    <col min="5375" max="5375" width="13" style="36" customWidth="1"/>
    <col min="5376" max="5382" width="9.625" style="36" customWidth="1"/>
    <col min="5383" max="5384" width="11.375" style="36" customWidth="1"/>
    <col min="5385" max="5386" width="9.125" style="36"/>
    <col min="5387" max="5387" width="18.375" style="36" customWidth="1"/>
    <col min="5388" max="5628" width="9.125" style="36"/>
    <col min="5629" max="5629" width="3.375" style="36" customWidth="1"/>
    <col min="5630" max="5630" width="32.25" style="36" customWidth="1"/>
    <col min="5631" max="5631" width="13" style="36" customWidth="1"/>
    <col min="5632" max="5638" width="9.625" style="36" customWidth="1"/>
    <col min="5639" max="5640" width="11.375" style="36" customWidth="1"/>
    <col min="5641" max="5642" width="9.125" style="36"/>
    <col min="5643" max="5643" width="18.375" style="36" customWidth="1"/>
    <col min="5644" max="5884" width="9.125" style="36"/>
    <col min="5885" max="5885" width="3.375" style="36" customWidth="1"/>
    <col min="5886" max="5886" width="32.25" style="36" customWidth="1"/>
    <col min="5887" max="5887" width="13" style="36" customWidth="1"/>
    <col min="5888" max="5894" width="9.625" style="36" customWidth="1"/>
    <col min="5895" max="5896" width="11.375" style="36" customWidth="1"/>
    <col min="5897" max="5898" width="9.125" style="36"/>
    <col min="5899" max="5899" width="18.375" style="36" customWidth="1"/>
    <col min="5900" max="6140" width="9.125" style="36"/>
    <col min="6141" max="6141" width="3.375" style="36" customWidth="1"/>
    <col min="6142" max="6142" width="32.25" style="36" customWidth="1"/>
    <col min="6143" max="6143" width="13" style="36" customWidth="1"/>
    <col min="6144" max="6150" width="9.625" style="36" customWidth="1"/>
    <col min="6151" max="6152" width="11.375" style="36" customWidth="1"/>
    <col min="6153" max="6154" width="9.125" style="36"/>
    <col min="6155" max="6155" width="18.375" style="36" customWidth="1"/>
    <col min="6156" max="6396" width="9.125" style="36"/>
    <col min="6397" max="6397" width="3.375" style="36" customWidth="1"/>
    <col min="6398" max="6398" width="32.25" style="36" customWidth="1"/>
    <col min="6399" max="6399" width="13" style="36" customWidth="1"/>
    <col min="6400" max="6406" width="9.625" style="36" customWidth="1"/>
    <col min="6407" max="6408" width="11.375" style="36" customWidth="1"/>
    <col min="6409" max="6410" width="9.125" style="36"/>
    <col min="6411" max="6411" width="18.375" style="36" customWidth="1"/>
    <col min="6412" max="6652" width="9.125" style="36"/>
    <col min="6653" max="6653" width="3.375" style="36" customWidth="1"/>
    <col min="6654" max="6654" width="32.25" style="36" customWidth="1"/>
    <col min="6655" max="6655" width="13" style="36" customWidth="1"/>
    <col min="6656" max="6662" width="9.625" style="36" customWidth="1"/>
    <col min="6663" max="6664" width="11.375" style="36" customWidth="1"/>
    <col min="6665" max="6666" width="9.125" style="36"/>
    <col min="6667" max="6667" width="18.375" style="36" customWidth="1"/>
    <col min="6668" max="6908" width="9.125" style="36"/>
    <col min="6909" max="6909" width="3.375" style="36" customWidth="1"/>
    <col min="6910" max="6910" width="32.25" style="36" customWidth="1"/>
    <col min="6911" max="6911" width="13" style="36" customWidth="1"/>
    <col min="6912" max="6918" width="9.625" style="36" customWidth="1"/>
    <col min="6919" max="6920" width="11.375" style="36" customWidth="1"/>
    <col min="6921" max="6922" width="9.125" style="36"/>
    <col min="6923" max="6923" width="18.375" style="36" customWidth="1"/>
    <col min="6924" max="7164" width="9.125" style="36"/>
    <col min="7165" max="7165" width="3.375" style="36" customWidth="1"/>
    <col min="7166" max="7166" width="32.25" style="36" customWidth="1"/>
    <col min="7167" max="7167" width="13" style="36" customWidth="1"/>
    <col min="7168" max="7174" width="9.625" style="36" customWidth="1"/>
    <col min="7175" max="7176" width="11.375" style="36" customWidth="1"/>
    <col min="7177" max="7178" width="9.125" style="36"/>
    <col min="7179" max="7179" width="18.375" style="36" customWidth="1"/>
    <col min="7180" max="7420" width="9.125" style="36"/>
    <col min="7421" max="7421" width="3.375" style="36" customWidth="1"/>
    <col min="7422" max="7422" width="32.25" style="36" customWidth="1"/>
    <col min="7423" max="7423" width="13" style="36" customWidth="1"/>
    <col min="7424" max="7430" width="9.625" style="36" customWidth="1"/>
    <col min="7431" max="7432" width="11.375" style="36" customWidth="1"/>
    <col min="7433" max="7434" width="9.125" style="36"/>
    <col min="7435" max="7435" width="18.375" style="36" customWidth="1"/>
    <col min="7436" max="7676" width="9.125" style="36"/>
    <col min="7677" max="7677" width="3.375" style="36" customWidth="1"/>
    <col min="7678" max="7678" width="32.25" style="36" customWidth="1"/>
    <col min="7679" max="7679" width="13" style="36" customWidth="1"/>
    <col min="7680" max="7686" width="9.625" style="36" customWidth="1"/>
    <col min="7687" max="7688" width="11.375" style="36" customWidth="1"/>
    <col min="7689" max="7690" width="9.125" style="36"/>
    <col min="7691" max="7691" width="18.375" style="36" customWidth="1"/>
    <col min="7692" max="7932" width="9.125" style="36"/>
    <col min="7933" max="7933" width="3.375" style="36" customWidth="1"/>
    <col min="7934" max="7934" width="32.25" style="36" customWidth="1"/>
    <col min="7935" max="7935" width="13" style="36" customWidth="1"/>
    <col min="7936" max="7942" width="9.625" style="36" customWidth="1"/>
    <col min="7943" max="7944" width="11.375" style="36" customWidth="1"/>
    <col min="7945" max="7946" width="9.125" style="36"/>
    <col min="7947" max="7947" width="18.375" style="36" customWidth="1"/>
    <col min="7948" max="8188" width="9.125" style="36"/>
    <col min="8189" max="8189" width="3.375" style="36" customWidth="1"/>
    <col min="8190" max="8190" width="32.25" style="36" customWidth="1"/>
    <col min="8191" max="8191" width="13" style="36" customWidth="1"/>
    <col min="8192" max="8198" width="9.625" style="36" customWidth="1"/>
    <col min="8199" max="8200" width="11.375" style="36" customWidth="1"/>
    <col min="8201" max="8202" width="9.125" style="36"/>
    <col min="8203" max="8203" width="18.375" style="36" customWidth="1"/>
    <col min="8204" max="8444" width="9.125" style="36"/>
    <col min="8445" max="8445" width="3.375" style="36" customWidth="1"/>
    <col min="8446" max="8446" width="32.25" style="36" customWidth="1"/>
    <col min="8447" max="8447" width="13" style="36" customWidth="1"/>
    <col min="8448" max="8454" width="9.625" style="36" customWidth="1"/>
    <col min="8455" max="8456" width="11.375" style="36" customWidth="1"/>
    <col min="8457" max="8458" width="9.125" style="36"/>
    <col min="8459" max="8459" width="18.375" style="36" customWidth="1"/>
    <col min="8460" max="8700" width="9.125" style="36"/>
    <col min="8701" max="8701" width="3.375" style="36" customWidth="1"/>
    <col min="8702" max="8702" width="32.25" style="36" customWidth="1"/>
    <col min="8703" max="8703" width="13" style="36" customWidth="1"/>
    <col min="8704" max="8710" width="9.625" style="36" customWidth="1"/>
    <col min="8711" max="8712" width="11.375" style="36" customWidth="1"/>
    <col min="8713" max="8714" width="9.125" style="36"/>
    <col min="8715" max="8715" width="18.375" style="36" customWidth="1"/>
    <col min="8716" max="8956" width="9.125" style="36"/>
    <col min="8957" max="8957" width="3.375" style="36" customWidth="1"/>
    <col min="8958" max="8958" width="32.25" style="36" customWidth="1"/>
    <col min="8959" max="8959" width="13" style="36" customWidth="1"/>
    <col min="8960" max="8966" width="9.625" style="36" customWidth="1"/>
    <col min="8967" max="8968" width="11.375" style="36" customWidth="1"/>
    <col min="8969" max="8970" width="9.125" style="36"/>
    <col min="8971" max="8971" width="18.375" style="36" customWidth="1"/>
    <col min="8972" max="9212" width="9.125" style="36"/>
    <col min="9213" max="9213" width="3.375" style="36" customWidth="1"/>
    <col min="9214" max="9214" width="32.25" style="36" customWidth="1"/>
    <col min="9215" max="9215" width="13" style="36" customWidth="1"/>
    <col min="9216" max="9222" width="9.625" style="36" customWidth="1"/>
    <col min="9223" max="9224" width="11.375" style="36" customWidth="1"/>
    <col min="9225" max="9226" width="9.125" style="36"/>
    <col min="9227" max="9227" width="18.375" style="36" customWidth="1"/>
    <col min="9228" max="9468" width="9.125" style="36"/>
    <col min="9469" max="9469" width="3.375" style="36" customWidth="1"/>
    <col min="9470" max="9470" width="32.25" style="36" customWidth="1"/>
    <col min="9471" max="9471" width="13" style="36" customWidth="1"/>
    <col min="9472" max="9478" width="9.625" style="36" customWidth="1"/>
    <col min="9479" max="9480" width="11.375" style="36" customWidth="1"/>
    <col min="9481" max="9482" width="9.125" style="36"/>
    <col min="9483" max="9483" width="18.375" style="36" customWidth="1"/>
    <col min="9484" max="9724" width="9.125" style="36"/>
    <col min="9725" max="9725" width="3.375" style="36" customWidth="1"/>
    <col min="9726" max="9726" width="32.25" style="36" customWidth="1"/>
    <col min="9727" max="9727" width="13" style="36" customWidth="1"/>
    <col min="9728" max="9734" width="9.625" style="36" customWidth="1"/>
    <col min="9735" max="9736" width="11.375" style="36" customWidth="1"/>
    <col min="9737" max="9738" width="9.125" style="36"/>
    <col min="9739" max="9739" width="18.375" style="36" customWidth="1"/>
    <col min="9740" max="9980" width="9.125" style="36"/>
    <col min="9981" max="9981" width="3.375" style="36" customWidth="1"/>
    <col min="9982" max="9982" width="32.25" style="36" customWidth="1"/>
    <col min="9983" max="9983" width="13" style="36" customWidth="1"/>
    <col min="9984" max="9990" width="9.625" style="36" customWidth="1"/>
    <col min="9991" max="9992" width="11.375" style="36" customWidth="1"/>
    <col min="9993" max="9994" width="9.125" style="36"/>
    <col min="9995" max="9995" width="18.375" style="36" customWidth="1"/>
    <col min="9996" max="10236" width="9.125" style="36"/>
    <col min="10237" max="10237" width="3.375" style="36" customWidth="1"/>
    <col min="10238" max="10238" width="32.25" style="36" customWidth="1"/>
    <col min="10239" max="10239" width="13" style="36" customWidth="1"/>
    <col min="10240" max="10246" width="9.625" style="36" customWidth="1"/>
    <col min="10247" max="10248" width="11.375" style="36" customWidth="1"/>
    <col min="10249" max="10250" width="9.125" style="36"/>
    <col min="10251" max="10251" width="18.375" style="36" customWidth="1"/>
    <col min="10252" max="10492" width="9.125" style="36"/>
    <col min="10493" max="10493" width="3.375" style="36" customWidth="1"/>
    <col min="10494" max="10494" width="32.25" style="36" customWidth="1"/>
    <col min="10495" max="10495" width="13" style="36" customWidth="1"/>
    <col min="10496" max="10502" width="9.625" style="36" customWidth="1"/>
    <col min="10503" max="10504" width="11.375" style="36" customWidth="1"/>
    <col min="10505" max="10506" width="9.125" style="36"/>
    <col min="10507" max="10507" width="18.375" style="36" customWidth="1"/>
    <col min="10508" max="10748" width="9.125" style="36"/>
    <col min="10749" max="10749" width="3.375" style="36" customWidth="1"/>
    <col min="10750" max="10750" width="32.25" style="36" customWidth="1"/>
    <col min="10751" max="10751" width="13" style="36" customWidth="1"/>
    <col min="10752" max="10758" width="9.625" style="36" customWidth="1"/>
    <col min="10759" max="10760" width="11.375" style="36" customWidth="1"/>
    <col min="10761" max="10762" width="9.125" style="36"/>
    <col min="10763" max="10763" width="18.375" style="36" customWidth="1"/>
    <col min="10764" max="11004" width="9.125" style="36"/>
    <col min="11005" max="11005" width="3.375" style="36" customWidth="1"/>
    <col min="11006" max="11006" width="32.25" style="36" customWidth="1"/>
    <col min="11007" max="11007" width="13" style="36" customWidth="1"/>
    <col min="11008" max="11014" width="9.625" style="36" customWidth="1"/>
    <col min="11015" max="11016" width="11.375" style="36" customWidth="1"/>
    <col min="11017" max="11018" width="9.125" style="36"/>
    <col min="11019" max="11019" width="18.375" style="36" customWidth="1"/>
    <col min="11020" max="11260" width="9.125" style="36"/>
    <col min="11261" max="11261" width="3.375" style="36" customWidth="1"/>
    <col min="11262" max="11262" width="32.25" style="36" customWidth="1"/>
    <col min="11263" max="11263" width="13" style="36" customWidth="1"/>
    <col min="11264" max="11270" width="9.625" style="36" customWidth="1"/>
    <col min="11271" max="11272" width="11.375" style="36" customWidth="1"/>
    <col min="11273" max="11274" width="9.125" style="36"/>
    <col min="11275" max="11275" width="18.375" style="36" customWidth="1"/>
    <col min="11276" max="11516" width="9.125" style="36"/>
    <col min="11517" max="11517" width="3.375" style="36" customWidth="1"/>
    <col min="11518" max="11518" width="32.25" style="36" customWidth="1"/>
    <col min="11519" max="11519" width="13" style="36" customWidth="1"/>
    <col min="11520" max="11526" width="9.625" style="36" customWidth="1"/>
    <col min="11527" max="11528" width="11.375" style="36" customWidth="1"/>
    <col min="11529" max="11530" width="9.125" style="36"/>
    <col min="11531" max="11531" width="18.375" style="36" customWidth="1"/>
    <col min="11532" max="11772" width="9.125" style="36"/>
    <col min="11773" max="11773" width="3.375" style="36" customWidth="1"/>
    <col min="11774" max="11774" width="32.25" style="36" customWidth="1"/>
    <col min="11775" max="11775" width="13" style="36" customWidth="1"/>
    <col min="11776" max="11782" width="9.625" style="36" customWidth="1"/>
    <col min="11783" max="11784" width="11.375" style="36" customWidth="1"/>
    <col min="11785" max="11786" width="9.125" style="36"/>
    <col min="11787" max="11787" width="18.375" style="36" customWidth="1"/>
    <col min="11788" max="12028" width="9.125" style="36"/>
    <col min="12029" max="12029" width="3.375" style="36" customWidth="1"/>
    <col min="12030" max="12030" width="32.25" style="36" customWidth="1"/>
    <col min="12031" max="12031" width="13" style="36" customWidth="1"/>
    <col min="12032" max="12038" width="9.625" style="36" customWidth="1"/>
    <col min="12039" max="12040" width="11.375" style="36" customWidth="1"/>
    <col min="12041" max="12042" width="9.125" style="36"/>
    <col min="12043" max="12043" width="18.375" style="36" customWidth="1"/>
    <col min="12044" max="12284" width="9.125" style="36"/>
    <col min="12285" max="12285" width="3.375" style="36" customWidth="1"/>
    <col min="12286" max="12286" width="32.25" style="36" customWidth="1"/>
    <col min="12287" max="12287" width="13" style="36" customWidth="1"/>
    <col min="12288" max="12294" width="9.625" style="36" customWidth="1"/>
    <col min="12295" max="12296" width="11.375" style="36" customWidth="1"/>
    <col min="12297" max="12298" width="9.125" style="36"/>
    <col min="12299" max="12299" width="18.375" style="36" customWidth="1"/>
    <col min="12300" max="12540" width="9.125" style="36"/>
    <col min="12541" max="12541" width="3.375" style="36" customWidth="1"/>
    <col min="12542" max="12542" width="32.25" style="36" customWidth="1"/>
    <col min="12543" max="12543" width="13" style="36" customWidth="1"/>
    <col min="12544" max="12550" width="9.625" style="36" customWidth="1"/>
    <col min="12551" max="12552" width="11.375" style="36" customWidth="1"/>
    <col min="12553" max="12554" width="9.125" style="36"/>
    <col min="12555" max="12555" width="18.375" style="36" customWidth="1"/>
    <col min="12556" max="12796" width="9.125" style="36"/>
    <col min="12797" max="12797" width="3.375" style="36" customWidth="1"/>
    <col min="12798" max="12798" width="32.25" style="36" customWidth="1"/>
    <col min="12799" max="12799" width="13" style="36" customWidth="1"/>
    <col min="12800" max="12806" width="9.625" style="36" customWidth="1"/>
    <col min="12807" max="12808" width="11.375" style="36" customWidth="1"/>
    <col min="12809" max="12810" width="9.125" style="36"/>
    <col min="12811" max="12811" width="18.375" style="36" customWidth="1"/>
    <col min="12812" max="13052" width="9.125" style="36"/>
    <col min="13053" max="13053" width="3.375" style="36" customWidth="1"/>
    <col min="13054" max="13054" width="32.25" style="36" customWidth="1"/>
    <col min="13055" max="13055" width="13" style="36" customWidth="1"/>
    <col min="13056" max="13062" width="9.625" style="36" customWidth="1"/>
    <col min="13063" max="13064" width="11.375" style="36" customWidth="1"/>
    <col min="13065" max="13066" width="9.125" style="36"/>
    <col min="13067" max="13067" width="18.375" style="36" customWidth="1"/>
    <col min="13068" max="13308" width="9.125" style="36"/>
    <col min="13309" max="13309" width="3.375" style="36" customWidth="1"/>
    <col min="13310" max="13310" width="32.25" style="36" customWidth="1"/>
    <col min="13311" max="13311" width="13" style="36" customWidth="1"/>
    <col min="13312" max="13318" width="9.625" style="36" customWidth="1"/>
    <col min="13319" max="13320" width="11.375" style="36" customWidth="1"/>
    <col min="13321" max="13322" width="9.125" style="36"/>
    <col min="13323" max="13323" width="18.375" style="36" customWidth="1"/>
    <col min="13324" max="13564" width="9.125" style="36"/>
    <col min="13565" max="13565" width="3.375" style="36" customWidth="1"/>
    <col min="13566" max="13566" width="32.25" style="36" customWidth="1"/>
    <col min="13567" max="13567" width="13" style="36" customWidth="1"/>
    <col min="13568" max="13574" width="9.625" style="36" customWidth="1"/>
    <col min="13575" max="13576" width="11.375" style="36" customWidth="1"/>
    <col min="13577" max="13578" width="9.125" style="36"/>
    <col min="13579" max="13579" width="18.375" style="36" customWidth="1"/>
    <col min="13580" max="13820" width="9.125" style="36"/>
    <col min="13821" max="13821" width="3.375" style="36" customWidth="1"/>
    <col min="13822" max="13822" width="32.25" style="36" customWidth="1"/>
    <col min="13823" max="13823" width="13" style="36" customWidth="1"/>
    <col min="13824" max="13830" width="9.625" style="36" customWidth="1"/>
    <col min="13831" max="13832" width="11.375" style="36" customWidth="1"/>
    <col min="13833" max="13834" width="9.125" style="36"/>
    <col min="13835" max="13835" width="18.375" style="36" customWidth="1"/>
    <col min="13836" max="14076" width="9.125" style="36"/>
    <col min="14077" max="14077" width="3.375" style="36" customWidth="1"/>
    <col min="14078" max="14078" width="32.25" style="36" customWidth="1"/>
    <col min="14079" max="14079" width="13" style="36" customWidth="1"/>
    <col min="14080" max="14086" width="9.625" style="36" customWidth="1"/>
    <col min="14087" max="14088" width="11.375" style="36" customWidth="1"/>
    <col min="14089" max="14090" width="9.125" style="36"/>
    <col min="14091" max="14091" width="18.375" style="36" customWidth="1"/>
    <col min="14092" max="14332" width="9.125" style="36"/>
    <col min="14333" max="14333" width="3.375" style="36" customWidth="1"/>
    <col min="14334" max="14334" width="32.25" style="36" customWidth="1"/>
    <col min="14335" max="14335" width="13" style="36" customWidth="1"/>
    <col min="14336" max="14342" width="9.625" style="36" customWidth="1"/>
    <col min="14343" max="14344" width="11.375" style="36" customWidth="1"/>
    <col min="14345" max="14346" width="9.125" style="36"/>
    <col min="14347" max="14347" width="18.375" style="36" customWidth="1"/>
    <col min="14348" max="14588" width="9.125" style="36"/>
    <col min="14589" max="14589" width="3.375" style="36" customWidth="1"/>
    <col min="14590" max="14590" width="32.25" style="36" customWidth="1"/>
    <col min="14591" max="14591" width="13" style="36" customWidth="1"/>
    <col min="14592" max="14598" width="9.625" style="36" customWidth="1"/>
    <col min="14599" max="14600" width="11.375" style="36" customWidth="1"/>
    <col min="14601" max="14602" width="9.125" style="36"/>
    <col min="14603" max="14603" width="18.375" style="36" customWidth="1"/>
    <col min="14604" max="14844" width="9.125" style="36"/>
    <col min="14845" max="14845" width="3.375" style="36" customWidth="1"/>
    <col min="14846" max="14846" width="32.25" style="36" customWidth="1"/>
    <col min="14847" max="14847" width="13" style="36" customWidth="1"/>
    <col min="14848" max="14854" width="9.625" style="36" customWidth="1"/>
    <col min="14855" max="14856" width="11.375" style="36" customWidth="1"/>
    <col min="14857" max="14858" width="9.125" style="36"/>
    <col min="14859" max="14859" width="18.375" style="36" customWidth="1"/>
    <col min="14860" max="15100" width="9.125" style="36"/>
    <col min="15101" max="15101" width="3.375" style="36" customWidth="1"/>
    <col min="15102" max="15102" width="32.25" style="36" customWidth="1"/>
    <col min="15103" max="15103" width="13" style="36" customWidth="1"/>
    <col min="15104" max="15110" width="9.625" style="36" customWidth="1"/>
    <col min="15111" max="15112" width="11.375" style="36" customWidth="1"/>
    <col min="15113" max="15114" width="9.125" style="36"/>
    <col min="15115" max="15115" width="18.375" style="36" customWidth="1"/>
    <col min="15116" max="15356" width="9.125" style="36"/>
    <col min="15357" max="15357" width="3.375" style="36" customWidth="1"/>
    <col min="15358" max="15358" width="32.25" style="36" customWidth="1"/>
    <col min="15359" max="15359" width="13" style="36" customWidth="1"/>
    <col min="15360" max="15366" width="9.625" style="36" customWidth="1"/>
    <col min="15367" max="15368" width="11.375" style="36" customWidth="1"/>
    <col min="15369" max="15370" width="9.125" style="36"/>
    <col min="15371" max="15371" width="18.375" style="36" customWidth="1"/>
    <col min="15372" max="15612" width="9.125" style="36"/>
    <col min="15613" max="15613" width="3.375" style="36" customWidth="1"/>
    <col min="15614" max="15614" width="32.25" style="36" customWidth="1"/>
    <col min="15615" max="15615" width="13" style="36" customWidth="1"/>
    <col min="15616" max="15622" width="9.625" style="36" customWidth="1"/>
    <col min="15623" max="15624" width="11.375" style="36" customWidth="1"/>
    <col min="15625" max="15626" width="9.125" style="36"/>
    <col min="15627" max="15627" width="18.375" style="36" customWidth="1"/>
    <col min="15628" max="15868" width="9.125" style="36"/>
    <col min="15869" max="15869" width="3.375" style="36" customWidth="1"/>
    <col min="15870" max="15870" width="32.25" style="36" customWidth="1"/>
    <col min="15871" max="15871" width="13" style="36" customWidth="1"/>
    <col min="15872" max="15878" width="9.625" style="36" customWidth="1"/>
    <col min="15879" max="15880" width="11.375" style="36" customWidth="1"/>
    <col min="15881" max="15882" width="9.125" style="36"/>
    <col min="15883" max="15883" width="18.375" style="36" customWidth="1"/>
    <col min="15884" max="16124" width="9.125" style="36"/>
    <col min="16125" max="16125" width="3.375" style="36" customWidth="1"/>
    <col min="16126" max="16126" width="32.25" style="36" customWidth="1"/>
    <col min="16127" max="16127" width="13" style="36" customWidth="1"/>
    <col min="16128" max="16134" width="9.625" style="36" customWidth="1"/>
    <col min="16135" max="16136" width="11.375" style="36" customWidth="1"/>
    <col min="16137" max="16138" width="9.125" style="36"/>
    <col min="16139" max="16139" width="18.375" style="36" customWidth="1"/>
    <col min="16140" max="16384" width="9.125" style="36"/>
  </cols>
  <sheetData>
    <row r="1" spans="1:37" ht="18.75" x14ac:dyDescent="0.3">
      <c r="A1" s="135" t="s">
        <v>103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7" ht="18.75" x14ac:dyDescent="0.3">
      <c r="A2" s="136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</row>
    <row r="3" spans="1:37" ht="19.5" thickBot="1" x14ac:dyDescent="0.35">
      <c r="A3" s="137" t="s">
        <v>127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</row>
    <row r="4" spans="1:37" ht="15" customHeight="1" x14ac:dyDescent="0.25">
      <c r="A4" s="138" t="s">
        <v>1</v>
      </c>
      <c r="B4" s="141" t="s">
        <v>2</v>
      </c>
      <c r="C4" s="138" t="s">
        <v>3</v>
      </c>
      <c r="D4" s="104"/>
      <c r="E4" s="104"/>
      <c r="F4" s="104"/>
      <c r="G4" s="104"/>
      <c r="H4" s="104"/>
      <c r="I4" s="104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5"/>
      <c r="AF4" s="115"/>
      <c r="AG4" s="115"/>
      <c r="AH4" s="131" t="s">
        <v>104</v>
      </c>
      <c r="AI4" s="134" t="s">
        <v>102</v>
      </c>
    </row>
    <row r="5" spans="1:37" x14ac:dyDescent="0.25">
      <c r="A5" s="139"/>
      <c r="B5" s="142"/>
      <c r="C5" s="139"/>
      <c r="D5" s="106">
        <v>1</v>
      </c>
      <c r="E5" s="106">
        <v>2</v>
      </c>
      <c r="F5" s="106">
        <v>3</v>
      </c>
      <c r="G5" s="106">
        <v>4</v>
      </c>
      <c r="H5" s="106">
        <v>5</v>
      </c>
      <c r="I5" s="106">
        <v>6</v>
      </c>
      <c r="J5" s="107">
        <v>7</v>
      </c>
      <c r="K5" s="107">
        <v>8</v>
      </c>
      <c r="L5" s="107">
        <v>9</v>
      </c>
      <c r="M5" s="107">
        <v>10</v>
      </c>
      <c r="N5" s="107">
        <v>11</v>
      </c>
      <c r="O5" s="107">
        <v>12</v>
      </c>
      <c r="P5" s="107">
        <v>13</v>
      </c>
      <c r="Q5" s="107">
        <v>14</v>
      </c>
      <c r="R5" s="107">
        <v>15</v>
      </c>
      <c r="S5" s="107">
        <v>16</v>
      </c>
      <c r="T5" s="107">
        <v>17</v>
      </c>
      <c r="U5" s="107">
        <v>18</v>
      </c>
      <c r="V5" s="107">
        <v>19</v>
      </c>
      <c r="W5" s="107">
        <v>20</v>
      </c>
      <c r="X5" s="107">
        <v>21</v>
      </c>
      <c r="Y5" s="107">
        <v>22</v>
      </c>
      <c r="Z5" s="107">
        <v>23</v>
      </c>
      <c r="AA5" s="107">
        <v>24</v>
      </c>
      <c r="AB5" s="107">
        <v>25</v>
      </c>
      <c r="AC5" s="107">
        <v>26</v>
      </c>
      <c r="AD5" s="107">
        <v>27</v>
      </c>
      <c r="AE5" s="116">
        <v>28</v>
      </c>
      <c r="AF5" s="116">
        <v>29</v>
      </c>
      <c r="AG5" s="116">
        <v>30</v>
      </c>
      <c r="AH5" s="132"/>
      <c r="AI5" s="132"/>
    </row>
    <row r="6" spans="1:37" ht="27" customHeight="1" thickBot="1" x14ac:dyDescent="0.3">
      <c r="A6" s="140"/>
      <c r="B6" s="143"/>
      <c r="C6" s="140"/>
      <c r="D6" s="108"/>
      <c r="E6" s="108"/>
      <c r="F6" s="108"/>
      <c r="G6" s="108"/>
      <c r="H6" s="108"/>
      <c r="I6" s="108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17"/>
      <c r="AF6" s="117"/>
      <c r="AG6" s="117"/>
      <c r="AH6" s="133"/>
      <c r="AI6" s="133"/>
    </row>
    <row r="7" spans="1:37" x14ac:dyDescent="0.25">
      <c r="A7" s="144">
        <v>1</v>
      </c>
      <c r="B7" s="26" t="s">
        <v>4</v>
      </c>
      <c r="C7" s="27"/>
      <c r="D7" s="71"/>
      <c r="E7" s="71"/>
      <c r="F7" s="71"/>
      <c r="G7" s="71"/>
      <c r="H7" s="71"/>
      <c r="I7" s="71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111"/>
      <c r="AF7" s="111"/>
      <c r="AG7" s="111"/>
      <c r="AH7" s="28"/>
      <c r="AI7" s="37"/>
    </row>
    <row r="8" spans="1:37" x14ac:dyDescent="0.25">
      <c r="A8" s="127"/>
      <c r="B8" s="16" t="s">
        <v>113</v>
      </c>
      <c r="C8" s="17" t="s">
        <v>5</v>
      </c>
      <c r="D8" s="103">
        <f>'1'!K8</f>
        <v>13071.428571428571</v>
      </c>
      <c r="E8" s="103">
        <f>'2'!K8</f>
        <v>13357.142857142857</v>
      </c>
      <c r="F8" s="103">
        <f>'3'!K8</f>
        <v>13500</v>
      </c>
      <c r="G8" s="103">
        <f>'4'!K8</f>
        <v>13357.142857142857</v>
      </c>
      <c r="H8" s="103">
        <f>'5'!K8</f>
        <v>13285.714285714286</v>
      </c>
      <c r="I8" s="103">
        <f>'6'!K8</f>
        <v>13285.714285714286</v>
      </c>
      <c r="J8" s="110">
        <f>'7'!K8</f>
        <v>13357.142857142857</v>
      </c>
      <c r="K8" s="110">
        <f>'8'!K8</f>
        <v>13500</v>
      </c>
      <c r="L8" s="110">
        <f>'9'!K8</f>
        <v>13428.571428571429</v>
      </c>
      <c r="M8" s="110">
        <f>'10'!K8</f>
        <v>13642.857142857143</v>
      </c>
      <c r="N8" s="110">
        <f>'11'!K8</f>
        <v>13642.857142857143</v>
      </c>
      <c r="O8" s="110">
        <f>'12'!K8</f>
        <v>13428.571428571429</v>
      </c>
      <c r="P8" s="110">
        <f>'13'!K8</f>
        <v>13571.428571428571</v>
      </c>
      <c r="Q8" s="110">
        <f>'14'!K8</f>
        <v>13500</v>
      </c>
      <c r="R8" s="110">
        <f>'15'!K8</f>
        <v>13500</v>
      </c>
      <c r="S8" s="110">
        <f>'14'!K8</f>
        <v>13500</v>
      </c>
      <c r="T8" s="110">
        <f>'17'!K8</f>
        <v>13714.285714285714</v>
      </c>
      <c r="U8" s="110">
        <f>'18'!K8</f>
        <v>13500</v>
      </c>
      <c r="V8" s="110">
        <f>'19'!K8</f>
        <v>13500</v>
      </c>
      <c r="W8" s="110">
        <f>'20'!K8</f>
        <v>13428.571428571429</v>
      </c>
      <c r="X8" s="110">
        <f>'21'!K8</f>
        <v>13428.571428571429</v>
      </c>
      <c r="Y8" s="110">
        <f>'22'!K8</f>
        <v>13428.571428571429</v>
      </c>
      <c r="Z8" s="110">
        <f>'23'!K8</f>
        <v>13428.571428571429</v>
      </c>
      <c r="AA8" s="110">
        <f>'24'!K8</f>
        <v>13428.571428571429</v>
      </c>
      <c r="AB8" s="110">
        <f>'25'!K8</f>
        <v>13428.571428571429</v>
      </c>
      <c r="AC8" s="110">
        <f>'26'!K8</f>
        <v>13428.571428571429</v>
      </c>
      <c r="AD8" s="110">
        <f>'27'!K8</f>
        <v>13428.571428571429</v>
      </c>
      <c r="AE8" s="110">
        <f>'28'!K8</f>
        <v>13428.571428571429</v>
      </c>
      <c r="AF8" s="110">
        <f>'29'!K8</f>
        <v>13428.571428571429</v>
      </c>
      <c r="AG8" s="110">
        <f>'30'!K8</f>
        <v>13428.571428571429</v>
      </c>
      <c r="AH8" s="18">
        <v>12800</v>
      </c>
      <c r="AI8" s="45">
        <f>AG8-D8</f>
        <v>357.1428571428587</v>
      </c>
      <c r="AJ8" s="160">
        <f>AVERAGE(D8:AG8)</f>
        <v>13445.238095238094</v>
      </c>
    </row>
    <row r="9" spans="1:37" x14ac:dyDescent="0.25">
      <c r="A9" s="127"/>
      <c r="B9" s="16" t="s">
        <v>124</v>
      </c>
      <c r="C9" s="17" t="s">
        <v>125</v>
      </c>
      <c r="D9" s="103">
        <f>'1'!K9</f>
        <v>9725</v>
      </c>
      <c r="E9" s="103">
        <f>'2'!K9</f>
        <v>10500</v>
      </c>
      <c r="F9" s="103">
        <f>'3'!K9</f>
        <v>10500</v>
      </c>
      <c r="G9" s="103">
        <f>'4'!K9</f>
        <v>10500</v>
      </c>
      <c r="H9" s="103">
        <f>'5'!K9</f>
        <v>10500</v>
      </c>
      <c r="I9" s="103">
        <f>'6'!K9</f>
        <v>10500</v>
      </c>
      <c r="J9" s="110">
        <f>'7'!K9</f>
        <v>10500</v>
      </c>
      <c r="K9" s="110">
        <f>'8'!K9</f>
        <v>10500</v>
      </c>
      <c r="L9" s="110">
        <f>'9'!K9</f>
        <v>10500</v>
      </c>
      <c r="M9" s="110">
        <f>'10'!K9</f>
        <v>10625</v>
      </c>
      <c r="N9" s="110">
        <f>'11'!K9</f>
        <v>10625</v>
      </c>
      <c r="O9" s="110">
        <f>'12'!K9</f>
        <v>10600</v>
      </c>
      <c r="P9" s="110">
        <f>'13'!K9</f>
        <v>10600</v>
      </c>
      <c r="Q9" s="110">
        <f>'14'!K9</f>
        <v>10600</v>
      </c>
      <c r="R9" s="110">
        <f>'15'!K9</f>
        <v>10600</v>
      </c>
      <c r="S9" s="110">
        <f>'14'!K9</f>
        <v>10600</v>
      </c>
      <c r="T9" s="110">
        <f>'17'!K9</f>
        <v>10600</v>
      </c>
      <c r="U9" s="110">
        <f>'18'!K9</f>
        <v>10600</v>
      </c>
      <c r="V9" s="110">
        <f>'19'!K9</f>
        <v>10600</v>
      </c>
      <c r="W9" s="110">
        <f>'20'!K9</f>
        <v>10600</v>
      </c>
      <c r="X9" s="110">
        <f>'21'!K9</f>
        <v>10600</v>
      </c>
      <c r="Y9" s="110">
        <f>'22'!K9</f>
        <v>10600</v>
      </c>
      <c r="Z9" s="110">
        <f>'23'!K9</f>
        <v>10600</v>
      </c>
      <c r="AA9" s="110">
        <f>'24'!K9</f>
        <v>10600</v>
      </c>
      <c r="AB9" s="110">
        <f>'25'!K9</f>
        <v>10700</v>
      </c>
      <c r="AC9" s="110">
        <f>'26'!K9</f>
        <v>10800</v>
      </c>
      <c r="AD9" s="110">
        <f>'27'!K9</f>
        <v>10800</v>
      </c>
      <c r="AE9" s="110">
        <f>'28'!K9</f>
        <v>10800</v>
      </c>
      <c r="AF9" s="110">
        <f>'29'!K9</f>
        <v>10800</v>
      </c>
      <c r="AG9" s="110">
        <f>'30'!K9</f>
        <v>10850</v>
      </c>
      <c r="AH9" s="18"/>
      <c r="AI9" s="45">
        <f t="shared" ref="AI9:AI72" si="0">AG9-D9</f>
        <v>1125</v>
      </c>
      <c r="AJ9" s="160">
        <f t="shared" ref="AJ9:AJ72" si="1">AVERAGE(D9:AG9)</f>
        <v>10584.166666666666</v>
      </c>
    </row>
    <row r="10" spans="1:37" x14ac:dyDescent="0.25">
      <c r="A10" s="127"/>
      <c r="B10" s="16" t="s">
        <v>109</v>
      </c>
      <c r="C10" s="17" t="s">
        <v>5</v>
      </c>
      <c r="D10" s="103">
        <f>'1'!K10</f>
        <v>11980</v>
      </c>
      <c r="E10" s="103">
        <f>'2'!K10</f>
        <v>12700</v>
      </c>
      <c r="F10" s="103">
        <f>'3'!K10</f>
        <v>12800</v>
      </c>
      <c r="G10" s="103">
        <f>'4'!K10</f>
        <v>12500</v>
      </c>
      <c r="H10" s="103">
        <f>'5'!K10</f>
        <v>12625</v>
      </c>
      <c r="I10" s="103">
        <f>'6'!K10</f>
        <v>12625</v>
      </c>
      <c r="J10" s="110">
        <f>'7'!K10</f>
        <v>12625</v>
      </c>
      <c r="K10" s="110">
        <f>'8'!K10</f>
        <v>12666.666666666666</v>
      </c>
      <c r="L10" s="110">
        <f>'9'!K10</f>
        <v>12625</v>
      </c>
      <c r="M10" s="110">
        <f>'10'!K10</f>
        <v>12625</v>
      </c>
      <c r="N10" s="110">
        <f>'11'!K10</f>
        <v>12900</v>
      </c>
      <c r="O10" s="110">
        <f>'12'!K10</f>
        <v>12625</v>
      </c>
      <c r="P10" s="110">
        <f>'13'!K10</f>
        <v>12625</v>
      </c>
      <c r="Q10" s="110">
        <f>'14'!K10</f>
        <v>12625</v>
      </c>
      <c r="R10" s="110">
        <f>'15'!K10</f>
        <v>12600</v>
      </c>
      <c r="S10" s="110">
        <f>'14'!K10</f>
        <v>12625</v>
      </c>
      <c r="T10" s="110">
        <f>'17'!K10</f>
        <v>12625</v>
      </c>
      <c r="U10" s="110">
        <f>'18'!K10</f>
        <v>12625</v>
      </c>
      <c r="V10" s="110">
        <f>'19'!K10</f>
        <v>12625</v>
      </c>
      <c r="W10" s="110">
        <f>'20'!K10</f>
        <v>11166.666666666666</v>
      </c>
      <c r="X10" s="110">
        <f>'21'!K10</f>
        <v>11166.666666666666</v>
      </c>
      <c r="Y10" s="110">
        <f>'22'!K10</f>
        <v>11166.666666666666</v>
      </c>
      <c r="Z10" s="110">
        <f>'23'!K10</f>
        <v>10750</v>
      </c>
      <c r="AA10" s="110">
        <f>'24'!K10</f>
        <v>10750</v>
      </c>
      <c r="AB10" s="110">
        <f>'25'!K10</f>
        <v>10750</v>
      </c>
      <c r="AC10" s="110">
        <f>'26'!K10</f>
        <v>10750</v>
      </c>
      <c r="AD10" s="110">
        <f>'27'!K10</f>
        <v>10750</v>
      </c>
      <c r="AE10" s="110">
        <f>'28'!K10</f>
        <v>10750</v>
      </c>
      <c r="AF10" s="110">
        <f>'29'!K10</f>
        <v>10750</v>
      </c>
      <c r="AG10" s="110">
        <f>'30'!K10</f>
        <v>0</v>
      </c>
      <c r="AH10" s="18">
        <v>9450</v>
      </c>
      <c r="AI10" s="46">
        <f t="shared" si="0"/>
        <v>-11980</v>
      </c>
      <c r="AJ10" s="160">
        <f t="shared" si="1"/>
        <v>11613.222222222223</v>
      </c>
      <c r="AK10" s="36" t="s">
        <v>1</v>
      </c>
    </row>
    <row r="11" spans="1:37" x14ac:dyDescent="0.25">
      <c r="A11" s="127"/>
      <c r="B11" s="16" t="s">
        <v>6</v>
      </c>
      <c r="C11" s="17" t="s">
        <v>5</v>
      </c>
      <c r="D11" s="103">
        <f>'1'!K11</f>
        <v>10000</v>
      </c>
      <c r="E11" s="103">
        <f>'2'!K11</f>
        <v>10000</v>
      </c>
      <c r="F11" s="103">
        <f>'3'!K11</f>
        <v>9800</v>
      </c>
      <c r="G11" s="103">
        <f>'4'!K11</f>
        <v>10000</v>
      </c>
      <c r="H11" s="103">
        <f>'5'!K11</f>
        <v>9800</v>
      </c>
      <c r="I11" s="103">
        <f>'6'!K11</f>
        <v>9800</v>
      </c>
      <c r="J11" s="110">
        <f>'7'!K11</f>
        <v>9800</v>
      </c>
      <c r="K11" s="110">
        <f>'8'!K11</f>
        <v>9800</v>
      </c>
      <c r="L11" s="110">
        <f>'9'!K11</f>
        <v>9800</v>
      </c>
      <c r="M11" s="110">
        <f>'10'!K11</f>
        <v>9800</v>
      </c>
      <c r="N11" s="110">
        <f>'11'!K11</f>
        <v>9800</v>
      </c>
      <c r="O11" s="110">
        <f>'12'!K11</f>
        <v>9800</v>
      </c>
      <c r="P11" s="110">
        <f>'13'!K11</f>
        <v>9800</v>
      </c>
      <c r="Q11" s="110">
        <f>'14'!K11</f>
        <v>9800</v>
      </c>
      <c r="R11" s="110">
        <f>'15'!K11</f>
        <v>9800</v>
      </c>
      <c r="S11" s="110">
        <f>'14'!K11</f>
        <v>9800</v>
      </c>
      <c r="T11" s="110">
        <f>'17'!K11</f>
        <v>9800</v>
      </c>
      <c r="U11" s="110">
        <f>'18'!K11</f>
        <v>9800</v>
      </c>
      <c r="V11" s="110">
        <f>'19'!K11</f>
        <v>9800</v>
      </c>
      <c r="W11" s="110">
        <f>'20'!K11</f>
        <v>10400</v>
      </c>
      <c r="X11" s="110">
        <f>'21'!K11</f>
        <v>10400</v>
      </c>
      <c r="Y11" s="110">
        <f>'22'!K11</f>
        <v>10400</v>
      </c>
      <c r="Z11" s="110">
        <f>'23'!K11</f>
        <v>10400</v>
      </c>
      <c r="AA11" s="110">
        <f>'24'!K11</f>
        <v>10400</v>
      </c>
      <c r="AB11" s="110">
        <f>'25'!K11</f>
        <v>10400</v>
      </c>
      <c r="AC11" s="110">
        <f>'26'!K11</f>
        <v>10400</v>
      </c>
      <c r="AD11" s="110">
        <f>'27'!K11</f>
        <v>10400</v>
      </c>
      <c r="AE11" s="110">
        <f>'28'!K11</f>
        <v>10400</v>
      </c>
      <c r="AF11" s="110">
        <f>'29'!K11</f>
        <v>10400</v>
      </c>
      <c r="AG11" s="110">
        <f>'30'!K11</f>
        <v>10400</v>
      </c>
      <c r="AH11" s="18"/>
      <c r="AI11" s="45">
        <f t="shared" si="0"/>
        <v>400</v>
      </c>
      <c r="AJ11" s="160">
        <f t="shared" si="1"/>
        <v>10040</v>
      </c>
    </row>
    <row r="12" spans="1:37" x14ac:dyDescent="0.25">
      <c r="A12" s="128"/>
      <c r="B12" s="16" t="s">
        <v>7</v>
      </c>
      <c r="C12" s="17" t="s">
        <v>5</v>
      </c>
      <c r="D12" s="103">
        <f>'1'!K12</f>
        <v>18600</v>
      </c>
      <c r="E12" s="103">
        <f>'2'!K12</f>
        <v>18800</v>
      </c>
      <c r="F12" s="103">
        <f>'3'!K12</f>
        <v>18800</v>
      </c>
      <c r="G12" s="103">
        <f>'4'!K12</f>
        <v>18600</v>
      </c>
      <c r="H12" s="103">
        <f>'5'!K12</f>
        <v>18400</v>
      </c>
      <c r="I12" s="103">
        <f>'6'!K12</f>
        <v>18400</v>
      </c>
      <c r="J12" s="110">
        <f>'7'!K12</f>
        <v>18400</v>
      </c>
      <c r="K12" s="110">
        <f>'8'!K12</f>
        <v>18400</v>
      </c>
      <c r="L12" s="110">
        <f>'9'!K12</f>
        <v>18400</v>
      </c>
      <c r="M12" s="110">
        <f>'10'!K12</f>
        <v>18600</v>
      </c>
      <c r="N12" s="110">
        <f>'11'!K12</f>
        <v>18400</v>
      </c>
      <c r="O12" s="110">
        <f>'12'!K12</f>
        <v>18400</v>
      </c>
      <c r="P12" s="110">
        <f>'13'!K12</f>
        <v>18400</v>
      </c>
      <c r="Q12" s="110">
        <f>'14'!K12</f>
        <v>18400</v>
      </c>
      <c r="R12" s="110">
        <f>'15'!K12</f>
        <v>18400</v>
      </c>
      <c r="S12" s="110">
        <f>'14'!K12</f>
        <v>18400</v>
      </c>
      <c r="T12" s="110">
        <f>'17'!K12</f>
        <v>18600</v>
      </c>
      <c r="U12" s="110">
        <f>'18'!K12</f>
        <v>18400</v>
      </c>
      <c r="V12" s="110">
        <f>'19'!K12</f>
        <v>18400</v>
      </c>
      <c r="W12" s="110">
        <f>'20'!K12</f>
        <v>18400</v>
      </c>
      <c r="X12" s="110">
        <f>'21'!K12</f>
        <v>18400</v>
      </c>
      <c r="Y12" s="110">
        <f>'22'!K12</f>
        <v>18400</v>
      </c>
      <c r="Z12" s="110">
        <f>'23'!K12</f>
        <v>18400</v>
      </c>
      <c r="AA12" s="110">
        <f>'24'!K12</f>
        <v>18400</v>
      </c>
      <c r="AB12" s="110">
        <f>'25'!K12</f>
        <v>18400</v>
      </c>
      <c r="AC12" s="110">
        <f>'26'!K12</f>
        <v>18400</v>
      </c>
      <c r="AD12" s="110">
        <f>'27'!K12</f>
        <v>18400</v>
      </c>
      <c r="AE12" s="110">
        <f>'28'!K12</f>
        <v>18400</v>
      </c>
      <c r="AF12" s="110">
        <f>'29'!K12</f>
        <v>18400</v>
      </c>
      <c r="AG12" s="110">
        <f>'30'!K12</f>
        <v>18400</v>
      </c>
      <c r="AH12" s="18"/>
      <c r="AI12" s="46">
        <f t="shared" si="0"/>
        <v>-200</v>
      </c>
      <c r="AJ12" s="160">
        <f t="shared" si="1"/>
        <v>18453.333333333332</v>
      </c>
    </row>
    <row r="13" spans="1:37" x14ac:dyDescent="0.25">
      <c r="A13" s="126">
        <v>2</v>
      </c>
      <c r="B13" s="21" t="s">
        <v>8</v>
      </c>
      <c r="C13" s="19"/>
      <c r="D13" s="103">
        <f>'1'!K13</f>
        <v>0</v>
      </c>
      <c r="E13" s="103">
        <f>'2'!K13</f>
        <v>0</v>
      </c>
      <c r="F13" s="103">
        <f>'3'!K13</f>
        <v>0</v>
      </c>
      <c r="G13" s="103">
        <f>'4'!K13</f>
        <v>0</v>
      </c>
      <c r="H13" s="103">
        <f>'5'!K13</f>
        <v>0</v>
      </c>
      <c r="I13" s="103">
        <f>'6'!K13</f>
        <v>0</v>
      </c>
      <c r="J13" s="110">
        <f>'7'!K13</f>
        <v>0</v>
      </c>
      <c r="K13" s="110">
        <f>'8'!K13</f>
        <v>0</v>
      </c>
      <c r="L13" s="110">
        <f>'9'!K13</f>
        <v>0</v>
      </c>
      <c r="M13" s="110">
        <f>'10'!K13</f>
        <v>0</v>
      </c>
      <c r="N13" s="110">
        <f>'11'!K13</f>
        <v>0</v>
      </c>
      <c r="O13" s="110">
        <f>'12'!K13</f>
        <v>0</v>
      </c>
      <c r="P13" s="110">
        <f>'13'!K13</f>
        <v>0</v>
      </c>
      <c r="Q13" s="110">
        <f>'14'!K13</f>
        <v>0</v>
      </c>
      <c r="R13" s="110">
        <f>'15'!K13</f>
        <v>0</v>
      </c>
      <c r="S13" s="110">
        <f>'14'!K13</f>
        <v>0</v>
      </c>
      <c r="T13" s="110">
        <f>'17'!K13</f>
        <v>0</v>
      </c>
      <c r="U13" s="110">
        <f>'18'!K13</f>
        <v>0</v>
      </c>
      <c r="V13" s="110">
        <f>'19'!K13</f>
        <v>0</v>
      </c>
      <c r="W13" s="110">
        <f>'20'!K13</f>
        <v>0</v>
      </c>
      <c r="X13" s="110">
        <f>'21'!K13</f>
        <v>0</v>
      </c>
      <c r="Y13" s="110">
        <f>'22'!K13</f>
        <v>0</v>
      </c>
      <c r="Z13" s="110">
        <f>'23'!K13</f>
        <v>0</v>
      </c>
      <c r="AA13" s="110">
        <f>'24'!K13</f>
        <v>0</v>
      </c>
      <c r="AB13" s="110">
        <f>'25'!K13</f>
        <v>0</v>
      </c>
      <c r="AC13" s="110">
        <f>'26'!K13</f>
        <v>0</v>
      </c>
      <c r="AD13" s="110">
        <f>'27'!K13</f>
        <v>0</v>
      </c>
      <c r="AE13" s="110">
        <f>'28'!K13</f>
        <v>0</v>
      </c>
      <c r="AF13" s="110">
        <f>'29'!K13</f>
        <v>0</v>
      </c>
      <c r="AG13" s="110">
        <f>'30'!K13</f>
        <v>0</v>
      </c>
      <c r="AH13" s="18"/>
      <c r="AI13" s="125">
        <f t="shared" si="0"/>
        <v>0</v>
      </c>
      <c r="AJ13" s="160">
        <f t="shared" si="1"/>
        <v>0</v>
      </c>
    </row>
    <row r="14" spans="1:37" x14ac:dyDescent="0.25">
      <c r="A14" s="127"/>
      <c r="B14" s="19" t="s">
        <v>9</v>
      </c>
      <c r="C14" s="17" t="s">
        <v>5</v>
      </c>
      <c r="D14" s="103">
        <f>'1'!K14</f>
        <v>13285.714285714286</v>
      </c>
      <c r="E14" s="103">
        <f>'2'!K14</f>
        <v>13285.714285714286</v>
      </c>
      <c r="F14" s="103">
        <f>'3'!K14</f>
        <v>13285.714285714286</v>
      </c>
      <c r="G14" s="103">
        <f>'4'!K14</f>
        <v>13285.714285714286</v>
      </c>
      <c r="H14" s="103">
        <f>'5'!K14</f>
        <v>13428.571428571429</v>
      </c>
      <c r="I14" s="103">
        <f>'6'!K14</f>
        <v>13428.571428571429</v>
      </c>
      <c r="J14" s="110">
        <f>'7'!K14</f>
        <v>13428.571428571429</v>
      </c>
      <c r="K14" s="110">
        <f>'8'!K14</f>
        <v>13428.571428571429</v>
      </c>
      <c r="L14" s="110">
        <f>'9'!K14</f>
        <v>13428.571428571429</v>
      </c>
      <c r="M14" s="110">
        <f>'10'!K14</f>
        <v>13500</v>
      </c>
      <c r="N14" s="110">
        <f>'11'!K14</f>
        <v>13500</v>
      </c>
      <c r="O14" s="110">
        <f>'12'!K14</f>
        <v>13500</v>
      </c>
      <c r="P14" s="110">
        <f>'13'!K14</f>
        <v>13500</v>
      </c>
      <c r="Q14" s="110">
        <f>'14'!K14</f>
        <v>13500</v>
      </c>
      <c r="R14" s="110">
        <f>'15'!K14</f>
        <v>13500</v>
      </c>
      <c r="S14" s="110">
        <f>'14'!K14</f>
        <v>13500</v>
      </c>
      <c r="T14" s="110">
        <f>'17'!K14</f>
        <v>13571.428571428571</v>
      </c>
      <c r="U14" s="110">
        <f>'18'!K14</f>
        <v>13500</v>
      </c>
      <c r="V14" s="110">
        <f>'19'!K14</f>
        <v>13500</v>
      </c>
      <c r="W14" s="110">
        <f>'20'!K14</f>
        <v>13571.428571428571</v>
      </c>
      <c r="X14" s="110">
        <f>'21'!K14</f>
        <v>13500</v>
      </c>
      <c r="Y14" s="110">
        <f>'22'!K14</f>
        <v>13500</v>
      </c>
      <c r="Z14" s="110">
        <f>'23'!K14</f>
        <v>13500</v>
      </c>
      <c r="AA14" s="110">
        <f>'24'!K14</f>
        <v>13500</v>
      </c>
      <c r="AB14" s="110">
        <f>'25'!K14</f>
        <v>13500</v>
      </c>
      <c r="AC14" s="110">
        <f>'26'!K14</f>
        <v>13500</v>
      </c>
      <c r="AD14" s="110">
        <f>'27'!K14</f>
        <v>13500</v>
      </c>
      <c r="AE14" s="110">
        <f>'28'!K14</f>
        <v>13500</v>
      </c>
      <c r="AF14" s="110">
        <f>'29'!K14</f>
        <v>13500</v>
      </c>
      <c r="AG14" s="110">
        <f>'30'!K14</f>
        <v>13500</v>
      </c>
      <c r="AH14" s="18">
        <v>13500</v>
      </c>
      <c r="AI14" s="45">
        <f t="shared" si="0"/>
        <v>214.28571428571377</v>
      </c>
      <c r="AJ14" s="160">
        <f t="shared" si="1"/>
        <v>13464.285714285716</v>
      </c>
    </row>
    <row r="15" spans="1:37" x14ac:dyDescent="0.25">
      <c r="A15" s="128"/>
      <c r="B15" s="20" t="s">
        <v>10</v>
      </c>
      <c r="C15" s="17" t="s">
        <v>5</v>
      </c>
      <c r="D15" s="103">
        <f>'1'!K15</f>
        <v>15142.857142857143</v>
      </c>
      <c r="E15" s="103">
        <f>'2'!K15</f>
        <v>15571.428571428571</v>
      </c>
      <c r="F15" s="103">
        <f>'3'!K15</f>
        <v>15571.428571428571</v>
      </c>
      <c r="G15" s="103">
        <f>'4'!K15</f>
        <v>15142.857142857143</v>
      </c>
      <c r="H15" s="103">
        <f>'5'!K15</f>
        <v>15142.857142857143</v>
      </c>
      <c r="I15" s="103">
        <f>'6'!K15</f>
        <v>15142.857142857143</v>
      </c>
      <c r="J15" s="110">
        <f>'7'!K15</f>
        <v>15142.857142857143</v>
      </c>
      <c r="K15" s="110">
        <f>'8'!K15</f>
        <v>15142.857142857143</v>
      </c>
      <c r="L15" s="110">
        <f>'9'!K15</f>
        <v>15142.857142857143</v>
      </c>
      <c r="M15" s="110">
        <f>'10'!K15</f>
        <v>15571.428571428571</v>
      </c>
      <c r="N15" s="110">
        <f>'11'!K15</f>
        <v>15142.857142857143</v>
      </c>
      <c r="O15" s="110">
        <f>'12'!K15</f>
        <v>15142.857142857143</v>
      </c>
      <c r="P15" s="110">
        <f>'13'!K15</f>
        <v>15142.857142857143</v>
      </c>
      <c r="Q15" s="110">
        <f>'14'!K15</f>
        <v>15142.857142857143</v>
      </c>
      <c r="R15" s="110">
        <f>'15'!K15</f>
        <v>15142.857142857143</v>
      </c>
      <c r="S15" s="110">
        <f>'14'!K15</f>
        <v>15142.857142857143</v>
      </c>
      <c r="T15" s="110">
        <f>'17'!K15</f>
        <v>15571.428571428571</v>
      </c>
      <c r="U15" s="110">
        <f>'18'!K15</f>
        <v>15142.857142857143</v>
      </c>
      <c r="V15" s="110">
        <f>'19'!K15</f>
        <v>15142.857142857143</v>
      </c>
      <c r="W15" s="110">
        <f>'20'!K15</f>
        <v>15142.857142857143</v>
      </c>
      <c r="X15" s="110">
        <f>'21'!K15</f>
        <v>15142.857142857143</v>
      </c>
      <c r="Y15" s="110">
        <f>'22'!K15</f>
        <v>15142.857142857143</v>
      </c>
      <c r="Z15" s="110">
        <f>'23'!K15</f>
        <v>15142.857142857143</v>
      </c>
      <c r="AA15" s="110">
        <f>'24'!K15</f>
        <v>15142.857142857143</v>
      </c>
      <c r="AB15" s="110">
        <f>'25'!K15</f>
        <v>15142.857142857143</v>
      </c>
      <c r="AC15" s="110">
        <f>'26'!K15</f>
        <v>15142.857142857143</v>
      </c>
      <c r="AD15" s="110">
        <f>'27'!K15</f>
        <v>15142.857142857143</v>
      </c>
      <c r="AE15" s="110">
        <f>'28'!K15</f>
        <v>15142.857142857143</v>
      </c>
      <c r="AF15" s="110">
        <f>'29'!K15</f>
        <v>15142.857142857143</v>
      </c>
      <c r="AG15" s="110">
        <f>'30'!K15</f>
        <v>15142.857142857143</v>
      </c>
      <c r="AH15" s="18"/>
      <c r="AI15" s="125">
        <f t="shared" si="0"/>
        <v>0</v>
      </c>
      <c r="AJ15" s="160">
        <f t="shared" si="1"/>
        <v>15200.000000000004</v>
      </c>
    </row>
    <row r="16" spans="1:37" x14ac:dyDescent="0.25">
      <c r="A16" s="126"/>
      <c r="B16" s="21" t="s">
        <v>11</v>
      </c>
      <c r="C16" s="21"/>
      <c r="D16" s="103">
        <f>'1'!K16</f>
        <v>0</v>
      </c>
      <c r="E16" s="103">
        <f>'2'!K16</f>
        <v>0</v>
      </c>
      <c r="F16" s="103">
        <f>'3'!K16</f>
        <v>0</v>
      </c>
      <c r="G16" s="103">
        <f>'4'!K16</f>
        <v>0</v>
      </c>
      <c r="H16" s="103">
        <f>'5'!K16</f>
        <v>0</v>
      </c>
      <c r="I16" s="103">
        <f>'6'!K16</f>
        <v>0</v>
      </c>
      <c r="J16" s="110">
        <f>'7'!K16</f>
        <v>0</v>
      </c>
      <c r="K16" s="110">
        <f>'8'!K16</f>
        <v>0</v>
      </c>
      <c r="L16" s="110">
        <f>'9'!K16</f>
        <v>0</v>
      </c>
      <c r="M16" s="110">
        <f>'10'!K16</f>
        <v>0</v>
      </c>
      <c r="N16" s="110">
        <f>'11'!K16</f>
        <v>0</v>
      </c>
      <c r="O16" s="110">
        <f>'12'!K16</f>
        <v>0</v>
      </c>
      <c r="P16" s="110">
        <f>'13'!K16</f>
        <v>0</v>
      </c>
      <c r="Q16" s="110">
        <f>'14'!K16</f>
        <v>0</v>
      </c>
      <c r="R16" s="110">
        <f>'15'!K16</f>
        <v>0</v>
      </c>
      <c r="S16" s="110">
        <f>'14'!K16</f>
        <v>0</v>
      </c>
      <c r="T16" s="110">
        <f>'17'!K16</f>
        <v>0</v>
      </c>
      <c r="U16" s="110">
        <f>'18'!K16</f>
        <v>0</v>
      </c>
      <c r="V16" s="110">
        <f>'19'!K16</f>
        <v>0</v>
      </c>
      <c r="W16" s="110">
        <f>'20'!K16</f>
        <v>0</v>
      </c>
      <c r="X16" s="110">
        <f>'21'!K16</f>
        <v>0</v>
      </c>
      <c r="Y16" s="110">
        <f>'22'!K16</f>
        <v>0</v>
      </c>
      <c r="Z16" s="110">
        <f>'23'!K16</f>
        <v>0</v>
      </c>
      <c r="AA16" s="110">
        <f>'24'!K16</f>
        <v>0</v>
      </c>
      <c r="AB16" s="110">
        <f>'25'!K16</f>
        <v>0</v>
      </c>
      <c r="AC16" s="110">
        <f>'26'!K16</f>
        <v>0</v>
      </c>
      <c r="AD16" s="110">
        <f>'27'!K16</f>
        <v>0</v>
      </c>
      <c r="AE16" s="110">
        <f>'28'!K16</f>
        <v>0</v>
      </c>
      <c r="AF16" s="110">
        <f>'29'!K16</f>
        <v>0</v>
      </c>
      <c r="AG16" s="110">
        <f>'30'!K16</f>
        <v>0</v>
      </c>
      <c r="AH16" s="18"/>
      <c r="AI16" s="125">
        <f t="shared" si="0"/>
        <v>0</v>
      </c>
      <c r="AJ16" s="160">
        <f t="shared" si="1"/>
        <v>0</v>
      </c>
    </row>
    <row r="17" spans="1:36" x14ac:dyDescent="0.25">
      <c r="A17" s="127"/>
      <c r="B17" s="20" t="s">
        <v>12</v>
      </c>
      <c r="C17" s="17" t="s">
        <v>5</v>
      </c>
      <c r="D17" s="103">
        <f>'1'!K17</f>
        <v>15000</v>
      </c>
      <c r="E17" s="103">
        <f>'2'!K17</f>
        <v>15285.714285714286</v>
      </c>
      <c r="F17" s="103">
        <f>'3'!K17</f>
        <v>15285.714285714286</v>
      </c>
      <c r="G17" s="103">
        <f>'4'!K17</f>
        <v>15000</v>
      </c>
      <c r="H17" s="103">
        <f>'5'!K17</f>
        <v>15000</v>
      </c>
      <c r="I17" s="103">
        <f>'6'!K17</f>
        <v>15000</v>
      </c>
      <c r="J17" s="110">
        <f>'7'!K17</f>
        <v>15000</v>
      </c>
      <c r="K17" s="110">
        <f>'8'!K17</f>
        <v>15000</v>
      </c>
      <c r="L17" s="110">
        <f>'9'!K17</f>
        <v>15000</v>
      </c>
      <c r="M17" s="110">
        <f>'10'!K17</f>
        <v>15285.714285714286</v>
      </c>
      <c r="N17" s="110">
        <f>'11'!K17</f>
        <v>15000</v>
      </c>
      <c r="O17" s="110">
        <f>'12'!K17</f>
        <v>15000</v>
      </c>
      <c r="P17" s="110">
        <f>'13'!K17</f>
        <v>15000</v>
      </c>
      <c r="Q17" s="110">
        <f>'14'!K17</f>
        <v>15000</v>
      </c>
      <c r="R17" s="110">
        <f>'15'!K17</f>
        <v>15000</v>
      </c>
      <c r="S17" s="110">
        <f>'14'!K17</f>
        <v>15000</v>
      </c>
      <c r="T17" s="110">
        <f>'17'!K17</f>
        <v>15285.714285714286</v>
      </c>
      <c r="U17" s="110">
        <f>'18'!K17</f>
        <v>15000</v>
      </c>
      <c r="V17" s="110">
        <f>'19'!K17</f>
        <v>15000</v>
      </c>
      <c r="W17" s="110">
        <f>'20'!K17</f>
        <v>15000</v>
      </c>
      <c r="X17" s="110">
        <f>'21'!K17</f>
        <v>15000</v>
      </c>
      <c r="Y17" s="110">
        <f>'22'!K17</f>
        <v>15000</v>
      </c>
      <c r="Z17" s="110">
        <f>'23'!K17</f>
        <v>15000</v>
      </c>
      <c r="AA17" s="110">
        <f>'24'!K17</f>
        <v>15000</v>
      </c>
      <c r="AB17" s="110">
        <f>'25'!K17</f>
        <v>15000</v>
      </c>
      <c r="AC17" s="110">
        <f>'26'!K17</f>
        <v>15000</v>
      </c>
      <c r="AD17" s="110">
        <f>'27'!K17</f>
        <v>15000</v>
      </c>
      <c r="AE17" s="110">
        <f>'28'!K17</f>
        <v>15000</v>
      </c>
      <c r="AF17" s="110">
        <f>'29'!K17</f>
        <v>15000</v>
      </c>
      <c r="AG17" s="110">
        <f>'30'!K17</f>
        <v>15000</v>
      </c>
      <c r="AH17" s="18">
        <v>15500</v>
      </c>
      <c r="AI17" s="125">
        <f t="shared" si="0"/>
        <v>0</v>
      </c>
      <c r="AJ17" s="160">
        <f t="shared" si="1"/>
        <v>15038.095238095239</v>
      </c>
    </row>
    <row r="18" spans="1:36" x14ac:dyDescent="0.25">
      <c r="A18" s="128"/>
      <c r="B18" s="20" t="s">
        <v>110</v>
      </c>
      <c r="C18" s="17" t="s">
        <v>5</v>
      </c>
      <c r="D18" s="103">
        <f>'1'!K18</f>
        <v>14000</v>
      </c>
      <c r="E18" s="103">
        <f>'2'!K18</f>
        <v>14000</v>
      </c>
      <c r="F18" s="103">
        <f>'3'!K18</f>
        <v>14000</v>
      </c>
      <c r="G18" s="103">
        <f>'4'!K18</f>
        <v>14000</v>
      </c>
      <c r="H18" s="103">
        <f>'5'!K18</f>
        <v>14000</v>
      </c>
      <c r="I18" s="103">
        <f>'6'!K18</f>
        <v>14000</v>
      </c>
      <c r="J18" s="110">
        <f>'7'!K18</f>
        <v>14000</v>
      </c>
      <c r="K18" s="110">
        <f>'8'!K18</f>
        <v>14000</v>
      </c>
      <c r="L18" s="110">
        <f>'9'!K18</f>
        <v>14000</v>
      </c>
      <c r="M18" s="110">
        <f>'10'!K18</f>
        <v>14000</v>
      </c>
      <c r="N18" s="110">
        <f>'11'!K18</f>
        <v>14000</v>
      </c>
      <c r="O18" s="110">
        <f>'12'!K18</f>
        <v>14000</v>
      </c>
      <c r="P18" s="110">
        <f>'13'!K18</f>
        <v>14000</v>
      </c>
      <c r="Q18" s="110">
        <f>'14'!K18</f>
        <v>14000</v>
      </c>
      <c r="R18" s="110">
        <f>'15'!K18</f>
        <v>14000</v>
      </c>
      <c r="S18" s="110">
        <f>'14'!K18</f>
        <v>14000</v>
      </c>
      <c r="T18" s="110">
        <f>'17'!K18</f>
        <v>14000</v>
      </c>
      <c r="U18" s="110">
        <f>'18'!K18</f>
        <v>14000</v>
      </c>
      <c r="V18" s="110">
        <f>'19'!K18</f>
        <v>14000</v>
      </c>
      <c r="W18" s="110">
        <f>'20'!K18</f>
        <v>14000</v>
      </c>
      <c r="X18" s="110">
        <f>'21'!K18</f>
        <v>14000</v>
      </c>
      <c r="Y18" s="110">
        <f>'22'!K18</f>
        <v>14000</v>
      </c>
      <c r="Z18" s="110">
        <f>'23'!K18</f>
        <v>14000</v>
      </c>
      <c r="AA18" s="110">
        <f>'24'!K18</f>
        <v>14000</v>
      </c>
      <c r="AB18" s="110">
        <f>'25'!K18</f>
        <v>14000</v>
      </c>
      <c r="AC18" s="110">
        <f>'26'!K18</f>
        <v>14000</v>
      </c>
      <c r="AD18" s="110">
        <f>'27'!K18</f>
        <v>14000</v>
      </c>
      <c r="AE18" s="110">
        <f>'28'!K18</f>
        <v>14000</v>
      </c>
      <c r="AF18" s="110">
        <f>'29'!K18</f>
        <v>14000</v>
      </c>
      <c r="AG18" s="110">
        <f>'30'!K18</f>
        <v>14000</v>
      </c>
      <c r="AH18" s="18">
        <v>14000</v>
      </c>
      <c r="AI18" s="125">
        <f t="shared" si="0"/>
        <v>0</v>
      </c>
      <c r="AJ18" s="160">
        <f t="shared" si="1"/>
        <v>14000</v>
      </c>
    </row>
    <row r="19" spans="1:36" x14ac:dyDescent="0.25">
      <c r="A19" s="126">
        <v>4</v>
      </c>
      <c r="B19" s="21" t="s">
        <v>13</v>
      </c>
      <c r="C19" s="21"/>
      <c r="D19" s="103">
        <f>'1'!K19</f>
        <v>0</v>
      </c>
      <c r="E19" s="103">
        <f>'2'!K19</f>
        <v>0</v>
      </c>
      <c r="F19" s="103">
        <f>'3'!K19</f>
        <v>0</v>
      </c>
      <c r="G19" s="103">
        <f>'4'!K19</f>
        <v>0</v>
      </c>
      <c r="H19" s="103">
        <f>'5'!K19</f>
        <v>0</v>
      </c>
      <c r="I19" s="103">
        <f>'6'!K19</f>
        <v>0</v>
      </c>
      <c r="J19" s="110">
        <f>'7'!K19</f>
        <v>0</v>
      </c>
      <c r="K19" s="110">
        <f>'8'!K19</f>
        <v>0</v>
      </c>
      <c r="L19" s="110">
        <f>'9'!K19</f>
        <v>0</v>
      </c>
      <c r="M19" s="110">
        <f>'10'!K19</f>
        <v>0</v>
      </c>
      <c r="N19" s="110">
        <f>'11'!K19</f>
        <v>0</v>
      </c>
      <c r="O19" s="110">
        <f>'12'!K19</f>
        <v>0</v>
      </c>
      <c r="P19" s="110">
        <f>'13'!K19</f>
        <v>0</v>
      </c>
      <c r="Q19" s="110">
        <f>'14'!K19</f>
        <v>0</v>
      </c>
      <c r="R19" s="110">
        <f>'15'!K19</f>
        <v>0</v>
      </c>
      <c r="S19" s="110">
        <f>'14'!K19</f>
        <v>0</v>
      </c>
      <c r="T19" s="110">
        <f>'17'!K19</f>
        <v>0</v>
      </c>
      <c r="U19" s="110">
        <f>'18'!K19</f>
        <v>0</v>
      </c>
      <c r="V19" s="110">
        <f>'19'!K19</f>
        <v>0</v>
      </c>
      <c r="W19" s="110">
        <f>'20'!K19</f>
        <v>0</v>
      </c>
      <c r="X19" s="110">
        <f>'21'!K19</f>
        <v>0</v>
      </c>
      <c r="Y19" s="110">
        <f>'22'!K19</f>
        <v>0</v>
      </c>
      <c r="Z19" s="110">
        <f>'23'!K19</f>
        <v>0</v>
      </c>
      <c r="AA19" s="110">
        <f>'24'!K19</f>
        <v>0</v>
      </c>
      <c r="AB19" s="110">
        <f>'25'!K19</f>
        <v>0</v>
      </c>
      <c r="AC19" s="110">
        <f>'26'!K19</f>
        <v>0</v>
      </c>
      <c r="AD19" s="110">
        <f>'27'!K19</f>
        <v>0</v>
      </c>
      <c r="AE19" s="110">
        <f>'28'!K19</f>
        <v>0</v>
      </c>
      <c r="AF19" s="110">
        <f>'29'!K19</f>
        <v>0</v>
      </c>
      <c r="AG19" s="110">
        <f>'30'!K19</f>
        <v>0</v>
      </c>
      <c r="AH19" s="18"/>
      <c r="AI19" s="125">
        <f t="shared" si="0"/>
        <v>0</v>
      </c>
      <c r="AJ19" s="160">
        <f t="shared" si="1"/>
        <v>0</v>
      </c>
    </row>
    <row r="20" spans="1:36" x14ac:dyDescent="0.25">
      <c r="A20" s="128"/>
      <c r="B20" s="20" t="s">
        <v>14</v>
      </c>
      <c r="C20" s="17" t="s">
        <v>5</v>
      </c>
      <c r="D20" s="103">
        <f>'1'!K20</f>
        <v>21375</v>
      </c>
      <c r="E20" s="103">
        <f>'2'!K20</f>
        <v>21375</v>
      </c>
      <c r="F20" s="103">
        <f>'3'!K20</f>
        <v>21375</v>
      </c>
      <c r="G20" s="103">
        <f>'4'!K20</f>
        <v>21375</v>
      </c>
      <c r="H20" s="103">
        <f>'5'!K20</f>
        <v>21375</v>
      </c>
      <c r="I20" s="103">
        <f>'6'!K20</f>
        <v>21375</v>
      </c>
      <c r="J20" s="110">
        <f>'7'!K20</f>
        <v>21375</v>
      </c>
      <c r="K20" s="110">
        <f>'8'!K20</f>
        <v>21375</v>
      </c>
      <c r="L20" s="110">
        <f>'9'!K20</f>
        <v>21375</v>
      </c>
      <c r="M20" s="110">
        <f>'10'!K20</f>
        <v>21375</v>
      </c>
      <c r="N20" s="110">
        <f>'11'!K20</f>
        <v>21375</v>
      </c>
      <c r="O20" s="110">
        <f>'12'!K20</f>
        <v>21375</v>
      </c>
      <c r="P20" s="110">
        <f>'13'!K20</f>
        <v>21375</v>
      </c>
      <c r="Q20" s="110">
        <f>'14'!K20</f>
        <v>21375</v>
      </c>
      <c r="R20" s="110">
        <f>'15'!K20</f>
        <v>21375</v>
      </c>
      <c r="S20" s="110">
        <f>'14'!K20</f>
        <v>21375</v>
      </c>
      <c r="T20" s="110">
        <f>'17'!K20</f>
        <v>21375</v>
      </c>
      <c r="U20" s="110">
        <f>'18'!K20</f>
        <v>21375</v>
      </c>
      <c r="V20" s="110">
        <f>'19'!K20</f>
        <v>21375</v>
      </c>
      <c r="W20" s="110">
        <f>'20'!K20</f>
        <v>20500</v>
      </c>
      <c r="X20" s="110">
        <f>'21'!K20</f>
        <v>20500</v>
      </c>
      <c r="Y20" s="110">
        <f>'22'!K20</f>
        <v>20500</v>
      </c>
      <c r="Z20" s="110">
        <f>'23'!K20</f>
        <v>20500</v>
      </c>
      <c r="AA20" s="110">
        <f>'24'!K20</f>
        <v>20500</v>
      </c>
      <c r="AB20" s="110">
        <f>'25'!K20</f>
        <v>20500</v>
      </c>
      <c r="AC20" s="110">
        <f>'26'!K20</f>
        <v>20500</v>
      </c>
      <c r="AD20" s="110">
        <f>'27'!K20</f>
        <v>20500</v>
      </c>
      <c r="AE20" s="110">
        <f>'28'!K20</f>
        <v>20500</v>
      </c>
      <c r="AF20" s="110">
        <f>'29'!K20</f>
        <v>20500</v>
      </c>
      <c r="AG20" s="110">
        <f>'30'!K20</f>
        <v>20500</v>
      </c>
      <c r="AH20" s="18"/>
      <c r="AI20" s="46">
        <f t="shared" si="0"/>
        <v>-875</v>
      </c>
      <c r="AJ20" s="160">
        <f t="shared" si="1"/>
        <v>21054.166666666668</v>
      </c>
    </row>
    <row r="21" spans="1:36" x14ac:dyDescent="0.25">
      <c r="A21" s="126">
        <v>5</v>
      </c>
      <c r="B21" s="21" t="s">
        <v>15</v>
      </c>
      <c r="C21" s="21"/>
      <c r="D21" s="103">
        <f>'1'!K21</f>
        <v>0</v>
      </c>
      <c r="E21" s="103">
        <f>'2'!K21</f>
        <v>0</v>
      </c>
      <c r="F21" s="103">
        <f>'3'!K21</f>
        <v>0</v>
      </c>
      <c r="G21" s="103">
        <f>'4'!K21</f>
        <v>0</v>
      </c>
      <c r="H21" s="103">
        <f>'5'!K21</f>
        <v>0</v>
      </c>
      <c r="I21" s="103">
        <f>'6'!K21</f>
        <v>0</v>
      </c>
      <c r="J21" s="110">
        <f>'7'!K21</f>
        <v>0</v>
      </c>
      <c r="K21" s="110">
        <f>'8'!K21</f>
        <v>0</v>
      </c>
      <c r="L21" s="110">
        <f>'9'!K21</f>
        <v>0</v>
      </c>
      <c r="M21" s="110">
        <f>'10'!K21</f>
        <v>0</v>
      </c>
      <c r="N21" s="110">
        <f>'11'!K21</f>
        <v>0</v>
      </c>
      <c r="O21" s="110">
        <f>'12'!K21</f>
        <v>0</v>
      </c>
      <c r="P21" s="110">
        <f>'13'!K21</f>
        <v>0</v>
      </c>
      <c r="Q21" s="110">
        <f>'14'!K21</f>
        <v>0</v>
      </c>
      <c r="R21" s="110">
        <f>'15'!K21</f>
        <v>0</v>
      </c>
      <c r="S21" s="110">
        <f>'14'!K21</f>
        <v>0</v>
      </c>
      <c r="T21" s="110">
        <f>'17'!K21</f>
        <v>0</v>
      </c>
      <c r="U21" s="110">
        <f>'18'!K21</f>
        <v>0</v>
      </c>
      <c r="V21" s="110">
        <f>'19'!K21</f>
        <v>0</v>
      </c>
      <c r="W21" s="110">
        <f>'20'!K21</f>
        <v>0</v>
      </c>
      <c r="X21" s="110">
        <f>'21'!K21</f>
        <v>0</v>
      </c>
      <c r="Y21" s="110">
        <f>'22'!K21</f>
        <v>0</v>
      </c>
      <c r="Z21" s="110">
        <f>'23'!K21</f>
        <v>0</v>
      </c>
      <c r="AA21" s="110">
        <f>'24'!K21</f>
        <v>0</v>
      </c>
      <c r="AB21" s="110">
        <f>'25'!K21</f>
        <v>0</v>
      </c>
      <c r="AC21" s="110">
        <f>'26'!K21</f>
        <v>0</v>
      </c>
      <c r="AD21" s="110">
        <f>'27'!K21</f>
        <v>0</v>
      </c>
      <c r="AE21" s="110">
        <f>'28'!K21</f>
        <v>0</v>
      </c>
      <c r="AF21" s="110">
        <f>'29'!K21</f>
        <v>0</v>
      </c>
      <c r="AG21" s="110">
        <f>'30'!K21</f>
        <v>0</v>
      </c>
      <c r="AH21" s="18"/>
      <c r="AI21" s="125">
        <f t="shared" si="0"/>
        <v>0</v>
      </c>
      <c r="AJ21" s="160">
        <f t="shared" si="1"/>
        <v>0</v>
      </c>
    </row>
    <row r="22" spans="1:36" x14ac:dyDescent="0.25">
      <c r="A22" s="127"/>
      <c r="B22" s="20" t="s">
        <v>16</v>
      </c>
      <c r="C22" s="17" t="s">
        <v>5</v>
      </c>
      <c r="D22" s="103">
        <f>'1'!K22</f>
        <v>120000</v>
      </c>
      <c r="E22" s="103">
        <f>'2'!K22</f>
        <v>120000</v>
      </c>
      <c r="F22" s="103">
        <f>'3'!K22</f>
        <v>120000</v>
      </c>
      <c r="G22" s="103">
        <f>'4'!K22</f>
        <v>120000</v>
      </c>
      <c r="H22" s="103">
        <f>'5'!K22</f>
        <v>120000</v>
      </c>
      <c r="I22" s="103">
        <f>'6'!K22</f>
        <v>120000</v>
      </c>
      <c r="J22" s="110">
        <f>'7'!K22</f>
        <v>120000</v>
      </c>
      <c r="K22" s="110">
        <f>'8'!K22</f>
        <v>120000</v>
      </c>
      <c r="L22" s="110">
        <f>'9'!K22</f>
        <v>120000</v>
      </c>
      <c r="M22" s="110">
        <f>'10'!K22</f>
        <v>120000</v>
      </c>
      <c r="N22" s="110">
        <f>'11'!K22</f>
        <v>120833.33333333333</v>
      </c>
      <c r="O22" s="110">
        <f>'12'!K22</f>
        <v>120833.33333333333</v>
      </c>
      <c r="P22" s="110">
        <f>'13'!K22</f>
        <v>120833.33333333333</v>
      </c>
      <c r="Q22" s="110">
        <f>'14'!K22</f>
        <v>120833.33333333333</v>
      </c>
      <c r="R22" s="110">
        <f>'15'!K22</f>
        <v>120833.33333333333</v>
      </c>
      <c r="S22" s="110">
        <f>'14'!K22</f>
        <v>120833.33333333333</v>
      </c>
      <c r="T22" s="110">
        <f>'17'!K22</f>
        <v>120833.33333333333</v>
      </c>
      <c r="U22" s="110">
        <f>'18'!K22</f>
        <v>120833.33333333333</v>
      </c>
      <c r="V22" s="110">
        <f>'19'!K22</f>
        <v>120833.33333333333</v>
      </c>
      <c r="W22" s="110">
        <f>'20'!K22</f>
        <v>120833.33333333333</v>
      </c>
      <c r="X22" s="110">
        <f>'21'!K22</f>
        <v>120833.33333333333</v>
      </c>
      <c r="Y22" s="110">
        <f>'22'!K22</f>
        <v>120833.33333333333</v>
      </c>
      <c r="Z22" s="110">
        <f>'23'!K22</f>
        <v>120833.33333333333</v>
      </c>
      <c r="AA22" s="110">
        <f>'24'!K22</f>
        <v>120833.33333333333</v>
      </c>
      <c r="AB22" s="110">
        <f>'25'!K22</f>
        <v>120833.33333333333</v>
      </c>
      <c r="AC22" s="110">
        <f>'26'!K22</f>
        <v>120833.33333333333</v>
      </c>
      <c r="AD22" s="110">
        <f>'27'!K22</f>
        <v>120833.33333333333</v>
      </c>
      <c r="AE22" s="110">
        <f>'28'!K22</f>
        <v>120833.33333333333</v>
      </c>
      <c r="AF22" s="110">
        <f>'29'!K22</f>
        <v>120833.33333333333</v>
      </c>
      <c r="AG22" s="110">
        <f>'30'!K22</f>
        <v>120833.33333333333</v>
      </c>
      <c r="AH22" s="18">
        <v>105000</v>
      </c>
      <c r="AI22" s="45">
        <f t="shared" si="0"/>
        <v>833.33333333332848</v>
      </c>
      <c r="AJ22" s="160">
        <f t="shared" si="1"/>
        <v>120555.55555555559</v>
      </c>
    </row>
    <row r="23" spans="1:36" x14ac:dyDescent="0.25">
      <c r="A23" s="127"/>
      <c r="B23" s="20" t="s">
        <v>17</v>
      </c>
      <c r="C23" s="17" t="s">
        <v>5</v>
      </c>
      <c r="D23" s="103">
        <f>'1'!K23</f>
        <v>110714.28571428571</v>
      </c>
      <c r="E23" s="103">
        <f>'2'!K23</f>
        <v>110714.28571428571</v>
      </c>
      <c r="F23" s="103">
        <f>'3'!K23</f>
        <v>110714.28571428571</v>
      </c>
      <c r="G23" s="103">
        <f>'4'!K23</f>
        <v>110714.28571428571</v>
      </c>
      <c r="H23" s="103">
        <f>'5'!K23</f>
        <v>110714.28571428571</v>
      </c>
      <c r="I23" s="103">
        <f>'6'!K23</f>
        <v>110714.28571428571</v>
      </c>
      <c r="J23" s="110">
        <f>'7'!K23</f>
        <v>110714.28571428571</v>
      </c>
      <c r="K23" s="110">
        <f>'8'!K23</f>
        <v>110714.28571428571</v>
      </c>
      <c r="L23" s="110">
        <f>'9'!K23</f>
        <v>110714.28571428571</v>
      </c>
      <c r="M23" s="110">
        <f>'10'!K23</f>
        <v>110714.28571428571</v>
      </c>
      <c r="N23" s="110">
        <f>'11'!K23</f>
        <v>112142.85714285714</v>
      </c>
      <c r="O23" s="110">
        <f>'12'!K23</f>
        <v>112142.85714285714</v>
      </c>
      <c r="P23" s="110">
        <f>'13'!K23</f>
        <v>112142.85714285714</v>
      </c>
      <c r="Q23" s="110">
        <f>'14'!K23</f>
        <v>112142.85714285714</v>
      </c>
      <c r="R23" s="110">
        <f>'15'!K23</f>
        <v>112142.85714285714</v>
      </c>
      <c r="S23" s="110">
        <f>'14'!K23</f>
        <v>112142.85714285714</v>
      </c>
      <c r="T23" s="110">
        <f>'17'!K23</f>
        <v>112142.85714285714</v>
      </c>
      <c r="U23" s="110">
        <f>'18'!K23</f>
        <v>112142.85714285714</v>
      </c>
      <c r="V23" s="110">
        <f>'19'!K23</f>
        <v>112142.85714285714</v>
      </c>
      <c r="W23" s="110">
        <f>'20'!K23</f>
        <v>112142.85714285714</v>
      </c>
      <c r="X23" s="110">
        <f>'21'!K23</f>
        <v>112142.85714285714</v>
      </c>
      <c r="Y23" s="110">
        <f>'22'!K23</f>
        <v>112142.85714285714</v>
      </c>
      <c r="Z23" s="110">
        <f>'23'!K23</f>
        <v>112142.85714285714</v>
      </c>
      <c r="AA23" s="110">
        <f>'24'!K23</f>
        <v>112142.85714285714</v>
      </c>
      <c r="AB23" s="110">
        <f>'25'!K23</f>
        <v>112142.85714285714</v>
      </c>
      <c r="AC23" s="110">
        <f>'26'!K23</f>
        <v>112142.85714285714</v>
      </c>
      <c r="AD23" s="110">
        <f>'27'!K23</f>
        <v>112142.85714285714</v>
      </c>
      <c r="AE23" s="110">
        <f>'28'!K23</f>
        <v>112142.85714285714</v>
      </c>
      <c r="AF23" s="110">
        <f>'29'!K23</f>
        <v>112142.85714285714</v>
      </c>
      <c r="AG23" s="110">
        <f>'30'!K23</f>
        <v>112142.85714285714</v>
      </c>
      <c r="AH23" s="18">
        <v>80000</v>
      </c>
      <c r="AI23" s="45">
        <f t="shared" si="0"/>
        <v>1428.5714285714348</v>
      </c>
      <c r="AJ23" s="160">
        <f t="shared" si="1"/>
        <v>111666.66666666669</v>
      </c>
    </row>
    <row r="24" spans="1:36" x14ac:dyDescent="0.25">
      <c r="A24" s="127"/>
      <c r="B24" s="20" t="s">
        <v>18</v>
      </c>
      <c r="C24" s="17" t="s">
        <v>5</v>
      </c>
      <c r="D24" s="103">
        <f>'1'!K24</f>
        <v>98571.428571428565</v>
      </c>
      <c r="E24" s="103">
        <f>'2'!K24</f>
        <v>98571.428571428565</v>
      </c>
      <c r="F24" s="103">
        <f>'3'!K24</f>
        <v>98571.428571428565</v>
      </c>
      <c r="G24" s="103">
        <f>'4'!K24</f>
        <v>98571.428571428565</v>
      </c>
      <c r="H24" s="103">
        <f>'5'!K24</f>
        <v>98571.428571428565</v>
      </c>
      <c r="I24" s="103">
        <f>'6'!K24</f>
        <v>98571.428571428565</v>
      </c>
      <c r="J24" s="110">
        <f>'7'!K24</f>
        <v>98571.428571428565</v>
      </c>
      <c r="K24" s="110">
        <f>'8'!K24</f>
        <v>98571.428571428565</v>
      </c>
      <c r="L24" s="110">
        <f>'9'!K24</f>
        <v>98571.428571428565</v>
      </c>
      <c r="M24" s="110">
        <f>'10'!K24</f>
        <v>98571.428571428565</v>
      </c>
      <c r="N24" s="110">
        <f>'11'!K24</f>
        <v>100000</v>
      </c>
      <c r="O24" s="110">
        <f>'12'!K24</f>
        <v>100000</v>
      </c>
      <c r="P24" s="110">
        <f>'13'!K24</f>
        <v>100000</v>
      </c>
      <c r="Q24" s="110">
        <f>'14'!K24</f>
        <v>100000</v>
      </c>
      <c r="R24" s="110">
        <f>'15'!K24</f>
        <v>100714.28571428571</v>
      </c>
      <c r="S24" s="110">
        <f>'14'!K24</f>
        <v>100000</v>
      </c>
      <c r="T24" s="110">
        <f>'17'!K24</f>
        <v>100714.28571428571</v>
      </c>
      <c r="U24" s="110">
        <f>'18'!K24</f>
        <v>100714.28571428571</v>
      </c>
      <c r="V24" s="110">
        <f>'19'!K24</f>
        <v>100714.28571428571</v>
      </c>
      <c r="W24" s="110">
        <f>'20'!K24</f>
        <v>100714.28571428571</v>
      </c>
      <c r="X24" s="110">
        <f>'21'!K24</f>
        <v>100714.28571428571</v>
      </c>
      <c r="Y24" s="110">
        <f>'22'!K24</f>
        <v>100714.28571428571</v>
      </c>
      <c r="Z24" s="110">
        <f>'23'!K24</f>
        <v>100714.28571428571</v>
      </c>
      <c r="AA24" s="110">
        <f>'24'!K24</f>
        <v>100714.28571428571</v>
      </c>
      <c r="AB24" s="110">
        <f>'25'!K24</f>
        <v>100714.28571428571</v>
      </c>
      <c r="AC24" s="110">
        <f>'26'!K24</f>
        <v>100714.28571428571</v>
      </c>
      <c r="AD24" s="110">
        <f>'27'!K24</f>
        <v>100714.28571428571</v>
      </c>
      <c r="AE24" s="110">
        <f>'28'!K24</f>
        <v>100714.28571428571</v>
      </c>
      <c r="AF24" s="110">
        <f>'29'!K24</f>
        <v>100714.28571428571</v>
      </c>
      <c r="AG24" s="110">
        <f>'30'!K24</f>
        <v>100714.28571428571</v>
      </c>
      <c r="AH24" s="18">
        <v>80000</v>
      </c>
      <c r="AI24" s="45">
        <f t="shared" si="0"/>
        <v>2142.8571428571449</v>
      </c>
      <c r="AJ24" s="160">
        <f t="shared" si="1"/>
        <v>99880.952380952425</v>
      </c>
    </row>
    <row r="25" spans="1:36" x14ac:dyDescent="0.25">
      <c r="A25" s="128"/>
      <c r="B25" s="20" t="s">
        <v>19</v>
      </c>
      <c r="C25" s="17" t="s">
        <v>5</v>
      </c>
      <c r="D25" s="103">
        <f>'1'!K25</f>
        <v>35285.714285714283</v>
      </c>
      <c r="E25" s="103">
        <f>'2'!K25</f>
        <v>35285.714285714283</v>
      </c>
      <c r="F25" s="103">
        <f>'3'!K25</f>
        <v>35571.428571428572</v>
      </c>
      <c r="G25" s="103">
        <f>'4'!K25</f>
        <v>35428.571428571428</v>
      </c>
      <c r="H25" s="103">
        <f>'5'!K25</f>
        <v>35714.285714285717</v>
      </c>
      <c r="I25" s="103">
        <f>'6'!K25</f>
        <v>35857.142857142855</v>
      </c>
      <c r="J25" s="110">
        <f>'7'!K25</f>
        <v>36000</v>
      </c>
      <c r="K25" s="110">
        <f>'8'!K25</f>
        <v>36142.857142857145</v>
      </c>
      <c r="L25" s="110">
        <f>'9'!K25</f>
        <v>36142.857142857145</v>
      </c>
      <c r="M25" s="110">
        <f>'10'!K25</f>
        <v>36428.571428571428</v>
      </c>
      <c r="N25" s="110">
        <f>'11'!K25</f>
        <v>36000</v>
      </c>
      <c r="O25" s="110">
        <f>'12'!K25</f>
        <v>36000</v>
      </c>
      <c r="P25" s="110">
        <f>'13'!K25</f>
        <v>36000</v>
      </c>
      <c r="Q25" s="110">
        <f>'14'!K25</f>
        <v>35857.142857142855</v>
      </c>
      <c r="R25" s="110">
        <f>'15'!K25</f>
        <v>35714.285714285717</v>
      </c>
      <c r="S25" s="110">
        <f>'14'!K25</f>
        <v>35857.142857142855</v>
      </c>
      <c r="T25" s="110">
        <f>'17'!K25</f>
        <v>35571.428571428572</v>
      </c>
      <c r="U25" s="110">
        <f>'18'!K25</f>
        <v>35428.571428571428</v>
      </c>
      <c r="V25" s="110">
        <f>'19'!K25</f>
        <v>35000</v>
      </c>
      <c r="W25" s="110">
        <f>'20'!K25</f>
        <v>35000</v>
      </c>
      <c r="X25" s="110">
        <f>'21'!K25</f>
        <v>34857.142857142855</v>
      </c>
      <c r="Y25" s="110">
        <f>'22'!K25</f>
        <v>34857.142857142855</v>
      </c>
      <c r="Z25" s="110">
        <f>'23'!K25</f>
        <v>35142.857142857145</v>
      </c>
      <c r="AA25" s="110">
        <f>'24'!K25</f>
        <v>35142.857142857145</v>
      </c>
      <c r="AB25" s="110">
        <f>'25'!K25</f>
        <v>35000</v>
      </c>
      <c r="AC25" s="110">
        <f>'26'!K25</f>
        <v>35142.857142857145</v>
      </c>
      <c r="AD25" s="110">
        <f>'27'!K25</f>
        <v>35142.857142857145</v>
      </c>
      <c r="AE25" s="110">
        <f>'28'!K25</f>
        <v>35142.857142857145</v>
      </c>
      <c r="AF25" s="110">
        <f>'29'!K25</f>
        <v>35142.857142857145</v>
      </c>
      <c r="AG25" s="110">
        <f>'30'!K25</f>
        <v>35142.857142857145</v>
      </c>
      <c r="AH25" s="18">
        <v>36750</v>
      </c>
      <c r="AI25" s="46">
        <f t="shared" si="0"/>
        <v>-142.85714285713766</v>
      </c>
      <c r="AJ25" s="160">
        <f t="shared" si="1"/>
        <v>35500</v>
      </c>
    </row>
    <row r="26" spans="1:36" x14ac:dyDescent="0.25">
      <c r="A26" s="126">
        <v>6</v>
      </c>
      <c r="B26" s="21" t="s">
        <v>20</v>
      </c>
      <c r="C26" s="21"/>
      <c r="D26" s="103">
        <f>'1'!K26</f>
        <v>0</v>
      </c>
      <c r="E26" s="103">
        <f>'2'!K26</f>
        <v>0</v>
      </c>
      <c r="F26" s="103">
        <f>'3'!K26</f>
        <v>0</v>
      </c>
      <c r="G26" s="103">
        <f>'4'!K26</f>
        <v>0</v>
      </c>
      <c r="H26" s="103">
        <f>'5'!K26</f>
        <v>0</v>
      </c>
      <c r="I26" s="103">
        <f>'6'!K26</f>
        <v>0</v>
      </c>
      <c r="J26" s="110">
        <f>'7'!K26</f>
        <v>0</v>
      </c>
      <c r="K26" s="110">
        <f>'8'!K26</f>
        <v>0</v>
      </c>
      <c r="L26" s="110">
        <f>'9'!K26</f>
        <v>0</v>
      </c>
      <c r="M26" s="110">
        <f>'10'!K26</f>
        <v>0</v>
      </c>
      <c r="N26" s="110">
        <f>'11'!K26</f>
        <v>0</v>
      </c>
      <c r="O26" s="110">
        <f>'12'!K26</f>
        <v>0</v>
      </c>
      <c r="P26" s="110">
        <f>'13'!K26</f>
        <v>0</v>
      </c>
      <c r="Q26" s="110">
        <f>'14'!K26</f>
        <v>0</v>
      </c>
      <c r="R26" s="110">
        <f>'15'!K26</f>
        <v>0</v>
      </c>
      <c r="S26" s="110">
        <f>'14'!K26</f>
        <v>0</v>
      </c>
      <c r="T26" s="110">
        <f>'17'!K26</f>
        <v>0</v>
      </c>
      <c r="U26" s="110">
        <f>'18'!K26</f>
        <v>0</v>
      </c>
      <c r="V26" s="110">
        <f>'19'!K26</f>
        <v>0</v>
      </c>
      <c r="W26" s="110">
        <f>'20'!K26</f>
        <v>0</v>
      </c>
      <c r="X26" s="110">
        <f>'21'!K26</f>
        <v>0</v>
      </c>
      <c r="Y26" s="110">
        <f>'22'!K26</f>
        <v>0</v>
      </c>
      <c r="Z26" s="110">
        <f>'23'!K26</f>
        <v>0</v>
      </c>
      <c r="AA26" s="110">
        <f>'24'!K26</f>
        <v>0</v>
      </c>
      <c r="AB26" s="110">
        <f>'25'!K26</f>
        <v>0</v>
      </c>
      <c r="AC26" s="110">
        <f>'26'!K26</f>
        <v>0</v>
      </c>
      <c r="AD26" s="110">
        <f>'27'!K26</f>
        <v>0</v>
      </c>
      <c r="AE26" s="110">
        <f>'28'!K26</f>
        <v>0</v>
      </c>
      <c r="AF26" s="110">
        <f>'29'!K26</f>
        <v>0</v>
      </c>
      <c r="AG26" s="110">
        <f>'30'!K26</f>
        <v>0</v>
      </c>
      <c r="AH26" s="18"/>
      <c r="AI26" s="125">
        <f t="shared" si="0"/>
        <v>0</v>
      </c>
      <c r="AJ26" s="160">
        <f t="shared" si="1"/>
        <v>0</v>
      </c>
    </row>
    <row r="27" spans="1:36" x14ac:dyDescent="0.25">
      <c r="A27" s="127"/>
      <c r="B27" s="20" t="s">
        <v>21</v>
      </c>
      <c r="C27" s="17" t="s">
        <v>5</v>
      </c>
      <c r="D27" s="103">
        <f>'1'!K27</f>
        <v>36500</v>
      </c>
      <c r="E27" s="103">
        <f>'2'!K27</f>
        <v>36500</v>
      </c>
      <c r="F27" s="103">
        <f>'3'!K27</f>
        <v>36500</v>
      </c>
      <c r="G27" s="103">
        <f>'4'!K27</f>
        <v>36500</v>
      </c>
      <c r="H27" s="103">
        <f>'5'!K27</f>
        <v>37666.666666666664</v>
      </c>
      <c r="I27" s="103">
        <f>'6'!K27</f>
        <v>37666.666666666664</v>
      </c>
      <c r="J27" s="110">
        <f>'7'!K27</f>
        <v>37666.666666666664</v>
      </c>
      <c r="K27" s="110">
        <f>'8'!K27</f>
        <v>37666.666666666664</v>
      </c>
      <c r="L27" s="110">
        <f>'9'!K27</f>
        <v>37666.666666666664</v>
      </c>
      <c r="M27" s="110">
        <f>'10'!K27</f>
        <v>37666.666666666664</v>
      </c>
      <c r="N27" s="110">
        <f>'11'!K27</f>
        <v>37666.666666666664</v>
      </c>
      <c r="O27" s="110">
        <f>'12'!K27</f>
        <v>37666.666666666664</v>
      </c>
      <c r="P27" s="110">
        <f>'13'!K27</f>
        <v>37666.666666666664</v>
      </c>
      <c r="Q27" s="110">
        <f>'14'!K27</f>
        <v>37666.666666666664</v>
      </c>
      <c r="R27" s="110">
        <f>'15'!K27</f>
        <v>37666.666666666664</v>
      </c>
      <c r="S27" s="110">
        <f>'14'!K27</f>
        <v>37666.666666666664</v>
      </c>
      <c r="T27" s="110">
        <f>'17'!K27</f>
        <v>37666.666666666664</v>
      </c>
      <c r="U27" s="110">
        <f>'18'!K27</f>
        <v>37666.666666666664</v>
      </c>
      <c r="V27" s="110">
        <f>'19'!K27</f>
        <v>37666.666666666664</v>
      </c>
      <c r="W27" s="110">
        <f>'20'!K27</f>
        <v>35166.666666666664</v>
      </c>
      <c r="X27" s="110">
        <f>'21'!K27</f>
        <v>35166.666666666664</v>
      </c>
      <c r="Y27" s="110">
        <f>'22'!K27</f>
        <v>35166.666666666664</v>
      </c>
      <c r="Z27" s="110">
        <f>'23'!K27</f>
        <v>35166.666666666664</v>
      </c>
      <c r="AA27" s="110">
        <f>'24'!K27</f>
        <v>35166.666666666664</v>
      </c>
      <c r="AB27" s="110">
        <f>'25'!K27</f>
        <v>35166.666666666664</v>
      </c>
      <c r="AC27" s="110">
        <f>'26'!K27</f>
        <v>35166.666666666664</v>
      </c>
      <c r="AD27" s="110">
        <f>'27'!K27</f>
        <v>35166.666666666664</v>
      </c>
      <c r="AE27" s="110">
        <f>'28'!K27</f>
        <v>35166.666666666664</v>
      </c>
      <c r="AF27" s="110">
        <f>'29'!K27</f>
        <v>35166.666666666664</v>
      </c>
      <c r="AG27" s="110">
        <f>'30'!K27</f>
        <v>35166.666666666664</v>
      </c>
      <c r="AH27" s="18"/>
      <c r="AI27" s="46">
        <f t="shared" si="0"/>
        <v>-1333.3333333333358</v>
      </c>
      <c r="AJ27" s="160">
        <f t="shared" si="1"/>
        <v>36594.444444444431</v>
      </c>
    </row>
    <row r="28" spans="1:36" x14ac:dyDescent="0.25">
      <c r="A28" s="127"/>
      <c r="B28" s="20" t="s">
        <v>22</v>
      </c>
      <c r="C28" s="17" t="s">
        <v>5</v>
      </c>
      <c r="D28" s="103">
        <f>'1'!K28</f>
        <v>27142.857142857141</v>
      </c>
      <c r="E28" s="103">
        <f>'2'!K28</f>
        <v>27142.857142857141</v>
      </c>
      <c r="F28" s="103">
        <f>'3'!K28</f>
        <v>27142.857142857141</v>
      </c>
      <c r="G28" s="103">
        <f>'4'!K28</f>
        <v>27142.857142857141</v>
      </c>
      <c r="H28" s="103">
        <f>'5'!K28</f>
        <v>27142.857142857141</v>
      </c>
      <c r="I28" s="103">
        <f>'6'!K28</f>
        <v>27142.857142857141</v>
      </c>
      <c r="J28" s="110">
        <f>'7'!K28</f>
        <v>27142.857142857141</v>
      </c>
      <c r="K28" s="110">
        <f>'8'!K28</f>
        <v>27142.857142857141</v>
      </c>
      <c r="L28" s="110">
        <f>'9'!K28</f>
        <v>27142.857142857141</v>
      </c>
      <c r="M28" s="110">
        <f>'10'!K28</f>
        <v>27142.857142857141</v>
      </c>
      <c r="N28" s="110">
        <f>'11'!K28</f>
        <v>27000</v>
      </c>
      <c r="O28" s="110">
        <f>'12'!K28</f>
        <v>27000</v>
      </c>
      <c r="P28" s="110">
        <f>'13'!K28</f>
        <v>27000</v>
      </c>
      <c r="Q28" s="110">
        <f>'14'!K28</f>
        <v>27000</v>
      </c>
      <c r="R28" s="110">
        <f>'15'!K28</f>
        <v>27000</v>
      </c>
      <c r="S28" s="110">
        <f>'14'!K28</f>
        <v>27000</v>
      </c>
      <c r="T28" s="110">
        <f>'17'!K28</f>
        <v>27000</v>
      </c>
      <c r="U28" s="110">
        <f>'18'!K28</f>
        <v>27000</v>
      </c>
      <c r="V28" s="110">
        <f>'19'!K28</f>
        <v>27000</v>
      </c>
      <c r="W28" s="110">
        <f>'20'!K28</f>
        <v>27000</v>
      </c>
      <c r="X28" s="110">
        <f>'21'!K28</f>
        <v>27000</v>
      </c>
      <c r="Y28" s="110">
        <f>'22'!K28</f>
        <v>27000</v>
      </c>
      <c r="Z28" s="110">
        <f>'23'!K28</f>
        <v>27000</v>
      </c>
      <c r="AA28" s="110">
        <f>'24'!K28</f>
        <v>27000</v>
      </c>
      <c r="AB28" s="110">
        <f>'25'!K28</f>
        <v>27000</v>
      </c>
      <c r="AC28" s="110">
        <f>'26'!K28</f>
        <v>27000</v>
      </c>
      <c r="AD28" s="110">
        <f>'27'!K28</f>
        <v>27000</v>
      </c>
      <c r="AE28" s="110">
        <f>'28'!K28</f>
        <v>27000</v>
      </c>
      <c r="AF28" s="110">
        <f>'29'!K28</f>
        <v>27000</v>
      </c>
      <c r="AG28" s="110">
        <f>'30'!K28</f>
        <v>27000</v>
      </c>
      <c r="AH28" s="18"/>
      <c r="AI28" s="46">
        <f t="shared" si="0"/>
        <v>-142.8571428571413</v>
      </c>
      <c r="AJ28" s="160">
        <f t="shared" si="1"/>
        <v>27047.619047619046</v>
      </c>
    </row>
    <row r="29" spans="1:36" x14ac:dyDescent="0.25">
      <c r="A29" s="127"/>
      <c r="B29" s="20" t="s">
        <v>23</v>
      </c>
      <c r="C29" s="17" t="s">
        <v>5</v>
      </c>
      <c r="D29" s="103">
        <f>'1'!K29</f>
        <v>63285.714285714283</v>
      </c>
      <c r="E29" s="103">
        <f>'2'!K29</f>
        <v>63285.714285714283</v>
      </c>
      <c r="F29" s="103">
        <f>'3'!K29</f>
        <v>64714.285714285717</v>
      </c>
      <c r="G29" s="103">
        <f>'4'!K29</f>
        <v>63285.714285714283</v>
      </c>
      <c r="H29" s="103">
        <f>'5'!K29</f>
        <v>65285.714285714283</v>
      </c>
      <c r="I29" s="103">
        <f>'6'!K29</f>
        <v>65285.714285714283</v>
      </c>
      <c r="J29" s="110">
        <f>'7'!K29</f>
        <v>65285.714285714283</v>
      </c>
      <c r="K29" s="110">
        <f>'8'!K29</f>
        <v>66000</v>
      </c>
      <c r="L29" s="110">
        <f>'9'!K29</f>
        <v>66000</v>
      </c>
      <c r="M29" s="110">
        <f>'10'!K29</f>
        <v>66714.28571428571</v>
      </c>
      <c r="N29" s="110">
        <f>'11'!K29</f>
        <v>66000</v>
      </c>
      <c r="O29" s="110">
        <f>'12'!K29</f>
        <v>66000</v>
      </c>
      <c r="P29" s="110">
        <f>'13'!K29</f>
        <v>66000</v>
      </c>
      <c r="Q29" s="110">
        <f>'14'!K29</f>
        <v>66000</v>
      </c>
      <c r="R29" s="110">
        <f>'15'!K29</f>
        <v>65285.714285714283</v>
      </c>
      <c r="S29" s="110">
        <f>'14'!K29</f>
        <v>66000</v>
      </c>
      <c r="T29" s="110">
        <f>'17'!K29</f>
        <v>66714.28571428571</v>
      </c>
      <c r="U29" s="110">
        <f>'18'!K29</f>
        <v>65285.714285714283</v>
      </c>
      <c r="V29" s="110">
        <f>'19'!K29</f>
        <v>65285.714285714283</v>
      </c>
      <c r="W29" s="110">
        <f>'20'!K29</f>
        <v>63285.714285714283</v>
      </c>
      <c r="X29" s="110">
        <f>'21'!K29</f>
        <v>63285.714285714283</v>
      </c>
      <c r="Y29" s="110">
        <f>'22'!K29</f>
        <v>64000</v>
      </c>
      <c r="Z29" s="110">
        <f>'23'!K29</f>
        <v>63285.714285714283</v>
      </c>
      <c r="AA29" s="110">
        <f>'24'!K29</f>
        <v>63285.714285714283</v>
      </c>
      <c r="AB29" s="110">
        <f>'25'!K29</f>
        <v>64000</v>
      </c>
      <c r="AC29" s="110">
        <f>'26'!K29</f>
        <v>63285.714285714283</v>
      </c>
      <c r="AD29" s="110">
        <f>'27'!K29</f>
        <v>64000</v>
      </c>
      <c r="AE29" s="110">
        <f>'28'!K29</f>
        <v>64000</v>
      </c>
      <c r="AF29" s="110">
        <f>'29'!K29</f>
        <v>64000</v>
      </c>
      <c r="AG29" s="110">
        <f>'30'!K29</f>
        <v>64000</v>
      </c>
      <c r="AH29" s="18"/>
      <c r="AI29" s="45">
        <f t="shared" si="0"/>
        <v>714.2857142857174</v>
      </c>
      <c r="AJ29" s="160">
        <f t="shared" si="1"/>
        <v>64738.095238095244</v>
      </c>
    </row>
    <row r="30" spans="1:36" x14ac:dyDescent="0.25">
      <c r="A30" s="127"/>
      <c r="B30" s="20" t="s">
        <v>24</v>
      </c>
      <c r="C30" s="17" t="s">
        <v>5</v>
      </c>
      <c r="D30" s="103">
        <f>'1'!K30</f>
        <v>24000</v>
      </c>
      <c r="E30" s="103">
        <f>'2'!K30</f>
        <v>24000</v>
      </c>
      <c r="F30" s="103">
        <f>'3'!K30</f>
        <v>24000</v>
      </c>
      <c r="G30" s="103">
        <f>'4'!K30</f>
        <v>24000</v>
      </c>
      <c r="H30" s="103">
        <f>'5'!K30</f>
        <v>24000</v>
      </c>
      <c r="I30" s="103">
        <f>'6'!K30</f>
        <v>24000</v>
      </c>
      <c r="J30" s="110">
        <f>'7'!K30</f>
        <v>24000</v>
      </c>
      <c r="K30" s="110">
        <f>'8'!K30</f>
        <v>24000</v>
      </c>
      <c r="L30" s="110">
        <f>'9'!K30</f>
        <v>24000</v>
      </c>
      <c r="M30" s="110">
        <f>'10'!K30</f>
        <v>24000</v>
      </c>
      <c r="N30" s="110">
        <f>'11'!K30</f>
        <v>24000</v>
      </c>
      <c r="O30" s="110">
        <f>'12'!K30</f>
        <v>24000</v>
      </c>
      <c r="P30" s="110">
        <f>'13'!K30</f>
        <v>24000</v>
      </c>
      <c r="Q30" s="110">
        <f>'14'!K30</f>
        <v>24000</v>
      </c>
      <c r="R30" s="110">
        <f>'15'!K30</f>
        <v>24000</v>
      </c>
      <c r="S30" s="110">
        <f>'14'!K30</f>
        <v>24000</v>
      </c>
      <c r="T30" s="110">
        <f>'17'!K30</f>
        <v>24000</v>
      </c>
      <c r="U30" s="110">
        <f>'18'!K30</f>
        <v>24000</v>
      </c>
      <c r="V30" s="110">
        <f>'19'!K30</f>
        <v>24000</v>
      </c>
      <c r="W30" s="110">
        <f>'20'!K30</f>
        <v>24600</v>
      </c>
      <c r="X30" s="110">
        <f>'21'!K30</f>
        <v>24600</v>
      </c>
      <c r="Y30" s="110">
        <f>'22'!K30</f>
        <v>24600</v>
      </c>
      <c r="Z30" s="110">
        <f>'23'!K30</f>
        <v>24600</v>
      </c>
      <c r="AA30" s="110">
        <f>'24'!K30</f>
        <v>24600</v>
      </c>
      <c r="AB30" s="110">
        <f>'25'!K30</f>
        <v>24600</v>
      </c>
      <c r="AC30" s="110">
        <f>'26'!K30</f>
        <v>24600</v>
      </c>
      <c r="AD30" s="110">
        <f>'27'!K30</f>
        <v>24600</v>
      </c>
      <c r="AE30" s="110">
        <f>'28'!K30</f>
        <v>24600</v>
      </c>
      <c r="AF30" s="110">
        <f>'29'!K30</f>
        <v>24600</v>
      </c>
      <c r="AG30" s="110">
        <f>'30'!K30</f>
        <v>24600</v>
      </c>
      <c r="AH30" s="18"/>
      <c r="AI30" s="45">
        <f t="shared" si="0"/>
        <v>600</v>
      </c>
      <c r="AJ30" s="160">
        <f t="shared" si="1"/>
        <v>24220</v>
      </c>
    </row>
    <row r="31" spans="1:36" x14ac:dyDescent="0.25">
      <c r="A31" s="127"/>
      <c r="B31" s="20" t="s">
        <v>25</v>
      </c>
      <c r="C31" s="17" t="s">
        <v>5</v>
      </c>
      <c r="D31" s="103">
        <f>'1'!K31</f>
        <v>34571.428571428572</v>
      </c>
      <c r="E31" s="103">
        <f>'2'!K31</f>
        <v>34571.428571428572</v>
      </c>
      <c r="F31" s="103">
        <f>'3'!K31</f>
        <v>35000</v>
      </c>
      <c r="G31" s="103">
        <f>'4'!K31</f>
        <v>34571.428571428572</v>
      </c>
      <c r="H31" s="103">
        <f>'5'!K31</f>
        <v>35428.571428571428</v>
      </c>
      <c r="I31" s="103">
        <f>'6'!K31</f>
        <v>35428.571428571428</v>
      </c>
      <c r="J31" s="110">
        <f>'7'!K31</f>
        <v>35428.571428571428</v>
      </c>
      <c r="K31" s="110">
        <f>'8'!K31</f>
        <v>35857.142857142855</v>
      </c>
      <c r="L31" s="110">
        <f>'9'!K31</f>
        <v>35857.142857142855</v>
      </c>
      <c r="M31" s="110">
        <f>'10'!K31</f>
        <v>36142.857142857145</v>
      </c>
      <c r="N31" s="110">
        <f>'11'!K31</f>
        <v>35571.428571428572</v>
      </c>
      <c r="O31" s="110">
        <f>'12'!K31</f>
        <v>35571.428571428572</v>
      </c>
      <c r="P31" s="110">
        <f>'13'!K31</f>
        <v>35571.428571428572</v>
      </c>
      <c r="Q31" s="110">
        <f>'14'!K31</f>
        <v>35571.428571428572</v>
      </c>
      <c r="R31" s="110">
        <f>'15'!K31</f>
        <v>35857.142857142855</v>
      </c>
      <c r="S31" s="110">
        <f>'14'!K31</f>
        <v>35571.428571428572</v>
      </c>
      <c r="T31" s="110">
        <f>'17'!K31</f>
        <v>35857.142857142855</v>
      </c>
      <c r="U31" s="110">
        <f>'18'!K31</f>
        <v>35857.142857142855</v>
      </c>
      <c r="V31" s="110">
        <f>'19'!K31</f>
        <v>35857.142857142855</v>
      </c>
      <c r="W31" s="110">
        <f>'20'!K31</f>
        <v>34857.142857142855</v>
      </c>
      <c r="X31" s="110">
        <f>'21'!K31</f>
        <v>34857.142857142855</v>
      </c>
      <c r="Y31" s="110">
        <f>'22'!K31</f>
        <v>34571.428571428572</v>
      </c>
      <c r="Z31" s="110">
        <f>'23'!K31</f>
        <v>34857.142857142855</v>
      </c>
      <c r="AA31" s="110">
        <f>'24'!K31</f>
        <v>34857.142857142855</v>
      </c>
      <c r="AB31" s="110">
        <f>'25'!K31</f>
        <v>35285.714285714283</v>
      </c>
      <c r="AC31" s="110">
        <f>'26'!K31</f>
        <v>35571.428571428572</v>
      </c>
      <c r="AD31" s="110">
        <f>'27'!K31</f>
        <v>35285.714285714283</v>
      </c>
      <c r="AE31" s="110">
        <f>'28'!K31</f>
        <v>35285.714285714283</v>
      </c>
      <c r="AF31" s="110">
        <f>'29'!K31</f>
        <v>35285.714285714283</v>
      </c>
      <c r="AG31" s="110">
        <f>'30'!K31</f>
        <v>35285.714285714283</v>
      </c>
      <c r="AH31" s="18"/>
      <c r="AI31" s="45">
        <f t="shared" si="0"/>
        <v>714.28571428571013</v>
      </c>
      <c r="AJ31" s="160">
        <f t="shared" si="1"/>
        <v>35338.095238095237</v>
      </c>
    </row>
    <row r="32" spans="1:36" x14ac:dyDescent="0.25">
      <c r="A32" s="128"/>
      <c r="B32" s="20" t="s">
        <v>26</v>
      </c>
      <c r="C32" s="17" t="s">
        <v>5</v>
      </c>
      <c r="D32" s="103">
        <f>'1'!K32</f>
        <v>87500</v>
      </c>
      <c r="E32" s="103">
        <f>'2'!K32</f>
        <v>87500</v>
      </c>
      <c r="F32" s="103">
        <f>'3'!K32</f>
        <v>86250</v>
      </c>
      <c r="G32" s="103">
        <f>'4'!K32</f>
        <v>87500</v>
      </c>
      <c r="H32" s="103">
        <f>'5'!K32</f>
        <v>87500</v>
      </c>
      <c r="I32" s="103">
        <f>'6'!K32</f>
        <v>87500</v>
      </c>
      <c r="J32" s="110">
        <f>'7'!K32</f>
        <v>87500</v>
      </c>
      <c r="K32" s="110">
        <f>'8'!K32</f>
        <v>87500</v>
      </c>
      <c r="L32" s="110">
        <f>'9'!K32</f>
        <v>87500</v>
      </c>
      <c r="M32" s="110">
        <f>'10'!K32</f>
        <v>86250</v>
      </c>
      <c r="N32" s="110">
        <f>'11'!K32</f>
        <v>87500</v>
      </c>
      <c r="O32" s="110">
        <f>'12'!K32</f>
        <v>87500</v>
      </c>
      <c r="P32" s="110">
        <f>'13'!K32</f>
        <v>87500</v>
      </c>
      <c r="Q32" s="110">
        <f>'14'!K32</f>
        <v>87500</v>
      </c>
      <c r="R32" s="110">
        <f>'15'!K32</f>
        <v>87500</v>
      </c>
      <c r="S32" s="110">
        <f>'14'!K32</f>
        <v>87500</v>
      </c>
      <c r="T32" s="110">
        <f>'17'!K32</f>
        <v>92500</v>
      </c>
      <c r="U32" s="110">
        <f>'18'!K32</f>
        <v>87500</v>
      </c>
      <c r="V32" s="110">
        <f>'19'!K32</f>
        <v>87500</v>
      </c>
      <c r="W32" s="110">
        <f>'20'!K32</f>
        <v>87500</v>
      </c>
      <c r="X32" s="110">
        <f>'21'!K32</f>
        <v>87500</v>
      </c>
      <c r="Y32" s="110">
        <f>'22'!K32</f>
        <v>87500</v>
      </c>
      <c r="Z32" s="110">
        <f>'23'!K32</f>
        <v>87500</v>
      </c>
      <c r="AA32" s="110">
        <f>'24'!K32</f>
        <v>87500</v>
      </c>
      <c r="AB32" s="110">
        <f>'25'!K32</f>
        <v>87500</v>
      </c>
      <c r="AC32" s="110">
        <f>'26'!K32</f>
        <v>87500</v>
      </c>
      <c r="AD32" s="110">
        <f>'27'!K32</f>
        <v>87500</v>
      </c>
      <c r="AE32" s="110">
        <f>'28'!K32</f>
        <v>87500</v>
      </c>
      <c r="AF32" s="110">
        <f>'29'!K32</f>
        <v>87500</v>
      </c>
      <c r="AG32" s="110">
        <f>'30'!K32</f>
        <v>87500</v>
      </c>
      <c r="AH32" s="18"/>
      <c r="AI32" s="125">
        <f t="shared" si="0"/>
        <v>0</v>
      </c>
      <c r="AJ32" s="160">
        <f t="shared" si="1"/>
        <v>87583.333333333328</v>
      </c>
    </row>
    <row r="33" spans="1:36" x14ac:dyDescent="0.25">
      <c r="A33" s="126">
        <v>7</v>
      </c>
      <c r="B33" s="21" t="s">
        <v>27</v>
      </c>
      <c r="C33" s="21"/>
      <c r="D33" s="103">
        <f>'1'!K33</f>
        <v>0</v>
      </c>
      <c r="E33" s="103">
        <f>'2'!K33</f>
        <v>0</v>
      </c>
      <c r="F33" s="103">
        <f>'3'!K33</f>
        <v>0</v>
      </c>
      <c r="G33" s="103">
        <f>'4'!K33</f>
        <v>0</v>
      </c>
      <c r="H33" s="103">
        <f>'5'!K33</f>
        <v>0</v>
      </c>
      <c r="I33" s="103">
        <f>'6'!K33</f>
        <v>0</v>
      </c>
      <c r="J33" s="110">
        <f>'7'!K33</f>
        <v>0</v>
      </c>
      <c r="K33" s="110">
        <f>'8'!K33</f>
        <v>0</v>
      </c>
      <c r="L33" s="110">
        <f>'9'!K33</f>
        <v>0</v>
      </c>
      <c r="M33" s="110">
        <f>'10'!K33</f>
        <v>0</v>
      </c>
      <c r="N33" s="110">
        <f>'11'!K33</f>
        <v>0</v>
      </c>
      <c r="O33" s="110">
        <f>'12'!K33</f>
        <v>0</v>
      </c>
      <c r="P33" s="110">
        <f>'13'!K33</f>
        <v>0</v>
      </c>
      <c r="Q33" s="110">
        <f>'14'!K33</f>
        <v>0</v>
      </c>
      <c r="R33" s="110">
        <f>'15'!K33</f>
        <v>0</v>
      </c>
      <c r="S33" s="110">
        <f>'14'!K33</f>
        <v>0</v>
      </c>
      <c r="T33" s="110">
        <f>'17'!K33</f>
        <v>0</v>
      </c>
      <c r="U33" s="110">
        <f>'18'!K33</f>
        <v>0</v>
      </c>
      <c r="V33" s="110">
        <f>'19'!K33</f>
        <v>0</v>
      </c>
      <c r="W33" s="110">
        <f>'20'!K33</f>
        <v>0</v>
      </c>
      <c r="X33" s="110">
        <f>'21'!K33</f>
        <v>0</v>
      </c>
      <c r="Y33" s="110">
        <f>'22'!K33</f>
        <v>0</v>
      </c>
      <c r="Z33" s="110">
        <f>'23'!K33</f>
        <v>0</v>
      </c>
      <c r="AA33" s="110">
        <f>'24'!K33</f>
        <v>0</v>
      </c>
      <c r="AB33" s="110">
        <f>'25'!K33</f>
        <v>0</v>
      </c>
      <c r="AC33" s="110">
        <f>'26'!K33</f>
        <v>0</v>
      </c>
      <c r="AD33" s="110">
        <f>'27'!K33</f>
        <v>0</v>
      </c>
      <c r="AE33" s="110">
        <f>'28'!K33</f>
        <v>0</v>
      </c>
      <c r="AF33" s="110">
        <f>'29'!K33</f>
        <v>0</v>
      </c>
      <c r="AG33" s="110">
        <f>'30'!K33</f>
        <v>0</v>
      </c>
      <c r="AH33" s="18"/>
      <c r="AI33" s="125">
        <f t="shared" si="0"/>
        <v>0</v>
      </c>
      <c r="AJ33" s="160">
        <f t="shared" si="1"/>
        <v>0</v>
      </c>
    </row>
    <row r="34" spans="1:36" x14ac:dyDescent="0.25">
      <c r="A34" s="127"/>
      <c r="B34" s="20" t="s">
        <v>101</v>
      </c>
      <c r="C34" s="17" t="s">
        <v>5</v>
      </c>
      <c r="D34" s="103">
        <f>'1'!K34</f>
        <v>25142.857142857141</v>
      </c>
      <c r="E34" s="103">
        <f>'2'!K34</f>
        <v>25142.857142857141</v>
      </c>
      <c r="F34" s="103">
        <f>'3'!K34</f>
        <v>25285.714285714286</v>
      </c>
      <c r="G34" s="103">
        <f>'4'!K34</f>
        <v>25285.714285714286</v>
      </c>
      <c r="H34" s="103">
        <f>'5'!K34</f>
        <v>25714.285714285714</v>
      </c>
      <c r="I34" s="103">
        <f>'6'!K34</f>
        <v>26142.857142857141</v>
      </c>
      <c r="J34" s="110">
        <f>'7'!K34</f>
        <v>26214.285714285714</v>
      </c>
      <c r="K34" s="110">
        <f>'8'!K34</f>
        <v>26357.142857142859</v>
      </c>
      <c r="L34" s="110">
        <f>'9'!K34</f>
        <v>26357.142857142859</v>
      </c>
      <c r="M34" s="110">
        <f>'10'!K34</f>
        <v>26500</v>
      </c>
      <c r="N34" s="110">
        <f>'11'!K34</f>
        <v>26071.428571428572</v>
      </c>
      <c r="O34" s="110">
        <f>'12'!K34</f>
        <v>25642.857142857141</v>
      </c>
      <c r="P34" s="110">
        <f>'13'!K34</f>
        <v>25714.285714285714</v>
      </c>
      <c r="Q34" s="110">
        <f>'14'!K34</f>
        <v>25714.285714285714</v>
      </c>
      <c r="R34" s="110">
        <f>'15'!K34</f>
        <v>25714.285714285714</v>
      </c>
      <c r="S34" s="110">
        <f>'14'!K34</f>
        <v>25714.285714285714</v>
      </c>
      <c r="T34" s="110">
        <f>'17'!K34</f>
        <v>25714.285714285714</v>
      </c>
      <c r="U34" s="110">
        <f>'18'!K34</f>
        <v>25428.571428571428</v>
      </c>
      <c r="V34" s="110">
        <f>'19'!K34</f>
        <v>25142.857142857141</v>
      </c>
      <c r="W34" s="110">
        <f>'20'!K34</f>
        <v>25142.857142857141</v>
      </c>
      <c r="X34" s="110">
        <f>'21'!K34</f>
        <v>25142.857142857141</v>
      </c>
      <c r="Y34" s="110">
        <f>'22'!K34</f>
        <v>25142.857142857141</v>
      </c>
      <c r="Z34" s="110">
        <f>'23'!K34</f>
        <v>25285.714285714286</v>
      </c>
      <c r="AA34" s="110">
        <f>'24'!K34</f>
        <v>25285.714285714286</v>
      </c>
      <c r="AB34" s="110">
        <f>'25'!K34</f>
        <v>25142.857142857141</v>
      </c>
      <c r="AC34" s="110">
        <f>'26'!K34</f>
        <v>25142.857142857141</v>
      </c>
      <c r="AD34" s="110">
        <f>'27'!K34</f>
        <v>24857.142857142859</v>
      </c>
      <c r="AE34" s="110">
        <f>'28'!K34</f>
        <v>24714.285714285714</v>
      </c>
      <c r="AF34" s="110">
        <f>'29'!K34</f>
        <v>24571.428571428572</v>
      </c>
      <c r="AG34" s="110">
        <f>'30'!K34</f>
        <v>24571.428571428572</v>
      </c>
      <c r="AH34" s="18">
        <v>27000</v>
      </c>
      <c r="AI34" s="46">
        <f t="shared" si="0"/>
        <v>-571.42857142856883</v>
      </c>
      <c r="AJ34" s="160">
        <f t="shared" si="1"/>
        <v>25466.666666666672</v>
      </c>
    </row>
    <row r="35" spans="1:36" x14ac:dyDescent="0.25">
      <c r="A35" s="128"/>
      <c r="B35" s="20" t="s">
        <v>29</v>
      </c>
      <c r="C35" s="17" t="s">
        <v>30</v>
      </c>
      <c r="D35" s="103">
        <f>'1'!K35</f>
        <v>2714.2857142857142</v>
      </c>
      <c r="E35" s="103">
        <f>'2'!K35</f>
        <v>2742.8571428571427</v>
      </c>
      <c r="F35" s="103">
        <f>'3'!K35</f>
        <v>2742.8571428571427</v>
      </c>
      <c r="G35" s="103">
        <f>'4'!K35</f>
        <v>2714.2857142857142</v>
      </c>
      <c r="H35" s="103">
        <f>'5'!K35</f>
        <v>2714.2857142857142</v>
      </c>
      <c r="I35" s="103">
        <f>'6'!K35</f>
        <v>2714.2857142857142</v>
      </c>
      <c r="J35" s="110">
        <f>'7'!K35</f>
        <v>2714.2857142857142</v>
      </c>
      <c r="K35" s="110">
        <f>'8'!K35</f>
        <v>2714.2857142857142</v>
      </c>
      <c r="L35" s="110">
        <f>'9'!K35</f>
        <v>2714.2857142857142</v>
      </c>
      <c r="M35" s="110">
        <f>'10'!K35</f>
        <v>2742.8571428571427</v>
      </c>
      <c r="N35" s="110">
        <f>'11'!K35</f>
        <v>2714.2857142857142</v>
      </c>
      <c r="O35" s="110">
        <f>'12'!K35</f>
        <v>2714.2857142857142</v>
      </c>
      <c r="P35" s="110">
        <f>'13'!K35</f>
        <v>2714.2857142857142</v>
      </c>
      <c r="Q35" s="110">
        <f>'14'!K35</f>
        <v>2714.2857142857142</v>
      </c>
      <c r="R35" s="110">
        <f>'15'!K35</f>
        <v>2714.2857142857142</v>
      </c>
      <c r="S35" s="110">
        <f>'14'!K35</f>
        <v>2714.2857142857142</v>
      </c>
      <c r="T35" s="110">
        <f>'17'!K35</f>
        <v>2714.2857142857142</v>
      </c>
      <c r="U35" s="110">
        <f>'18'!K35</f>
        <v>2714.2857142857142</v>
      </c>
      <c r="V35" s="110">
        <f>'19'!K35</f>
        <v>2714.2857142857142</v>
      </c>
      <c r="W35" s="110">
        <f>'20'!K35</f>
        <v>2714.2857142857142</v>
      </c>
      <c r="X35" s="110">
        <f>'21'!K35</f>
        <v>2714.2857142857142</v>
      </c>
      <c r="Y35" s="110">
        <f>'22'!K35</f>
        <v>2714.2857142857142</v>
      </c>
      <c r="Z35" s="110">
        <f>'23'!K35</f>
        <v>2714.2857142857142</v>
      </c>
      <c r="AA35" s="110">
        <f>'24'!K35</f>
        <v>2714.2857142857142</v>
      </c>
      <c r="AB35" s="110">
        <f>'25'!K35</f>
        <v>2714.2857142857142</v>
      </c>
      <c r="AC35" s="110">
        <f>'26'!K35</f>
        <v>2714.2857142857142</v>
      </c>
      <c r="AD35" s="110">
        <f>'27'!K35</f>
        <v>2714.2857142857142</v>
      </c>
      <c r="AE35" s="110">
        <f>'28'!K35</f>
        <v>2757.1428571428573</v>
      </c>
      <c r="AF35" s="110">
        <f>'29'!K35</f>
        <v>2757.1428571428573</v>
      </c>
      <c r="AG35" s="110">
        <f>'30'!K35</f>
        <v>2757.1428571428573</v>
      </c>
      <c r="AH35" s="18"/>
      <c r="AI35" s="45">
        <f t="shared" si="0"/>
        <v>42.857142857143117</v>
      </c>
      <c r="AJ35" s="160">
        <f t="shared" si="1"/>
        <v>2721.428571428572</v>
      </c>
    </row>
    <row r="36" spans="1:36" x14ac:dyDescent="0.25">
      <c r="A36" s="31">
        <v>8</v>
      </c>
      <c r="B36" s="22" t="s">
        <v>115</v>
      </c>
      <c r="C36" s="23"/>
      <c r="D36" s="103">
        <f>'1'!K36</f>
        <v>0</v>
      </c>
      <c r="E36" s="103">
        <f>'2'!K36</f>
        <v>0</v>
      </c>
      <c r="F36" s="103">
        <f>'3'!K36</f>
        <v>0</v>
      </c>
      <c r="G36" s="103">
        <f>'4'!K36</f>
        <v>0</v>
      </c>
      <c r="H36" s="103">
        <f>'5'!K36</f>
        <v>0</v>
      </c>
      <c r="I36" s="103">
        <f>'6'!K36</f>
        <v>0</v>
      </c>
      <c r="J36" s="110">
        <f>'7'!K36</f>
        <v>0</v>
      </c>
      <c r="K36" s="110">
        <f>'8'!K36</f>
        <v>0</v>
      </c>
      <c r="L36" s="110">
        <f>'9'!K36</f>
        <v>0</v>
      </c>
      <c r="M36" s="110">
        <f>'10'!K36</f>
        <v>0</v>
      </c>
      <c r="N36" s="110">
        <f>'11'!K36</f>
        <v>0</v>
      </c>
      <c r="O36" s="110">
        <f>'12'!K36</f>
        <v>0</v>
      </c>
      <c r="P36" s="110">
        <f>'13'!K36</f>
        <v>0</v>
      </c>
      <c r="Q36" s="110">
        <f>'14'!K36</f>
        <v>0</v>
      </c>
      <c r="R36" s="110">
        <f>'15'!K36</f>
        <v>0</v>
      </c>
      <c r="S36" s="110">
        <f>'14'!K36</f>
        <v>0</v>
      </c>
      <c r="T36" s="110">
        <f>'17'!K36</f>
        <v>0</v>
      </c>
      <c r="U36" s="110">
        <f>'18'!K36</f>
        <v>0</v>
      </c>
      <c r="V36" s="110">
        <f>'19'!K36</f>
        <v>0</v>
      </c>
      <c r="W36" s="110">
        <f>'20'!K36</f>
        <v>0</v>
      </c>
      <c r="X36" s="110">
        <f>'21'!K36</f>
        <v>0</v>
      </c>
      <c r="Y36" s="110">
        <f>'22'!K36</f>
        <v>0</v>
      </c>
      <c r="Z36" s="110">
        <f>'23'!K36</f>
        <v>0</v>
      </c>
      <c r="AA36" s="110">
        <f>'24'!K36</f>
        <v>0</v>
      </c>
      <c r="AB36" s="110">
        <f>'25'!K36</f>
        <v>0</v>
      </c>
      <c r="AC36" s="110">
        <f>'26'!K36</f>
        <v>0</v>
      </c>
      <c r="AD36" s="110">
        <f>'27'!K36</f>
        <v>0</v>
      </c>
      <c r="AE36" s="110">
        <f>'28'!K36</f>
        <v>0</v>
      </c>
      <c r="AF36" s="110">
        <f>'29'!K36</f>
        <v>0</v>
      </c>
      <c r="AG36" s="110">
        <f>'30'!K36</f>
        <v>0</v>
      </c>
      <c r="AH36" s="18"/>
      <c r="AI36" s="125">
        <f t="shared" si="0"/>
        <v>0</v>
      </c>
      <c r="AJ36" s="160">
        <f t="shared" si="1"/>
        <v>0</v>
      </c>
    </row>
    <row r="37" spans="1:36" x14ac:dyDescent="0.25">
      <c r="A37" s="31"/>
      <c r="B37" s="24" t="s">
        <v>116</v>
      </c>
      <c r="C37" s="23" t="s">
        <v>5</v>
      </c>
      <c r="D37" s="103">
        <f>'1'!K37</f>
        <v>9857.1428571428569</v>
      </c>
      <c r="E37" s="103">
        <f>'2'!K37</f>
        <v>9857.1428571428569</v>
      </c>
      <c r="F37" s="103">
        <f>'3'!K37</f>
        <v>9857.1428571428569</v>
      </c>
      <c r="G37" s="103">
        <f>'4'!K37</f>
        <v>9857.1428571428569</v>
      </c>
      <c r="H37" s="103">
        <f>'5'!K37</f>
        <v>9857.1428571428569</v>
      </c>
      <c r="I37" s="103">
        <f>'6'!K37</f>
        <v>9857.1428571428569</v>
      </c>
      <c r="J37" s="110">
        <f>'7'!K37</f>
        <v>9857.1428571428569</v>
      </c>
      <c r="K37" s="110">
        <f>'8'!K37</f>
        <v>9857.1428571428569</v>
      </c>
      <c r="L37" s="110">
        <f>'9'!K37</f>
        <v>9857.1428571428569</v>
      </c>
      <c r="M37" s="110">
        <f>'10'!K37</f>
        <v>9857.1428571428569</v>
      </c>
      <c r="N37" s="110">
        <f>'11'!K37</f>
        <v>9857.1428571428569</v>
      </c>
      <c r="O37" s="110">
        <f>'12'!K37</f>
        <v>9857.1428571428569</v>
      </c>
      <c r="P37" s="110">
        <f>'13'!K37</f>
        <v>9857.1428571428569</v>
      </c>
      <c r="Q37" s="110">
        <f>'14'!K37</f>
        <v>9857.1428571428569</v>
      </c>
      <c r="R37" s="110">
        <f>'15'!K37</f>
        <v>9857.1428571428569</v>
      </c>
      <c r="S37" s="110">
        <f>'14'!K37</f>
        <v>9857.1428571428569</v>
      </c>
      <c r="T37" s="110">
        <f>'17'!K37</f>
        <v>9857.1428571428569</v>
      </c>
      <c r="U37" s="110">
        <f>'18'!K37</f>
        <v>9857.1428571428569</v>
      </c>
      <c r="V37" s="110">
        <f>'19'!K37</f>
        <v>9857.1428571428569</v>
      </c>
      <c r="W37" s="110">
        <f>'20'!K37</f>
        <v>9857.1428571428569</v>
      </c>
      <c r="X37" s="110">
        <f>'21'!K37</f>
        <v>9857.1428571428569</v>
      </c>
      <c r="Y37" s="110">
        <f>'22'!K37</f>
        <v>9857.1428571428569</v>
      </c>
      <c r="Z37" s="110">
        <f>'23'!K37</f>
        <v>9857.1428571428569</v>
      </c>
      <c r="AA37" s="110">
        <f>'24'!K37</f>
        <v>9857.1428571428569</v>
      </c>
      <c r="AB37" s="110">
        <f>'25'!K37</f>
        <v>9857.1428571428569</v>
      </c>
      <c r="AC37" s="110">
        <f>'26'!K37</f>
        <v>9857.1428571428569</v>
      </c>
      <c r="AD37" s="110">
        <f>'27'!K37</f>
        <v>9857.1428571428569</v>
      </c>
      <c r="AE37" s="110">
        <f>'28'!K37</f>
        <v>9857.1428571428569</v>
      </c>
      <c r="AF37" s="110">
        <f>'29'!K37</f>
        <v>9857.1428571428569</v>
      </c>
      <c r="AG37" s="110">
        <f>'30'!K37</f>
        <v>9857.1428571428569</v>
      </c>
      <c r="AH37" s="18"/>
      <c r="AI37" s="125">
        <f t="shared" si="0"/>
        <v>0</v>
      </c>
      <c r="AJ37" s="160">
        <f t="shared" si="1"/>
        <v>9857.1428571428605</v>
      </c>
    </row>
    <row r="38" spans="1:36" x14ac:dyDescent="0.25">
      <c r="A38" s="32"/>
      <c r="B38" s="24" t="s">
        <v>117</v>
      </c>
      <c r="C38" s="23" t="s">
        <v>5</v>
      </c>
      <c r="D38" s="103">
        <f>'1'!K38</f>
        <v>12600</v>
      </c>
      <c r="E38" s="103">
        <f>'2'!K38</f>
        <v>12600</v>
      </c>
      <c r="F38" s="103">
        <f>'3'!K38</f>
        <v>12600</v>
      </c>
      <c r="G38" s="103">
        <f>'4'!K38</f>
        <v>12600</v>
      </c>
      <c r="H38" s="103">
        <f>'5'!K38</f>
        <v>12600</v>
      </c>
      <c r="I38" s="103">
        <f>'6'!K38</f>
        <v>12600</v>
      </c>
      <c r="J38" s="110">
        <f>'7'!K38</f>
        <v>12600</v>
      </c>
      <c r="K38" s="110">
        <f>'8'!K38</f>
        <v>12600</v>
      </c>
      <c r="L38" s="110">
        <f>'9'!K38</f>
        <v>12600</v>
      </c>
      <c r="M38" s="110">
        <f>'10'!K38</f>
        <v>12600</v>
      </c>
      <c r="N38" s="110">
        <f>'11'!K38</f>
        <v>12600</v>
      </c>
      <c r="O38" s="110">
        <f>'12'!K38</f>
        <v>12600</v>
      </c>
      <c r="P38" s="110">
        <f>'13'!K38</f>
        <v>12600</v>
      </c>
      <c r="Q38" s="110">
        <f>'14'!K38</f>
        <v>12600</v>
      </c>
      <c r="R38" s="110">
        <f>'15'!K38</f>
        <v>12600</v>
      </c>
      <c r="S38" s="110">
        <f>'14'!K38</f>
        <v>12600</v>
      </c>
      <c r="T38" s="110">
        <f>'17'!K38</f>
        <v>12800</v>
      </c>
      <c r="U38" s="110">
        <f>'18'!K38</f>
        <v>12600</v>
      </c>
      <c r="V38" s="110">
        <f>'19'!K38</f>
        <v>12600</v>
      </c>
      <c r="W38" s="110">
        <f>'20'!K38</f>
        <v>12600</v>
      </c>
      <c r="X38" s="110">
        <f>'21'!K38</f>
        <v>12600</v>
      </c>
      <c r="Y38" s="110">
        <f>'22'!K38</f>
        <v>12600</v>
      </c>
      <c r="Z38" s="110">
        <f>'23'!K38</f>
        <v>12600</v>
      </c>
      <c r="AA38" s="110">
        <f>'24'!K38</f>
        <v>12600</v>
      </c>
      <c r="AB38" s="110">
        <f>'25'!K38</f>
        <v>12600</v>
      </c>
      <c r="AC38" s="110">
        <f>'26'!K38</f>
        <v>12600</v>
      </c>
      <c r="AD38" s="110">
        <f>'27'!K38</f>
        <v>12600</v>
      </c>
      <c r="AE38" s="110">
        <f>'28'!K38</f>
        <v>12600</v>
      </c>
      <c r="AF38" s="110">
        <f>'29'!K38</f>
        <v>12600</v>
      </c>
      <c r="AG38" s="110">
        <f>'30'!K38</f>
        <v>12600</v>
      </c>
      <c r="AH38" s="18"/>
      <c r="AI38" s="125">
        <f t="shared" si="0"/>
        <v>0</v>
      </c>
      <c r="AJ38" s="160">
        <f t="shared" si="1"/>
        <v>12606.666666666666</v>
      </c>
    </row>
    <row r="39" spans="1:36" x14ac:dyDescent="0.25">
      <c r="A39" s="31">
        <v>9</v>
      </c>
      <c r="B39" s="22" t="s">
        <v>118</v>
      </c>
      <c r="C39" s="23"/>
      <c r="D39" s="103">
        <f>'1'!K39</f>
        <v>0</v>
      </c>
      <c r="E39" s="103">
        <f>'2'!K39</f>
        <v>0</v>
      </c>
      <c r="F39" s="103">
        <f>'3'!K39</f>
        <v>0</v>
      </c>
      <c r="G39" s="103">
        <f>'4'!K39</f>
        <v>0</v>
      </c>
      <c r="H39" s="103">
        <f>'5'!K39</f>
        <v>0</v>
      </c>
      <c r="I39" s="103">
        <f>'6'!K39</f>
        <v>0</v>
      </c>
      <c r="J39" s="110">
        <f>'7'!K39</f>
        <v>0</v>
      </c>
      <c r="K39" s="110">
        <f>'8'!K39</f>
        <v>0</v>
      </c>
      <c r="L39" s="110">
        <f>'9'!K39</f>
        <v>0</v>
      </c>
      <c r="M39" s="110">
        <f>'10'!K39</f>
        <v>0</v>
      </c>
      <c r="N39" s="110">
        <f>'11'!K39</f>
        <v>0</v>
      </c>
      <c r="O39" s="110">
        <f>'12'!K39</f>
        <v>0</v>
      </c>
      <c r="P39" s="110">
        <f>'13'!K39</f>
        <v>0</v>
      </c>
      <c r="Q39" s="110">
        <f>'14'!K39</f>
        <v>0</v>
      </c>
      <c r="R39" s="110">
        <f>'15'!K39</f>
        <v>0</v>
      </c>
      <c r="S39" s="110">
        <f>'14'!K39</f>
        <v>0</v>
      </c>
      <c r="T39" s="110">
        <f>'17'!K39</f>
        <v>0</v>
      </c>
      <c r="U39" s="110">
        <f>'18'!K39</f>
        <v>0</v>
      </c>
      <c r="V39" s="110">
        <f>'19'!K39</f>
        <v>0</v>
      </c>
      <c r="W39" s="110">
        <f>'20'!K39</f>
        <v>0</v>
      </c>
      <c r="X39" s="110">
        <f>'21'!K39</f>
        <v>0</v>
      </c>
      <c r="Y39" s="110">
        <f>'22'!K39</f>
        <v>0</v>
      </c>
      <c r="Z39" s="110">
        <f>'23'!K39</f>
        <v>0</v>
      </c>
      <c r="AA39" s="110">
        <f>'24'!K39</f>
        <v>0</v>
      </c>
      <c r="AB39" s="110">
        <f>'25'!K39</f>
        <v>0</v>
      </c>
      <c r="AC39" s="110">
        <f>'26'!K39</f>
        <v>0</v>
      </c>
      <c r="AD39" s="110">
        <f>'27'!K39</f>
        <v>0</v>
      </c>
      <c r="AE39" s="110">
        <f>'28'!K39</f>
        <v>0</v>
      </c>
      <c r="AF39" s="110">
        <f>'29'!K39</f>
        <v>0</v>
      </c>
      <c r="AG39" s="110">
        <f>'30'!K39</f>
        <v>0</v>
      </c>
      <c r="AH39" s="18"/>
      <c r="AI39" s="125">
        <f t="shared" si="0"/>
        <v>0</v>
      </c>
      <c r="AJ39" s="160">
        <f t="shared" si="1"/>
        <v>0</v>
      </c>
    </row>
    <row r="40" spans="1:36" x14ac:dyDescent="0.25">
      <c r="A40" s="31"/>
      <c r="B40" s="24" t="s">
        <v>119</v>
      </c>
      <c r="C40" s="23" t="s">
        <v>5</v>
      </c>
      <c r="D40" s="103">
        <f>'1'!K40</f>
        <v>13000</v>
      </c>
      <c r="E40" s="103">
        <f>'2'!K40</f>
        <v>13000</v>
      </c>
      <c r="F40" s="103">
        <f>'3'!K40</f>
        <v>13000</v>
      </c>
      <c r="G40" s="103">
        <f>'4'!K40</f>
        <v>13000</v>
      </c>
      <c r="H40" s="103">
        <f>'5'!K40</f>
        <v>13000</v>
      </c>
      <c r="I40" s="103">
        <f>'6'!K40</f>
        <v>13000</v>
      </c>
      <c r="J40" s="110">
        <f>'7'!K40</f>
        <v>13000</v>
      </c>
      <c r="K40" s="110">
        <f>'8'!K40</f>
        <v>13000</v>
      </c>
      <c r="L40" s="110">
        <f>'9'!K40</f>
        <v>13000</v>
      </c>
      <c r="M40" s="110">
        <f>'10'!K40</f>
        <v>13000</v>
      </c>
      <c r="N40" s="110">
        <f>'11'!K40</f>
        <v>13000</v>
      </c>
      <c r="O40" s="110">
        <f>'12'!K40</f>
        <v>13000</v>
      </c>
      <c r="P40" s="110">
        <f>'13'!K40</f>
        <v>13000</v>
      </c>
      <c r="Q40" s="110">
        <f>'14'!K40</f>
        <v>13000</v>
      </c>
      <c r="R40" s="110">
        <f>'15'!K40</f>
        <v>13000</v>
      </c>
      <c r="S40" s="110">
        <f>'14'!K40</f>
        <v>13000</v>
      </c>
      <c r="T40" s="110">
        <f>'17'!K40</f>
        <v>13000</v>
      </c>
      <c r="U40" s="110">
        <f>'18'!K40</f>
        <v>13000</v>
      </c>
      <c r="V40" s="110">
        <f>'19'!K40</f>
        <v>13000</v>
      </c>
      <c r="W40" s="110">
        <f>'20'!K40</f>
        <v>13000</v>
      </c>
      <c r="X40" s="110">
        <f>'21'!K40</f>
        <v>13000</v>
      </c>
      <c r="Y40" s="110">
        <f>'22'!K40</f>
        <v>13000</v>
      </c>
      <c r="Z40" s="110">
        <f>'23'!K40</f>
        <v>13000</v>
      </c>
      <c r="AA40" s="110">
        <f>'24'!K40</f>
        <v>13000</v>
      </c>
      <c r="AB40" s="110">
        <f>'25'!K40</f>
        <v>13000</v>
      </c>
      <c r="AC40" s="110">
        <f>'26'!K40</f>
        <v>13000</v>
      </c>
      <c r="AD40" s="110">
        <f>'27'!K40</f>
        <v>13000</v>
      </c>
      <c r="AE40" s="110">
        <f>'28'!K40</f>
        <v>13000</v>
      </c>
      <c r="AF40" s="110">
        <f>'29'!K40</f>
        <v>13000</v>
      </c>
      <c r="AG40" s="110">
        <f>'30'!K40</f>
        <v>13000</v>
      </c>
      <c r="AH40" s="18"/>
      <c r="AI40" s="125">
        <f t="shared" si="0"/>
        <v>0</v>
      </c>
      <c r="AJ40" s="160">
        <f t="shared" si="1"/>
        <v>13000</v>
      </c>
    </row>
    <row r="41" spans="1:36" x14ac:dyDescent="0.25">
      <c r="A41" s="31"/>
      <c r="B41" s="24" t="s">
        <v>120</v>
      </c>
      <c r="C41" s="23" t="s">
        <v>5</v>
      </c>
      <c r="D41" s="103">
        <f>'1'!K41</f>
        <v>4250</v>
      </c>
      <c r="E41" s="103">
        <f>'2'!K41</f>
        <v>4250</v>
      </c>
      <c r="F41" s="103">
        <f>'3'!K41</f>
        <v>4250</v>
      </c>
      <c r="G41" s="103">
        <f>'4'!K41</f>
        <v>4250</v>
      </c>
      <c r="H41" s="103">
        <f>'5'!K41</f>
        <v>4250</v>
      </c>
      <c r="I41" s="103">
        <f>'6'!K41</f>
        <v>4250</v>
      </c>
      <c r="J41" s="110">
        <f>'7'!K41</f>
        <v>4250</v>
      </c>
      <c r="K41" s="110">
        <f>'8'!K41</f>
        <v>4250</v>
      </c>
      <c r="L41" s="110">
        <f>'9'!K41</f>
        <v>4250</v>
      </c>
      <c r="M41" s="110">
        <f>'10'!K41</f>
        <v>4250</v>
      </c>
      <c r="N41" s="110">
        <f>'11'!K41</f>
        <v>4250</v>
      </c>
      <c r="O41" s="110">
        <f>'12'!K41</f>
        <v>4250</v>
      </c>
      <c r="P41" s="110">
        <f>'13'!K41</f>
        <v>4250</v>
      </c>
      <c r="Q41" s="110">
        <f>'14'!K41</f>
        <v>4250</v>
      </c>
      <c r="R41" s="110">
        <f>'15'!K41</f>
        <v>4250</v>
      </c>
      <c r="S41" s="110">
        <f>'14'!K41</f>
        <v>4250</v>
      </c>
      <c r="T41" s="110">
        <f>'17'!K41</f>
        <v>4250</v>
      </c>
      <c r="U41" s="110">
        <f>'18'!K41</f>
        <v>4250</v>
      </c>
      <c r="V41" s="110">
        <f>'19'!K41</f>
        <v>4250</v>
      </c>
      <c r="W41" s="110">
        <f>'20'!K41</f>
        <v>4250</v>
      </c>
      <c r="X41" s="110">
        <f>'21'!K41</f>
        <v>4250</v>
      </c>
      <c r="Y41" s="110">
        <f>'22'!K41</f>
        <v>4250</v>
      </c>
      <c r="Z41" s="110">
        <f>'23'!K41</f>
        <v>4250</v>
      </c>
      <c r="AA41" s="110">
        <f>'24'!K41</f>
        <v>4250</v>
      </c>
      <c r="AB41" s="110">
        <f>'25'!K41</f>
        <v>4250</v>
      </c>
      <c r="AC41" s="110">
        <f>'26'!K41</f>
        <v>4250</v>
      </c>
      <c r="AD41" s="110">
        <f>'27'!K41</f>
        <v>4250</v>
      </c>
      <c r="AE41" s="110">
        <f>'28'!K41</f>
        <v>4250</v>
      </c>
      <c r="AF41" s="110">
        <f>'29'!K41</f>
        <v>4250</v>
      </c>
      <c r="AG41" s="110">
        <f>'30'!K41</f>
        <v>4250</v>
      </c>
      <c r="AH41" s="18"/>
      <c r="AI41" s="125">
        <f t="shared" si="0"/>
        <v>0</v>
      </c>
      <c r="AJ41" s="160">
        <f t="shared" si="1"/>
        <v>4250</v>
      </c>
    </row>
    <row r="42" spans="1:36" x14ac:dyDescent="0.25">
      <c r="A42" s="31"/>
      <c r="B42" s="24" t="s">
        <v>121</v>
      </c>
      <c r="C42" s="23" t="s">
        <v>5</v>
      </c>
      <c r="D42" s="103">
        <f>'1'!K42</f>
        <v>2500</v>
      </c>
      <c r="E42" s="103">
        <f>'2'!K42</f>
        <v>2500</v>
      </c>
      <c r="F42" s="103">
        <f>'3'!K42</f>
        <v>2500</v>
      </c>
      <c r="G42" s="103">
        <f>'4'!K42</f>
        <v>2500</v>
      </c>
      <c r="H42" s="103">
        <f>'5'!K42</f>
        <v>2500</v>
      </c>
      <c r="I42" s="103">
        <f>'6'!K42</f>
        <v>2500</v>
      </c>
      <c r="J42" s="110">
        <f>'7'!K42</f>
        <v>2500</v>
      </c>
      <c r="K42" s="110">
        <f>'8'!K42</f>
        <v>2500</v>
      </c>
      <c r="L42" s="110">
        <f>'9'!K42</f>
        <v>2500</v>
      </c>
      <c r="M42" s="110">
        <f>'10'!K42</f>
        <v>2500</v>
      </c>
      <c r="N42" s="110">
        <f>'11'!K42</f>
        <v>2500</v>
      </c>
      <c r="O42" s="110">
        <f>'12'!K42</f>
        <v>2500</v>
      </c>
      <c r="P42" s="110">
        <f>'13'!K42</f>
        <v>2500</v>
      </c>
      <c r="Q42" s="110">
        <f>'14'!K42</f>
        <v>2500</v>
      </c>
      <c r="R42" s="110">
        <f>'15'!K42</f>
        <v>2500</v>
      </c>
      <c r="S42" s="110">
        <f>'14'!K42</f>
        <v>2500</v>
      </c>
      <c r="T42" s="110">
        <f>'17'!K42</f>
        <v>2500</v>
      </c>
      <c r="U42" s="110">
        <f>'18'!K42</f>
        <v>2500</v>
      </c>
      <c r="V42" s="110">
        <f>'19'!K42</f>
        <v>2500</v>
      </c>
      <c r="W42" s="110">
        <f>'20'!K42</f>
        <v>2500</v>
      </c>
      <c r="X42" s="110">
        <f>'21'!K42</f>
        <v>2500</v>
      </c>
      <c r="Y42" s="110">
        <f>'22'!K42</f>
        <v>2500</v>
      </c>
      <c r="Z42" s="110">
        <f>'23'!K42</f>
        <v>2500</v>
      </c>
      <c r="AA42" s="110">
        <f>'24'!K42</f>
        <v>2500</v>
      </c>
      <c r="AB42" s="110">
        <f>'25'!K42</f>
        <v>2500</v>
      </c>
      <c r="AC42" s="110">
        <f>'26'!K42</f>
        <v>2500</v>
      </c>
      <c r="AD42" s="110">
        <f>'27'!K42</f>
        <v>2500</v>
      </c>
      <c r="AE42" s="110">
        <f>'28'!K42</f>
        <v>2500</v>
      </c>
      <c r="AF42" s="110">
        <f>'29'!K42</f>
        <v>2500</v>
      </c>
      <c r="AG42" s="110">
        <f>'30'!K42</f>
        <v>2500</v>
      </c>
      <c r="AH42" s="18"/>
      <c r="AI42" s="125">
        <f t="shared" si="0"/>
        <v>0</v>
      </c>
      <c r="AJ42" s="160">
        <f t="shared" si="1"/>
        <v>2500</v>
      </c>
    </row>
    <row r="43" spans="1:36" x14ac:dyDescent="0.25">
      <c r="A43" s="126">
        <v>10</v>
      </c>
      <c r="B43" s="21" t="s">
        <v>31</v>
      </c>
      <c r="C43" s="21"/>
      <c r="D43" s="103">
        <f>'1'!K43</f>
        <v>0</v>
      </c>
      <c r="E43" s="103">
        <f>'2'!K43</f>
        <v>0</v>
      </c>
      <c r="F43" s="103">
        <f>'3'!K43</f>
        <v>0</v>
      </c>
      <c r="G43" s="103">
        <f>'4'!K43</f>
        <v>0</v>
      </c>
      <c r="H43" s="103">
        <f>'5'!K43</f>
        <v>0</v>
      </c>
      <c r="I43" s="103">
        <f>'6'!K43</f>
        <v>0</v>
      </c>
      <c r="J43" s="110">
        <f>'7'!K43</f>
        <v>0</v>
      </c>
      <c r="K43" s="110">
        <f>'8'!K43</f>
        <v>0</v>
      </c>
      <c r="L43" s="110">
        <f>'9'!K43</f>
        <v>0</v>
      </c>
      <c r="M43" s="110">
        <f>'10'!K43</f>
        <v>0</v>
      </c>
      <c r="N43" s="110">
        <f>'11'!K43</f>
        <v>0</v>
      </c>
      <c r="O43" s="110">
        <f>'12'!K43</f>
        <v>0</v>
      </c>
      <c r="P43" s="110">
        <f>'13'!K43</f>
        <v>0</v>
      </c>
      <c r="Q43" s="110">
        <f>'14'!K43</f>
        <v>0</v>
      </c>
      <c r="R43" s="110">
        <f>'15'!K43</f>
        <v>0</v>
      </c>
      <c r="S43" s="110">
        <f>'14'!K43</f>
        <v>0</v>
      </c>
      <c r="T43" s="110">
        <f>'17'!K43</f>
        <v>0</v>
      </c>
      <c r="U43" s="110">
        <f>'18'!K43</f>
        <v>0</v>
      </c>
      <c r="V43" s="110">
        <f>'19'!K43</f>
        <v>0</v>
      </c>
      <c r="W43" s="110">
        <f>'20'!K43</f>
        <v>0</v>
      </c>
      <c r="X43" s="110">
        <f>'21'!K43</f>
        <v>0</v>
      </c>
      <c r="Y43" s="110">
        <f>'22'!K43</f>
        <v>0</v>
      </c>
      <c r="Z43" s="110">
        <f>'23'!K43</f>
        <v>0</v>
      </c>
      <c r="AA43" s="110">
        <f>'24'!K43</f>
        <v>0</v>
      </c>
      <c r="AB43" s="110">
        <f>'25'!K43</f>
        <v>0</v>
      </c>
      <c r="AC43" s="110">
        <f>'26'!K43</f>
        <v>0</v>
      </c>
      <c r="AD43" s="110">
        <f>'27'!K43</f>
        <v>0</v>
      </c>
      <c r="AE43" s="110">
        <f>'28'!K43</f>
        <v>0</v>
      </c>
      <c r="AF43" s="110">
        <f>'29'!K43</f>
        <v>0</v>
      </c>
      <c r="AG43" s="110">
        <f>'30'!K43</f>
        <v>0</v>
      </c>
      <c r="AH43" s="18"/>
      <c r="AI43" s="125">
        <f t="shared" si="0"/>
        <v>0</v>
      </c>
      <c r="AJ43" s="160">
        <f t="shared" si="1"/>
        <v>0</v>
      </c>
    </row>
    <row r="44" spans="1:36" x14ac:dyDescent="0.25">
      <c r="A44" s="127"/>
      <c r="B44" s="20" t="s">
        <v>32</v>
      </c>
      <c r="C44" s="17" t="s">
        <v>33</v>
      </c>
      <c r="D44" s="103">
        <f>'1'!K44</f>
        <v>12333.333333333334</v>
      </c>
      <c r="E44" s="103">
        <f>'2'!K44</f>
        <v>12416.666666666666</v>
      </c>
      <c r="F44" s="103">
        <f>'3'!K44</f>
        <v>12416.666666666666</v>
      </c>
      <c r="G44" s="103">
        <f>'4'!K44</f>
        <v>12333.333333333334</v>
      </c>
      <c r="H44" s="103">
        <f>'5'!K44</f>
        <v>12333.333333333334</v>
      </c>
      <c r="I44" s="103">
        <f>'6'!K44</f>
        <v>12333.333333333334</v>
      </c>
      <c r="J44" s="110">
        <f>'7'!K44</f>
        <v>12333.333333333334</v>
      </c>
      <c r="K44" s="110">
        <f>'8'!K44</f>
        <v>12333.333333333334</v>
      </c>
      <c r="L44" s="110">
        <f>'9'!K44</f>
        <v>12333.333333333334</v>
      </c>
      <c r="M44" s="110">
        <f>'10'!K44</f>
        <v>12416.666666666666</v>
      </c>
      <c r="N44" s="110">
        <f>'11'!K44</f>
        <v>12333.333333333334</v>
      </c>
      <c r="O44" s="110">
        <f>'12'!K44</f>
        <v>12333.333333333334</v>
      </c>
      <c r="P44" s="110">
        <f>'13'!K44</f>
        <v>12333.333333333334</v>
      </c>
      <c r="Q44" s="110">
        <f>'14'!K44</f>
        <v>12333.333333333334</v>
      </c>
      <c r="R44" s="110">
        <f>'15'!K44</f>
        <v>12333.333333333334</v>
      </c>
      <c r="S44" s="110">
        <f>'14'!K44</f>
        <v>12333.333333333334</v>
      </c>
      <c r="T44" s="110">
        <f>'17'!K44</f>
        <v>12333.333333333334</v>
      </c>
      <c r="U44" s="110">
        <f>'18'!K44</f>
        <v>12333.333333333334</v>
      </c>
      <c r="V44" s="110">
        <f>'19'!K44</f>
        <v>12333.333333333334</v>
      </c>
      <c r="W44" s="110">
        <f>'20'!K44</f>
        <v>12416.666666666666</v>
      </c>
      <c r="X44" s="110">
        <f>'21'!K44</f>
        <v>12416.666666666666</v>
      </c>
      <c r="Y44" s="110">
        <f>'22'!K44</f>
        <v>12416.666666666666</v>
      </c>
      <c r="Z44" s="110">
        <f>'23'!K44</f>
        <v>12416.666666666666</v>
      </c>
      <c r="AA44" s="110">
        <f>'24'!K44</f>
        <v>12416.666666666666</v>
      </c>
      <c r="AB44" s="110">
        <f>'25'!K44</f>
        <v>12416.666666666666</v>
      </c>
      <c r="AC44" s="110">
        <f>'26'!K44</f>
        <v>12416.666666666666</v>
      </c>
      <c r="AD44" s="110">
        <f>'27'!K44</f>
        <v>12416.666666666666</v>
      </c>
      <c r="AE44" s="110">
        <f>'28'!K44</f>
        <v>12416.666666666666</v>
      </c>
      <c r="AF44" s="110">
        <f>'29'!K44</f>
        <v>12416.666666666666</v>
      </c>
      <c r="AG44" s="110">
        <f>'30'!K44</f>
        <v>12416.666666666666</v>
      </c>
      <c r="AH44" s="18"/>
      <c r="AI44" s="45">
        <f t="shared" si="0"/>
        <v>83.333333333332121</v>
      </c>
      <c r="AJ44" s="160">
        <f t="shared" si="1"/>
        <v>12372.222222222228</v>
      </c>
    </row>
    <row r="45" spans="1:36" x14ac:dyDescent="0.25">
      <c r="A45" s="128"/>
      <c r="B45" s="20" t="s">
        <v>34</v>
      </c>
      <c r="C45" s="17" t="s">
        <v>35</v>
      </c>
      <c r="D45" s="103">
        <f>'1'!K45</f>
        <v>12500</v>
      </c>
      <c r="E45" s="103">
        <f>'2'!K45</f>
        <v>12583.333333333334</v>
      </c>
      <c r="F45" s="103">
        <f>'3'!K45</f>
        <v>12583.333333333334</v>
      </c>
      <c r="G45" s="103">
        <f>'4'!K45</f>
        <v>12500</v>
      </c>
      <c r="H45" s="103">
        <f>'5'!K45</f>
        <v>12500</v>
      </c>
      <c r="I45" s="103">
        <f>'6'!K45</f>
        <v>12500</v>
      </c>
      <c r="J45" s="110">
        <f>'7'!K45</f>
        <v>12500</v>
      </c>
      <c r="K45" s="110">
        <f>'8'!K45</f>
        <v>12500</v>
      </c>
      <c r="L45" s="110">
        <f>'9'!K45</f>
        <v>12500</v>
      </c>
      <c r="M45" s="110">
        <f>'10'!K45</f>
        <v>12583.333333333334</v>
      </c>
      <c r="N45" s="110">
        <f>'11'!K45</f>
        <v>12500</v>
      </c>
      <c r="O45" s="110">
        <f>'12'!K45</f>
        <v>12500</v>
      </c>
      <c r="P45" s="110">
        <f>'13'!K45</f>
        <v>12500</v>
      </c>
      <c r="Q45" s="110">
        <f>'14'!K45</f>
        <v>12500</v>
      </c>
      <c r="R45" s="110">
        <f>'15'!K45</f>
        <v>12500</v>
      </c>
      <c r="S45" s="110">
        <f>'14'!K45</f>
        <v>12500</v>
      </c>
      <c r="T45" s="110">
        <f>'17'!K45</f>
        <v>12500</v>
      </c>
      <c r="U45" s="110">
        <f>'18'!K45</f>
        <v>12500</v>
      </c>
      <c r="V45" s="110">
        <f>'19'!K45</f>
        <v>12500</v>
      </c>
      <c r="W45" s="110">
        <f>'20'!K45</f>
        <v>12583.333333333334</v>
      </c>
      <c r="X45" s="110">
        <f>'21'!K45</f>
        <v>12583.333333333334</v>
      </c>
      <c r="Y45" s="110">
        <f>'22'!K45</f>
        <v>12583.333333333334</v>
      </c>
      <c r="Z45" s="110">
        <f>'23'!K45</f>
        <v>12583.333333333334</v>
      </c>
      <c r="AA45" s="110">
        <f>'24'!K45</f>
        <v>12583.333333333334</v>
      </c>
      <c r="AB45" s="110">
        <f>'25'!K45</f>
        <v>12583.333333333334</v>
      </c>
      <c r="AC45" s="110">
        <f>'26'!K45</f>
        <v>12583.333333333334</v>
      </c>
      <c r="AD45" s="110">
        <f>'27'!K45</f>
        <v>12583.333333333334</v>
      </c>
      <c r="AE45" s="110">
        <f>'28'!K45</f>
        <v>12583.333333333334</v>
      </c>
      <c r="AF45" s="110">
        <f>'29'!K45</f>
        <v>12583.333333333334</v>
      </c>
      <c r="AG45" s="110">
        <f>'30'!K45</f>
        <v>12583.333333333334</v>
      </c>
      <c r="AH45" s="18"/>
      <c r="AI45" s="45">
        <f t="shared" si="0"/>
        <v>83.33333333333394</v>
      </c>
      <c r="AJ45" s="160">
        <f t="shared" si="1"/>
        <v>12538.888888888883</v>
      </c>
    </row>
    <row r="46" spans="1:36" x14ac:dyDescent="0.25">
      <c r="A46" s="126">
        <v>11</v>
      </c>
      <c r="B46" s="21" t="s">
        <v>36</v>
      </c>
      <c r="C46" s="21"/>
      <c r="D46" s="103">
        <f>'1'!K46</f>
        <v>0</v>
      </c>
      <c r="E46" s="103">
        <f>'2'!K46</f>
        <v>0</v>
      </c>
      <c r="F46" s="103">
        <f>'3'!K46</f>
        <v>0</v>
      </c>
      <c r="G46" s="103">
        <f>'4'!K46</f>
        <v>0</v>
      </c>
      <c r="H46" s="103">
        <f>'5'!K46</f>
        <v>0</v>
      </c>
      <c r="I46" s="103">
        <f>'6'!K46</f>
        <v>0</v>
      </c>
      <c r="J46" s="110">
        <f>'7'!K46</f>
        <v>0</v>
      </c>
      <c r="K46" s="110">
        <f>'8'!K46</f>
        <v>0</v>
      </c>
      <c r="L46" s="110">
        <f>'9'!K46</f>
        <v>0</v>
      </c>
      <c r="M46" s="110">
        <f>'10'!K46</f>
        <v>0</v>
      </c>
      <c r="N46" s="110">
        <f>'11'!K46</f>
        <v>0</v>
      </c>
      <c r="O46" s="110">
        <f>'12'!K46</f>
        <v>0</v>
      </c>
      <c r="P46" s="110">
        <f>'13'!K46</f>
        <v>0</v>
      </c>
      <c r="Q46" s="110">
        <f>'14'!K46</f>
        <v>0</v>
      </c>
      <c r="R46" s="110">
        <f>'15'!K46</f>
        <v>0</v>
      </c>
      <c r="S46" s="110">
        <f>'14'!K46</f>
        <v>0</v>
      </c>
      <c r="T46" s="110">
        <f>'17'!K46</f>
        <v>0</v>
      </c>
      <c r="U46" s="110">
        <f>'18'!K46</f>
        <v>0</v>
      </c>
      <c r="V46" s="110">
        <f>'19'!K46</f>
        <v>0</v>
      </c>
      <c r="W46" s="110">
        <f>'20'!K46</f>
        <v>0</v>
      </c>
      <c r="X46" s="110">
        <f>'21'!K46</f>
        <v>0</v>
      </c>
      <c r="Y46" s="110">
        <f>'22'!K46</f>
        <v>0</v>
      </c>
      <c r="Z46" s="110">
        <f>'23'!K46</f>
        <v>0</v>
      </c>
      <c r="AA46" s="110">
        <f>'24'!K46</f>
        <v>0</v>
      </c>
      <c r="AB46" s="110">
        <f>'25'!K46</f>
        <v>0</v>
      </c>
      <c r="AC46" s="110">
        <f>'26'!K46</f>
        <v>0</v>
      </c>
      <c r="AD46" s="110">
        <f>'27'!K46</f>
        <v>0</v>
      </c>
      <c r="AE46" s="110">
        <f>'28'!K46</f>
        <v>0</v>
      </c>
      <c r="AF46" s="110">
        <f>'29'!K46</f>
        <v>0</v>
      </c>
      <c r="AG46" s="110">
        <f>'30'!K46</f>
        <v>0</v>
      </c>
      <c r="AH46" s="18"/>
      <c r="AI46" s="125">
        <f t="shared" si="0"/>
        <v>0</v>
      </c>
      <c r="AJ46" s="160">
        <f t="shared" si="1"/>
        <v>0</v>
      </c>
    </row>
    <row r="47" spans="1:36" x14ac:dyDescent="0.25">
      <c r="A47" s="127"/>
      <c r="B47" s="20" t="s">
        <v>37</v>
      </c>
      <c r="C47" s="17" t="s">
        <v>38</v>
      </c>
      <c r="D47" s="103">
        <f>'1'!K47</f>
        <v>17500</v>
      </c>
      <c r="E47" s="103">
        <f>'2'!K47</f>
        <v>17500</v>
      </c>
      <c r="F47" s="103">
        <f>'3'!K47</f>
        <v>17500</v>
      </c>
      <c r="G47" s="103">
        <f>'4'!K47</f>
        <v>17500</v>
      </c>
      <c r="H47" s="103">
        <f>'5'!K47</f>
        <v>17500</v>
      </c>
      <c r="I47" s="103">
        <f>'6'!K47</f>
        <v>17500</v>
      </c>
      <c r="J47" s="110">
        <f>'7'!K47</f>
        <v>17500</v>
      </c>
      <c r="K47" s="110">
        <f>'8'!K47</f>
        <v>17500</v>
      </c>
      <c r="L47" s="110">
        <f>'9'!K47</f>
        <v>17500</v>
      </c>
      <c r="M47" s="110">
        <f>'10'!K47</f>
        <v>17500</v>
      </c>
      <c r="N47" s="110">
        <f>'11'!K47</f>
        <v>17500</v>
      </c>
      <c r="O47" s="110">
        <f>'12'!K47</f>
        <v>17500</v>
      </c>
      <c r="P47" s="110">
        <f>'13'!K47</f>
        <v>17500</v>
      </c>
      <c r="Q47" s="110">
        <f>'14'!K47</f>
        <v>17500</v>
      </c>
      <c r="R47" s="110">
        <f>'15'!K47</f>
        <v>17500</v>
      </c>
      <c r="S47" s="110">
        <f>'14'!K47</f>
        <v>17500</v>
      </c>
      <c r="T47" s="110">
        <f>'17'!K47</f>
        <v>17500</v>
      </c>
      <c r="U47" s="110">
        <f>'18'!K47</f>
        <v>17500</v>
      </c>
      <c r="V47" s="110">
        <f>'19'!K47</f>
        <v>17500</v>
      </c>
      <c r="W47" s="110">
        <f>'20'!K47</f>
        <v>17500</v>
      </c>
      <c r="X47" s="110">
        <f>'21'!K47</f>
        <v>17500</v>
      </c>
      <c r="Y47" s="110">
        <f>'22'!K47</f>
        <v>17500</v>
      </c>
      <c r="Z47" s="110">
        <f>'23'!K47</f>
        <v>17500</v>
      </c>
      <c r="AA47" s="110">
        <f>'24'!K47</f>
        <v>17500</v>
      </c>
      <c r="AB47" s="110">
        <f>'25'!K47</f>
        <v>17500</v>
      </c>
      <c r="AC47" s="110">
        <f>'26'!K47</f>
        <v>17500</v>
      </c>
      <c r="AD47" s="110">
        <f>'27'!K47</f>
        <v>17500</v>
      </c>
      <c r="AE47" s="110">
        <f>'28'!K47</f>
        <v>17500</v>
      </c>
      <c r="AF47" s="110">
        <f>'29'!K47</f>
        <v>17500</v>
      </c>
      <c r="AG47" s="110">
        <f>'30'!K47</f>
        <v>17500</v>
      </c>
      <c r="AH47" s="18"/>
      <c r="AI47" s="125">
        <f t="shared" si="0"/>
        <v>0</v>
      </c>
      <c r="AJ47" s="160">
        <f t="shared" si="1"/>
        <v>17500</v>
      </c>
    </row>
    <row r="48" spans="1:36" x14ac:dyDescent="0.25">
      <c r="A48" s="128"/>
      <c r="B48" s="20" t="s">
        <v>39</v>
      </c>
      <c r="C48" s="17" t="s">
        <v>40</v>
      </c>
      <c r="D48" s="103">
        <f>'1'!K48</f>
        <v>2000</v>
      </c>
      <c r="E48" s="103">
        <f>'2'!K48</f>
        <v>2000</v>
      </c>
      <c r="F48" s="103">
        <f>'3'!K48</f>
        <v>2000</v>
      </c>
      <c r="G48" s="103">
        <f>'4'!K48</f>
        <v>2000</v>
      </c>
      <c r="H48" s="103">
        <f>'5'!K48</f>
        <v>2000</v>
      </c>
      <c r="I48" s="103">
        <f>'6'!K48</f>
        <v>2000</v>
      </c>
      <c r="J48" s="110">
        <f>'7'!K48</f>
        <v>2000</v>
      </c>
      <c r="K48" s="110">
        <f>'8'!K48</f>
        <v>2000</v>
      </c>
      <c r="L48" s="110">
        <f>'9'!K48</f>
        <v>2000</v>
      </c>
      <c r="M48" s="110">
        <f>'10'!K48</f>
        <v>2000</v>
      </c>
      <c r="N48" s="110">
        <f>'11'!K48</f>
        <v>2000</v>
      </c>
      <c r="O48" s="110">
        <f>'12'!K48</f>
        <v>2000</v>
      </c>
      <c r="P48" s="110">
        <f>'13'!K48</f>
        <v>2000</v>
      </c>
      <c r="Q48" s="110">
        <f>'14'!K48</f>
        <v>2000</v>
      </c>
      <c r="R48" s="110">
        <f>'15'!K48</f>
        <v>2000</v>
      </c>
      <c r="S48" s="110">
        <f>'14'!K48</f>
        <v>2000</v>
      </c>
      <c r="T48" s="110">
        <f>'17'!K48</f>
        <v>2000</v>
      </c>
      <c r="U48" s="110">
        <f>'18'!K48</f>
        <v>2000</v>
      </c>
      <c r="V48" s="110">
        <f>'19'!K48</f>
        <v>2000</v>
      </c>
      <c r="W48" s="110">
        <f>'20'!K48</f>
        <v>2000</v>
      </c>
      <c r="X48" s="110">
        <f>'21'!K48</f>
        <v>2000</v>
      </c>
      <c r="Y48" s="110">
        <f>'22'!K48</f>
        <v>2000</v>
      </c>
      <c r="Z48" s="110">
        <f>'23'!K48</f>
        <v>2000</v>
      </c>
      <c r="AA48" s="110">
        <f>'24'!K48</f>
        <v>2000</v>
      </c>
      <c r="AB48" s="110">
        <f>'25'!K48</f>
        <v>2000</v>
      </c>
      <c r="AC48" s="110">
        <f>'26'!K48</f>
        <v>2000</v>
      </c>
      <c r="AD48" s="110">
        <f>'27'!K48</f>
        <v>2000</v>
      </c>
      <c r="AE48" s="110">
        <f>'28'!K48</f>
        <v>2000</v>
      </c>
      <c r="AF48" s="110">
        <f>'29'!K48</f>
        <v>2000</v>
      </c>
      <c r="AG48" s="110">
        <f>'30'!K48</f>
        <v>2000</v>
      </c>
      <c r="AH48" s="18"/>
      <c r="AI48" s="125">
        <f t="shared" si="0"/>
        <v>0</v>
      </c>
      <c r="AJ48" s="160">
        <f t="shared" si="1"/>
        <v>2000</v>
      </c>
    </row>
    <row r="49" spans="1:36" x14ac:dyDescent="0.25">
      <c r="A49" s="29">
        <v>12</v>
      </c>
      <c r="B49" s="25" t="s">
        <v>41</v>
      </c>
      <c r="C49" s="17"/>
      <c r="D49" s="103">
        <f>'1'!K49</f>
        <v>0</v>
      </c>
      <c r="E49" s="103">
        <f>'2'!K49</f>
        <v>0</v>
      </c>
      <c r="F49" s="103">
        <f>'3'!K49</f>
        <v>0</v>
      </c>
      <c r="G49" s="103">
        <f>'4'!K49</f>
        <v>0</v>
      </c>
      <c r="H49" s="103">
        <f>'5'!K49</f>
        <v>0</v>
      </c>
      <c r="I49" s="103">
        <f>'6'!K49</f>
        <v>0</v>
      </c>
      <c r="J49" s="110">
        <f>'7'!K49</f>
        <v>0</v>
      </c>
      <c r="K49" s="110">
        <f>'8'!K49</f>
        <v>0</v>
      </c>
      <c r="L49" s="110">
        <f>'9'!K49</f>
        <v>0</v>
      </c>
      <c r="M49" s="110">
        <f>'10'!K49</f>
        <v>0</v>
      </c>
      <c r="N49" s="110">
        <f>'11'!K49</f>
        <v>0</v>
      </c>
      <c r="O49" s="110">
        <f>'12'!K49</f>
        <v>0</v>
      </c>
      <c r="P49" s="110">
        <f>'13'!K49</f>
        <v>0</v>
      </c>
      <c r="Q49" s="110">
        <f>'14'!K49</f>
        <v>0</v>
      </c>
      <c r="R49" s="110">
        <f>'15'!K49</f>
        <v>0</v>
      </c>
      <c r="S49" s="110">
        <f>'14'!K49</f>
        <v>0</v>
      </c>
      <c r="T49" s="110">
        <f>'17'!K49</f>
        <v>0</v>
      </c>
      <c r="U49" s="110">
        <f>'18'!K49</f>
        <v>0</v>
      </c>
      <c r="V49" s="110">
        <f>'19'!K49</f>
        <v>0</v>
      </c>
      <c r="W49" s="110">
        <f>'20'!K49</f>
        <v>0</v>
      </c>
      <c r="X49" s="110">
        <f>'21'!K49</f>
        <v>0</v>
      </c>
      <c r="Y49" s="110">
        <f>'22'!K49</f>
        <v>0</v>
      </c>
      <c r="Z49" s="110">
        <f>'23'!K49</f>
        <v>0</v>
      </c>
      <c r="AA49" s="110">
        <f>'24'!K49</f>
        <v>0</v>
      </c>
      <c r="AB49" s="110">
        <f>'25'!K49</f>
        <v>0</v>
      </c>
      <c r="AC49" s="110">
        <f>'26'!K49</f>
        <v>0</v>
      </c>
      <c r="AD49" s="110">
        <f>'27'!K49</f>
        <v>0</v>
      </c>
      <c r="AE49" s="110">
        <f>'28'!K49</f>
        <v>0</v>
      </c>
      <c r="AF49" s="110">
        <f>'29'!K49</f>
        <v>0</v>
      </c>
      <c r="AG49" s="110">
        <f>'30'!K49</f>
        <v>0</v>
      </c>
      <c r="AH49" s="18"/>
      <c r="AI49" s="125">
        <f t="shared" si="0"/>
        <v>0</v>
      </c>
      <c r="AJ49" s="160">
        <f t="shared" si="1"/>
        <v>0</v>
      </c>
    </row>
    <row r="50" spans="1:36" x14ac:dyDescent="0.25">
      <c r="A50" s="29"/>
      <c r="B50" s="20" t="s">
        <v>42</v>
      </c>
      <c r="C50" s="17" t="s">
        <v>5</v>
      </c>
      <c r="D50" s="103">
        <f>'1'!K50</f>
        <v>9285.7142857142862</v>
      </c>
      <c r="E50" s="103">
        <f>'2'!K50</f>
        <v>9285.7142857142862</v>
      </c>
      <c r="F50" s="103">
        <f>'3'!K50</f>
        <v>9285.7142857142862</v>
      </c>
      <c r="G50" s="103">
        <f>'4'!K50</f>
        <v>9285.7142857142862</v>
      </c>
      <c r="H50" s="103">
        <f>'5'!K50</f>
        <v>9285.7142857142862</v>
      </c>
      <c r="I50" s="103">
        <f>'6'!K50</f>
        <v>9285.7142857142862</v>
      </c>
      <c r="J50" s="110">
        <f>'7'!K50</f>
        <v>9285.7142857142862</v>
      </c>
      <c r="K50" s="110">
        <f>'8'!K50</f>
        <v>9285.7142857142862</v>
      </c>
      <c r="L50" s="110">
        <f>'9'!K50</f>
        <v>9285.7142857142862</v>
      </c>
      <c r="M50" s="110">
        <f>'10'!K50</f>
        <v>9428.5714285714294</v>
      </c>
      <c r="N50" s="110">
        <f>'11'!K50</f>
        <v>9285.7142857142862</v>
      </c>
      <c r="O50" s="110">
        <f>'12'!K50</f>
        <v>9285.7142857142862</v>
      </c>
      <c r="P50" s="110">
        <f>'13'!K50</f>
        <v>9285.7142857142862</v>
      </c>
      <c r="Q50" s="110">
        <f>'14'!K50</f>
        <v>9285.7142857142862</v>
      </c>
      <c r="R50" s="110">
        <f>'15'!K50</f>
        <v>9285.7142857142862</v>
      </c>
      <c r="S50" s="110">
        <f>'14'!K50</f>
        <v>9285.7142857142862</v>
      </c>
      <c r="T50" s="110">
        <f>'17'!K50</f>
        <v>9285.7142857142862</v>
      </c>
      <c r="U50" s="110">
        <f>'18'!K50</f>
        <v>9285.7142857142862</v>
      </c>
      <c r="V50" s="110">
        <f>'19'!K50</f>
        <v>9285.7142857142862</v>
      </c>
      <c r="W50" s="110">
        <f>'20'!K50</f>
        <v>9285.7142857142862</v>
      </c>
      <c r="X50" s="110">
        <f>'21'!K50</f>
        <v>9285.7142857142862</v>
      </c>
      <c r="Y50" s="110">
        <f>'22'!K50</f>
        <v>9285.7142857142862</v>
      </c>
      <c r="Z50" s="110">
        <f>'23'!K50</f>
        <v>9285.7142857142862</v>
      </c>
      <c r="AA50" s="110">
        <f>'24'!K50</f>
        <v>9285.7142857142862</v>
      </c>
      <c r="AB50" s="110">
        <f>'25'!K50</f>
        <v>9285.7142857142862</v>
      </c>
      <c r="AC50" s="110">
        <f>'26'!K50</f>
        <v>9285.7142857142862</v>
      </c>
      <c r="AD50" s="110">
        <f>'27'!K50</f>
        <v>9285.7142857142862</v>
      </c>
      <c r="AE50" s="110">
        <f>'28'!K50</f>
        <v>9285.7142857142862</v>
      </c>
      <c r="AF50" s="110">
        <f>'29'!K50</f>
        <v>9285.7142857142862</v>
      </c>
      <c r="AG50" s="110">
        <f>'30'!K50</f>
        <v>9285.7142857142862</v>
      </c>
      <c r="AH50" s="18"/>
      <c r="AI50" s="125">
        <f t="shared" si="0"/>
        <v>0</v>
      </c>
      <c r="AJ50" s="160">
        <f t="shared" si="1"/>
        <v>9290.4761904761926</v>
      </c>
    </row>
    <row r="51" spans="1:36" x14ac:dyDescent="0.25">
      <c r="A51" s="30"/>
      <c r="B51" s="20" t="s">
        <v>43</v>
      </c>
      <c r="C51" s="17" t="s">
        <v>5</v>
      </c>
      <c r="D51" s="103">
        <f>'1'!K51</f>
        <v>8333.3333333333339</v>
      </c>
      <c r="E51" s="103">
        <f>'2'!K51</f>
        <v>8333.3333333333339</v>
      </c>
      <c r="F51" s="103">
        <f>'3'!K51</f>
        <v>8333.3333333333339</v>
      </c>
      <c r="G51" s="103">
        <f>'4'!K51</f>
        <v>8333.3333333333339</v>
      </c>
      <c r="H51" s="103">
        <f>'5'!K51</f>
        <v>8333.3333333333339</v>
      </c>
      <c r="I51" s="103">
        <f>'6'!K51</f>
        <v>8333.3333333333339</v>
      </c>
      <c r="J51" s="110">
        <f>'7'!K51</f>
        <v>8333.3333333333339</v>
      </c>
      <c r="K51" s="110">
        <f>'8'!K51</f>
        <v>8333.3333333333339</v>
      </c>
      <c r="L51" s="110">
        <f>'9'!K51</f>
        <v>8333.3333333333339</v>
      </c>
      <c r="M51" s="110">
        <f>'10'!K51</f>
        <v>8333.3333333333339</v>
      </c>
      <c r="N51" s="110">
        <f>'11'!K51</f>
        <v>8333.3333333333339</v>
      </c>
      <c r="O51" s="110">
        <f>'12'!K51</f>
        <v>8333.3333333333339</v>
      </c>
      <c r="P51" s="110">
        <f>'13'!K51</f>
        <v>8333.3333333333339</v>
      </c>
      <c r="Q51" s="110">
        <f>'14'!K51</f>
        <v>8333.3333333333339</v>
      </c>
      <c r="R51" s="110">
        <f>'15'!K51</f>
        <v>8333.3333333333339</v>
      </c>
      <c r="S51" s="110">
        <f>'14'!K51</f>
        <v>8333.3333333333339</v>
      </c>
      <c r="T51" s="110">
        <f>'17'!K51</f>
        <v>8333.3333333333339</v>
      </c>
      <c r="U51" s="110">
        <f>'18'!K51</f>
        <v>8333.3333333333339</v>
      </c>
      <c r="V51" s="110">
        <f>'19'!K51</f>
        <v>8333.3333333333339</v>
      </c>
      <c r="W51" s="110">
        <f>'20'!K51</f>
        <v>8333.3333333333339</v>
      </c>
      <c r="X51" s="110">
        <f>'21'!K51</f>
        <v>8333.3333333333339</v>
      </c>
      <c r="Y51" s="110">
        <f>'22'!K51</f>
        <v>8333.3333333333339</v>
      </c>
      <c r="Z51" s="110">
        <f>'23'!K51</f>
        <v>8333.3333333333339</v>
      </c>
      <c r="AA51" s="110">
        <f>'24'!K51</f>
        <v>8333.3333333333339</v>
      </c>
      <c r="AB51" s="110">
        <f>'25'!K51</f>
        <v>8333.3333333333339</v>
      </c>
      <c r="AC51" s="110">
        <f>'26'!K51</f>
        <v>8333.3333333333339</v>
      </c>
      <c r="AD51" s="110">
        <f>'27'!K51</f>
        <v>8333.3333333333339</v>
      </c>
      <c r="AE51" s="110">
        <f>'28'!K51</f>
        <v>8333.3333333333339</v>
      </c>
      <c r="AF51" s="110">
        <f>'29'!K51</f>
        <v>8333.3333333333339</v>
      </c>
      <c r="AG51" s="110">
        <f>'30'!K51</f>
        <v>8333.3333333333339</v>
      </c>
      <c r="AH51" s="18"/>
      <c r="AI51" s="125">
        <f t="shared" si="0"/>
        <v>0</v>
      </c>
      <c r="AJ51" s="160">
        <f t="shared" si="1"/>
        <v>8333.3333333333376</v>
      </c>
    </row>
    <row r="52" spans="1:36" x14ac:dyDescent="0.25">
      <c r="A52" s="126">
        <v>13</v>
      </c>
      <c r="B52" s="21" t="s">
        <v>44</v>
      </c>
      <c r="C52" s="21"/>
      <c r="D52" s="103">
        <f>'1'!K52</f>
        <v>0</v>
      </c>
      <c r="E52" s="103">
        <f>'2'!K52</f>
        <v>0</v>
      </c>
      <c r="F52" s="103">
        <f>'3'!K52</f>
        <v>0</v>
      </c>
      <c r="G52" s="103">
        <f>'4'!K52</f>
        <v>0</v>
      </c>
      <c r="H52" s="103">
        <f>'5'!K52</f>
        <v>0</v>
      </c>
      <c r="I52" s="103">
        <f>'6'!K52</f>
        <v>0</v>
      </c>
      <c r="J52" s="110">
        <f>'7'!K52</f>
        <v>0</v>
      </c>
      <c r="K52" s="110">
        <f>'8'!K52</f>
        <v>0</v>
      </c>
      <c r="L52" s="110">
        <f>'9'!K52</f>
        <v>0</v>
      </c>
      <c r="M52" s="110">
        <f>'10'!K52</f>
        <v>0</v>
      </c>
      <c r="N52" s="110">
        <f>'11'!K52</f>
        <v>0</v>
      </c>
      <c r="O52" s="110">
        <f>'12'!K52</f>
        <v>0</v>
      </c>
      <c r="P52" s="110">
        <f>'13'!K52</f>
        <v>0</v>
      </c>
      <c r="Q52" s="110">
        <f>'14'!K52</f>
        <v>0</v>
      </c>
      <c r="R52" s="110">
        <f>'15'!K52</f>
        <v>0</v>
      </c>
      <c r="S52" s="110">
        <f>'14'!K52</f>
        <v>0</v>
      </c>
      <c r="T52" s="110">
        <f>'17'!K52</f>
        <v>0</v>
      </c>
      <c r="U52" s="110">
        <f>'18'!K52</f>
        <v>0</v>
      </c>
      <c r="V52" s="110">
        <f>'19'!K52</f>
        <v>0</v>
      </c>
      <c r="W52" s="110">
        <f>'20'!K52</f>
        <v>0</v>
      </c>
      <c r="X52" s="110">
        <f>'21'!K52</f>
        <v>0</v>
      </c>
      <c r="Y52" s="110">
        <f>'22'!K52</f>
        <v>0</v>
      </c>
      <c r="Z52" s="110">
        <f>'23'!K52</f>
        <v>0</v>
      </c>
      <c r="AA52" s="110">
        <f>'24'!K52</f>
        <v>0</v>
      </c>
      <c r="AB52" s="110">
        <f>'25'!K52</f>
        <v>0</v>
      </c>
      <c r="AC52" s="110">
        <f>'26'!K52</f>
        <v>0</v>
      </c>
      <c r="AD52" s="110">
        <f>'27'!K52</f>
        <v>0</v>
      </c>
      <c r="AE52" s="110">
        <f>'28'!K52</f>
        <v>0</v>
      </c>
      <c r="AF52" s="110">
        <f>'29'!K52</f>
        <v>0</v>
      </c>
      <c r="AG52" s="110">
        <f>'30'!K52</f>
        <v>0</v>
      </c>
      <c r="AH52" s="18"/>
      <c r="AI52" s="125">
        <f t="shared" si="0"/>
        <v>0</v>
      </c>
      <c r="AJ52" s="160">
        <f t="shared" si="1"/>
        <v>0</v>
      </c>
    </row>
    <row r="53" spans="1:36" x14ac:dyDescent="0.25">
      <c r="A53" s="128"/>
      <c r="B53" s="20" t="s">
        <v>45</v>
      </c>
      <c r="C53" s="17" t="s">
        <v>46</v>
      </c>
      <c r="D53" s="103">
        <f>'1'!K53</f>
        <v>4000</v>
      </c>
      <c r="E53" s="103">
        <f>'2'!K53</f>
        <v>4000</v>
      </c>
      <c r="F53" s="103">
        <f>'3'!K53</f>
        <v>4000</v>
      </c>
      <c r="G53" s="103">
        <f>'4'!K53</f>
        <v>4000</v>
      </c>
      <c r="H53" s="103">
        <f>'5'!K53</f>
        <v>4000</v>
      </c>
      <c r="I53" s="103">
        <f>'6'!K53</f>
        <v>4000</v>
      </c>
      <c r="J53" s="110">
        <f>'7'!K53</f>
        <v>4000</v>
      </c>
      <c r="K53" s="110">
        <f>'8'!K53</f>
        <v>4000</v>
      </c>
      <c r="L53" s="110">
        <f>'9'!K53</f>
        <v>4000</v>
      </c>
      <c r="M53" s="110">
        <f>'10'!K53</f>
        <v>4000</v>
      </c>
      <c r="N53" s="110">
        <f>'11'!K53</f>
        <v>4000</v>
      </c>
      <c r="O53" s="110">
        <f>'12'!K53</f>
        <v>4000</v>
      </c>
      <c r="P53" s="110">
        <f>'13'!K53</f>
        <v>4000</v>
      </c>
      <c r="Q53" s="110">
        <f>'14'!K53</f>
        <v>4000</v>
      </c>
      <c r="R53" s="110">
        <f>'15'!K53</f>
        <v>4000</v>
      </c>
      <c r="S53" s="110">
        <f>'14'!K53</f>
        <v>4000</v>
      </c>
      <c r="T53" s="110">
        <f>'17'!K53</f>
        <v>4000</v>
      </c>
      <c r="U53" s="110">
        <f>'18'!K53</f>
        <v>4000</v>
      </c>
      <c r="V53" s="110">
        <f>'19'!K53</f>
        <v>4000</v>
      </c>
      <c r="W53" s="110">
        <f>'20'!K53</f>
        <v>4071.4285714285716</v>
      </c>
      <c r="X53" s="110">
        <f>'21'!K53</f>
        <v>4071.4285714285716</v>
      </c>
      <c r="Y53" s="110">
        <f>'22'!K53</f>
        <v>4071.4285714285716</v>
      </c>
      <c r="Z53" s="110">
        <f>'23'!K53</f>
        <v>4071.4285714285716</v>
      </c>
      <c r="AA53" s="110">
        <f>'24'!K53</f>
        <v>4071.4285714285716</v>
      </c>
      <c r="AB53" s="110">
        <f>'25'!K53</f>
        <v>4071.4285714285716</v>
      </c>
      <c r="AC53" s="110">
        <f>'26'!K53</f>
        <v>4071.4285714285716</v>
      </c>
      <c r="AD53" s="110">
        <f>'27'!K53</f>
        <v>4071.4285714285716</v>
      </c>
      <c r="AE53" s="110">
        <f>'28'!K53</f>
        <v>4071.4285714285716</v>
      </c>
      <c r="AF53" s="110">
        <f>'29'!K53</f>
        <v>4071.4285714285716</v>
      </c>
      <c r="AG53" s="110">
        <f>'30'!K53</f>
        <v>4071.4285714285716</v>
      </c>
      <c r="AH53" s="18"/>
      <c r="AI53" s="45">
        <f t="shared" si="0"/>
        <v>71.428571428571558</v>
      </c>
      <c r="AJ53" s="160">
        <f t="shared" si="1"/>
        <v>4026.1904761904739</v>
      </c>
    </row>
    <row r="54" spans="1:36" x14ac:dyDescent="0.25">
      <c r="A54" s="126">
        <v>14</v>
      </c>
      <c r="B54" s="21" t="s">
        <v>47</v>
      </c>
      <c r="C54" s="17"/>
      <c r="D54" s="103">
        <f>'1'!K54</f>
        <v>0</v>
      </c>
      <c r="E54" s="103">
        <f>'2'!K54</f>
        <v>0</v>
      </c>
      <c r="F54" s="103">
        <f>'3'!K54</f>
        <v>0</v>
      </c>
      <c r="G54" s="103">
        <f>'4'!K54</f>
        <v>0</v>
      </c>
      <c r="H54" s="103">
        <f>'5'!K54</f>
        <v>0</v>
      </c>
      <c r="I54" s="103">
        <f>'6'!K54</f>
        <v>0</v>
      </c>
      <c r="J54" s="110">
        <f>'7'!K54</f>
        <v>0</v>
      </c>
      <c r="K54" s="110">
        <f>'8'!K54</f>
        <v>0</v>
      </c>
      <c r="L54" s="110">
        <f>'9'!K54</f>
        <v>0</v>
      </c>
      <c r="M54" s="110">
        <f>'10'!K54</f>
        <v>0</v>
      </c>
      <c r="N54" s="110">
        <f>'11'!K54</f>
        <v>0</v>
      </c>
      <c r="O54" s="110">
        <f>'12'!K54</f>
        <v>0</v>
      </c>
      <c r="P54" s="110">
        <f>'13'!K54</f>
        <v>0</v>
      </c>
      <c r="Q54" s="110">
        <f>'14'!K54</f>
        <v>0</v>
      </c>
      <c r="R54" s="110">
        <f>'15'!K54</f>
        <v>0</v>
      </c>
      <c r="S54" s="110">
        <f>'14'!K54</f>
        <v>0</v>
      </c>
      <c r="T54" s="110">
        <f>'17'!K54</f>
        <v>0</v>
      </c>
      <c r="U54" s="110">
        <f>'18'!K54</f>
        <v>0</v>
      </c>
      <c r="V54" s="110">
        <f>'19'!K54</f>
        <v>0</v>
      </c>
      <c r="W54" s="110">
        <f>'20'!K54</f>
        <v>0</v>
      </c>
      <c r="X54" s="110">
        <f>'21'!K54</f>
        <v>0</v>
      </c>
      <c r="Y54" s="110">
        <f>'22'!K54</f>
        <v>0</v>
      </c>
      <c r="Z54" s="110">
        <f>'23'!K54</f>
        <v>0</v>
      </c>
      <c r="AA54" s="110">
        <f>'24'!K54</f>
        <v>0</v>
      </c>
      <c r="AB54" s="110">
        <f>'25'!K54</f>
        <v>0</v>
      </c>
      <c r="AC54" s="110">
        <f>'26'!K54</f>
        <v>0</v>
      </c>
      <c r="AD54" s="110">
        <f>'27'!K54</f>
        <v>0</v>
      </c>
      <c r="AE54" s="110">
        <f>'28'!K54</f>
        <v>0</v>
      </c>
      <c r="AF54" s="110">
        <f>'29'!K54</f>
        <v>0</v>
      </c>
      <c r="AG54" s="110">
        <f>'30'!K54</f>
        <v>0</v>
      </c>
      <c r="AH54" s="18"/>
      <c r="AI54" s="125">
        <f t="shared" si="0"/>
        <v>0</v>
      </c>
      <c r="AJ54" s="160">
        <f t="shared" si="1"/>
        <v>0</v>
      </c>
    </row>
    <row r="55" spans="1:36" x14ac:dyDescent="0.25">
      <c r="A55" s="128"/>
      <c r="B55" s="20" t="s">
        <v>48</v>
      </c>
      <c r="C55" s="17" t="s">
        <v>5</v>
      </c>
      <c r="D55" s="103">
        <f>'1'!K55</f>
        <v>10500</v>
      </c>
      <c r="E55" s="103">
        <f>'2'!K55</f>
        <v>10500</v>
      </c>
      <c r="F55" s="103">
        <f>'3'!K55</f>
        <v>10500</v>
      </c>
      <c r="G55" s="103">
        <f>'4'!K55</f>
        <v>10500</v>
      </c>
      <c r="H55" s="103">
        <f>'5'!K55</f>
        <v>10500</v>
      </c>
      <c r="I55" s="103">
        <f>'6'!K55</f>
        <v>10500</v>
      </c>
      <c r="J55" s="110">
        <f>'7'!K55</f>
        <v>10500</v>
      </c>
      <c r="K55" s="110">
        <f>'8'!K55</f>
        <v>10500</v>
      </c>
      <c r="L55" s="110">
        <f>'9'!K55</f>
        <v>10500</v>
      </c>
      <c r="M55" s="110">
        <f>'10'!K55</f>
        <v>10500</v>
      </c>
      <c r="N55" s="110">
        <f>'11'!K55</f>
        <v>10500</v>
      </c>
      <c r="O55" s="110">
        <f>'12'!K55</f>
        <v>10500</v>
      </c>
      <c r="P55" s="110">
        <f>'13'!K55</f>
        <v>10500</v>
      </c>
      <c r="Q55" s="110">
        <f>'14'!K55</f>
        <v>10500</v>
      </c>
      <c r="R55" s="110">
        <f>'15'!K55</f>
        <v>10500</v>
      </c>
      <c r="S55" s="110">
        <f>'14'!K55</f>
        <v>10500</v>
      </c>
      <c r="T55" s="110">
        <f>'17'!K55</f>
        <v>10500</v>
      </c>
      <c r="U55" s="110">
        <f>'18'!K55</f>
        <v>10500</v>
      </c>
      <c r="V55" s="110">
        <f>'19'!K55</f>
        <v>10500</v>
      </c>
      <c r="W55" s="110">
        <f>'20'!K55</f>
        <v>10500</v>
      </c>
      <c r="X55" s="110">
        <f>'21'!K55</f>
        <v>10500</v>
      </c>
      <c r="Y55" s="110">
        <f>'22'!K55</f>
        <v>10500</v>
      </c>
      <c r="Z55" s="110">
        <f>'23'!K55</f>
        <v>10500</v>
      </c>
      <c r="AA55" s="110">
        <f>'24'!K55</f>
        <v>10500</v>
      </c>
      <c r="AB55" s="110">
        <f>'25'!K55</f>
        <v>10500</v>
      </c>
      <c r="AC55" s="110">
        <f>'26'!K55</f>
        <v>10500</v>
      </c>
      <c r="AD55" s="110">
        <f>'27'!K55</f>
        <v>10500</v>
      </c>
      <c r="AE55" s="110">
        <f>'28'!K55</f>
        <v>10500</v>
      </c>
      <c r="AF55" s="110">
        <f>'29'!K55</f>
        <v>10500</v>
      </c>
      <c r="AG55" s="110">
        <f>'30'!K55</f>
        <v>10500</v>
      </c>
      <c r="AH55" s="18"/>
      <c r="AI55" s="125">
        <f t="shared" si="0"/>
        <v>0</v>
      </c>
      <c r="AJ55" s="160">
        <f t="shared" si="1"/>
        <v>10500</v>
      </c>
    </row>
    <row r="56" spans="1:36" x14ac:dyDescent="0.25">
      <c r="A56" s="126">
        <v>15</v>
      </c>
      <c r="B56" s="21" t="s">
        <v>49</v>
      </c>
      <c r="C56" s="21"/>
      <c r="D56" s="103">
        <f>'1'!K56</f>
        <v>0</v>
      </c>
      <c r="E56" s="103">
        <f>'2'!K56</f>
        <v>0</v>
      </c>
      <c r="F56" s="103">
        <f>'3'!K56</f>
        <v>0</v>
      </c>
      <c r="G56" s="103">
        <f>'4'!K56</f>
        <v>0</v>
      </c>
      <c r="H56" s="103">
        <f>'5'!K56</f>
        <v>0</v>
      </c>
      <c r="I56" s="103">
        <f>'6'!K56</f>
        <v>0</v>
      </c>
      <c r="J56" s="110">
        <f>'7'!K56</f>
        <v>0</v>
      </c>
      <c r="K56" s="110">
        <f>'8'!K56</f>
        <v>0</v>
      </c>
      <c r="L56" s="110">
        <f>'9'!K56</f>
        <v>0</v>
      </c>
      <c r="M56" s="110">
        <f>'10'!K56</f>
        <v>0</v>
      </c>
      <c r="N56" s="110">
        <f>'11'!K56</f>
        <v>0</v>
      </c>
      <c r="O56" s="110">
        <f>'12'!K56</f>
        <v>0</v>
      </c>
      <c r="P56" s="110">
        <f>'13'!K56</f>
        <v>0</v>
      </c>
      <c r="Q56" s="110">
        <f>'14'!K56</f>
        <v>0</v>
      </c>
      <c r="R56" s="110">
        <f>'15'!K56</f>
        <v>0</v>
      </c>
      <c r="S56" s="110">
        <f>'14'!K56</f>
        <v>0</v>
      </c>
      <c r="T56" s="110">
        <f>'17'!K56</f>
        <v>0</v>
      </c>
      <c r="U56" s="110">
        <f>'18'!K56</f>
        <v>0</v>
      </c>
      <c r="V56" s="110">
        <f>'19'!K56</f>
        <v>0</v>
      </c>
      <c r="W56" s="110">
        <f>'20'!K56</f>
        <v>0</v>
      </c>
      <c r="X56" s="110">
        <f>'21'!K56</f>
        <v>0</v>
      </c>
      <c r="Y56" s="110">
        <f>'22'!K56</f>
        <v>0</v>
      </c>
      <c r="Z56" s="110">
        <f>'23'!K56</f>
        <v>0</v>
      </c>
      <c r="AA56" s="110">
        <f>'24'!K56</f>
        <v>0</v>
      </c>
      <c r="AB56" s="110">
        <f>'25'!K56</f>
        <v>0</v>
      </c>
      <c r="AC56" s="110">
        <f>'26'!K56</f>
        <v>0</v>
      </c>
      <c r="AD56" s="110">
        <f>'27'!K56</f>
        <v>0</v>
      </c>
      <c r="AE56" s="110">
        <f>'28'!K56</f>
        <v>0</v>
      </c>
      <c r="AF56" s="110">
        <f>'29'!K56</f>
        <v>0</v>
      </c>
      <c r="AG56" s="110">
        <f>'30'!K56</f>
        <v>0</v>
      </c>
      <c r="AH56" s="18"/>
      <c r="AI56" s="125">
        <f t="shared" si="0"/>
        <v>0</v>
      </c>
      <c r="AJ56" s="160">
        <f t="shared" si="1"/>
        <v>0</v>
      </c>
    </row>
    <row r="57" spans="1:36" x14ac:dyDescent="0.25">
      <c r="A57" s="127"/>
      <c r="B57" s="20" t="s">
        <v>50</v>
      </c>
      <c r="C57" s="17" t="s">
        <v>5</v>
      </c>
      <c r="D57" s="103">
        <f>'1'!K57</f>
        <v>13666.666666666666</v>
      </c>
      <c r="E57" s="103">
        <f>'2'!K57</f>
        <v>14166.666666666666</v>
      </c>
      <c r="F57" s="103">
        <f>'3'!K57</f>
        <v>14000</v>
      </c>
      <c r="G57" s="103">
        <f>'4'!K57</f>
        <v>13666.666666666666</v>
      </c>
      <c r="H57" s="103">
        <f>'5'!K57</f>
        <v>13666.666666666666</v>
      </c>
      <c r="I57" s="103">
        <f>'6'!K57</f>
        <v>13666.666666666666</v>
      </c>
      <c r="J57" s="110">
        <f>'7'!K57</f>
        <v>13666.666666666666</v>
      </c>
      <c r="K57" s="110">
        <f>'8'!K57</f>
        <v>13666.666666666666</v>
      </c>
      <c r="L57" s="110">
        <f>'9'!K57</f>
        <v>13666.666666666666</v>
      </c>
      <c r="M57" s="110">
        <f>'10'!K57</f>
        <v>14000</v>
      </c>
      <c r="N57" s="110">
        <f>'11'!K57</f>
        <v>13666.666666666666</v>
      </c>
      <c r="O57" s="110">
        <f>'12'!K57</f>
        <v>13666.666666666666</v>
      </c>
      <c r="P57" s="110">
        <f>'13'!K57</f>
        <v>13666.666666666666</v>
      </c>
      <c r="Q57" s="110">
        <f>'14'!K57</f>
        <v>13666.666666666666</v>
      </c>
      <c r="R57" s="110">
        <f>'15'!K57</f>
        <v>13666.666666666666</v>
      </c>
      <c r="S57" s="110">
        <f>'14'!K57</f>
        <v>13666.666666666666</v>
      </c>
      <c r="T57" s="110">
        <f>'17'!K57</f>
        <v>14000</v>
      </c>
      <c r="U57" s="110">
        <f>'18'!K57</f>
        <v>13666.666666666666</v>
      </c>
      <c r="V57" s="110">
        <f>'19'!K57</f>
        <v>13666.666666666666</v>
      </c>
      <c r="W57" s="110">
        <f>'20'!K57</f>
        <v>13666.666666666666</v>
      </c>
      <c r="X57" s="110">
        <f>'21'!K57</f>
        <v>13666.666666666666</v>
      </c>
      <c r="Y57" s="110">
        <f>'22'!K57</f>
        <v>14166.666666666666</v>
      </c>
      <c r="Z57" s="110">
        <f>'23'!K57</f>
        <v>13666.666666666666</v>
      </c>
      <c r="AA57" s="110">
        <f>'24'!K57</f>
        <v>13666.666666666666</v>
      </c>
      <c r="AB57" s="110">
        <f>'25'!K57</f>
        <v>14166.666666666666</v>
      </c>
      <c r="AC57" s="110">
        <f>'26'!K57</f>
        <v>13666.666666666666</v>
      </c>
      <c r="AD57" s="110">
        <f>'27'!K57</f>
        <v>13833.333333333334</v>
      </c>
      <c r="AE57" s="110">
        <f>'28'!K57</f>
        <v>14166.666666666666</v>
      </c>
      <c r="AF57" s="110">
        <f>'29'!K57</f>
        <v>13833.333333333334</v>
      </c>
      <c r="AG57" s="110">
        <f>'30'!K57</f>
        <v>14166.666666666666</v>
      </c>
      <c r="AH57" s="18">
        <v>6800</v>
      </c>
      <c r="AI57" s="45">
        <f t="shared" si="0"/>
        <v>500</v>
      </c>
      <c r="AJ57" s="160">
        <f t="shared" si="1"/>
        <v>13794.444444444445</v>
      </c>
    </row>
    <row r="58" spans="1:36" x14ac:dyDescent="0.25">
      <c r="A58" s="127"/>
      <c r="B58" s="20" t="s">
        <v>51</v>
      </c>
      <c r="C58" s="17" t="s">
        <v>5</v>
      </c>
      <c r="D58" s="103">
        <f>'1'!K58</f>
        <v>13000</v>
      </c>
      <c r="E58" s="103">
        <f>'2'!K58</f>
        <v>13000</v>
      </c>
      <c r="F58" s="103">
        <f>'3'!K58</f>
        <v>13000</v>
      </c>
      <c r="G58" s="103">
        <f>'4'!K58</f>
        <v>13000</v>
      </c>
      <c r="H58" s="103">
        <f>'5'!K58</f>
        <v>13000</v>
      </c>
      <c r="I58" s="103">
        <f>'6'!K58</f>
        <v>13000</v>
      </c>
      <c r="J58" s="110">
        <f>'7'!K58</f>
        <v>13000</v>
      </c>
      <c r="K58" s="110">
        <f>'8'!K58</f>
        <v>13000</v>
      </c>
      <c r="L58" s="110">
        <f>'9'!K58</f>
        <v>13000</v>
      </c>
      <c r="M58" s="110">
        <f>'10'!K58</f>
        <v>13000</v>
      </c>
      <c r="N58" s="110">
        <f>'11'!K58</f>
        <v>13000</v>
      </c>
      <c r="O58" s="110">
        <f>'12'!K58</f>
        <v>13000</v>
      </c>
      <c r="P58" s="110">
        <f>'13'!K58</f>
        <v>13000</v>
      </c>
      <c r="Q58" s="110">
        <f>'14'!K58</f>
        <v>13000</v>
      </c>
      <c r="R58" s="110">
        <f>'15'!K58</f>
        <v>13000</v>
      </c>
      <c r="S58" s="110">
        <f>'14'!K58</f>
        <v>13000</v>
      </c>
      <c r="T58" s="110">
        <f>'17'!K58</f>
        <v>13000</v>
      </c>
      <c r="U58" s="110">
        <f>'18'!K58</f>
        <v>13000</v>
      </c>
      <c r="V58" s="110">
        <f>'19'!K58</f>
        <v>13000</v>
      </c>
      <c r="W58" s="110">
        <f>'20'!K58</f>
        <v>13000</v>
      </c>
      <c r="X58" s="110">
        <f>'21'!K58</f>
        <v>13000</v>
      </c>
      <c r="Y58" s="110">
        <f>'22'!K58</f>
        <v>13000</v>
      </c>
      <c r="Z58" s="110">
        <f>'23'!K58</f>
        <v>13000</v>
      </c>
      <c r="AA58" s="110">
        <f>'24'!K58</f>
        <v>13000</v>
      </c>
      <c r="AB58" s="110">
        <f>'25'!K58</f>
        <v>13500</v>
      </c>
      <c r="AC58" s="110">
        <f>'26'!K58</f>
        <v>13000</v>
      </c>
      <c r="AD58" s="110">
        <f>'27'!K58</f>
        <v>13833.333333333334</v>
      </c>
      <c r="AE58" s="110">
        <f>'28'!K58</f>
        <v>13500</v>
      </c>
      <c r="AF58" s="110">
        <f>'29'!K58</f>
        <v>13833.333333333334</v>
      </c>
      <c r="AG58" s="110">
        <f>'30'!K58</f>
        <v>13500</v>
      </c>
      <c r="AH58" s="18">
        <v>9200</v>
      </c>
      <c r="AI58" s="45">
        <f t="shared" si="0"/>
        <v>500</v>
      </c>
      <c r="AJ58" s="160">
        <f t="shared" si="1"/>
        <v>13105.555555555555</v>
      </c>
    </row>
    <row r="59" spans="1:36" x14ac:dyDescent="0.25">
      <c r="A59" s="127"/>
      <c r="B59" s="20" t="s">
        <v>52</v>
      </c>
      <c r="C59" s="17" t="s">
        <v>5</v>
      </c>
      <c r="D59" s="103">
        <f>'1'!K59</f>
        <v>23142.857142857141</v>
      </c>
      <c r="E59" s="103">
        <f>'2'!K59</f>
        <v>22714.285714285714</v>
      </c>
      <c r="F59" s="103">
        <f>'3'!K59</f>
        <v>22714.285714285714</v>
      </c>
      <c r="G59" s="103">
        <f>'4'!K59</f>
        <v>23142.857142857141</v>
      </c>
      <c r="H59" s="103">
        <f>'5'!K59</f>
        <v>22714.285714285714</v>
      </c>
      <c r="I59" s="103">
        <f>'6'!K59</f>
        <v>22714.285714285714</v>
      </c>
      <c r="J59" s="110">
        <f>'7'!K59</f>
        <v>22714.285714285714</v>
      </c>
      <c r="K59" s="110">
        <f>'8'!K59</f>
        <v>22714.285714285714</v>
      </c>
      <c r="L59" s="110">
        <f>'9'!K59</f>
        <v>22714.285714285714</v>
      </c>
      <c r="M59" s="110">
        <f>'10'!K59</f>
        <v>22285.714285714286</v>
      </c>
      <c r="N59" s="110">
        <f>'11'!K59</f>
        <v>22714.285714285714</v>
      </c>
      <c r="O59" s="110">
        <f>'12'!K59</f>
        <v>22714.285714285714</v>
      </c>
      <c r="P59" s="110">
        <f>'13'!K59</f>
        <v>22714.285714285714</v>
      </c>
      <c r="Q59" s="110">
        <f>'14'!K59</f>
        <v>22714.285714285714</v>
      </c>
      <c r="R59" s="110">
        <f>'15'!K59</f>
        <v>22714.285714285714</v>
      </c>
      <c r="S59" s="110">
        <f>'14'!K59</f>
        <v>22714.285714285714</v>
      </c>
      <c r="T59" s="110">
        <f>'17'!K59</f>
        <v>22285.714285714286</v>
      </c>
      <c r="U59" s="110">
        <f>'18'!K59</f>
        <v>22714.285714285714</v>
      </c>
      <c r="V59" s="110">
        <f>'19'!K59</f>
        <v>22714.285714285714</v>
      </c>
      <c r="W59" s="110">
        <f>'20'!K59</f>
        <v>23142.857142857141</v>
      </c>
      <c r="X59" s="110">
        <f>'21'!K59</f>
        <v>23142.857142857141</v>
      </c>
      <c r="Y59" s="110">
        <f>'22'!K59</f>
        <v>23142.857142857141</v>
      </c>
      <c r="Z59" s="110">
        <f>'23'!K59</f>
        <v>23142.857142857141</v>
      </c>
      <c r="AA59" s="110">
        <f>'24'!K59</f>
        <v>23142.857142857141</v>
      </c>
      <c r="AB59" s="110">
        <f>'25'!K59</f>
        <v>23142.857142857141</v>
      </c>
      <c r="AC59" s="110">
        <f>'26'!K59</f>
        <v>23142.857142857141</v>
      </c>
      <c r="AD59" s="110">
        <f>'27'!K59</f>
        <v>23142.857142857141</v>
      </c>
      <c r="AE59" s="110">
        <f>'28'!K59</f>
        <v>23142.857142857141</v>
      </c>
      <c r="AF59" s="110">
        <f>'29'!K59</f>
        <v>23142.857142857141</v>
      </c>
      <c r="AG59" s="110">
        <f>'30'!K59</f>
        <v>23142.857142857141</v>
      </c>
      <c r="AH59" s="18"/>
      <c r="AI59" s="125">
        <f t="shared" si="0"/>
        <v>0</v>
      </c>
      <c r="AJ59" s="160">
        <f t="shared" si="1"/>
        <v>22871.42857142858</v>
      </c>
    </row>
    <row r="60" spans="1:36" x14ac:dyDescent="0.25">
      <c r="A60" s="128"/>
      <c r="B60" s="20" t="s">
        <v>53</v>
      </c>
      <c r="C60" s="17" t="s">
        <v>5</v>
      </c>
      <c r="D60" s="103">
        <f>'1'!K60</f>
        <v>28714.285714285714</v>
      </c>
      <c r="E60" s="103">
        <f>'2'!K60</f>
        <v>29000</v>
      </c>
      <c r="F60" s="103">
        <f>'3'!K60</f>
        <v>29000</v>
      </c>
      <c r="G60" s="103">
        <f>'4'!K60</f>
        <v>28714.285714285714</v>
      </c>
      <c r="H60" s="103">
        <f>'5'!K60</f>
        <v>28714.285714285714</v>
      </c>
      <c r="I60" s="103">
        <f>'6'!K60</f>
        <v>28714.285714285714</v>
      </c>
      <c r="J60" s="110">
        <f>'7'!K60</f>
        <v>28714.285714285714</v>
      </c>
      <c r="K60" s="110">
        <f>'8'!K60</f>
        <v>28714.285714285714</v>
      </c>
      <c r="L60" s="110">
        <f>'9'!K60</f>
        <v>28714.285714285714</v>
      </c>
      <c r="M60" s="110">
        <f>'10'!K60</f>
        <v>29000</v>
      </c>
      <c r="N60" s="110">
        <f>'11'!K60</f>
        <v>28714.285714285714</v>
      </c>
      <c r="O60" s="110">
        <f>'12'!K60</f>
        <v>28714.285714285714</v>
      </c>
      <c r="P60" s="110">
        <f>'13'!K60</f>
        <v>28714.285714285714</v>
      </c>
      <c r="Q60" s="110">
        <f>'14'!K60</f>
        <v>28714.285714285714</v>
      </c>
      <c r="R60" s="110">
        <f>'15'!K60</f>
        <v>28714.285714285714</v>
      </c>
      <c r="S60" s="110">
        <f>'14'!K60</f>
        <v>28714.285714285714</v>
      </c>
      <c r="T60" s="110">
        <f>'17'!K60</f>
        <v>29000</v>
      </c>
      <c r="U60" s="110">
        <f>'18'!K60</f>
        <v>28714.285714285714</v>
      </c>
      <c r="V60" s="110">
        <f>'19'!K60</f>
        <v>28714.285714285714</v>
      </c>
      <c r="W60" s="110">
        <f>'20'!K60</f>
        <v>28571.428571428572</v>
      </c>
      <c r="X60" s="110">
        <f>'21'!K60</f>
        <v>28571.428571428572</v>
      </c>
      <c r="Y60" s="110">
        <f>'22'!K60</f>
        <v>28571.428571428572</v>
      </c>
      <c r="Z60" s="110">
        <f>'23'!K60</f>
        <v>28571.428571428572</v>
      </c>
      <c r="AA60" s="110">
        <f>'24'!K60</f>
        <v>28571.428571428572</v>
      </c>
      <c r="AB60" s="110">
        <f>'25'!K60</f>
        <v>28571.428571428572</v>
      </c>
      <c r="AC60" s="110">
        <f>'26'!K60</f>
        <v>28571.428571428572</v>
      </c>
      <c r="AD60" s="110">
        <f>'27'!K60</f>
        <v>28571.428571428572</v>
      </c>
      <c r="AE60" s="110">
        <f>'28'!K60</f>
        <v>28571.428571428572</v>
      </c>
      <c r="AF60" s="110">
        <f>'29'!K60</f>
        <v>28571.428571428572</v>
      </c>
      <c r="AG60" s="110">
        <f>'30'!K60</f>
        <v>28571.428571428572</v>
      </c>
      <c r="AH60" s="18"/>
      <c r="AI60" s="46">
        <f t="shared" si="0"/>
        <v>-142.8571428571413</v>
      </c>
      <c r="AJ60" s="160">
        <f t="shared" si="1"/>
        <v>28699.999999999989</v>
      </c>
    </row>
    <row r="61" spans="1:36" x14ac:dyDescent="0.25">
      <c r="A61" s="33">
        <v>16</v>
      </c>
      <c r="B61" s="21" t="s">
        <v>54</v>
      </c>
      <c r="C61" s="17"/>
      <c r="D61" s="103">
        <f>'1'!K61</f>
        <v>0</v>
      </c>
      <c r="E61" s="103">
        <f>'2'!K61</f>
        <v>0</v>
      </c>
      <c r="F61" s="103">
        <f>'3'!K61</f>
        <v>0</v>
      </c>
      <c r="G61" s="103">
        <f>'4'!K61</f>
        <v>0</v>
      </c>
      <c r="H61" s="103">
        <f>'5'!K61</f>
        <v>0</v>
      </c>
      <c r="I61" s="103">
        <f>'6'!K61</f>
        <v>0</v>
      </c>
      <c r="J61" s="110">
        <f>'7'!K61</f>
        <v>0</v>
      </c>
      <c r="K61" s="110">
        <f>'8'!K61</f>
        <v>0</v>
      </c>
      <c r="L61" s="110">
        <f>'9'!K61</f>
        <v>0</v>
      </c>
      <c r="M61" s="110">
        <f>'10'!K61</f>
        <v>0</v>
      </c>
      <c r="N61" s="110">
        <f>'11'!K61</f>
        <v>0</v>
      </c>
      <c r="O61" s="110">
        <f>'12'!K61</f>
        <v>0</v>
      </c>
      <c r="P61" s="110">
        <f>'13'!K61</f>
        <v>0</v>
      </c>
      <c r="Q61" s="110">
        <f>'14'!K61</f>
        <v>0</v>
      </c>
      <c r="R61" s="110">
        <f>'15'!K61</f>
        <v>0</v>
      </c>
      <c r="S61" s="110">
        <f>'14'!K61</f>
        <v>0</v>
      </c>
      <c r="T61" s="110">
        <f>'17'!K61</f>
        <v>0</v>
      </c>
      <c r="U61" s="110">
        <f>'18'!K61</f>
        <v>0</v>
      </c>
      <c r="V61" s="110">
        <f>'19'!K61</f>
        <v>0</v>
      </c>
      <c r="W61" s="110">
        <f>'20'!K61</f>
        <v>0</v>
      </c>
      <c r="X61" s="110">
        <f>'21'!K61</f>
        <v>0</v>
      </c>
      <c r="Y61" s="110">
        <f>'22'!K61</f>
        <v>0</v>
      </c>
      <c r="Z61" s="110">
        <f>'23'!K61</f>
        <v>0</v>
      </c>
      <c r="AA61" s="110">
        <f>'24'!K61</f>
        <v>0</v>
      </c>
      <c r="AB61" s="110">
        <f>'25'!K61</f>
        <v>0</v>
      </c>
      <c r="AC61" s="110">
        <f>'26'!K61</f>
        <v>0</v>
      </c>
      <c r="AD61" s="110">
        <f>'27'!K61</f>
        <v>0</v>
      </c>
      <c r="AE61" s="110">
        <f>'28'!K61</f>
        <v>0</v>
      </c>
      <c r="AF61" s="110">
        <f>'29'!K61</f>
        <v>0</v>
      </c>
      <c r="AG61" s="110">
        <f>'30'!K61</f>
        <v>0</v>
      </c>
      <c r="AH61" s="18"/>
      <c r="AI61" s="125">
        <f t="shared" si="0"/>
        <v>0</v>
      </c>
      <c r="AJ61" s="160">
        <f t="shared" si="1"/>
        <v>0</v>
      </c>
    </row>
    <row r="62" spans="1:36" x14ac:dyDescent="0.25">
      <c r="A62" s="34"/>
      <c r="B62" s="20" t="s">
        <v>55</v>
      </c>
      <c r="C62" s="17" t="s">
        <v>56</v>
      </c>
      <c r="D62" s="103">
        <f>'1'!K62</f>
        <v>3200</v>
      </c>
      <c r="E62" s="103">
        <f>'2'!K62</f>
        <v>3200</v>
      </c>
      <c r="F62" s="103">
        <f>'3'!K62</f>
        <v>3200</v>
      </c>
      <c r="G62" s="103">
        <f>'4'!K62</f>
        <v>3200</v>
      </c>
      <c r="H62" s="103">
        <f>'5'!K62</f>
        <v>3200</v>
      </c>
      <c r="I62" s="103">
        <f>'6'!K62</f>
        <v>3200</v>
      </c>
      <c r="J62" s="110">
        <f>'7'!K62</f>
        <v>3200</v>
      </c>
      <c r="K62" s="110">
        <f>'8'!K62</f>
        <v>3200</v>
      </c>
      <c r="L62" s="110">
        <f>'9'!K62</f>
        <v>3200</v>
      </c>
      <c r="M62" s="110">
        <f>'10'!K62</f>
        <v>3200</v>
      </c>
      <c r="N62" s="110">
        <f>'11'!K62</f>
        <v>3200</v>
      </c>
      <c r="O62" s="110">
        <f>'12'!K62</f>
        <v>3200</v>
      </c>
      <c r="P62" s="110">
        <f>'13'!K62</f>
        <v>3200</v>
      </c>
      <c r="Q62" s="110">
        <f>'14'!K62</f>
        <v>3200</v>
      </c>
      <c r="R62" s="110">
        <f>'15'!K62</f>
        <v>3200</v>
      </c>
      <c r="S62" s="110">
        <f>'14'!K62</f>
        <v>3200</v>
      </c>
      <c r="T62" s="110">
        <f>'17'!K62</f>
        <v>3200</v>
      </c>
      <c r="U62" s="110">
        <f>'18'!K62</f>
        <v>3200</v>
      </c>
      <c r="V62" s="110">
        <f>'19'!K62</f>
        <v>3200</v>
      </c>
      <c r="W62" s="110">
        <f>'20'!K62</f>
        <v>3200</v>
      </c>
      <c r="X62" s="110">
        <f>'21'!K62</f>
        <v>3200</v>
      </c>
      <c r="Y62" s="110">
        <f>'22'!K62</f>
        <v>3200</v>
      </c>
      <c r="Z62" s="110">
        <f>'23'!K62</f>
        <v>3200</v>
      </c>
      <c r="AA62" s="110">
        <f>'24'!K62</f>
        <v>3200</v>
      </c>
      <c r="AB62" s="110">
        <f>'25'!K62</f>
        <v>3200</v>
      </c>
      <c r="AC62" s="110">
        <f>'26'!K62</f>
        <v>3200</v>
      </c>
      <c r="AD62" s="110">
        <f>'27'!K62</f>
        <v>3200</v>
      </c>
      <c r="AE62" s="110">
        <f>'28'!K62</f>
        <v>3200</v>
      </c>
      <c r="AF62" s="110">
        <f>'29'!K62</f>
        <v>3200</v>
      </c>
      <c r="AG62" s="110">
        <f>'30'!K62</f>
        <v>3200</v>
      </c>
      <c r="AH62" s="18"/>
      <c r="AI62" s="125">
        <f t="shared" si="0"/>
        <v>0</v>
      </c>
      <c r="AJ62" s="160">
        <f t="shared" si="1"/>
        <v>3200</v>
      </c>
    </row>
    <row r="63" spans="1:36" x14ac:dyDescent="0.25">
      <c r="A63" s="126">
        <v>17</v>
      </c>
      <c r="B63" s="21" t="s">
        <v>57</v>
      </c>
      <c r="C63" s="21"/>
      <c r="D63" s="103">
        <f>'1'!K63</f>
        <v>0</v>
      </c>
      <c r="E63" s="103">
        <f>'2'!K63</f>
        <v>0</v>
      </c>
      <c r="F63" s="103">
        <f>'3'!K63</f>
        <v>0</v>
      </c>
      <c r="G63" s="103">
        <f>'4'!K63</f>
        <v>0</v>
      </c>
      <c r="H63" s="103">
        <f>'5'!K63</f>
        <v>0</v>
      </c>
      <c r="I63" s="103">
        <f>'6'!K63</f>
        <v>0</v>
      </c>
      <c r="J63" s="110">
        <f>'7'!K63</f>
        <v>0</v>
      </c>
      <c r="K63" s="110">
        <f>'8'!K63</f>
        <v>0</v>
      </c>
      <c r="L63" s="110">
        <f>'9'!K63</f>
        <v>0</v>
      </c>
      <c r="M63" s="110">
        <f>'10'!K63</f>
        <v>0</v>
      </c>
      <c r="N63" s="110">
        <f>'11'!K63</f>
        <v>0</v>
      </c>
      <c r="O63" s="110">
        <f>'12'!K63</f>
        <v>0</v>
      </c>
      <c r="P63" s="110">
        <f>'13'!K63</f>
        <v>0</v>
      </c>
      <c r="Q63" s="110">
        <f>'14'!K63</f>
        <v>0</v>
      </c>
      <c r="R63" s="110">
        <f>'15'!K63</f>
        <v>0</v>
      </c>
      <c r="S63" s="110">
        <f>'14'!K63</f>
        <v>0</v>
      </c>
      <c r="T63" s="110">
        <f>'17'!K63</f>
        <v>0</v>
      </c>
      <c r="U63" s="110">
        <f>'18'!K63</f>
        <v>0</v>
      </c>
      <c r="V63" s="110">
        <f>'19'!K63</f>
        <v>0</v>
      </c>
      <c r="W63" s="110">
        <f>'20'!K63</f>
        <v>0</v>
      </c>
      <c r="X63" s="110">
        <f>'21'!K63</f>
        <v>0</v>
      </c>
      <c r="Y63" s="110">
        <f>'22'!K63</f>
        <v>0</v>
      </c>
      <c r="Z63" s="110">
        <f>'23'!K63</f>
        <v>0</v>
      </c>
      <c r="AA63" s="110">
        <f>'24'!K63</f>
        <v>0</v>
      </c>
      <c r="AB63" s="110">
        <f>'25'!K63</f>
        <v>0</v>
      </c>
      <c r="AC63" s="110">
        <f>'26'!K63</f>
        <v>0</v>
      </c>
      <c r="AD63" s="110">
        <f>'27'!K63</f>
        <v>0</v>
      </c>
      <c r="AE63" s="110">
        <f>'28'!K63</f>
        <v>0</v>
      </c>
      <c r="AF63" s="110">
        <f>'29'!K63</f>
        <v>0</v>
      </c>
      <c r="AG63" s="110">
        <f>'30'!K63</f>
        <v>0</v>
      </c>
      <c r="AH63" s="18"/>
      <c r="AI63" s="125">
        <f t="shared" si="0"/>
        <v>0</v>
      </c>
      <c r="AJ63" s="160">
        <f t="shared" si="1"/>
        <v>0</v>
      </c>
    </row>
    <row r="64" spans="1:36" x14ac:dyDescent="0.25">
      <c r="A64" s="127"/>
      <c r="B64" s="20" t="s">
        <v>58</v>
      </c>
      <c r="C64" s="17" t="s">
        <v>5</v>
      </c>
      <c r="D64" s="103">
        <f>'1'!K64</f>
        <v>35857.142857142855</v>
      </c>
      <c r="E64" s="103">
        <f>'2'!K64</f>
        <v>33285.714285714283</v>
      </c>
      <c r="F64" s="103">
        <f>'3'!K64</f>
        <v>32142.857142857141</v>
      </c>
      <c r="G64" s="103">
        <f>'4'!K64</f>
        <v>33000</v>
      </c>
      <c r="H64" s="103">
        <f>'5'!K64</f>
        <v>31000</v>
      </c>
      <c r="I64" s="103">
        <f>'6'!K64</f>
        <v>29714.285714285714</v>
      </c>
      <c r="J64" s="110">
        <f>'7'!K64</f>
        <v>28857.142857142859</v>
      </c>
      <c r="K64" s="110">
        <f>'8'!K64</f>
        <v>28857.142857142859</v>
      </c>
      <c r="L64" s="110">
        <f>'9'!K64</f>
        <v>28857.142857142859</v>
      </c>
      <c r="M64" s="110">
        <f>'10'!K64</f>
        <v>28857.142857142859</v>
      </c>
      <c r="N64" s="110">
        <f>'11'!K64</f>
        <v>29142.857142857141</v>
      </c>
      <c r="O64" s="110">
        <f>'12'!K64</f>
        <v>28142.857142857141</v>
      </c>
      <c r="P64" s="110">
        <f>'13'!K64</f>
        <v>28000</v>
      </c>
      <c r="Q64" s="110">
        <f>'14'!K64</f>
        <v>28428.571428571428</v>
      </c>
      <c r="R64" s="110">
        <f>'15'!K64</f>
        <v>26285.714285714286</v>
      </c>
      <c r="S64" s="110">
        <f>'14'!K64</f>
        <v>28428.571428571428</v>
      </c>
      <c r="T64" s="110">
        <f>'17'!K64</f>
        <v>25571.428571428572</v>
      </c>
      <c r="U64" s="110">
        <f>'18'!K64</f>
        <v>26285.714285714286</v>
      </c>
      <c r="V64" s="110">
        <f>'19'!K64</f>
        <v>26428.571428571428</v>
      </c>
      <c r="W64" s="110">
        <f>'20'!K64</f>
        <v>23857.142857142859</v>
      </c>
      <c r="X64" s="110">
        <f>'21'!K64</f>
        <v>24571.428571428572</v>
      </c>
      <c r="Y64" s="110">
        <f>'22'!K64</f>
        <v>25000</v>
      </c>
      <c r="Z64" s="110">
        <f>'23'!K64</f>
        <v>24714.285714285714</v>
      </c>
      <c r="AA64" s="110">
        <f>'24'!K64</f>
        <v>24714.285714285714</v>
      </c>
      <c r="AB64" s="110">
        <f>'25'!K64</f>
        <v>26571.428571428572</v>
      </c>
      <c r="AC64" s="110">
        <f>'26'!K64</f>
        <v>25714.285714285714</v>
      </c>
      <c r="AD64" s="110">
        <f>'27'!K64</f>
        <v>27000</v>
      </c>
      <c r="AE64" s="110">
        <f>'28'!K64</f>
        <v>27428.571428571428</v>
      </c>
      <c r="AF64" s="110">
        <f>'29'!K64</f>
        <v>27285.714285714286</v>
      </c>
      <c r="AG64" s="110">
        <f>'30'!K64</f>
        <v>28000</v>
      </c>
      <c r="AH64" s="18"/>
      <c r="AI64" s="46">
        <f t="shared" si="0"/>
        <v>-7857.1428571428551</v>
      </c>
      <c r="AJ64" s="160">
        <f t="shared" si="1"/>
        <v>28066.666666666664</v>
      </c>
    </row>
    <row r="65" spans="1:36" x14ac:dyDescent="0.25">
      <c r="A65" s="127"/>
      <c r="B65" s="20" t="s">
        <v>59</v>
      </c>
      <c r="C65" s="17" t="s">
        <v>5</v>
      </c>
      <c r="D65" s="103">
        <f>'1'!K65</f>
        <v>31600</v>
      </c>
      <c r="E65" s="103">
        <f>'2'!K65</f>
        <v>33600</v>
      </c>
      <c r="F65" s="103">
        <f>'3'!K65</f>
        <v>33800</v>
      </c>
      <c r="G65" s="103">
        <f>'4'!K65</f>
        <v>32200</v>
      </c>
      <c r="H65" s="103">
        <f>'5'!K65</f>
        <v>31200</v>
      </c>
      <c r="I65" s="103">
        <f>'6'!K65</f>
        <v>30800</v>
      </c>
      <c r="J65" s="110">
        <f>'7'!K65</f>
        <v>29600</v>
      </c>
      <c r="K65" s="110">
        <f>'8'!K65</f>
        <v>29600</v>
      </c>
      <c r="L65" s="110">
        <f>'9'!K65</f>
        <v>28166.666666666668</v>
      </c>
      <c r="M65" s="110">
        <f>'10'!K65</f>
        <v>29166.666666666668</v>
      </c>
      <c r="N65" s="110">
        <f>'11'!K65</f>
        <v>26666.666666666668</v>
      </c>
      <c r="O65" s="110">
        <f>'12'!K65</f>
        <v>26000</v>
      </c>
      <c r="P65" s="110">
        <f>'13'!K65</f>
        <v>26000</v>
      </c>
      <c r="Q65" s="110">
        <f>'14'!K65</f>
        <v>26666.666666666668</v>
      </c>
      <c r="R65" s="110">
        <f>'15'!K65</f>
        <v>24833.333333333332</v>
      </c>
      <c r="S65" s="110">
        <f>'14'!K65</f>
        <v>26666.666666666668</v>
      </c>
      <c r="T65" s="110">
        <f>'17'!K65</f>
        <v>24833.333333333332</v>
      </c>
      <c r="U65" s="110">
        <f>'18'!K65</f>
        <v>25166.666666666668</v>
      </c>
      <c r="V65" s="110">
        <f>'19'!K65</f>
        <v>25000</v>
      </c>
      <c r="W65" s="110">
        <f>'20'!K65</f>
        <v>22500</v>
      </c>
      <c r="X65" s="110">
        <f>'21'!K65</f>
        <v>22666.666666666668</v>
      </c>
      <c r="Y65" s="110">
        <f>'22'!K65</f>
        <v>23833.333333333332</v>
      </c>
      <c r="Z65" s="110">
        <f>'23'!K65</f>
        <v>23000</v>
      </c>
      <c r="AA65" s="110">
        <f>'24'!K65</f>
        <v>23500</v>
      </c>
      <c r="AB65" s="110">
        <f>'25'!K65</f>
        <v>25166.666666666668</v>
      </c>
      <c r="AC65" s="110">
        <f>'26'!K65</f>
        <v>24333.333333333332</v>
      </c>
      <c r="AD65" s="110">
        <f>'27'!K65</f>
        <v>24333.333333333332</v>
      </c>
      <c r="AE65" s="110">
        <f>'28'!K65</f>
        <v>25000</v>
      </c>
      <c r="AF65" s="110">
        <f>'29'!K65</f>
        <v>24166.666666666668</v>
      </c>
      <c r="AG65" s="110">
        <f>'30'!K65</f>
        <v>25000</v>
      </c>
      <c r="AH65" s="18"/>
      <c r="AI65" s="46">
        <f t="shared" si="0"/>
        <v>-6600</v>
      </c>
      <c r="AJ65" s="160">
        <f t="shared" si="1"/>
        <v>26835.555555555558</v>
      </c>
    </row>
    <row r="66" spans="1:36" x14ac:dyDescent="0.25">
      <c r="A66" s="128"/>
      <c r="B66" s="20" t="s">
        <v>60</v>
      </c>
      <c r="C66" s="17" t="s">
        <v>5</v>
      </c>
      <c r="D66" s="103">
        <f>'1'!K66</f>
        <v>27000</v>
      </c>
      <c r="E66" s="103">
        <f>'2'!K66</f>
        <v>25714.285714285714</v>
      </c>
      <c r="F66" s="103">
        <f>'3'!K66</f>
        <v>25428.571428571428</v>
      </c>
      <c r="G66" s="103">
        <f>'4'!K66</f>
        <v>25428.571428571428</v>
      </c>
      <c r="H66" s="103">
        <f>'5'!K66</f>
        <v>24285.714285714286</v>
      </c>
      <c r="I66" s="103">
        <f>'6'!K66</f>
        <v>24285.714285714286</v>
      </c>
      <c r="J66" s="110">
        <f>'7'!K66</f>
        <v>23571.428571428572</v>
      </c>
      <c r="K66" s="110">
        <f>'8'!K66</f>
        <v>23857.142857142859</v>
      </c>
      <c r="L66" s="110">
        <f>'9'!K66</f>
        <v>23857.142857142859</v>
      </c>
      <c r="M66" s="110">
        <f>'10'!K66</f>
        <v>24285.714285714286</v>
      </c>
      <c r="N66" s="110">
        <f>'11'!K66</f>
        <v>24428.571428571428</v>
      </c>
      <c r="O66" s="110">
        <f>'12'!K66</f>
        <v>23714.285714285714</v>
      </c>
      <c r="P66" s="110">
        <f>'13'!K66</f>
        <v>23857.142857142859</v>
      </c>
      <c r="Q66" s="110">
        <f>'14'!K66</f>
        <v>24000</v>
      </c>
      <c r="R66" s="110">
        <f>'15'!K66</f>
        <v>22857.142857142859</v>
      </c>
      <c r="S66" s="110">
        <f>'14'!K66</f>
        <v>24000</v>
      </c>
      <c r="T66" s="110">
        <f>'17'!K66</f>
        <v>24000</v>
      </c>
      <c r="U66" s="110">
        <f>'18'!K66</f>
        <v>23000</v>
      </c>
      <c r="V66" s="110">
        <f>'19'!K66</f>
        <v>23285.714285714286</v>
      </c>
      <c r="W66" s="110">
        <f>'20'!K66</f>
        <v>21571.428571428572</v>
      </c>
      <c r="X66" s="110">
        <f>'21'!K66</f>
        <v>21714.285714285714</v>
      </c>
      <c r="Y66" s="110">
        <f>'22'!K66</f>
        <v>21857.142857142859</v>
      </c>
      <c r="Z66" s="110">
        <f>'23'!K66</f>
        <v>21857.142857142859</v>
      </c>
      <c r="AA66" s="110">
        <f>'24'!K66</f>
        <v>22285.714285714286</v>
      </c>
      <c r="AB66" s="110">
        <f>'25'!K66</f>
        <v>21714.285714285714</v>
      </c>
      <c r="AC66" s="110">
        <f>'26'!K66</f>
        <v>21571.428571428572</v>
      </c>
      <c r="AD66" s="110">
        <f>'27'!K66</f>
        <v>23142.857142857141</v>
      </c>
      <c r="AE66" s="110">
        <f>'28'!K66</f>
        <v>22714.285714285714</v>
      </c>
      <c r="AF66" s="110">
        <f>'29'!K66</f>
        <v>23571.428571428572</v>
      </c>
      <c r="AG66" s="110">
        <f>'30'!K66</f>
        <v>23142.857142857141</v>
      </c>
      <c r="AH66" s="18"/>
      <c r="AI66" s="46">
        <f t="shared" si="0"/>
        <v>-3857.1428571428587</v>
      </c>
      <c r="AJ66" s="160">
        <f t="shared" si="1"/>
        <v>23533.333333333328</v>
      </c>
    </row>
    <row r="67" spans="1:36" x14ac:dyDescent="0.25">
      <c r="A67" s="33">
        <v>18</v>
      </c>
      <c r="B67" s="21" t="s">
        <v>61</v>
      </c>
      <c r="C67" s="17"/>
      <c r="D67" s="103">
        <f>'1'!K67</f>
        <v>0</v>
      </c>
      <c r="E67" s="103">
        <f>'2'!K67</f>
        <v>0</v>
      </c>
      <c r="F67" s="103">
        <f>'3'!K67</f>
        <v>0</v>
      </c>
      <c r="G67" s="103">
        <f>'4'!K67</f>
        <v>0</v>
      </c>
      <c r="H67" s="103">
        <f>'5'!K67</f>
        <v>0</v>
      </c>
      <c r="I67" s="103">
        <f>'6'!K67</f>
        <v>0</v>
      </c>
      <c r="J67" s="110">
        <f>'7'!K67</f>
        <v>0</v>
      </c>
      <c r="K67" s="110">
        <f>'8'!K67</f>
        <v>0</v>
      </c>
      <c r="L67" s="110">
        <f>'9'!K67</f>
        <v>0</v>
      </c>
      <c r="M67" s="110">
        <f>'10'!K67</f>
        <v>0</v>
      </c>
      <c r="N67" s="110">
        <f>'11'!K67</f>
        <v>0</v>
      </c>
      <c r="O67" s="110">
        <f>'12'!K67</f>
        <v>0</v>
      </c>
      <c r="P67" s="110">
        <f>'13'!K67</f>
        <v>0</v>
      </c>
      <c r="Q67" s="110">
        <f>'14'!K67</f>
        <v>0</v>
      </c>
      <c r="R67" s="110">
        <f>'15'!K67</f>
        <v>0</v>
      </c>
      <c r="S67" s="110">
        <f>'14'!K67</f>
        <v>0</v>
      </c>
      <c r="T67" s="110">
        <f>'17'!K67</f>
        <v>0</v>
      </c>
      <c r="U67" s="110">
        <f>'18'!K67</f>
        <v>0</v>
      </c>
      <c r="V67" s="110">
        <f>'19'!K67</f>
        <v>0</v>
      </c>
      <c r="W67" s="110">
        <f>'20'!K67</f>
        <v>0</v>
      </c>
      <c r="X67" s="110">
        <f>'21'!K67</f>
        <v>0</v>
      </c>
      <c r="Y67" s="110">
        <f>'22'!K67</f>
        <v>0</v>
      </c>
      <c r="Z67" s="110">
        <f>'23'!K67</f>
        <v>0</v>
      </c>
      <c r="AA67" s="110">
        <f>'24'!K67</f>
        <v>0</v>
      </c>
      <c r="AB67" s="110">
        <f>'25'!K67</f>
        <v>0</v>
      </c>
      <c r="AC67" s="110">
        <f>'26'!K67</f>
        <v>0</v>
      </c>
      <c r="AD67" s="110">
        <f>'27'!K67</f>
        <v>0</v>
      </c>
      <c r="AE67" s="110">
        <f>'28'!K67</f>
        <v>0</v>
      </c>
      <c r="AF67" s="110">
        <f>'29'!K67</f>
        <v>0</v>
      </c>
      <c r="AG67" s="110">
        <f>'30'!K67</f>
        <v>0</v>
      </c>
      <c r="AH67" s="18"/>
      <c r="AI67" s="125">
        <f t="shared" si="0"/>
        <v>0</v>
      </c>
      <c r="AJ67" s="160">
        <f t="shared" si="1"/>
        <v>0</v>
      </c>
    </row>
    <row r="68" spans="1:36" x14ac:dyDescent="0.25">
      <c r="A68" s="34"/>
      <c r="B68" s="20" t="s">
        <v>62</v>
      </c>
      <c r="C68" s="17" t="s">
        <v>63</v>
      </c>
      <c r="D68" s="103">
        <f>'1'!K68</f>
        <v>18666.666666666668</v>
      </c>
      <c r="E68" s="103">
        <f>'2'!K68</f>
        <v>18666.666666666668</v>
      </c>
      <c r="F68" s="103">
        <f>'3'!K68</f>
        <v>18666.666666666668</v>
      </c>
      <c r="G68" s="103">
        <f>'4'!K68</f>
        <v>18666.666666666668</v>
      </c>
      <c r="H68" s="103">
        <f>'5'!K68</f>
        <v>18666.666666666668</v>
      </c>
      <c r="I68" s="103">
        <f>'6'!K68</f>
        <v>18666.666666666668</v>
      </c>
      <c r="J68" s="110">
        <f>'7'!K68</f>
        <v>18666.666666666668</v>
      </c>
      <c r="K68" s="110">
        <f>'8'!K68</f>
        <v>18666.666666666668</v>
      </c>
      <c r="L68" s="110">
        <f>'9'!K68</f>
        <v>18666.666666666668</v>
      </c>
      <c r="M68" s="110">
        <f>'10'!K68</f>
        <v>18666.666666666668</v>
      </c>
      <c r="N68" s="110">
        <f>'11'!K68</f>
        <v>18666.666666666668</v>
      </c>
      <c r="O68" s="110">
        <f>'12'!K68</f>
        <v>18666.666666666668</v>
      </c>
      <c r="P68" s="110">
        <f>'13'!K68</f>
        <v>18666.666666666668</v>
      </c>
      <c r="Q68" s="110">
        <f>'14'!K68</f>
        <v>18666.666666666668</v>
      </c>
      <c r="R68" s="110">
        <f>'15'!K68</f>
        <v>18666.666666666668</v>
      </c>
      <c r="S68" s="110">
        <f>'14'!K68</f>
        <v>18666.666666666668</v>
      </c>
      <c r="T68" s="110">
        <f>'17'!K68</f>
        <v>18666.666666666668</v>
      </c>
      <c r="U68" s="110">
        <f>'18'!K68</f>
        <v>18666.666666666668</v>
      </c>
      <c r="V68" s="110">
        <f>'19'!K68</f>
        <v>18666.666666666668</v>
      </c>
      <c r="W68" s="110">
        <f>'20'!K68</f>
        <v>18666.666666666668</v>
      </c>
      <c r="X68" s="110">
        <f>'21'!K68</f>
        <v>18666.666666666668</v>
      </c>
      <c r="Y68" s="110">
        <f>'22'!K68</f>
        <v>18666.666666666668</v>
      </c>
      <c r="Z68" s="110">
        <f>'23'!K68</f>
        <v>18666.666666666668</v>
      </c>
      <c r="AA68" s="110">
        <f>'24'!K68</f>
        <v>18666.666666666668</v>
      </c>
      <c r="AB68" s="110">
        <f>'25'!K68</f>
        <v>18666.666666666668</v>
      </c>
      <c r="AC68" s="110">
        <f>'26'!K68</f>
        <v>18666.666666666668</v>
      </c>
      <c r="AD68" s="110">
        <f>'27'!K68</f>
        <v>18666.666666666668</v>
      </c>
      <c r="AE68" s="110">
        <f>'28'!K68</f>
        <v>18666.666666666668</v>
      </c>
      <c r="AF68" s="110">
        <f>'29'!K68</f>
        <v>18666.666666666668</v>
      </c>
      <c r="AG68" s="110">
        <f>'30'!K68</f>
        <v>18666.666666666668</v>
      </c>
      <c r="AH68" s="18"/>
      <c r="AI68" s="125">
        <f t="shared" si="0"/>
        <v>0</v>
      </c>
      <c r="AJ68" s="160">
        <f t="shared" si="1"/>
        <v>18666.666666666672</v>
      </c>
    </row>
    <row r="69" spans="1:36" x14ac:dyDescent="0.25">
      <c r="A69" s="126">
        <v>19</v>
      </c>
      <c r="B69" s="21" t="s">
        <v>64</v>
      </c>
      <c r="C69" s="21"/>
      <c r="D69" s="103">
        <f>'1'!K69</f>
        <v>0</v>
      </c>
      <c r="E69" s="103">
        <f>'2'!K69</f>
        <v>0</v>
      </c>
      <c r="F69" s="103">
        <f>'3'!K69</f>
        <v>0</v>
      </c>
      <c r="G69" s="103">
        <f>'4'!K69</f>
        <v>0</v>
      </c>
      <c r="H69" s="103">
        <f>'5'!K69</f>
        <v>0</v>
      </c>
      <c r="I69" s="103">
        <f>'6'!K69</f>
        <v>0</v>
      </c>
      <c r="J69" s="110">
        <f>'7'!K69</f>
        <v>0</v>
      </c>
      <c r="K69" s="110">
        <f>'8'!K69</f>
        <v>0</v>
      </c>
      <c r="L69" s="110">
        <f>'9'!K69</f>
        <v>0</v>
      </c>
      <c r="M69" s="110">
        <f>'10'!K69</f>
        <v>0</v>
      </c>
      <c r="N69" s="110">
        <f>'11'!K69</f>
        <v>0</v>
      </c>
      <c r="O69" s="110">
        <f>'12'!K69</f>
        <v>0</v>
      </c>
      <c r="P69" s="110">
        <f>'13'!K69</f>
        <v>0</v>
      </c>
      <c r="Q69" s="110">
        <f>'14'!K69</f>
        <v>0</v>
      </c>
      <c r="R69" s="110">
        <f>'15'!K69</f>
        <v>0</v>
      </c>
      <c r="S69" s="110">
        <f>'14'!K69</f>
        <v>0</v>
      </c>
      <c r="T69" s="110">
        <f>'17'!K69</f>
        <v>0</v>
      </c>
      <c r="U69" s="110">
        <f>'18'!K69</f>
        <v>0</v>
      </c>
      <c r="V69" s="110">
        <f>'19'!K69</f>
        <v>0</v>
      </c>
      <c r="W69" s="110">
        <f>'20'!K69</f>
        <v>0</v>
      </c>
      <c r="X69" s="110">
        <f>'21'!K69</f>
        <v>0</v>
      </c>
      <c r="Y69" s="110">
        <f>'22'!K69</f>
        <v>0</v>
      </c>
      <c r="Z69" s="110">
        <f>'23'!K69</f>
        <v>0</v>
      </c>
      <c r="AA69" s="110">
        <f>'24'!K69</f>
        <v>0</v>
      </c>
      <c r="AB69" s="110">
        <f>'25'!K69</f>
        <v>0</v>
      </c>
      <c r="AC69" s="110">
        <f>'26'!K69</f>
        <v>0</v>
      </c>
      <c r="AD69" s="110">
        <f>'27'!K69</f>
        <v>0</v>
      </c>
      <c r="AE69" s="110">
        <f>'28'!K69</f>
        <v>0</v>
      </c>
      <c r="AF69" s="110">
        <f>'29'!K69</f>
        <v>0</v>
      </c>
      <c r="AG69" s="110">
        <f>'30'!K69</f>
        <v>0</v>
      </c>
      <c r="AH69" s="18"/>
      <c r="AI69" s="125">
        <f t="shared" si="0"/>
        <v>0</v>
      </c>
      <c r="AJ69" s="160">
        <f t="shared" si="1"/>
        <v>0</v>
      </c>
    </row>
    <row r="70" spans="1:36" x14ac:dyDescent="0.25">
      <c r="A70" s="127"/>
      <c r="B70" s="20" t="s">
        <v>65</v>
      </c>
      <c r="C70" s="17" t="s">
        <v>5</v>
      </c>
      <c r="D70" s="103">
        <f>'1'!K70</f>
        <v>34857.142857142855</v>
      </c>
      <c r="E70" s="103">
        <f>'2'!K70</f>
        <v>34571.428571428572</v>
      </c>
      <c r="F70" s="103">
        <f>'3'!K70</f>
        <v>35000</v>
      </c>
      <c r="G70" s="103">
        <f>'4'!K70</f>
        <v>34428.571428571428</v>
      </c>
      <c r="H70" s="103">
        <f>'5'!K70</f>
        <v>35571.428571428572</v>
      </c>
      <c r="I70" s="103">
        <f>'6'!K70</f>
        <v>36000</v>
      </c>
      <c r="J70" s="110">
        <f>'7'!K70</f>
        <v>36000</v>
      </c>
      <c r="K70" s="110">
        <f>'8'!K70</f>
        <v>35428.571428571428</v>
      </c>
      <c r="L70" s="110">
        <f>'9'!K70</f>
        <v>35142.857142857145</v>
      </c>
      <c r="M70" s="110">
        <f>'10'!K70</f>
        <v>35428.571428571428</v>
      </c>
      <c r="N70" s="110">
        <f>'11'!K70</f>
        <v>35285.714285714283</v>
      </c>
      <c r="O70" s="110">
        <f>'12'!K70</f>
        <v>34714.285714285717</v>
      </c>
      <c r="P70" s="110">
        <f>'13'!K70</f>
        <v>34571.428571428572</v>
      </c>
      <c r="Q70" s="110">
        <f>'14'!K70</f>
        <v>35000</v>
      </c>
      <c r="R70" s="110">
        <f>'15'!K70</f>
        <v>34857.142857142855</v>
      </c>
      <c r="S70" s="110">
        <f>'14'!K70</f>
        <v>35000</v>
      </c>
      <c r="T70" s="110">
        <f>'17'!K70</f>
        <v>34857.142857142855</v>
      </c>
      <c r="U70" s="110">
        <f>'18'!K70</f>
        <v>34857.142857142855</v>
      </c>
      <c r="V70" s="110">
        <f>'19'!K70</f>
        <v>34428.571428571428</v>
      </c>
      <c r="W70" s="110">
        <f>'20'!K70</f>
        <v>34571.428571428572</v>
      </c>
      <c r="X70" s="110">
        <f>'21'!K70</f>
        <v>34428.571428571428</v>
      </c>
      <c r="Y70" s="110">
        <f>'22'!K70</f>
        <v>34571.428571428572</v>
      </c>
      <c r="Z70" s="110">
        <f>'23'!K70</f>
        <v>34428.571428571428</v>
      </c>
      <c r="AA70" s="110">
        <f>'24'!K70</f>
        <v>34428.571428571428</v>
      </c>
      <c r="AB70" s="110">
        <f>'25'!K70</f>
        <v>35000</v>
      </c>
      <c r="AC70" s="110">
        <f>'26'!K70</f>
        <v>35000</v>
      </c>
      <c r="AD70" s="110">
        <f>'27'!K70</f>
        <v>35142.857142857145</v>
      </c>
      <c r="AE70" s="110">
        <f>'28'!K70</f>
        <v>35142.857142857145</v>
      </c>
      <c r="AF70" s="110">
        <f>'29'!K70</f>
        <v>34857.142857142855</v>
      </c>
      <c r="AG70" s="110">
        <f>'30'!K70</f>
        <v>35000</v>
      </c>
      <c r="AH70" s="18"/>
      <c r="AI70" s="45">
        <f t="shared" si="0"/>
        <v>142.85714285714494</v>
      </c>
      <c r="AJ70" s="160">
        <f t="shared" si="1"/>
        <v>34952.380952380954</v>
      </c>
    </row>
    <row r="71" spans="1:36" x14ac:dyDescent="0.25">
      <c r="A71" s="127"/>
      <c r="B71" s="20" t="s">
        <v>66</v>
      </c>
      <c r="C71" s="17" t="s">
        <v>5</v>
      </c>
      <c r="D71" s="103">
        <f>'1'!K71</f>
        <v>32285.714285714286</v>
      </c>
      <c r="E71" s="103">
        <f>'2'!K71</f>
        <v>32142.857142857141</v>
      </c>
      <c r="F71" s="103">
        <f>'3'!K71</f>
        <v>32428.571428571428</v>
      </c>
      <c r="G71" s="103">
        <f>'4'!K71</f>
        <v>31857.142857142859</v>
      </c>
      <c r="H71" s="103">
        <f>'5'!K71</f>
        <v>32428.571428571428</v>
      </c>
      <c r="I71" s="103">
        <f>'6'!K71</f>
        <v>32857.142857142855</v>
      </c>
      <c r="J71" s="110">
        <f>'7'!K71</f>
        <v>32714.285714285714</v>
      </c>
      <c r="K71" s="110">
        <f>'8'!K71</f>
        <v>33000</v>
      </c>
      <c r="L71" s="110">
        <f>'9'!K71</f>
        <v>32857.142857142855</v>
      </c>
      <c r="M71" s="110">
        <f>'10'!K71</f>
        <v>33000</v>
      </c>
      <c r="N71" s="110">
        <f>'11'!K71</f>
        <v>32714.285714285714</v>
      </c>
      <c r="O71" s="110">
        <f>'12'!K71</f>
        <v>32285.714285714286</v>
      </c>
      <c r="P71" s="110">
        <f>'13'!K71</f>
        <v>32285.714285714286</v>
      </c>
      <c r="Q71" s="110">
        <f>'14'!K71</f>
        <v>32571.428571428572</v>
      </c>
      <c r="R71" s="110">
        <f>'15'!K71</f>
        <v>32571.428571428572</v>
      </c>
      <c r="S71" s="110">
        <f>'14'!K71</f>
        <v>32571.428571428572</v>
      </c>
      <c r="T71" s="110">
        <f>'17'!K71</f>
        <v>32428.571428571428</v>
      </c>
      <c r="U71" s="110">
        <f>'18'!K71</f>
        <v>32285.714285714286</v>
      </c>
      <c r="V71" s="110">
        <f>'19'!K71</f>
        <v>32000</v>
      </c>
      <c r="W71" s="110">
        <f>'20'!K71</f>
        <v>32571.428571428572</v>
      </c>
      <c r="X71" s="110">
        <f>'21'!K71</f>
        <v>32571.428571428572</v>
      </c>
      <c r="Y71" s="110">
        <f>'22'!K71</f>
        <v>32714.285714285714</v>
      </c>
      <c r="Z71" s="110">
        <f>'23'!K71</f>
        <v>32571.428571428572</v>
      </c>
      <c r="AA71" s="110">
        <f>'24'!K71</f>
        <v>32571.428571428572</v>
      </c>
      <c r="AB71" s="110">
        <f>'25'!K71</f>
        <v>33000</v>
      </c>
      <c r="AC71" s="110">
        <f>'26'!K71</f>
        <v>32714.285714285714</v>
      </c>
      <c r="AD71" s="110">
        <f>'27'!K71</f>
        <v>32714.285714285714</v>
      </c>
      <c r="AE71" s="110">
        <f>'28'!K71</f>
        <v>33000</v>
      </c>
      <c r="AF71" s="110">
        <f>'29'!K71</f>
        <v>32857.142857142855</v>
      </c>
      <c r="AG71" s="110">
        <f>'30'!K71</f>
        <v>33000</v>
      </c>
      <c r="AH71" s="18"/>
      <c r="AI71" s="45">
        <f t="shared" si="0"/>
        <v>714.28571428571377</v>
      </c>
      <c r="AJ71" s="160">
        <f t="shared" si="1"/>
        <v>32585.714285714275</v>
      </c>
    </row>
    <row r="72" spans="1:36" x14ac:dyDescent="0.25">
      <c r="A72" s="127"/>
      <c r="B72" s="20" t="s">
        <v>67</v>
      </c>
      <c r="C72" s="17" t="s">
        <v>5</v>
      </c>
      <c r="D72" s="103">
        <f>'1'!K72</f>
        <v>20571.428571428572</v>
      </c>
      <c r="E72" s="103">
        <f>'2'!K72</f>
        <v>20285.714285714286</v>
      </c>
      <c r="F72" s="103">
        <f>'3'!K72</f>
        <v>20285.714285714286</v>
      </c>
      <c r="G72" s="103">
        <f>'4'!K72</f>
        <v>20285.714285714286</v>
      </c>
      <c r="H72" s="103">
        <f>'5'!K72</f>
        <v>22428.571428571428</v>
      </c>
      <c r="I72" s="103">
        <f>'6'!K72</f>
        <v>22428.571428571428</v>
      </c>
      <c r="J72" s="110">
        <f>'7'!K72</f>
        <v>21857.142857142859</v>
      </c>
      <c r="K72" s="110">
        <f>'8'!K72</f>
        <v>20000</v>
      </c>
      <c r="L72" s="110">
        <f>'9'!K72</f>
        <v>20000</v>
      </c>
      <c r="M72" s="110">
        <f>'10'!K72</f>
        <v>21000</v>
      </c>
      <c r="N72" s="110">
        <f>'11'!K72</f>
        <v>20285.714285714286</v>
      </c>
      <c r="O72" s="110">
        <f>'12'!K72</f>
        <v>21285.714285714286</v>
      </c>
      <c r="P72" s="110">
        <f>'13'!K72</f>
        <v>21285.714285714286</v>
      </c>
      <c r="Q72" s="110">
        <f>'14'!K72</f>
        <v>21285.714285714286</v>
      </c>
      <c r="R72" s="110">
        <f>'15'!K72</f>
        <v>21571.428571428572</v>
      </c>
      <c r="S72" s="110">
        <f>'14'!K72</f>
        <v>21285.714285714286</v>
      </c>
      <c r="T72" s="110">
        <f>'17'!K72</f>
        <v>21571.428571428572</v>
      </c>
      <c r="U72" s="110">
        <f>'18'!K72</f>
        <v>21571.428571428572</v>
      </c>
      <c r="V72" s="110">
        <f>'19'!K72</f>
        <v>21571.428571428572</v>
      </c>
      <c r="W72" s="110">
        <f>'20'!K72</f>
        <v>19857.142857142859</v>
      </c>
      <c r="X72" s="110">
        <f>'21'!K72</f>
        <v>19857.142857142859</v>
      </c>
      <c r="Y72" s="110">
        <f>'22'!K72</f>
        <v>19857.142857142859</v>
      </c>
      <c r="Z72" s="110">
        <f>'23'!K72</f>
        <v>19857.142857142859</v>
      </c>
      <c r="AA72" s="110">
        <f>'24'!K72</f>
        <v>19857.142857142859</v>
      </c>
      <c r="AB72" s="110">
        <f>'25'!K72</f>
        <v>19857.142857142859</v>
      </c>
      <c r="AC72" s="110">
        <f>'26'!K72</f>
        <v>19857.142857142859</v>
      </c>
      <c r="AD72" s="110">
        <f>'27'!K72</f>
        <v>19857.142857142859</v>
      </c>
      <c r="AE72" s="110">
        <f>'28'!K72</f>
        <v>19857.142857142859</v>
      </c>
      <c r="AF72" s="110">
        <f>'29'!K72</f>
        <v>19857.142857142859</v>
      </c>
      <c r="AG72" s="110">
        <f>'30'!K72</f>
        <v>19857.142857142859</v>
      </c>
      <c r="AH72" s="18"/>
      <c r="AI72" s="46">
        <f t="shared" si="0"/>
        <v>-714.28571428571377</v>
      </c>
      <c r="AJ72" s="160">
        <f t="shared" si="1"/>
        <v>20642.857142857138</v>
      </c>
    </row>
    <row r="73" spans="1:36" x14ac:dyDescent="0.25">
      <c r="A73" s="128"/>
      <c r="B73" s="20" t="s">
        <v>68</v>
      </c>
      <c r="C73" s="17" t="s">
        <v>5</v>
      </c>
      <c r="D73" s="103">
        <f>'1'!K73</f>
        <v>27285.714285714286</v>
      </c>
      <c r="E73" s="103">
        <f>'2'!K73</f>
        <v>27142.857142857141</v>
      </c>
      <c r="F73" s="103">
        <f>'3'!K73</f>
        <v>27142.857142857141</v>
      </c>
      <c r="G73" s="103">
        <f>'4'!K73</f>
        <v>27285.714285714286</v>
      </c>
      <c r="H73" s="103">
        <f>'5'!K73</f>
        <v>28428.571428571428</v>
      </c>
      <c r="I73" s="103">
        <f>'6'!K73</f>
        <v>28428.571428571428</v>
      </c>
      <c r="J73" s="110">
        <f>'7'!K73</f>
        <v>28000</v>
      </c>
      <c r="K73" s="110">
        <f>'8'!K73</f>
        <v>28000</v>
      </c>
      <c r="L73" s="110">
        <f>'9'!K73</f>
        <v>27857.142857142859</v>
      </c>
      <c r="M73" s="110">
        <f>'10'!K73</f>
        <v>28000</v>
      </c>
      <c r="N73" s="110">
        <f>'11'!K73</f>
        <v>28142.857142857141</v>
      </c>
      <c r="O73" s="110">
        <f>'12'!K73</f>
        <v>28142.857142857141</v>
      </c>
      <c r="P73" s="110">
        <f>'13'!K73</f>
        <v>28142.857142857141</v>
      </c>
      <c r="Q73" s="110">
        <f>'14'!K73</f>
        <v>27857.142857142859</v>
      </c>
      <c r="R73" s="110">
        <f>'15'!K73</f>
        <v>27857.142857142859</v>
      </c>
      <c r="S73" s="110">
        <f>'14'!K73</f>
        <v>27857.142857142859</v>
      </c>
      <c r="T73" s="110">
        <f>'17'!K73</f>
        <v>28000</v>
      </c>
      <c r="U73" s="110">
        <f>'18'!K73</f>
        <v>27857.142857142859</v>
      </c>
      <c r="V73" s="110">
        <f>'19'!K73</f>
        <v>27857.142857142859</v>
      </c>
      <c r="W73" s="110">
        <f>'20'!K73</f>
        <v>26714.285714285714</v>
      </c>
      <c r="X73" s="110">
        <f>'21'!K73</f>
        <v>26714.285714285714</v>
      </c>
      <c r="Y73" s="110">
        <f>'22'!K73</f>
        <v>26714.285714285714</v>
      </c>
      <c r="Z73" s="110">
        <f>'23'!K73</f>
        <v>26714.285714285714</v>
      </c>
      <c r="AA73" s="110">
        <f>'24'!K73</f>
        <v>26714.285714285714</v>
      </c>
      <c r="AB73" s="110">
        <f>'25'!K73</f>
        <v>26714.285714285714</v>
      </c>
      <c r="AC73" s="110">
        <f>'26'!K73</f>
        <v>26714.285714285714</v>
      </c>
      <c r="AD73" s="110">
        <f>'27'!K73</f>
        <v>26714.285714285714</v>
      </c>
      <c r="AE73" s="110">
        <f>'28'!K73</f>
        <v>26714.285714285714</v>
      </c>
      <c r="AF73" s="110">
        <f>'29'!K73</f>
        <v>26714.285714285714</v>
      </c>
      <c r="AG73" s="110">
        <f>'30'!K73</f>
        <v>26714.285714285714</v>
      </c>
      <c r="AH73" s="18"/>
      <c r="AI73" s="46">
        <f t="shared" ref="AI73:AI88" si="2">AG73-D73</f>
        <v>-571.42857142857247</v>
      </c>
      <c r="AJ73" s="160">
        <f t="shared" ref="AJ73:AJ88" si="3">AVERAGE(D73:AG73)</f>
        <v>27438.095238095226</v>
      </c>
    </row>
    <row r="74" spans="1:36" x14ac:dyDescent="0.25">
      <c r="A74" s="33">
        <v>20</v>
      </c>
      <c r="B74" s="21" t="s">
        <v>69</v>
      </c>
      <c r="C74" s="17"/>
      <c r="D74" s="103">
        <f>'1'!K74</f>
        <v>0</v>
      </c>
      <c r="E74" s="103">
        <f>'2'!K74</f>
        <v>0</v>
      </c>
      <c r="F74" s="103">
        <f>'3'!K74</f>
        <v>0</v>
      </c>
      <c r="G74" s="103">
        <f>'4'!K74</f>
        <v>0</v>
      </c>
      <c r="H74" s="103">
        <f>'5'!K74</f>
        <v>0</v>
      </c>
      <c r="I74" s="103">
        <f>'6'!K74</f>
        <v>0</v>
      </c>
      <c r="J74" s="110">
        <f>'7'!K74</f>
        <v>0</v>
      </c>
      <c r="K74" s="110">
        <f>'8'!K74</f>
        <v>0</v>
      </c>
      <c r="L74" s="110">
        <f>'9'!K74</f>
        <v>0</v>
      </c>
      <c r="M74" s="110">
        <f>'10'!K74</f>
        <v>0</v>
      </c>
      <c r="N74" s="110">
        <f>'11'!K74</f>
        <v>0</v>
      </c>
      <c r="O74" s="110">
        <f>'12'!K74</f>
        <v>0</v>
      </c>
      <c r="P74" s="110">
        <f>'13'!K74</f>
        <v>0</v>
      </c>
      <c r="Q74" s="110">
        <f>'14'!K74</f>
        <v>0</v>
      </c>
      <c r="R74" s="110">
        <f>'15'!K74</f>
        <v>0</v>
      </c>
      <c r="S74" s="110">
        <f>'14'!K74</f>
        <v>0</v>
      </c>
      <c r="T74" s="110">
        <f>'17'!K74</f>
        <v>0</v>
      </c>
      <c r="U74" s="110">
        <f>'18'!K74</f>
        <v>0</v>
      </c>
      <c r="V74" s="110">
        <f>'19'!K74</f>
        <v>0</v>
      </c>
      <c r="W74" s="110">
        <f>'20'!K74</f>
        <v>0</v>
      </c>
      <c r="X74" s="110">
        <f>'21'!K74</f>
        <v>0</v>
      </c>
      <c r="Y74" s="110">
        <f>'22'!K74</f>
        <v>0</v>
      </c>
      <c r="Z74" s="110">
        <f>'23'!K74</f>
        <v>0</v>
      </c>
      <c r="AA74" s="110">
        <f>'24'!K74</f>
        <v>0</v>
      </c>
      <c r="AB74" s="110">
        <f>'25'!K74</f>
        <v>0</v>
      </c>
      <c r="AC74" s="110">
        <f>'26'!K74</f>
        <v>0</v>
      </c>
      <c r="AD74" s="110">
        <f>'27'!K74</f>
        <v>0</v>
      </c>
      <c r="AE74" s="110">
        <f>'28'!K74</f>
        <v>0</v>
      </c>
      <c r="AF74" s="110">
        <f>'29'!K74</f>
        <v>0</v>
      </c>
      <c r="AG74" s="110">
        <f>'30'!K74</f>
        <v>0</v>
      </c>
      <c r="AH74" s="18"/>
      <c r="AI74" s="125">
        <f t="shared" si="2"/>
        <v>0</v>
      </c>
      <c r="AJ74" s="160">
        <f t="shared" si="3"/>
        <v>0</v>
      </c>
    </row>
    <row r="75" spans="1:36" x14ac:dyDescent="0.25">
      <c r="A75" s="35"/>
      <c r="B75" s="20" t="s">
        <v>70</v>
      </c>
      <c r="C75" s="17" t="s">
        <v>5</v>
      </c>
      <c r="D75" s="103">
        <f>'1'!K75</f>
        <v>5428.5714285714284</v>
      </c>
      <c r="E75" s="103">
        <f>'2'!K75</f>
        <v>5428.5714285714284</v>
      </c>
      <c r="F75" s="103">
        <f>'3'!K75</f>
        <v>5428.5714285714284</v>
      </c>
      <c r="G75" s="103">
        <f>'4'!K75</f>
        <v>5428.5714285714284</v>
      </c>
      <c r="H75" s="103">
        <f>'5'!K75</f>
        <v>5428.5714285714284</v>
      </c>
      <c r="I75" s="103">
        <f>'6'!K75</f>
        <v>5428.5714285714284</v>
      </c>
      <c r="J75" s="110">
        <f>'7'!K75</f>
        <v>5428.5714285714284</v>
      </c>
      <c r="K75" s="110">
        <f>'8'!K75</f>
        <v>5428.5714285714284</v>
      </c>
      <c r="L75" s="110">
        <f>'9'!K75</f>
        <v>5428.5714285714284</v>
      </c>
      <c r="M75" s="110">
        <f>'10'!K75</f>
        <v>5428.5714285714284</v>
      </c>
      <c r="N75" s="110">
        <f>'11'!K75</f>
        <v>5428.5714285714284</v>
      </c>
      <c r="O75" s="110">
        <f>'12'!K75</f>
        <v>5428.5714285714284</v>
      </c>
      <c r="P75" s="110">
        <f>'13'!K75</f>
        <v>5428.5714285714284</v>
      </c>
      <c r="Q75" s="110">
        <f>'14'!K75</f>
        <v>5428.5714285714284</v>
      </c>
      <c r="R75" s="110">
        <f>'15'!K75</f>
        <v>5428.5714285714284</v>
      </c>
      <c r="S75" s="110">
        <f>'14'!K75</f>
        <v>5428.5714285714284</v>
      </c>
      <c r="T75" s="110">
        <f>'17'!K75</f>
        <v>5714.2857142857147</v>
      </c>
      <c r="U75" s="110">
        <f>'18'!K75</f>
        <v>5428.5714285714284</v>
      </c>
      <c r="V75" s="110">
        <f>'19'!K75</f>
        <v>5428.5714285714284</v>
      </c>
      <c r="W75" s="110">
        <f>'20'!K75</f>
        <v>5428.5714285714284</v>
      </c>
      <c r="X75" s="110">
        <f>'21'!K75</f>
        <v>5428.5714285714284</v>
      </c>
      <c r="Y75" s="110">
        <f>'22'!K75</f>
        <v>5428.5714285714284</v>
      </c>
      <c r="Z75" s="110">
        <f>'23'!K75</f>
        <v>5428.5714285714284</v>
      </c>
      <c r="AA75" s="110">
        <f>'24'!K75</f>
        <v>5428.5714285714284</v>
      </c>
      <c r="AB75" s="110">
        <f>'25'!K75</f>
        <v>5428.5714285714284</v>
      </c>
      <c r="AC75" s="110">
        <f>'26'!K75</f>
        <v>5428.5714285714284</v>
      </c>
      <c r="AD75" s="110">
        <f>'27'!K75</f>
        <v>5428.5714285714284</v>
      </c>
      <c r="AE75" s="110">
        <f>'28'!K75</f>
        <v>5428.5714285714284</v>
      </c>
      <c r="AF75" s="110">
        <f>'29'!K75</f>
        <v>5428.5714285714284</v>
      </c>
      <c r="AG75" s="110">
        <f>'30'!K75</f>
        <v>5428.5714285714284</v>
      </c>
      <c r="AH75" s="18"/>
      <c r="AI75" s="125">
        <f t="shared" si="2"/>
        <v>0</v>
      </c>
      <c r="AJ75" s="160">
        <f t="shared" si="3"/>
        <v>5438.0952380952385</v>
      </c>
    </row>
    <row r="76" spans="1:36" x14ac:dyDescent="0.25">
      <c r="A76" s="34"/>
      <c r="B76" s="20" t="s">
        <v>71</v>
      </c>
      <c r="C76" s="17" t="s">
        <v>5</v>
      </c>
      <c r="D76" s="103">
        <f>'1'!K76</f>
        <v>5714.2857142857147</v>
      </c>
      <c r="E76" s="103">
        <f>'2'!K76</f>
        <v>5714.2857142857147</v>
      </c>
      <c r="F76" s="103">
        <f>'3'!K76</f>
        <v>5714.2857142857147</v>
      </c>
      <c r="G76" s="103">
        <f>'4'!K76</f>
        <v>5714.2857142857147</v>
      </c>
      <c r="H76" s="103">
        <f>'5'!K76</f>
        <v>5714.2857142857147</v>
      </c>
      <c r="I76" s="103">
        <f>'6'!K76</f>
        <v>5714.2857142857147</v>
      </c>
      <c r="J76" s="110">
        <f>'7'!K76</f>
        <v>5714.2857142857147</v>
      </c>
      <c r="K76" s="110">
        <f>'8'!K76</f>
        <v>5714.2857142857147</v>
      </c>
      <c r="L76" s="110">
        <f>'9'!K76</f>
        <v>5714.2857142857147</v>
      </c>
      <c r="M76" s="110">
        <f>'10'!K76</f>
        <v>5714.2857142857147</v>
      </c>
      <c r="N76" s="110">
        <f>'11'!K76</f>
        <v>5714.2857142857147</v>
      </c>
      <c r="O76" s="110">
        <f>'12'!K76</f>
        <v>5714.2857142857147</v>
      </c>
      <c r="P76" s="110">
        <f>'13'!K76</f>
        <v>5714.2857142857147</v>
      </c>
      <c r="Q76" s="110">
        <f>'14'!K76</f>
        <v>5714.2857142857147</v>
      </c>
      <c r="R76" s="110">
        <f>'15'!K76</f>
        <v>5714.2857142857147</v>
      </c>
      <c r="S76" s="110">
        <f>'14'!K76</f>
        <v>5714.2857142857147</v>
      </c>
      <c r="T76" s="110">
        <f>'17'!K76</f>
        <v>5714.2857142857147</v>
      </c>
      <c r="U76" s="110">
        <f>'18'!K76</f>
        <v>5714.2857142857147</v>
      </c>
      <c r="V76" s="110">
        <f>'19'!K76</f>
        <v>5714.2857142857147</v>
      </c>
      <c r="W76" s="110">
        <f>'20'!K76</f>
        <v>5857.1428571428569</v>
      </c>
      <c r="X76" s="110">
        <f>'21'!K76</f>
        <v>5857.1428571428569</v>
      </c>
      <c r="Y76" s="110">
        <f>'22'!K76</f>
        <v>5857.1428571428569</v>
      </c>
      <c r="Z76" s="110">
        <f>'23'!K76</f>
        <v>5857.1428571428569</v>
      </c>
      <c r="AA76" s="110">
        <f>'24'!K76</f>
        <v>5857.1428571428569</v>
      </c>
      <c r="AB76" s="110">
        <f>'25'!K76</f>
        <v>5857.1428571428569</v>
      </c>
      <c r="AC76" s="110">
        <f>'26'!K76</f>
        <v>5857.1428571428569</v>
      </c>
      <c r="AD76" s="110">
        <f>'27'!K76</f>
        <v>5857.1428571428569</v>
      </c>
      <c r="AE76" s="110">
        <f>'28'!K76</f>
        <v>5857.1428571428569</v>
      </c>
      <c r="AF76" s="110">
        <f>'29'!K76</f>
        <v>5857.1428571428569</v>
      </c>
      <c r="AG76" s="110">
        <f>'30'!K76</f>
        <v>5857.1428571428569</v>
      </c>
      <c r="AH76" s="18"/>
      <c r="AI76" s="45">
        <f t="shared" si="2"/>
        <v>142.85714285714221</v>
      </c>
      <c r="AJ76" s="160">
        <f t="shared" si="3"/>
        <v>5766.6666666666697</v>
      </c>
    </row>
    <row r="77" spans="1:36" x14ac:dyDescent="0.25">
      <c r="A77" s="33">
        <v>21</v>
      </c>
      <c r="B77" s="21" t="s">
        <v>72</v>
      </c>
      <c r="C77" s="17"/>
      <c r="D77" s="103">
        <f>'1'!K77</f>
        <v>0</v>
      </c>
      <c r="E77" s="103">
        <f>'2'!K77</f>
        <v>0</v>
      </c>
      <c r="F77" s="103">
        <f>'3'!K77</f>
        <v>0</v>
      </c>
      <c r="G77" s="103">
        <f>'4'!K77</f>
        <v>0</v>
      </c>
      <c r="H77" s="103">
        <f>'5'!K77</f>
        <v>0</v>
      </c>
      <c r="I77" s="103">
        <f>'6'!K77</f>
        <v>0</v>
      </c>
      <c r="J77" s="110">
        <f>'7'!K77</f>
        <v>0</v>
      </c>
      <c r="K77" s="110">
        <f>'8'!K77</f>
        <v>0</v>
      </c>
      <c r="L77" s="110">
        <f>'9'!K77</f>
        <v>0</v>
      </c>
      <c r="M77" s="110">
        <f>'10'!K77</f>
        <v>0</v>
      </c>
      <c r="N77" s="110">
        <f>'11'!K77</f>
        <v>0</v>
      </c>
      <c r="O77" s="110">
        <f>'12'!K77</f>
        <v>0</v>
      </c>
      <c r="P77" s="110">
        <f>'13'!K77</f>
        <v>0</v>
      </c>
      <c r="Q77" s="110">
        <f>'14'!K77</f>
        <v>0</v>
      </c>
      <c r="R77" s="110">
        <f>'15'!K77</f>
        <v>0</v>
      </c>
      <c r="S77" s="110">
        <f>'14'!K77</f>
        <v>0</v>
      </c>
      <c r="T77" s="110">
        <f>'17'!K77</f>
        <v>0</v>
      </c>
      <c r="U77" s="110">
        <f>'18'!K77</f>
        <v>0</v>
      </c>
      <c r="V77" s="110">
        <f>'19'!K77</f>
        <v>0</v>
      </c>
      <c r="W77" s="110">
        <f>'20'!K77</f>
        <v>0</v>
      </c>
      <c r="X77" s="110">
        <f>'21'!K77</f>
        <v>0</v>
      </c>
      <c r="Y77" s="110">
        <f>'22'!K77</f>
        <v>0</v>
      </c>
      <c r="Z77" s="110">
        <f>'23'!K77</f>
        <v>0</v>
      </c>
      <c r="AA77" s="110">
        <f>'24'!K77</f>
        <v>0</v>
      </c>
      <c r="AB77" s="110">
        <f>'25'!K77</f>
        <v>0</v>
      </c>
      <c r="AC77" s="110">
        <f>'26'!K77</f>
        <v>0</v>
      </c>
      <c r="AD77" s="110">
        <f>'27'!K77</f>
        <v>0</v>
      </c>
      <c r="AE77" s="110">
        <f>'28'!K77</f>
        <v>0</v>
      </c>
      <c r="AF77" s="110">
        <f>'29'!K77</f>
        <v>0</v>
      </c>
      <c r="AG77" s="110">
        <f>'30'!K77</f>
        <v>0</v>
      </c>
      <c r="AH77" s="18"/>
      <c r="AI77" s="125">
        <f t="shared" si="2"/>
        <v>0</v>
      </c>
      <c r="AJ77" s="160">
        <f t="shared" si="3"/>
        <v>0</v>
      </c>
    </row>
    <row r="78" spans="1:36" x14ac:dyDescent="0.25">
      <c r="A78" s="35"/>
      <c r="B78" s="20" t="s">
        <v>73</v>
      </c>
      <c r="C78" s="17" t="s">
        <v>5</v>
      </c>
      <c r="D78" s="103">
        <f>'1'!K78</f>
        <v>7142.8571428571431</v>
      </c>
      <c r="E78" s="103">
        <f>'2'!K78</f>
        <v>7000</v>
      </c>
      <c r="F78" s="103">
        <f>'3'!K78</f>
        <v>7142.8571428571431</v>
      </c>
      <c r="G78" s="103">
        <f>'4'!K78</f>
        <v>7142.8571428571431</v>
      </c>
      <c r="H78" s="103">
        <f>'5'!K78</f>
        <v>7571.4285714285716</v>
      </c>
      <c r="I78" s="103">
        <f>'6'!K78</f>
        <v>7714.2857142857147</v>
      </c>
      <c r="J78" s="110">
        <f>'7'!K78</f>
        <v>7714.2857142857147</v>
      </c>
      <c r="K78" s="110">
        <f>'8'!K78</f>
        <v>7571.4285714285716</v>
      </c>
      <c r="L78" s="110">
        <f>'9'!K78</f>
        <v>7571.4285714285716</v>
      </c>
      <c r="M78" s="110">
        <f>'10'!K78</f>
        <v>7571.4285714285716</v>
      </c>
      <c r="N78" s="110">
        <f>'11'!K78</f>
        <v>7428.5714285714284</v>
      </c>
      <c r="O78" s="110">
        <f>'12'!K78</f>
        <v>7428.5714285714284</v>
      </c>
      <c r="P78" s="110">
        <f>'13'!K78</f>
        <v>7428.5714285714284</v>
      </c>
      <c r="Q78" s="110">
        <f>'14'!K78</f>
        <v>7428.5714285714284</v>
      </c>
      <c r="R78" s="110">
        <f>'15'!K78</f>
        <v>7428.5714285714284</v>
      </c>
      <c r="S78" s="110">
        <f>'14'!K78</f>
        <v>7428.5714285714284</v>
      </c>
      <c r="T78" s="110">
        <f>'17'!K78</f>
        <v>7285.7142857142853</v>
      </c>
      <c r="U78" s="110">
        <f>'18'!K78</f>
        <v>7428.5714285714284</v>
      </c>
      <c r="V78" s="110">
        <f>'19'!K78</f>
        <v>7428.5714285714284</v>
      </c>
      <c r="W78" s="110">
        <f>'20'!K78</f>
        <v>7285.7142857142853</v>
      </c>
      <c r="X78" s="110">
        <f>'21'!K78</f>
        <v>7285.7142857142853</v>
      </c>
      <c r="Y78" s="110">
        <f>'22'!K78</f>
        <v>7285.7142857142853</v>
      </c>
      <c r="Z78" s="110">
        <f>'23'!K78</f>
        <v>7285.7142857142853</v>
      </c>
      <c r="AA78" s="110">
        <f>'24'!K78</f>
        <v>7285.7142857142853</v>
      </c>
      <c r="AB78" s="110">
        <f>'25'!K78</f>
        <v>7285.7142857142853</v>
      </c>
      <c r="AC78" s="110">
        <f>'26'!K78</f>
        <v>7285.7142857142853</v>
      </c>
      <c r="AD78" s="110">
        <f>'27'!K78</f>
        <v>7285.7142857142853</v>
      </c>
      <c r="AE78" s="110">
        <f>'28'!K78</f>
        <v>7285.7142857142853</v>
      </c>
      <c r="AF78" s="110">
        <f>'29'!K78</f>
        <v>7285.7142857142853</v>
      </c>
      <c r="AG78" s="110">
        <f>'30'!K78</f>
        <v>7285.7142857142853</v>
      </c>
      <c r="AH78" s="18"/>
      <c r="AI78" s="45">
        <f t="shared" si="2"/>
        <v>142.85714285714221</v>
      </c>
      <c r="AJ78" s="160">
        <f t="shared" si="3"/>
        <v>7366.6666666666697</v>
      </c>
    </row>
    <row r="79" spans="1:36" x14ac:dyDescent="0.25">
      <c r="A79" s="35"/>
      <c r="B79" s="20" t="s">
        <v>74</v>
      </c>
      <c r="C79" s="17" t="s">
        <v>5</v>
      </c>
      <c r="D79" s="103">
        <f>'1'!K79</f>
        <v>12000</v>
      </c>
      <c r="E79" s="103">
        <f>'2'!K79</f>
        <v>11857.142857142857</v>
      </c>
      <c r="F79" s="103">
        <f>'3'!K79</f>
        <v>11571.428571428571</v>
      </c>
      <c r="G79" s="103">
        <f>'4'!K79</f>
        <v>12285.714285714286</v>
      </c>
      <c r="H79" s="103">
        <f>'5'!K79</f>
        <v>11571.428571428571</v>
      </c>
      <c r="I79" s="103">
        <f>'6'!K79</f>
        <v>11857.142857142857</v>
      </c>
      <c r="J79" s="110">
        <f>'7'!K79</f>
        <v>11857.142857142857</v>
      </c>
      <c r="K79" s="110">
        <f>'8'!K79</f>
        <v>11857.142857142857</v>
      </c>
      <c r="L79" s="110">
        <f>'9'!K79</f>
        <v>11857.142857142857</v>
      </c>
      <c r="M79" s="110">
        <f>'10'!K79</f>
        <v>11428.571428571429</v>
      </c>
      <c r="N79" s="110">
        <f>'11'!K79</f>
        <v>11857.142857142857</v>
      </c>
      <c r="O79" s="110">
        <f>'12'!K79</f>
        <v>11857.142857142857</v>
      </c>
      <c r="P79" s="110">
        <f>'13'!K79</f>
        <v>11857.142857142857</v>
      </c>
      <c r="Q79" s="110">
        <f>'14'!K79</f>
        <v>11857.142857142857</v>
      </c>
      <c r="R79" s="110">
        <f>'15'!K79</f>
        <v>12142.857142857143</v>
      </c>
      <c r="S79" s="110">
        <f>'14'!K79</f>
        <v>11857.142857142857</v>
      </c>
      <c r="T79" s="110">
        <f>'17'!K79</f>
        <v>12000</v>
      </c>
      <c r="U79" s="110">
        <f>'18'!K79</f>
        <v>12142.857142857143</v>
      </c>
      <c r="V79" s="110">
        <f>'19'!K79</f>
        <v>12142.857142857143</v>
      </c>
      <c r="W79" s="110">
        <f>'20'!K79</f>
        <v>12142.857142857143</v>
      </c>
      <c r="X79" s="110">
        <f>'21'!K79</f>
        <v>12142.857142857143</v>
      </c>
      <c r="Y79" s="110">
        <f>'22'!K79</f>
        <v>12142.857142857143</v>
      </c>
      <c r="Z79" s="110">
        <f>'23'!K79</f>
        <v>12142.857142857143</v>
      </c>
      <c r="AA79" s="110">
        <f>'24'!K79</f>
        <v>12142.857142857143</v>
      </c>
      <c r="AB79" s="110">
        <f>'25'!K79</f>
        <v>12142.857142857143</v>
      </c>
      <c r="AC79" s="110">
        <f>'26'!K79</f>
        <v>12142.857142857143</v>
      </c>
      <c r="AD79" s="110">
        <f>'27'!K79</f>
        <v>12142.857142857143</v>
      </c>
      <c r="AE79" s="110">
        <f>'28'!K79</f>
        <v>12142.857142857143</v>
      </c>
      <c r="AF79" s="110">
        <f>'29'!K79</f>
        <v>12142.857142857143</v>
      </c>
      <c r="AG79" s="110">
        <f>'30'!K79</f>
        <v>12142.857142857143</v>
      </c>
      <c r="AH79" s="18"/>
      <c r="AI79" s="45">
        <f t="shared" si="2"/>
        <v>142.85714285714312</v>
      </c>
      <c r="AJ79" s="160">
        <f t="shared" si="3"/>
        <v>11980.952380952385</v>
      </c>
    </row>
    <row r="80" spans="1:36" x14ac:dyDescent="0.25">
      <c r="A80" s="35"/>
      <c r="B80" s="20" t="s">
        <v>75</v>
      </c>
      <c r="C80" s="17" t="s">
        <v>5</v>
      </c>
      <c r="D80" s="103">
        <f>'1'!K80</f>
        <v>16285.714285714286</v>
      </c>
      <c r="E80" s="103">
        <f>'2'!K80</f>
        <v>16857.142857142859</v>
      </c>
      <c r="F80" s="103">
        <f>'3'!K80</f>
        <v>16857.142857142859</v>
      </c>
      <c r="G80" s="103">
        <f>'4'!K80</f>
        <v>16428.571428571428</v>
      </c>
      <c r="H80" s="103">
        <f>'5'!K80</f>
        <v>16857.142857142859</v>
      </c>
      <c r="I80" s="103">
        <f>'6'!K80</f>
        <v>17000</v>
      </c>
      <c r="J80" s="110">
        <f>'7'!K80</f>
        <v>17000</v>
      </c>
      <c r="K80" s="110">
        <f>'8'!K80</f>
        <v>17142.857142857141</v>
      </c>
      <c r="L80" s="110">
        <f>'9'!K80</f>
        <v>17142.857142857141</v>
      </c>
      <c r="M80" s="110">
        <f>'10'!K80</f>
        <v>17428.571428571428</v>
      </c>
      <c r="N80" s="110">
        <f>'11'!K80</f>
        <v>17142.857142857141</v>
      </c>
      <c r="O80" s="110">
        <f>'12'!K80</f>
        <v>17142.857142857141</v>
      </c>
      <c r="P80" s="110">
        <f>'13'!K80</f>
        <v>17142.857142857141</v>
      </c>
      <c r="Q80" s="110">
        <f>'14'!K80</f>
        <v>17285.714285714286</v>
      </c>
      <c r="R80" s="110">
        <f>'15'!K80</f>
        <v>17285.714285714286</v>
      </c>
      <c r="S80" s="110">
        <f>'14'!K80</f>
        <v>17285.714285714286</v>
      </c>
      <c r="T80" s="110">
        <f>'17'!K80</f>
        <v>17000</v>
      </c>
      <c r="U80" s="110">
        <f>'18'!K80</f>
        <v>17285.714285714286</v>
      </c>
      <c r="V80" s="110">
        <f>'19'!K80</f>
        <v>17285.714285714286</v>
      </c>
      <c r="W80" s="110">
        <f>'20'!K80</f>
        <v>17285.714285714286</v>
      </c>
      <c r="X80" s="110">
        <f>'21'!K80</f>
        <v>17285.714285714286</v>
      </c>
      <c r="Y80" s="110">
        <f>'22'!K80</f>
        <v>17142.857142857141</v>
      </c>
      <c r="Z80" s="110">
        <f>'23'!K80</f>
        <v>17142.857142857141</v>
      </c>
      <c r="AA80" s="110">
        <f>'24'!K80</f>
        <v>17142.857142857141</v>
      </c>
      <c r="AB80" s="110">
        <f>'25'!K80</f>
        <v>17142.857142857141</v>
      </c>
      <c r="AC80" s="110">
        <f>'26'!K80</f>
        <v>17142.857142857141</v>
      </c>
      <c r="AD80" s="110">
        <f>'27'!K80</f>
        <v>17142.857142857141</v>
      </c>
      <c r="AE80" s="110">
        <f>'28'!K80</f>
        <v>17142.857142857141</v>
      </c>
      <c r="AF80" s="110">
        <f>'29'!K80</f>
        <v>17142.857142857141</v>
      </c>
      <c r="AG80" s="110">
        <f>'30'!K80</f>
        <v>16857.142857142859</v>
      </c>
      <c r="AH80" s="18"/>
      <c r="AI80" s="45">
        <f t="shared" si="2"/>
        <v>571.42857142857247</v>
      </c>
      <c r="AJ80" s="160">
        <f t="shared" si="3"/>
        <v>17080.952380952378</v>
      </c>
    </row>
    <row r="81" spans="1:39" x14ac:dyDescent="0.25">
      <c r="A81" s="35"/>
      <c r="B81" s="20" t="s">
        <v>76</v>
      </c>
      <c r="C81" s="17" t="s">
        <v>5</v>
      </c>
      <c r="D81" s="103">
        <f>'1'!K81</f>
        <v>8428.5714285714294</v>
      </c>
      <c r="E81" s="103">
        <f>'2'!K81</f>
        <v>8571.4285714285706</v>
      </c>
      <c r="F81" s="103">
        <f>'3'!K81</f>
        <v>8285.7142857142862</v>
      </c>
      <c r="G81" s="103">
        <f>'4'!K81</f>
        <v>8142.8571428571431</v>
      </c>
      <c r="H81" s="103">
        <f>'5'!K81</f>
        <v>8142.8571428571431</v>
      </c>
      <c r="I81" s="103">
        <f>'6'!K81</f>
        <v>8142.8571428571431</v>
      </c>
      <c r="J81" s="110">
        <f>'7'!K81</f>
        <v>8142.8571428571431</v>
      </c>
      <c r="K81" s="110">
        <f>'8'!K81</f>
        <v>8142.8571428571431</v>
      </c>
      <c r="L81" s="110">
        <f>'9'!K81</f>
        <v>8142.8571428571431</v>
      </c>
      <c r="M81" s="110">
        <f>'10'!K81</f>
        <v>8285.7142857142862</v>
      </c>
      <c r="N81" s="110">
        <f>'11'!K81</f>
        <v>7857.1428571428569</v>
      </c>
      <c r="O81" s="110">
        <f>'12'!K81</f>
        <v>7857.1428571428569</v>
      </c>
      <c r="P81" s="110">
        <f>'13'!K81</f>
        <v>7857.1428571428569</v>
      </c>
      <c r="Q81" s="110">
        <f>'14'!K81</f>
        <v>7857.1428571428569</v>
      </c>
      <c r="R81" s="110">
        <f>'15'!K81</f>
        <v>7857.1428571428569</v>
      </c>
      <c r="S81" s="110">
        <f>'14'!K81</f>
        <v>7857.1428571428569</v>
      </c>
      <c r="T81" s="110">
        <f>'17'!K81</f>
        <v>8000</v>
      </c>
      <c r="U81" s="110">
        <f>'18'!K81</f>
        <v>7857.1428571428569</v>
      </c>
      <c r="V81" s="110">
        <f>'19'!K81</f>
        <v>7857.1428571428569</v>
      </c>
      <c r="W81" s="110">
        <f>'20'!K81</f>
        <v>7857.1428571428569</v>
      </c>
      <c r="X81" s="110">
        <f>'21'!K81</f>
        <v>7857.1428571428569</v>
      </c>
      <c r="Y81" s="110">
        <f>'22'!K81</f>
        <v>7857.1428571428569</v>
      </c>
      <c r="Z81" s="110">
        <f>'23'!K81</f>
        <v>7857.1428571428569</v>
      </c>
      <c r="AA81" s="110">
        <f>'24'!K81</f>
        <v>7857.1428571428569</v>
      </c>
      <c r="AB81" s="110">
        <f>'25'!K81</f>
        <v>7857.1428571428569</v>
      </c>
      <c r="AC81" s="110">
        <f>'26'!K81</f>
        <v>7857.1428571428569</v>
      </c>
      <c r="AD81" s="110">
        <f>'27'!K81</f>
        <v>7857.1428571428569</v>
      </c>
      <c r="AE81" s="110">
        <f>'28'!K81</f>
        <v>7857.1428571428569</v>
      </c>
      <c r="AF81" s="110">
        <f>'29'!K81</f>
        <v>7857.1428571428569</v>
      </c>
      <c r="AG81" s="110">
        <f>'30'!K81</f>
        <v>7857.1428571428569</v>
      </c>
      <c r="AH81" s="18"/>
      <c r="AI81" s="46">
        <f t="shared" si="2"/>
        <v>-571.42857142857247</v>
      </c>
      <c r="AJ81" s="160">
        <f t="shared" si="3"/>
        <v>7990.4761904761963</v>
      </c>
    </row>
    <row r="82" spans="1:39" x14ac:dyDescent="0.25">
      <c r="A82" s="35"/>
      <c r="B82" s="20" t="s">
        <v>77</v>
      </c>
      <c r="C82" s="17" t="s">
        <v>5</v>
      </c>
      <c r="D82" s="103">
        <f>'1'!K82</f>
        <v>11428.571428571429</v>
      </c>
      <c r="E82" s="103">
        <f>'2'!K82</f>
        <v>11714.285714285714</v>
      </c>
      <c r="F82" s="103">
        <f>'3'!K82</f>
        <v>11714.285714285714</v>
      </c>
      <c r="G82" s="103">
        <f>'4'!K82</f>
        <v>11714.285714285714</v>
      </c>
      <c r="H82" s="103">
        <f>'5'!K82</f>
        <v>11714.285714285714</v>
      </c>
      <c r="I82" s="103">
        <f>'6'!K82</f>
        <v>11714.285714285714</v>
      </c>
      <c r="J82" s="110">
        <f>'7'!K82</f>
        <v>11571.428571428571</v>
      </c>
      <c r="K82" s="110">
        <f>'8'!K82</f>
        <v>12142.857142857143</v>
      </c>
      <c r="L82" s="110">
        <f>'9'!K82</f>
        <v>12142.857142857143</v>
      </c>
      <c r="M82" s="110">
        <f>'10'!K82</f>
        <v>12142.857142857143</v>
      </c>
      <c r="N82" s="110">
        <f>'11'!K82</f>
        <v>12285.714285714286</v>
      </c>
      <c r="O82" s="110">
        <f>'12'!K82</f>
        <v>12285.714285714286</v>
      </c>
      <c r="P82" s="110">
        <f>'13'!K82</f>
        <v>12285.714285714286</v>
      </c>
      <c r="Q82" s="110">
        <f>'14'!K82</f>
        <v>12571.428571428571</v>
      </c>
      <c r="R82" s="110">
        <f>'15'!K82</f>
        <v>12714.285714285714</v>
      </c>
      <c r="S82" s="110">
        <f>'14'!K82</f>
        <v>12571.428571428571</v>
      </c>
      <c r="T82" s="110">
        <f>'17'!K82</f>
        <v>12571.428571428571</v>
      </c>
      <c r="U82" s="110">
        <f>'18'!K82</f>
        <v>12714.285714285714</v>
      </c>
      <c r="V82" s="110">
        <f>'19'!K82</f>
        <v>12714.285714285714</v>
      </c>
      <c r="W82" s="110">
        <f>'20'!K82</f>
        <v>12428.571428571429</v>
      </c>
      <c r="X82" s="110">
        <f>'21'!K82</f>
        <v>12428.571428571429</v>
      </c>
      <c r="Y82" s="110">
        <f>'22'!K82</f>
        <v>12714.285714285714</v>
      </c>
      <c r="Z82" s="110">
        <f>'23'!K82</f>
        <v>12714.285714285714</v>
      </c>
      <c r="AA82" s="110">
        <f>'24'!K82</f>
        <v>12714.285714285714</v>
      </c>
      <c r="AB82" s="110">
        <f>'25'!K82</f>
        <v>12714.285714285714</v>
      </c>
      <c r="AC82" s="110">
        <f>'26'!K82</f>
        <v>12714.285714285714</v>
      </c>
      <c r="AD82" s="110">
        <f>'27'!K82</f>
        <v>12714.285714285714</v>
      </c>
      <c r="AE82" s="110">
        <f>'28'!K82</f>
        <v>12714.285714285714</v>
      </c>
      <c r="AF82" s="110">
        <f>'29'!K82</f>
        <v>12714.285714285714</v>
      </c>
      <c r="AG82" s="110">
        <f>'30'!K82</f>
        <v>12714.285714285714</v>
      </c>
      <c r="AH82" s="18"/>
      <c r="AI82" s="46">
        <f t="shared" si="2"/>
        <v>1285.7142857142844</v>
      </c>
      <c r="AJ82" s="160">
        <f t="shared" si="3"/>
        <v>12333.333333333339</v>
      </c>
    </row>
    <row r="83" spans="1:39" x14ac:dyDescent="0.25">
      <c r="A83" s="35"/>
      <c r="B83" s="20" t="s">
        <v>78</v>
      </c>
      <c r="C83" s="17" t="s">
        <v>5</v>
      </c>
      <c r="D83" s="103">
        <f>'1'!K83</f>
        <v>8428.5714285714294</v>
      </c>
      <c r="E83" s="103">
        <f>'2'!K83</f>
        <v>8571.4285714285706</v>
      </c>
      <c r="F83" s="103">
        <f>'3'!K83</f>
        <v>8571.4285714285706</v>
      </c>
      <c r="G83" s="103">
        <f>'4'!K83</f>
        <v>8428.5714285714294</v>
      </c>
      <c r="H83" s="103">
        <f>'5'!K83</f>
        <v>8571.4285714285706</v>
      </c>
      <c r="I83" s="103">
        <f>'6'!K83</f>
        <v>8571.4285714285706</v>
      </c>
      <c r="J83" s="110">
        <f>'7'!K83</f>
        <v>8571.4285714285706</v>
      </c>
      <c r="K83" s="110">
        <f>'8'!K83</f>
        <v>8571.4285714285706</v>
      </c>
      <c r="L83" s="110">
        <f>'9'!K83</f>
        <v>8571.4285714285706</v>
      </c>
      <c r="M83" s="110">
        <f>'10'!K83</f>
        <v>8714.2857142857138</v>
      </c>
      <c r="N83" s="110">
        <f>'11'!K83</f>
        <v>8285.7142857142862</v>
      </c>
      <c r="O83" s="110">
        <f>'12'!K83</f>
        <v>8285.7142857142862</v>
      </c>
      <c r="P83" s="110">
        <f>'13'!K83</f>
        <v>8285.7142857142862</v>
      </c>
      <c r="Q83" s="110">
        <f>'14'!K83</f>
        <v>8285.7142857142862</v>
      </c>
      <c r="R83" s="110">
        <f>'15'!K83</f>
        <v>8285.7142857142862</v>
      </c>
      <c r="S83" s="110">
        <f>'14'!K83</f>
        <v>8285.7142857142862</v>
      </c>
      <c r="T83" s="110">
        <f>'17'!K83</f>
        <v>8428.5714285714294</v>
      </c>
      <c r="U83" s="110">
        <f>'18'!K83</f>
        <v>8285.7142857142862</v>
      </c>
      <c r="V83" s="110">
        <f>'19'!K83</f>
        <v>8285.7142857142862</v>
      </c>
      <c r="W83" s="110">
        <f>'20'!K83</f>
        <v>8285.7142857142862</v>
      </c>
      <c r="X83" s="110">
        <f>'21'!K83</f>
        <v>8285.7142857142862</v>
      </c>
      <c r="Y83" s="110">
        <f>'22'!K83</f>
        <v>8166.666666666667</v>
      </c>
      <c r="Z83" s="110">
        <f>'23'!K83</f>
        <v>8285.7142857142862</v>
      </c>
      <c r="AA83" s="110">
        <f>'24'!K83</f>
        <v>8285.7142857142862</v>
      </c>
      <c r="AB83" s="110">
        <f>'25'!K83</f>
        <v>8285.7142857142862</v>
      </c>
      <c r="AC83" s="110">
        <f>'26'!K83</f>
        <v>8285.7142857142862</v>
      </c>
      <c r="AD83" s="110">
        <f>'27'!K83</f>
        <v>8285.7142857142862</v>
      </c>
      <c r="AE83" s="110">
        <f>'28'!K83</f>
        <v>8285.7142857142862</v>
      </c>
      <c r="AF83" s="110">
        <f>'29'!K83</f>
        <v>8285.7142857142862</v>
      </c>
      <c r="AG83" s="110">
        <f>'30'!K83</f>
        <v>8285.7142857142862</v>
      </c>
      <c r="AH83" s="18"/>
      <c r="AI83" s="46">
        <f t="shared" si="2"/>
        <v>-142.85714285714312</v>
      </c>
      <c r="AJ83" s="160">
        <f t="shared" si="3"/>
        <v>8376.984126984129</v>
      </c>
    </row>
    <row r="84" spans="1:39" x14ac:dyDescent="0.25">
      <c r="A84" s="35"/>
      <c r="B84" s="20" t="s">
        <v>79</v>
      </c>
      <c r="C84" s="17" t="s">
        <v>80</v>
      </c>
      <c r="D84" s="103">
        <f>'1'!K84</f>
        <v>1642.8571428571429</v>
      </c>
      <c r="E84" s="103">
        <f>'2'!K84</f>
        <v>1571.4285714285713</v>
      </c>
      <c r="F84" s="103">
        <f>'3'!K84</f>
        <v>1571.4285714285713</v>
      </c>
      <c r="G84" s="103">
        <f>'4'!K84</f>
        <v>1571.4285714285713</v>
      </c>
      <c r="H84" s="103">
        <f>'5'!K84</f>
        <v>1571.4285714285713</v>
      </c>
      <c r="I84" s="103">
        <f>'6'!K84</f>
        <v>1642.8571428571429</v>
      </c>
      <c r="J84" s="110">
        <f>'7'!K84</f>
        <v>1642.8571428571429</v>
      </c>
      <c r="K84" s="110">
        <f>'8'!K84</f>
        <v>1642.8571428571429</v>
      </c>
      <c r="L84" s="110">
        <f>'9'!K84</f>
        <v>1642.8571428571429</v>
      </c>
      <c r="M84" s="110">
        <f>'10'!K84</f>
        <v>1571.4285714285713</v>
      </c>
      <c r="N84" s="110">
        <f>'11'!K84</f>
        <v>1642.8571428571429</v>
      </c>
      <c r="O84" s="110">
        <f>'12'!K84</f>
        <v>1642.8571428571429</v>
      </c>
      <c r="P84" s="110">
        <f>'13'!K84</f>
        <v>1642.8571428571429</v>
      </c>
      <c r="Q84" s="110">
        <f>'14'!K84</f>
        <v>1642.8571428571429</v>
      </c>
      <c r="R84" s="110">
        <f>'15'!K84</f>
        <v>1642.8571428571429</v>
      </c>
      <c r="S84" s="110">
        <f>'14'!K84</f>
        <v>1642.8571428571429</v>
      </c>
      <c r="T84" s="110">
        <f>'17'!K84</f>
        <v>1642.8571428571429</v>
      </c>
      <c r="U84" s="110">
        <f>'18'!K84</f>
        <v>1642.8571428571429</v>
      </c>
      <c r="V84" s="110">
        <f>'19'!K84</f>
        <v>1642.8571428571429</v>
      </c>
      <c r="W84" s="110">
        <f>'20'!K84</f>
        <v>1642.8571428571429</v>
      </c>
      <c r="X84" s="110">
        <f>'21'!K84</f>
        <v>1642.8571428571429</v>
      </c>
      <c r="Y84" s="110">
        <f>'22'!K84</f>
        <v>1642.8571428571429</v>
      </c>
      <c r="Z84" s="110">
        <f>'23'!K84</f>
        <v>1714.2857142857142</v>
      </c>
      <c r="AA84" s="110">
        <f>'24'!K84</f>
        <v>1714.2857142857142</v>
      </c>
      <c r="AB84" s="110">
        <f>'25'!K84</f>
        <v>1714.2857142857142</v>
      </c>
      <c r="AC84" s="110">
        <f>'26'!K84</f>
        <v>1714.2857142857142</v>
      </c>
      <c r="AD84" s="110">
        <f>'27'!K84</f>
        <v>1714.2857142857142</v>
      </c>
      <c r="AE84" s="110">
        <f>'28'!K84</f>
        <v>1714.2857142857142</v>
      </c>
      <c r="AF84" s="110">
        <f>'29'!K84</f>
        <v>1714.2857142857142</v>
      </c>
      <c r="AG84" s="110">
        <f>'30'!K84</f>
        <v>1714.2857142857142</v>
      </c>
      <c r="AH84" s="18"/>
      <c r="AI84" s="45">
        <f t="shared" si="2"/>
        <v>71.428571428571331</v>
      </c>
      <c r="AJ84" s="160">
        <f t="shared" si="3"/>
        <v>1650.0000000000005</v>
      </c>
    </row>
    <row r="85" spans="1:39" x14ac:dyDescent="0.25">
      <c r="A85" s="35"/>
      <c r="B85" s="20" t="s">
        <v>81</v>
      </c>
      <c r="C85" s="17" t="s">
        <v>80</v>
      </c>
      <c r="D85" s="103">
        <f>'1'!K85</f>
        <v>1500</v>
      </c>
      <c r="E85" s="103">
        <f>'2'!K85</f>
        <v>1500</v>
      </c>
      <c r="F85" s="103">
        <f>'3'!K85</f>
        <v>1500</v>
      </c>
      <c r="G85" s="103">
        <f>'4'!K85</f>
        <v>1500</v>
      </c>
      <c r="H85" s="103">
        <f>'5'!K85</f>
        <v>1500</v>
      </c>
      <c r="I85" s="103">
        <f>'6'!K85</f>
        <v>1500</v>
      </c>
      <c r="J85" s="110">
        <f>'7'!K85</f>
        <v>1500</v>
      </c>
      <c r="K85" s="110">
        <f>'8'!K85</f>
        <v>1500</v>
      </c>
      <c r="L85" s="110">
        <f>'9'!K85</f>
        <v>1500</v>
      </c>
      <c r="M85" s="110">
        <f>'10'!K85</f>
        <v>1428.5714285714287</v>
      </c>
      <c r="N85" s="110">
        <f>'11'!K85</f>
        <v>1500</v>
      </c>
      <c r="O85" s="110">
        <f>'12'!K85</f>
        <v>1500</v>
      </c>
      <c r="P85" s="110">
        <f>'13'!K85</f>
        <v>1500</v>
      </c>
      <c r="Q85" s="110">
        <f>'14'!K85</f>
        <v>1500</v>
      </c>
      <c r="R85" s="110">
        <f>'15'!K85</f>
        <v>1500</v>
      </c>
      <c r="S85" s="110">
        <f>'14'!K85</f>
        <v>1500</v>
      </c>
      <c r="T85" s="110">
        <f>'17'!K85</f>
        <v>1500</v>
      </c>
      <c r="U85" s="110">
        <f>'18'!K85</f>
        <v>1500</v>
      </c>
      <c r="V85" s="110">
        <f>'19'!K85</f>
        <v>1500</v>
      </c>
      <c r="W85" s="110">
        <f>'20'!K85</f>
        <v>1500</v>
      </c>
      <c r="X85" s="110">
        <f>'21'!K85</f>
        <v>1500</v>
      </c>
      <c r="Y85" s="110">
        <f>'22'!K85</f>
        <v>1500</v>
      </c>
      <c r="Z85" s="110">
        <f>'23'!K85</f>
        <v>1500</v>
      </c>
      <c r="AA85" s="110">
        <f>'24'!K85</f>
        <v>1500</v>
      </c>
      <c r="AB85" s="110">
        <f>'25'!K85</f>
        <v>1500</v>
      </c>
      <c r="AC85" s="110">
        <f>'26'!K85</f>
        <v>1500</v>
      </c>
      <c r="AD85" s="110">
        <f>'27'!K85</f>
        <v>1500</v>
      </c>
      <c r="AE85" s="110">
        <f>'28'!K85</f>
        <v>1500</v>
      </c>
      <c r="AF85" s="110">
        <f>'29'!K85</f>
        <v>1500</v>
      </c>
      <c r="AG85" s="110">
        <f>'30'!K85</f>
        <v>1500</v>
      </c>
      <c r="AH85" s="18"/>
      <c r="AI85" s="125">
        <f t="shared" si="2"/>
        <v>0</v>
      </c>
      <c r="AJ85" s="160">
        <f t="shared" si="3"/>
        <v>1497.6190476190475</v>
      </c>
    </row>
    <row r="86" spans="1:39" x14ac:dyDescent="0.25">
      <c r="A86" s="34"/>
      <c r="B86" s="20" t="s">
        <v>82</v>
      </c>
      <c r="C86" s="17" t="s">
        <v>80</v>
      </c>
      <c r="D86" s="103">
        <f>'1'!K86</f>
        <v>2000</v>
      </c>
      <c r="E86" s="103">
        <f>'2'!K86</f>
        <v>2000</v>
      </c>
      <c r="F86" s="103">
        <f>'3'!K86</f>
        <v>2000</v>
      </c>
      <c r="G86" s="103">
        <f>'4'!K86</f>
        <v>2000</v>
      </c>
      <c r="H86" s="103">
        <f>'5'!K86</f>
        <v>2000</v>
      </c>
      <c r="I86" s="103">
        <f>'6'!K86</f>
        <v>2000</v>
      </c>
      <c r="J86" s="110">
        <f>'7'!K86</f>
        <v>2000</v>
      </c>
      <c r="K86" s="110">
        <f>'8'!K86</f>
        <v>2000</v>
      </c>
      <c r="L86" s="110">
        <f>'9'!K86</f>
        <v>2000</v>
      </c>
      <c r="M86" s="110">
        <f>'10'!K86</f>
        <v>2000</v>
      </c>
      <c r="N86" s="110">
        <f>'11'!K86</f>
        <v>2250</v>
      </c>
      <c r="O86" s="110">
        <f>'12'!K86</f>
        <v>2250</v>
      </c>
      <c r="P86" s="110">
        <f>'13'!K86</f>
        <v>2250</v>
      </c>
      <c r="Q86" s="110">
        <f>'14'!K86</f>
        <v>2250</v>
      </c>
      <c r="R86" s="110">
        <f>'15'!K86</f>
        <v>2250</v>
      </c>
      <c r="S86" s="110">
        <f>'14'!K86</f>
        <v>2250</v>
      </c>
      <c r="T86" s="110">
        <f>'17'!K86</f>
        <v>1833.3333333333333</v>
      </c>
      <c r="U86" s="110">
        <f>'18'!K86</f>
        <v>1833.3333333333333</v>
      </c>
      <c r="V86" s="110">
        <f>'19'!K86</f>
        <v>1833.3333333333333</v>
      </c>
      <c r="W86" s="110">
        <f>'20'!K86</f>
        <v>1833.3333333333333</v>
      </c>
      <c r="X86" s="110">
        <f>'21'!K86</f>
        <v>1833.3333333333333</v>
      </c>
      <c r="Y86" s="110">
        <f>'22'!K86</f>
        <v>1833.3333333333333</v>
      </c>
      <c r="Z86" s="110">
        <f>'23'!K86</f>
        <v>1833.3333333333333</v>
      </c>
      <c r="AA86" s="110">
        <f>'24'!K86</f>
        <v>1833.3333333333333</v>
      </c>
      <c r="AB86" s="110">
        <f>'25'!K86</f>
        <v>1833.3333333333333</v>
      </c>
      <c r="AC86" s="110">
        <f>'26'!K86</f>
        <v>1833.3333333333333</v>
      </c>
      <c r="AD86" s="110">
        <f>'27'!K86</f>
        <v>1833.3333333333333</v>
      </c>
      <c r="AE86" s="110">
        <f>'28'!K86</f>
        <v>1833.3333333333333</v>
      </c>
      <c r="AF86" s="110">
        <f>'29'!K86</f>
        <v>1833.3333333333333</v>
      </c>
      <c r="AG86" s="110">
        <f>'30'!K86</f>
        <v>2250</v>
      </c>
      <c r="AH86" s="18"/>
      <c r="AI86" s="45">
        <f t="shared" si="2"/>
        <v>250</v>
      </c>
      <c r="AJ86" s="160">
        <f t="shared" si="3"/>
        <v>1986.1111111111122</v>
      </c>
    </row>
    <row r="87" spans="1:39" x14ac:dyDescent="0.25">
      <c r="A87" s="33">
        <v>22</v>
      </c>
      <c r="B87" s="21" t="s">
        <v>83</v>
      </c>
      <c r="C87" s="17"/>
      <c r="D87" s="103">
        <f>'1'!K87</f>
        <v>0</v>
      </c>
      <c r="E87" s="103">
        <f>'2'!K87</f>
        <v>0</v>
      </c>
      <c r="F87" s="103">
        <f>'3'!K87</f>
        <v>0</v>
      </c>
      <c r="G87" s="103">
        <f>'4'!K87</f>
        <v>0</v>
      </c>
      <c r="H87" s="103">
        <f>'5'!K87</f>
        <v>0</v>
      </c>
      <c r="I87" s="103">
        <f>'6'!K87</f>
        <v>0</v>
      </c>
      <c r="J87" s="110">
        <f>'7'!K87</f>
        <v>0</v>
      </c>
      <c r="K87" s="110">
        <f>'8'!K87</f>
        <v>0</v>
      </c>
      <c r="L87" s="110">
        <f>'9'!K87</f>
        <v>0</v>
      </c>
      <c r="M87" s="110">
        <f>'10'!K87</f>
        <v>0</v>
      </c>
      <c r="N87" s="110">
        <f>'11'!K87</f>
        <v>0</v>
      </c>
      <c r="O87" s="110">
        <f>'12'!K87</f>
        <v>0</v>
      </c>
      <c r="P87" s="110">
        <f>'13'!K87</f>
        <v>0</v>
      </c>
      <c r="Q87" s="110">
        <f>'14'!K87</f>
        <v>0</v>
      </c>
      <c r="R87" s="110">
        <f>'15'!K87</f>
        <v>0</v>
      </c>
      <c r="S87" s="110">
        <f>'14'!K87</f>
        <v>0</v>
      </c>
      <c r="T87" s="110">
        <f>'17'!K87</f>
        <v>0</v>
      </c>
      <c r="U87" s="110">
        <f>'18'!K87</f>
        <v>0</v>
      </c>
      <c r="V87" s="110">
        <f>'19'!K87</f>
        <v>0</v>
      </c>
      <c r="W87" s="110">
        <f>'20'!K87</f>
        <v>0</v>
      </c>
      <c r="X87" s="110">
        <f>'21'!K87</f>
        <v>0</v>
      </c>
      <c r="Y87" s="110">
        <f>'22'!K87</f>
        <v>0</v>
      </c>
      <c r="Z87" s="110">
        <f>'23'!K87</f>
        <v>0</v>
      </c>
      <c r="AA87" s="110">
        <f>'24'!K87</f>
        <v>0</v>
      </c>
      <c r="AB87" s="110">
        <f>'25'!K87</f>
        <v>0</v>
      </c>
      <c r="AC87" s="110">
        <f>'26'!K87</f>
        <v>0</v>
      </c>
      <c r="AD87" s="110">
        <f>'27'!K87</f>
        <v>0</v>
      </c>
      <c r="AE87" s="110">
        <f>'28'!K87</f>
        <v>0</v>
      </c>
      <c r="AF87" s="110">
        <f>'29'!K87</f>
        <v>0</v>
      </c>
      <c r="AG87" s="110">
        <f>'30'!K87</f>
        <v>0</v>
      </c>
      <c r="AH87" s="18"/>
      <c r="AI87" s="18">
        <f t="shared" si="2"/>
        <v>0</v>
      </c>
      <c r="AJ87" s="160">
        <f t="shared" si="3"/>
        <v>0</v>
      </c>
    </row>
    <row r="88" spans="1:39" ht="14.25" customHeight="1" x14ac:dyDescent="0.25">
      <c r="A88" s="34"/>
      <c r="B88" s="20" t="s">
        <v>84</v>
      </c>
      <c r="C88" s="17" t="s">
        <v>85</v>
      </c>
      <c r="D88" s="103">
        <f>'1'!K88</f>
        <v>18000</v>
      </c>
      <c r="E88" s="103">
        <f>'2'!K88</f>
        <v>18000</v>
      </c>
      <c r="F88" s="103">
        <f>'3'!K88</f>
        <v>18000</v>
      </c>
      <c r="G88" s="103">
        <f>'4'!K88</f>
        <v>18000</v>
      </c>
      <c r="H88" s="103">
        <f>'5'!K88</f>
        <v>18000</v>
      </c>
      <c r="I88" s="103">
        <f>'6'!K88</f>
        <v>18000</v>
      </c>
      <c r="J88" s="110">
        <f>'7'!K88</f>
        <v>18000</v>
      </c>
      <c r="K88" s="110">
        <f>'8'!K88</f>
        <v>18000</v>
      </c>
      <c r="L88" s="110">
        <f>'9'!K88</f>
        <v>18000</v>
      </c>
      <c r="M88" s="110">
        <f>'10'!K88</f>
        <v>18000</v>
      </c>
      <c r="N88" s="110">
        <f>'11'!K88</f>
        <v>18000</v>
      </c>
      <c r="O88" s="110">
        <f>'12'!K88</f>
        <v>18000</v>
      </c>
      <c r="P88" s="110">
        <f>'13'!K88</f>
        <v>18000</v>
      </c>
      <c r="Q88" s="110">
        <f>'14'!K88</f>
        <v>18000</v>
      </c>
      <c r="R88" s="110">
        <f>'15'!K88</f>
        <v>18000</v>
      </c>
      <c r="S88" s="110">
        <f>'14'!K88</f>
        <v>18000</v>
      </c>
      <c r="T88" s="110">
        <f>'17'!K88</f>
        <v>18000</v>
      </c>
      <c r="U88" s="110">
        <f>'18'!K88</f>
        <v>18000</v>
      </c>
      <c r="V88" s="110">
        <f>'19'!K88</f>
        <v>18000</v>
      </c>
      <c r="W88" s="110">
        <f>'20'!K88</f>
        <v>18000</v>
      </c>
      <c r="X88" s="110">
        <f>'21'!K88</f>
        <v>18000</v>
      </c>
      <c r="Y88" s="110">
        <f>'22'!K88</f>
        <v>18000</v>
      </c>
      <c r="Z88" s="110">
        <f>'23'!K88</f>
        <v>18000</v>
      </c>
      <c r="AA88" s="110">
        <f>'24'!K88</f>
        <v>18000</v>
      </c>
      <c r="AB88" s="110">
        <f>'25'!K88</f>
        <v>18000</v>
      </c>
      <c r="AC88" s="110">
        <f>'26'!K88</f>
        <v>18000</v>
      </c>
      <c r="AD88" s="110">
        <f>'27'!K88</f>
        <v>18000</v>
      </c>
      <c r="AE88" s="110">
        <f>'28'!K88</f>
        <v>18000</v>
      </c>
      <c r="AF88" s="110">
        <f>'29'!K88</f>
        <v>18000</v>
      </c>
      <c r="AG88" s="110">
        <f>'30'!K88</f>
        <v>18000</v>
      </c>
      <c r="AH88" s="18"/>
      <c r="AI88" s="18">
        <f t="shared" si="2"/>
        <v>0</v>
      </c>
      <c r="AJ88" s="160">
        <f t="shared" si="3"/>
        <v>18000</v>
      </c>
      <c r="AM88" s="36" t="s">
        <v>100</v>
      </c>
    </row>
    <row r="89" spans="1:39" ht="14.25" customHeight="1" x14ac:dyDescent="0.25">
      <c r="A89" s="38"/>
      <c r="B89" s="67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112"/>
      <c r="AF89" s="112"/>
      <c r="AG89" s="112"/>
      <c r="AH89" s="68"/>
      <c r="AI89" s="69"/>
    </row>
    <row r="90" spans="1:39" ht="12.75" customHeight="1" x14ac:dyDescent="0.25">
      <c r="A90" s="3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30"/>
    </row>
    <row r="91" spans="1:39" ht="3" customHeight="1" x14ac:dyDescent="0.25">
      <c r="A91" s="39"/>
      <c r="B91" s="70"/>
      <c r="C91" s="47"/>
      <c r="D91" s="47"/>
      <c r="E91" s="47"/>
      <c r="F91" s="47"/>
      <c r="G91" s="47"/>
      <c r="H91" s="47"/>
      <c r="I91" s="47"/>
      <c r="AI91" s="40"/>
    </row>
    <row r="92" spans="1:39" ht="14.25" hidden="1" customHeight="1" x14ac:dyDescent="0.25">
      <c r="A92" s="39"/>
      <c r="C92" s="47"/>
      <c r="D92" s="47"/>
      <c r="E92" s="47"/>
      <c r="F92" s="47"/>
      <c r="G92" s="47"/>
      <c r="H92" s="47"/>
      <c r="I92" s="47"/>
      <c r="AI92" s="40"/>
    </row>
    <row r="93" spans="1:39" ht="14.25" customHeight="1" x14ac:dyDescent="0.25">
      <c r="A93" s="41" t="s">
        <v>100</v>
      </c>
      <c r="B93" s="48" t="s">
        <v>111</v>
      </c>
      <c r="C93" s="47"/>
      <c r="D93" s="47"/>
      <c r="E93" s="47"/>
      <c r="F93" s="47"/>
      <c r="G93" s="47"/>
      <c r="H93" s="47"/>
      <c r="I93" s="47"/>
      <c r="AI93" s="40"/>
    </row>
    <row r="94" spans="1:39" ht="15.75" customHeight="1" x14ac:dyDescent="0.25">
      <c r="A94" s="39"/>
      <c r="B94" s="47" t="s">
        <v>112</v>
      </c>
      <c r="C94" s="47"/>
      <c r="D94" s="47"/>
      <c r="E94" s="47"/>
      <c r="F94" s="47"/>
      <c r="G94" s="47"/>
      <c r="H94" s="47"/>
      <c r="I94" s="47"/>
      <c r="AI94" s="40"/>
    </row>
    <row r="95" spans="1:39" ht="15.75" customHeight="1" x14ac:dyDescent="0.25">
      <c r="A95" s="42"/>
      <c r="B95" s="49" t="s">
        <v>126</v>
      </c>
      <c r="C95" s="49"/>
      <c r="D95" s="49"/>
      <c r="E95" s="49"/>
      <c r="F95" s="49"/>
      <c r="G95" s="49"/>
      <c r="H95" s="49"/>
      <c r="I95" s="49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114"/>
      <c r="AF95" s="114"/>
      <c r="AG95" s="114"/>
      <c r="AH95" s="43"/>
      <c r="AI95" s="44"/>
    </row>
  </sheetData>
  <mergeCells count="23">
    <mergeCell ref="B90:AI90"/>
    <mergeCell ref="AH4:AH6"/>
    <mergeCell ref="AI4:AI6"/>
    <mergeCell ref="A1:AI1"/>
    <mergeCell ref="A2:AI2"/>
    <mergeCell ref="A3:AI3"/>
    <mergeCell ref="A33:A35"/>
    <mergeCell ref="A4:A6"/>
    <mergeCell ref="B4:B6"/>
    <mergeCell ref="C4:C6"/>
    <mergeCell ref="A7:A12"/>
    <mergeCell ref="A13:A15"/>
    <mergeCell ref="A16:A18"/>
    <mergeCell ref="A19:A20"/>
    <mergeCell ref="A21:A25"/>
    <mergeCell ref="A26:A32"/>
    <mergeCell ref="A69:A73"/>
    <mergeCell ref="A43:A45"/>
    <mergeCell ref="A46:A48"/>
    <mergeCell ref="A52:A53"/>
    <mergeCell ref="A54:A55"/>
    <mergeCell ref="A56:A60"/>
    <mergeCell ref="A63:A66"/>
  </mergeCells>
  <pageMargins left="0.7" right="0.2" top="0" bottom="0" header="0.3" footer="0.3"/>
  <pageSetup paperSize="5" scale="4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"/>
  <sheetViews>
    <sheetView zoomScale="70" zoomScaleNormal="70" workbookViewId="0">
      <selection activeCell="J90" sqref="J9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128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13000</v>
      </c>
      <c r="G8" s="8">
        <v>13000</v>
      </c>
      <c r="H8" s="8">
        <v>13500</v>
      </c>
      <c r="I8" s="8">
        <v>13000</v>
      </c>
      <c r="J8" s="11">
        <v>13000</v>
      </c>
      <c r="K8" s="82">
        <f>AVERAGE(D8:J8)</f>
        <v>13071.428571428571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9400</v>
      </c>
      <c r="E9" s="8">
        <v>10500</v>
      </c>
      <c r="F9" s="8">
        <v>10000</v>
      </c>
      <c r="G9" s="7">
        <v>9000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9725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12000</v>
      </c>
      <c r="F10" s="8">
        <v>12000</v>
      </c>
      <c r="G10" s="7">
        <v>10900</v>
      </c>
      <c r="H10" s="8">
        <v>12000</v>
      </c>
      <c r="I10" s="8">
        <v>13000</v>
      </c>
      <c r="J10" s="11" t="s">
        <v>97</v>
      </c>
      <c r="K10" s="82">
        <f t="shared" si="0"/>
        <v>11980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10000</v>
      </c>
      <c r="J11" s="11">
        <v>8000</v>
      </c>
      <c r="K11" s="82">
        <f>AVERAGE(D11:J11)</f>
        <v>10000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18000</v>
      </c>
      <c r="J12" s="11">
        <v>17000</v>
      </c>
      <c r="K12" s="82">
        <f t="shared" si="0"/>
        <v>18600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13000</v>
      </c>
      <c r="F14" s="8">
        <v>13500</v>
      </c>
      <c r="G14" s="8">
        <v>13500</v>
      </c>
      <c r="H14" s="8">
        <v>13500</v>
      </c>
      <c r="I14" s="8">
        <v>13000</v>
      </c>
      <c r="J14" s="55">
        <v>13500</v>
      </c>
      <c r="K14" s="82">
        <f t="shared" si="0"/>
        <v>13285.714285714286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35000</v>
      </c>
      <c r="G25" s="8">
        <v>34000</v>
      </c>
      <c r="H25" s="55">
        <v>36000</v>
      </c>
      <c r="I25" s="8">
        <v>35000</v>
      </c>
      <c r="J25" s="55">
        <v>37000</v>
      </c>
      <c r="K25" s="82">
        <f t="shared" si="0"/>
        <v>35285.714285714283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38000</v>
      </c>
      <c r="J27" s="55">
        <v>40000</v>
      </c>
      <c r="K27" s="82">
        <f t="shared" si="0"/>
        <v>36500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36000</v>
      </c>
      <c r="J31" s="55">
        <v>35000</v>
      </c>
      <c r="K31" s="82">
        <f t="shared" si="0"/>
        <v>34571.428571428572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25000</v>
      </c>
      <c r="F34" s="8">
        <v>26000</v>
      </c>
      <c r="G34" s="8">
        <v>24000</v>
      </c>
      <c r="H34" s="8">
        <v>25000</v>
      </c>
      <c r="I34" s="8">
        <v>25000</v>
      </c>
      <c r="J34" s="55">
        <v>25000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36000</v>
      </c>
      <c r="E64" s="8">
        <v>35000</v>
      </c>
      <c r="F64" s="8">
        <v>38000</v>
      </c>
      <c r="G64" s="8">
        <v>37000</v>
      </c>
      <c r="H64" s="8">
        <v>35000</v>
      </c>
      <c r="I64" s="8">
        <v>35000</v>
      </c>
      <c r="J64" s="55">
        <v>35000</v>
      </c>
      <c r="K64" s="82">
        <f t="shared" si="0"/>
        <v>35857.142857142855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40000</v>
      </c>
      <c r="E65" s="8">
        <v>35000</v>
      </c>
      <c r="F65" s="8">
        <v>30000</v>
      </c>
      <c r="G65" s="8">
        <v>28000</v>
      </c>
      <c r="H65" s="65" t="s">
        <v>97</v>
      </c>
      <c r="I65" s="7">
        <v>25000</v>
      </c>
      <c r="J65" s="55" t="s">
        <v>97</v>
      </c>
      <c r="K65" s="82">
        <f t="shared" si="0"/>
        <v>31600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30000</v>
      </c>
      <c r="E66" s="8">
        <v>30000</v>
      </c>
      <c r="F66" s="8">
        <v>24000</v>
      </c>
      <c r="G66" s="8">
        <v>30000</v>
      </c>
      <c r="H66" s="8">
        <v>25000</v>
      </c>
      <c r="I66" s="8">
        <v>25000</v>
      </c>
      <c r="J66" s="55">
        <v>25000</v>
      </c>
      <c r="K66" s="82">
        <f t="shared" si="0"/>
        <v>27000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35000</v>
      </c>
      <c r="E70" s="8">
        <v>33000</v>
      </c>
      <c r="F70" s="8">
        <v>36000</v>
      </c>
      <c r="G70" s="8">
        <v>35000</v>
      </c>
      <c r="H70" s="8">
        <v>34000</v>
      </c>
      <c r="I70" s="8">
        <v>35000</v>
      </c>
      <c r="J70" s="55">
        <v>36000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34000</v>
      </c>
      <c r="E71" s="8">
        <v>32000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34000</v>
      </c>
      <c r="K71" s="82">
        <f t="shared" si="0"/>
        <v>32285.714285714286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24000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29000</v>
      </c>
      <c r="G73" s="7">
        <v>30000</v>
      </c>
      <c r="H73" s="8">
        <v>25000</v>
      </c>
      <c r="I73" s="8">
        <v>30000</v>
      </c>
      <c r="J73" s="55">
        <v>28000</v>
      </c>
      <c r="K73" s="82">
        <f t="shared" si="0"/>
        <v>27285.714285714286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5000</v>
      </c>
      <c r="F78" s="8">
        <v>7000</v>
      </c>
      <c r="G78" s="8">
        <v>8000</v>
      </c>
      <c r="H78" s="8">
        <v>10000</v>
      </c>
      <c r="I78" s="11">
        <v>7000</v>
      </c>
      <c r="J78" s="55">
        <v>7000</v>
      </c>
      <c r="K78" s="82">
        <f t="shared" si="0"/>
        <v>7142.8571428571431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13000</v>
      </c>
      <c r="F79" s="8">
        <v>13000</v>
      </c>
      <c r="G79" s="8">
        <v>12000</v>
      </c>
      <c r="H79" s="8">
        <v>10000</v>
      </c>
      <c r="I79" s="11">
        <v>14000</v>
      </c>
      <c r="J79" s="55">
        <v>10000</v>
      </c>
      <c r="K79" s="82">
        <f t="shared" si="0"/>
        <v>12000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16000</v>
      </c>
      <c r="G80" s="8">
        <v>16000</v>
      </c>
      <c r="H80" s="8">
        <v>15000</v>
      </c>
      <c r="I80" s="8">
        <v>16000</v>
      </c>
      <c r="J80" s="55">
        <v>16000</v>
      </c>
      <c r="K80" s="82">
        <f t="shared" si="0"/>
        <v>16285.714285714286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12000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8428.5714285714294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12000</v>
      </c>
      <c r="G82" s="8">
        <v>10000</v>
      </c>
      <c r="H82" s="8">
        <v>10000</v>
      </c>
      <c r="I82" s="8">
        <v>14000</v>
      </c>
      <c r="J82" s="55">
        <v>10000</v>
      </c>
      <c r="K82" s="82">
        <f t="shared" si="1"/>
        <v>11428.571428571429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7000</v>
      </c>
      <c r="F83" s="11">
        <v>9000</v>
      </c>
      <c r="G83" s="7">
        <v>8000</v>
      </c>
      <c r="H83" s="8">
        <v>9000</v>
      </c>
      <c r="I83" s="11">
        <v>10000</v>
      </c>
      <c r="J83" s="55">
        <v>8000</v>
      </c>
      <c r="K83" s="82">
        <f t="shared" si="1"/>
        <v>8428.5714285714294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129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15000</v>
      </c>
      <c r="G8" s="8">
        <v>13000</v>
      </c>
      <c r="H8" s="8">
        <v>13500</v>
      </c>
      <c r="I8" s="8">
        <v>13000</v>
      </c>
      <c r="J8" s="11">
        <v>13000</v>
      </c>
      <c r="K8" s="82">
        <f>AVERAGE(D8:J8)</f>
        <v>13357.142857142857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12000</v>
      </c>
      <c r="F10" s="8">
        <v>14500</v>
      </c>
      <c r="G10" s="7">
        <v>12000</v>
      </c>
      <c r="H10" s="8">
        <v>12000</v>
      </c>
      <c r="I10" s="8">
        <v>13000</v>
      </c>
      <c r="J10" s="11" t="s">
        <v>97</v>
      </c>
      <c r="K10" s="82">
        <f t="shared" si="0"/>
        <v>12700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10000</v>
      </c>
      <c r="J11" s="11">
        <v>8000</v>
      </c>
      <c r="K11" s="82">
        <f>AVERAGE(D11:J11)</f>
        <v>10000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18000</v>
      </c>
      <c r="G12" s="7">
        <v>20000</v>
      </c>
      <c r="H12" s="8" t="s">
        <v>97</v>
      </c>
      <c r="I12" s="11">
        <v>18000</v>
      </c>
      <c r="J12" s="11">
        <v>17000</v>
      </c>
      <c r="K12" s="82">
        <f t="shared" si="0"/>
        <v>18800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13000</v>
      </c>
      <c r="F14" s="8">
        <v>13500</v>
      </c>
      <c r="G14" s="8">
        <v>13500</v>
      </c>
      <c r="H14" s="8">
        <v>13500</v>
      </c>
      <c r="I14" s="8">
        <v>13000</v>
      </c>
      <c r="J14" s="55">
        <v>13500</v>
      </c>
      <c r="K14" s="82">
        <f t="shared" si="0"/>
        <v>13285.714285714286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18000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15571.428571428571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17000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15285.714285714286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35000</v>
      </c>
      <c r="G25" s="8">
        <v>34000</v>
      </c>
      <c r="H25" s="55">
        <v>36000</v>
      </c>
      <c r="I25" s="8">
        <v>35000</v>
      </c>
      <c r="J25" s="55">
        <v>37000</v>
      </c>
      <c r="K25" s="82">
        <f t="shared" si="0"/>
        <v>35285.714285714283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38000</v>
      </c>
      <c r="J27" s="55">
        <v>40000</v>
      </c>
      <c r="K27" s="82">
        <f t="shared" si="0"/>
        <v>36500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36000</v>
      </c>
      <c r="J31" s="55">
        <v>35000</v>
      </c>
      <c r="K31" s="82">
        <f t="shared" si="0"/>
        <v>34571.428571428572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25000</v>
      </c>
      <c r="I34" s="8">
        <v>25000</v>
      </c>
      <c r="J34" s="55">
        <v>25000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2700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2742.8571428571427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13000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13000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15000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14166.666666666666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20000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29000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35000</v>
      </c>
      <c r="F64" s="8">
        <v>30000</v>
      </c>
      <c r="G64" s="8">
        <v>35000</v>
      </c>
      <c r="H64" s="8">
        <v>28000</v>
      </c>
      <c r="I64" s="8">
        <v>35000</v>
      </c>
      <c r="J64" s="55">
        <v>35000</v>
      </c>
      <c r="K64" s="82">
        <f t="shared" si="0"/>
        <v>33285.714285714283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35000</v>
      </c>
      <c r="F65" s="8">
        <v>40000</v>
      </c>
      <c r="G65" s="8">
        <v>34000</v>
      </c>
      <c r="H65" s="65" t="s">
        <v>97</v>
      </c>
      <c r="I65" s="7">
        <v>25000</v>
      </c>
      <c r="J65" s="55" t="s">
        <v>97</v>
      </c>
      <c r="K65" s="82">
        <f t="shared" si="0"/>
        <v>33600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30000</v>
      </c>
      <c r="F66" s="8">
        <v>22000</v>
      </c>
      <c r="G66" s="8">
        <v>30000</v>
      </c>
      <c r="H66" s="8">
        <v>25000</v>
      </c>
      <c r="I66" s="8">
        <v>25000</v>
      </c>
      <c r="J66" s="55">
        <v>25000</v>
      </c>
      <c r="K66" s="82">
        <f t="shared" si="0"/>
        <v>25714.285714285714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33000</v>
      </c>
      <c r="F70" s="8">
        <v>35000</v>
      </c>
      <c r="G70" s="8">
        <v>35000</v>
      </c>
      <c r="H70" s="8">
        <v>34000</v>
      </c>
      <c r="I70" s="8">
        <v>35000</v>
      </c>
      <c r="J70" s="55">
        <v>36000</v>
      </c>
      <c r="K70" s="82">
        <f t="shared" si="0"/>
        <v>34571.428571428572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33000</v>
      </c>
      <c r="G71" s="8">
        <v>32000</v>
      </c>
      <c r="H71" s="8">
        <v>32000</v>
      </c>
      <c r="I71" s="8">
        <v>30000</v>
      </c>
      <c r="J71" s="55">
        <v>34000</v>
      </c>
      <c r="K71" s="82">
        <f t="shared" si="0"/>
        <v>32142.857142857141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28000</v>
      </c>
      <c r="G73" s="7">
        <v>30000</v>
      </c>
      <c r="H73" s="8">
        <v>25000</v>
      </c>
      <c r="I73" s="8">
        <v>30000</v>
      </c>
      <c r="J73" s="55">
        <v>28000</v>
      </c>
      <c r="K73" s="82">
        <f t="shared" si="0"/>
        <v>27142.857142857141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5000</v>
      </c>
      <c r="F78" s="8">
        <v>6000</v>
      </c>
      <c r="G78" s="8">
        <v>8000</v>
      </c>
      <c r="H78" s="8">
        <v>10000</v>
      </c>
      <c r="I78" s="11">
        <v>7000</v>
      </c>
      <c r="J78" s="55">
        <v>7000</v>
      </c>
      <c r="K78" s="82">
        <f t="shared" si="0"/>
        <v>7000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13000</v>
      </c>
      <c r="F79" s="8">
        <v>12000</v>
      </c>
      <c r="G79" s="8">
        <v>12000</v>
      </c>
      <c r="H79" s="8">
        <v>10000</v>
      </c>
      <c r="I79" s="11">
        <v>14000</v>
      </c>
      <c r="J79" s="55">
        <v>10000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20000</v>
      </c>
      <c r="G80" s="8">
        <v>16000</v>
      </c>
      <c r="H80" s="8">
        <v>15000</v>
      </c>
      <c r="I80" s="8">
        <v>16000</v>
      </c>
      <c r="J80" s="55">
        <v>16000</v>
      </c>
      <c r="K80" s="82">
        <f t="shared" si="0"/>
        <v>16857.142857142859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12000</v>
      </c>
      <c r="F81" s="8">
        <v>8000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8571.4285714285706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14000</v>
      </c>
      <c r="G82" s="8">
        <v>10000</v>
      </c>
      <c r="H82" s="8">
        <v>10000</v>
      </c>
      <c r="I82" s="8">
        <v>14000</v>
      </c>
      <c r="J82" s="55">
        <v>10000</v>
      </c>
      <c r="K82" s="82">
        <f t="shared" si="1"/>
        <v>11714.285714285714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7000</v>
      </c>
      <c r="F83" s="11">
        <v>10000</v>
      </c>
      <c r="G83" s="7">
        <v>8000</v>
      </c>
      <c r="H83" s="8">
        <v>9000</v>
      </c>
      <c r="I83" s="11">
        <v>10000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1571.4285714285713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2"/>
  <sheetViews>
    <sheetView zoomScale="40" zoomScaleNormal="40" workbookViewId="0">
      <selection activeCell="P11" sqref="P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13500</v>
      </c>
      <c r="F8" s="8">
        <v>15000</v>
      </c>
      <c r="G8" s="8">
        <v>13000</v>
      </c>
      <c r="H8" s="8">
        <v>13500</v>
      </c>
      <c r="I8" s="8">
        <v>13000</v>
      </c>
      <c r="J8" s="11">
        <v>13500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>
        <v>14500</v>
      </c>
      <c r="G10" s="7">
        <v>12000</v>
      </c>
      <c r="H10" s="8">
        <v>12000</v>
      </c>
      <c r="I10" s="8">
        <v>13000</v>
      </c>
      <c r="J10" s="11" t="s">
        <v>97</v>
      </c>
      <c r="K10" s="82">
        <f t="shared" si="0"/>
        <v>12800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11000</v>
      </c>
      <c r="G11" s="7">
        <v>10000</v>
      </c>
      <c r="H11" s="8" t="s">
        <v>97</v>
      </c>
      <c r="I11" s="11">
        <v>10000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18000</v>
      </c>
      <c r="G12" s="7">
        <v>20000</v>
      </c>
      <c r="H12" s="8" t="s">
        <v>97</v>
      </c>
      <c r="I12" s="11">
        <v>18000</v>
      </c>
      <c r="J12" s="11">
        <v>17000</v>
      </c>
      <c r="K12" s="82">
        <f t="shared" si="0"/>
        <v>18800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13000</v>
      </c>
      <c r="F14" s="8">
        <v>13500</v>
      </c>
      <c r="G14" s="8">
        <v>13500</v>
      </c>
      <c r="H14" s="8">
        <v>13500</v>
      </c>
      <c r="I14" s="8">
        <v>13000</v>
      </c>
      <c r="J14" s="55">
        <v>13500</v>
      </c>
      <c r="K14" s="82">
        <f t="shared" si="0"/>
        <v>13285.714285714286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18000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15571.428571428571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17000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15285.714285714286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37000</v>
      </c>
      <c r="G25" s="8">
        <v>34000</v>
      </c>
      <c r="H25" s="55">
        <v>36000</v>
      </c>
      <c r="I25" s="8">
        <v>35000</v>
      </c>
      <c r="J25" s="55">
        <v>37000</v>
      </c>
      <c r="K25" s="82">
        <f t="shared" si="0"/>
        <v>35571.428571428572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38000</v>
      </c>
      <c r="J27" s="55">
        <v>40000</v>
      </c>
      <c r="K27" s="82">
        <f t="shared" si="0"/>
        <v>36500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70000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64714.285714285717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38000</v>
      </c>
      <c r="G31" s="8">
        <v>35000</v>
      </c>
      <c r="H31" s="8">
        <v>28000</v>
      </c>
      <c r="I31" s="8">
        <v>36000</v>
      </c>
      <c r="J31" s="55">
        <v>35000</v>
      </c>
      <c r="K31" s="82">
        <f t="shared" si="0"/>
        <v>35000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95000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86250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26000</v>
      </c>
      <c r="I34" s="8">
        <v>25000</v>
      </c>
      <c r="J34" s="55">
        <v>25000</v>
      </c>
      <c r="K34" s="82">
        <f t="shared" si="0"/>
        <v>25285.714285714286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2700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2742.8571428571427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13000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13000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14000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14000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20000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29000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35000</v>
      </c>
      <c r="F64" s="8">
        <v>25000</v>
      </c>
      <c r="G64" s="8">
        <v>35000</v>
      </c>
      <c r="H64" s="8">
        <v>25000</v>
      </c>
      <c r="I64" s="8">
        <v>35000</v>
      </c>
      <c r="J64" s="55">
        <v>35000</v>
      </c>
      <c r="K64" s="82">
        <f t="shared" si="0"/>
        <v>32142.857142857141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35000</v>
      </c>
      <c r="F65" s="8">
        <v>40000</v>
      </c>
      <c r="G65" s="8">
        <v>35000</v>
      </c>
      <c r="H65" s="65" t="s">
        <v>97</v>
      </c>
      <c r="I65" s="7">
        <v>25000</v>
      </c>
      <c r="J65" s="55" t="s">
        <v>97</v>
      </c>
      <c r="K65" s="82">
        <f t="shared" si="0"/>
        <v>33800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30000</v>
      </c>
      <c r="F66" s="8">
        <v>25000</v>
      </c>
      <c r="G66" s="8">
        <v>30000</v>
      </c>
      <c r="H66" s="8">
        <v>20000</v>
      </c>
      <c r="I66" s="8">
        <v>25000</v>
      </c>
      <c r="J66" s="55">
        <v>25000</v>
      </c>
      <c r="K66" s="82">
        <f t="shared" si="0"/>
        <v>25428.571428571428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33000</v>
      </c>
      <c r="F70" s="8">
        <v>38000</v>
      </c>
      <c r="G70" s="8">
        <v>35000</v>
      </c>
      <c r="H70" s="8">
        <v>34000</v>
      </c>
      <c r="I70" s="8">
        <v>35000</v>
      </c>
      <c r="J70" s="55">
        <v>36000</v>
      </c>
      <c r="K70" s="82">
        <f t="shared" si="0"/>
        <v>35000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35000</v>
      </c>
      <c r="G71" s="8">
        <v>32000</v>
      </c>
      <c r="H71" s="8">
        <v>32000</v>
      </c>
      <c r="I71" s="8">
        <v>30000</v>
      </c>
      <c r="J71" s="55">
        <v>34000</v>
      </c>
      <c r="K71" s="82">
        <f t="shared" si="0"/>
        <v>32428.571428571428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28000</v>
      </c>
      <c r="G73" s="7">
        <v>30000</v>
      </c>
      <c r="H73" s="8">
        <v>25000</v>
      </c>
      <c r="I73" s="8">
        <v>30000</v>
      </c>
      <c r="J73" s="55">
        <v>28000</v>
      </c>
      <c r="K73" s="82">
        <f t="shared" si="0"/>
        <v>27142.857142857141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5000</v>
      </c>
      <c r="F78" s="8">
        <v>7000</v>
      </c>
      <c r="G78" s="8">
        <v>8000</v>
      </c>
      <c r="H78" s="8">
        <v>10000</v>
      </c>
      <c r="I78" s="11">
        <v>7000</v>
      </c>
      <c r="J78" s="55">
        <v>7000</v>
      </c>
      <c r="K78" s="82">
        <f t="shared" si="0"/>
        <v>7142.8571428571431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13000</v>
      </c>
      <c r="F79" s="8">
        <v>10000</v>
      </c>
      <c r="G79" s="8">
        <v>12000</v>
      </c>
      <c r="H79" s="8">
        <v>10000</v>
      </c>
      <c r="I79" s="11">
        <v>14000</v>
      </c>
      <c r="J79" s="55">
        <v>10000</v>
      </c>
      <c r="K79" s="82">
        <f t="shared" si="0"/>
        <v>11571.428571428571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20000</v>
      </c>
      <c r="G80" s="8">
        <v>16000</v>
      </c>
      <c r="H80" s="8">
        <v>15000</v>
      </c>
      <c r="I80" s="8">
        <v>16000</v>
      </c>
      <c r="J80" s="55">
        <v>16000</v>
      </c>
      <c r="K80" s="82">
        <f t="shared" si="0"/>
        <v>16857.142857142859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12000</v>
      </c>
      <c r="F81" s="8">
        <v>6000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8285.7142857142862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14000</v>
      </c>
      <c r="G82" s="8">
        <v>10000</v>
      </c>
      <c r="H82" s="8">
        <v>10000</v>
      </c>
      <c r="I82" s="8">
        <v>14000</v>
      </c>
      <c r="J82" s="55">
        <v>10000</v>
      </c>
      <c r="K82" s="82">
        <f t="shared" si="1"/>
        <v>11714.285714285714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7000</v>
      </c>
      <c r="F83" s="11">
        <v>10000</v>
      </c>
      <c r="G83" s="7">
        <v>8000</v>
      </c>
      <c r="H83" s="8">
        <v>9000</v>
      </c>
      <c r="I83" s="11">
        <v>10000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1571.4285714285713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13500</v>
      </c>
      <c r="F8" s="8">
        <v>13500</v>
      </c>
      <c r="G8" s="8">
        <v>13000</v>
      </c>
      <c r="H8" s="8">
        <v>14000</v>
      </c>
      <c r="I8" s="8">
        <v>13000</v>
      </c>
      <c r="J8" s="11">
        <v>13500</v>
      </c>
      <c r="K8" s="82">
        <f>AVERAGE(D8:J8)</f>
        <v>13357.142857142857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>
        <v>12500</v>
      </c>
      <c r="G10" s="7">
        <v>12000</v>
      </c>
      <c r="H10" s="8">
        <v>12500</v>
      </c>
      <c r="I10" s="8">
        <v>13000</v>
      </c>
      <c r="J10" s="11" t="s">
        <v>97</v>
      </c>
      <c r="K10" s="82">
        <f t="shared" si="0"/>
        <v>12500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10000</v>
      </c>
      <c r="J11" s="11">
        <v>8000</v>
      </c>
      <c r="K11" s="82">
        <f>AVERAGE(D11:J11)</f>
        <v>10000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18000</v>
      </c>
      <c r="J12" s="11">
        <v>17000</v>
      </c>
      <c r="K12" s="82">
        <f t="shared" si="0"/>
        <v>18600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13000</v>
      </c>
      <c r="F14" s="8">
        <v>13500</v>
      </c>
      <c r="G14" s="8">
        <v>13500</v>
      </c>
      <c r="H14" s="8">
        <v>13500</v>
      </c>
      <c r="I14" s="8">
        <v>13000</v>
      </c>
      <c r="J14" s="55">
        <v>13500</v>
      </c>
      <c r="K14" s="82">
        <f t="shared" si="0"/>
        <v>13285.714285714286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37000</v>
      </c>
      <c r="K25" s="82">
        <f t="shared" si="0"/>
        <v>35428.571428571428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38000</v>
      </c>
      <c r="J27" s="55">
        <v>40000</v>
      </c>
      <c r="K27" s="82">
        <f t="shared" si="0"/>
        <v>36500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36000</v>
      </c>
      <c r="J31" s="55">
        <v>35000</v>
      </c>
      <c r="K31" s="82">
        <f t="shared" si="0"/>
        <v>34571.428571428572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26000</v>
      </c>
      <c r="I34" s="8">
        <v>25000</v>
      </c>
      <c r="J34" s="55">
        <v>26000</v>
      </c>
      <c r="K34" s="82">
        <f t="shared" si="0"/>
        <v>25285.714285714286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35000</v>
      </c>
      <c r="F64" s="8">
        <v>34000</v>
      </c>
      <c r="G64" s="8">
        <v>32000</v>
      </c>
      <c r="H64" s="8">
        <v>25000</v>
      </c>
      <c r="I64" s="8">
        <v>35000</v>
      </c>
      <c r="J64" s="55">
        <v>35000</v>
      </c>
      <c r="K64" s="82">
        <f t="shared" si="0"/>
        <v>33000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35000</v>
      </c>
      <c r="F65" s="8">
        <v>32000</v>
      </c>
      <c r="G65" s="8">
        <v>35000</v>
      </c>
      <c r="H65" s="65" t="s">
        <v>97</v>
      </c>
      <c r="I65" s="7">
        <v>25000</v>
      </c>
      <c r="J65" s="55" t="s">
        <v>97</v>
      </c>
      <c r="K65" s="82">
        <f t="shared" si="0"/>
        <v>32200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28000</v>
      </c>
      <c r="F66" s="8">
        <v>22000</v>
      </c>
      <c r="G66" s="8">
        <v>30000</v>
      </c>
      <c r="H66" s="8">
        <v>25000</v>
      </c>
      <c r="I66" s="8">
        <v>25000</v>
      </c>
      <c r="J66" s="55">
        <v>25000</v>
      </c>
      <c r="K66" s="82">
        <f t="shared" si="0"/>
        <v>25428.571428571428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33000</v>
      </c>
      <c r="F70" s="8">
        <v>35000</v>
      </c>
      <c r="G70" s="8">
        <v>35000</v>
      </c>
      <c r="H70" s="8">
        <v>34000</v>
      </c>
      <c r="I70" s="8">
        <v>35000</v>
      </c>
      <c r="J70" s="55">
        <v>35000</v>
      </c>
      <c r="K70" s="82">
        <f t="shared" si="0"/>
        <v>34428.571428571428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33000</v>
      </c>
      <c r="K71" s="82">
        <f t="shared" si="0"/>
        <v>31857.142857142859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29000</v>
      </c>
      <c r="G73" s="7">
        <v>30000</v>
      </c>
      <c r="H73" s="8">
        <v>25000</v>
      </c>
      <c r="I73" s="8">
        <v>30000</v>
      </c>
      <c r="J73" s="55">
        <v>28000</v>
      </c>
      <c r="K73" s="82">
        <f t="shared" si="0"/>
        <v>27285.714285714286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5000</v>
      </c>
      <c r="F78" s="8">
        <v>7000</v>
      </c>
      <c r="G78" s="8">
        <v>8000</v>
      </c>
      <c r="H78" s="8">
        <v>10000</v>
      </c>
      <c r="I78" s="11">
        <v>7000</v>
      </c>
      <c r="J78" s="55">
        <v>7000</v>
      </c>
      <c r="K78" s="82">
        <f t="shared" si="0"/>
        <v>7142.8571428571431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15000</v>
      </c>
      <c r="F79" s="8">
        <v>13000</v>
      </c>
      <c r="G79" s="8">
        <v>12000</v>
      </c>
      <c r="H79" s="8">
        <v>10000</v>
      </c>
      <c r="I79" s="11">
        <v>14000</v>
      </c>
      <c r="J79" s="55">
        <v>10000</v>
      </c>
      <c r="K79" s="82">
        <f t="shared" si="0"/>
        <v>12285.714285714286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18000</v>
      </c>
      <c r="F80" s="8">
        <v>16000</v>
      </c>
      <c r="G80" s="8">
        <v>16000</v>
      </c>
      <c r="H80" s="8">
        <v>15000</v>
      </c>
      <c r="I80" s="8">
        <v>16000</v>
      </c>
      <c r="J80" s="55">
        <v>16000</v>
      </c>
      <c r="K80" s="82">
        <f t="shared" si="0"/>
        <v>16428.571428571428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14000</v>
      </c>
      <c r="F82" s="8">
        <v>12000</v>
      </c>
      <c r="G82" s="8">
        <v>10000</v>
      </c>
      <c r="H82" s="8">
        <v>10000</v>
      </c>
      <c r="I82" s="8">
        <v>14000</v>
      </c>
      <c r="J82" s="55">
        <v>10000</v>
      </c>
      <c r="K82" s="82">
        <f t="shared" si="1"/>
        <v>11714.285714285714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7000</v>
      </c>
      <c r="F83" s="11">
        <v>9000</v>
      </c>
      <c r="G83" s="7">
        <v>8000</v>
      </c>
      <c r="H83" s="8">
        <v>9000</v>
      </c>
      <c r="I83" s="11">
        <v>10000</v>
      </c>
      <c r="J83" s="55">
        <v>8000</v>
      </c>
      <c r="K83" s="82">
        <f t="shared" si="1"/>
        <v>8428.5714285714294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1571.4285714285713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2"/>
  <sheetViews>
    <sheetView topLeftCell="A61" zoomScale="55" zoomScaleNormal="55" workbookViewId="0">
      <selection activeCell="M87" sqref="M87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13000</v>
      </c>
      <c r="J8" s="11">
        <v>13500</v>
      </c>
      <c r="K8" s="82">
        <f>AVERAGE(D8:J8)</f>
        <v>13285.714285714286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13428.571428571429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36000</v>
      </c>
      <c r="F25" s="8">
        <v>35000</v>
      </c>
      <c r="G25" s="8">
        <v>35000</v>
      </c>
      <c r="H25" s="55">
        <v>37000</v>
      </c>
      <c r="I25" s="8">
        <v>35000</v>
      </c>
      <c r="J25" s="55">
        <v>37000</v>
      </c>
      <c r="K25" s="82">
        <f t="shared" si="0"/>
        <v>35714.285714285717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35428.571428571428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27000</v>
      </c>
      <c r="F34" s="8">
        <v>25000</v>
      </c>
      <c r="G34" s="8">
        <v>25000</v>
      </c>
      <c r="H34" s="8">
        <v>26000</v>
      </c>
      <c r="I34" s="8">
        <v>26000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30000</v>
      </c>
      <c r="F64" s="8">
        <v>25000</v>
      </c>
      <c r="G64" s="8">
        <v>32000</v>
      </c>
      <c r="H64" s="8">
        <v>25000</v>
      </c>
      <c r="I64" s="8">
        <v>35000</v>
      </c>
      <c r="J64" s="55">
        <v>35000</v>
      </c>
      <c r="K64" s="82">
        <f t="shared" si="0"/>
        <v>31000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30000</v>
      </c>
      <c r="F65" s="8">
        <v>25000</v>
      </c>
      <c r="G65" s="8">
        <v>32000</v>
      </c>
      <c r="H65" s="65" t="s">
        <v>97</v>
      </c>
      <c r="I65" s="7">
        <v>35000</v>
      </c>
      <c r="J65" s="55" t="s">
        <v>97</v>
      </c>
      <c r="K65" s="82">
        <f t="shared" si="0"/>
        <v>31200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28000</v>
      </c>
      <c r="F66" s="8">
        <v>20000</v>
      </c>
      <c r="G66" s="8">
        <v>30000</v>
      </c>
      <c r="H66" s="8">
        <v>20000</v>
      </c>
      <c r="I66" s="8">
        <v>24000</v>
      </c>
      <c r="J66" s="55">
        <v>25000</v>
      </c>
      <c r="K66" s="82">
        <f t="shared" si="0"/>
        <v>24285.714285714286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37000</v>
      </c>
      <c r="F70" s="8">
        <v>34000</v>
      </c>
      <c r="G70" s="8">
        <v>35000</v>
      </c>
      <c r="H70" s="8">
        <v>34000</v>
      </c>
      <c r="I70" s="8">
        <v>40000</v>
      </c>
      <c r="J70" s="55">
        <v>35000</v>
      </c>
      <c r="K70" s="82">
        <f t="shared" si="0"/>
        <v>35571.428571428572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36000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33000</v>
      </c>
      <c r="K71" s="82">
        <f t="shared" si="0"/>
        <v>32428.571428571428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28000</v>
      </c>
      <c r="F72" s="8">
        <v>20000</v>
      </c>
      <c r="G72" s="8">
        <v>24000</v>
      </c>
      <c r="H72" s="8">
        <v>18000</v>
      </c>
      <c r="I72" s="8">
        <v>25000</v>
      </c>
      <c r="J72" s="55">
        <v>20000</v>
      </c>
      <c r="K72" s="82">
        <f t="shared" si="0"/>
        <v>22428.571428571428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28000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28428.571428571428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7571.4285714285716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10000</v>
      </c>
      <c r="K79" s="82">
        <f t="shared" si="0"/>
        <v>11571.428571428571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16000</v>
      </c>
      <c r="K80" s="82">
        <f t="shared" si="0"/>
        <v>16857.142857142859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13000</v>
      </c>
      <c r="F82" s="8">
        <v>12000</v>
      </c>
      <c r="G82" s="8">
        <v>10000</v>
      </c>
      <c r="H82" s="8">
        <v>10000</v>
      </c>
      <c r="I82" s="8">
        <v>15000</v>
      </c>
      <c r="J82" s="55">
        <v>10000</v>
      </c>
      <c r="K82" s="82">
        <f t="shared" si="1"/>
        <v>11714.285714285714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1571.4285714285713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13000</v>
      </c>
      <c r="J8" s="11">
        <v>13500</v>
      </c>
      <c r="K8" s="82">
        <f>AVERAGE(D8:J8)</f>
        <v>13285.714285714286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13428.571428571429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36000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37000</v>
      </c>
      <c r="K25" s="82">
        <f t="shared" si="0"/>
        <v>35857.142857142855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35428.571428571428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27000</v>
      </c>
      <c r="F34" s="8">
        <v>26000</v>
      </c>
      <c r="G34" s="8">
        <v>27000</v>
      </c>
      <c r="H34" s="8">
        <v>26000</v>
      </c>
      <c r="I34" s="8">
        <v>26000</v>
      </c>
      <c r="J34" s="55">
        <v>26000</v>
      </c>
      <c r="K34" s="82">
        <f t="shared" si="0"/>
        <v>26142.857142857141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30000</v>
      </c>
      <c r="F64" s="8">
        <v>24000</v>
      </c>
      <c r="G64" s="8">
        <v>32000</v>
      </c>
      <c r="H64" s="8">
        <v>22000</v>
      </c>
      <c r="I64" s="8">
        <v>35000</v>
      </c>
      <c r="J64" s="55">
        <v>30000</v>
      </c>
      <c r="K64" s="82">
        <f t="shared" si="0"/>
        <v>29714.285714285714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30000</v>
      </c>
      <c r="F65" s="8">
        <v>23000</v>
      </c>
      <c r="G65" s="8">
        <v>32000</v>
      </c>
      <c r="H65" s="65" t="s">
        <v>97</v>
      </c>
      <c r="I65" s="7">
        <v>35000</v>
      </c>
      <c r="J65" s="55" t="s">
        <v>97</v>
      </c>
      <c r="K65" s="82">
        <f t="shared" si="0"/>
        <v>30800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28000</v>
      </c>
      <c r="F66" s="8">
        <v>20000</v>
      </c>
      <c r="G66" s="8">
        <v>30000</v>
      </c>
      <c r="H66" s="8">
        <v>20000</v>
      </c>
      <c r="I66" s="8">
        <v>24000</v>
      </c>
      <c r="J66" s="55">
        <v>25000</v>
      </c>
      <c r="K66" s="82">
        <f t="shared" si="0"/>
        <v>24285.714285714286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37000</v>
      </c>
      <c r="F70" s="8">
        <v>34000</v>
      </c>
      <c r="G70" s="8">
        <v>35000</v>
      </c>
      <c r="H70" s="8">
        <v>34000</v>
      </c>
      <c r="I70" s="8">
        <v>40000</v>
      </c>
      <c r="J70" s="55">
        <v>38000</v>
      </c>
      <c r="K70" s="82">
        <f t="shared" si="0"/>
        <v>36000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36000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32857.142857142855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28000</v>
      </c>
      <c r="F72" s="8">
        <v>20000</v>
      </c>
      <c r="G72" s="8">
        <v>24000</v>
      </c>
      <c r="H72" s="8">
        <v>18000</v>
      </c>
      <c r="I72" s="8">
        <v>25000</v>
      </c>
      <c r="J72" s="55">
        <v>20000</v>
      </c>
      <c r="K72" s="82">
        <f t="shared" si="0"/>
        <v>22428.571428571428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28000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28428.571428571428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7714.2857142857147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17000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17000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13000</v>
      </c>
      <c r="F82" s="8">
        <v>12000</v>
      </c>
      <c r="G82" s="8">
        <v>10000</v>
      </c>
      <c r="H82" s="8">
        <v>10000</v>
      </c>
      <c r="I82" s="8">
        <v>15000</v>
      </c>
      <c r="J82" s="55">
        <v>10000</v>
      </c>
      <c r="K82" s="82">
        <f t="shared" si="1"/>
        <v>11714.285714285714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topLeftCell="A58"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13000</v>
      </c>
      <c r="J8" s="11">
        <v>14000</v>
      </c>
      <c r="K8" s="82">
        <f>AVERAGE(D8:J8)</f>
        <v>13357.142857142857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13428.571428571429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36000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35000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35428.571428571428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27000</v>
      </c>
      <c r="F34" s="8">
        <v>26000</v>
      </c>
      <c r="G34" s="8">
        <v>27000</v>
      </c>
      <c r="H34" s="8">
        <v>26000</v>
      </c>
      <c r="I34" s="8">
        <v>26000</v>
      </c>
      <c r="J34" s="55">
        <v>26500</v>
      </c>
      <c r="K34" s="82">
        <f t="shared" si="0"/>
        <v>26214.285714285714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24000</v>
      </c>
      <c r="F64" s="8">
        <v>24000</v>
      </c>
      <c r="G64" s="8">
        <v>32000</v>
      </c>
      <c r="H64" s="8">
        <v>22000</v>
      </c>
      <c r="I64" s="8">
        <v>35000</v>
      </c>
      <c r="J64" s="55">
        <v>30000</v>
      </c>
      <c r="K64" s="82">
        <f t="shared" si="0"/>
        <v>28857.142857142859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24000</v>
      </c>
      <c r="F65" s="8">
        <v>23000</v>
      </c>
      <c r="G65" s="8">
        <v>32000</v>
      </c>
      <c r="H65" s="65" t="s">
        <v>97</v>
      </c>
      <c r="I65" s="7">
        <v>35000</v>
      </c>
      <c r="J65" s="55" t="s">
        <v>97</v>
      </c>
      <c r="K65" s="82">
        <f t="shared" si="0"/>
        <v>29600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25000</v>
      </c>
      <c r="F66" s="8">
        <v>20000</v>
      </c>
      <c r="G66" s="8">
        <v>28000</v>
      </c>
      <c r="H66" s="8">
        <v>20000</v>
      </c>
      <c r="I66" s="8">
        <v>24000</v>
      </c>
      <c r="J66" s="55">
        <v>25000</v>
      </c>
      <c r="K66" s="82">
        <f t="shared" si="0"/>
        <v>23571.428571428572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37000</v>
      </c>
      <c r="F70" s="8">
        <v>34000</v>
      </c>
      <c r="G70" s="8">
        <v>35000</v>
      </c>
      <c r="H70" s="8">
        <v>34000</v>
      </c>
      <c r="I70" s="8">
        <v>40000</v>
      </c>
      <c r="J70" s="55">
        <v>38000</v>
      </c>
      <c r="K70" s="82">
        <f t="shared" si="0"/>
        <v>36000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35000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32714.285714285714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24000</v>
      </c>
      <c r="F72" s="8">
        <v>20000</v>
      </c>
      <c r="G72" s="8">
        <v>24000</v>
      </c>
      <c r="H72" s="8">
        <v>18000</v>
      </c>
      <c r="I72" s="8">
        <v>25000</v>
      </c>
      <c r="J72" s="55">
        <v>20000</v>
      </c>
      <c r="K72" s="82">
        <f t="shared" si="0"/>
        <v>21857.142857142859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28000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7714.2857142857147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17000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17000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12000</v>
      </c>
      <c r="G82" s="8">
        <v>10000</v>
      </c>
      <c r="H82" s="8">
        <v>10000</v>
      </c>
      <c r="I82" s="8">
        <v>15000</v>
      </c>
      <c r="J82" s="55">
        <v>10000</v>
      </c>
      <c r="K82" s="82">
        <f t="shared" si="1"/>
        <v>11571.428571428571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13500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12666.666666666666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13428.571428571429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36000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27000</v>
      </c>
      <c r="F34" s="8">
        <v>26000</v>
      </c>
      <c r="G34" s="8">
        <v>27000</v>
      </c>
      <c r="H34" s="8">
        <v>26000</v>
      </c>
      <c r="I34" s="8">
        <v>26000</v>
      </c>
      <c r="J34" s="55">
        <v>26500</v>
      </c>
      <c r="K34" s="82">
        <f t="shared" si="0"/>
        <v>26357.142857142859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24000</v>
      </c>
      <c r="F64" s="8">
        <v>24000</v>
      </c>
      <c r="G64" s="8">
        <v>34000</v>
      </c>
      <c r="H64" s="8">
        <v>20000</v>
      </c>
      <c r="I64" s="8">
        <v>35000</v>
      </c>
      <c r="J64" s="55">
        <v>30000</v>
      </c>
      <c r="K64" s="82">
        <f t="shared" si="0"/>
        <v>28857.142857142859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24000</v>
      </c>
      <c r="F65" s="8">
        <v>20000</v>
      </c>
      <c r="G65" s="8">
        <v>35000</v>
      </c>
      <c r="H65" s="65" t="s">
        <v>97</v>
      </c>
      <c r="I65" s="7">
        <v>35000</v>
      </c>
      <c r="J65" s="55" t="s">
        <v>97</v>
      </c>
      <c r="K65" s="82">
        <f t="shared" si="0"/>
        <v>29600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25000</v>
      </c>
      <c r="F66" s="8">
        <v>20000</v>
      </c>
      <c r="G66" s="8">
        <v>30000</v>
      </c>
      <c r="H66" s="8">
        <v>20000</v>
      </c>
      <c r="I66" s="8">
        <v>24000</v>
      </c>
      <c r="J66" s="55">
        <v>25000</v>
      </c>
      <c r="K66" s="82">
        <f t="shared" si="0"/>
        <v>23857.142857142859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35000</v>
      </c>
      <c r="F70" s="8">
        <v>36000</v>
      </c>
      <c r="G70" s="8">
        <v>36000</v>
      </c>
      <c r="H70" s="8">
        <v>34000</v>
      </c>
      <c r="I70" s="8">
        <v>35000</v>
      </c>
      <c r="J70" s="55">
        <v>38000</v>
      </c>
      <c r="K70" s="82">
        <f t="shared" si="0"/>
        <v>35428.571428571428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33000</v>
      </c>
      <c r="F71" s="8">
        <v>34000</v>
      </c>
      <c r="G71" s="8">
        <v>34000</v>
      </c>
      <c r="H71" s="8">
        <v>32000</v>
      </c>
      <c r="I71" s="8">
        <v>30000</v>
      </c>
      <c r="J71" s="55">
        <v>36000</v>
      </c>
      <c r="K71" s="82">
        <f t="shared" si="0"/>
        <v>33000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18000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20000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25000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28000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7571.4285714285716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14000</v>
      </c>
      <c r="G82" s="8">
        <v>10000</v>
      </c>
      <c r="H82" s="8">
        <v>10000</v>
      </c>
      <c r="I82" s="8">
        <v>15000</v>
      </c>
      <c r="J82" s="55">
        <v>12000</v>
      </c>
      <c r="K82" s="82">
        <f t="shared" si="1"/>
        <v>12142.857142857143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2"/>
  <sheetViews>
    <sheetView topLeftCell="A67"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10500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10500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13428.571428571429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36000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27000</v>
      </c>
      <c r="E34" s="8">
        <v>27000</v>
      </c>
      <c r="F34" s="8">
        <v>26000</v>
      </c>
      <c r="G34" s="8">
        <v>27000</v>
      </c>
      <c r="H34" s="8">
        <v>26000</v>
      </c>
      <c r="I34" s="8">
        <v>25000</v>
      </c>
      <c r="J34" s="55">
        <v>26500</v>
      </c>
      <c r="K34" s="82">
        <f t="shared" si="0"/>
        <v>26357.142857142859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24000</v>
      </c>
      <c r="F64" s="8">
        <v>24000</v>
      </c>
      <c r="G64" s="8">
        <v>32000</v>
      </c>
      <c r="H64" s="8">
        <v>22000</v>
      </c>
      <c r="I64" s="8">
        <v>35000</v>
      </c>
      <c r="J64" s="55">
        <v>30000</v>
      </c>
      <c r="K64" s="82">
        <f t="shared" si="0"/>
        <v>28857.142857142859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24000</v>
      </c>
      <c r="F65" s="8">
        <v>20000</v>
      </c>
      <c r="G65" s="8">
        <v>34000</v>
      </c>
      <c r="H65" s="8">
        <v>22000</v>
      </c>
      <c r="I65" s="7">
        <v>35000</v>
      </c>
      <c r="J65" s="55" t="s">
        <v>97</v>
      </c>
      <c r="K65" s="82">
        <f t="shared" si="0"/>
        <v>28166.666666666668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25000</v>
      </c>
      <c r="F66" s="8">
        <v>20000</v>
      </c>
      <c r="G66" s="8">
        <v>30000</v>
      </c>
      <c r="H66" s="8">
        <v>20000</v>
      </c>
      <c r="I66" s="8">
        <v>24000</v>
      </c>
      <c r="J66" s="55">
        <v>25000</v>
      </c>
      <c r="K66" s="82">
        <f t="shared" si="0"/>
        <v>23857.142857142859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35142.857142857145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34000</v>
      </c>
      <c r="H71" s="8">
        <v>32000</v>
      </c>
      <c r="I71" s="8">
        <v>30000</v>
      </c>
      <c r="J71" s="55">
        <v>36000</v>
      </c>
      <c r="K71" s="82">
        <f t="shared" si="0"/>
        <v>32857.142857142855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18000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20000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24000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7571.4285714285716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8142.8571428571431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14000</v>
      </c>
      <c r="G82" s="8">
        <v>10000</v>
      </c>
      <c r="H82" s="8">
        <v>10000</v>
      </c>
      <c r="I82" s="8">
        <v>15000</v>
      </c>
      <c r="J82" s="55">
        <v>12000</v>
      </c>
      <c r="K82" s="82">
        <f t="shared" si="1"/>
        <v>12142.857142857143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8571.4285714285706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137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15000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13642.857142857143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11000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10625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18000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18600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14000</v>
      </c>
      <c r="G14" s="8">
        <v>13500</v>
      </c>
      <c r="H14" s="8">
        <v>13500</v>
      </c>
      <c r="I14" s="8">
        <v>13500</v>
      </c>
      <c r="J14" s="55">
        <v>13500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18000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15571.428571428571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17000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15285.714285714286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5" t="s">
        <v>97</v>
      </c>
      <c r="K22" s="82">
        <f t="shared" si="0"/>
        <v>120000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110000</v>
      </c>
      <c r="I23" s="8">
        <v>115000</v>
      </c>
      <c r="J23" s="55">
        <v>110000</v>
      </c>
      <c r="K23" s="82">
        <f t="shared" si="0"/>
        <v>110714.28571428571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100000</v>
      </c>
      <c r="I24" s="7">
        <v>100000</v>
      </c>
      <c r="J24" s="55">
        <v>100000</v>
      </c>
      <c r="K24" s="82">
        <f t="shared" si="0"/>
        <v>98571.428571428565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36000</v>
      </c>
      <c r="F25" s="8">
        <v>38000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36428.571428571428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26000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27142.857142857141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70000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66714.28571428571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37000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36142.857142857145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95000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86250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27000</v>
      </c>
      <c r="E34" s="8">
        <v>27000</v>
      </c>
      <c r="F34" s="8">
        <v>28000</v>
      </c>
      <c r="G34" s="8">
        <v>26000</v>
      </c>
      <c r="H34" s="8">
        <v>26000</v>
      </c>
      <c r="I34" s="8">
        <v>25000</v>
      </c>
      <c r="J34" s="55">
        <v>26500</v>
      </c>
      <c r="K34" s="82">
        <f t="shared" si="0"/>
        <v>26500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2700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2742.8571428571427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13000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13000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11000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9428.5714285714294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14000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14000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20000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22285.714285714286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29000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35000</v>
      </c>
      <c r="E64" s="8">
        <v>24000</v>
      </c>
      <c r="F64" s="8">
        <v>28000</v>
      </c>
      <c r="G64" s="8">
        <v>28000</v>
      </c>
      <c r="H64" s="8">
        <v>22000</v>
      </c>
      <c r="I64" s="8">
        <v>35000</v>
      </c>
      <c r="J64" s="55">
        <v>30000</v>
      </c>
      <c r="K64" s="82">
        <f t="shared" si="0"/>
        <v>28857.142857142859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34000</v>
      </c>
      <c r="E65" s="8">
        <v>24000</v>
      </c>
      <c r="F65" s="8">
        <v>30000</v>
      </c>
      <c r="G65" s="8">
        <v>30000</v>
      </c>
      <c r="H65" s="8">
        <v>22000</v>
      </c>
      <c r="I65" s="7">
        <v>35000</v>
      </c>
      <c r="J65" s="55" t="s">
        <v>97</v>
      </c>
      <c r="K65" s="82">
        <f t="shared" si="0"/>
        <v>29166.666666666668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23000</v>
      </c>
      <c r="E66" s="8">
        <v>25000</v>
      </c>
      <c r="F66" s="8">
        <v>28000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24285.714285714286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38000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35000</v>
      </c>
      <c r="G71" s="8">
        <v>34000</v>
      </c>
      <c r="H71" s="8">
        <v>32000</v>
      </c>
      <c r="I71" s="8">
        <v>30000</v>
      </c>
      <c r="J71" s="55">
        <v>36000</v>
      </c>
      <c r="K71" s="82">
        <f t="shared" si="0"/>
        <v>33000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25000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21000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24000</v>
      </c>
      <c r="E73" s="8">
        <v>24000</v>
      </c>
      <c r="F73" s="11">
        <v>30000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28000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7000</v>
      </c>
      <c r="K78" s="82">
        <f t="shared" si="0"/>
        <v>7571.4285714285716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10000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11428.571428571429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20000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17428.571428571428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10000</v>
      </c>
      <c r="F81" s="8">
        <v>8000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8285.7142857142862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14000</v>
      </c>
      <c r="G82" s="8">
        <v>10000</v>
      </c>
      <c r="H82" s="8">
        <v>10000</v>
      </c>
      <c r="I82" s="8">
        <v>15000</v>
      </c>
      <c r="J82" s="55">
        <v>12000</v>
      </c>
      <c r="K82" s="82">
        <f t="shared" si="1"/>
        <v>12142.857142857143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10000</v>
      </c>
      <c r="F83" s="11">
        <v>10000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8714.2857142857138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1571.4285714285713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1000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1428.5714285714287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1500</v>
      </c>
      <c r="K86" s="82">
        <f t="shared" si="1"/>
        <v>2000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2"/>
  <sheetViews>
    <sheetView zoomScale="55" zoomScaleNormal="55" workbookViewId="0">
      <selection activeCell="O3" sqref="O3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15000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13642.857142857143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11000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10625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>
        <v>14000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12900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100000</v>
      </c>
      <c r="K24" s="82">
        <f t="shared" si="0"/>
        <v>100000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27000</v>
      </c>
      <c r="F34" s="8">
        <v>26000</v>
      </c>
      <c r="G34" s="8">
        <v>26000</v>
      </c>
      <c r="H34" s="8">
        <v>26000</v>
      </c>
      <c r="I34" s="8">
        <v>25000</v>
      </c>
      <c r="J34" s="55">
        <v>26500</v>
      </c>
      <c r="K34" s="82">
        <f t="shared" si="0"/>
        <v>26071.428571428572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35000</v>
      </c>
      <c r="G64" s="8">
        <v>28000</v>
      </c>
      <c r="H64" s="8">
        <v>22000</v>
      </c>
      <c r="I64" s="8">
        <v>35000</v>
      </c>
      <c r="J64" s="55">
        <v>35000</v>
      </c>
      <c r="K64" s="82">
        <f t="shared" si="0"/>
        <v>29142.857142857141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24000</v>
      </c>
      <c r="F65" s="8">
        <v>25000</v>
      </c>
      <c r="G65" s="8">
        <v>30000</v>
      </c>
      <c r="H65" s="8">
        <v>22000</v>
      </c>
      <c r="I65" s="7">
        <v>35000</v>
      </c>
      <c r="J65" s="55" t="s">
        <v>97</v>
      </c>
      <c r="K65" s="82">
        <f t="shared" si="0"/>
        <v>26666.666666666668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25000</v>
      </c>
      <c r="F66" s="8">
        <v>25000</v>
      </c>
      <c r="G66" s="8">
        <v>25000</v>
      </c>
      <c r="H66" s="8">
        <v>22000</v>
      </c>
      <c r="I66" s="8">
        <v>25000</v>
      </c>
      <c r="J66" s="55">
        <v>25000</v>
      </c>
      <c r="K66" s="82">
        <f t="shared" si="0"/>
        <v>24428.571428571428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37000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35285.714285714283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35000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32714.285714285714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20000</v>
      </c>
      <c r="K72" s="82">
        <f t="shared" si="0"/>
        <v>20285.714285714286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28142.857142857141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10000</v>
      </c>
      <c r="H82" s="8">
        <v>10000</v>
      </c>
      <c r="I82" s="8">
        <v>15000</v>
      </c>
      <c r="J82" s="55">
        <v>14000</v>
      </c>
      <c r="K82" s="82">
        <f t="shared" si="1"/>
        <v>12285.714285714286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92"/>
  <sheetViews>
    <sheetView zoomScale="55" zoomScaleNormal="55" workbookViewId="0">
      <selection activeCell="M6" sqref="M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139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100000</v>
      </c>
      <c r="K24" s="82">
        <f t="shared" si="0"/>
        <v>100000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25500</v>
      </c>
      <c r="K34" s="82">
        <f t="shared" si="0"/>
        <v>25642.857142857141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30000</v>
      </c>
      <c r="G64" s="8">
        <v>28000</v>
      </c>
      <c r="H64" s="8">
        <v>20000</v>
      </c>
      <c r="I64" s="8">
        <v>35000</v>
      </c>
      <c r="J64" s="55">
        <v>35000</v>
      </c>
      <c r="K64" s="82">
        <f t="shared" si="0"/>
        <v>28142.857142857141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24000</v>
      </c>
      <c r="F65" s="8">
        <v>23000</v>
      </c>
      <c r="G65" s="8">
        <v>30000</v>
      </c>
      <c r="H65" s="8">
        <v>20000</v>
      </c>
      <c r="I65" s="7">
        <v>35000</v>
      </c>
      <c r="J65" s="55" t="s">
        <v>97</v>
      </c>
      <c r="K65" s="82">
        <f t="shared" si="0"/>
        <v>26000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25000</v>
      </c>
      <c r="F66" s="8">
        <v>22000</v>
      </c>
      <c r="G66" s="8">
        <v>25000</v>
      </c>
      <c r="H66" s="8">
        <v>20000</v>
      </c>
      <c r="I66" s="8">
        <v>25000</v>
      </c>
      <c r="J66" s="55">
        <v>25000</v>
      </c>
      <c r="K66" s="82">
        <f t="shared" si="0"/>
        <v>23714.285714285714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33000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34714.285714285717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32285.714285714286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20000</v>
      </c>
      <c r="K72" s="82">
        <f t="shared" si="0"/>
        <v>21285.714285714286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28142.857142857141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10000</v>
      </c>
      <c r="H82" s="8">
        <v>10000</v>
      </c>
      <c r="I82" s="8">
        <v>15000</v>
      </c>
      <c r="J82" s="55">
        <v>14000</v>
      </c>
      <c r="K82" s="82">
        <f t="shared" si="1"/>
        <v>12285.714285714286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92"/>
  <sheetViews>
    <sheetView zoomScale="55" zoomScaleNormal="55" workbookViewId="0">
      <selection activeCell="M11" sqref="M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14500</v>
      </c>
      <c r="J8" s="11">
        <v>14000</v>
      </c>
      <c r="K8" s="82">
        <f>AVERAGE(D8:J8)</f>
        <v>13571.428571428571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100000</v>
      </c>
      <c r="K24" s="82">
        <f t="shared" si="0"/>
        <v>100000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37000</v>
      </c>
      <c r="I25" s="8">
        <v>35000</v>
      </c>
      <c r="J25" s="55">
        <v>38000</v>
      </c>
      <c r="K25" s="82">
        <f t="shared" si="0"/>
        <v>36000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30000</v>
      </c>
      <c r="G64" s="8">
        <v>25000</v>
      </c>
      <c r="H64" s="8">
        <v>22000</v>
      </c>
      <c r="I64" s="8">
        <v>35000</v>
      </c>
      <c r="J64" s="55">
        <v>35000</v>
      </c>
      <c r="K64" s="82">
        <f t="shared" si="0"/>
        <v>28000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24000</v>
      </c>
      <c r="F65" s="8">
        <v>23000</v>
      </c>
      <c r="G65" s="8">
        <v>28000</v>
      </c>
      <c r="H65" s="8">
        <v>22000</v>
      </c>
      <c r="I65" s="7">
        <v>35000</v>
      </c>
      <c r="J65" s="55" t="s">
        <v>97</v>
      </c>
      <c r="K65" s="82">
        <f t="shared" si="0"/>
        <v>26000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25000</v>
      </c>
      <c r="F66" s="8">
        <v>22000</v>
      </c>
      <c r="G66" s="8">
        <v>24000</v>
      </c>
      <c r="H66" s="8">
        <v>22000</v>
      </c>
      <c r="I66" s="8">
        <v>25000</v>
      </c>
      <c r="J66" s="55">
        <v>25000</v>
      </c>
      <c r="K66" s="82">
        <f t="shared" si="0"/>
        <v>23857.142857142859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33000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34571.428571428572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32285.714285714286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20000</v>
      </c>
      <c r="K72" s="82">
        <f t="shared" si="0"/>
        <v>21285.714285714286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29000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28142.857142857141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16000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10000</v>
      </c>
      <c r="H82" s="8">
        <v>10000</v>
      </c>
      <c r="I82" s="8">
        <v>15000</v>
      </c>
      <c r="J82" s="55">
        <v>14000</v>
      </c>
      <c r="K82" s="82">
        <f t="shared" si="1"/>
        <v>12285.714285714286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100000</v>
      </c>
      <c r="K24" s="82">
        <f t="shared" si="0"/>
        <v>100000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36000</v>
      </c>
      <c r="I25" s="8">
        <v>35000</v>
      </c>
      <c r="J25" s="55">
        <v>38000</v>
      </c>
      <c r="K25" s="82">
        <f t="shared" si="0"/>
        <v>35857.142857142855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35000</v>
      </c>
      <c r="G64" s="8">
        <v>25000</v>
      </c>
      <c r="H64" s="8">
        <v>20000</v>
      </c>
      <c r="I64" s="8">
        <v>35000</v>
      </c>
      <c r="J64" s="55">
        <v>35000</v>
      </c>
      <c r="K64" s="82">
        <f t="shared" si="0"/>
        <v>28428.571428571428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25000</v>
      </c>
      <c r="F65" s="8">
        <v>28000</v>
      </c>
      <c r="G65" s="8">
        <v>28000</v>
      </c>
      <c r="H65" s="8">
        <v>20000</v>
      </c>
      <c r="I65" s="7">
        <v>35000</v>
      </c>
      <c r="J65" s="55" t="s">
        <v>97</v>
      </c>
      <c r="K65" s="82">
        <f t="shared" si="0"/>
        <v>26666.666666666668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25000</v>
      </c>
      <c r="F66" s="8">
        <v>25000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24000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35000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20000</v>
      </c>
      <c r="K72" s="82">
        <f t="shared" si="0"/>
        <v>21285.714285714286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12000</v>
      </c>
      <c r="K79" s="82">
        <f t="shared" si="0"/>
        <v>11857.142857142857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15000</v>
      </c>
      <c r="J82" s="55">
        <v>14000</v>
      </c>
      <c r="K82" s="82">
        <f t="shared" si="1"/>
        <v>12571.428571428571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92"/>
  <sheetViews>
    <sheetView zoomScale="70" zoomScaleNormal="70" workbookViewId="0">
      <selection activeCell="N8" sqref="N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>
        <v>12500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35000</v>
      </c>
      <c r="I25" s="8">
        <v>35000</v>
      </c>
      <c r="J25" s="55">
        <v>38000</v>
      </c>
      <c r="K25" s="82">
        <f t="shared" si="0"/>
        <v>35714.285714285717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25000</v>
      </c>
      <c r="G64" s="8">
        <v>25000</v>
      </c>
      <c r="H64" s="8">
        <v>20000</v>
      </c>
      <c r="I64" s="8">
        <v>35000</v>
      </c>
      <c r="J64" s="55">
        <v>30000</v>
      </c>
      <c r="K64" s="82">
        <f t="shared" si="0"/>
        <v>26285.714285714286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25000</v>
      </c>
      <c r="F65" s="8">
        <v>20000</v>
      </c>
      <c r="G65" s="8">
        <v>25000</v>
      </c>
      <c r="H65" s="8">
        <v>20000</v>
      </c>
      <c r="I65" s="7">
        <v>35000</v>
      </c>
      <c r="J65" s="55" t="s">
        <v>97</v>
      </c>
      <c r="K65" s="82">
        <f t="shared" si="0"/>
        <v>24833.333333333332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22000</v>
      </c>
      <c r="F66" s="8">
        <v>20000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22857.142857142859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22000</v>
      </c>
      <c r="K72" s="82">
        <f t="shared" si="0"/>
        <v>21571.428571428572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15000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92"/>
  <sheetViews>
    <sheetView zoomScale="70" zoomScaleNormal="70" workbookViewId="0">
      <selection activeCell="B91" sqref="B9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>
        <v>12500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12600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36000</v>
      </c>
      <c r="G25" s="8">
        <v>35000</v>
      </c>
      <c r="H25" s="55">
        <v>35000</v>
      </c>
      <c r="I25" s="8">
        <v>35000</v>
      </c>
      <c r="J25" s="55">
        <v>38000</v>
      </c>
      <c r="K25" s="82">
        <f t="shared" si="0"/>
        <v>35714.285714285717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25000</v>
      </c>
      <c r="G64" s="8">
        <v>25000</v>
      </c>
      <c r="H64" s="8">
        <v>20000</v>
      </c>
      <c r="I64" s="8">
        <v>35000</v>
      </c>
      <c r="J64" s="55">
        <v>30000</v>
      </c>
      <c r="K64" s="82">
        <f t="shared" si="0"/>
        <v>26285.714285714286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25000</v>
      </c>
      <c r="F65" s="8">
        <v>20000</v>
      </c>
      <c r="G65" s="8">
        <v>25000</v>
      </c>
      <c r="H65" s="8">
        <v>20000</v>
      </c>
      <c r="I65" s="7">
        <v>35000</v>
      </c>
      <c r="J65" s="55" t="s">
        <v>97</v>
      </c>
      <c r="K65" s="82">
        <f t="shared" si="0"/>
        <v>24833.333333333332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22000</v>
      </c>
      <c r="F66" s="8">
        <v>20000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22857.142857142859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22000</v>
      </c>
      <c r="K72" s="82">
        <f t="shared" si="0"/>
        <v>21571.428571428572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15000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2"/>
  <sheetViews>
    <sheetView topLeftCell="A67" zoomScale="85" zoomScaleNormal="8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15000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13714.285714285714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18000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18600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14000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13571.428571428571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18000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15571.428571428571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17000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15285.714285714286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36000</v>
      </c>
      <c r="E25" s="8">
        <v>35000</v>
      </c>
      <c r="F25" s="8">
        <v>35000</v>
      </c>
      <c r="G25" s="8">
        <v>35000</v>
      </c>
      <c r="H25" s="55">
        <v>35000</v>
      </c>
      <c r="I25" s="8">
        <v>35000</v>
      </c>
      <c r="J25" s="55">
        <v>38000</v>
      </c>
      <c r="K25" s="82">
        <f t="shared" si="0"/>
        <v>35571.428571428572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70000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66714.28571428571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120000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92500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26000</v>
      </c>
      <c r="H34" s="8">
        <v>25000</v>
      </c>
      <c r="I34" s="8">
        <v>25000</v>
      </c>
      <c r="J34" s="55">
        <v>26000</v>
      </c>
      <c r="K34" s="82">
        <f t="shared" si="0"/>
        <v>25714.285714285714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13000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12800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14000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14000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20000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22285.714285714286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29000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20000</v>
      </c>
      <c r="G64" s="8">
        <v>25000</v>
      </c>
      <c r="H64" s="8">
        <v>20000</v>
      </c>
      <c r="I64" s="8">
        <v>35000</v>
      </c>
      <c r="J64" s="55">
        <v>30000</v>
      </c>
      <c r="K64" s="82">
        <f t="shared" si="0"/>
        <v>25571.428571428572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24000</v>
      </c>
      <c r="E65" s="8">
        <v>25000</v>
      </c>
      <c r="F65" s="8">
        <v>20000</v>
      </c>
      <c r="G65" s="8">
        <v>25000</v>
      </c>
      <c r="H65" s="8">
        <v>20000</v>
      </c>
      <c r="I65" s="7">
        <v>35000</v>
      </c>
      <c r="J65" s="55" t="s">
        <v>97</v>
      </c>
      <c r="K65" s="82">
        <f t="shared" si="0"/>
        <v>24833.333333333332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24000</v>
      </c>
      <c r="E66" s="8">
        <v>22000</v>
      </c>
      <c r="F66" s="8">
        <v>28000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24000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33000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32428.571428571428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22000</v>
      </c>
      <c r="K72" s="82">
        <f t="shared" si="0"/>
        <v>21571.428571428572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28000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28000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7000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5714.2857142857147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6000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12000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12000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16000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17000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8000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8000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12000</v>
      </c>
      <c r="G82" s="8">
        <v>12000</v>
      </c>
      <c r="H82" s="8">
        <v>10000</v>
      </c>
      <c r="I82" s="8">
        <v>15000</v>
      </c>
      <c r="J82" s="55">
        <v>15000</v>
      </c>
      <c r="K82" s="82">
        <f t="shared" si="1"/>
        <v>12571.428571428571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10000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8428.5714285714294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36000</v>
      </c>
      <c r="G25" s="8">
        <v>34000</v>
      </c>
      <c r="H25" s="55">
        <v>35000</v>
      </c>
      <c r="I25" s="8">
        <v>35000</v>
      </c>
      <c r="J25" s="55">
        <v>38000</v>
      </c>
      <c r="K25" s="82">
        <f t="shared" si="0"/>
        <v>35428.571428571428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26000</v>
      </c>
      <c r="F34" s="8">
        <v>26000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25428.571428571428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25000</v>
      </c>
      <c r="G64" s="8">
        <v>25000</v>
      </c>
      <c r="H64" s="8">
        <v>20000</v>
      </c>
      <c r="I64" s="8">
        <v>35000</v>
      </c>
      <c r="J64" s="55">
        <v>30000</v>
      </c>
      <c r="K64" s="82">
        <f t="shared" si="0"/>
        <v>26285.714285714286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20000</v>
      </c>
      <c r="I65" s="7">
        <v>35000</v>
      </c>
      <c r="J65" s="55" t="s">
        <v>97</v>
      </c>
      <c r="K65" s="82">
        <f t="shared" si="0"/>
        <v>25166.666666666668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23000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23000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32285.714285714286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22000</v>
      </c>
      <c r="K72" s="82">
        <f t="shared" si="0"/>
        <v>21571.428571428572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15000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92"/>
  <sheetViews>
    <sheetView workbookViewId="0">
      <selection activeCell="A3" sqref="A3:K3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14000</v>
      </c>
      <c r="J8" s="11">
        <v>14000</v>
      </c>
      <c r="K8" s="82">
        <f>AVERAGE(D8:J8)</f>
        <v>13500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>
        <v>12500</v>
      </c>
      <c r="F10" s="8" t="s">
        <v>97</v>
      </c>
      <c r="G10" s="7">
        <v>12000</v>
      </c>
      <c r="H10" s="8">
        <v>12500</v>
      </c>
      <c r="I10" s="8">
        <v>13500</v>
      </c>
      <c r="J10" s="11" t="s">
        <v>97</v>
      </c>
      <c r="K10" s="82">
        <f t="shared" si="0"/>
        <v>12625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9000</v>
      </c>
      <c r="J11" s="11">
        <v>8000</v>
      </c>
      <c r="K11" s="82">
        <f>AVERAGE(D11:J11)</f>
        <v>9800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 t="shared" si="0"/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23500</v>
      </c>
      <c r="J20" s="56" t="s">
        <v>97</v>
      </c>
      <c r="K20" s="82">
        <f t="shared" si="0"/>
        <v>21375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36000</v>
      </c>
      <c r="G25" s="8">
        <v>34000</v>
      </c>
      <c r="H25" s="55">
        <v>34000</v>
      </c>
      <c r="I25" s="8">
        <v>35000</v>
      </c>
      <c r="J25" s="55">
        <v>36000</v>
      </c>
      <c r="K25" s="82">
        <f t="shared" si="0"/>
        <v>35000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45000</v>
      </c>
      <c r="J27" s="55">
        <v>40000</v>
      </c>
      <c r="K27" s="82">
        <f t="shared" si="0"/>
        <v>37666.666666666664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74000</v>
      </c>
      <c r="J29" s="58">
        <v>65000</v>
      </c>
      <c r="K29" s="82">
        <f t="shared" si="0"/>
        <v>65285.714285714283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21000</v>
      </c>
      <c r="J30" s="58">
        <v>26000</v>
      </c>
      <c r="K30" s="82">
        <f t="shared" si="0"/>
        <v>24000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5">
        <v>35000</v>
      </c>
      <c r="K31" s="82">
        <f t="shared" si="0"/>
        <v>35857.142857142855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24000</v>
      </c>
      <c r="I34" s="8">
        <v>25000</v>
      </c>
      <c r="J34" s="55">
        <v>26000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12000</v>
      </c>
      <c r="J44" s="55">
        <v>12500</v>
      </c>
      <c r="K44" s="82">
        <f t="shared" si="0"/>
        <v>12333.333333333334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12000</v>
      </c>
      <c r="J45" s="58">
        <v>12500</v>
      </c>
      <c r="K45" s="82">
        <f>AVERAGE(D45:J45)</f>
        <v>12500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2000</v>
      </c>
      <c r="J53" s="55">
        <v>2500</v>
      </c>
      <c r="K53" s="82">
        <f t="shared" si="0"/>
        <v>4000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22000</v>
      </c>
      <c r="J59" s="55">
        <v>22000</v>
      </c>
      <c r="K59" s="82">
        <f t="shared" si="0"/>
        <v>22714.285714285714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29000</v>
      </c>
      <c r="J60" s="55">
        <v>28000</v>
      </c>
      <c r="K60" s="82">
        <f t="shared" si="0"/>
        <v>28714.285714285714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26000</v>
      </c>
      <c r="G64" s="8">
        <v>25000</v>
      </c>
      <c r="H64" s="8">
        <v>20000</v>
      </c>
      <c r="I64" s="8">
        <v>35000</v>
      </c>
      <c r="J64" s="55">
        <v>30000</v>
      </c>
      <c r="K64" s="82">
        <f t="shared" si="0"/>
        <v>26428.571428571428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25000</v>
      </c>
      <c r="H65" s="8">
        <v>20000</v>
      </c>
      <c r="I65" s="7">
        <v>35000</v>
      </c>
      <c r="J65" s="55" t="s">
        <v>97</v>
      </c>
      <c r="K65" s="82">
        <f t="shared" si="0"/>
        <v>25000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25000</v>
      </c>
      <c r="G66" s="8">
        <v>24000</v>
      </c>
      <c r="H66" s="8">
        <v>20000</v>
      </c>
      <c r="I66" s="8">
        <v>25000</v>
      </c>
      <c r="J66" s="55">
        <v>25000</v>
      </c>
      <c r="K66" s="82">
        <f t="shared" si="0"/>
        <v>23285.714285714286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32000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30000</v>
      </c>
      <c r="G71" s="8">
        <v>32000</v>
      </c>
      <c r="H71" s="8">
        <v>32000</v>
      </c>
      <c r="I71" s="8">
        <v>30000</v>
      </c>
      <c r="J71" s="55">
        <v>36000</v>
      </c>
      <c r="K71" s="82">
        <f t="shared" si="0"/>
        <v>32000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27000</v>
      </c>
      <c r="J72" s="55">
        <v>22000</v>
      </c>
      <c r="K72" s="82">
        <f t="shared" si="0"/>
        <v>21571.428571428572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35000</v>
      </c>
      <c r="J73" s="55">
        <v>28000</v>
      </c>
      <c r="K73" s="82">
        <f t="shared" si="0"/>
        <v>27857.142857142859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5000</v>
      </c>
      <c r="J76" s="58">
        <v>6000</v>
      </c>
      <c r="K76" s="82">
        <f t="shared" si="0"/>
        <v>5714.2857142857147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5">
        <v>6000</v>
      </c>
      <c r="K78" s="82">
        <f t="shared" si="0"/>
        <v>7428.5714285714284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15000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92"/>
  <sheetViews>
    <sheetView zoomScale="55" zoomScaleNormal="55" workbookViewId="0">
      <selection activeCell="J14" sqref="J14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147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>
        <v>12000</v>
      </c>
      <c r="H10" s="8">
        <v>11000</v>
      </c>
      <c r="I10" s="8">
        <v>10500</v>
      </c>
      <c r="J10" s="11" t="s">
        <v>97</v>
      </c>
      <c r="K10" s="82">
        <f t="shared" si="0"/>
        <v>11166.666666666666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14000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13571.428571428571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35000</v>
      </c>
      <c r="F25" s="8">
        <v>36000</v>
      </c>
      <c r="G25" s="8">
        <v>34000</v>
      </c>
      <c r="H25" s="55">
        <v>34000</v>
      </c>
      <c r="I25" s="8">
        <v>35000</v>
      </c>
      <c r="J25" s="55">
        <v>36000</v>
      </c>
      <c r="K25" s="82">
        <f t="shared" si="0"/>
        <v>35000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35000</v>
      </c>
      <c r="J31" s="55">
        <v>35000</v>
      </c>
      <c r="K31" s="82">
        <f t="shared" si="0"/>
        <v>34857.142857142855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24000</v>
      </c>
      <c r="I34" s="8">
        <v>25000</v>
      </c>
      <c r="J34" s="55">
        <v>26000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25000</v>
      </c>
      <c r="G64" s="8">
        <v>25000</v>
      </c>
      <c r="H64" s="8">
        <v>20000</v>
      </c>
      <c r="I64" s="8">
        <v>25000</v>
      </c>
      <c r="J64" s="55">
        <v>23000</v>
      </c>
      <c r="K64" s="82">
        <f t="shared" si="0"/>
        <v>23857.142857142859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25000</v>
      </c>
      <c r="H65" s="8">
        <v>20000</v>
      </c>
      <c r="I65" s="7">
        <v>20000</v>
      </c>
      <c r="J65" s="55" t="s">
        <v>97</v>
      </c>
      <c r="K65" s="82">
        <f t="shared" si="0"/>
        <v>22500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22000</v>
      </c>
      <c r="G66" s="8">
        <v>24000</v>
      </c>
      <c r="H66" s="8">
        <v>20000</v>
      </c>
      <c r="I66" s="8">
        <v>22000</v>
      </c>
      <c r="J66" s="55">
        <v>19000</v>
      </c>
      <c r="K66" s="82">
        <f t="shared" si="0"/>
        <v>21571.428571428572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36000</v>
      </c>
      <c r="K70" s="82">
        <f t="shared" si="0"/>
        <v>34571.428571428572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12428.571428571429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92"/>
  <sheetViews>
    <sheetView zoomScale="40" zoomScaleNormal="4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>
        <v>12000</v>
      </c>
      <c r="H10" s="8">
        <v>11000</v>
      </c>
      <c r="I10" s="8">
        <v>10500</v>
      </c>
      <c r="J10" s="11" t="s">
        <v>97</v>
      </c>
      <c r="K10" s="82">
        <f t="shared" si="0"/>
        <v>11166.666666666666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34000</v>
      </c>
      <c r="G25" s="8">
        <v>35000</v>
      </c>
      <c r="H25" s="55">
        <v>35000</v>
      </c>
      <c r="I25" s="8">
        <v>35000</v>
      </c>
      <c r="J25" s="55">
        <v>36000</v>
      </c>
      <c r="K25" s="82">
        <f t="shared" si="0"/>
        <v>34857.142857142855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35000</v>
      </c>
      <c r="J31" s="55">
        <v>35000</v>
      </c>
      <c r="K31" s="82">
        <f t="shared" si="0"/>
        <v>34857.142857142855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24000</v>
      </c>
      <c r="E64" s="8">
        <v>25000</v>
      </c>
      <c r="F64" s="8">
        <v>25000</v>
      </c>
      <c r="G64" s="8">
        <v>25000</v>
      </c>
      <c r="H64" s="8">
        <v>25000</v>
      </c>
      <c r="I64" s="8">
        <v>25000</v>
      </c>
      <c r="J64" s="55">
        <v>23000</v>
      </c>
      <c r="K64" s="82">
        <f t="shared" si="0"/>
        <v>24571.428571428572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20000</v>
      </c>
      <c r="I65" s="7">
        <v>20000</v>
      </c>
      <c r="J65" s="55" t="s">
        <v>97</v>
      </c>
      <c r="K65" s="82">
        <f t="shared" si="0"/>
        <v>22666.666666666668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23000</v>
      </c>
      <c r="G66" s="8">
        <v>24000</v>
      </c>
      <c r="H66" s="8">
        <v>20000</v>
      </c>
      <c r="I66" s="8">
        <v>22000</v>
      </c>
      <c r="J66" s="55">
        <v>19000</v>
      </c>
      <c r="K66" s="82">
        <f t="shared" si="0"/>
        <v>21714.285714285714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34000</v>
      </c>
      <c r="I70" s="8">
        <v>35000</v>
      </c>
      <c r="J70" s="55">
        <v>36000</v>
      </c>
      <c r="K70" s="82">
        <f t="shared" si="0"/>
        <v>34428.571428571428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18000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17285.714285714286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12428.571428571429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149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>
        <v>12000</v>
      </c>
      <c r="H10" s="8">
        <v>11000</v>
      </c>
      <c r="I10" s="8">
        <v>10500</v>
      </c>
      <c r="J10" s="11" t="s">
        <v>97</v>
      </c>
      <c r="K10" s="82">
        <f t="shared" si="0"/>
        <v>11166.666666666666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34000</v>
      </c>
      <c r="G25" s="8">
        <v>35000</v>
      </c>
      <c r="H25" s="55">
        <v>35000</v>
      </c>
      <c r="I25" s="8">
        <v>35000</v>
      </c>
      <c r="J25" s="55">
        <v>36000</v>
      </c>
      <c r="K25" s="82">
        <f t="shared" si="0"/>
        <v>34857.142857142855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35000</v>
      </c>
      <c r="K31" s="82">
        <f t="shared" si="0"/>
        <v>34571.428571428572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25142.857142857141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15000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14166.666666666666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26000</v>
      </c>
      <c r="G64" s="8">
        <v>25000</v>
      </c>
      <c r="H64" s="8">
        <v>25000</v>
      </c>
      <c r="I64" s="8">
        <v>25000</v>
      </c>
      <c r="J64" s="55">
        <v>23000</v>
      </c>
      <c r="K64" s="82">
        <f t="shared" si="0"/>
        <v>25000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25000</v>
      </c>
      <c r="G65" s="8">
        <v>26000</v>
      </c>
      <c r="H65" s="8">
        <v>22000</v>
      </c>
      <c r="I65" s="7">
        <v>20000</v>
      </c>
      <c r="J65" s="55" t="s">
        <v>97</v>
      </c>
      <c r="K65" s="82">
        <f t="shared" si="0"/>
        <v>23833.333333333332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22000</v>
      </c>
      <c r="G66" s="8">
        <v>24000</v>
      </c>
      <c r="H66" s="8">
        <v>22000</v>
      </c>
      <c r="I66" s="8">
        <v>22000</v>
      </c>
      <c r="J66" s="55">
        <v>19000</v>
      </c>
      <c r="K66" s="82">
        <f t="shared" si="0"/>
        <v>21857.142857142859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36000</v>
      </c>
      <c r="K70" s="82">
        <f t="shared" si="0"/>
        <v>34571.428571428572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33000</v>
      </c>
      <c r="G71" s="8">
        <v>32000</v>
      </c>
      <c r="H71" s="8">
        <v>32000</v>
      </c>
      <c r="I71" s="8">
        <v>32000</v>
      </c>
      <c r="J71" s="55">
        <v>36000</v>
      </c>
      <c r="K71" s="82">
        <f t="shared" si="0"/>
        <v>32714.285714285714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 t="s">
        <v>1</v>
      </c>
      <c r="I83" s="11">
        <v>8000</v>
      </c>
      <c r="J83" s="55">
        <v>8000</v>
      </c>
      <c r="K83" s="82">
        <f t="shared" si="1"/>
        <v>8166.666666666667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1500</v>
      </c>
      <c r="J84" s="58">
        <v>1500</v>
      </c>
      <c r="K84" s="82">
        <f t="shared" si="1"/>
        <v>1642.8571428571429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92"/>
  <sheetViews>
    <sheetView topLeftCell="A7" workbookViewId="0">
      <selection activeCell="H91" sqref="H9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36000</v>
      </c>
      <c r="G25" s="8">
        <v>35000</v>
      </c>
      <c r="H25" s="55">
        <v>35000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35000</v>
      </c>
      <c r="J31" s="55">
        <v>35000</v>
      </c>
      <c r="K31" s="82">
        <f t="shared" si="0"/>
        <v>34857.142857142855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25285.714285714286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24000</v>
      </c>
      <c r="G64" s="8">
        <v>25000</v>
      </c>
      <c r="H64" s="8">
        <v>25000</v>
      </c>
      <c r="I64" s="8">
        <v>25000</v>
      </c>
      <c r="J64" s="55">
        <v>23000</v>
      </c>
      <c r="K64" s="82">
        <f t="shared" si="0"/>
        <v>24714.285714285714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22000</v>
      </c>
      <c r="I65" s="7">
        <v>20000</v>
      </c>
      <c r="J65" s="55" t="s">
        <v>97</v>
      </c>
      <c r="K65" s="82">
        <f t="shared" si="0"/>
        <v>23000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22000</v>
      </c>
      <c r="G66" s="8">
        <v>24000</v>
      </c>
      <c r="H66" s="8">
        <v>22000</v>
      </c>
      <c r="I66" s="8">
        <v>22000</v>
      </c>
      <c r="J66" s="55">
        <v>19000</v>
      </c>
      <c r="K66" s="82">
        <f t="shared" si="0"/>
        <v>21857.142857142859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34000</v>
      </c>
      <c r="I70" s="8">
        <v>35000</v>
      </c>
      <c r="J70" s="55">
        <v>36000</v>
      </c>
      <c r="K70" s="82">
        <f t="shared" si="0"/>
        <v>34428.571428571428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92"/>
  <sheetViews>
    <sheetView zoomScale="40" zoomScaleNormal="4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10500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10600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36000</v>
      </c>
      <c r="G25" s="8">
        <v>35000</v>
      </c>
      <c r="H25" s="55">
        <v>35000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35000</v>
      </c>
      <c r="J31" s="55">
        <v>35000</v>
      </c>
      <c r="K31" s="82">
        <f t="shared" si="0"/>
        <v>34857.142857142855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25285.714285714286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24000</v>
      </c>
      <c r="G64" s="8">
        <v>25000</v>
      </c>
      <c r="H64" s="8">
        <v>25000</v>
      </c>
      <c r="I64" s="8">
        <v>25000</v>
      </c>
      <c r="J64" s="55">
        <v>23000</v>
      </c>
      <c r="K64" s="82">
        <f t="shared" si="0"/>
        <v>24714.285714285714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25000</v>
      </c>
      <c r="I65" s="7">
        <v>20000</v>
      </c>
      <c r="J65" s="55" t="s">
        <v>97</v>
      </c>
      <c r="K65" s="82">
        <f t="shared" si="0"/>
        <v>23500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22000</v>
      </c>
      <c r="G66" s="8">
        <v>24000</v>
      </c>
      <c r="H66" s="8">
        <v>25000</v>
      </c>
      <c r="I66" s="8">
        <v>22000</v>
      </c>
      <c r="J66" s="55">
        <v>19000</v>
      </c>
      <c r="K66" s="82">
        <f t="shared" si="0"/>
        <v>22285.714285714286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34000</v>
      </c>
      <c r="I70" s="8">
        <v>35000</v>
      </c>
      <c r="J70" s="55">
        <v>36000</v>
      </c>
      <c r="K70" s="82">
        <f t="shared" si="0"/>
        <v>34428.571428571428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36000</v>
      </c>
      <c r="K71" s="82">
        <f t="shared" si="0"/>
        <v>32571.428571428572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92"/>
  <sheetViews>
    <sheetView zoomScale="85" zoomScaleNormal="85" workbookViewId="0">
      <selection sqref="A1:K88"/>
    </sheetView>
  </sheetViews>
  <sheetFormatPr defaultRowHeight="15" x14ac:dyDescent="0.25"/>
  <cols>
    <col min="1" max="1" width="5.25" customWidth="1"/>
    <col min="2" max="2" width="18" customWidth="1"/>
    <col min="4" max="10" width="11.375" customWidth="1"/>
  </cols>
  <sheetData>
    <row r="1" spans="1:23" ht="15.75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89"/>
      <c r="M1" s="90"/>
      <c r="N1" s="90"/>
      <c r="O1" s="89"/>
      <c r="P1" s="89"/>
      <c r="Q1" s="89"/>
      <c r="R1" s="89"/>
      <c r="S1" s="89"/>
      <c r="T1" s="89"/>
      <c r="U1" s="89"/>
      <c r="V1" s="89"/>
      <c r="W1" s="89"/>
    </row>
    <row r="2" spans="1:23" ht="15.75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89"/>
      <c r="M2" s="90"/>
      <c r="N2" s="90"/>
      <c r="O2" s="89"/>
      <c r="P2" s="89"/>
      <c r="Q2" s="89"/>
      <c r="R2" s="89"/>
      <c r="S2" s="89"/>
      <c r="T2" s="89"/>
      <c r="U2" s="89"/>
      <c r="V2" s="89"/>
      <c r="W2" s="89"/>
    </row>
    <row r="3" spans="1:23" ht="15.75" x14ac:dyDescent="0.25">
      <c r="A3" s="148" t="s">
        <v>152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89"/>
      <c r="M3" s="90"/>
      <c r="N3" s="90"/>
      <c r="O3" s="89"/>
      <c r="P3" s="89"/>
      <c r="Q3" s="89"/>
      <c r="R3" s="89"/>
      <c r="S3" s="89"/>
      <c r="T3" s="89"/>
      <c r="U3" s="89"/>
      <c r="V3" s="89"/>
      <c r="W3" s="89"/>
    </row>
    <row r="4" spans="1:23" ht="15.7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L4" s="89"/>
      <c r="M4" s="90"/>
      <c r="N4" s="90"/>
      <c r="O4" s="89"/>
      <c r="P4" s="89"/>
      <c r="Q4" s="89"/>
      <c r="R4" s="89"/>
      <c r="S4" s="89"/>
      <c r="T4" s="89"/>
      <c r="U4" s="89"/>
      <c r="V4" s="89"/>
      <c r="W4" s="89"/>
    </row>
    <row r="5" spans="1:23" ht="15.75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L5" s="89"/>
      <c r="M5" s="90"/>
      <c r="N5" s="90"/>
      <c r="O5" s="89"/>
      <c r="P5" s="89"/>
      <c r="Q5" s="89"/>
      <c r="R5" s="89"/>
      <c r="S5" s="89"/>
      <c r="T5" s="89"/>
      <c r="U5" s="89"/>
      <c r="V5" s="89"/>
      <c r="W5" s="89"/>
    </row>
    <row r="6" spans="1:23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L6" s="89"/>
      <c r="M6" s="90"/>
      <c r="N6" s="90"/>
      <c r="O6" s="89"/>
      <c r="P6" s="89"/>
      <c r="Q6" s="89"/>
      <c r="R6" s="89"/>
      <c r="S6" s="89"/>
      <c r="T6" s="89"/>
      <c r="U6" s="89"/>
      <c r="V6" s="89"/>
      <c r="W6" s="89"/>
    </row>
    <row r="7" spans="1:23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L7" s="89"/>
      <c r="M7" s="90"/>
      <c r="N7" s="90"/>
      <c r="O7" s="89"/>
      <c r="P7" s="89"/>
      <c r="Q7" s="89"/>
      <c r="R7" s="89"/>
      <c r="S7" s="89"/>
      <c r="T7" s="89"/>
      <c r="U7" s="89"/>
      <c r="V7" s="89"/>
      <c r="W7" s="89"/>
    </row>
    <row r="8" spans="1:23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94"/>
      <c r="M8" s="91"/>
      <c r="N8" s="90"/>
      <c r="O8" s="89"/>
      <c r="P8" s="89"/>
      <c r="Q8" s="89"/>
      <c r="R8" s="89"/>
      <c r="S8" s="89"/>
      <c r="T8" s="89"/>
      <c r="U8" s="89"/>
      <c r="V8" s="89"/>
      <c r="W8" s="89"/>
    </row>
    <row r="9" spans="1:23" ht="15.75" x14ac:dyDescent="0.25">
      <c r="A9" s="145"/>
      <c r="B9" s="52" t="s">
        <v>123</v>
      </c>
      <c r="C9" s="12" t="s">
        <v>5</v>
      </c>
      <c r="D9" s="8">
        <v>10500</v>
      </c>
      <c r="E9" s="8">
        <v>10900</v>
      </c>
      <c r="F9" s="8">
        <v>10900</v>
      </c>
      <c r="G9" s="7">
        <v>10500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10700</v>
      </c>
      <c r="L9" s="89"/>
      <c r="M9" s="90"/>
      <c r="N9" s="90"/>
      <c r="O9" s="89"/>
      <c r="P9" s="89"/>
      <c r="Q9" s="89"/>
      <c r="R9" s="89"/>
      <c r="S9" s="89"/>
      <c r="T9" s="89"/>
      <c r="U9" s="89"/>
      <c r="V9" s="89"/>
      <c r="W9" s="89"/>
    </row>
    <row r="10" spans="1:23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L10" s="89"/>
      <c r="M10" s="90"/>
      <c r="N10" s="90"/>
      <c r="O10" s="89"/>
      <c r="P10" s="89"/>
      <c r="Q10" s="89"/>
      <c r="R10" s="89"/>
      <c r="S10" s="89"/>
      <c r="T10" s="89"/>
      <c r="U10" s="89"/>
      <c r="V10" s="89"/>
      <c r="W10" s="89"/>
    </row>
    <row r="11" spans="1:23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L11" s="89"/>
      <c r="M11" s="90"/>
      <c r="N11" s="90"/>
      <c r="O11" s="89"/>
      <c r="P11" s="89"/>
      <c r="Q11" s="89"/>
      <c r="R11" s="89"/>
      <c r="S11" s="89"/>
      <c r="T11" s="89"/>
      <c r="U11" s="89"/>
      <c r="V11" s="89"/>
      <c r="W11" s="89"/>
    </row>
    <row r="12" spans="1:23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L12" s="89"/>
      <c r="M12" s="90"/>
      <c r="N12" s="90"/>
      <c r="O12" s="89"/>
      <c r="P12" s="89"/>
      <c r="Q12" s="89"/>
      <c r="R12" s="89"/>
      <c r="S12" s="89"/>
      <c r="T12" s="89"/>
      <c r="U12" s="89"/>
      <c r="V12" s="89"/>
      <c r="W12" s="89"/>
    </row>
    <row r="13" spans="1:23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L13" s="89"/>
      <c r="M13" s="90"/>
      <c r="N13" s="92"/>
      <c r="O13" s="89"/>
      <c r="P13" s="89"/>
      <c r="Q13" s="89"/>
      <c r="R13" s="89"/>
      <c r="S13" s="89"/>
      <c r="T13" s="89"/>
      <c r="U13" s="89"/>
      <c r="V13" s="89"/>
      <c r="W13" s="89"/>
    </row>
    <row r="14" spans="1:23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L14" s="89"/>
      <c r="M14" s="90"/>
      <c r="N14" s="90"/>
      <c r="O14" s="89"/>
      <c r="P14" s="89"/>
      <c r="Q14" s="89"/>
      <c r="R14" s="89"/>
      <c r="S14" s="89"/>
      <c r="T14" s="89"/>
      <c r="U14" s="89"/>
      <c r="V14" s="89"/>
      <c r="W14" s="89"/>
    </row>
    <row r="15" spans="1:23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L15" s="89"/>
      <c r="M15" s="90"/>
      <c r="N15" s="90"/>
      <c r="O15" s="89"/>
      <c r="P15" s="89"/>
      <c r="Q15" s="89"/>
      <c r="R15" s="89"/>
      <c r="S15" s="89"/>
      <c r="T15" s="89"/>
      <c r="U15" s="89"/>
      <c r="V15" s="89"/>
      <c r="W15" s="89"/>
    </row>
    <row r="16" spans="1:23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L16" s="89"/>
      <c r="M16" s="90"/>
      <c r="N16" s="90"/>
      <c r="O16" s="89"/>
      <c r="P16" s="89"/>
      <c r="Q16" s="89"/>
      <c r="R16" s="89"/>
      <c r="S16" s="89"/>
      <c r="T16" s="89"/>
      <c r="U16" s="89"/>
      <c r="V16" s="89"/>
      <c r="W16" s="89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L17" s="89"/>
      <c r="M17" s="90"/>
      <c r="N17" s="90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L18" s="89"/>
      <c r="M18" s="90"/>
      <c r="N18" s="90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L19" s="89"/>
      <c r="M19" s="90"/>
      <c r="N19" s="90"/>
    </row>
    <row r="20" spans="1:14" ht="15.75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L20" s="89"/>
      <c r="M20" s="90"/>
      <c r="N20" s="90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L21" s="89"/>
      <c r="M21" s="90"/>
      <c r="N21" s="90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L22" s="89"/>
      <c r="M22" s="90"/>
      <c r="N22" s="90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L23" s="89"/>
      <c r="M23" s="90"/>
      <c r="N23" s="90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L24" s="89"/>
      <c r="M24" s="90"/>
      <c r="N24" s="90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35000</v>
      </c>
      <c r="I25" s="8">
        <v>35000</v>
      </c>
      <c r="J25" s="55">
        <v>36000</v>
      </c>
      <c r="K25" s="82">
        <f t="shared" si="0"/>
        <v>35000</v>
      </c>
      <c r="L25" s="89"/>
      <c r="M25" s="90"/>
      <c r="N25" s="90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L26" s="89"/>
      <c r="M26" s="90"/>
      <c r="N26" s="90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L27" s="89"/>
      <c r="M27" s="90"/>
      <c r="N27" s="90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s="89" t="s">
        <v>98</v>
      </c>
      <c r="M28" s="90"/>
      <c r="N28" s="90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L29" s="89"/>
      <c r="M29" s="90"/>
      <c r="N29" s="90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L30" s="89"/>
      <c r="M30" s="90"/>
      <c r="N30" s="90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35285.714285714283</v>
      </c>
      <c r="L31" s="89"/>
      <c r="M31" s="90"/>
      <c r="N31" s="90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L32" s="89"/>
      <c r="M32" s="90"/>
      <c r="N32" s="90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L33" s="89"/>
      <c r="M33" s="90"/>
      <c r="N33" s="90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25142.857142857141</v>
      </c>
      <c r="L34" s="89"/>
      <c r="M34" s="90"/>
      <c r="N34" s="90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L35" s="89"/>
      <c r="M35" s="90"/>
      <c r="N35" s="90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L36" s="89"/>
      <c r="M36" s="90"/>
      <c r="N36" s="90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L37" s="89"/>
      <c r="M37" s="90"/>
      <c r="N37" s="90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L38" s="89"/>
      <c r="M38" s="90"/>
      <c r="N38" s="90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L39" s="89"/>
      <c r="M39" s="90"/>
      <c r="N39" s="90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L40" s="89"/>
      <c r="M40" s="90"/>
      <c r="N40" s="90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L41" s="89"/>
      <c r="M41" s="90"/>
      <c r="N41" s="90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L42" s="89"/>
      <c r="M42" s="90"/>
      <c r="N42" s="90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L43" s="89"/>
      <c r="M43" s="90"/>
      <c r="N43" s="90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L44" s="89"/>
      <c r="M44" s="90"/>
      <c r="N44" s="90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L45" s="89"/>
      <c r="M45" s="90"/>
      <c r="N45" s="90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L46" s="89"/>
      <c r="M46" s="90"/>
      <c r="N46" s="90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L47" s="89"/>
      <c r="M47" s="90"/>
      <c r="N47" s="90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L48" s="89"/>
      <c r="M48" s="90"/>
      <c r="N48" s="90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L49" s="89"/>
      <c r="M49" s="90"/>
      <c r="N49" s="90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L50" s="89"/>
      <c r="M50" s="90"/>
      <c r="N50" s="90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L51" s="89"/>
      <c r="M51" s="90"/>
      <c r="N51" s="90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L52" s="89"/>
      <c r="M52" s="90"/>
      <c r="N52" s="90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L53" s="89"/>
      <c r="M53" s="90"/>
      <c r="N53" s="90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L54" s="89"/>
      <c r="M54" s="90"/>
      <c r="N54" s="90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L55" s="89"/>
      <c r="M55" s="90"/>
      <c r="N55" s="90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L56" s="89"/>
      <c r="M56" s="90"/>
      <c r="N56" s="90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15000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14166.666666666666</v>
      </c>
      <c r="L57" s="89"/>
      <c r="M57" s="90"/>
      <c r="N57" s="90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13000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13500</v>
      </c>
      <c r="L58" s="89"/>
      <c r="M58" s="90" t="s">
        <v>99</v>
      </c>
      <c r="N58" s="90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L59" s="89"/>
      <c r="M59" s="90"/>
      <c r="N59" s="93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L60" s="89"/>
      <c r="M60" s="90"/>
      <c r="N60" s="90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L61" s="89"/>
      <c r="M61" s="90"/>
      <c r="N61" s="90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L62" s="89"/>
      <c r="M62" s="90"/>
      <c r="N62" s="90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L63" s="89"/>
      <c r="M63" s="90"/>
      <c r="N63" s="90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30000</v>
      </c>
      <c r="G64" s="8">
        <v>25000</v>
      </c>
      <c r="H64" s="8">
        <v>32000</v>
      </c>
      <c r="I64" s="8">
        <v>25000</v>
      </c>
      <c r="J64" s="55">
        <v>23000</v>
      </c>
      <c r="K64" s="82">
        <f t="shared" si="0"/>
        <v>26571.428571428572</v>
      </c>
      <c r="L64" s="89"/>
      <c r="M64" s="90"/>
      <c r="N64" s="90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25000</v>
      </c>
      <c r="G65" s="8">
        <v>26000</v>
      </c>
      <c r="H65" s="8">
        <v>30000</v>
      </c>
      <c r="I65" s="7">
        <v>20000</v>
      </c>
      <c r="J65" s="55" t="s">
        <v>97</v>
      </c>
      <c r="K65" s="82">
        <f t="shared" si="0"/>
        <v>25166.666666666668</v>
      </c>
      <c r="L65" s="89"/>
      <c r="M65" s="90"/>
      <c r="N65" s="90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20000</v>
      </c>
      <c r="G66" s="8">
        <v>24000</v>
      </c>
      <c r="H66" s="8">
        <v>23000</v>
      </c>
      <c r="I66" s="8">
        <v>22000</v>
      </c>
      <c r="J66" s="55">
        <v>19000</v>
      </c>
      <c r="K66" s="82">
        <f t="shared" si="0"/>
        <v>21714.285714285714</v>
      </c>
      <c r="L66" s="89"/>
      <c r="M66" s="90"/>
      <c r="N66" s="90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L67" s="89"/>
      <c r="M67" s="90"/>
      <c r="N67" s="90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L68" s="89"/>
      <c r="M68" s="90"/>
      <c r="N68" s="90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L69" s="89"/>
      <c r="M69" s="90"/>
      <c r="N69" s="90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35000</v>
      </c>
      <c r="L70" s="89"/>
      <c r="M70" s="90"/>
      <c r="N70" s="90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33000</v>
      </c>
      <c r="L71" s="89"/>
      <c r="M71" s="90"/>
      <c r="N71" s="90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L72" s="89"/>
      <c r="M72" s="90"/>
      <c r="N72" s="90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L73" s="89"/>
      <c r="M73" s="90"/>
      <c r="N73" s="90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L74" s="89"/>
      <c r="M74" s="90"/>
      <c r="N74" s="90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L75" s="89"/>
      <c r="M75" s="90"/>
      <c r="N75" s="90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L76" s="89"/>
      <c r="M76" s="90"/>
      <c r="N76" s="90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L77" s="89"/>
      <c r="M77" s="90"/>
      <c r="N77" s="90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L78" s="89"/>
      <c r="M78" s="90"/>
      <c r="N78" s="90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L79" s="89"/>
      <c r="M79" s="90"/>
      <c r="N79" s="90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L80" s="89"/>
      <c r="M80" s="90"/>
      <c r="N80" s="90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L81" s="89"/>
      <c r="M81" s="90"/>
      <c r="N81" s="90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L82" s="89"/>
      <c r="M82" s="90"/>
      <c r="N82" s="90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L83" s="89"/>
      <c r="M83" s="90"/>
      <c r="N83" s="90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L84" s="89"/>
      <c r="M84" s="90"/>
      <c r="N84" s="90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L85" s="89"/>
      <c r="M85" s="90"/>
      <c r="N85" s="90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L86" s="89"/>
      <c r="M86" s="90"/>
      <c r="N86" s="90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L87" s="89"/>
      <c r="M87" s="90"/>
      <c r="N87" s="90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L88" s="89"/>
      <c r="M88" s="90"/>
      <c r="N88" s="90"/>
    </row>
    <row r="89" spans="1:14" ht="15.75" x14ac:dyDescent="0.25">
      <c r="A89" s="89"/>
      <c r="B89" s="89"/>
      <c r="C89" s="89"/>
      <c r="D89" s="89"/>
      <c r="E89" s="95"/>
      <c r="F89" s="96"/>
      <c r="G89" s="96"/>
      <c r="H89" s="96"/>
      <c r="I89" s="96"/>
      <c r="J89" s="97"/>
      <c r="K89" s="96"/>
      <c r="L89" s="89"/>
      <c r="M89" s="90"/>
      <c r="N89" s="90"/>
    </row>
    <row r="90" spans="1:14" ht="15.75" x14ac:dyDescent="0.25">
      <c r="A90" s="89"/>
      <c r="B90" s="15"/>
      <c r="C90" s="89"/>
      <c r="D90" s="89"/>
      <c r="E90" s="96"/>
      <c r="F90" s="96"/>
      <c r="G90" s="96"/>
      <c r="H90" s="96"/>
      <c r="I90" s="96"/>
      <c r="J90" s="97"/>
      <c r="K90" s="96"/>
      <c r="L90" s="89"/>
      <c r="M90" s="90"/>
      <c r="N90" s="90"/>
    </row>
    <row r="91" spans="1:14" ht="15.75" x14ac:dyDescent="0.25">
      <c r="A91" s="89"/>
      <c r="B91" s="89"/>
      <c r="C91" s="89"/>
      <c r="D91" s="89"/>
      <c r="E91" s="96"/>
      <c r="F91" s="96"/>
      <c r="G91" s="96"/>
      <c r="H91" s="96"/>
      <c r="I91" s="96"/>
      <c r="J91" s="97"/>
      <c r="K91" s="96"/>
      <c r="L91" s="89"/>
      <c r="M91" s="90"/>
      <c r="N91" s="90"/>
    </row>
    <row r="92" spans="1:14" ht="15.75" x14ac:dyDescent="0.25">
      <c r="A92" s="90"/>
      <c r="B92" s="90"/>
      <c r="C92" s="90"/>
      <c r="D92" s="98"/>
      <c r="E92" s="99"/>
      <c r="F92" s="99"/>
      <c r="G92" s="99"/>
      <c r="H92" s="99"/>
      <c r="I92" s="99"/>
      <c r="J92" s="100"/>
      <c r="K92" s="99"/>
      <c r="L92" s="90"/>
      <c r="M92" s="90"/>
      <c r="N92" s="90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92"/>
  <sheetViews>
    <sheetView topLeftCell="A82" workbookViewId="0">
      <selection sqref="A1:K88"/>
    </sheetView>
  </sheetViews>
  <sheetFormatPr defaultRowHeight="15" x14ac:dyDescent="0.25"/>
  <cols>
    <col min="1" max="1" width="5.75" customWidth="1"/>
    <col min="2" max="2" width="24.875" customWidth="1"/>
    <col min="4" max="11" width="12" customWidth="1"/>
  </cols>
  <sheetData>
    <row r="1" spans="1:23" ht="15.75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89"/>
      <c r="M1" s="90"/>
      <c r="N1" s="90"/>
      <c r="O1" s="89"/>
      <c r="P1" s="89"/>
      <c r="Q1" s="89"/>
      <c r="R1" s="89"/>
      <c r="S1" s="89"/>
      <c r="T1" s="89"/>
      <c r="U1" s="89"/>
      <c r="V1" s="89"/>
      <c r="W1" s="89"/>
    </row>
    <row r="2" spans="1:23" ht="15.75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89"/>
      <c r="M2" s="90"/>
      <c r="N2" s="90"/>
      <c r="O2" s="89"/>
      <c r="P2" s="89"/>
      <c r="Q2" s="89"/>
      <c r="R2" s="89"/>
      <c r="S2" s="89"/>
      <c r="T2" s="89"/>
      <c r="U2" s="89"/>
      <c r="V2" s="89"/>
      <c r="W2" s="89"/>
    </row>
    <row r="3" spans="1:23" ht="15.75" x14ac:dyDescent="0.25">
      <c r="A3" s="148" t="s">
        <v>153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89"/>
      <c r="M3" s="90"/>
      <c r="N3" s="90"/>
      <c r="O3" s="89"/>
      <c r="P3" s="89"/>
      <c r="Q3" s="89"/>
      <c r="R3" s="89"/>
      <c r="S3" s="89"/>
      <c r="T3" s="89"/>
      <c r="U3" s="89"/>
      <c r="V3" s="89"/>
      <c r="W3" s="89"/>
    </row>
    <row r="4" spans="1:23" ht="15.75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L4" s="89"/>
      <c r="M4" s="90"/>
      <c r="N4" s="90"/>
      <c r="O4" s="89"/>
      <c r="P4" s="89"/>
      <c r="Q4" s="89"/>
      <c r="R4" s="89"/>
      <c r="S4" s="89"/>
      <c r="T4" s="89"/>
      <c r="U4" s="89"/>
      <c r="V4" s="89"/>
      <c r="W4" s="89"/>
    </row>
    <row r="5" spans="1:23" ht="15.75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L5" s="89"/>
      <c r="M5" s="90"/>
      <c r="N5" s="90"/>
      <c r="O5" s="89"/>
      <c r="P5" s="89"/>
      <c r="Q5" s="89"/>
      <c r="R5" s="89"/>
      <c r="S5" s="89"/>
      <c r="T5" s="89"/>
      <c r="U5" s="89"/>
      <c r="V5" s="89"/>
      <c r="W5" s="89"/>
    </row>
    <row r="6" spans="1:23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L6" s="89"/>
      <c r="M6" s="90"/>
      <c r="N6" s="90"/>
      <c r="O6" s="89"/>
      <c r="P6" s="89"/>
      <c r="Q6" s="89"/>
      <c r="R6" s="89"/>
      <c r="S6" s="89"/>
      <c r="T6" s="89"/>
      <c r="U6" s="89"/>
      <c r="V6" s="89"/>
      <c r="W6" s="89"/>
    </row>
    <row r="7" spans="1:23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L7" s="89"/>
      <c r="M7" s="90"/>
      <c r="N7" s="90"/>
      <c r="O7" s="89"/>
      <c r="P7" s="89"/>
      <c r="Q7" s="89"/>
      <c r="R7" s="89"/>
      <c r="S7" s="89"/>
      <c r="T7" s="89"/>
      <c r="U7" s="89"/>
      <c r="V7" s="89"/>
      <c r="W7" s="89"/>
    </row>
    <row r="8" spans="1:23" ht="15.75" x14ac:dyDescent="0.25">
      <c r="A8" s="145"/>
      <c r="B8" s="52" t="s">
        <v>105</v>
      </c>
      <c r="C8" s="12" t="s">
        <v>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94"/>
      <c r="M8" s="91"/>
      <c r="N8" s="90"/>
      <c r="O8" s="89"/>
      <c r="P8" s="89"/>
      <c r="Q8" s="89"/>
      <c r="R8" s="89"/>
      <c r="S8" s="89"/>
      <c r="T8" s="89"/>
      <c r="U8" s="89"/>
      <c r="V8" s="89"/>
      <c r="W8" s="89"/>
    </row>
    <row r="9" spans="1:23" ht="15.75" x14ac:dyDescent="0.25">
      <c r="A9" s="145"/>
      <c r="B9" s="52" t="s">
        <v>123</v>
      </c>
      <c r="C9" s="12" t="s">
        <v>5</v>
      </c>
      <c r="D9" s="8">
        <v>10500</v>
      </c>
      <c r="E9" s="8">
        <v>10900</v>
      </c>
      <c r="F9" s="8">
        <v>10900</v>
      </c>
      <c r="G9" s="7">
        <v>10900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10800</v>
      </c>
      <c r="L9" s="89"/>
      <c r="M9" s="90"/>
      <c r="N9" s="90"/>
      <c r="O9" s="89"/>
      <c r="P9" s="89"/>
      <c r="Q9" s="89"/>
      <c r="R9" s="89"/>
      <c r="S9" s="89"/>
      <c r="T9" s="89"/>
      <c r="U9" s="89"/>
      <c r="V9" s="89"/>
      <c r="W9" s="89"/>
    </row>
    <row r="10" spans="1:23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L10" s="89"/>
      <c r="M10" s="90"/>
      <c r="N10" s="90"/>
      <c r="O10" s="89"/>
      <c r="P10" s="89"/>
      <c r="Q10" s="89"/>
      <c r="R10" s="89"/>
      <c r="S10" s="89"/>
      <c r="T10" s="89"/>
      <c r="U10" s="89"/>
      <c r="V10" s="89"/>
      <c r="W10" s="89"/>
    </row>
    <row r="11" spans="1:23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L11" s="89"/>
      <c r="M11" s="90"/>
      <c r="N11" s="90"/>
      <c r="O11" s="89"/>
      <c r="P11" s="89"/>
      <c r="Q11" s="89"/>
      <c r="R11" s="89"/>
      <c r="S11" s="89"/>
      <c r="T11" s="89"/>
      <c r="U11" s="89"/>
      <c r="V11" s="89"/>
      <c r="W11" s="89"/>
    </row>
    <row r="12" spans="1:23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L12" s="89"/>
      <c r="M12" s="90"/>
      <c r="N12" s="90"/>
      <c r="O12" s="89"/>
      <c r="P12" s="89"/>
      <c r="Q12" s="89"/>
      <c r="R12" s="89"/>
      <c r="S12" s="89"/>
      <c r="T12" s="89"/>
      <c r="U12" s="89"/>
      <c r="V12" s="89"/>
      <c r="W12" s="89"/>
    </row>
    <row r="13" spans="1:23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L13" s="89"/>
      <c r="M13" s="90"/>
      <c r="N13" s="92"/>
      <c r="O13" s="89"/>
      <c r="P13" s="89"/>
      <c r="Q13" s="89"/>
      <c r="R13" s="89"/>
      <c r="S13" s="89"/>
      <c r="T13" s="89"/>
      <c r="U13" s="89"/>
      <c r="V13" s="89"/>
      <c r="W13" s="89"/>
    </row>
    <row r="14" spans="1:23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L14" s="89"/>
      <c r="M14" s="90"/>
      <c r="N14" s="90"/>
      <c r="O14" s="89"/>
      <c r="P14" s="89"/>
      <c r="Q14" s="89"/>
      <c r="R14" s="89"/>
      <c r="S14" s="89"/>
      <c r="T14" s="89"/>
      <c r="U14" s="89"/>
      <c r="V14" s="89"/>
      <c r="W14" s="89"/>
    </row>
    <row r="15" spans="1:23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L15" s="89"/>
      <c r="M15" s="90"/>
      <c r="N15" s="90"/>
      <c r="O15" s="89"/>
      <c r="P15" s="89"/>
      <c r="Q15" s="89"/>
      <c r="R15" s="89"/>
      <c r="S15" s="89"/>
      <c r="T15" s="89"/>
      <c r="U15" s="89"/>
      <c r="V15" s="89"/>
      <c r="W15" s="89"/>
    </row>
    <row r="16" spans="1:23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L16" s="89"/>
      <c r="M16" s="90"/>
      <c r="N16" s="90"/>
      <c r="O16" s="89"/>
      <c r="P16" s="89"/>
      <c r="Q16" s="89"/>
      <c r="R16" s="89"/>
      <c r="S16" s="89"/>
      <c r="T16" s="89"/>
      <c r="U16" s="89"/>
      <c r="V16" s="89"/>
      <c r="W16" s="89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L17" s="89"/>
      <c r="M17" s="90"/>
      <c r="N17" s="90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L18" s="89"/>
      <c r="M18" s="90"/>
      <c r="N18" s="90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L19" s="89"/>
      <c r="M19" s="90"/>
      <c r="N19" s="90"/>
    </row>
    <row r="20" spans="1:14" ht="15.75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L20" s="89"/>
      <c r="M20" s="90"/>
      <c r="N20" s="90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L21" s="89"/>
      <c r="M21" s="90"/>
      <c r="N21" s="90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L22" s="89"/>
      <c r="M22" s="90"/>
      <c r="N22" s="90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L23" s="89"/>
      <c r="M23" s="90"/>
      <c r="N23" s="90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L24" s="89"/>
      <c r="M24" s="90"/>
      <c r="N24" s="90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36000</v>
      </c>
      <c r="K25" s="82">
        <f t="shared" si="0"/>
        <v>35142.857142857145</v>
      </c>
      <c r="L25" s="89"/>
      <c r="M25" s="90"/>
      <c r="N25" s="90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L26" s="89"/>
      <c r="M26" s="90"/>
      <c r="N26" s="90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L27" s="89"/>
      <c r="M27" s="90"/>
      <c r="N27" s="90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s="89" t="s">
        <v>98</v>
      </c>
      <c r="M28" s="90"/>
      <c r="N28" s="90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63285.714285714283</v>
      </c>
      <c r="L29" s="89"/>
      <c r="M29" s="90"/>
      <c r="N29" s="90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L30" s="89"/>
      <c r="M30" s="90"/>
      <c r="N30" s="90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35571.428571428572</v>
      </c>
      <c r="L31" s="89"/>
      <c r="M31" s="90"/>
      <c r="N31" s="90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L32" s="89"/>
      <c r="M32" s="90"/>
      <c r="N32" s="90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L33" s="89"/>
      <c r="M33" s="90"/>
      <c r="N33" s="90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25000</v>
      </c>
      <c r="I34" s="8">
        <v>25000</v>
      </c>
      <c r="J34" s="55">
        <v>26000</v>
      </c>
      <c r="K34" s="82">
        <f t="shared" si="0"/>
        <v>25142.857142857141</v>
      </c>
      <c r="L34" s="89"/>
      <c r="M34" s="90"/>
      <c r="N34" s="90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L35" s="89"/>
      <c r="M35" s="90"/>
      <c r="N35" s="90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L36" s="89"/>
      <c r="M36" s="90"/>
      <c r="N36" s="90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L37" s="89"/>
      <c r="M37" s="90"/>
      <c r="N37" s="90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L38" s="89"/>
      <c r="M38" s="90"/>
      <c r="N38" s="90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L39" s="89"/>
      <c r="M39" s="90"/>
      <c r="N39" s="90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L40" s="89"/>
      <c r="M40" s="90"/>
      <c r="N40" s="90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L41" s="89"/>
      <c r="M41" s="90"/>
      <c r="N41" s="90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L42" s="89"/>
      <c r="M42" s="90"/>
      <c r="N42" s="90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L43" s="89"/>
      <c r="M43" s="90"/>
      <c r="N43" s="90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L44" s="89"/>
      <c r="M44" s="90"/>
      <c r="N44" s="90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L45" s="89"/>
      <c r="M45" s="90"/>
      <c r="N45" s="90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L46" s="89"/>
      <c r="M46" s="90"/>
      <c r="N46" s="90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L47" s="89"/>
      <c r="M47" s="90"/>
      <c r="N47" s="90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L48" s="89"/>
      <c r="M48" s="90"/>
      <c r="N48" s="90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L49" s="89"/>
      <c r="M49" s="90"/>
      <c r="N49" s="90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L50" s="89"/>
      <c r="M50" s="90"/>
      <c r="N50" s="90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L51" s="89"/>
      <c r="M51" s="90"/>
      <c r="N51" s="90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L52" s="89"/>
      <c r="M52" s="90"/>
      <c r="N52" s="90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L53" s="89"/>
      <c r="M53" s="90"/>
      <c r="N53" s="90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L54" s="89"/>
      <c r="M54" s="90"/>
      <c r="N54" s="90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L55" s="89"/>
      <c r="M55" s="90"/>
      <c r="N55" s="90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L56" s="89"/>
      <c r="M56" s="90"/>
      <c r="N56" s="90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12000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13666.666666666666</v>
      </c>
      <c r="L57" s="89"/>
      <c r="M57" s="90"/>
      <c r="N57" s="90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11500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13000</v>
      </c>
      <c r="L58" s="89"/>
      <c r="M58" s="90" t="s">
        <v>99</v>
      </c>
      <c r="N58" s="90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L59" s="89"/>
      <c r="M59" s="90"/>
      <c r="N59" s="93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L60" s="89"/>
      <c r="M60" s="90"/>
      <c r="N60" s="90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L61" s="89"/>
      <c r="M61" s="90"/>
      <c r="N61" s="90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L62" s="89"/>
      <c r="M62" s="90"/>
      <c r="N62" s="90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L63" s="89"/>
      <c r="M63" s="90"/>
      <c r="N63" s="90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25000</v>
      </c>
      <c r="G64" s="8">
        <v>26000</v>
      </c>
      <c r="H64" s="8">
        <v>30000</v>
      </c>
      <c r="I64" s="8">
        <v>25000</v>
      </c>
      <c r="J64" s="55">
        <v>23000</v>
      </c>
      <c r="K64" s="82">
        <f t="shared" si="0"/>
        <v>25714.285714285714</v>
      </c>
      <c r="L64" s="89"/>
      <c r="M64" s="90"/>
      <c r="N64" s="90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30000</v>
      </c>
      <c r="I65" s="7">
        <v>20000</v>
      </c>
      <c r="J65" s="55" t="s">
        <v>97</v>
      </c>
      <c r="K65" s="82">
        <f t="shared" si="0"/>
        <v>24333.333333333332</v>
      </c>
      <c r="L65" s="89"/>
      <c r="M65" s="90"/>
      <c r="N65" s="90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22000</v>
      </c>
      <c r="G66" s="8">
        <v>24000</v>
      </c>
      <c r="H66" s="8">
        <v>20000</v>
      </c>
      <c r="I66" s="8">
        <v>22000</v>
      </c>
      <c r="J66" s="55">
        <v>19000</v>
      </c>
      <c r="K66" s="82">
        <f t="shared" si="0"/>
        <v>21571.428571428572</v>
      </c>
      <c r="L66" s="89"/>
      <c r="M66" s="90"/>
      <c r="N66" s="90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L67" s="89"/>
      <c r="M67" s="90"/>
      <c r="N67" s="90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L68" s="89"/>
      <c r="M68" s="90"/>
      <c r="N68" s="90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L69" s="89"/>
      <c r="M69" s="90"/>
      <c r="N69" s="90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35000</v>
      </c>
      <c r="L70" s="89"/>
      <c r="M70" s="90"/>
      <c r="N70" s="90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32714.285714285714</v>
      </c>
      <c r="L71" s="89"/>
      <c r="M71" s="90"/>
      <c r="N71" s="90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L72" s="89"/>
      <c r="M72" s="90"/>
      <c r="N72" s="90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L73" s="89"/>
      <c r="M73" s="90"/>
      <c r="N73" s="90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L74" s="89"/>
      <c r="M74" s="90"/>
      <c r="N74" s="90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L75" s="89"/>
      <c r="M75" s="90"/>
      <c r="N75" s="90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L76" s="89"/>
      <c r="M76" s="90"/>
      <c r="N76" s="90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L77" s="89"/>
      <c r="M77" s="90"/>
      <c r="N77" s="90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L78" s="89"/>
      <c r="M78" s="90"/>
      <c r="N78" s="90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L79" s="89"/>
      <c r="M79" s="90"/>
      <c r="N79" s="90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L80" s="89"/>
      <c r="M80" s="90"/>
      <c r="N80" s="90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L81" s="89"/>
      <c r="M81" s="90"/>
      <c r="N81" s="90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L82" s="89"/>
      <c r="M82" s="90"/>
      <c r="N82" s="90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L83" s="89"/>
      <c r="M83" s="90"/>
      <c r="N83" s="90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L84" s="89"/>
      <c r="M84" s="90"/>
      <c r="N84" s="90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L85" s="89"/>
      <c r="M85" s="90"/>
      <c r="N85" s="90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L86" s="89"/>
      <c r="M86" s="90"/>
      <c r="N86" s="90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L87" s="89"/>
      <c r="M87" s="90"/>
      <c r="N87" s="90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L88" s="89"/>
      <c r="M88" s="90"/>
      <c r="N88" s="90"/>
    </row>
    <row r="89" spans="1:14" ht="15.75" x14ac:dyDescent="0.25">
      <c r="A89" s="89"/>
      <c r="B89" s="89"/>
      <c r="C89" s="89"/>
      <c r="D89" s="89"/>
      <c r="E89" s="95"/>
      <c r="F89" s="96"/>
      <c r="G89" s="96"/>
      <c r="H89" s="96"/>
      <c r="I89" s="96"/>
      <c r="J89" s="97"/>
      <c r="K89" s="96"/>
      <c r="L89" s="89"/>
      <c r="M89" s="90"/>
      <c r="N89" s="90"/>
    </row>
    <row r="90" spans="1:14" ht="15.75" x14ac:dyDescent="0.25">
      <c r="A90" s="89"/>
      <c r="B90" s="15"/>
      <c r="C90" s="89"/>
      <c r="D90" s="89"/>
      <c r="E90" s="96"/>
      <c r="F90" s="96"/>
      <c r="G90" s="96"/>
      <c r="H90" s="96"/>
      <c r="I90" s="96"/>
      <c r="J90" s="97"/>
      <c r="K90" s="96"/>
      <c r="L90" s="89"/>
      <c r="M90" s="90"/>
      <c r="N90" s="90"/>
    </row>
    <row r="91" spans="1:14" ht="15.75" x14ac:dyDescent="0.25">
      <c r="A91" s="89"/>
      <c r="B91" s="89"/>
      <c r="C91" s="89"/>
      <c r="D91" s="89"/>
      <c r="E91" s="96"/>
      <c r="F91" s="96"/>
      <c r="G91" s="96"/>
      <c r="H91" s="96"/>
      <c r="I91" s="96"/>
      <c r="J91" s="97"/>
      <c r="K91" s="96"/>
      <c r="L91" s="89"/>
      <c r="M91" s="90"/>
      <c r="N91" s="90"/>
    </row>
    <row r="92" spans="1:14" ht="15.75" x14ac:dyDescent="0.25">
      <c r="A92" s="90"/>
      <c r="B92" s="90"/>
      <c r="C92" s="90"/>
      <c r="D92" s="98"/>
      <c r="E92" s="99"/>
      <c r="F92" s="99"/>
      <c r="G92" s="99"/>
      <c r="H92" s="99"/>
      <c r="I92" s="99"/>
      <c r="J92" s="100"/>
      <c r="K92" s="99"/>
      <c r="L92" s="90"/>
      <c r="M92" s="90"/>
      <c r="N92" s="90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92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155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10900</v>
      </c>
      <c r="F9" s="8">
        <v>10900</v>
      </c>
      <c r="G9" s="7">
        <v>10900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10800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35285.714285714283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25000</v>
      </c>
      <c r="I34" s="8">
        <v>25000</v>
      </c>
      <c r="J34" s="55">
        <v>24000</v>
      </c>
      <c r="K34" s="82">
        <f t="shared" si="0"/>
        <v>24857.142857142859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2500</v>
      </c>
      <c r="H35" s="8">
        <v>2500</v>
      </c>
      <c r="I35" s="8">
        <v>3000</v>
      </c>
      <c r="J35" s="55">
        <v>3000</v>
      </c>
      <c r="K35" s="82">
        <f t="shared" si="0"/>
        <v>2714.2857142857142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13000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13833.333333333334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14000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13833.333333333334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27000</v>
      </c>
      <c r="G64" s="8">
        <v>26000</v>
      </c>
      <c r="H64" s="8">
        <v>30000</v>
      </c>
      <c r="I64" s="8">
        <v>25000</v>
      </c>
      <c r="J64" s="55">
        <v>30000</v>
      </c>
      <c r="K64" s="82">
        <f t="shared" si="0"/>
        <v>27000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26000</v>
      </c>
      <c r="H65" s="8">
        <v>30000</v>
      </c>
      <c r="I65" s="7">
        <v>20000</v>
      </c>
      <c r="J65" s="55" t="s">
        <v>97</v>
      </c>
      <c r="K65" s="82">
        <f t="shared" si="0"/>
        <v>24333.333333333332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23000</v>
      </c>
      <c r="G66" s="8">
        <v>24000</v>
      </c>
      <c r="H66" s="8">
        <v>25000</v>
      </c>
      <c r="I66" s="8">
        <v>22000</v>
      </c>
      <c r="J66" s="55">
        <v>24000</v>
      </c>
      <c r="K66" s="82">
        <f t="shared" si="0"/>
        <v>23142.857142857141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35142.857142857145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32714.285714285714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92"/>
  <sheetViews>
    <sheetView topLeftCell="A82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155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10900</v>
      </c>
      <c r="F9" s="8">
        <v>10900</v>
      </c>
      <c r="G9" s="7">
        <v>10900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10800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35285.714285714283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24000</v>
      </c>
      <c r="H34" s="8">
        <v>25000</v>
      </c>
      <c r="I34" s="8">
        <v>25000</v>
      </c>
      <c r="J34" s="55">
        <v>24000</v>
      </c>
      <c r="K34" s="82">
        <f t="shared" si="0"/>
        <v>24714.285714285714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2800</v>
      </c>
      <c r="H35" s="8">
        <v>2500</v>
      </c>
      <c r="I35" s="8">
        <v>3000</v>
      </c>
      <c r="J35" s="55">
        <v>3000</v>
      </c>
      <c r="K35" s="82">
        <f t="shared" si="0"/>
        <v>2757.1428571428573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15000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14166.666666666666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13000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13500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26000</v>
      </c>
      <c r="E64" s="8">
        <v>25000</v>
      </c>
      <c r="F64" s="8">
        <v>30000</v>
      </c>
      <c r="G64" s="8">
        <v>26000</v>
      </c>
      <c r="H64" s="8">
        <v>30000</v>
      </c>
      <c r="I64" s="8">
        <v>25000</v>
      </c>
      <c r="J64" s="55">
        <v>30000</v>
      </c>
      <c r="K64" s="82">
        <f t="shared" si="0"/>
        <v>27428.571428571428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25000</v>
      </c>
      <c r="G65" s="8">
        <v>25000</v>
      </c>
      <c r="H65" s="8">
        <v>30000</v>
      </c>
      <c r="I65" s="7">
        <v>20000</v>
      </c>
      <c r="J65" s="55" t="s">
        <v>97</v>
      </c>
      <c r="K65" s="82">
        <f t="shared" si="0"/>
        <v>25000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20000</v>
      </c>
      <c r="G66" s="8">
        <v>24000</v>
      </c>
      <c r="H66" s="8">
        <v>25000</v>
      </c>
      <c r="I66" s="8">
        <v>22000</v>
      </c>
      <c r="J66" s="55">
        <v>24000</v>
      </c>
      <c r="K66" s="82">
        <f t="shared" si="0"/>
        <v>22714.285714285714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35000</v>
      </c>
      <c r="H70" s="8">
        <v>34000</v>
      </c>
      <c r="I70" s="8">
        <v>35000</v>
      </c>
      <c r="J70" s="55">
        <v>38000</v>
      </c>
      <c r="K70" s="82">
        <f t="shared" si="0"/>
        <v>35142.857142857145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33000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22000</v>
      </c>
      <c r="E72" s="8">
        <v>20000</v>
      </c>
      <c r="F72" s="8">
        <v>20000</v>
      </c>
      <c r="G72" s="8">
        <v>22000</v>
      </c>
      <c r="H72" s="8">
        <v>18000</v>
      </c>
      <c r="I72" s="8">
        <v>20000</v>
      </c>
      <c r="J72" s="55">
        <v>17000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92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157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155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10500</v>
      </c>
      <c r="E9" s="8">
        <v>10900</v>
      </c>
      <c r="F9" s="8">
        <v>10900</v>
      </c>
      <c r="G9" s="7">
        <v>10900</v>
      </c>
      <c r="H9" s="8" t="s">
        <v>97</v>
      </c>
      <c r="I9" s="8" t="s">
        <v>97</v>
      </c>
      <c r="J9" s="11" t="s">
        <v>97</v>
      </c>
      <c r="K9" s="82">
        <f t="shared" ref="K9:K80" si="0">AVERAGE(D9:J9)</f>
        <v>10800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>
        <v>11000</v>
      </c>
      <c r="I10" s="8">
        <v>10500</v>
      </c>
      <c r="J10" s="11" t="s">
        <v>97</v>
      </c>
      <c r="K10" s="82">
        <f t="shared" si="0"/>
        <v>10750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35285.714285714283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5">
        <v>25000</v>
      </c>
      <c r="K34" s="82">
        <f t="shared" si="0"/>
        <v>24571.428571428572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2800</v>
      </c>
      <c r="H35" s="8">
        <v>2500</v>
      </c>
      <c r="I35" s="8">
        <v>3000</v>
      </c>
      <c r="J35" s="55">
        <v>3000</v>
      </c>
      <c r="K35" s="82">
        <f t="shared" si="0"/>
        <v>2757.1428571428573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13000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13833.333333333334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14000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13833.333333333334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25000</v>
      </c>
      <c r="E64" s="8">
        <v>25000</v>
      </c>
      <c r="F64" s="8">
        <v>25000</v>
      </c>
      <c r="G64" s="8">
        <v>26000</v>
      </c>
      <c r="H64" s="8">
        <v>30000</v>
      </c>
      <c r="I64" s="8">
        <v>25000</v>
      </c>
      <c r="J64" s="55">
        <v>35000</v>
      </c>
      <c r="K64" s="82">
        <f t="shared" si="0"/>
        <v>27285.714285714286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20000</v>
      </c>
      <c r="G65" s="8">
        <v>25000</v>
      </c>
      <c r="H65" s="8">
        <v>30000</v>
      </c>
      <c r="I65" s="7">
        <v>20000</v>
      </c>
      <c r="J65" s="55" t="s">
        <v>97</v>
      </c>
      <c r="K65" s="82">
        <f t="shared" si="0"/>
        <v>24166.666666666668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23000</v>
      </c>
      <c r="G66" s="8">
        <v>24000</v>
      </c>
      <c r="H66" s="8">
        <v>27000</v>
      </c>
      <c r="I66" s="8">
        <v>22000</v>
      </c>
      <c r="J66" s="55">
        <v>25000</v>
      </c>
      <c r="K66" s="82">
        <f t="shared" si="0"/>
        <v>23571.428571428572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35000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34857.142857142855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33000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32857.142857142855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21000</v>
      </c>
      <c r="E72" s="8">
        <v>20000</v>
      </c>
      <c r="F72" s="8">
        <v>20000</v>
      </c>
      <c r="G72" s="8">
        <v>20000</v>
      </c>
      <c r="H72" s="8">
        <v>18000</v>
      </c>
      <c r="I72" s="8">
        <v>20000</v>
      </c>
      <c r="J72" s="55">
        <v>20000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17000</v>
      </c>
      <c r="H80" s="8">
        <v>15000</v>
      </c>
      <c r="I80" s="8">
        <v>18000</v>
      </c>
      <c r="J80" s="55">
        <v>18000</v>
      </c>
      <c r="K80" s="82">
        <f t="shared" si="0"/>
        <v>17142.857142857141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>
        <v>1000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1833.3333333333333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92"/>
  <sheetViews>
    <sheetView workbookViewId="0">
      <selection activeCell="K11" sqref="K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4" customWidth="1"/>
    <col min="5" max="5" width="15.125" style="76" customWidth="1"/>
    <col min="6" max="6" width="15.375" style="76" customWidth="1"/>
    <col min="7" max="7" width="14.625" style="76" customWidth="1"/>
    <col min="8" max="8" width="14.75" style="76" customWidth="1"/>
    <col min="9" max="9" width="14.25" style="76" customWidth="1"/>
    <col min="10" max="10" width="14.125" style="76" customWidth="1"/>
    <col min="11" max="11" width="13" style="76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M1" s="5"/>
      <c r="N1" s="5"/>
    </row>
    <row r="2" spans="1:14" ht="27.75" customHeight="1" x14ac:dyDescent="0.25">
      <c r="A2" s="147" t="s">
        <v>87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M2" s="5"/>
      <c r="N2" s="5"/>
    </row>
    <row r="3" spans="1:14" ht="27.75" customHeight="1" x14ac:dyDescent="0.25">
      <c r="A3" s="148" t="s">
        <v>158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M3" s="5"/>
      <c r="N3" s="5"/>
    </row>
    <row r="4" spans="1:14" ht="25.5" customHeight="1" x14ac:dyDescent="0.25">
      <c r="A4" s="149" t="s">
        <v>1</v>
      </c>
      <c r="B4" s="150" t="s">
        <v>2</v>
      </c>
      <c r="C4" s="151" t="s">
        <v>88</v>
      </c>
      <c r="D4" s="152" t="s">
        <v>89</v>
      </c>
      <c r="E4" s="153" t="s">
        <v>90</v>
      </c>
      <c r="F4" s="154" t="s">
        <v>91</v>
      </c>
      <c r="G4" s="155" t="s">
        <v>92</v>
      </c>
      <c r="H4" s="156" t="s">
        <v>93</v>
      </c>
      <c r="I4" s="157" t="s">
        <v>94</v>
      </c>
      <c r="J4" s="158" t="s">
        <v>95</v>
      </c>
      <c r="K4" s="159" t="s">
        <v>96</v>
      </c>
      <c r="M4" s="5"/>
      <c r="N4" s="5"/>
    </row>
    <row r="5" spans="1:14" ht="15" customHeight="1" x14ac:dyDescent="0.25">
      <c r="A5" s="149"/>
      <c r="B5" s="150"/>
      <c r="C5" s="151"/>
      <c r="D5" s="152"/>
      <c r="E5" s="153"/>
      <c r="F5" s="154"/>
      <c r="G5" s="155"/>
      <c r="H5" s="156"/>
      <c r="I5" s="157"/>
      <c r="J5" s="158"/>
      <c r="K5" s="159"/>
      <c r="M5" s="5"/>
      <c r="N5" s="5"/>
    </row>
    <row r="6" spans="1:14" ht="15.75" x14ac:dyDescent="0.25">
      <c r="A6" s="149"/>
      <c r="B6" s="150"/>
      <c r="C6" s="151"/>
      <c r="D6" s="152"/>
      <c r="E6" s="153"/>
      <c r="F6" s="154"/>
      <c r="G6" s="155"/>
      <c r="H6" s="156"/>
      <c r="I6" s="157"/>
      <c r="J6" s="158"/>
      <c r="K6" s="159"/>
      <c r="M6" s="5"/>
      <c r="N6" s="5"/>
    </row>
    <row r="7" spans="1:14" ht="15.75" x14ac:dyDescent="0.25">
      <c r="A7" s="145">
        <v>1</v>
      </c>
      <c r="B7" s="50" t="s">
        <v>4</v>
      </c>
      <c r="C7" s="51"/>
      <c r="D7" s="118"/>
      <c r="E7" s="12" t="s">
        <v>100</v>
      </c>
      <c r="F7" s="12"/>
      <c r="G7" s="119"/>
      <c r="H7" s="119" t="s">
        <v>1</v>
      </c>
      <c r="I7" s="120"/>
      <c r="J7" s="119"/>
      <c r="K7" s="81"/>
      <c r="M7" s="5"/>
      <c r="N7" s="5"/>
    </row>
    <row r="8" spans="1:14" ht="15.75" x14ac:dyDescent="0.25">
      <c r="A8" s="145"/>
      <c r="B8" s="52" t="s">
        <v>105</v>
      </c>
      <c r="C8" s="12" t="s">
        <v>155</v>
      </c>
      <c r="D8" s="8">
        <v>13000</v>
      </c>
      <c r="E8" s="8">
        <v>13000</v>
      </c>
      <c r="F8" s="8">
        <v>13500</v>
      </c>
      <c r="G8" s="8">
        <v>13000</v>
      </c>
      <c r="H8" s="8">
        <v>14000</v>
      </c>
      <c r="I8" s="8">
        <v>13500</v>
      </c>
      <c r="J8" s="11">
        <v>14000</v>
      </c>
      <c r="K8" s="82">
        <f>AVERAGE(D8:J8)</f>
        <v>13428.571428571429</v>
      </c>
      <c r="L8" s="1"/>
      <c r="M8" s="6"/>
      <c r="N8" s="5"/>
    </row>
    <row r="9" spans="1:14" ht="15.75" x14ac:dyDescent="0.25">
      <c r="A9" s="145"/>
      <c r="B9" s="52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11000</v>
      </c>
      <c r="I9" s="8">
        <v>10500</v>
      </c>
      <c r="J9" s="11" t="s">
        <v>97</v>
      </c>
      <c r="K9" s="82">
        <f t="shared" ref="K9:K80" si="0">AVERAGE(D9:J9)</f>
        <v>10850</v>
      </c>
      <c r="M9" s="5"/>
      <c r="N9" s="5"/>
    </row>
    <row r="10" spans="1:14" ht="15.75" x14ac:dyDescent="0.25">
      <c r="A10" s="145"/>
      <c r="B10" s="52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82">
        <v>0</v>
      </c>
      <c r="M10" s="5"/>
      <c r="N10" s="5"/>
    </row>
    <row r="11" spans="1:14" ht="15.75" x14ac:dyDescent="0.25">
      <c r="A11" s="145"/>
      <c r="B11" s="52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82">
        <f>AVERAGE(D11:J11)</f>
        <v>10400</v>
      </c>
      <c r="M11" s="5"/>
      <c r="N11" s="5"/>
    </row>
    <row r="12" spans="1:14" ht="15.75" x14ac:dyDescent="0.25">
      <c r="A12" s="145"/>
      <c r="B12" s="52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82">
        <f t="shared" si="0"/>
        <v>18400</v>
      </c>
      <c r="M12" s="5"/>
      <c r="N12" s="5"/>
    </row>
    <row r="13" spans="1:14" ht="15.75" x14ac:dyDescent="0.25">
      <c r="A13" s="145">
        <v>2</v>
      </c>
      <c r="B13" s="50" t="s">
        <v>8</v>
      </c>
      <c r="C13" s="53"/>
      <c r="D13" s="118"/>
      <c r="E13" s="9"/>
      <c r="F13" s="12"/>
      <c r="G13" s="72"/>
      <c r="H13" s="72"/>
      <c r="I13" s="72"/>
      <c r="J13" s="72"/>
      <c r="K13" s="83"/>
      <c r="M13" s="5"/>
      <c r="N13" s="10"/>
    </row>
    <row r="14" spans="1:14" ht="15.75" x14ac:dyDescent="0.25">
      <c r="A14" s="145"/>
      <c r="B14" s="52" t="s">
        <v>114</v>
      </c>
      <c r="C14" s="12" t="s">
        <v>5</v>
      </c>
      <c r="D14" s="8">
        <v>13000</v>
      </c>
      <c r="E14" s="8">
        <v>13500</v>
      </c>
      <c r="F14" s="8">
        <v>13500</v>
      </c>
      <c r="G14" s="8">
        <v>13500</v>
      </c>
      <c r="H14" s="8">
        <v>13500</v>
      </c>
      <c r="I14" s="8">
        <v>13500</v>
      </c>
      <c r="J14" s="55">
        <v>14000</v>
      </c>
      <c r="K14" s="82">
        <f t="shared" si="0"/>
        <v>13500</v>
      </c>
      <c r="M14" s="5"/>
      <c r="N14" s="5"/>
    </row>
    <row r="15" spans="1:14" ht="15.75" x14ac:dyDescent="0.25">
      <c r="A15" s="145"/>
      <c r="B15" s="52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5">
        <v>16000</v>
      </c>
      <c r="K15" s="82">
        <f>AVERAGE(D15:J15)</f>
        <v>15142.857142857143</v>
      </c>
      <c r="M15" s="5"/>
      <c r="N15" s="5"/>
    </row>
    <row r="16" spans="1:14" ht="15.75" x14ac:dyDescent="0.25">
      <c r="A16" s="145">
        <v>3</v>
      </c>
      <c r="B16" s="50" t="s">
        <v>11</v>
      </c>
      <c r="C16" s="54"/>
      <c r="D16" s="121"/>
      <c r="E16" s="122"/>
      <c r="F16" s="122"/>
      <c r="G16" s="122"/>
      <c r="H16" s="122"/>
      <c r="I16" s="122"/>
      <c r="J16" s="102"/>
      <c r="K16" s="83"/>
      <c r="M16" s="5"/>
      <c r="N16" s="5"/>
    </row>
    <row r="17" spans="1:14" ht="15.75" x14ac:dyDescent="0.25">
      <c r="A17" s="145"/>
      <c r="B17" s="52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5">
        <v>15000</v>
      </c>
      <c r="K17" s="82">
        <f t="shared" si="0"/>
        <v>15000</v>
      </c>
      <c r="M17" s="5"/>
      <c r="N17" s="5"/>
    </row>
    <row r="18" spans="1:14" ht="15.75" x14ac:dyDescent="0.25">
      <c r="A18" s="101"/>
      <c r="B18" s="52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5">
        <v>14000</v>
      </c>
      <c r="K18" s="82">
        <f t="shared" si="0"/>
        <v>14000</v>
      </c>
      <c r="M18" s="5"/>
      <c r="N18" s="5"/>
    </row>
    <row r="19" spans="1:14" ht="15.75" x14ac:dyDescent="0.25">
      <c r="A19" s="145">
        <v>4</v>
      </c>
      <c r="B19" s="50" t="s">
        <v>13</v>
      </c>
      <c r="C19" s="54"/>
      <c r="D19" s="121"/>
      <c r="E19" s="122"/>
      <c r="F19" s="122"/>
      <c r="G19" s="123"/>
      <c r="H19" s="122"/>
      <c r="I19" s="122"/>
      <c r="J19" s="102"/>
      <c r="K19" s="83"/>
      <c r="M19" s="5"/>
      <c r="N19" s="5"/>
    </row>
    <row r="20" spans="1:14" ht="17.25" customHeight="1" x14ac:dyDescent="0.25">
      <c r="A20" s="145"/>
      <c r="B20" s="52" t="s">
        <v>14</v>
      </c>
      <c r="C20" s="12" t="s">
        <v>5</v>
      </c>
      <c r="D20" s="8">
        <v>20000</v>
      </c>
      <c r="E20" s="8" t="s">
        <v>97</v>
      </c>
      <c r="F20" s="11">
        <v>20000</v>
      </c>
      <c r="G20" s="7">
        <v>22000</v>
      </c>
      <c r="H20" s="9" t="s">
        <v>97</v>
      </c>
      <c r="I20" s="11">
        <v>20000</v>
      </c>
      <c r="J20" s="56" t="s">
        <v>97</v>
      </c>
      <c r="K20" s="82">
        <f t="shared" si="0"/>
        <v>20500</v>
      </c>
      <c r="M20" s="5"/>
      <c r="N20" s="5"/>
    </row>
    <row r="21" spans="1:14" ht="15.75" x14ac:dyDescent="0.25">
      <c r="A21" s="145">
        <v>5</v>
      </c>
      <c r="B21" s="50" t="s">
        <v>15</v>
      </c>
      <c r="C21" s="54"/>
      <c r="D21" s="121"/>
      <c r="E21" s="12"/>
      <c r="F21" s="122"/>
      <c r="G21" s="123"/>
      <c r="H21" s="122"/>
      <c r="I21" s="122"/>
      <c r="J21" s="102"/>
      <c r="K21" s="83"/>
      <c r="M21" s="5"/>
      <c r="N21" s="5"/>
    </row>
    <row r="22" spans="1:14" ht="15.75" x14ac:dyDescent="0.25">
      <c r="A22" s="145"/>
      <c r="B22" s="52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125000</v>
      </c>
      <c r="I22" s="7">
        <v>120000</v>
      </c>
      <c r="J22" s="55" t="s">
        <v>97</v>
      </c>
      <c r="K22" s="82">
        <f t="shared" si="0"/>
        <v>120833.33333333333</v>
      </c>
      <c r="M22" s="5"/>
      <c r="N22" s="5"/>
    </row>
    <row r="23" spans="1:14" ht="15.75" x14ac:dyDescent="0.25">
      <c r="A23" s="145"/>
      <c r="B23" s="52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120000</v>
      </c>
      <c r="I23" s="8">
        <v>115000</v>
      </c>
      <c r="J23" s="55">
        <v>110000</v>
      </c>
      <c r="K23" s="82">
        <f t="shared" si="0"/>
        <v>112142.85714285714</v>
      </c>
      <c r="M23" s="5"/>
      <c r="N23" s="5"/>
    </row>
    <row r="24" spans="1:14" ht="15.75" x14ac:dyDescent="0.25">
      <c r="A24" s="145"/>
      <c r="B24" s="52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5">
        <v>105000</v>
      </c>
      <c r="K24" s="82">
        <f t="shared" si="0"/>
        <v>100714.28571428571</v>
      </c>
      <c r="M24" s="5"/>
      <c r="N24" s="5"/>
    </row>
    <row r="25" spans="1:14" ht="15.75" x14ac:dyDescent="0.25">
      <c r="A25" s="145"/>
      <c r="B25" s="52" t="s">
        <v>19</v>
      </c>
      <c r="C25" s="12" t="s">
        <v>5</v>
      </c>
      <c r="D25" s="8">
        <v>35000</v>
      </c>
      <c r="E25" s="8">
        <v>34000</v>
      </c>
      <c r="F25" s="8">
        <v>35000</v>
      </c>
      <c r="G25" s="8">
        <v>35000</v>
      </c>
      <c r="H25" s="55">
        <v>36000</v>
      </c>
      <c r="I25" s="8">
        <v>35000</v>
      </c>
      <c r="J25" s="55">
        <v>36000</v>
      </c>
      <c r="K25" s="82">
        <f t="shared" si="0"/>
        <v>35142.857142857145</v>
      </c>
      <c r="M25" s="5"/>
      <c r="N25" s="5"/>
    </row>
    <row r="26" spans="1:14" ht="15.75" x14ac:dyDescent="0.25">
      <c r="A26" s="145">
        <v>6</v>
      </c>
      <c r="B26" s="50" t="s">
        <v>20</v>
      </c>
      <c r="C26" s="54"/>
      <c r="D26" s="121"/>
      <c r="E26" s="12"/>
      <c r="F26" s="123"/>
      <c r="G26" s="122"/>
      <c r="H26" s="102"/>
      <c r="I26" s="122"/>
      <c r="J26" s="102"/>
      <c r="K26" s="83"/>
      <c r="M26" s="5"/>
      <c r="N26" s="5"/>
    </row>
    <row r="27" spans="1:14" ht="15.75" x14ac:dyDescent="0.25">
      <c r="A27" s="145"/>
      <c r="B27" s="52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5">
        <v>35000</v>
      </c>
      <c r="K27" s="82">
        <f t="shared" si="0"/>
        <v>35166.666666666664</v>
      </c>
      <c r="M27" s="5"/>
      <c r="N27" s="5"/>
    </row>
    <row r="28" spans="1:14" ht="15.75" x14ac:dyDescent="0.25">
      <c r="A28" s="145"/>
      <c r="B28" s="52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28000</v>
      </c>
      <c r="J28" s="57">
        <v>25000</v>
      </c>
      <c r="K28" s="82">
        <f t="shared" si="0"/>
        <v>27000</v>
      </c>
      <c r="L28" t="s">
        <v>98</v>
      </c>
      <c r="M28" s="5"/>
      <c r="N28" s="5"/>
    </row>
    <row r="29" spans="1:14" ht="15.75" x14ac:dyDescent="0.25">
      <c r="A29" s="145"/>
      <c r="B29" s="52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60000</v>
      </c>
      <c r="J29" s="58">
        <v>65000</v>
      </c>
      <c r="K29" s="82">
        <f t="shared" si="0"/>
        <v>64000</v>
      </c>
      <c r="M29" s="5"/>
      <c r="N29" s="5"/>
    </row>
    <row r="30" spans="1:14" ht="15.75" x14ac:dyDescent="0.25">
      <c r="A30" s="145"/>
      <c r="B30" s="52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8">
        <v>26000</v>
      </c>
      <c r="K30" s="82">
        <f t="shared" si="0"/>
        <v>24600</v>
      </c>
      <c r="M30" s="5"/>
      <c r="N30" s="5"/>
    </row>
    <row r="31" spans="1:14" ht="15.75" x14ac:dyDescent="0.25">
      <c r="A31" s="145"/>
      <c r="B31" s="52" t="s">
        <v>25</v>
      </c>
      <c r="C31" s="12" t="s">
        <v>5</v>
      </c>
      <c r="D31" s="8">
        <v>35000</v>
      </c>
      <c r="E31" s="8">
        <v>36000</v>
      </c>
      <c r="F31" s="8">
        <v>38000</v>
      </c>
      <c r="G31" s="8">
        <v>35000</v>
      </c>
      <c r="H31" s="8">
        <v>28000</v>
      </c>
      <c r="I31" s="8">
        <v>35000</v>
      </c>
      <c r="J31" s="55">
        <v>40000</v>
      </c>
      <c r="K31" s="82">
        <f t="shared" si="0"/>
        <v>35285.714285714283</v>
      </c>
      <c r="M31" s="5"/>
      <c r="N31" s="5"/>
    </row>
    <row r="32" spans="1:14" ht="15.75" x14ac:dyDescent="0.25">
      <c r="A32" s="145"/>
      <c r="B32" s="52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8">
        <v>70000</v>
      </c>
      <c r="K32" s="82">
        <f t="shared" si="0"/>
        <v>87500</v>
      </c>
      <c r="M32" s="5"/>
      <c r="N32" s="5"/>
    </row>
    <row r="33" spans="1:14" ht="15.75" x14ac:dyDescent="0.25">
      <c r="A33" s="145">
        <v>7</v>
      </c>
      <c r="B33" s="50" t="s">
        <v>27</v>
      </c>
      <c r="C33" s="54"/>
      <c r="D33" s="121"/>
      <c r="E33" s="12"/>
      <c r="F33" s="123"/>
      <c r="G33" s="123"/>
      <c r="H33" s="122"/>
      <c r="I33" s="122"/>
      <c r="J33" s="102"/>
      <c r="K33" s="83"/>
      <c r="M33" s="5"/>
      <c r="N33" s="5"/>
    </row>
    <row r="34" spans="1:14" ht="15.75" x14ac:dyDescent="0.25">
      <c r="A34" s="145"/>
      <c r="B34" s="52" t="s">
        <v>28</v>
      </c>
      <c r="C34" s="12" t="s">
        <v>5</v>
      </c>
      <c r="D34" s="8">
        <v>25000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5">
        <v>25000</v>
      </c>
      <c r="K34" s="82">
        <f t="shared" si="0"/>
        <v>24571.428571428572</v>
      </c>
      <c r="M34" s="5"/>
      <c r="N34" s="5"/>
    </row>
    <row r="35" spans="1:14" ht="15.75" x14ac:dyDescent="0.25">
      <c r="A35" s="145"/>
      <c r="B35" s="52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2800</v>
      </c>
      <c r="H35" s="8">
        <v>2500</v>
      </c>
      <c r="I35" s="8">
        <v>3000</v>
      </c>
      <c r="J35" s="55">
        <v>3000</v>
      </c>
      <c r="K35" s="82">
        <f t="shared" si="0"/>
        <v>2757.1428571428573</v>
      </c>
      <c r="M35" s="5"/>
      <c r="N35" s="5"/>
    </row>
    <row r="36" spans="1:14" ht="15.75" x14ac:dyDescent="0.25">
      <c r="A36" s="101">
        <v>8</v>
      </c>
      <c r="B36" s="54" t="s">
        <v>115</v>
      </c>
      <c r="C36" s="59"/>
      <c r="D36" s="8"/>
      <c r="E36" s="8"/>
      <c r="F36" s="8"/>
      <c r="G36" s="8"/>
      <c r="H36" s="8"/>
      <c r="I36" s="8"/>
      <c r="J36" s="55"/>
      <c r="K36" s="84"/>
      <c r="M36" s="5"/>
      <c r="N36" s="5"/>
    </row>
    <row r="37" spans="1:14" ht="15.75" x14ac:dyDescent="0.25">
      <c r="A37" s="101"/>
      <c r="B37" s="52" t="s">
        <v>116</v>
      </c>
      <c r="C37" s="12" t="s">
        <v>5</v>
      </c>
      <c r="D37" s="8">
        <v>10000</v>
      </c>
      <c r="E37" s="8">
        <v>9000</v>
      </c>
      <c r="F37" s="8">
        <v>9000</v>
      </c>
      <c r="G37" s="8">
        <v>9000</v>
      </c>
      <c r="H37" s="8">
        <v>16000</v>
      </c>
      <c r="I37" s="8">
        <v>7000</v>
      </c>
      <c r="J37" s="55">
        <v>9000</v>
      </c>
      <c r="K37" s="82">
        <f t="shared" si="0"/>
        <v>9857.1428571428569</v>
      </c>
      <c r="M37" s="5"/>
      <c r="N37" s="5"/>
    </row>
    <row r="38" spans="1:14" ht="15.75" x14ac:dyDescent="0.25">
      <c r="A38" s="101"/>
      <c r="B38" s="52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5">
        <v>12000</v>
      </c>
      <c r="K38" s="82">
        <f>AVERAGE(D38:J38)</f>
        <v>12600</v>
      </c>
      <c r="M38" s="5"/>
      <c r="N38" s="5"/>
    </row>
    <row r="39" spans="1:14" ht="15.75" x14ac:dyDescent="0.25">
      <c r="A39" s="101">
        <v>9</v>
      </c>
      <c r="B39" s="60" t="s">
        <v>118</v>
      </c>
      <c r="C39" s="61"/>
      <c r="D39" s="8"/>
      <c r="E39" s="8"/>
      <c r="F39" s="8"/>
      <c r="G39" s="8"/>
      <c r="H39" s="8"/>
      <c r="I39" s="8"/>
      <c r="J39" s="55"/>
      <c r="K39" s="84"/>
      <c r="M39" s="5"/>
      <c r="N39" s="5"/>
    </row>
    <row r="40" spans="1:14" ht="15.75" x14ac:dyDescent="0.25">
      <c r="A40" s="101"/>
      <c r="B40" s="52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5">
        <v>15000</v>
      </c>
      <c r="K40" s="82">
        <f t="shared" si="0"/>
        <v>13000</v>
      </c>
      <c r="M40" s="5"/>
      <c r="N40" s="5"/>
    </row>
    <row r="41" spans="1:14" ht="15.75" x14ac:dyDescent="0.25">
      <c r="A41" s="101"/>
      <c r="B41" s="52" t="s">
        <v>120</v>
      </c>
      <c r="C41" s="12" t="s">
        <v>5</v>
      </c>
      <c r="D41" s="8">
        <v>2500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5" t="s">
        <v>97</v>
      </c>
      <c r="K41" s="82">
        <f t="shared" si="0"/>
        <v>4250</v>
      </c>
      <c r="M41" s="5"/>
      <c r="N41" s="5"/>
    </row>
    <row r="42" spans="1:14" ht="15.75" x14ac:dyDescent="0.25">
      <c r="A42" s="101"/>
      <c r="B42" s="52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5" t="s">
        <v>97</v>
      </c>
      <c r="K42" s="82">
        <f t="shared" si="0"/>
        <v>2500</v>
      </c>
      <c r="M42" s="5"/>
      <c r="N42" s="5"/>
    </row>
    <row r="43" spans="1:14" ht="15.75" x14ac:dyDescent="0.25">
      <c r="A43" s="145">
        <v>10</v>
      </c>
      <c r="B43" s="50" t="s">
        <v>31</v>
      </c>
      <c r="C43" s="54"/>
      <c r="D43" s="121"/>
      <c r="E43" s="12"/>
      <c r="F43" s="123"/>
      <c r="G43" s="122"/>
      <c r="H43" s="122"/>
      <c r="I43" s="122"/>
      <c r="J43" s="85"/>
      <c r="K43" s="83"/>
      <c r="M43" s="5"/>
      <c r="N43" s="5"/>
    </row>
    <row r="44" spans="1:14" ht="15.75" x14ac:dyDescent="0.25">
      <c r="A44" s="145"/>
      <c r="B44" s="52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5">
        <v>12500</v>
      </c>
      <c r="K44" s="82">
        <f t="shared" si="0"/>
        <v>12416.666666666666</v>
      </c>
      <c r="M44" s="5"/>
      <c r="N44" s="5"/>
    </row>
    <row r="45" spans="1:14" ht="15.75" x14ac:dyDescent="0.25">
      <c r="A45" s="145"/>
      <c r="B45" s="52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8">
        <v>12500</v>
      </c>
      <c r="K45" s="82">
        <f>AVERAGE(D45:J45)</f>
        <v>12583.333333333334</v>
      </c>
      <c r="M45" s="5"/>
      <c r="N45" s="5"/>
    </row>
    <row r="46" spans="1:14" ht="15.75" x14ac:dyDescent="0.25">
      <c r="A46" s="145">
        <v>11</v>
      </c>
      <c r="B46" s="50" t="s">
        <v>36</v>
      </c>
      <c r="C46" s="54"/>
      <c r="D46" s="121"/>
      <c r="E46" s="12"/>
      <c r="F46" s="122"/>
      <c r="G46" s="123"/>
      <c r="H46" s="122"/>
      <c r="I46" s="122"/>
      <c r="J46" s="102"/>
      <c r="K46" s="83"/>
      <c r="M46" s="5"/>
      <c r="N46" s="5"/>
    </row>
    <row r="47" spans="1:14" ht="15.75" x14ac:dyDescent="0.25">
      <c r="A47" s="145"/>
      <c r="B47" s="52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8" t="s">
        <v>97</v>
      </c>
      <c r="K47" s="82">
        <f t="shared" si="0"/>
        <v>17500</v>
      </c>
      <c r="M47" s="5"/>
      <c r="N47" s="5"/>
    </row>
    <row r="48" spans="1:14" ht="15.75" x14ac:dyDescent="0.25">
      <c r="A48" s="145"/>
      <c r="B48" s="52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8" t="s">
        <v>97</v>
      </c>
      <c r="K48" s="82">
        <f t="shared" si="0"/>
        <v>2000</v>
      </c>
      <c r="M48" s="5"/>
      <c r="N48" s="5"/>
    </row>
    <row r="49" spans="1:14" ht="15.75" x14ac:dyDescent="0.25">
      <c r="A49" s="101">
        <v>12</v>
      </c>
      <c r="B49" s="62" t="s">
        <v>41</v>
      </c>
      <c r="C49" s="59"/>
      <c r="D49" s="86"/>
      <c r="E49" s="9"/>
      <c r="F49" s="9"/>
      <c r="G49" s="13"/>
      <c r="H49" s="9"/>
      <c r="I49" s="9"/>
      <c r="J49" s="56"/>
      <c r="K49" s="83"/>
      <c r="M49" s="5"/>
      <c r="N49" s="5"/>
    </row>
    <row r="50" spans="1:14" ht="15.75" x14ac:dyDescent="0.25">
      <c r="A50" s="101"/>
      <c r="B50" s="52" t="s">
        <v>42</v>
      </c>
      <c r="C50" s="63" t="s">
        <v>5</v>
      </c>
      <c r="D50" s="8">
        <v>10000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5">
        <v>8000</v>
      </c>
      <c r="K50" s="82">
        <f t="shared" si="0"/>
        <v>9285.7142857142862</v>
      </c>
      <c r="M50" s="5"/>
      <c r="N50" s="5"/>
    </row>
    <row r="51" spans="1:14" ht="15.75" x14ac:dyDescent="0.25">
      <c r="A51" s="101"/>
      <c r="B51" s="52" t="s">
        <v>43</v>
      </c>
      <c r="C51" s="63" t="s">
        <v>5</v>
      </c>
      <c r="D51" s="8">
        <v>9000</v>
      </c>
      <c r="E51" s="8">
        <v>10000</v>
      </c>
      <c r="F51" s="7">
        <v>9000</v>
      </c>
      <c r="G51" s="8">
        <v>10000</v>
      </c>
      <c r="H51" s="8">
        <v>6000</v>
      </c>
      <c r="I51" s="8" t="s">
        <v>97</v>
      </c>
      <c r="J51" s="55">
        <v>6000</v>
      </c>
      <c r="K51" s="82">
        <f t="shared" si="0"/>
        <v>8333.3333333333339</v>
      </c>
      <c r="M51" s="5"/>
      <c r="N51" s="5"/>
    </row>
    <row r="52" spans="1:14" ht="15.75" x14ac:dyDescent="0.25">
      <c r="A52" s="145">
        <v>13</v>
      </c>
      <c r="B52" s="50" t="s">
        <v>44</v>
      </c>
      <c r="C52" s="54"/>
      <c r="D52" s="121"/>
      <c r="E52" s="12"/>
      <c r="F52" s="123"/>
      <c r="G52" s="123"/>
      <c r="H52" s="122"/>
      <c r="I52" s="122"/>
      <c r="J52" s="85"/>
      <c r="K52" s="83"/>
      <c r="M52" s="5"/>
      <c r="N52" s="5"/>
    </row>
    <row r="53" spans="1:14" ht="15.75" x14ac:dyDescent="0.25">
      <c r="A53" s="145"/>
      <c r="B53" s="52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5">
        <v>2500</v>
      </c>
      <c r="K53" s="82">
        <f t="shared" si="0"/>
        <v>4071.4285714285716</v>
      </c>
      <c r="M53" s="5"/>
      <c r="N53" s="5"/>
    </row>
    <row r="54" spans="1:14" ht="15.75" x14ac:dyDescent="0.25">
      <c r="A54" s="145">
        <v>14</v>
      </c>
      <c r="B54" s="50" t="s">
        <v>47</v>
      </c>
      <c r="C54" s="59"/>
      <c r="D54" s="118"/>
      <c r="E54" s="12"/>
      <c r="F54" s="124"/>
      <c r="G54" s="124"/>
      <c r="H54" s="12"/>
      <c r="I54" s="12"/>
      <c r="J54" s="87"/>
      <c r="K54" s="83"/>
      <c r="M54" s="5"/>
      <c r="N54" s="5"/>
    </row>
    <row r="55" spans="1:14" ht="15.75" x14ac:dyDescent="0.25">
      <c r="A55" s="145"/>
      <c r="B55" s="64" t="s">
        <v>48</v>
      </c>
      <c r="C55" s="63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5">
        <v>10000</v>
      </c>
      <c r="K55" s="82">
        <f t="shared" si="0"/>
        <v>10500</v>
      </c>
      <c r="M55" s="5"/>
      <c r="N55" s="5"/>
    </row>
    <row r="56" spans="1:14" ht="15.75" x14ac:dyDescent="0.25">
      <c r="A56" s="145">
        <v>15</v>
      </c>
      <c r="B56" s="50" t="s">
        <v>49</v>
      </c>
      <c r="C56" s="54"/>
      <c r="D56" s="121"/>
      <c r="E56" s="12"/>
      <c r="F56" s="123"/>
      <c r="G56" s="122"/>
      <c r="H56" s="122"/>
      <c r="I56" s="122"/>
      <c r="J56" s="85"/>
      <c r="K56" s="83"/>
      <c r="M56" s="5"/>
      <c r="N56" s="5"/>
    </row>
    <row r="57" spans="1:14" ht="15.75" x14ac:dyDescent="0.25">
      <c r="A57" s="145"/>
      <c r="B57" s="52" t="s">
        <v>50</v>
      </c>
      <c r="C57" s="12" t="s">
        <v>5</v>
      </c>
      <c r="D57" s="8">
        <v>15000</v>
      </c>
      <c r="E57" s="8">
        <v>16000</v>
      </c>
      <c r="F57" s="8">
        <v>15000</v>
      </c>
      <c r="G57" s="8">
        <v>12000</v>
      </c>
      <c r="H57" s="8">
        <v>13000</v>
      </c>
      <c r="I57" s="8">
        <v>14000</v>
      </c>
      <c r="J57" s="55" t="s">
        <v>97</v>
      </c>
      <c r="K57" s="82">
        <f t="shared" si="0"/>
        <v>14166.666666666666</v>
      </c>
      <c r="M57" s="5"/>
      <c r="N57" s="5"/>
    </row>
    <row r="58" spans="1:14" ht="15.75" x14ac:dyDescent="0.25">
      <c r="A58" s="145"/>
      <c r="B58" s="52" t="s">
        <v>51</v>
      </c>
      <c r="C58" s="12" t="s">
        <v>5</v>
      </c>
      <c r="D58" s="8" t="s">
        <v>97</v>
      </c>
      <c r="E58" s="8">
        <v>14000</v>
      </c>
      <c r="F58" s="11">
        <v>13000</v>
      </c>
      <c r="G58" s="13" t="s">
        <v>97</v>
      </c>
      <c r="H58" s="65" t="s">
        <v>97</v>
      </c>
      <c r="I58" s="7" t="s">
        <v>97</v>
      </c>
      <c r="J58" s="55">
        <v>13500</v>
      </c>
      <c r="K58" s="82">
        <f t="shared" si="0"/>
        <v>13500</v>
      </c>
      <c r="M58" s="5" t="s">
        <v>99</v>
      </c>
      <c r="N58" s="5"/>
    </row>
    <row r="59" spans="1:14" ht="15.75" x14ac:dyDescent="0.25">
      <c r="A59" s="145"/>
      <c r="B59" s="52" t="s">
        <v>52</v>
      </c>
      <c r="C59" s="12" t="s">
        <v>5</v>
      </c>
      <c r="D59" s="8">
        <v>25000</v>
      </c>
      <c r="E59" s="8">
        <v>23000</v>
      </c>
      <c r="F59" s="8">
        <v>23000</v>
      </c>
      <c r="G59" s="8">
        <v>22000</v>
      </c>
      <c r="H59" s="8">
        <v>22000</v>
      </c>
      <c r="I59" s="8">
        <v>25000</v>
      </c>
      <c r="J59" s="55">
        <v>22000</v>
      </c>
      <c r="K59" s="82">
        <f t="shared" si="0"/>
        <v>23142.857142857141</v>
      </c>
      <c r="M59" s="5"/>
      <c r="N59" s="14"/>
    </row>
    <row r="60" spans="1:14" ht="15.75" x14ac:dyDescent="0.25">
      <c r="A60" s="145"/>
      <c r="B60" s="52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5">
        <v>28000</v>
      </c>
      <c r="K60" s="82">
        <f t="shared" si="0"/>
        <v>28571.428571428572</v>
      </c>
      <c r="M60" s="5"/>
      <c r="N60" s="5"/>
    </row>
    <row r="61" spans="1:14" ht="15.75" x14ac:dyDescent="0.25">
      <c r="A61" s="12">
        <v>16</v>
      </c>
      <c r="B61" s="50" t="s">
        <v>54</v>
      </c>
      <c r="C61" s="59"/>
      <c r="D61" s="73"/>
      <c r="E61" s="9"/>
      <c r="F61" s="13"/>
      <c r="G61" s="9"/>
      <c r="H61" s="9"/>
      <c r="I61" s="9"/>
      <c r="J61" s="88"/>
      <c r="K61" s="83"/>
      <c r="M61" s="5"/>
      <c r="N61" s="5"/>
    </row>
    <row r="62" spans="1:14" ht="15.75" x14ac:dyDescent="0.25">
      <c r="A62" s="12"/>
      <c r="B62" s="52" t="s">
        <v>55</v>
      </c>
      <c r="C62" s="63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5">
        <v>3500</v>
      </c>
      <c r="K62" s="82">
        <f t="shared" si="0"/>
        <v>3200</v>
      </c>
      <c r="M62" s="5"/>
      <c r="N62" s="5"/>
    </row>
    <row r="63" spans="1:14" ht="15.75" x14ac:dyDescent="0.25">
      <c r="A63" s="145">
        <v>17</v>
      </c>
      <c r="B63" s="50" t="s">
        <v>57</v>
      </c>
      <c r="C63" s="54"/>
      <c r="D63" s="121"/>
      <c r="E63" s="12"/>
      <c r="F63" s="123"/>
      <c r="G63" s="123"/>
      <c r="H63" s="122"/>
      <c r="I63" s="122"/>
      <c r="J63" s="85"/>
      <c r="K63" s="83"/>
      <c r="M63" s="5"/>
      <c r="N63" s="5"/>
    </row>
    <row r="64" spans="1:14" ht="15.75" x14ac:dyDescent="0.25">
      <c r="A64" s="145"/>
      <c r="B64" s="52" t="s">
        <v>58</v>
      </c>
      <c r="C64" s="12" t="s">
        <v>5</v>
      </c>
      <c r="D64" s="8">
        <v>25000</v>
      </c>
      <c r="E64" s="8">
        <v>25000</v>
      </c>
      <c r="F64" s="8">
        <v>30000</v>
      </c>
      <c r="G64" s="8">
        <v>26000</v>
      </c>
      <c r="H64" s="8">
        <v>30000</v>
      </c>
      <c r="I64" s="8">
        <v>25000</v>
      </c>
      <c r="J64" s="55">
        <v>35000</v>
      </c>
      <c r="K64" s="82">
        <f t="shared" si="0"/>
        <v>28000</v>
      </c>
      <c r="M64" s="5"/>
      <c r="N64" s="5"/>
    </row>
    <row r="65" spans="1:14" ht="15.75" x14ac:dyDescent="0.25">
      <c r="A65" s="145"/>
      <c r="B65" s="52" t="s">
        <v>59</v>
      </c>
      <c r="C65" s="12" t="s">
        <v>5</v>
      </c>
      <c r="D65" s="8">
        <v>25000</v>
      </c>
      <c r="E65" s="8">
        <v>25000</v>
      </c>
      <c r="F65" s="8">
        <v>25000</v>
      </c>
      <c r="G65" s="8">
        <v>25000</v>
      </c>
      <c r="H65" s="8">
        <v>30000</v>
      </c>
      <c r="I65" s="7">
        <v>20000</v>
      </c>
      <c r="J65" s="55" t="s">
        <v>97</v>
      </c>
      <c r="K65" s="82">
        <f t="shared" si="0"/>
        <v>25000</v>
      </c>
      <c r="M65" s="5"/>
      <c r="N65" s="5"/>
    </row>
    <row r="66" spans="1:14" ht="15.75" x14ac:dyDescent="0.25">
      <c r="A66" s="145"/>
      <c r="B66" s="52" t="s">
        <v>60</v>
      </c>
      <c r="C66" s="12" t="s">
        <v>5</v>
      </c>
      <c r="D66" s="8">
        <v>22000</v>
      </c>
      <c r="E66" s="8">
        <v>22000</v>
      </c>
      <c r="F66" s="8">
        <v>20000</v>
      </c>
      <c r="G66" s="8">
        <v>24000</v>
      </c>
      <c r="H66" s="8">
        <v>27000</v>
      </c>
      <c r="I66" s="8">
        <v>22000</v>
      </c>
      <c r="J66" s="55">
        <v>25000</v>
      </c>
      <c r="K66" s="82">
        <f t="shared" si="0"/>
        <v>23142.857142857141</v>
      </c>
      <c r="M66" s="5"/>
      <c r="N66" s="5"/>
    </row>
    <row r="67" spans="1:14" ht="15.75" x14ac:dyDescent="0.25">
      <c r="A67" s="12">
        <v>18</v>
      </c>
      <c r="B67" s="50" t="s">
        <v>61</v>
      </c>
      <c r="C67" s="59"/>
      <c r="D67" s="65"/>
      <c r="E67" s="9"/>
      <c r="F67" s="13"/>
      <c r="G67" s="9"/>
      <c r="H67" s="9"/>
      <c r="I67" s="9"/>
      <c r="J67" s="56"/>
      <c r="K67" s="83"/>
      <c r="M67" s="5"/>
      <c r="N67" s="5"/>
    </row>
    <row r="68" spans="1:14" ht="15.75" x14ac:dyDescent="0.25">
      <c r="A68" s="12"/>
      <c r="B68" s="52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8">
        <v>18000</v>
      </c>
      <c r="K68" s="82">
        <f t="shared" si="0"/>
        <v>18666.666666666668</v>
      </c>
      <c r="M68" s="5"/>
      <c r="N68" s="5"/>
    </row>
    <row r="69" spans="1:14" ht="15.75" x14ac:dyDescent="0.25">
      <c r="A69" s="145">
        <v>19</v>
      </c>
      <c r="B69" s="50" t="s">
        <v>64</v>
      </c>
      <c r="C69" s="50"/>
      <c r="D69" s="121"/>
      <c r="E69" s="12"/>
      <c r="F69" s="122"/>
      <c r="G69" s="122"/>
      <c r="H69" s="122"/>
      <c r="I69" s="122"/>
      <c r="J69" s="102"/>
      <c r="K69" s="83"/>
      <c r="M69" s="5"/>
      <c r="N69" s="5"/>
    </row>
    <row r="70" spans="1:14" ht="15.75" x14ac:dyDescent="0.25">
      <c r="A70" s="145"/>
      <c r="B70" s="52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34000</v>
      </c>
      <c r="H70" s="8">
        <v>34000</v>
      </c>
      <c r="I70" s="8">
        <v>35000</v>
      </c>
      <c r="J70" s="55">
        <v>38000</v>
      </c>
      <c r="K70" s="82">
        <f t="shared" si="0"/>
        <v>35000</v>
      </c>
      <c r="M70" s="5"/>
      <c r="N70" s="5"/>
    </row>
    <row r="71" spans="1:14" ht="15.75" x14ac:dyDescent="0.25">
      <c r="A71" s="145"/>
      <c r="B71" s="52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32000</v>
      </c>
      <c r="I71" s="8">
        <v>32000</v>
      </c>
      <c r="J71" s="55">
        <v>37000</v>
      </c>
      <c r="K71" s="82">
        <f t="shared" si="0"/>
        <v>33000</v>
      </c>
      <c r="M71" s="5"/>
      <c r="N71" s="5"/>
    </row>
    <row r="72" spans="1:14" ht="15.75" x14ac:dyDescent="0.25">
      <c r="A72" s="145"/>
      <c r="B72" s="52" t="s">
        <v>67</v>
      </c>
      <c r="C72" s="12" t="s">
        <v>5</v>
      </c>
      <c r="D72" s="8">
        <v>21000</v>
      </c>
      <c r="E72" s="8">
        <v>20000</v>
      </c>
      <c r="F72" s="8">
        <v>20000</v>
      </c>
      <c r="G72" s="8">
        <v>20000</v>
      </c>
      <c r="H72" s="8">
        <v>18000</v>
      </c>
      <c r="I72" s="8">
        <v>20000</v>
      </c>
      <c r="J72" s="55">
        <v>20000</v>
      </c>
      <c r="K72" s="82">
        <f t="shared" si="0"/>
        <v>19857.142857142859</v>
      </c>
      <c r="M72" s="5"/>
      <c r="N72" s="5"/>
    </row>
    <row r="73" spans="1:14" ht="15.75" x14ac:dyDescent="0.25">
      <c r="A73" s="145"/>
      <c r="B73" s="52" t="s">
        <v>68</v>
      </c>
      <c r="C73" s="12" t="s">
        <v>5</v>
      </c>
      <c r="D73" s="8">
        <v>26000</v>
      </c>
      <c r="E73" s="8">
        <v>24000</v>
      </c>
      <c r="F73" s="11">
        <v>27000</v>
      </c>
      <c r="G73" s="7">
        <v>30000</v>
      </c>
      <c r="H73" s="8">
        <v>25000</v>
      </c>
      <c r="I73" s="8">
        <v>27000</v>
      </c>
      <c r="J73" s="55">
        <v>28000</v>
      </c>
      <c r="K73" s="82">
        <f t="shared" si="0"/>
        <v>26714.285714285714</v>
      </c>
      <c r="M73" s="5"/>
      <c r="N73" s="5"/>
    </row>
    <row r="74" spans="1:14" ht="15.75" x14ac:dyDescent="0.25">
      <c r="A74" s="12">
        <v>20</v>
      </c>
      <c r="B74" s="50" t="s">
        <v>69</v>
      </c>
      <c r="C74" s="66"/>
      <c r="D74" s="65"/>
      <c r="E74" s="9"/>
      <c r="F74" s="9"/>
      <c r="G74" s="73"/>
      <c r="H74" s="9"/>
      <c r="I74" s="9"/>
      <c r="J74" s="88"/>
      <c r="K74" s="83"/>
      <c r="M74" s="5"/>
      <c r="N74" s="5"/>
    </row>
    <row r="75" spans="1:14" ht="15.75" x14ac:dyDescent="0.25">
      <c r="A75" s="12"/>
      <c r="B75" s="52" t="s">
        <v>70</v>
      </c>
      <c r="C75" s="63" t="s">
        <v>5</v>
      </c>
      <c r="D75" s="8">
        <v>5000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5">
        <v>5000</v>
      </c>
      <c r="K75" s="82">
        <f t="shared" si="0"/>
        <v>5428.5714285714284</v>
      </c>
      <c r="M75" s="5"/>
      <c r="N75" s="5"/>
    </row>
    <row r="76" spans="1:14" ht="15.75" x14ac:dyDescent="0.25">
      <c r="A76" s="12"/>
      <c r="B76" s="52" t="s">
        <v>71</v>
      </c>
      <c r="C76" s="63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8">
        <v>6000</v>
      </c>
      <c r="K76" s="82">
        <f t="shared" si="0"/>
        <v>5857.1428571428569</v>
      </c>
      <c r="M76" s="5"/>
      <c r="N76" s="5"/>
    </row>
    <row r="77" spans="1:14" ht="15.75" x14ac:dyDescent="0.25">
      <c r="A77" s="12">
        <v>21</v>
      </c>
      <c r="B77" s="50" t="s">
        <v>72</v>
      </c>
      <c r="C77" s="66"/>
      <c r="D77" s="86"/>
      <c r="E77" s="9"/>
      <c r="F77" s="9"/>
      <c r="G77" s="13"/>
      <c r="H77" s="9"/>
      <c r="I77" s="9"/>
      <c r="J77" s="56"/>
      <c r="K77" s="83"/>
      <c r="M77" s="5"/>
      <c r="N77" s="5"/>
    </row>
    <row r="78" spans="1:14" ht="15.75" x14ac:dyDescent="0.25">
      <c r="A78" s="12"/>
      <c r="B78" s="52" t="s">
        <v>73</v>
      </c>
      <c r="C78" s="63" t="s">
        <v>5</v>
      </c>
      <c r="D78" s="8">
        <v>6000</v>
      </c>
      <c r="E78" s="8">
        <v>7000</v>
      </c>
      <c r="F78" s="8">
        <v>7000</v>
      </c>
      <c r="G78" s="8">
        <v>8000</v>
      </c>
      <c r="H78" s="8">
        <v>10000</v>
      </c>
      <c r="I78" s="11">
        <v>7000</v>
      </c>
      <c r="J78" s="55">
        <v>6000</v>
      </c>
      <c r="K78" s="82">
        <f t="shared" si="0"/>
        <v>7285.7142857142853</v>
      </c>
      <c r="M78" s="5"/>
      <c r="N78" s="5"/>
    </row>
    <row r="79" spans="1:14" ht="15.75" x14ac:dyDescent="0.25">
      <c r="A79" s="12"/>
      <c r="B79" s="52" t="s">
        <v>74</v>
      </c>
      <c r="C79" s="63" t="s">
        <v>5</v>
      </c>
      <c r="D79" s="8">
        <v>12000</v>
      </c>
      <c r="E79" s="8">
        <v>12000</v>
      </c>
      <c r="F79" s="8">
        <v>13000</v>
      </c>
      <c r="G79" s="8">
        <v>12000</v>
      </c>
      <c r="H79" s="8">
        <v>10000</v>
      </c>
      <c r="I79" s="11">
        <v>12000</v>
      </c>
      <c r="J79" s="55">
        <v>14000</v>
      </c>
      <c r="K79" s="82">
        <f t="shared" si="0"/>
        <v>12142.857142857143</v>
      </c>
      <c r="M79" s="5"/>
      <c r="N79" s="5"/>
    </row>
    <row r="80" spans="1:14" ht="15.75" x14ac:dyDescent="0.25">
      <c r="A80" s="12"/>
      <c r="B80" s="52" t="s">
        <v>75</v>
      </c>
      <c r="C80" s="63" t="s">
        <v>5</v>
      </c>
      <c r="D80" s="8">
        <v>17000</v>
      </c>
      <c r="E80" s="8">
        <v>17000</v>
      </c>
      <c r="F80" s="8">
        <v>18000</v>
      </c>
      <c r="G80" s="8">
        <v>15000</v>
      </c>
      <c r="H80" s="8">
        <v>15000</v>
      </c>
      <c r="I80" s="8">
        <v>18000</v>
      </c>
      <c r="J80" s="55">
        <v>18000</v>
      </c>
      <c r="K80" s="82">
        <f t="shared" si="0"/>
        <v>16857.142857142859</v>
      </c>
      <c r="M80" s="5"/>
      <c r="N80" s="5"/>
    </row>
    <row r="81" spans="1:14" ht="15.75" x14ac:dyDescent="0.25">
      <c r="A81" s="12"/>
      <c r="B81" s="52" t="s">
        <v>76</v>
      </c>
      <c r="C81" s="63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9000</v>
      </c>
      <c r="J81" s="55">
        <v>8000</v>
      </c>
      <c r="K81" s="82">
        <f t="shared" ref="K81:K88" si="1">AVERAGE(D81:J81)</f>
        <v>7857.1428571428569</v>
      </c>
      <c r="M81" s="5"/>
      <c r="N81" s="5"/>
    </row>
    <row r="82" spans="1:14" ht="15.75" x14ac:dyDescent="0.25">
      <c r="A82" s="12"/>
      <c r="B82" s="52" t="s">
        <v>77</v>
      </c>
      <c r="C82" s="63" t="s">
        <v>5</v>
      </c>
      <c r="D82" s="8">
        <v>14000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5">
        <v>15000</v>
      </c>
      <c r="K82" s="82">
        <f t="shared" si="1"/>
        <v>12714.285714285714</v>
      </c>
      <c r="M82" s="5"/>
      <c r="N82" s="5"/>
    </row>
    <row r="83" spans="1:14" ht="15.75" x14ac:dyDescent="0.25">
      <c r="A83" s="12"/>
      <c r="B83" s="52" t="s">
        <v>78</v>
      </c>
      <c r="C83" s="63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8000</v>
      </c>
      <c r="J83" s="55">
        <v>8000</v>
      </c>
      <c r="K83" s="82">
        <f t="shared" si="1"/>
        <v>8285.7142857142862</v>
      </c>
      <c r="M83" s="5"/>
      <c r="N83" s="5"/>
    </row>
    <row r="84" spans="1:14" ht="15.75" x14ac:dyDescent="0.25">
      <c r="A84" s="12"/>
      <c r="B84" s="52" t="s">
        <v>79</v>
      </c>
      <c r="C84" s="63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8">
        <v>1500</v>
      </c>
      <c r="K84" s="82">
        <f t="shared" si="1"/>
        <v>1714.2857142857142</v>
      </c>
      <c r="M84" s="5"/>
      <c r="N84" s="5"/>
    </row>
    <row r="85" spans="1:14" ht="15.75" x14ac:dyDescent="0.25">
      <c r="A85" s="12"/>
      <c r="B85" s="52" t="s">
        <v>81</v>
      </c>
      <c r="C85" s="63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8">
        <v>1000</v>
      </c>
      <c r="K85" s="82">
        <f t="shared" si="1"/>
        <v>1500</v>
      </c>
      <c r="M85" s="5"/>
      <c r="N85" s="5"/>
    </row>
    <row r="86" spans="1:14" ht="15.75" x14ac:dyDescent="0.25">
      <c r="A86" s="12"/>
      <c r="B86" s="52" t="s">
        <v>82</v>
      </c>
      <c r="C86" s="63" t="s">
        <v>80</v>
      </c>
      <c r="D86" s="8" t="s">
        <v>97</v>
      </c>
      <c r="E86" s="8" t="s">
        <v>97</v>
      </c>
      <c r="F86" s="8" t="s">
        <v>97</v>
      </c>
      <c r="G86" s="7" t="s">
        <v>97</v>
      </c>
      <c r="H86" s="8">
        <v>2500</v>
      </c>
      <c r="I86" s="8" t="s">
        <v>97</v>
      </c>
      <c r="J86" s="58">
        <v>2000</v>
      </c>
      <c r="K86" s="82">
        <f t="shared" si="1"/>
        <v>2250</v>
      </c>
      <c r="M86" s="5"/>
      <c r="N86" s="5"/>
    </row>
    <row r="87" spans="1:14" ht="15.75" x14ac:dyDescent="0.25">
      <c r="A87" s="12">
        <v>22</v>
      </c>
      <c r="B87" s="50" t="s">
        <v>83</v>
      </c>
      <c r="C87" s="66"/>
      <c r="D87" s="13"/>
      <c r="E87" s="9"/>
      <c r="F87" s="9" t="s">
        <v>100</v>
      </c>
      <c r="G87" s="13"/>
      <c r="H87" s="9"/>
      <c r="I87" s="9"/>
      <c r="J87" s="56"/>
      <c r="K87" s="83"/>
      <c r="M87" s="5"/>
      <c r="N87" s="5"/>
    </row>
    <row r="88" spans="1:14" ht="15.75" x14ac:dyDescent="0.25">
      <c r="A88" s="12"/>
      <c r="B88" s="52" t="s">
        <v>84</v>
      </c>
      <c r="C88" s="63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8">
        <v>18000</v>
      </c>
      <c r="K88" s="82">
        <f t="shared" si="1"/>
        <v>18000</v>
      </c>
      <c r="M88" s="5"/>
      <c r="N88" s="5"/>
    </row>
    <row r="89" spans="1:14" ht="15.75" x14ac:dyDescent="0.25">
      <c r="E89" s="75"/>
      <c r="J89" s="77"/>
      <c r="M89" s="5"/>
      <c r="N89" s="5"/>
    </row>
    <row r="90" spans="1:14" ht="15.75" x14ac:dyDescent="0.25">
      <c r="B90" s="15"/>
      <c r="J90" s="77"/>
      <c r="M90" s="5"/>
      <c r="N90" s="5"/>
    </row>
    <row r="91" spans="1:14" ht="15.75" x14ac:dyDescent="0.25">
      <c r="J91" s="77"/>
      <c r="M91" s="5"/>
      <c r="N91" s="5"/>
    </row>
    <row r="92" spans="1:14" ht="15.75" x14ac:dyDescent="0.25">
      <c r="A92" s="5"/>
      <c r="B92" s="5"/>
      <c r="C92" s="5"/>
      <c r="D92" s="78"/>
      <c r="E92" s="79"/>
      <c r="F92" s="79"/>
      <c r="G92" s="79"/>
      <c r="H92" s="79"/>
      <c r="I92" s="79"/>
      <c r="J92" s="80"/>
      <c r="K92" s="79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REKAPITULASI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2023-07-03T08:11:43Z</cp:lastPrinted>
  <dcterms:created xsi:type="dcterms:W3CDTF">2022-08-09T08:09:18Z</dcterms:created>
  <dcterms:modified xsi:type="dcterms:W3CDTF">2024-01-17T08:31:04Z</dcterms:modified>
</cp:coreProperties>
</file>