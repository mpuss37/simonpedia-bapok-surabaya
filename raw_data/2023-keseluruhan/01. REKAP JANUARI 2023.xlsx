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30"/>
  <Override ContentType="application/binary" PartName="/xl/commentsmeta31"/>
  <Override ContentType="application/binary" PartName="/xl/commentsmeta32"/>
  <Override ContentType="application/binary" PartName="/xl/commentsmeta10"/>
  <Override ContentType="application/binary" PartName="/xl/commentsmeta19"/>
  <Override ContentType="application/binary" PartName="/xl/commentsmeta15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22"/>
  <Override ContentType="application/binary" PartName="/xl/commentsmeta23"/>
  <Override ContentType="application/binary" PartName="/xl/commentsmeta24"/>
  <Override ContentType="application/binary" PartName="/xl/commentsmeta25"/>
  <Override ContentType="application/binary" PartName="/xl/commentsmeta20"/>
  <Override ContentType="application/binary" PartName="/xl/commentsmeta21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26"/>
  <Override ContentType="application/binary" PartName="/xl/commentsmeta1"/>
  <Override ContentType="application/binary" PartName="/xl/commentsmeta27"/>
  <Override ContentType="application/binary" PartName="/xl/commentsmeta28"/>
  <Override ContentType="application/binary" PartName="/xl/commentsmeta29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ITULASI" sheetId="1" r:id="rId4"/>
    <sheet state="visible" name="GRAFIK" sheetId="2" r:id="rId5"/>
    <sheet state="visible" name="1" sheetId="3" r:id="rId6"/>
    <sheet state="visible" name="2" sheetId="4" r:id="rId7"/>
    <sheet state="visible" name="3" sheetId="5" r:id="rId8"/>
    <sheet state="visible" name="4" sheetId="6" r:id="rId9"/>
    <sheet state="visible" name="5" sheetId="7" r:id="rId10"/>
    <sheet state="visible" name="6" sheetId="8" r:id="rId11"/>
    <sheet state="visible" name="7" sheetId="9" r:id="rId12"/>
    <sheet state="visible" name="8" sheetId="10" r:id="rId13"/>
    <sheet state="visible" name="9" sheetId="11" r:id="rId14"/>
    <sheet state="visible" name="10" sheetId="12" r:id="rId15"/>
    <sheet state="visible" name="11" sheetId="13" r:id="rId16"/>
    <sheet state="visible" name="12" sheetId="14" r:id="rId17"/>
    <sheet state="visible" name="13" sheetId="15" r:id="rId18"/>
    <sheet state="visible" name="14" sheetId="16" r:id="rId19"/>
    <sheet state="visible" name="15" sheetId="17" r:id="rId20"/>
    <sheet state="visible" name="16" sheetId="18" r:id="rId21"/>
    <sheet state="visible" name="17" sheetId="19" r:id="rId22"/>
    <sheet state="visible" name="18" sheetId="20" r:id="rId23"/>
    <sheet state="visible" name="19" sheetId="21" r:id="rId24"/>
    <sheet state="visible" name="20" sheetId="22" r:id="rId25"/>
    <sheet state="visible" name="21" sheetId="23" r:id="rId26"/>
    <sheet state="visible" name="22" sheetId="24" r:id="rId27"/>
    <sheet state="visible" name="23" sheetId="25" r:id="rId28"/>
    <sheet state="visible" name="24" sheetId="26" r:id="rId29"/>
    <sheet state="visible" name="25" sheetId="27" r:id="rId30"/>
    <sheet state="visible" name="26" sheetId="28" r:id="rId31"/>
    <sheet state="visible" name="27" sheetId="29" r:id="rId32"/>
    <sheet state="visible" name="28" sheetId="30" r:id="rId33"/>
    <sheet state="visible" name="29" sheetId="31" r:id="rId34"/>
    <sheet state="visible" name="30" sheetId="32" r:id="rId35"/>
    <sheet state="visible" name="31" sheetId="33" r:id="rId36"/>
  </sheets>
  <definedNames/>
  <calcPr/>
  <extLst>
    <ext uri="GoogleSheetsCustomDataVersion2">
      <go:sheetsCustomData xmlns:go="http://customooxmlschemas.google.com/" r:id="rId37" roundtripDataChecksum="uY+k/Hi6JB5tGlftdBmuooB5R0HFhYrGz9tCcg8h/0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8">
      <text>
        <t xml:space="preserve">======
ID#AAABsK2hU6I
Litbang21    (2025-10-09 06:30:35)
Litbang21:</t>
      </text>
    </comment>
  </commentList>
  <extLst>
    <ext uri="GoogleSheetsCustomDataVersion2">
      <go:sheetsCustomData xmlns:go="http://customooxmlschemas.google.com/" r:id="rId1" roundtripDataSignature="AMtx7mi1qU74y+grFqNpEG2RT6BBw0YTT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10">
      <text>
        <t xml:space="preserve">======
ID#AAABsLG7BfY
Litbang21    (2025-10-09 06:30:35)
Litbang21:</t>
      </text>
    </comment>
  </commentList>
  <extLst>
    <ext uri="GoogleSheetsCustomDataVersion2">
      <go:sheetsCustomData xmlns:go="http://customooxmlschemas.google.com/" r:id="rId1" roundtripDataSignature="AMtx7mi1n+dIHpjfYsyvhtQMf64L9Se06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ID#AAABsLG7BXo
litbang 0    (2025-10-09 06:30:35)
susu Bendera</t>
      </text>
    </comment>
    <comment authorId="0" ref="B78">
      <text>
        <t xml:space="preserve">======
ID#AAABsLG7Bdc
Litbang21    (2025-10-09 06:30:35)
Litbang21:</t>
      </text>
    </comment>
    <comment authorId="0" ref="D45">
      <text>
        <t xml:space="preserve">======
ID#AAABsLG7BYA
Yayuk    (2025-10-09 06:30:35)
ukuran 500gr</t>
      </text>
    </comment>
    <comment authorId="0" ref="E45">
      <text>
        <t xml:space="preserve">======
ID#AAABsLG7Bhk
AJUDAN-FARAH    (2025-10-09 06:30:35)
ukuran 1kg</t>
      </text>
    </comment>
    <comment authorId="0" ref="F45">
      <text>
        <t xml:space="preserve">======
ID#AAABsJLa2aY
Litbang3    (2025-10-09 06:30:35)
ukuran 200 gram</t>
      </text>
    </comment>
    <comment authorId="0" ref="G45">
      <text>
        <t xml:space="preserve">======
ID#AAABsLG7Bik
Litbang3    (2025-10-09 06:30:35)
ukuran perkg</t>
      </text>
    </comment>
    <comment authorId="0" ref="H45">
      <text>
        <t xml:space="preserve">======
ID#AAABsLG7Bi8
Litbang3    (2025-10-09 06:30:35)
ukuran 200 gram</t>
      </text>
    </comment>
    <comment authorId="0" ref="J45">
      <text>
        <t xml:space="preserve">======
ID#AAABsLG7BfM
Litbang3    (2025-10-09 06:30:35)
ukuran 200 gram</t>
      </text>
    </comment>
  </commentList>
  <extLst>
    <ext uri="GoogleSheetsCustomDataVersion2">
      <go:sheetsCustomData xmlns:go="http://customooxmlschemas.google.com/" r:id="rId1" roundtripDataSignature="AMtx7mhlkwaU8RvxP7gGP2o8MbmwVX8fM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ID#AAABsLG7Bbo
litbang 0    (2025-10-09 06:30:35)
susu Bendera</t>
      </text>
    </comment>
    <comment authorId="0" ref="B78">
      <text>
        <t xml:space="preserve">======
ID#AAABsLG7BYQ
Litbang21    (2025-10-09 06:30:35)
Litbang21:</t>
      </text>
    </comment>
    <comment authorId="0" ref="D45">
      <text>
        <t xml:space="preserve">======
ID#AAABsLG7BlY
Yayuk    (2025-10-09 06:30:35)
ukuran 500gr</t>
      </text>
    </comment>
    <comment authorId="0" ref="E45">
      <text>
        <t xml:space="preserve">======
ID#AAABsLG7Bk4
AJUDAN-FARAH    (2025-10-09 06:30:35)
ukuran 1kg</t>
      </text>
    </comment>
    <comment authorId="0" ref="F45">
      <text>
        <t xml:space="preserve">======
ID#AAABsLG7BXM
Litbang3    (2025-10-09 06:30:35)
ukuran 200 gram</t>
      </text>
    </comment>
    <comment authorId="0" ref="G45">
      <text>
        <t xml:space="preserve">======
ID#AAABsLG7BhA
Litbang3    (2025-10-09 06:30:35)
ukuran perkg</t>
      </text>
    </comment>
    <comment authorId="0" ref="H45">
      <text>
        <t xml:space="preserve">======
ID#AAABsLG7BlI
Litbang3    (2025-10-09 06:30:35)
ukuran 200 gram</t>
      </text>
    </comment>
    <comment authorId="0" ref="J45">
      <text>
        <t xml:space="preserve">======
ID#AAABsLG7BkY
Litbang3    (2025-10-09 06:30:35)
ukuran 200 gram</t>
      </text>
    </comment>
  </commentList>
  <extLst>
    <ext uri="GoogleSheetsCustomDataVersion2">
      <go:sheetsCustomData xmlns:go="http://customooxmlschemas.google.com/" r:id="rId1" roundtripDataSignature="AMtx7mgk9CtZacIeL7esE7XAJog3DJe96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ID#AAABsLG7BjQ
litbang 0    (2025-10-09 06:30:35)
susu Bendera</t>
      </text>
    </comment>
    <comment authorId="0" ref="B78">
      <text>
        <t xml:space="preserve">======
ID#AAABsLG7Bkg
Litbang21    (2025-10-09 06:30:35)
Litbang21:</t>
      </text>
    </comment>
    <comment authorId="0" ref="D45">
      <text>
        <t xml:space="preserve">======
ID#AAABsLG7BjE
Yayuk    (2025-10-09 06:30:35)
ukuran 500gr</t>
      </text>
    </comment>
    <comment authorId="0" ref="E45">
      <text>
        <t xml:space="preserve">======
ID#AAABsLDZqr4
AJUDAN-FARAH    (2025-10-09 06:30:35)
ukuran 1kg</t>
      </text>
    </comment>
    <comment authorId="0" ref="F45">
      <text>
        <t xml:space="preserve">======
ID#AAABsLG7Bfg
Litbang3    (2025-10-09 06:30:35)
ukuran 200 gram</t>
      </text>
    </comment>
    <comment authorId="0" ref="G45">
      <text>
        <t xml:space="preserve">======
ID#AAABsLG7BcU
Litbang3    (2025-10-09 06:30:35)
ukuran perkg</t>
      </text>
    </comment>
    <comment authorId="0" ref="H45">
      <text>
        <t xml:space="preserve">======
ID#AAABsLG7BZ4
Litbang3    (2025-10-09 06:30:35)
ukuran 200 gram</t>
      </text>
    </comment>
    <comment authorId="0" ref="J45">
      <text>
        <t xml:space="preserve">======
ID#AAABsJLa2aM
Litbang3    (2025-10-09 06:30:35)
ukuran 200 gram</t>
      </text>
    </comment>
  </commentList>
  <extLst>
    <ext uri="GoogleSheetsCustomDataVersion2">
      <go:sheetsCustomData xmlns:go="http://customooxmlschemas.google.com/" r:id="rId1" roundtripDataSignature="AMtx7mhdmnwi7t/obg8DQZQZgfkQmm/2j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ID#AAABsLG7BYo
litbang 0    (2025-10-09 06:30:35)
susu Bendera</t>
      </text>
    </comment>
    <comment authorId="0" ref="B78">
      <text>
        <t xml:space="preserve">======
ID#AAABsLG7BlE
Litbang21    (2025-10-09 06:30:35)
Litbang21:</t>
      </text>
    </comment>
    <comment authorId="0" ref="D45">
      <text>
        <t xml:space="preserve">======
ID#AAABsLG7Bg4
Yayuk    (2025-10-09 06:30:35)
ukuran 500gr</t>
      </text>
    </comment>
    <comment authorId="0" ref="E45">
      <text>
        <t xml:space="preserve">======
ID#AAABsLG7BcY
AJUDAN-FARAH    (2025-10-09 06:30:35)
ukuran 1kg</t>
      </text>
    </comment>
    <comment authorId="0" ref="F45">
      <text>
        <t xml:space="preserve">======
ID#AAABsLDZqsE
Litbang3    (2025-10-09 06:30:35)
ukuran 200 gram</t>
      </text>
    </comment>
    <comment authorId="0" ref="G45">
      <text>
        <t xml:space="preserve">======
ID#AAABsLG7Bkk
Litbang3    (2025-10-09 06:30:35)
ukuran perkg</t>
      </text>
    </comment>
    <comment authorId="0" ref="H45">
      <text>
        <t xml:space="preserve">======
ID#AAABsLG7Bbc
Litbang3    (2025-10-09 06:30:35)
ukuran 200 gram</t>
      </text>
    </comment>
    <comment authorId="0" ref="J45">
      <text>
        <t xml:space="preserve">======
ID#AAABsLG7BXc
Litbang3    (2025-10-09 06:30:35)
ukuran 200 gram</t>
      </text>
    </comment>
  </commentList>
  <extLst>
    <ext uri="GoogleSheetsCustomDataVersion2">
      <go:sheetsCustomData xmlns:go="http://customooxmlschemas.google.com/" r:id="rId1" roundtripDataSignature="AMtx7mhCNWOSxiDB/YgRNcYbEeTJID8Pr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ID#AAABsLG7Bj4
litbang 0    (2025-10-09 06:30:35)
susu Bendera</t>
      </text>
    </comment>
    <comment authorId="0" ref="B78">
      <text>
        <t xml:space="preserve">======
ID#AAABsLG7BZA
Litbang21    (2025-10-09 06:30:35)
Litbang21:</t>
      </text>
    </comment>
    <comment authorId="0" ref="D45">
      <text>
        <t xml:space="preserve">======
ID#AAABsLG7Bgs
Yayuk    (2025-10-09 06:30:35)
ukuran 500gr</t>
      </text>
    </comment>
    <comment authorId="0" ref="E45">
      <text>
        <t xml:space="preserve">======
ID#AAABsK2hU58
AJUDAN-FARAH    (2025-10-09 06:30:35)
ukuran 1kg</t>
      </text>
    </comment>
    <comment authorId="0" ref="F45">
      <text>
        <t xml:space="preserve">======
ID#AAABsLG7Beo
Litbang3    (2025-10-09 06:30:35)
ukuran 200 gram</t>
      </text>
    </comment>
    <comment authorId="0" ref="G45">
      <text>
        <t xml:space="preserve">======
ID#AAABsLG7BYI
Litbang3    (2025-10-09 06:30:35)
ukuran perkg</t>
      </text>
    </comment>
    <comment authorId="0" ref="H45">
      <text>
        <t xml:space="preserve">======
ID#AAABsLG7Bfw
Litbang3    (2025-10-09 06:30:35)
ukuran 200 gram</t>
      </text>
    </comment>
    <comment authorId="0" ref="J45">
      <text>
        <t xml:space="preserve">======
ID#AAABsLG7Bh4
Litbang3    (2025-10-09 06:30:35)
ukuran 200 gram</t>
      </text>
    </comment>
  </commentList>
  <extLst>
    <ext uri="GoogleSheetsCustomDataVersion2">
      <go:sheetsCustomData xmlns:go="http://customooxmlschemas.google.com/" r:id="rId1" roundtripDataSignature="AMtx7mhBaB3jG2nZ+l16FmFmre9Mum8qn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ID#AAABsLG7BbU
litbang 0    (2025-10-09 06:30:35)
susu Bendera</t>
      </text>
    </comment>
    <comment authorId="0" ref="B78">
      <text>
        <t xml:space="preserve">======
ID#AAABsLG7BhU
Litbang21    (2025-10-09 06:30:35)
Litbang21:</t>
      </text>
    </comment>
    <comment authorId="0" ref="D45">
      <text>
        <t xml:space="preserve">======
ID#AAABsLG7Bfo
Yayuk    (2025-10-09 06:30:35)
ukuran 500gr</t>
      </text>
    </comment>
    <comment authorId="0" ref="E45">
      <text>
        <t xml:space="preserve">======
ID#AAABsLG7BfA
AJUDAN-FARAH    (2025-10-09 06:30:35)
ukuran 1kg</t>
      </text>
    </comment>
    <comment authorId="0" ref="F45">
      <text>
        <t xml:space="preserve">======
ID#AAABsLG7BhY
Litbang3    (2025-10-09 06:30:35)
ukuran 200 gram</t>
      </text>
    </comment>
    <comment authorId="0" ref="G45">
      <text>
        <t xml:space="preserve">======
ID#AAABsLG7BiA
Litbang3    (2025-10-09 06:30:35)
ukuran perkg</t>
      </text>
    </comment>
    <comment authorId="0" ref="H45">
      <text>
        <t xml:space="preserve">======
ID#AAABsLG7BgU
Litbang3    (2025-10-09 06:30:35)
ukuran 200 gram</t>
      </text>
    </comment>
    <comment authorId="0" ref="J45">
      <text>
        <t xml:space="preserve">======
ID#AAABsLG7BXY
Litbang3    (2025-10-09 06:30:35)
ukuran 200 gram</t>
      </text>
    </comment>
  </commentList>
  <extLst>
    <ext uri="GoogleSheetsCustomDataVersion2">
      <go:sheetsCustomData xmlns:go="http://customooxmlschemas.google.com/" r:id="rId1" roundtripDataSignature="AMtx7mg6lkQK8GPi9Br9s115SdIkrPa+I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ID#AAABsLG7BYc
litbang 0    (2025-10-09 06:30:35)
susu Bendera</t>
      </text>
    </comment>
    <comment authorId="0" ref="B78">
      <text>
        <t xml:space="preserve">======
ID#AAABsLG7BhM
Litbang21    (2025-10-09 06:30:35)
Litbang21:</t>
      </text>
    </comment>
    <comment authorId="0" ref="D45">
      <text>
        <t xml:space="preserve">======
ID#AAABsLG7Bg8
Yayuk    (2025-10-09 06:30:35)
ukuran 500gr</t>
      </text>
    </comment>
    <comment authorId="0" ref="E45">
      <text>
        <t xml:space="preserve">======
ID#AAABsLG7BaE
AJUDAN-FARAH    (2025-10-09 06:30:35)
ukuran 1kg</t>
      </text>
    </comment>
    <comment authorId="0" ref="F45">
      <text>
        <t xml:space="preserve">======
ID#AAABsLG7BiU
Litbang3    (2025-10-09 06:30:35)
ukuran 200 gram</t>
      </text>
    </comment>
    <comment authorId="0" ref="G45">
      <text>
        <t xml:space="preserve">======
ID#AAABsLG7BkU
Litbang3    (2025-10-09 06:30:35)
ukuran perkg</t>
      </text>
    </comment>
    <comment authorId="0" ref="H45">
      <text>
        <t xml:space="preserve">======
ID#AAABsLG7BZQ
Litbang3    (2025-10-09 06:30:35)
ukuran 200 gram</t>
      </text>
    </comment>
    <comment authorId="0" ref="J45">
      <text>
        <t xml:space="preserve">======
ID#AAABsLG7Bk8
Litbang3    (2025-10-09 06:30:35)
ukuran 200 gram</t>
      </text>
    </comment>
  </commentList>
  <extLst>
    <ext uri="GoogleSheetsCustomDataVersion2">
      <go:sheetsCustomData xmlns:go="http://customooxmlschemas.google.com/" r:id="rId1" roundtripDataSignature="AMtx7mgvjC6EZ3nKabgdeDwOVb95dOcBs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ID#AAABsLG7BdM
litbang 0    (2025-10-09 06:30:35)
susu Bendera</t>
      </text>
    </comment>
    <comment authorId="0" ref="B78">
      <text>
        <t xml:space="preserve">======
ID#AAABsLG7BaI
Litbang21    (2025-10-09 06:30:35)
Litbang21:</t>
      </text>
    </comment>
    <comment authorId="0" ref="D45">
      <text>
        <t xml:space="preserve">======
ID#AAABsLG7BeI
Yayuk    (2025-10-09 06:30:35)
ukuran 500gr</t>
      </text>
    </comment>
    <comment authorId="0" ref="E45">
      <text>
        <t xml:space="preserve">======
ID#AAABsLG7Bcc
AJUDAN-FARAH    (2025-10-09 06:30:35)
ukuran 1kg</t>
      </text>
    </comment>
    <comment authorId="0" ref="F45">
      <text>
        <t xml:space="preserve">======
ID#AAABsLG7BiI
Litbang3    (2025-10-09 06:30:35)
ukuran 200 gram</t>
      </text>
    </comment>
    <comment authorId="0" ref="G45">
      <text>
        <t xml:space="preserve">======
ID#AAABsLG7Bfs
Litbang3    (2025-10-09 06:30:35)
ukuran perkg</t>
      </text>
    </comment>
    <comment authorId="0" ref="H45">
      <text>
        <t xml:space="preserve">======
ID#AAABsLG7Bd4
Litbang3    (2025-10-09 06:30:35)
ukuran 200 gram</t>
      </text>
    </comment>
    <comment authorId="0" ref="J45">
      <text>
        <t xml:space="preserve">======
ID#AAABsLG7BXk
Litbang3    (2025-10-09 06:30:35)
ukuran 200 gram</t>
      </text>
    </comment>
  </commentList>
  <extLst>
    <ext uri="GoogleSheetsCustomDataVersion2">
      <go:sheetsCustomData xmlns:go="http://customooxmlschemas.google.com/" r:id="rId1" roundtripDataSignature="AMtx7miBNUHbuCjpR8FAltyVeNJebhRziA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ID#AAABsLG7BhE
litbang 0    (2025-10-09 06:30:35)
susu Bendera</t>
      </text>
    </comment>
    <comment authorId="0" ref="B78">
      <text>
        <t xml:space="preserve">======
ID#AAABsLG7Be0
Litbang21    (2025-10-09 06:30:35)
Litbang21:</t>
      </text>
    </comment>
    <comment authorId="0" ref="D45">
      <text>
        <t xml:space="preserve">======
ID#AAABsLG7BeA
Yayuk    (2025-10-09 06:30:35)
ukuran 500gr</t>
      </text>
    </comment>
    <comment authorId="0" ref="E45">
      <text>
        <t xml:space="preserve">======
ID#AAABsLG7Bjo
AJUDAN-FARAH    (2025-10-09 06:30:35)
ukuran 1kg</t>
      </text>
    </comment>
    <comment authorId="0" ref="F45">
      <text>
        <t xml:space="preserve">======
ID#AAABsLG7BXI
Litbang3    (2025-10-09 06:30:35)
ukuran 200 gram</t>
      </text>
    </comment>
    <comment authorId="0" ref="G45">
      <text>
        <t xml:space="preserve">======
ID#AAABsLG7BlQ
Litbang3    (2025-10-09 06:30:35)
ukuran perkg</t>
      </text>
    </comment>
    <comment authorId="0" ref="H45">
      <text>
        <t xml:space="preserve">======
ID#AAABsLG7BcI
Litbang3    (2025-10-09 06:30:35)
ukuran 200 gram</t>
      </text>
    </comment>
    <comment authorId="0" ref="J45">
      <text>
        <t xml:space="preserve">======
ID#AAABsLG7Bec
Litbang3    (2025-10-09 06:30:35)
ukuran 200 gram</t>
      </text>
    </comment>
  </commentList>
  <extLst>
    <ext uri="GoogleSheetsCustomDataVersion2">
      <go:sheetsCustomData xmlns:go="http://customooxmlschemas.google.com/" r:id="rId1" roundtripDataSignature="AMtx7mhDqAqSGQNe6RrmcXNBohEY3XRgo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ID#AAABsLG7BkQ
litbang 0    (2025-10-09 06:30:35)
susu Bendera</t>
      </text>
    </comment>
    <comment authorId="0" ref="B78">
      <text>
        <t xml:space="preserve">======
ID#AAABsLG7BgA
Litbang21    (2025-10-09 06:30:35)
Litbang21:</t>
      </text>
    </comment>
    <comment authorId="0" ref="D45">
      <text>
        <t xml:space="preserve">======
ID#AAABsLG7BcA
Yayuk    (2025-10-09 06:30:35)
ukuran 500gr</t>
      </text>
    </comment>
    <comment authorId="0" ref="E45">
      <text>
        <t xml:space="preserve">======
ID#AAABsLG7BcE
AJUDAN-FARAH    (2025-10-09 06:30:35)
ukuran 1kg</t>
      </text>
    </comment>
    <comment authorId="0" ref="F45">
      <text>
        <t xml:space="preserve">======
ID#AAABsLG7BbE
Litbang3    (2025-10-09 06:30:35)
ukuran 200 gram</t>
      </text>
    </comment>
    <comment authorId="0" ref="G45">
      <text>
        <t xml:space="preserve">======
ID#AAABsLG7BfE
Litbang3    (2025-10-09 06:30:35)
ukuran perkg</t>
      </text>
    </comment>
    <comment authorId="0" ref="H45">
      <text>
        <t xml:space="preserve">======
ID#AAABsLG7BY4
Litbang3    (2025-10-09 06:30:35)
ukuran 200 gram</t>
      </text>
    </comment>
    <comment authorId="0" ref="J45">
      <text>
        <t xml:space="preserve">======
ID#AAABsLG7Bdg
Litbang3    (2025-10-09 06:30:35)
ukuran 200 gram</t>
      </text>
    </comment>
  </commentList>
  <extLst>
    <ext uri="GoogleSheetsCustomDataVersion2">
      <go:sheetsCustomData xmlns:go="http://customooxmlschemas.google.com/" r:id="rId1" roundtripDataSignature="AMtx7miKZqtB3e0G/UEfaYftocTvnD84R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ID#AAABsLG7Bb4
litbang 0    (2025-10-09 06:30:35)
susu Bendera</t>
      </text>
    </comment>
    <comment authorId="0" ref="B78">
      <text>
        <t xml:space="preserve">======
ID#AAABsLG7Bko
Litbang21    (2025-10-09 06:30:35)
Litbang21:</t>
      </text>
    </comment>
    <comment authorId="0" ref="D45">
      <text>
        <t xml:space="preserve">======
ID#AAABsLDZqr0
Yayuk    (2025-10-09 06:30:35)
ukuran 500gr</t>
      </text>
    </comment>
    <comment authorId="0" ref="E45">
      <text>
        <t xml:space="preserve">======
ID#AAABsLG7BX8
AJUDAN-FARAH    (2025-10-09 06:30:35)
ukuran 1kg</t>
      </text>
    </comment>
    <comment authorId="0" ref="F45">
      <text>
        <t xml:space="preserve">======
ID#AAABsLG7Bbg
Litbang3    (2025-10-09 06:30:35)
ukuran 200 gram</t>
      </text>
    </comment>
    <comment authorId="0" ref="G45">
      <text>
        <t xml:space="preserve">======
ID#AAABsLG7Ba4
Litbang3    (2025-10-09 06:30:35)
ukuran perkg</t>
      </text>
    </comment>
    <comment authorId="0" ref="H45">
      <text>
        <t xml:space="preserve">======
ID#AAABsLG7Bjs
Litbang3    (2025-10-09 06:30:35)
ukuran 200 gram</t>
      </text>
    </comment>
    <comment authorId="0" ref="J45">
      <text>
        <t xml:space="preserve">======
ID#AAABsLG7BiM
Litbang3    (2025-10-09 06:30:35)
ukuran 200 gram</t>
      </text>
    </comment>
  </commentList>
  <extLst>
    <ext uri="GoogleSheetsCustomDataVersion2">
      <go:sheetsCustomData xmlns:go="http://customooxmlschemas.google.com/" r:id="rId1" roundtripDataSignature="AMtx7mhzg43pmFC6xPM1iK3JvyUG9LQVaQ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ID#AAABsLG7Blo
litbang 0    (2025-10-09 06:30:35)
susu Bendera</t>
      </text>
    </comment>
    <comment authorId="0" ref="B78">
      <text>
        <t xml:space="preserve">======
ID#AAABsLG7BZs
Litbang21    (2025-10-09 06:30:35)
Litbang21:</t>
      </text>
    </comment>
    <comment authorId="0" ref="D45">
      <text>
        <t xml:space="preserve">======
ID#AAABsLG7Bdw
Yayuk    (2025-10-09 06:30:35)
ukuran 500gr</t>
      </text>
    </comment>
    <comment authorId="0" ref="E45">
      <text>
        <t xml:space="preserve">======
ID#AAABsLG7Bb0
AJUDAN-FARAH    (2025-10-09 06:30:35)
ukuran 1kg</t>
      </text>
    </comment>
    <comment authorId="0" ref="F45">
      <text>
        <t xml:space="preserve">======
ID#AAABsLG7BaM
Litbang3    (2025-10-09 06:30:35)
ukuran 200 gram</t>
      </text>
    </comment>
    <comment authorId="0" ref="G45">
      <text>
        <t xml:space="preserve">======
ID#AAABsLG7BdU
Litbang3    (2025-10-09 06:30:35)
ukuran perkg</t>
      </text>
    </comment>
    <comment authorId="0" ref="H45">
      <text>
        <t xml:space="preserve">======
ID#AAABsLG7Bc4
Litbang3    (2025-10-09 06:30:35)
ukuran 200 gram</t>
      </text>
    </comment>
    <comment authorId="0" ref="J45">
      <text>
        <t xml:space="preserve">======
ID#AAABsLG7BY0
Litbang3    (2025-10-09 06:30:35)
ukuran 200 gram</t>
      </text>
    </comment>
  </commentList>
  <extLst>
    <ext uri="GoogleSheetsCustomDataVersion2">
      <go:sheetsCustomData xmlns:go="http://customooxmlschemas.google.com/" r:id="rId1" roundtripDataSignature="AMtx7mjbkh0MiPmvNGF9gljwnm3LXNIUG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ID#AAABsLG7BZc
litbang 0    (2025-10-09 06:30:35)
susu Bendera</t>
      </text>
    </comment>
    <comment authorId="0" ref="B78">
      <text>
        <t xml:space="preserve">======
ID#AAABsLG7Bf4
Litbang21    (2025-10-09 06:30:35)
Litbang21:</t>
      </text>
    </comment>
    <comment authorId="0" ref="D45">
      <text>
        <t xml:space="preserve">======
ID#AAABsLG7Bas
Yayuk    (2025-10-09 06:30:35)
ukuran 500gr</t>
      </text>
    </comment>
    <comment authorId="0" ref="E45">
      <text>
        <t xml:space="preserve">======
ID#AAABsLG7BXQ
AJUDAN-FARAH    (2025-10-09 06:30:35)
ukuran 1kg</t>
      </text>
    </comment>
    <comment authorId="0" ref="F45">
      <text>
        <t xml:space="preserve">======
ID#AAABsLG7BZI
Litbang3    (2025-10-09 06:30:35)
ukuran 200 gram</t>
      </text>
    </comment>
    <comment authorId="0" ref="G45">
      <text>
        <t xml:space="preserve">======
ID#AAABsLG7BZU
Litbang3    (2025-10-09 06:30:35)
ukuran perkg</t>
      </text>
    </comment>
    <comment authorId="0" ref="H45">
      <text>
        <t xml:space="preserve">======
ID#AAABsLG7Bcs
Litbang3    (2025-10-09 06:30:35)
ukuran 200 gram</t>
      </text>
    </comment>
    <comment authorId="0" ref="J45">
      <text>
        <t xml:space="preserve">======
ID#AAABsLG7BfU
Litbang3    (2025-10-09 06:30:35)
ukuran 200 gram</t>
      </text>
    </comment>
  </commentList>
  <extLst>
    <ext uri="GoogleSheetsCustomDataVersion2">
      <go:sheetsCustomData xmlns:go="http://customooxmlschemas.google.com/" r:id="rId1" roundtripDataSignature="AMtx7mhA9rQEesP9tznkqffOUYBl/0EFOw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ID#AAABsLG7Bj0
litbang 0    (2025-10-09 06:30:35)
susu Bendera</t>
      </text>
    </comment>
    <comment authorId="0" ref="B78">
      <text>
        <t xml:space="preserve">======
ID#AAABsLG7Bks
Litbang21    (2025-10-09 06:30:35)
Litbang21:</t>
      </text>
    </comment>
    <comment authorId="0" ref="D45">
      <text>
        <t xml:space="preserve">======
ID#AAABsLG7Bfk
Yayuk    (2025-10-09 06:30:35)
ukuran 500gr</t>
      </text>
    </comment>
    <comment authorId="0" ref="E45">
      <text>
        <t xml:space="preserve">======
ID#AAABsLG7Bj8
AJUDAN-FARAH    (2025-10-09 06:30:35)
ukuran 1kg</t>
      </text>
    </comment>
    <comment authorId="0" ref="F45">
      <text>
        <t xml:space="preserve">======
ID#AAABsLG7BfQ
Litbang3    (2025-10-09 06:30:35)
ukuran 200 gram</t>
      </text>
    </comment>
    <comment authorId="0" ref="G45">
      <text>
        <t xml:space="preserve">======
ID#AAABsLG7BXA
Litbang3    (2025-10-09 06:30:35)
ukuran perkg</t>
      </text>
    </comment>
    <comment authorId="0" ref="H45">
      <text>
        <t xml:space="preserve">======
ID#AAABsLG7Bcg
Litbang3    (2025-10-09 06:30:35)
ukuran 200 gram</t>
      </text>
    </comment>
    <comment authorId="0" ref="J45">
      <text>
        <t xml:space="preserve">======
ID#AAABsLG7BZM
Litbang3    (2025-10-09 06:30:35)
ukuran 200 gram</t>
      </text>
    </comment>
  </commentList>
  <extLst>
    <ext uri="GoogleSheetsCustomDataVersion2">
      <go:sheetsCustomData xmlns:go="http://customooxmlschemas.google.com/" r:id="rId1" roundtripDataSignature="AMtx7miUCfUOiDFiR1XmHBCmSEJrRX+qsw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ID#AAABsLG7Blk
litbang 0    (2025-10-09 06:30:35)
susu Bendera</t>
      </text>
    </comment>
    <comment authorId="0" ref="B78">
      <text>
        <t xml:space="preserve">======
ID#AAABsLG7Bek
Litbang21    (2025-10-09 06:30:35)
Litbang21:</t>
      </text>
    </comment>
    <comment authorId="0" ref="D45">
      <text>
        <t xml:space="preserve">======
ID#AAABsLG7Bbs
Yayuk    (2025-10-09 06:30:35)
ukuran 500gr</t>
      </text>
    </comment>
    <comment authorId="0" ref="E45">
      <text>
        <t xml:space="preserve">======
ID#AAABsLG7Bhc
AJUDAN-FARAH    (2025-10-09 06:30:35)
ukuran 1kg</t>
      </text>
    </comment>
    <comment authorId="0" ref="F45">
      <text>
        <t xml:space="preserve">======
ID#AAABsJLa2aI
Litbang3    (2025-10-09 06:30:35)
ukuran 200 gram</t>
      </text>
    </comment>
    <comment authorId="0" ref="G45">
      <text>
        <t xml:space="preserve">======
ID#AAABsLG7BiE
Litbang3    (2025-10-09 06:30:35)
ukuran perkg</t>
      </text>
    </comment>
    <comment authorId="0" ref="H45">
      <text>
        <t xml:space="preserve">======
ID#AAABsLG7BYw
Litbang3    (2025-10-09 06:30:35)
ukuran 200 gram</t>
      </text>
    </comment>
    <comment authorId="0" ref="J45">
      <text>
        <t xml:space="preserve">======
ID#AAABsLG7BZE
Litbang3    (2025-10-09 06:30:35)
ukuran 200 gram</t>
      </text>
    </comment>
  </commentList>
  <extLst>
    <ext uri="GoogleSheetsCustomDataVersion2">
      <go:sheetsCustomData xmlns:go="http://customooxmlschemas.google.com/" r:id="rId1" roundtripDataSignature="AMtx7mi/sAxGNFduFbQdwrTxhwfGk4OpyA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ID#AAABsLG7BiQ
litbang 0    (2025-10-09 06:30:35)
susu Bendera</t>
      </text>
    </comment>
    <comment authorId="0" ref="B78">
      <text>
        <t xml:space="preserve">======
ID#AAABsLG7BYk
Litbang21    (2025-10-09 06:30:35)
Litbang21:</t>
      </text>
    </comment>
    <comment authorId="0" ref="D45">
      <text>
        <t xml:space="preserve">======
ID#AAABsLG7BYU
Yayuk    (2025-10-09 06:30:35)
ukuran 500gr</t>
      </text>
    </comment>
    <comment authorId="0" ref="E45">
      <text>
        <t xml:space="preserve">======
ID#AAABsLG7BXU
AJUDAN-FARAH    (2025-10-09 06:30:35)
ukuran 1kg</t>
      </text>
    </comment>
    <comment authorId="0" ref="F45">
      <text>
        <t xml:space="preserve">======
ID#AAABsLG7BjY
Litbang3    (2025-10-09 06:30:35)
ukuran 200 gram</t>
      </text>
    </comment>
    <comment authorId="0" ref="G45">
      <text>
        <t xml:space="preserve">======
ID#AAABsLG7BfI
Litbang3    (2025-10-09 06:30:35)
ukuran perkg</t>
      </text>
    </comment>
    <comment authorId="0" ref="H45">
      <text>
        <t xml:space="preserve">======
ID#AAABsLG7Bf8
Litbang3    (2025-10-09 06:30:35)
ukuran 200 gram</t>
      </text>
    </comment>
    <comment authorId="0" ref="J45">
      <text>
        <t xml:space="preserve">======
ID#AAABsLG7Bd8
Litbang3    (2025-10-09 06:30:35)
ukuran 200 gram</t>
      </text>
    </comment>
  </commentList>
  <extLst>
    <ext uri="GoogleSheetsCustomDataVersion2">
      <go:sheetsCustomData xmlns:go="http://customooxmlschemas.google.com/" r:id="rId1" roundtripDataSignature="AMtx7mgyqYEXg5xTaJ82fBs1xI3QIa7MUg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ID#AAABsLG7BY8
litbang 0    (2025-10-09 06:30:35)
susu Bendera</t>
      </text>
    </comment>
    <comment authorId="0" ref="B78">
      <text>
        <t xml:space="preserve">======
ID#AAABsLG7Bic
Litbang21    (2025-10-09 06:30:35)
Litbang21:</t>
      </text>
    </comment>
    <comment authorId="0" ref="D45">
      <text>
        <t xml:space="preserve">======
ID#AAABsLG7Ba8
Yayuk    (2025-10-09 06:30:35)
ukuran 500gr</t>
      </text>
    </comment>
    <comment authorId="0" ref="E45">
      <text>
        <t xml:space="preserve">======
ID#AAABsLG7BjI
AJUDAN-FARAH    (2025-10-09 06:30:35)
ukuran 1kg</t>
      </text>
    </comment>
    <comment authorId="0" ref="F45">
      <text>
        <t xml:space="preserve">======
ID#AAABsLG7BgE
Litbang3    (2025-10-09 06:30:35)
ukuran 200 gram</t>
      </text>
    </comment>
    <comment authorId="0" ref="G45">
      <text>
        <t xml:space="preserve">======
ID#AAABsLG7BeU
Litbang3    (2025-10-09 06:30:35)
ukuran perkg</t>
      </text>
    </comment>
    <comment authorId="0" ref="H45">
      <text>
        <t xml:space="preserve">======
ID#AAABsLG7BeM
Litbang3    (2025-10-09 06:30:35)
ukuran 200 gram</t>
      </text>
    </comment>
    <comment authorId="0" ref="J45">
      <text>
        <t xml:space="preserve">======
ID#AAABsLG7Bd0
Litbang3    (2025-10-09 06:30:35)
ukuran 200 gram</t>
      </text>
    </comment>
  </commentList>
  <extLst>
    <ext uri="GoogleSheetsCustomDataVersion2">
      <go:sheetsCustomData xmlns:go="http://customooxmlschemas.google.com/" r:id="rId1" roundtripDataSignature="AMtx7mgqmucSqJSTPl01in8GddPDnEGULA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ID#AAABsLG7Bcw
litbang 0    (2025-10-09 06:30:35)
susu Bendera</t>
      </text>
    </comment>
    <comment authorId="0" ref="B78">
      <text>
        <t xml:space="preserve">======
ID#AAABsLG7BcQ
Litbang21    (2025-10-09 06:30:35)
Litbang21:</t>
      </text>
    </comment>
    <comment authorId="0" ref="D45">
      <text>
        <t xml:space="preserve">======
ID#AAABsLG7Bi0
Yayuk    (2025-10-09 06:30:35)
ukuran 500gr</t>
      </text>
    </comment>
    <comment authorId="0" ref="E45">
      <text>
        <t xml:space="preserve">======
ID#AAABsLG7BeE
AJUDAN-FARAH    (2025-10-09 06:30:35)
ukuran 1kg</t>
      </text>
    </comment>
    <comment authorId="0" ref="F45">
      <text>
        <t xml:space="preserve">======
ID#AAABsLG7BjM
Litbang3    (2025-10-09 06:30:35)
ukuran 200 gram</t>
      </text>
    </comment>
    <comment authorId="0" ref="G45">
      <text>
        <t xml:space="preserve">======
ID#AAABsLG7BgQ
Litbang3    (2025-10-09 06:30:35)
ukuran perkg</t>
      </text>
    </comment>
    <comment authorId="0" ref="H45">
      <text>
        <t xml:space="preserve">======
ID#AAABsLG7Bdk
Litbang3    (2025-10-09 06:30:35)
ukuran 200 gram</t>
      </text>
    </comment>
    <comment authorId="0" ref="J45">
      <text>
        <t xml:space="preserve">======
ID#AAABsLG7Bes
Litbang3    (2025-10-09 06:30:35)
ukuran 200 gram</t>
      </text>
    </comment>
  </commentList>
  <extLst>
    <ext uri="GoogleSheetsCustomDataVersion2">
      <go:sheetsCustomData xmlns:go="http://customooxmlschemas.google.com/" r:id="rId1" roundtripDataSignature="AMtx7mhxJ0qEnhNw5RD34Ao4vSL+/FKVMQ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ID#AAABsLG7BZo
litbang 0    (2025-10-09 06:30:35)
susu Bendera</t>
      </text>
    </comment>
    <comment authorId="0" ref="B78">
      <text>
        <t xml:space="preserve">======
ID#AAABsLG7BYY
Litbang21    (2025-10-09 06:30:35)
Litbang21:</t>
      </text>
    </comment>
    <comment authorId="0" ref="D45">
      <text>
        <t xml:space="preserve">======
ID#AAABsLG7Bkc
Yayuk    (2025-10-09 06:30:35)
ukuran 500gr</t>
      </text>
    </comment>
    <comment authorId="0" ref="E45">
      <text>
        <t xml:space="preserve">======
ID#AAABsJLa2aU
AJUDAN-FARAH    (2025-10-09 06:30:35)
ukuran 1kg</t>
      </text>
    </comment>
    <comment authorId="0" ref="F45">
      <text>
        <t xml:space="preserve">======
ID#AAABsLG7Bds
Litbang3    (2025-10-09 06:30:35)
ukuran 200 gram</t>
      </text>
    </comment>
    <comment authorId="0" ref="G45">
      <text>
        <t xml:space="preserve">======
ID#AAABsLG7BZ8
Litbang3    (2025-10-09 06:30:35)
ukuran perkg</t>
      </text>
    </comment>
    <comment authorId="0" ref="H45">
      <text>
        <t xml:space="preserve">======
ID#AAABsLG7Bh8
Litbang3    (2025-10-09 06:30:35)
ukuran 200 gram</t>
      </text>
    </comment>
    <comment authorId="0" ref="J45">
      <text>
        <t xml:space="preserve">======
ID#AAABsLG7BcM
Litbang3    (2025-10-09 06:30:35)
ukuran 200 gram</t>
      </text>
    </comment>
  </commentList>
  <extLst>
    <ext uri="GoogleSheetsCustomDataVersion2">
      <go:sheetsCustomData xmlns:go="http://customooxmlschemas.google.com/" r:id="rId1" roundtripDataSignature="AMtx7mikHmZX6gv3cSIMadVrrTPSqnRLCA=="/>
    </ext>
  </extL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ID#AAABsLG7Bjg
litbang 0    (2025-10-09 06:30:35)
susu Bendera</t>
      </text>
    </comment>
    <comment authorId="0" ref="B78">
      <text>
        <t xml:space="preserve">======
ID#AAABsLG7BXE
Litbang21    (2025-10-09 06:30:35)
Litbang21:</t>
      </text>
    </comment>
    <comment authorId="0" ref="D45">
      <text>
        <t xml:space="preserve">======
ID#AAABsLG7BjU
Yayuk    (2025-10-09 06:30:35)
ukuran 500gr</t>
      </text>
    </comment>
    <comment authorId="0" ref="E45">
      <text>
        <t xml:space="preserve">======
ID#AAABsLG7Bgk
AJUDAN-FARAH    (2025-10-09 06:30:35)
ukuran 1kg</t>
      </text>
    </comment>
    <comment authorId="0" ref="F45">
      <text>
        <t xml:space="preserve">======
ID#AAABsLG7BZ0
Litbang3    (2025-10-09 06:30:35)
ukuran 200 gram</t>
      </text>
    </comment>
    <comment authorId="0" ref="G45">
      <text>
        <t xml:space="preserve">======
ID#AAABsLG7BjA
Litbang3    (2025-10-09 06:30:35)
ukuran perkg</t>
      </text>
    </comment>
    <comment authorId="0" ref="H45">
      <text>
        <t xml:space="preserve">======
ID#AAABsLG7BlA
Litbang3    (2025-10-09 06:30:35)
ukuran 200 gram</t>
      </text>
    </comment>
    <comment authorId="0" ref="J45">
      <text>
        <t xml:space="preserve">======
ID#AAABsLG7BYg
Litbang3    (2025-10-09 06:30:35)
ukuran 200 gram</t>
      </text>
    </comment>
  </commentList>
  <extLst>
    <ext uri="GoogleSheetsCustomDataVersion2">
      <go:sheetsCustomData xmlns:go="http://customooxmlschemas.google.com/" r:id="rId1" roundtripDataSignature="AMtx7miI5iEhY4KozeFvLsLkly27z2GxKQ=="/>
    </ext>
  </extL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ID#AAABsLG7Bb8
litbang 0    (2025-10-09 06:30:35)
susu Bendera</t>
      </text>
    </comment>
    <comment authorId="0" ref="B78">
      <text>
        <t xml:space="preserve">======
ID#AAABsLG7Big
Litbang21    (2025-10-09 06:30:35)
Litbang21:</t>
      </text>
    </comment>
    <comment authorId="0" ref="D45">
      <text>
        <t xml:space="preserve">======
ID#AAABsLG7BhI
Yayuk    (2025-10-09 06:30:35)
ukuran 500gr</t>
      </text>
    </comment>
    <comment authorId="0" ref="E45">
      <text>
        <t xml:space="preserve">======
ID#AAABsLG7BiY
AJUDAN-FARAH    (2025-10-09 06:30:35)
ukuran 1kg</t>
      </text>
    </comment>
    <comment authorId="0" ref="F45">
      <text>
        <t xml:space="preserve">======
ID#AAABsLG7Bk0
Litbang3    (2025-10-09 06:30:35)
ukuran 200 gram</t>
      </text>
    </comment>
    <comment authorId="0" ref="G45">
      <text>
        <t xml:space="preserve">======
ID#AAABsLG7Be8
Litbang3    (2025-10-09 06:30:35)
ukuran perkg</t>
      </text>
    </comment>
    <comment authorId="0" ref="H45">
      <text>
        <t xml:space="preserve">======
ID#AAABsLG7Biw
Litbang3    (2025-10-09 06:30:35)
ukuran 200 gram</t>
      </text>
    </comment>
    <comment authorId="0" ref="J45">
      <text>
        <t xml:space="preserve">======
ID#AAABsLG7BbA
Litbang3    (2025-10-09 06:30:35)
ukuran 200 gram</t>
      </text>
    </comment>
  </commentList>
  <extLst>
    <ext uri="GoogleSheetsCustomDataVersion2">
      <go:sheetsCustomData xmlns:go="http://customooxmlschemas.google.com/" r:id="rId1" roundtripDataSignature="AMtx7mjZI0F6uOSDTxuwNtJQZiTyOiIv3Q=="/>
    </ext>
  </extL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ID#AAABsLG7BZw
litbang 0    (2025-10-09 06:30:35)
susu Bendera</t>
      </text>
    </comment>
    <comment authorId="0" ref="B78">
      <text>
        <t xml:space="preserve">======
ID#AAABsLG7Ba0
Litbang21    (2025-10-09 06:30:35)
Litbang21:</t>
      </text>
    </comment>
    <comment authorId="0" ref="D45">
      <text>
        <t xml:space="preserve">======
ID#AAABsLG7Bgc
Yayuk    (2025-10-09 06:30:35)
ukuran 500gr</t>
      </text>
    </comment>
    <comment authorId="0" ref="E45">
      <text>
        <t xml:space="preserve">======
ID#AAABsLG7BkA
AJUDAN-FARAH    (2025-10-09 06:30:35)
ukuran 1kg</t>
      </text>
    </comment>
    <comment authorId="0" ref="F45">
      <text>
        <t xml:space="preserve">======
ID#AAABsK2hU6E
Litbang3    (2025-10-09 06:30:35)
ukuran 200 gram</t>
      </text>
    </comment>
    <comment authorId="0" ref="G45">
      <text>
        <t xml:space="preserve">======
ID#AAABsLG7Blg
Litbang3    (2025-10-09 06:30:35)
ukuran perkg</t>
      </text>
    </comment>
    <comment authorId="0" ref="H45">
      <text>
        <t xml:space="preserve">======
ID#AAABsLG7Bc8
Litbang3    (2025-10-09 06:30:35)
ukuran 200 gram</t>
      </text>
    </comment>
    <comment authorId="0" ref="J45">
      <text>
        <t xml:space="preserve">======
ID#AAABsLG7Bjk
Litbang3    (2025-10-09 06:30:35)
ukuran 200 gram</t>
      </text>
    </comment>
  </commentList>
  <extLst>
    <ext uri="GoogleSheetsCustomDataVersion2">
      <go:sheetsCustomData xmlns:go="http://customooxmlschemas.google.com/" r:id="rId1" roundtripDataSignature="AMtx7mjEKKLuIJhgz0mzWW9kT62sHkFLiA=="/>
    </ext>
  </extL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ID#AAABsLG7Bhw
litbang 0    (2025-10-09 06:30:35)
susu Bendera</t>
      </text>
    </comment>
    <comment authorId="0" ref="B78">
      <text>
        <t xml:space="preserve">======
ID#AAABsLG7BZY
Litbang21    (2025-10-09 06:30:35)
Litbang21:</t>
      </text>
    </comment>
    <comment authorId="0" ref="D45">
      <text>
        <t xml:space="preserve">======
ID#AAABsLG7BbY
Yayuk    (2025-10-09 06:30:35)
ukuran 500gr</t>
      </text>
    </comment>
    <comment authorId="0" ref="E45">
      <text>
        <t xml:space="preserve">======
ID#AAABsLG7BeQ
AJUDAN-FARAH    (2025-10-09 06:30:35)
ukuran 1kg</t>
      </text>
    </comment>
    <comment authorId="0" ref="F45">
      <text>
        <t xml:space="preserve">======
ID#AAABsLG7Bgg
Litbang3    (2025-10-09 06:30:35)
ukuran 200 gram</t>
      </text>
    </comment>
    <comment authorId="0" ref="G45">
      <text>
        <t xml:space="preserve">======
ID#AAABsLG7Bgw
Litbang3    (2025-10-09 06:30:35)
ukuran perkg</t>
      </text>
    </comment>
    <comment authorId="0" ref="H45">
      <text>
        <t xml:space="preserve">======
ID#AAABsLG7BlM
Litbang3    (2025-10-09 06:30:35)
ukuran 200 gram</t>
      </text>
    </comment>
    <comment authorId="0" ref="J45">
      <text>
        <t xml:space="preserve">======
ID#AAABsLG7Baw
Litbang3    (2025-10-09 06:30:35)
ukuran 200 gram</t>
      </text>
    </comment>
  </commentList>
  <extLst>
    <ext uri="GoogleSheetsCustomDataVersion2">
      <go:sheetsCustomData xmlns:go="http://customooxmlschemas.google.com/" r:id="rId1" roundtripDataSignature="AMtx7mhzZ6CNU4mKFP81MLR4s9OKNi3a8g=="/>
    </ext>
  </extL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ID#AAABsK2hU54
litbang 0    (2025-10-09 06:30:35)
susu Bendera</t>
      </text>
    </comment>
    <comment authorId="0" ref="B78">
      <text>
        <t xml:space="preserve">======
ID#AAABsLG7BhQ
Litbang21    (2025-10-09 06:30:35)
Litbang21:</t>
      </text>
    </comment>
    <comment authorId="0" ref="D45">
      <text>
        <t xml:space="preserve">======
ID#AAABsLG7BYs
Yayuk    (2025-10-09 06:30:35)
ukuran 500gr</t>
      </text>
    </comment>
    <comment authorId="0" ref="E45">
      <text>
        <t xml:space="preserve">======
ID#AAABsLG7Bhs
AJUDAN-FARAH    (2025-10-09 06:30:35)
ukuran 1kg</t>
      </text>
    </comment>
    <comment authorId="0" ref="F45">
      <text>
        <t xml:space="preserve">======
ID#AAABsLG7BkE
Litbang3    (2025-10-09 06:30:35)
ukuran 200 gram</t>
      </text>
    </comment>
    <comment authorId="0" ref="G45">
      <text>
        <t xml:space="preserve">======
ID#AAABsLG7Bjw
Litbang3    (2025-10-09 06:30:35)
ukuran perkg</t>
      </text>
    </comment>
    <comment authorId="0" ref="H45">
      <text>
        <t xml:space="preserve">======
ID#AAABsLG7Bck
Litbang3    (2025-10-09 06:30:35)
ukuran 200 gram</t>
      </text>
    </comment>
    <comment authorId="0" ref="J45">
      <text>
        <t xml:space="preserve">======
ID#AAABsLG7Bho
Litbang3    (2025-10-09 06:30:35)
ukuran 200 gram</t>
      </text>
    </comment>
  </commentList>
  <extLst>
    <ext uri="GoogleSheetsCustomDataVersion2">
      <go:sheetsCustomData xmlns:go="http://customooxmlschemas.google.com/" r:id="rId1" roundtripDataSignature="AMtx7mhyMvErAEZgpc2J/ipFehvaSL4q5g=="/>
    </ext>
  </extL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ID#AAABsLG7BYM
litbang 0    (2025-10-09 06:30:35)
susu Bendera</t>
      </text>
    </comment>
    <comment authorId="0" ref="B78">
      <text>
        <t xml:space="preserve">======
ID#AAABsLG7BgI
Litbang21    (2025-10-09 06:30:35)
Litbang21:</t>
      </text>
    </comment>
    <comment authorId="0" ref="D45">
      <text>
        <t xml:space="preserve">======
ID#AAABsLG7BgY
Yayuk    (2025-10-09 06:30:35)
ukuran 500gr</t>
      </text>
    </comment>
    <comment authorId="0" ref="E45">
      <text>
        <t xml:space="preserve">======
ID#AAABsLG7BaY
AJUDAN-FARAH    (2025-10-09 06:30:35)
ukuran 1kg</t>
      </text>
    </comment>
    <comment authorId="0" ref="F45">
      <text>
        <t xml:space="preserve">======
ID#AAABsLG7Bhg
Litbang3    (2025-10-09 06:30:35)
ukuran 200 gram</t>
      </text>
    </comment>
    <comment authorId="0" ref="G45">
      <text>
        <t xml:space="preserve">======
ID#AAABsLG7Bi4
Litbang3    (2025-10-09 06:30:35)
ukuran perkg</t>
      </text>
    </comment>
    <comment authorId="0" ref="H45">
      <text>
        <t xml:space="preserve">======
ID#AAABsLG7Bis
Litbang3    (2025-10-09 06:30:35)
ukuran 200 gram</t>
      </text>
    </comment>
    <comment authorId="0" ref="J45">
      <text>
        <t xml:space="preserve">======
ID#AAABsLG7Bco
Litbang3    (2025-10-09 06:30:35)
ukuran 200 gram</t>
      </text>
    </comment>
  </commentList>
  <extLst>
    <ext uri="GoogleSheetsCustomDataVersion2">
      <go:sheetsCustomData xmlns:go="http://customooxmlschemas.google.com/" r:id="rId1" roundtripDataSignature="AMtx7miBebXGsf74SrK14ecoHtagxfMCyA=="/>
    </ext>
  </extL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ID#AAABsLG7Bak
litbang 0    (2025-10-09 06:30:35)
susu Bendera</t>
      </text>
    </comment>
    <comment authorId="0" ref="B78">
      <text>
        <t xml:space="preserve">======
ID#AAABsLG7BdQ
Litbang21    (2025-10-09 06:30:35)
Litbang21:</t>
      </text>
    </comment>
    <comment authorId="0" ref="D45">
      <text>
        <t xml:space="preserve">======
ID#AAABsLG7Bac
Yayuk    (2025-10-09 06:30:35)
ukuran 500gr</t>
      </text>
    </comment>
    <comment authorId="0" ref="E45">
      <text>
        <t xml:space="preserve">======
ID#AAABsLG7Bc0
AJUDAN-FARAH    (2025-10-09 06:30:35)
ukuran 1kg</t>
      </text>
    </comment>
    <comment authorId="0" ref="F45">
      <text>
        <t xml:space="preserve">======
ID#AAABsK2hU6A
Litbang3    (2025-10-09 06:30:35)
ukuran 200 gram</t>
      </text>
    </comment>
    <comment authorId="0" ref="G45">
      <text>
        <t xml:space="preserve">======
ID#AAABsLG7BkM
Litbang3    (2025-10-09 06:30:35)
ukuran perkg</t>
      </text>
    </comment>
    <comment authorId="0" ref="H45">
      <text>
        <t xml:space="preserve">======
ID#AAABsLG7BYE
Litbang3    (2025-10-09 06:30:35)
ukuran 200 gram</t>
      </text>
    </comment>
    <comment authorId="0" ref="J45">
      <text>
        <t xml:space="preserve">======
ID#AAABsLG7BX4
Litbang3    (2025-10-09 06:30:35)
ukuran 200 gram</t>
      </text>
    </comment>
  </commentList>
  <extLst>
    <ext uri="GoogleSheetsCustomDataVersion2">
      <go:sheetsCustomData xmlns:go="http://customooxmlschemas.google.com/" r:id="rId1" roundtripDataSignature="AMtx7mj9iUZ+323uPpg98v/UGCGxhXg1Dg=="/>
    </ext>
  </extL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ID#AAABsLG7BkI
litbang 0    (2025-10-09 06:30:35)
susu Bendera</t>
      </text>
    </comment>
    <comment authorId="0" ref="B78">
      <text>
        <t xml:space="preserve">======
ID#AAABsLG7Bao
Litbang21    (2025-10-09 06:30:35)
Litbang21:</t>
      </text>
    </comment>
    <comment authorId="0" ref="D45">
      <text>
        <t xml:space="preserve">======
ID#AAABsLG7BeY
Yayuk    (2025-10-09 06:30:35)
ukuran 500gr</t>
      </text>
    </comment>
    <comment authorId="0" ref="E45">
      <text>
        <t xml:space="preserve">======
ID#AAABsLDZqr8
AJUDAN-FARAH    (2025-10-09 06:30:35)
ukuran 1kg</t>
      </text>
    </comment>
    <comment authorId="0" ref="F45">
      <text>
        <t xml:space="preserve">======
ID#AAABsLG7BaA
Litbang3    (2025-10-09 06:30:35)
ukuran 200 gram</t>
      </text>
    </comment>
    <comment authorId="0" ref="G45">
      <text>
        <t xml:space="preserve">======
ID#AAABsLDZqsA
Litbang3    (2025-10-09 06:30:35)
ukuran perkg</t>
      </text>
    </comment>
    <comment authorId="0" ref="H45">
      <text>
        <t xml:space="preserve">======
ID#AAABsLG7BbM
Litbang3    (2025-10-09 06:30:35)
ukuran 200 gram</t>
      </text>
    </comment>
    <comment authorId="0" ref="J45">
      <text>
        <t xml:space="preserve">======
ID#AAABsLG7BbQ
Litbang3    (2025-10-09 06:30:35)
ukuran 200 gram</t>
      </text>
    </comment>
  </commentList>
  <extLst>
    <ext uri="GoogleSheetsCustomDataVersion2">
      <go:sheetsCustomData xmlns:go="http://customooxmlschemas.google.com/" r:id="rId1" roundtripDataSignature="AMtx7mh+fdTPy+33b5N4URab4SVcavfR1g=="/>
    </ext>
  </extL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ID#AAABsLG7BdA
litbang 0    (2025-10-09 06:30:35)
susu Bendera</t>
      </text>
    </comment>
    <comment authorId="0" ref="B78">
      <text>
        <t xml:space="preserve">======
ID#AAABsLG7Bg0
Litbang21    (2025-10-09 06:30:35)
Litbang21:</t>
      </text>
    </comment>
    <comment authorId="0" ref="D45">
      <text>
        <t xml:space="preserve">======
ID#AAABsLG7Bdo
Yayuk    (2025-10-09 06:30:35)
ukuran 500gr</t>
      </text>
    </comment>
    <comment authorId="0" ref="E45">
      <text>
        <t xml:space="preserve">======
ID#AAABsLG7BdY
AJUDAN-FARAH    (2025-10-09 06:30:35)
ukuran 1kg</t>
      </text>
    </comment>
    <comment authorId="0" ref="F45">
      <text>
        <t xml:space="preserve">======
ID#AAABsLG7BZg
Litbang3    (2025-10-09 06:30:35)
ukuran 200 gram</t>
      </text>
    </comment>
    <comment authorId="0" ref="G45">
      <text>
        <t xml:space="preserve">======
ID#AAABsLG7BXs
Litbang3    (2025-10-09 06:30:35)
ukuran perkg</t>
      </text>
    </comment>
    <comment authorId="0" ref="H45">
      <text>
        <t xml:space="preserve">======
ID#AAABsLG7Bjc
Litbang3    (2025-10-09 06:30:35)
ukuran 200 gram</t>
      </text>
    </comment>
    <comment authorId="0" ref="J45">
      <text>
        <t xml:space="preserve">======
ID#AAABsLG7BaQ
Litbang3    (2025-10-09 06:30:35)
ukuran 200 gram</t>
      </text>
    </comment>
  </commentList>
  <extLst>
    <ext uri="GoogleSheetsCustomDataVersion2">
      <go:sheetsCustomData xmlns:go="http://customooxmlschemas.google.com/" r:id="rId1" roundtripDataSignature="AMtx7mg3zMMyy573MT+Xejy08YWW2yXflg=="/>
    </ext>
  </extL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ID#AAABsLG7Be4
litbang 0    (2025-10-09 06:30:35)
susu Bendera</t>
      </text>
    </comment>
    <comment authorId="0" ref="B78">
      <text>
        <t xml:space="preserve">======
ID#AAABsLG7Bew
Litbang21    (2025-10-09 06:30:35)
Litbang21:</t>
      </text>
    </comment>
    <comment authorId="0" ref="D45">
      <text>
        <t xml:space="preserve">======
ID#AAABsLG7BXw
Yayuk    (2025-10-09 06:30:35)
ukuran 500gr</t>
      </text>
    </comment>
    <comment authorId="0" ref="E45">
      <text>
        <t xml:space="preserve">======
ID#AAABsLG7BlU
AJUDAN-FARAH    (2025-10-09 06:30:35)
ukuran 1kg</t>
      </text>
    </comment>
    <comment authorId="0" ref="F45">
      <text>
        <t xml:space="preserve">======
ID#AAABsLG7BX0
Litbang3    (2025-10-09 06:30:35)
ukuran 200 gram</t>
      </text>
    </comment>
    <comment authorId="0" ref="G45">
      <text>
        <t xml:space="preserve">======
ID#AAABsLG7Bf0
Litbang3    (2025-10-09 06:30:35)
ukuran perkg</t>
      </text>
    </comment>
    <comment authorId="0" ref="H45">
      <text>
        <t xml:space="preserve">======
ID#AAABsLG7BbI
Litbang3    (2025-10-09 06:30:35)
ukuran 200 gram</t>
      </text>
    </comment>
    <comment authorId="0" ref="J45">
      <text>
        <t xml:space="preserve">======
ID#AAABsLG7Bfc
Litbang3    (2025-10-09 06:30:35)
ukuran 200 gram</t>
      </text>
    </comment>
  </commentList>
  <extLst>
    <ext uri="GoogleSheetsCustomDataVersion2">
      <go:sheetsCustomData xmlns:go="http://customooxmlschemas.google.com/" r:id="rId1" roundtripDataSignature="AMtx7micyrmCezcFL6AR0xn3dNwSrCxcIQ=="/>
    </ext>
  </extL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ID#AAABsLG7Bkw
litbang 0    (2025-10-09 06:30:35)
susu Bendera</t>
      </text>
    </comment>
    <comment authorId="0" ref="B78">
      <text>
        <t xml:space="preserve">======
ID#AAABsLG7BXg
Litbang21    (2025-10-09 06:30:35)
Litbang21:</t>
      </text>
    </comment>
    <comment authorId="0" ref="D45">
      <text>
        <t xml:space="preserve">======
ID#AAABsLG7Beg
Yayuk    (2025-10-09 06:30:35)
ukuran 500gr</t>
      </text>
    </comment>
    <comment authorId="0" ref="E45">
      <text>
        <t xml:space="preserve">======
ID#AAABsLG7Blc
AJUDAN-FARAH    (2025-10-09 06:30:35)
ukuran 1kg</t>
      </text>
    </comment>
    <comment authorId="0" ref="F45">
      <text>
        <t xml:space="preserve">======
ID#AAABsLG7Bh0
Litbang3    (2025-10-09 06:30:35)
ukuran 200 gram</t>
      </text>
    </comment>
    <comment authorId="0" ref="G45">
      <text>
        <t xml:space="preserve">======
ID#AAABsLG7BaU
Litbang3    (2025-10-09 06:30:35)
ukuran perkg</t>
      </text>
    </comment>
    <comment authorId="0" ref="H45">
      <text>
        <t xml:space="preserve">======
ID#AAABsLG7BgM
Litbang3    (2025-10-09 06:30:35)
ukuran 200 gram</t>
      </text>
    </comment>
    <comment authorId="0" ref="J45">
      <text>
        <t xml:space="preserve">======
ID#AAABsLG7Bio
Litbang3    (2025-10-09 06:30:35)
ukuran 200 gram</t>
      </text>
    </comment>
  </commentList>
  <extLst>
    <ext uri="GoogleSheetsCustomDataVersion2">
      <go:sheetsCustomData xmlns:go="http://customooxmlschemas.google.com/" r:id="rId1" roundtripDataSignature="AMtx7mhfkgLOxfOysQS719naCaJRcaf4Qw=="/>
    </ext>
  </extL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ID#AAABsLG7Bgo
litbang 0    (2025-10-09 06:30:35)
susu Bendera</t>
      </text>
    </comment>
    <comment authorId="0" ref="B78">
      <text>
        <t xml:space="preserve">======
ID#AAABsLG7BdE
Litbang21    (2025-10-09 06:30:35)
Litbang21:</t>
      </text>
    </comment>
    <comment authorId="0" ref="D45">
      <text>
        <t xml:space="preserve">======
ID#AAABsLG7Bag
Yayuk    (2025-10-09 06:30:35)
ukuran 500gr</t>
      </text>
    </comment>
    <comment authorId="0" ref="E45">
      <text>
        <t xml:space="preserve">======
ID#AAABsJLa2aQ
AJUDAN-FARAH    (2025-10-09 06:30:35)
ukuran 1kg</t>
      </text>
    </comment>
    <comment authorId="0" ref="F45">
      <text>
        <t xml:space="preserve">======
ID#AAABsLG7BdI
Litbang3    (2025-10-09 06:30:35)
ukuran 200 gram</t>
      </text>
    </comment>
    <comment authorId="0" ref="G45">
      <text>
        <t xml:space="preserve">======
ID#AAABsLG7Bbk
Litbang3    (2025-10-09 06:30:35)
ukuran perkg</t>
      </text>
    </comment>
    <comment authorId="0" ref="H45">
      <text>
        <t xml:space="preserve">======
ID#AAABsLG7BZk
Litbang3    (2025-10-09 06:30:35)
ukuran 200 gram</t>
      </text>
    </comment>
    <comment authorId="0" ref="J45">
      <text>
        <t xml:space="preserve">======
ID#AAABsLG7Bbw
Litbang3    (2025-10-09 06:30:35)
ukuran 200 gram</t>
      </text>
    </comment>
  </commentList>
  <extLst>
    <ext uri="GoogleSheetsCustomDataVersion2">
      <go:sheetsCustomData xmlns:go="http://customooxmlschemas.google.com/" r:id="rId1" roundtripDataSignature="AMtx7mjD9Hz4FVr9gPgFuBLFvOiAWT0tyA=="/>
    </ext>
  </extLst>
</comments>
</file>

<file path=xl/sharedStrings.xml><?xml version="1.0" encoding="utf-8"?>
<sst xmlns="http://schemas.openxmlformats.org/spreadsheetml/2006/main" count="6466" uniqueCount="142">
  <si>
    <t>BAGIAN PEREKONOMIAN DAN SUMBER DAYA ALAM</t>
  </si>
  <si>
    <t>LAPORAN HARGA BAHAN POKOK DI KOTA SURABAYA</t>
  </si>
  <si>
    <t xml:space="preserve">HARGA BAHAN-BAHAN POKOK </t>
  </si>
  <si>
    <t>PERIODE JANUARI  2023</t>
  </si>
  <si>
    <t>DI PASAR TRADISIONAL KOTA SURABAYA</t>
  </si>
  <si>
    <t>HARI / TANGGAL :  Minggu / 01 Januari 2023</t>
  </si>
  <si>
    <t xml:space="preserve"> </t>
  </si>
  <si>
    <t>HARI / TANGGAL :  Senin / 02 Januari 2023</t>
  </si>
  <si>
    <t>NAMA BAHAN POKOK DAN PENTING LAINNYA</t>
  </si>
  <si>
    <t>SATUAN</t>
  </si>
  <si>
    <t>Pasar Tambahrejo</t>
  </si>
  <si>
    <t>SAT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</si>
  <si>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</si>
  <si>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</si>
  <si>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</si>
  <si>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</si>
  <si>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</si>
  <si>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</si>
  <si>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</si>
  <si>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BERAS</t>
  </si>
  <si>
    <t>HET/HAPK (Harga Eceran Tertinggi)</t>
  </si>
  <si>
    <t>FLUKTUASI</t>
  </si>
  <si>
    <t>- Beras IR.64 Kwalitas I</t>
  </si>
  <si>
    <t>Kg</t>
  </si>
  <si>
    <t>- Beras IR.64 Kwalitas II</t>
  </si>
  <si>
    <t>- Beras IR.64 Kwalitas III</t>
  </si>
  <si>
    <t>-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</si>
  <si>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</si>
  <si>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</si>
  <si>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</si>
  <si>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</si>
  <si>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</si>
  <si>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</si>
  <si>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</si>
  <si>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</si>
  <si>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</si>
  <si>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</si>
  <si>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</si>
  <si>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</si>
  <si>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</si>
  <si>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</si>
  <si>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</si>
  <si>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</si>
  <si>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</si>
  <si>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</si>
  <si>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</si>
  <si>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</si>
  <si>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</si>
  <si>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</si>
  <si>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</si>
  <si>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</si>
  <si>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</si>
  <si>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</si>
  <si>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</si>
  <si>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</si>
  <si>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</si>
  <si>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</si>
  <si>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</si>
  <si>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400 Gr/Dos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</si>
  <si>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</si>
  <si>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</si>
  <si>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</si>
  <si>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</si>
  <si>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</si>
  <si>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</si>
  <si>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</si>
  <si>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</si>
  <si>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</si>
  <si>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</si>
  <si>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</si>
  <si>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</si>
  <si>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</si>
  <si>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</si>
  <si>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</si>
  <si>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</si>
  <si>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 xml:space="preserve">             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</si>
  <si>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</si>
  <si>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</si>
  <si>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</si>
  <si>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</si>
  <si>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</si>
  <si>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</si>
  <si>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</si>
  <si>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</si>
  <si>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</si>
  <si>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</si>
  <si>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</si>
  <si>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</si>
  <si>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</si>
  <si>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</si>
  <si>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</si>
  <si>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</si>
  <si>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</si>
  <si>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</si>
  <si>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</si>
  <si>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</si>
  <si>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</si>
  <si>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</si>
  <si>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</si>
  <si>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</si>
  <si>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</si>
  <si>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</si>
  <si>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</si>
  <si>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</si>
  <si>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</si>
  <si>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</si>
  <si>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</si>
  <si>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</si>
  <si>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 xml:space="preserve">  </t>
  </si>
  <si>
    <t>- Air Mineral (Aqua Galon)</t>
  </si>
  <si>
    <t>19 Ltr/Galon</t>
  </si>
  <si>
    <t>HARI / TANGGAL :  Rabu / 04 Januari 2023</t>
  </si>
  <si>
    <t>HARI / TANGGAL :  Selasa / 03 Januari 2023</t>
  </si>
  <si>
    <t>- Telur Ayam Horn</t>
  </si>
  <si>
    <t>HARI / TANGGAL :  Kamis / 05 Januari 2023</t>
  </si>
  <si>
    <t>HARI / TANGGAL :  Jumat / 06 Januari 2023</t>
  </si>
  <si>
    <t>HARI / TANGGAL :  Minggu / 08 Januari 2023</t>
  </si>
  <si>
    <t>HARI / TANGGAL :  Sabtu / 07 Januari 2023</t>
  </si>
  <si>
    <t>HARI / TANGGAL :  Senin / 09 Januari 2023</t>
  </si>
  <si>
    <t>HARI / TANGGAL :  SELASA / 10 Januari 2023</t>
  </si>
  <si>
    <t>Catatan : Sumber PD Pasar Surya</t>
  </si>
  <si>
    <t>HARI / TANGGAL :  Rabu / 11 Januari 2023</t>
  </si>
  <si>
    <t>HARI / TANGGAL :  Kamis  / 12 Januari 2023</t>
  </si>
  <si>
    <t>HARI / TANGGAL :  Jumat / 13 Januari 2023</t>
  </si>
  <si>
    <t>HARI / TANGGAL :  Sabtu / 14 Januari 2023</t>
  </si>
  <si>
    <t>HARI / TANGGAL :  Minggu / 15 Januari 2023</t>
  </si>
  <si>
    <t>HARI / TANGGAL :  Senin  / 16 Januari 2023</t>
  </si>
  <si>
    <t>HARI / TANGGAL :  Selasa  / 17 Januari 2023</t>
  </si>
  <si>
    <t>HARI / TANGGAL :  Rabu / 18 Januari 2023</t>
  </si>
  <si>
    <t>HARI / TANGGAL :  Kamis / 19 Januari 2023</t>
  </si>
  <si>
    <t>HARI / TANGGAL :  Jumat / 20 Januari 2023</t>
  </si>
  <si>
    <t>HARI / TANGGAL :  Sabtu / 21 Januari 2023</t>
  </si>
  <si>
    <t>HARI / TANGGAL :  Minggu / 22 Januari 2023</t>
  </si>
  <si>
    <t>HARI / TANGGAL :  Senin / 23 Januari 2023</t>
  </si>
  <si>
    <t>HARI / TANGGAL :  Selasa / 24 Januari 2023</t>
  </si>
  <si>
    <t>HARI / TANGGAL :  Rabu / 25 Januari 2023</t>
  </si>
  <si>
    <t>HARI / TANGGAL :  Kamis / 26 Januari 2023</t>
  </si>
  <si>
    <t>HARI / TANGGAL :  Jumat / 27 Januari 2023</t>
  </si>
  <si>
    <t>HARI / TANGGAL :  Sabtu / 28 Januari 2023</t>
  </si>
  <si>
    <t>HARI / TANGGAL :  Minggu / 29 Januari 2023</t>
  </si>
  <si>
    <t>HARI / TANGGAL :  Senin / 30 Januari 2023</t>
  </si>
  <si>
    <t>HARI / TANGGAL :  Selasa / 31 Januari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</si>
</sst>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24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Tahoma"/>
    </font>
    <font>
      <u/>
      <sz val="14.0"/>
      <color theme="1"/>
      <name val="Calibri"/>
    </font>
    <font>
      <sz val="12.0"/>
      <color theme="1"/>
      <name val="Calibri"/>
    </font>
    <font/>
    <font>
      <b/>
      <sz val="10.0"/>
      <color theme="1"/>
      <name val="Tahoma"/>
    </font>
    <font>
      <sz val="11.0"/>
      <color theme="1"/>
      <name val="Tahoma"/>
    </font>
    <font>
      <b/>
      <sz val="10.0"/>
      <color theme="1"/>
      <name val="Calibri"/>
    </font>
    <font>
      <sz val="11.0"/>
      <color theme="1"/>
      <name val="Arial"/>
    </font>
    <font>
      <b/>
      <sz val="11.0"/>
      <color rgb="FF0C0C0C"/>
      <name val="Tahoma"/>
    </font>
    <font>
      <b/>
      <sz val="11.0"/>
      <color theme="1"/>
      <name val="Arial"/>
    </font>
    <font>
      <sz val="11.0"/>
      <color theme="1"/>
      <name val="Calibri"/>
    </font>
    <font>
      <sz val="10.0"/>
      <color theme="1"/>
      <name val="Tahoma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Tahoma"/>
    </font>
    <font>
      <b/>
      <sz val="11.0"/>
      <color rgb="FFC55A11"/>
      <name val="Tahoma"/>
    </font>
    <font>
      <color theme="1"/>
      <name val="Calibri"/>
      <scheme val="minor"/>
    </font>
    <font>
      <sz val="11.0"/>
      <color rgb="FFC55A11"/>
      <name val="Tahoma"/>
    </font>
    <font>
      <sz val="11.0"/>
      <color rgb="FF0C0C0C"/>
      <name val="Tahoma"/>
    </font>
    <font>
      <sz val="12.0"/>
      <color rgb="FFFF0000"/>
      <name val="Calibri"/>
    </font>
    <font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7B7B7B"/>
        <bgColor rgb="FF7B7B7B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4">
    <border/>
    <border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5" numFmtId="0" xfId="0" applyFont="1"/>
    <xf borderId="1" fillId="0" fontId="6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2" fontId="3" numFmtId="0" xfId="0" applyAlignment="1" applyBorder="1" applyFill="1" applyFont="1">
      <alignment horizontal="center" vertical="center"/>
    </xf>
    <xf borderId="5" fillId="2" fontId="3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5" fillId="0" fontId="7" numFmtId="16" xfId="0" applyAlignment="1" applyBorder="1" applyFont="1" applyNumberFormat="1">
      <alignment horizontal="center" shrinkToFit="0" vertical="center" wrapText="1"/>
    </xf>
    <xf borderId="7" fillId="4" fontId="3" numFmtId="0" xfId="0" applyAlignment="1" applyBorder="1" applyFill="1" applyFont="1">
      <alignment horizontal="center" shrinkToFit="0" vertical="center" wrapText="1"/>
    </xf>
    <xf borderId="8" fillId="5" fontId="3" numFmtId="0" xfId="0" applyAlignment="1" applyBorder="1" applyFill="1" applyFont="1">
      <alignment horizontal="center" shrinkToFit="0" vertical="center" wrapText="1"/>
    </xf>
    <xf borderId="9" fillId="6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ill="1" applyFont="1">
      <alignment horizontal="center" shrinkToFit="0" vertical="center" wrapText="1"/>
    </xf>
    <xf borderId="5" fillId="8" fontId="3" numFmtId="0" xfId="0" applyAlignment="1" applyBorder="1" applyFill="1" applyFont="1">
      <alignment horizontal="center" shrinkToFit="0" vertical="center" wrapText="1"/>
    </xf>
    <xf borderId="10" fillId="9" fontId="3" numFmtId="0" xfId="0" applyAlignment="1" applyBorder="1" applyFill="1" applyFont="1">
      <alignment horizontal="center" shrinkToFit="0" vertical="center" wrapText="1"/>
    </xf>
    <xf borderId="11" fillId="2" fontId="3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5" fillId="0" fontId="8" numFmtId="0" xfId="0" applyAlignment="1" applyBorder="1" applyFont="1">
      <alignment horizontal="center" vertical="top"/>
    </xf>
    <xf borderId="25" fillId="10" fontId="3" numFmtId="0" xfId="0" applyAlignment="1" applyBorder="1" applyFill="1" applyFont="1">
      <alignment vertical="center"/>
    </xf>
    <xf borderId="25" fillId="10" fontId="8" numFmtId="0" xfId="0" applyAlignment="1" applyBorder="1" applyFill="1" applyFont="1">
      <alignment vertical="center"/>
    </xf>
    <xf borderId="26" fillId="0" fontId="8" numFmtId="0" xfId="0" applyAlignment="1" applyBorder="1" applyFont="1">
      <alignment vertical="center"/>
    </xf>
    <xf borderId="27" fillId="0" fontId="8" numFmtId="0" xfId="0" applyAlignment="1" applyBorder="1" applyFont="1">
      <alignment vertical="center"/>
    </xf>
    <xf borderId="5" fillId="0" fontId="9" numFmtId="0" xfId="0" applyAlignment="1" applyBorder="1" applyFont="1">
      <alignment horizontal="center" shrinkToFit="0" vertical="center" wrapText="1"/>
    </xf>
    <xf borderId="27" fillId="0" fontId="10" numFmtId="0" xfId="0" applyBorder="1" applyFont="1"/>
    <xf borderId="5" fillId="0" fontId="9" numFmtId="16" xfId="0" applyAlignment="1" applyBorder="1" applyFont="1" applyNumberFormat="1">
      <alignment horizontal="center" shrinkToFit="0" vertical="center" wrapText="1"/>
    </xf>
    <xf borderId="28" fillId="0" fontId="10" numFmtId="0" xfId="0" applyBorder="1" applyFont="1"/>
    <xf borderId="12" fillId="0" fontId="7" numFmtId="0" xfId="0" applyAlignment="1" applyBorder="1" applyFont="1">
      <alignment horizontal="center" shrinkToFit="0" vertical="center" wrapText="1"/>
    </xf>
    <xf borderId="29" fillId="10" fontId="10" numFmtId="0" xfId="0" applyBorder="1" applyFill="1" applyFont="1"/>
    <xf quotePrefix="1" borderId="30" fillId="0" fontId="8" numFmtId="0" xfId="0" applyAlignment="1" applyBorder="1" applyFont="1">
      <alignment vertical="center"/>
    </xf>
    <xf borderId="30" fillId="0" fontId="8" numFmtId="0" xfId="0" applyAlignment="1" applyBorder="1" applyFont="1">
      <alignment horizontal="center" vertical="center"/>
    </xf>
    <xf borderId="31" fillId="2" fontId="11" numFmtId="164" xfId="0" applyAlignment="1" applyBorder="1" applyFill="1" applyFont="1" applyNumberFormat="1">
      <alignment vertical="center"/>
    </xf>
    <xf borderId="32" fillId="2" fontId="11" numFmtId="164" xfId="0" applyAlignment="1" applyBorder="1" applyFill="1" applyFont="1" applyNumberFormat="1">
      <alignment vertical="center"/>
    </xf>
    <xf borderId="32" fillId="2" fontId="11" numFmtId="164" xfId="0" applyAlignment="1" applyBorder="1" applyFill="1" applyFont="1" applyNumberFormat="1">
      <alignment horizontal="center" vertical="center"/>
    </xf>
    <xf borderId="33" fillId="2" fontId="11" numFmtId="164" xfId="0" applyAlignment="1" applyBorder="1" applyFill="1" applyFont="1" applyNumberFormat="1">
      <alignment vertical="center"/>
    </xf>
    <xf borderId="33" fillId="2" fontId="3" numFmtId="164" xfId="0" applyAlignment="1" applyBorder="1" applyFill="1" applyFont="1" applyNumberFormat="1">
      <alignment vertical="center"/>
    </xf>
    <xf borderId="34" fillId="0" fontId="12" numFmtId="164" xfId="0" applyAlignment="1" applyBorder="1" applyFont="1" applyNumberFormat="1">
      <alignment vertical="center"/>
    </xf>
    <xf borderId="0" fillId="0" fontId="13" numFmtId="164" xfId="0" applyFont="1" applyNumberFormat="1"/>
    <xf borderId="0" fillId="0" fontId="5" numFmtId="164" xfId="0" applyFont="1" applyNumberFormat="1"/>
    <xf borderId="31" fillId="0" fontId="11" numFmtId="164" xfId="0" applyAlignment="1" applyBorder="1" applyFont="1" applyNumberFormat="1">
      <alignment vertical="center"/>
    </xf>
    <xf borderId="32" fillId="0" fontId="11" numFmtId="164" xfId="0" applyAlignment="1" applyBorder="1" applyFont="1" applyNumberFormat="1">
      <alignment vertical="center"/>
    </xf>
    <xf borderId="32" fillId="0" fontId="3" numFmtId="164" xfId="0" applyAlignment="1" applyBorder="1" applyFont="1" applyNumberFormat="1">
      <alignment horizontal="center" vertical="center"/>
    </xf>
    <xf borderId="33" fillId="0" fontId="11" numFmtId="164" xfId="0" applyAlignment="1" applyBorder="1" applyFont="1" applyNumberFormat="1">
      <alignment vertical="center"/>
    </xf>
    <xf borderId="18" fillId="0" fontId="7" numFmtId="16" xfId="0" applyAlignment="1" applyBorder="1" applyFont="1" applyNumberFormat="1">
      <alignment horizontal="center" shrinkToFit="0" vertical="center" wrapText="1"/>
    </xf>
    <xf borderId="33" fillId="0" fontId="3" numFmtId="164" xfId="0" applyAlignment="1" applyBorder="1" applyFont="1" applyNumberFormat="1">
      <alignment vertical="center"/>
    </xf>
    <xf borderId="34" fillId="0" fontId="12" numFmtId="164" xfId="0" applyBorder="1" applyFont="1" applyNumberFormat="1"/>
    <xf borderId="31" fillId="0" fontId="11" numFmtId="164" xfId="0" applyAlignment="1" applyBorder="1" applyFont="1" applyNumberFormat="1">
      <alignment horizontal="center" vertical="center"/>
    </xf>
    <xf borderId="32" fillId="0" fontId="3" numFmtId="164" xfId="0" applyAlignment="1" applyBorder="1" applyFont="1" applyNumberFormat="1">
      <alignment vertical="center"/>
    </xf>
    <xf borderId="33" fillId="0" fontId="11" numFmtId="164" xfId="0" applyAlignment="1" applyBorder="1" applyFont="1" applyNumberFormat="1">
      <alignment horizontal="center" vertical="center"/>
    </xf>
    <xf borderId="33" fillId="0" fontId="3" numFmtId="164" xfId="0" applyAlignment="1" applyBorder="1" applyFont="1" applyNumberFormat="1">
      <alignment horizontal="center" vertical="center"/>
    </xf>
    <xf borderId="32" fillId="0" fontId="11" numFmtId="164" xfId="0" applyAlignment="1" applyBorder="1" applyFont="1" applyNumberFormat="1">
      <alignment horizontal="center" vertical="center"/>
    </xf>
    <xf borderId="32" fillId="0" fontId="8" numFmtId="164" xfId="0" applyAlignment="1" applyBorder="1" applyFont="1" applyNumberFormat="1">
      <alignment horizontal="center" vertical="center"/>
    </xf>
    <xf borderId="35" fillId="0" fontId="6" numFmtId="0" xfId="0" applyBorder="1" applyFont="1"/>
    <xf borderId="36" fillId="0" fontId="8" numFmtId="0" xfId="0" applyAlignment="1" applyBorder="1" applyFont="1">
      <alignment horizontal="center" vertical="top"/>
    </xf>
    <xf borderId="30" fillId="10" fontId="3" numFmtId="0" xfId="0" applyAlignment="1" applyBorder="1" applyFill="1" applyFont="1">
      <alignment vertical="center"/>
    </xf>
    <xf borderId="30" fillId="10" fontId="8" numFmtId="0" xfId="0" applyAlignment="1" applyBorder="1" applyFill="1" applyFont="1">
      <alignment vertical="center"/>
    </xf>
    <xf borderId="31" fillId="0" fontId="8" numFmtId="0" xfId="0" applyAlignment="1" applyBorder="1" applyFont="1">
      <alignment vertical="center"/>
    </xf>
    <xf borderId="32" fillId="0" fontId="8" numFmtId="164" xfId="0" applyAlignment="1" applyBorder="1" applyFont="1" applyNumberFormat="1">
      <alignment vertical="center"/>
    </xf>
    <xf borderId="32" fillId="0" fontId="8" numFmtId="0" xfId="0" applyAlignment="1" applyBorder="1" applyFont="1">
      <alignment vertical="center"/>
    </xf>
    <xf borderId="32" fillId="0" fontId="10" numFmtId="164" xfId="0" applyBorder="1" applyFont="1" applyNumberFormat="1"/>
    <xf borderId="33" fillId="0" fontId="10" numFmtId="164" xfId="0" applyBorder="1" applyFont="1" applyNumberFormat="1"/>
    <xf borderId="37" fillId="10" fontId="12" numFmtId="164" xfId="0" applyBorder="1" applyFill="1" applyFont="1" applyNumberFormat="1"/>
    <xf borderId="38" fillId="2" fontId="5" numFmtId="0" xfId="0" applyBorder="1" applyFill="1" applyFont="1"/>
    <xf borderId="30" fillId="0" fontId="8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top"/>
    </xf>
    <xf borderId="25" fillId="0" fontId="7" numFmtId="0" xfId="0" applyAlignment="1" applyBorder="1" applyFont="1">
      <alignment vertical="center"/>
    </xf>
    <xf borderId="25" fillId="0" fontId="14" numFmtId="0" xfId="0" applyAlignment="1" applyBorder="1" applyFont="1">
      <alignment vertical="center"/>
    </xf>
    <xf borderId="39" fillId="0" fontId="15" numFmtId="0" xfId="0" applyBorder="1" applyFont="1"/>
    <xf borderId="31" fillId="0" fontId="3" numFmtId="0" xfId="0" applyAlignment="1" applyBorder="1" applyFont="1">
      <alignment vertical="center"/>
    </xf>
    <xf borderId="32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39" fillId="0" fontId="16" numFmtId="0" xfId="0" applyBorder="1" applyFont="1"/>
    <xf borderId="33" fillId="2" fontId="3" numFmtId="0" xfId="0" applyAlignment="1" applyBorder="1" applyFill="1" applyFont="1">
      <alignment vertical="center"/>
    </xf>
    <xf quotePrefix="1" borderId="30" fillId="3" fontId="17" numFmtId="0" xfId="0" applyAlignment="1" applyBorder="1" applyFill="1" applyFont="1">
      <alignment vertical="center"/>
    </xf>
    <xf borderId="30" fillId="3" fontId="14" numFmtId="0" xfId="0" applyAlignment="1" applyBorder="1" applyFill="1" applyFont="1">
      <alignment horizontal="center" vertical="center"/>
    </xf>
    <xf borderId="30" fillId="3" fontId="16" numFmtId="164" xfId="0" applyAlignment="1" applyBorder="1" applyFill="1" applyFont="1" applyNumberFormat="1">
      <alignment vertical="center"/>
    </xf>
    <xf borderId="32" fillId="0" fontId="18" numFmtId="0" xfId="0" applyAlignment="1" applyBorder="1" applyFont="1">
      <alignment vertical="center"/>
    </xf>
    <xf borderId="33" fillId="0" fontId="8" numFmtId="164" xfId="0" applyAlignment="1" applyBorder="1" applyFont="1" applyNumberFormat="1">
      <alignment horizontal="center" vertical="center"/>
    </xf>
    <xf borderId="33" fillId="2" fontId="8" numFmtId="164" xfId="0" applyAlignment="1" applyBorder="1" applyFill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33" fillId="2" fontId="3" numFmtId="0" xfId="0" applyAlignment="1" applyBorder="1" applyFill="1" applyFont="1">
      <alignment horizontal="center" vertical="center"/>
    </xf>
    <xf borderId="33" fillId="2" fontId="11" numFmtId="164" xfId="0" applyAlignment="1" applyBorder="1" applyFill="1" applyFont="1" applyNumberFormat="1">
      <alignment horizontal="center" vertical="center"/>
    </xf>
    <xf borderId="33" fillId="2" fontId="3" numFmtId="164" xfId="0" applyAlignment="1" applyBorder="1" applyFill="1" applyFont="1" applyNumberFormat="1">
      <alignment horizontal="center" vertical="center"/>
    </xf>
    <xf borderId="0" fillId="0" fontId="19" numFmtId="0" xfId="0" applyFont="1"/>
    <xf borderId="32" fillId="11" fontId="11" numFmtId="164" xfId="0" applyAlignment="1" applyBorder="1" applyFill="1" applyFont="1" applyNumberFormat="1">
      <alignment vertical="center"/>
    </xf>
    <xf borderId="33" fillId="2" fontId="11" numFmtId="0" xfId="0" applyAlignment="1" applyBorder="1" applyFill="1" applyFont="1">
      <alignment vertical="center"/>
    </xf>
    <xf borderId="32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top"/>
    </xf>
    <xf borderId="30" fillId="10" fontId="3" numFmtId="0" xfId="0" applyAlignment="1" applyBorder="1" applyFill="1" applyFont="1">
      <alignment horizontal="left" vertical="center"/>
    </xf>
    <xf borderId="30" fillId="10" fontId="8" numFmtId="0" xfId="0" applyAlignment="1" applyBorder="1" applyFill="1" applyFont="1">
      <alignment horizontal="center" vertical="center"/>
    </xf>
    <xf borderId="31" fillId="0" fontId="8" numFmtId="164" xfId="0" applyAlignment="1" applyBorder="1" applyFont="1" applyNumberFormat="1">
      <alignment vertical="center"/>
    </xf>
    <xf borderId="32" fillId="0" fontId="20" numFmtId="164" xfId="0" applyAlignment="1" applyBorder="1" applyFont="1" applyNumberFormat="1">
      <alignment vertical="center"/>
    </xf>
    <xf borderId="33" fillId="0" fontId="8" numFmtId="164" xfId="0" applyAlignment="1" applyBorder="1" applyFont="1" applyNumberFormat="1">
      <alignment vertical="center"/>
    </xf>
    <xf borderId="33" fillId="2" fontId="8" numFmtId="164" xfId="0" applyAlignment="1" applyBorder="1" applyFill="1" applyFont="1" applyNumberFormat="1">
      <alignment vertical="center"/>
    </xf>
    <xf borderId="30" fillId="12" fontId="8" numFmtId="0" xfId="0" applyAlignment="1" applyBorder="1" applyFill="1" applyFont="1">
      <alignment horizontal="center" vertical="center"/>
    </xf>
    <xf borderId="35" fillId="0" fontId="8" numFmtId="0" xfId="0" applyAlignment="1" applyBorder="1" applyFont="1">
      <alignment horizontal="center" vertical="top"/>
    </xf>
    <xf borderId="31" fillId="0" fontId="8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32" fillId="0" fontId="20" numFmtId="0" xfId="0" applyAlignment="1" applyBorder="1" applyFont="1">
      <alignment vertical="center"/>
    </xf>
    <xf quotePrefix="1" borderId="30" fillId="0" fontId="17" numFmtId="0" xfId="0" applyAlignment="1" applyBorder="1" applyFont="1">
      <alignment vertical="center"/>
    </xf>
    <xf borderId="33" fillId="0" fontId="8" numFmtId="0" xfId="0" applyAlignment="1" applyBorder="1" applyFont="1">
      <alignment vertical="center"/>
    </xf>
    <xf borderId="30" fillId="0" fontId="14" numFmtId="0" xfId="0" applyAlignment="1" applyBorder="1" applyFont="1">
      <alignment horizontal="center" vertical="center"/>
    </xf>
    <xf borderId="33" fillId="2" fontId="21" numFmtId="0" xfId="0" applyAlignment="1" applyBorder="1" applyFill="1" applyFont="1">
      <alignment vertical="center"/>
    </xf>
    <xf borderId="30" fillId="0" fontId="16" numFmtId="164" xfId="0" applyAlignment="1" applyBorder="1" applyFont="1" applyNumberFormat="1">
      <alignment vertical="center"/>
    </xf>
    <xf quotePrefix="1" borderId="30" fillId="12" fontId="8" numFmtId="0" xfId="0" applyAlignment="1" applyBorder="1" applyFill="1" applyFont="1">
      <alignment vertical="center"/>
    </xf>
    <xf borderId="32" fillId="0" fontId="20" numFmtId="164" xfId="0" applyAlignment="1" applyBorder="1" applyFont="1" applyNumberFormat="1">
      <alignment horizontal="center" vertical="center"/>
    </xf>
    <xf borderId="33" fillId="0" fontId="21" numFmtId="164" xfId="0" applyAlignment="1" applyBorder="1" applyFont="1" applyNumberFormat="1">
      <alignment horizontal="center" vertical="center"/>
    </xf>
    <xf borderId="0" fillId="0" fontId="22" numFmtId="0" xfId="0" applyFont="1"/>
    <xf borderId="36" fillId="0" fontId="8" numFmtId="0" xfId="0" applyAlignment="1" applyBorder="1" applyFont="1">
      <alignment horizontal="center" vertical="center"/>
    </xf>
    <xf borderId="31" fillId="0" fontId="18" numFmtId="164" xfId="0" applyAlignment="1" applyBorder="1" applyFont="1" applyNumberFormat="1">
      <alignment vertical="center"/>
    </xf>
    <xf borderId="33" fillId="2" fontId="21" numFmtId="164" xfId="0" applyAlignment="1" applyBorder="1" applyFill="1" applyFont="1" applyNumberFormat="1">
      <alignment vertical="center"/>
    </xf>
    <xf borderId="35" fillId="0" fontId="8" numFmtId="0" xfId="0" applyAlignment="1" applyBorder="1" applyFont="1">
      <alignment horizontal="center" vertical="center"/>
    </xf>
    <xf borderId="31" fillId="0" fontId="21" numFmtId="164" xfId="0" applyAlignment="1" applyBorder="1" applyFont="1" applyNumberFormat="1">
      <alignment vertical="center"/>
    </xf>
    <xf borderId="36" fillId="0" fontId="14" numFmtId="0" xfId="0" applyAlignment="1" applyBorder="1" applyFont="1">
      <alignment horizontal="center" vertical="top"/>
    </xf>
    <xf borderId="30" fillId="0" fontId="7" numFmtId="0" xfId="0" applyAlignment="1" applyBorder="1" applyFont="1">
      <alignment vertical="center"/>
    </xf>
    <xf borderId="30" fillId="0" fontId="14" numFmtId="0" xfId="0" applyAlignment="1" applyBorder="1" applyFont="1">
      <alignment vertical="center"/>
    </xf>
    <xf borderId="32" fillId="0" fontId="18" numFmtId="164" xfId="0" applyAlignment="1" applyBorder="1" applyFont="1" applyNumberFormat="1">
      <alignment vertical="center"/>
    </xf>
    <xf borderId="12" fillId="0" fontId="8" numFmtId="0" xfId="0" applyAlignment="1" applyBorder="1" applyFont="1">
      <alignment horizontal="center" vertical="center"/>
    </xf>
    <xf borderId="33" fillId="0" fontId="11" numFmtId="164" xfId="0" applyBorder="1" applyFont="1" applyNumberFormat="1"/>
    <xf borderId="33" fillId="0" fontId="3" numFmtId="164" xfId="0" applyAlignment="1" applyBorder="1" applyFont="1" applyNumberFormat="1">
      <alignment horizontal="center"/>
    </xf>
    <xf borderId="33" fillId="2" fontId="11" numFmtId="164" xfId="0" applyAlignment="1" applyBorder="1" applyFill="1" applyFont="1" applyNumberFormat="1">
      <alignment horizontal="center"/>
    </xf>
    <xf quotePrefix="1" borderId="30" fillId="4" fontId="14" numFmtId="0" xfId="0" applyAlignment="1" applyBorder="1" applyFill="1" applyFont="1">
      <alignment vertical="center"/>
    </xf>
    <xf borderId="31" fillId="0" fontId="20" numFmtId="164" xfId="0" applyAlignment="1" applyBorder="1" applyFont="1" applyNumberFormat="1">
      <alignment vertical="center"/>
    </xf>
    <xf borderId="30" fillId="4" fontId="14" numFmtId="0" xfId="0" applyAlignment="1" applyBorder="1" applyFill="1" applyFont="1">
      <alignment horizontal="center" vertical="center"/>
    </xf>
    <xf borderId="30" fillId="4" fontId="16" numFmtId="164" xfId="0" applyAlignment="1" applyBorder="1" applyFill="1" applyFont="1" applyNumberFormat="1">
      <alignment vertical="center"/>
    </xf>
    <xf borderId="32" fillId="0" fontId="21" numFmtId="164" xfId="0" applyAlignment="1" applyBorder="1" applyFont="1" applyNumberFormat="1">
      <alignment horizontal="center" vertical="center"/>
    </xf>
    <xf borderId="0" fillId="0" fontId="23" numFmtId="0" xfId="0" applyFont="1"/>
    <xf borderId="38" fillId="11" fontId="13" numFmtId="0" xfId="0" applyBorder="1" applyFill="1" applyFont="1"/>
    <xf borderId="38" fillId="2" fontId="13" numFmtId="0" xfId="0" applyBorder="1" applyFill="1" applyFont="1"/>
    <xf borderId="0" fillId="0" fontId="8" numFmtId="0" xfId="0" applyAlignment="1" applyFont="1">
      <alignment vertical="center"/>
    </xf>
    <xf quotePrefix="1" borderId="30" fillId="0" fontId="14" numFmtId="0" xfId="0" applyAlignment="1" applyBorder="1" applyFont="1">
      <alignment vertical="center"/>
    </xf>
    <xf borderId="40" fillId="2" fontId="3" numFmtId="0" xfId="0" applyAlignment="1" applyBorder="1" applyFill="1" applyFont="1">
      <alignment horizontal="center" shrinkToFit="0" vertical="center" wrapText="1"/>
    </xf>
    <xf borderId="40" fillId="2" fontId="3" numFmtId="0" xfId="0" applyAlignment="1" applyBorder="1" applyFill="1" applyFont="1">
      <alignment horizontal="center" vertical="center"/>
    </xf>
    <xf borderId="40" fillId="2" fontId="7" numFmtId="0" xfId="0" applyAlignment="1" applyBorder="1" applyFill="1" applyFont="1">
      <alignment horizontal="center" shrinkToFit="0" vertical="center" wrapText="1"/>
    </xf>
    <xf borderId="41" fillId="2" fontId="7" numFmtId="0" xfId="0" applyAlignment="1" applyBorder="1" applyFill="1" applyFont="1">
      <alignment horizontal="center" shrinkToFit="0" vertical="center" wrapText="1"/>
    </xf>
    <xf quotePrefix="1" borderId="30" fillId="2" fontId="17" numFmtId="0" xfId="0" applyAlignment="1" applyBorder="1" applyFill="1" applyFont="1">
      <alignment vertical="center"/>
    </xf>
    <xf borderId="30" fillId="2" fontId="14" numFmtId="0" xfId="0" applyAlignment="1" applyBorder="1" applyFill="1" applyFont="1">
      <alignment horizontal="center" vertical="center"/>
    </xf>
    <xf borderId="30" fillId="2" fontId="16" numFmtId="164" xfId="0" applyAlignment="1" applyBorder="1" applyFill="1" applyFont="1" applyNumberFormat="1">
      <alignment vertical="center"/>
    </xf>
    <xf quotePrefix="1" borderId="30" fillId="3" fontId="14" numFmtId="0" xfId="0" applyAlignment="1" applyBorder="1" applyFill="1" applyFont="1">
      <alignment vertical="center"/>
    </xf>
    <xf borderId="42" fillId="2" fontId="17" numFmtId="0" xfId="0" applyAlignment="1" applyBorder="1" applyFill="1" applyFont="1">
      <alignment vertical="center"/>
    </xf>
    <xf borderId="42" fillId="2" fontId="14" numFmtId="0" xfId="0" applyAlignment="1" applyBorder="1" applyFill="1" applyFont="1">
      <alignment horizontal="center" vertical="center"/>
    </xf>
    <xf borderId="42" fillId="2" fontId="16" numFmtId="164" xfId="0" applyAlignment="1" applyBorder="1" applyFill="1" applyFont="1" applyNumberFormat="1">
      <alignment vertical="center"/>
    </xf>
    <xf borderId="38" fillId="2" fontId="17" numFmtId="0" xfId="0" applyAlignment="1" applyBorder="1" applyFill="1" applyFont="1">
      <alignment vertical="center"/>
    </xf>
    <xf borderId="38" fillId="2" fontId="14" numFmtId="0" xfId="0" applyAlignment="1" applyBorder="1" applyFill="1" applyFont="1">
      <alignment horizontal="center" vertical="center"/>
    </xf>
    <xf borderId="38" fillId="2" fontId="16" numFmtId="164" xfId="0" applyAlignment="1" applyBorder="1" applyFill="1" applyFont="1" applyNumberFormat="1">
      <alignment vertical="center"/>
    </xf>
    <xf borderId="43" fillId="2" fontId="17" numFmtId="0" xfId="0" applyAlignment="1" applyBorder="1" applyFill="1" applyFont="1">
      <alignment vertical="center"/>
    </xf>
    <xf borderId="43" fillId="2" fontId="14" numFmtId="0" xfId="0" applyAlignment="1" applyBorder="1" applyFill="1" applyFont="1">
      <alignment horizontal="center" vertical="center"/>
    </xf>
    <xf borderId="43" fillId="2" fontId="16" numFmtId="164" xfId="0" applyAlignment="1" applyBorder="1" applyFill="1" applyFont="1" applyNumberFormat="1">
      <alignment vertical="center"/>
    </xf>
    <xf borderId="41" fillId="2" fontId="3" numFmtId="0" xfId="0" applyAlignment="1" applyBorder="1" applyFill="1" applyFont="1">
      <alignment horizontal="center" shrinkToFit="0" vertical="center" wrapText="1"/>
    </xf>
    <xf borderId="41" fillId="2" fontId="3" numFmtId="0" xfId="0" applyAlignment="1" applyBorder="1" applyFill="1" applyFont="1">
      <alignment horizontal="center" vertical="center"/>
    </xf>
    <xf borderId="30" fillId="2" fontId="14" numFmtId="0" xfId="0" applyAlignment="1" applyBorder="1" applyFill="1" applyFont="1">
      <alignment vertical="center"/>
    </xf>
    <xf borderId="42" fillId="2" fontId="14" numFmtId="0" xfId="0" applyAlignment="1" applyBorder="1" applyFill="1" applyFont="1">
      <alignment vertical="center"/>
    </xf>
    <xf borderId="38" fillId="2" fontId="14" numFmtId="0" xfId="0" applyAlignment="1" applyBorder="1" applyFill="1" applyFont="1">
      <alignment vertical="center"/>
    </xf>
    <xf borderId="12" fillId="0" fontId="14" numFmtId="0" xfId="0" applyAlignment="1" applyBorder="1" applyFont="1">
      <alignment horizontal="center" vertical="top"/>
    </xf>
    <xf borderId="30" fillId="0" fontId="7" numFmtId="0" xfId="0" applyAlignment="1" applyBorder="1" applyFont="1">
      <alignment horizontal="left" vertical="center"/>
    </xf>
    <xf borderId="43" fillId="2" fontId="14" numFmtId="0" xfId="0" applyAlignment="1" applyBorder="1" applyFill="1" applyFont="1">
      <alignment vertical="center"/>
    </xf>
    <xf quotePrefix="1" borderId="30" fillId="2" fontId="14" numFmtId="0" xfId="0" applyAlignment="1" applyBorder="1" applyFill="1" applyFont="1">
      <alignment vertical="center"/>
    </xf>
    <xf borderId="35" fillId="0" fontId="14" numFmtId="0" xfId="0" applyAlignment="1" applyBorder="1" applyFont="1">
      <alignment horizontal="center" vertical="top"/>
    </xf>
    <xf borderId="42" fillId="2" fontId="7" numFmtId="0" xfId="0" applyAlignment="1" applyBorder="1" applyFill="1" applyFont="1">
      <alignment vertical="center"/>
    </xf>
    <xf borderId="38" fillId="2" fontId="7" numFmtId="0" xfId="0" applyAlignment="1" applyBorder="1" applyFill="1" applyFont="1">
      <alignment vertical="center"/>
    </xf>
    <xf borderId="36" fillId="0" fontId="14" numFmtId="0" xfId="0" applyAlignment="1" applyBorder="1" applyFont="1">
      <alignment horizontal="center" vertical="center"/>
    </xf>
    <xf borderId="35" fillId="0" fontId="14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2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comments23.xml.rels><?xml version="1.0" encoding="UTF-8" standalone="yes"?><Relationships xmlns="http://schemas.openxmlformats.org/package/2006/relationships"><Relationship Id="rId1" Type="http://customschemas.google.com/relationships/workbookmetadata" Target="commentsmeta21"/></Relationships>
</file>

<file path=xl/_rels/comments24.xml.rels><?xml version="1.0" encoding="UTF-8" standalone="yes"?><Relationships xmlns="http://schemas.openxmlformats.org/package/2006/relationships"><Relationship Id="rId1" Type="http://customschemas.google.com/relationships/workbookmetadata" Target="commentsmeta22"/></Relationships>
</file>

<file path=xl/_rels/comments25.xml.rels><?xml version="1.0" encoding="UTF-8" standalone="yes"?><Relationships xmlns="http://schemas.openxmlformats.org/package/2006/relationships"><Relationship Id="rId1" Type="http://customschemas.google.com/relationships/workbookmetadata" Target="commentsmeta23"/></Relationships>
</file>

<file path=xl/_rels/comments26.xml.rels><?xml version="1.0" encoding="UTF-8" standalone="yes"?><Relationships xmlns="http://schemas.openxmlformats.org/package/2006/relationships"><Relationship Id="rId1" Type="http://customschemas.google.com/relationships/workbookmetadata" Target="commentsmeta24"/></Relationships>
</file>

<file path=xl/_rels/comments27.xml.rels><?xml version="1.0" encoding="UTF-8" standalone="yes"?><Relationships xmlns="http://schemas.openxmlformats.org/package/2006/relationships"><Relationship Id="rId1" Type="http://customschemas.google.com/relationships/workbookmetadata" Target="commentsmeta25"/></Relationships>
</file>

<file path=xl/_rels/comments28.xml.rels><?xml version="1.0" encoding="UTF-8" standalone="yes"?><Relationships xmlns="http://schemas.openxmlformats.org/package/2006/relationships"><Relationship Id="rId1" Type="http://customschemas.google.com/relationships/workbookmetadata" Target="commentsmeta26"/></Relationships>
</file>

<file path=xl/_rels/comments29.xml.rels><?xml version="1.0" encoding="UTF-8" standalone="yes"?><Relationships xmlns="http://schemas.openxmlformats.org/package/2006/relationships"><Relationship Id="rId1" Type="http://customschemas.google.com/relationships/workbookmetadata" Target="commentsmeta27"/></Relationships>
</file>

<file path=xl/_rels/comments30.xml.rels><?xml version="1.0" encoding="UTF-8" standalone="yes"?><Relationships xmlns="http://schemas.openxmlformats.org/package/2006/relationships"><Relationship Id="rId1" Type="http://customschemas.google.com/relationships/workbookmetadata" Target="commentsmeta28"/></Relationships>
</file>

<file path=xl/_rels/comments31.xml.rels><?xml version="1.0" encoding="UTF-8" standalone="yes"?><Relationships xmlns="http://schemas.openxmlformats.org/package/2006/relationships"><Relationship Id="rId1" Type="http://customschemas.google.com/relationships/workbookmetadata" Target="commentsmeta30"/></Relationships>
</file>

<file path=xl/_rels/comments32.xml.rels><?xml version="1.0" encoding="UTF-8" standalone="yes"?><Relationships xmlns="http://schemas.openxmlformats.org/package/2006/relationships"><Relationship Id="rId1" Type="http://customschemas.google.com/relationships/workbookmetadata" Target="commentsmeta29"/></Relationships>
</file>

<file path=xl/_rels/comments33.xml.rels><?xml version="1.0" encoding="UTF-8" standalone="yes"?><Relationships xmlns="http://schemas.openxmlformats.org/package/2006/relationships"><Relationship Id="rId1" Type="http://customschemas.google.com/relationships/workbookmetadata" Target="commentsmeta3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BERAS IR 64 KWALITAS 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GRAFIK!$B$3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GRAFIK!$C$3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GRAFIK!$D$3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GRAFIK!$E$3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GRAFIK!$F$3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GRAFIK!$G$3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GRAFIK!$H$3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GRAFIK!$I$3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GRAFIK!$J$3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GRAFIK!$K$3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GRAFIK!$L$3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GRAFIK!$M$3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GRAFIK!$N$3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GRAFIK!$O$3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GRAFIK!$P$3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GRAFIK!$Q$3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GRAFIK!$R$3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GRAFIK!$S$3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GRAFIK!$T$3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GRAFIK!$U$3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GRAFIK!$V$3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GRAFIK!$W$3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GRAFIK!$X$3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GRAFIK!$Y$3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GRAFIK!$Z$3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GRAFIK!$AA$3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GRAFIK!$AB$3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GRAFIK!$AC$3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GRAFIK!$AD$3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GRAFIK!$AE$3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GRAFIK!$A$3</c:f>
            </c:strRef>
          </c:cat>
          <c:val>
            <c:numRef>
              <c:f>GRAFIK!$AF$3</c:f>
              <c:numCache/>
            </c:numRef>
          </c:val>
        </c:ser>
        <c:ser>
          <c:idx val="31"/>
          <c:order val="31"/>
          <c:tx>
            <c:strRef>
              <c:f>GRAFIK!$AG$2</c:f>
            </c:strRef>
          </c:tx>
          <c:cat>
            <c:strRef>
              <c:f>GRAFIK!$A$3</c:f>
            </c:strRef>
          </c:cat>
          <c:val>
            <c:numRef>
              <c:f>GRAFIK!$AG$3</c:f>
              <c:numCache/>
            </c:numRef>
          </c:val>
        </c:ser>
        <c:axId val="1951610915"/>
        <c:axId val="793172319"/>
      </c:barChart>
      <c:catAx>
        <c:axId val="195161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3172319"/>
      </c:catAx>
      <c:valAx>
        <c:axId val="793172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16109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BERAS IR 64 KWALITAS 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GRAFIK!$B$4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GRAFIK!$C$4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GRAFIK!$D$4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GRAFIK!$E$4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GRAFIK!$F$4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GRAFIK!$G$4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GRAFIK!$H$4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GRAFIK!$I$4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GRAFIK!$J$4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GRAFIK!$K$4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GRAFIK!$L$4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GRAFIK!$M$4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GRAFIK!$N$4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GRAFIK!$O$4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GRAFIK!$P$4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GRAFIK!$Q$4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GRAFIK!$R$4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GRAFIK!$S$4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GRAFIK!$T$4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GRAFIK!$U$4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GRAFIK!$V$4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GRAFIK!$W$4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GRAFIK!$X$4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GRAFIK!$Y$4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GRAFIK!$Z$4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GRAFIK!$AA$4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GRAFIK!$AB$4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GRAFIK!$AC$4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GRAFIK!$AD$4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GRAFIK!$AE$4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</c:f>
            </c:strRef>
          </c:cat>
          <c:val>
            <c:numRef>
              <c:f>GRAFIK!$AF$4</c:f>
              <c:numCache/>
            </c:numRef>
          </c:val>
        </c:ser>
        <c:ser>
          <c:idx val="31"/>
          <c:order val="31"/>
          <c:cat>
            <c:strRef>
              <c:f>GRAFIK!$A$4</c:f>
            </c:strRef>
          </c:cat>
          <c:val>
            <c:numRef>
              <c:f>GRAFIK!$AG$4</c:f>
              <c:numCache/>
            </c:numRef>
          </c:val>
        </c:ser>
        <c:axId val="192135547"/>
        <c:axId val="1814390188"/>
      </c:barChart>
      <c:catAx>
        <c:axId val="192135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4390188"/>
      </c:catAx>
      <c:valAx>
        <c:axId val="1814390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1355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BERAS IR 64 KWALITAS 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GRAFIK!$B$5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GRAFIK!$C$5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GRAFIK!$D$5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GRAFIK!$E$5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GRAFIK!$F$5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GRAFIK!$G$5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GRAFIK!$H$5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GRAFIK!$I$5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GRAFIK!$J$5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GRAFIK!$K$5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GRAFIK!$L$5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GRAFIK!$M$5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GRAFIK!$N$5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GRAFIK!$O$5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GRAFIK!$P$5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GRAFIK!$Q$5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GRAFIK!$R$5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GRAFIK!$S$5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GRAFIK!$T$5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GRAFIK!$U$5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GRAFIK!$V$5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GRAFIK!$W$5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GRAFIK!$X$5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GRAFIK!$Y$5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GRAFIK!$Z$5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GRAFIK!$AA$5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GRAFIK!$AB$5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GRAFIK!$AC$5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GRAFIK!$AD$5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GRAFIK!$AE$5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GRAFIK!$A$5</c:f>
            </c:strRef>
          </c:cat>
          <c:val>
            <c:numRef>
              <c:f>GRAFIK!$AF$5</c:f>
              <c:numCache/>
            </c:numRef>
          </c:val>
        </c:ser>
        <c:ser>
          <c:idx val="31"/>
          <c:order val="31"/>
          <c:cat>
            <c:strRef>
              <c:f>GRAFIK!$A$5</c:f>
            </c:strRef>
          </c:cat>
          <c:val>
            <c:numRef>
              <c:f>GRAFIK!$AG$5</c:f>
              <c:numCache/>
            </c:numRef>
          </c:val>
        </c:ser>
        <c:axId val="786886881"/>
        <c:axId val="1135932244"/>
      </c:barChart>
      <c:catAx>
        <c:axId val="786886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5932244"/>
      </c:catAx>
      <c:valAx>
        <c:axId val="1135932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688688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Gula Pasir Lokal Curah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GRAFIK!$B$25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GRAFIK!$C$25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GRAFIK!$D$25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GRAFIK!$E$25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GRAFIK!$F$25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GRAFIK!$G$25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GRAFIK!$H$25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GRAFIK!$I$25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GRAFIK!$J$25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GRAFIK!$K$25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GRAFIK!$L$25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GRAFIK!$M$25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GRAFIK!$N$25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GRAFIK!$O$25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GRAFIK!$P$25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GRAFIK!$Q$25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GRAFIK!$R$25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GRAFIK!$S$25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GRAFIK!$T$25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GRAFIK!$U$25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GRAFIK!$V$25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GRAFIK!$W$25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GRAFIK!$X$25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GRAFIK!$Y$25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GRAFIK!$Z$25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GRAFIK!$AA$25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GRAFIK!$AB$25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GRAFIK!$AC$25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GRAFIK!$AD$25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GRAFIK!$AE$25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GRAFIK!$A$25</c:f>
            </c:strRef>
          </c:cat>
          <c:val>
            <c:numRef>
              <c:f>GRAFIK!$AF$25</c:f>
              <c:numCache/>
            </c:numRef>
          </c:val>
        </c:ser>
        <c:ser>
          <c:idx val="31"/>
          <c:order val="31"/>
          <c:tx>
            <c:strRef>
              <c:f>GRAFIK!$AG$24</c:f>
            </c:strRef>
          </c:tx>
          <c:cat>
            <c:strRef>
              <c:f>GRAFIK!$A$25</c:f>
            </c:strRef>
          </c:cat>
          <c:val>
            <c:numRef>
              <c:f>GRAFIK!$AG$25</c:f>
              <c:numCache/>
            </c:numRef>
          </c:val>
        </c:ser>
        <c:axId val="387710077"/>
        <c:axId val="353679296"/>
      </c:barChart>
      <c:catAx>
        <c:axId val="38771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3679296"/>
      </c:catAx>
      <c:valAx>
        <c:axId val="353679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771007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MINYAK GORENG CURAH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GRAFIK!$B$47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GRAFIK!$C$47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GRAFIK!$D$47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GRAFIK!$E$47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GRAFIK!$F$47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GRAFIK!$G$47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GRAFIK!$H$47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GRAFIK!$I$47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GRAFIK!$J$47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GRAFIK!$K$47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GRAFIK!$L$47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GRAFIK!$M$47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GRAFIK!$N$47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GRAFIK!$O$47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GRAFIK!$P$47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GRAFIK!$Q$47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GRAFIK!$R$47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GRAFIK!$S$47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GRAFIK!$T$47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GRAFIK!$U$47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GRAFIK!$V$47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GRAFIK!$W$47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GRAFIK!$X$47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GRAFIK!$Y$47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GRAFIK!$Z$47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GRAFIK!$AA$47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GRAFIK!$AB$47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GRAFIK!$AC$47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GRAFIK!$AD$47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GRAFIK!$AE$47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GRAFIK!$A$47</c:f>
            </c:strRef>
          </c:cat>
          <c:val>
            <c:numRef>
              <c:f>GRAFIK!$AF$47</c:f>
              <c:numCache/>
            </c:numRef>
          </c:val>
        </c:ser>
        <c:ser>
          <c:idx val="31"/>
          <c:order val="31"/>
          <c:tx>
            <c:strRef>
              <c:f>GRAFIK!$AG$46</c:f>
            </c:strRef>
          </c:tx>
          <c:cat>
            <c:strRef>
              <c:f>GRAFIK!$A$47</c:f>
            </c:strRef>
          </c:cat>
          <c:val>
            <c:numRef>
              <c:f>GRAFIK!$AG$47</c:f>
              <c:numCache/>
            </c:numRef>
          </c:val>
        </c:ser>
        <c:axId val="1455996802"/>
        <c:axId val="2057237906"/>
      </c:barChart>
      <c:catAx>
        <c:axId val="1455996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7237906"/>
      </c:catAx>
      <c:valAx>
        <c:axId val="2057237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599680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DAGING AYAM BROILER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GRAFIK!$B$76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GRAFIK!$C$76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GRAFIK!$D$76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GRAFIK!$E$76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GRAFIK!$F$76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GRAFIK!$G$76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GRAFIK!$H$76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GRAFIK!$I$76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GRAFIK!$J$76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GRAFIK!$K$76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GRAFIK!$L$76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GRAFIK!$M$76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GRAFIK!$N$76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GRAFIK!$O$76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GRAFIK!$P$76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GRAFIK!$Q$76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GRAFIK!$R$76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GRAFIK!$S$76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GRAFIK!$T$76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GRAFIK!$U$76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GRAFIK!$V$76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GRAFIK!$W$76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GRAFIK!$X$76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GRAFIK!$Y$76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GRAFIK!$Z$76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GRAFIK!$AA$76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GRAFIK!$AB$76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GRAFIK!$AC$76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GRAFIK!$AD$76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GRAFIK!$AE$76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GRAFIK!$A$76</c:f>
            </c:strRef>
          </c:cat>
          <c:val>
            <c:numRef>
              <c:f>GRAFIK!$AF$76</c:f>
              <c:numCache/>
            </c:numRef>
          </c:val>
        </c:ser>
        <c:ser>
          <c:idx val="31"/>
          <c:order val="31"/>
          <c:tx>
            <c:strRef>
              <c:f>GRAFIK!$AG$75</c:f>
            </c:strRef>
          </c:tx>
          <c:cat>
            <c:strRef>
              <c:f>GRAFIK!$A$76</c:f>
            </c:strRef>
          </c:cat>
          <c:val>
            <c:numRef>
              <c:f>GRAFIK!$AG$76</c:f>
              <c:numCache/>
            </c:numRef>
          </c:val>
        </c:ser>
        <c:axId val="581048034"/>
        <c:axId val="1114971952"/>
      </c:barChart>
      <c:catAx>
        <c:axId val="581048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4971952"/>
      </c:catAx>
      <c:valAx>
        <c:axId val="1114971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104803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TELUR AYAM HORN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GRAFIK!$B$97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GRAFIK!$C$97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GRAFIK!$D$97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GRAFIK!$E$97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GRAFIK!$F$97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GRAFIK!$G$97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GRAFIK!$H$97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GRAFIK!$I$97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GRAFIK!$J$97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GRAFIK!$K$97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GRAFIK!$L$97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GRAFIK!$M$97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GRAFIK!$N$97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GRAFIK!$O$97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GRAFIK!$P$97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GRAFIK!$Q$97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GRAFIK!$R$97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GRAFIK!$S$97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GRAFIK!$T$97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GRAFIK!$U$97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GRAFIK!$V$97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GRAFIK!$W$97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GRAFIK!$X$97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GRAFIK!$Y$97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GRAFIK!$Z$97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GRAFIK!$AA$97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GRAFIK!$AB$97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GRAFIK!$AC$97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GRAFIK!$AD$97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GRAFIK!$AE$97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GRAFIK!$A$97</c:f>
            </c:strRef>
          </c:cat>
          <c:val>
            <c:numRef>
              <c:f>GRAFIK!$AF$97</c:f>
              <c:numCache/>
            </c:numRef>
          </c:val>
        </c:ser>
        <c:ser>
          <c:idx val="31"/>
          <c:order val="31"/>
          <c:tx>
            <c:strRef>
              <c:f>GRAFIK!$AG$96</c:f>
            </c:strRef>
          </c:tx>
          <c:cat>
            <c:strRef>
              <c:f>GRAFIK!$A$97</c:f>
            </c:strRef>
          </c:cat>
          <c:val>
            <c:numRef>
              <c:f>GRAFIK!$AG$97</c:f>
              <c:numCache/>
            </c:numRef>
          </c:val>
        </c:ser>
        <c:axId val="419504591"/>
        <c:axId val="1224381470"/>
      </c:barChart>
      <c:catAx>
        <c:axId val="41950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4381470"/>
      </c:catAx>
      <c:valAx>
        <c:axId val="1224381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95045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GARAM HALUS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GRAFIK!$B$117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GRAFIK!$C$117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GRAFIK!$D$117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GRAFIK!$E$117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GRAFIK!$F$117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GRAFIK!$G$117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GRAFIK!$H$117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GRAFIK!$I$117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GRAFIK!$J$117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GRAFIK!$K$117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GRAFIK!$L$117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GRAFIK!$M$117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GRAFIK!$N$117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GRAFIK!$O$117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GRAFIK!$P$117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GRAFIK!$Q$117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GRAFIK!$R$117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GRAFIK!$S$117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GRAFIK!$T$117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GRAFIK!$U$117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GRAFIK!$V$117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GRAFIK!$W$117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GRAFIK!$X$117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GRAFIK!$Y$117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GRAFIK!$Z$117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GRAFIK!$AA$117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GRAFIK!$AB$117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GRAFIK!$AC$117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GRAFIK!$AD$117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GRAFIK!$AE$117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GRAFIK!$A$117</c:f>
            </c:strRef>
          </c:cat>
          <c:val>
            <c:numRef>
              <c:f>GRAFIK!$AF$117</c:f>
              <c:numCache/>
            </c:numRef>
          </c:val>
        </c:ser>
        <c:ser>
          <c:idx val="31"/>
          <c:order val="31"/>
          <c:tx>
            <c:strRef>
              <c:f>GRAFIK!$AG$116</c:f>
            </c:strRef>
          </c:tx>
          <c:cat>
            <c:strRef>
              <c:f>GRAFIK!$A$117</c:f>
            </c:strRef>
          </c:cat>
          <c:val>
            <c:numRef>
              <c:f>GRAFIK!$AG$117</c:f>
              <c:numCache/>
            </c:numRef>
          </c:val>
        </c:ser>
        <c:axId val="1165601785"/>
        <c:axId val="1771923310"/>
      </c:barChart>
      <c:catAx>
        <c:axId val="1165601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1923310"/>
      </c:catAx>
      <c:valAx>
        <c:axId val="1771923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56017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KACANG KEDELAI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GRAFIK!$B$150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GRAFIK!$C$150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GRAFIK!$D$150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GRAFIK!$E$150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GRAFIK!$F$150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GRAFIK!$G$150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GRAFIK!$H$150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GRAFIK!$I$150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GRAFIK!$J$150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GRAFIK!$K$150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GRAFIK!$L$150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GRAFIK!$M$150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GRAFIK!$N$150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GRAFIK!$O$150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GRAFIK!$P$150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GRAFIK!$Q$150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GRAFIK!$R$150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GRAFIK!$S$150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GRAFIK!$T$150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GRAFIK!$U$150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GRAFIK!$V$150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GRAFIK!$W$150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GRAFIK!$X$150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GRAFIK!$Y$150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GRAFIK!$Z$150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GRAFIK!$AA$150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GRAFIK!$AB$150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GRAFIK!$AC$150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GRAFIK!$AD$150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GRAFIK!$AE$150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GRAFIK!$A$150</c:f>
            </c:strRef>
          </c:cat>
          <c:val>
            <c:numRef>
              <c:f>GRAFIK!$AF$150</c:f>
              <c:numCache/>
            </c:numRef>
          </c:val>
        </c:ser>
        <c:ser>
          <c:idx val="31"/>
          <c:order val="31"/>
          <c:tx>
            <c:strRef>
              <c:f>GRAFIK!$AG$149</c:f>
            </c:strRef>
          </c:tx>
          <c:cat>
            <c:strRef>
              <c:f>GRAFIK!$A$150</c:f>
            </c:strRef>
          </c:cat>
          <c:val>
            <c:numRef>
              <c:f>GRAFIK!$AG$150</c:f>
              <c:numCache/>
            </c:numRef>
          </c:val>
        </c:ser>
        <c:axId val="24712571"/>
        <c:axId val="645444130"/>
      </c:barChart>
      <c:catAx>
        <c:axId val="24712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5444130"/>
      </c:catAx>
      <c:valAx>
        <c:axId val="645444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71257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CABE MERAH BESAR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GRAFIK!$B$170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GRAFIK!$C$170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GRAFIK!$D$170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GRAFIK!$E$170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GRAFIK!$F$170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GRAFIK!$G$170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GRAFIK!$H$170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GRAFIK!$I$170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GRAFIK!$J$170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GRAFIK!$K$170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GRAFIK!$L$170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GRAFIK!$M$170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GRAFIK!$N$170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GRAFIK!$O$170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GRAFIK!$P$170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GRAFIK!$Q$170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GRAFIK!$R$170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GRAFIK!$S$170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GRAFIK!$T$170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GRAFIK!$U$170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GRAFIK!$V$170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GRAFIK!$W$170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GRAFIK!$X$170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GRAFIK!$Y$170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GRAFIK!$Z$170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GRAFIK!$AA$170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GRAFIK!$AB$170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GRAFIK!$AC$170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GRAFIK!$AD$170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GRAFIK!$AE$170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GRAFIK!$A$170</c:f>
            </c:strRef>
          </c:cat>
          <c:val>
            <c:numRef>
              <c:f>GRAFIK!$AF$170</c:f>
              <c:numCache/>
            </c:numRef>
          </c:val>
        </c:ser>
        <c:ser>
          <c:idx val="31"/>
          <c:order val="31"/>
          <c:tx>
            <c:strRef>
              <c:f>GRAFIK!$AG$169</c:f>
            </c:strRef>
          </c:tx>
          <c:cat>
            <c:strRef>
              <c:f>GRAFIK!$A$170</c:f>
            </c:strRef>
          </c:cat>
          <c:val>
            <c:numRef>
              <c:f>GRAFIK!$AG$170</c:f>
              <c:numCache/>
            </c:numRef>
          </c:val>
        </c:ser>
        <c:axId val="2016533305"/>
        <c:axId val="1521009015"/>
      </c:barChart>
      <c:catAx>
        <c:axId val="2016533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1009015"/>
      </c:catAx>
      <c:valAx>
        <c:axId val="1521009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65333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CABE MERAH KERITING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GRAFIK!$B$171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GRAFIK!$C$171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GRAFIK!$D$171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GRAFIK!$E$171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GRAFIK!$F$171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GRAFIK!$G$171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GRAFIK!$H$171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GRAFIK!$I$171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GRAFIK!$J$171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GRAFIK!$K$171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GRAFIK!$L$171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GRAFIK!$M$171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GRAFIK!$N$171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GRAFIK!$O$171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GRAFIK!$P$171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GRAFIK!$Q$171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GRAFIK!$R$171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GRAFIK!$S$171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GRAFIK!$T$171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GRAFIK!$U$171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GRAFIK!$V$171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GRAFIK!$W$171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GRAFIK!$X$171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GRAFIK!$Y$171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GRAFIK!$Z$171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GRAFIK!$AA$171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GRAFIK!$AB$171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GRAFIK!$AC$171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GRAFIK!$AD$171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GRAFIK!$AE$171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GRAFIK!$A$171</c:f>
            </c:strRef>
          </c:cat>
          <c:val>
            <c:numRef>
              <c:f>GRAFIK!$AF$171</c:f>
              <c:numCache/>
            </c:numRef>
          </c:val>
        </c:ser>
        <c:ser>
          <c:idx val="31"/>
          <c:order val="31"/>
          <c:cat>
            <c:strRef>
              <c:f>GRAFIK!$A$171</c:f>
            </c:strRef>
          </c:cat>
          <c:val>
            <c:numRef>
              <c:f>GRAFIK!$AG$171</c:f>
              <c:numCache/>
            </c:numRef>
          </c:val>
        </c:ser>
        <c:axId val="112442267"/>
        <c:axId val="1583403932"/>
      </c:barChart>
      <c:catAx>
        <c:axId val="112442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3403932"/>
      </c:catAx>
      <c:valAx>
        <c:axId val="1583403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244226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CABE RAWIT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GRAFIK!$B$172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GRAFIK!$C$172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GRAFIK!$D$172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GRAFIK!$E$172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GRAFIK!$F$172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GRAFIK!$G$172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GRAFIK!$H$172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GRAFIK!$I$172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GRAFIK!$J$172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GRAFIK!$K$172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GRAFIK!$L$172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GRAFIK!$M$172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GRAFIK!$N$172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GRAFIK!$O$172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GRAFIK!$P$172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GRAFIK!$Q$172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GRAFIK!$R$172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GRAFIK!$S$172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GRAFIK!$T$172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GRAFIK!$U$172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GRAFIK!$V$172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GRAFIK!$W$172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GRAFIK!$X$172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GRAFIK!$Y$172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GRAFIK!$Z$172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GRAFIK!$AA$172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GRAFIK!$AB$172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GRAFIK!$AC$172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GRAFIK!$AD$172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GRAFIK!$AE$172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GRAFIK!$A$172</c:f>
            </c:strRef>
          </c:cat>
          <c:val>
            <c:numRef>
              <c:f>GRAFIK!$AF$172</c:f>
              <c:numCache/>
            </c:numRef>
          </c:val>
        </c:ser>
        <c:ser>
          <c:idx val="31"/>
          <c:order val="31"/>
          <c:cat>
            <c:strRef>
              <c:f>GRAFIK!$A$172</c:f>
            </c:strRef>
          </c:cat>
          <c:val>
            <c:numRef>
              <c:f>GRAFIK!$AG$172</c:f>
              <c:numCache/>
            </c:numRef>
          </c:val>
        </c:ser>
        <c:axId val="2003715191"/>
        <c:axId val="408120236"/>
      </c:barChart>
      <c:catAx>
        <c:axId val="2003715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8120236"/>
      </c:catAx>
      <c:valAx>
        <c:axId val="408120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37151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BAWANG PUTIH KATING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GRAFIK!$B$194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GRAFIK!$C$194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GRAFIK!$D$194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GRAFIK!$E$194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GRAFIK!$F$194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GRAFIK!$G$194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GRAFIK!$H$194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GRAFIK!$I$194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GRAFIK!$J$194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GRAFIK!$K$194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GRAFIK!$L$194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GRAFIK!$M$194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GRAFIK!$N$194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GRAFIK!$O$194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GRAFIK!$P$194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GRAFIK!$Q$194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GRAFIK!$R$194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GRAFIK!$S$194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GRAFIK!$T$194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GRAFIK!$U$194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GRAFIK!$V$194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GRAFIK!$W$194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GRAFIK!$X$194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GRAFIK!$Y$194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GRAFIK!$Z$194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GRAFIK!$AA$194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GRAFIK!$AB$194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GRAFIK!$AC$194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GRAFIK!$AD$194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GRAFIK!$AE$194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GRAFIK!$A$194</c:f>
            </c:strRef>
          </c:cat>
          <c:val>
            <c:numRef>
              <c:f>GRAFIK!$AF$194</c:f>
              <c:numCache/>
            </c:numRef>
          </c:val>
        </c:ser>
        <c:ser>
          <c:idx val="31"/>
          <c:order val="31"/>
          <c:tx>
            <c:strRef>
              <c:f>GRAFIK!$AG$193</c:f>
            </c:strRef>
          </c:tx>
          <c:cat>
            <c:strRef>
              <c:f>GRAFIK!$A$194</c:f>
            </c:strRef>
          </c:cat>
          <c:val>
            <c:numRef>
              <c:f>GRAFIK!$AG$194</c:f>
              <c:numCache/>
            </c:numRef>
          </c:val>
        </c:ser>
        <c:axId val="1071258153"/>
        <c:axId val="1229492006"/>
      </c:barChart>
      <c:catAx>
        <c:axId val="1071258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9492006"/>
      </c:catAx>
      <c:valAx>
        <c:axId val="1229492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125815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BAWANG PUTIH SINCO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GRAFIK!$B$195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GRAFIK!$C$195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GRAFIK!$D$195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GRAFIK!$E$195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GRAFIK!$F$195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GRAFIK!$G$195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GRAFIK!$H$195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GRAFIK!$I$195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GRAFIK!$J$195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GRAFIK!$K$195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GRAFIK!$L$195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GRAFIK!$M$195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GRAFIK!$N$195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GRAFIK!$O$195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GRAFIK!$P$195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GRAFIK!$Q$195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GRAFIK!$R$195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GRAFIK!$S$195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GRAFIK!$T$195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GRAFIK!$U$195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GRAFIK!$V$195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GRAFIK!$W$195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GRAFIK!$X$195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GRAFIK!$Y$195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GRAFIK!$Z$195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GRAFIK!$AA$195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GRAFIK!$AB$195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GRAFIK!$AC$195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GRAFIK!$AD$195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GRAFIK!$AE$195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GRAFIK!$A$195</c:f>
            </c:strRef>
          </c:cat>
          <c:val>
            <c:numRef>
              <c:f>GRAFIK!$AF$195</c:f>
              <c:numCache/>
            </c:numRef>
          </c:val>
        </c:ser>
        <c:ser>
          <c:idx val="31"/>
          <c:order val="31"/>
          <c:cat>
            <c:strRef>
              <c:f>GRAFIK!$A$195</c:f>
            </c:strRef>
          </c:cat>
          <c:val>
            <c:numRef>
              <c:f>GRAFIK!$AG$195</c:f>
              <c:numCache/>
            </c:numRef>
          </c:val>
        </c:ser>
        <c:axId val="1413489646"/>
        <c:axId val="1747160306"/>
      </c:barChart>
      <c:catAx>
        <c:axId val="1413489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7160306"/>
      </c:catAx>
      <c:valAx>
        <c:axId val="1747160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348964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BAWANG MERAH / BRAMBANG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GRAFIK!$B$196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GRAFIK!$C$196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GRAFIK!$D$196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GRAFIK!$E$196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GRAFIK!$F$196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GRAFIK!$G$196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GRAFIK!$H$196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GRAFIK!$I$196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GRAFIK!$J$196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GRAFIK!$K$196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GRAFIK!$L$196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GRAFIK!$M$196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GRAFIK!$N$196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GRAFIK!$O$196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GRAFIK!$P$196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GRAFIK!$Q$196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GRAFIK!$R$196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GRAFIK!$S$196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GRAFIK!$T$196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GRAFIK!$U$196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GRAFIK!$V$196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GRAFIK!$W$196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GRAFIK!$X$196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GRAFIK!$Y$196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GRAFIK!$Z$196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GRAFIK!$AA$196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GRAFIK!$AB$196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GRAFIK!$AC$196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GRAFIK!$AD$196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GRAFIK!$AE$196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GRAFIK!$A$196</c:f>
            </c:strRef>
          </c:cat>
          <c:val>
            <c:numRef>
              <c:f>GRAFIK!$AF$196</c:f>
              <c:numCache/>
            </c:numRef>
          </c:val>
        </c:ser>
        <c:ser>
          <c:idx val="31"/>
          <c:order val="31"/>
          <c:cat>
            <c:strRef>
              <c:f>GRAFIK!$A$196</c:f>
            </c:strRef>
          </c:cat>
          <c:val>
            <c:numRef>
              <c:f>GRAFIK!$AG$196</c:f>
              <c:numCache/>
            </c:numRef>
          </c:val>
        </c:ser>
        <c:axId val="907467402"/>
        <c:axId val="840728046"/>
      </c:barChart>
      <c:catAx>
        <c:axId val="907467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0728046"/>
      </c:catAx>
      <c:valAx>
        <c:axId val="840728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746740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BOMBAI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GRAFIK!$B$197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GRAFIK!$C$197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GRAFIK!$D$197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GRAFIK!$E$197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GRAFIK!$F$197</c:f>
              <c:numCache/>
            </c:numRef>
          </c:val>
        </c:ser>
        <c:ser>
          <c:idx val="5"/>
          <c:order val="5"/>
          <c:tx>
            <c:v>6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GRAFIK!$G$197</c:f>
              <c:numCache/>
            </c:numRef>
          </c:val>
        </c:ser>
        <c:ser>
          <c:idx val="6"/>
          <c:order val="6"/>
          <c:tx>
            <c:v>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GRAFIK!$H$197</c:f>
              <c:numCache/>
            </c:numRef>
          </c:val>
        </c:ser>
        <c:ser>
          <c:idx val="7"/>
          <c:order val="7"/>
          <c:tx>
            <c:v>8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GRAFIK!$I$197</c:f>
              <c:numCache/>
            </c:numRef>
          </c:val>
        </c:ser>
        <c:ser>
          <c:idx val="8"/>
          <c:order val="8"/>
          <c:tx>
            <c:v>9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GRAFIK!$J$197</c:f>
              <c:numCache/>
            </c:numRef>
          </c:val>
        </c:ser>
        <c:ser>
          <c:idx val="9"/>
          <c:order val="9"/>
          <c:tx>
            <c:v>10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GRAFIK!$K$197</c:f>
              <c:numCache/>
            </c:numRef>
          </c:val>
        </c:ser>
        <c:ser>
          <c:idx val="10"/>
          <c:order val="10"/>
          <c:tx>
            <c:v>11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GRAFIK!$L$197</c:f>
              <c:numCache/>
            </c:numRef>
          </c:val>
        </c:ser>
        <c:ser>
          <c:idx val="11"/>
          <c:order val="11"/>
          <c:tx>
            <c:v>12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GRAFIK!$M$197</c:f>
              <c:numCache/>
            </c:numRef>
          </c:val>
        </c:ser>
        <c:ser>
          <c:idx val="12"/>
          <c:order val="12"/>
          <c:tx>
            <c:v>13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GRAFIK!$N$197</c:f>
              <c:numCache/>
            </c:numRef>
          </c:val>
        </c:ser>
        <c:ser>
          <c:idx val="13"/>
          <c:order val="13"/>
          <c:tx>
            <c:v>14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GRAFIK!$O$197</c:f>
              <c:numCache/>
            </c:numRef>
          </c:val>
        </c:ser>
        <c:ser>
          <c:idx val="14"/>
          <c:order val="14"/>
          <c:tx>
            <c:v>15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GRAFIK!$P$197</c:f>
              <c:numCache/>
            </c:numRef>
          </c:val>
        </c:ser>
        <c:ser>
          <c:idx val="15"/>
          <c:order val="15"/>
          <c:tx>
            <c:v>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GRAFIK!$Q$197</c:f>
              <c:numCache/>
            </c:numRef>
          </c:val>
        </c:ser>
        <c:ser>
          <c:idx val="16"/>
          <c:order val="16"/>
          <c:tx>
            <c:v>17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GRAFIK!$R$197</c:f>
              <c:numCache/>
            </c:numRef>
          </c:val>
        </c:ser>
        <c:ser>
          <c:idx val="17"/>
          <c:order val="17"/>
          <c:tx>
            <c:v>18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GRAFIK!$S$197</c:f>
              <c:numCache/>
            </c:numRef>
          </c:val>
        </c:ser>
        <c:ser>
          <c:idx val="18"/>
          <c:order val="18"/>
          <c:tx>
            <c:v>19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GRAFIK!$T$197</c:f>
              <c:numCache/>
            </c:numRef>
          </c:val>
        </c:ser>
        <c:ser>
          <c:idx val="19"/>
          <c:order val="19"/>
          <c:tx>
            <c:v>20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GRAFIK!$U$197</c:f>
              <c:numCache/>
            </c:numRef>
          </c:val>
        </c:ser>
        <c:ser>
          <c:idx val="20"/>
          <c:order val="20"/>
          <c:tx>
            <c:v>21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GRAFIK!$V$197</c:f>
              <c:numCache/>
            </c:numRef>
          </c:val>
        </c:ser>
        <c:ser>
          <c:idx val="21"/>
          <c:order val="21"/>
          <c:tx>
            <c:v>22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GRAFIK!$W$197</c:f>
              <c:numCache/>
            </c:numRef>
          </c:val>
        </c:ser>
        <c:ser>
          <c:idx val="22"/>
          <c:order val="22"/>
          <c:tx>
            <c:v>23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GRAFIK!$X$197</c:f>
              <c:numCache/>
            </c:numRef>
          </c:val>
        </c:ser>
        <c:ser>
          <c:idx val="23"/>
          <c:order val="23"/>
          <c:tx>
            <c:v>24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GRAFIK!$Y$197</c:f>
              <c:numCache/>
            </c:numRef>
          </c:val>
        </c:ser>
        <c:ser>
          <c:idx val="24"/>
          <c:order val="24"/>
          <c:tx>
            <c:v>25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GRAFIK!$Z$197</c:f>
              <c:numCache/>
            </c:numRef>
          </c:val>
        </c:ser>
        <c:ser>
          <c:idx val="25"/>
          <c:order val="25"/>
          <c:tx>
            <c:v>26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GRAFIK!$AA$197</c:f>
              <c:numCache/>
            </c:numRef>
          </c:val>
        </c:ser>
        <c:ser>
          <c:idx val="26"/>
          <c:order val="26"/>
          <c:tx>
            <c:v>27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GRAFIK!$AB$197</c:f>
              <c:numCache/>
            </c:numRef>
          </c:val>
        </c:ser>
        <c:ser>
          <c:idx val="27"/>
          <c:order val="27"/>
          <c:tx>
            <c:v>28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GRAFIK!$AC$197</c:f>
              <c:numCache/>
            </c:numRef>
          </c:val>
        </c:ser>
        <c:ser>
          <c:idx val="28"/>
          <c:order val="28"/>
          <c:tx>
            <c:v>29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GRAFIK!$AD$197</c:f>
              <c:numCache/>
            </c:numRef>
          </c:val>
        </c:ser>
        <c:ser>
          <c:idx val="29"/>
          <c:order val="29"/>
          <c:tx>
            <c:v>30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GRAFIK!$AE$197</c:f>
              <c:numCache/>
            </c:numRef>
          </c:val>
        </c:ser>
        <c:ser>
          <c:idx val="30"/>
          <c:order val="30"/>
          <c:tx>
            <c:v>31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GRAFIK!$A$197</c:f>
            </c:strRef>
          </c:cat>
          <c:val>
            <c:numRef>
              <c:f>GRAFIK!$AF$197</c:f>
              <c:numCache/>
            </c:numRef>
          </c:val>
        </c:ser>
        <c:ser>
          <c:idx val="31"/>
          <c:order val="31"/>
          <c:cat>
            <c:strRef>
              <c:f>GRAFIK!$A$197</c:f>
            </c:strRef>
          </c:cat>
          <c:val>
            <c:numRef>
              <c:f>GRAFIK!$AG$197</c:f>
              <c:numCache/>
            </c:numRef>
          </c:val>
        </c:ser>
        <c:axId val="1933127029"/>
        <c:axId val="1211478257"/>
      </c:barChart>
      <c:catAx>
        <c:axId val="1933127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1478257"/>
      </c:catAx>
      <c:valAx>
        <c:axId val="1211478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31270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6</xdr:row>
      <xdr:rowOff>57150</xdr:rowOff>
    </xdr:from>
    <xdr:ext cx="4572000" cy="2876550"/>
    <xdr:graphicFrame>
      <xdr:nvGraphicFramePr>
        <xdr:cNvPr id="30415647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133350</xdr:colOff>
      <xdr:row>6</xdr:row>
      <xdr:rowOff>66675</xdr:rowOff>
    </xdr:from>
    <xdr:ext cx="4572000" cy="2876550"/>
    <xdr:graphicFrame>
      <xdr:nvGraphicFramePr>
        <xdr:cNvPr id="12235968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57150</xdr:colOff>
      <xdr:row>6</xdr:row>
      <xdr:rowOff>95250</xdr:rowOff>
    </xdr:from>
    <xdr:ext cx="4572000" cy="2876550"/>
    <xdr:graphicFrame>
      <xdr:nvGraphicFramePr>
        <xdr:cNvPr id="198699245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466725</xdr:colOff>
      <xdr:row>26</xdr:row>
      <xdr:rowOff>104775</xdr:rowOff>
    </xdr:from>
    <xdr:ext cx="6705600" cy="2876550"/>
    <xdr:graphicFrame>
      <xdr:nvGraphicFramePr>
        <xdr:cNvPr id="80604478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533400</xdr:colOff>
      <xdr:row>48</xdr:row>
      <xdr:rowOff>0</xdr:rowOff>
    </xdr:from>
    <xdr:ext cx="6591300" cy="2876550"/>
    <xdr:graphicFrame>
      <xdr:nvGraphicFramePr>
        <xdr:cNvPr id="78381929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466725</xdr:colOff>
      <xdr:row>77</xdr:row>
      <xdr:rowOff>123825</xdr:rowOff>
    </xdr:from>
    <xdr:ext cx="6915150" cy="2886075"/>
    <xdr:graphicFrame>
      <xdr:nvGraphicFramePr>
        <xdr:cNvPr id="71022753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542925</xdr:colOff>
      <xdr:row>98</xdr:row>
      <xdr:rowOff>104775</xdr:rowOff>
    </xdr:from>
    <xdr:ext cx="6877050" cy="2876550"/>
    <xdr:graphicFrame>
      <xdr:nvGraphicFramePr>
        <xdr:cNvPr id="151136490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561975</xdr:colOff>
      <xdr:row>118</xdr:row>
      <xdr:rowOff>95250</xdr:rowOff>
    </xdr:from>
    <xdr:ext cx="6867525" cy="2876550"/>
    <xdr:graphicFrame>
      <xdr:nvGraphicFramePr>
        <xdr:cNvPr id="146057981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666750</xdr:colOff>
      <xdr:row>151</xdr:row>
      <xdr:rowOff>76200</xdr:rowOff>
    </xdr:from>
    <xdr:ext cx="6886575" cy="2876550"/>
    <xdr:graphicFrame>
      <xdr:nvGraphicFramePr>
        <xdr:cNvPr id="1867569765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247650</xdr:colOff>
      <xdr:row>173</xdr:row>
      <xdr:rowOff>85725</xdr:rowOff>
    </xdr:from>
    <xdr:ext cx="5343525" cy="2876550"/>
    <xdr:graphicFrame>
      <xdr:nvGraphicFramePr>
        <xdr:cNvPr id="161660912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114300</xdr:colOff>
      <xdr:row>173</xdr:row>
      <xdr:rowOff>95250</xdr:rowOff>
    </xdr:from>
    <xdr:ext cx="6315075" cy="2876550"/>
    <xdr:graphicFrame>
      <xdr:nvGraphicFramePr>
        <xdr:cNvPr id="84437820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18</xdr:col>
      <xdr:colOff>495300</xdr:colOff>
      <xdr:row>173</xdr:row>
      <xdr:rowOff>152400</xdr:rowOff>
    </xdr:from>
    <xdr:ext cx="6315075" cy="2886075"/>
    <xdr:graphicFrame>
      <xdr:nvGraphicFramePr>
        <xdr:cNvPr id="1126496184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314325</xdr:colOff>
      <xdr:row>198</xdr:row>
      <xdr:rowOff>95250</xdr:rowOff>
    </xdr:from>
    <xdr:ext cx="4572000" cy="2876550"/>
    <xdr:graphicFrame>
      <xdr:nvGraphicFramePr>
        <xdr:cNvPr id="135899781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323850</xdr:colOff>
      <xdr:row>198</xdr:row>
      <xdr:rowOff>123825</xdr:rowOff>
    </xdr:from>
    <xdr:ext cx="4867275" cy="2886075"/>
    <xdr:graphicFrame>
      <xdr:nvGraphicFramePr>
        <xdr:cNvPr id="57307144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14</xdr:col>
      <xdr:colOff>38100</xdr:colOff>
      <xdr:row>198</xdr:row>
      <xdr:rowOff>114300</xdr:rowOff>
    </xdr:from>
    <xdr:ext cx="5000625" cy="2886075"/>
    <xdr:graphicFrame>
      <xdr:nvGraphicFramePr>
        <xdr:cNvPr id="54502977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23</xdr:col>
      <xdr:colOff>304800</xdr:colOff>
      <xdr:row>198</xdr:row>
      <xdr:rowOff>123825</xdr:rowOff>
    </xdr:from>
    <xdr:ext cx="5257800" cy="2886075"/>
    <xdr:graphicFrame>
      <xdr:nvGraphicFramePr>
        <xdr:cNvPr id="900052584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352425</xdr:colOff>
      <xdr:row>2</xdr:row>
      <xdr:rowOff>361950</xdr:rowOff>
    </xdr:from>
    <xdr:ext cx="1647825" cy="1466850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10</xdr:row>
      <xdr:rowOff>47625</xdr:rowOff>
    </xdr:from>
    <xdr:ext cx="1647825" cy="962025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0</xdr:row>
      <xdr:rowOff>19050</xdr:rowOff>
    </xdr:from>
    <xdr:ext cx="1647825" cy="962025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76225"/>
    <xdr:sp>
      <xdr:nvSpPr>
        <xdr:cNvPr id="6" name="Shape 6"/>
        <xdr:cNvSpPr txBox="1"/>
      </xdr:nvSpPr>
      <xdr:spPr>
        <a:xfrm>
          <a:off x="5252015" y="3642844"/>
          <a:ext cx="187971" cy="2743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7" name="Shape 7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7" name="Shape 7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7" name="Shape 7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7" name="Shape 7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95275"/>
    <xdr:sp>
      <xdr:nvSpPr>
        <xdr:cNvPr id="8" name="Shape 8"/>
        <xdr:cNvSpPr txBox="1"/>
      </xdr:nvSpPr>
      <xdr:spPr>
        <a:xfrm>
          <a:off x="5252015" y="3633548"/>
          <a:ext cx="187971" cy="29290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9" name="Shape 9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5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6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7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8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9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30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2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3.0"/>
    <col customWidth="1" min="4" max="16" width="8.71"/>
    <col customWidth="1" min="17" max="34" width="8.86"/>
    <col customWidth="1" min="35" max="36" width="10.29"/>
    <col customWidth="1" min="37" max="37" width="8.14"/>
  </cols>
  <sheetData>
    <row r="1">
      <c r="A1" s="1" t="s">
        <v>0</v>
      </c>
    </row>
    <row r="2">
      <c r="A2" s="2" t="s">
        <v>1</v>
      </c>
    </row>
    <row r="3">
      <c r="A3" s="4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ht="15.0" customHeight="1">
      <c r="A4" s="11" t="s">
        <v>6</v>
      </c>
      <c r="B4" s="14" t="s">
        <v>8</v>
      </c>
      <c r="C4" s="11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42" t="s">
        <v>20</v>
      </c>
      <c r="AJ4" s="44" t="s">
        <v>21</v>
      </c>
    </row>
    <row r="5">
      <c r="A5" s="24"/>
      <c r="B5" s="24"/>
      <c r="C5" s="24"/>
      <c r="D5" s="46">
        <v>1.0</v>
      </c>
      <c r="E5" s="46">
        <v>2.0</v>
      </c>
      <c r="F5" s="46">
        <v>3.0</v>
      </c>
      <c r="G5" s="46">
        <v>4.0</v>
      </c>
      <c r="H5" s="46">
        <v>5.0</v>
      </c>
      <c r="I5" s="46">
        <v>6.0</v>
      </c>
      <c r="J5" s="46">
        <v>7.0</v>
      </c>
      <c r="K5" s="46">
        <v>8.0</v>
      </c>
      <c r="L5" s="46">
        <v>9.0</v>
      </c>
      <c r="M5" s="46">
        <v>10.0</v>
      </c>
      <c r="N5" s="46">
        <v>11.0</v>
      </c>
      <c r="O5" s="46">
        <v>12.0</v>
      </c>
      <c r="P5" s="46">
        <v>13.0</v>
      </c>
      <c r="Q5" s="46">
        <v>14.0</v>
      </c>
      <c r="R5" s="46">
        <v>15.0</v>
      </c>
      <c r="S5" s="46">
        <v>16.0</v>
      </c>
      <c r="T5" s="46">
        <v>17.0</v>
      </c>
      <c r="U5" s="46">
        <v>18.0</v>
      </c>
      <c r="V5" s="46">
        <v>19.0</v>
      </c>
      <c r="W5" s="46">
        <v>20.0</v>
      </c>
      <c r="X5" s="46">
        <v>21.0</v>
      </c>
      <c r="Y5" s="46">
        <v>22.0</v>
      </c>
      <c r="Z5" s="46">
        <v>23.0</v>
      </c>
      <c r="AA5" s="46">
        <v>24.0</v>
      </c>
      <c r="AB5" s="46">
        <v>25.0</v>
      </c>
      <c r="AC5" s="46">
        <v>26.0</v>
      </c>
      <c r="AD5" s="46">
        <v>27.0</v>
      </c>
      <c r="AE5" s="46">
        <v>28.0</v>
      </c>
      <c r="AF5" s="46">
        <v>29.0</v>
      </c>
      <c r="AG5" s="46">
        <v>30.0</v>
      </c>
      <c r="AH5" s="46">
        <v>31.0</v>
      </c>
      <c r="AI5" s="24"/>
      <c r="AJ5" s="24"/>
    </row>
    <row r="6" ht="21.0" customHeight="1">
      <c r="A6" s="30"/>
      <c r="B6" s="30"/>
      <c r="C6" s="30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30"/>
      <c r="AJ6" s="30"/>
    </row>
    <row r="7">
      <c r="A7" s="83">
        <v>1.0</v>
      </c>
      <c r="B7" s="84" t="s">
        <v>19</v>
      </c>
      <c r="C7" s="85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91"/>
      <c r="AJ7" s="86"/>
    </row>
    <row r="8">
      <c r="A8" s="24"/>
      <c r="B8" s="93" t="s">
        <v>22</v>
      </c>
      <c r="C8" s="94" t="s">
        <v>23</v>
      </c>
      <c r="D8" s="95">
        <f>'1'!K8</f>
        <v>12471.42857</v>
      </c>
      <c r="E8" s="95">
        <f>'2'!K8</f>
        <v>12471.42857</v>
      </c>
      <c r="F8" s="95">
        <f>'3'!K8</f>
        <v>12471.42857</v>
      </c>
      <c r="G8" s="95">
        <f>'4'!K8</f>
        <v>12471.42857</v>
      </c>
      <c r="H8" s="95">
        <f>'5'!K8</f>
        <v>12471.42857</v>
      </c>
      <c r="I8" s="95">
        <f>'6'!K8</f>
        <v>12471.42857</v>
      </c>
      <c r="J8" s="95">
        <f>'7'!K8</f>
        <v>12471.42857</v>
      </c>
      <c r="K8" s="95">
        <f>'8'!K8</f>
        <v>12471.42857</v>
      </c>
      <c r="L8" s="95">
        <f>'9'!K8</f>
        <v>12471.42857</v>
      </c>
      <c r="M8" s="95">
        <f>'10'!K8</f>
        <v>12471.42857</v>
      </c>
      <c r="N8" s="95">
        <f>'11'!K8</f>
        <v>12471.42857</v>
      </c>
      <c r="O8" s="95">
        <f>'12'!K8</f>
        <v>12471.42857</v>
      </c>
      <c r="P8" s="95">
        <f>'13'!K8</f>
        <v>12471.42857</v>
      </c>
      <c r="Q8" s="95">
        <f>'14'!K8</f>
        <v>12471.42857</v>
      </c>
      <c r="R8" s="95">
        <f>'15'!K8</f>
        <v>12471.42857</v>
      </c>
      <c r="S8" s="95">
        <f>'16'!K8</f>
        <v>12471.42857</v>
      </c>
      <c r="T8" s="95">
        <f>'17'!K8</f>
        <v>12471.42857</v>
      </c>
      <c r="U8" s="95">
        <f>'18'!K8</f>
        <v>12471.42857</v>
      </c>
      <c r="V8" s="95">
        <f>'19'!K8</f>
        <v>12471.42857</v>
      </c>
      <c r="W8" s="95">
        <f>'20'!K8</f>
        <v>12542.85714</v>
      </c>
      <c r="X8" s="95">
        <f>'21'!K8</f>
        <v>12542.85714</v>
      </c>
      <c r="Y8" s="95">
        <f>'22'!K8</f>
        <v>12542.85714</v>
      </c>
      <c r="Z8" s="95">
        <f>'23'!K8</f>
        <v>12542.85714</v>
      </c>
      <c r="AA8" s="95">
        <f>'24'!K8</f>
        <v>12542.85714</v>
      </c>
      <c r="AB8" s="95">
        <f>'25'!K8</f>
        <v>12542.85714</v>
      </c>
      <c r="AC8" s="95">
        <f>'26'!K8</f>
        <v>12542.85714</v>
      </c>
      <c r="AD8" s="95">
        <f>'27'!K8</f>
        <v>12542.85714</v>
      </c>
      <c r="AE8" s="95">
        <f>'28'!K8</f>
        <v>12542.85714</v>
      </c>
      <c r="AF8" s="95">
        <f>'29'!K8</f>
        <v>12542.85714</v>
      </c>
      <c r="AG8" s="95">
        <f>'30'!K8</f>
        <v>12542.85714</v>
      </c>
      <c r="AH8" s="95">
        <f>'31'!K8</f>
        <v>12542.85714</v>
      </c>
      <c r="AI8" s="95">
        <v>12800.0</v>
      </c>
      <c r="AJ8" s="95">
        <f t="shared" ref="AJ8:AJ80" si="1">AH8-D8</f>
        <v>71.42857143</v>
      </c>
      <c r="AK8" s="56">
        <f t="shared" ref="AK8:AK80" si="2">AVERAGE(D8:AH8)</f>
        <v>12499.07834</v>
      </c>
    </row>
    <row r="9">
      <c r="A9" s="24"/>
      <c r="B9" s="93" t="s">
        <v>24</v>
      </c>
      <c r="C9" s="94" t="s">
        <v>23</v>
      </c>
      <c r="D9" s="95">
        <f>'1'!K9</f>
        <v>11285.71429</v>
      </c>
      <c r="E9" s="95">
        <f>'2'!K9</f>
        <v>11285.71429</v>
      </c>
      <c r="F9" s="95">
        <f>'3'!K9</f>
        <v>11285.71429</v>
      </c>
      <c r="G9" s="95">
        <f>'4'!K9</f>
        <v>11285.71429</v>
      </c>
      <c r="H9" s="95">
        <f>'5'!K9</f>
        <v>11285.71429</v>
      </c>
      <c r="I9" s="95">
        <f>'6'!K9</f>
        <v>11357.14286</v>
      </c>
      <c r="J9" s="95">
        <f>'7'!K9</f>
        <v>11357.14286</v>
      </c>
      <c r="K9" s="95">
        <f>'8'!K9</f>
        <v>11357.14286</v>
      </c>
      <c r="L9" s="95">
        <f>'9'!K9</f>
        <v>11357.14286</v>
      </c>
      <c r="M9" s="95">
        <f>'10'!K9</f>
        <v>11357.14286</v>
      </c>
      <c r="N9" s="95">
        <f>'11'!K9</f>
        <v>11357.14286</v>
      </c>
      <c r="O9" s="95">
        <f>'12'!K9</f>
        <v>11357.14286</v>
      </c>
      <c r="P9" s="95">
        <f>'13'!K9</f>
        <v>11357.14286</v>
      </c>
      <c r="Q9" s="95">
        <f>'14'!K9</f>
        <v>11357.14286</v>
      </c>
      <c r="R9" s="95">
        <f>'15'!K9</f>
        <v>11357.14286</v>
      </c>
      <c r="S9" s="95">
        <f>'16'!K9</f>
        <v>11357.14286</v>
      </c>
      <c r="T9" s="95">
        <f>'17'!K9</f>
        <v>11357.14286</v>
      </c>
      <c r="U9" s="95">
        <f>'18'!K9</f>
        <v>11357.14286</v>
      </c>
      <c r="V9" s="95">
        <f>'19'!K9</f>
        <v>11357.14286</v>
      </c>
      <c r="W9" s="95">
        <f>'20'!K9</f>
        <v>11357.14286</v>
      </c>
      <c r="X9" s="95">
        <f>'21'!K9</f>
        <v>11357.14286</v>
      </c>
      <c r="Y9" s="95">
        <f>'22'!K9</f>
        <v>11357.14286</v>
      </c>
      <c r="Z9" s="95">
        <f>'23'!K9</f>
        <v>11357.14286</v>
      </c>
      <c r="AA9" s="95">
        <f>'24'!K9</f>
        <v>11357.14286</v>
      </c>
      <c r="AB9" s="95">
        <f>'25'!K9</f>
        <v>11357.14286</v>
      </c>
      <c r="AC9" s="95">
        <f>'26'!K9</f>
        <v>11357.14286</v>
      </c>
      <c r="AD9" s="95">
        <f>'27'!K9</f>
        <v>11357.14286</v>
      </c>
      <c r="AE9" s="95">
        <f>'28'!K9</f>
        <v>11357.14286</v>
      </c>
      <c r="AF9" s="95">
        <f>'29'!K9</f>
        <v>11357.14286</v>
      </c>
      <c r="AG9" s="95">
        <f>'30'!K9</f>
        <v>11357.14286</v>
      </c>
      <c r="AH9" s="95">
        <f>'31'!K9</f>
        <v>11357.14286</v>
      </c>
      <c r="AI9" s="95"/>
      <c r="AJ9" s="95">
        <f t="shared" si="1"/>
        <v>71.42857143</v>
      </c>
      <c r="AK9" s="56">
        <f t="shared" si="2"/>
        <v>11345.62212</v>
      </c>
    </row>
    <row r="10">
      <c r="A10" s="24"/>
      <c r="B10" s="93" t="s">
        <v>25</v>
      </c>
      <c r="C10" s="94" t="s">
        <v>23</v>
      </c>
      <c r="D10" s="95">
        <f>'1'!K10</f>
        <v>10325</v>
      </c>
      <c r="E10" s="95">
        <f>'2'!K10</f>
        <v>10325</v>
      </c>
      <c r="F10" s="95">
        <f>'3'!K10</f>
        <v>10325</v>
      </c>
      <c r="G10" s="95">
        <f>'4'!K10</f>
        <v>10325</v>
      </c>
      <c r="H10" s="95">
        <f>'5'!K10</f>
        <v>10325</v>
      </c>
      <c r="I10" s="95">
        <f>'6'!K10</f>
        <v>10491.66667</v>
      </c>
      <c r="J10" s="95">
        <f>'7'!K10</f>
        <v>10491.66667</v>
      </c>
      <c r="K10" s="95">
        <f>'8'!K10</f>
        <v>10491.66667</v>
      </c>
      <c r="L10" s="95">
        <f>'9'!K10</f>
        <v>10491.66667</v>
      </c>
      <c r="M10" s="95">
        <f>'10'!K10</f>
        <v>10491.66667</v>
      </c>
      <c r="N10" s="95">
        <f>'11'!K10</f>
        <v>10491.66667</v>
      </c>
      <c r="O10" s="95">
        <f>'12'!K10</f>
        <v>10491.66667</v>
      </c>
      <c r="P10" s="95">
        <f>'13'!K10</f>
        <v>10491.66667</v>
      </c>
      <c r="Q10" s="95">
        <f>'14'!K10</f>
        <v>10491.66667</v>
      </c>
      <c r="R10" s="95">
        <f>'15'!K10</f>
        <v>10491.66667</v>
      </c>
      <c r="S10" s="95">
        <f>'16'!K10</f>
        <v>10491.66667</v>
      </c>
      <c r="T10" s="95">
        <f>'17'!K10</f>
        <v>10491.66667</v>
      </c>
      <c r="U10" s="95">
        <f>'18'!K10</f>
        <v>10491.66667</v>
      </c>
      <c r="V10" s="95">
        <f>'19'!K10</f>
        <v>10491.66667</v>
      </c>
      <c r="W10" s="95">
        <f>'20'!K10</f>
        <v>10491.66667</v>
      </c>
      <c r="X10" s="95">
        <f>'21'!K10</f>
        <v>10491.66667</v>
      </c>
      <c r="Y10" s="95">
        <f>'22'!K10</f>
        <v>10491.66667</v>
      </c>
      <c r="Z10" s="95">
        <f>'23'!K10</f>
        <v>10491.66667</v>
      </c>
      <c r="AA10" s="95">
        <f>'24'!K10</f>
        <v>10491.66667</v>
      </c>
      <c r="AB10" s="95">
        <f>'25'!K10</f>
        <v>10491.66667</v>
      </c>
      <c r="AC10" s="95">
        <f>'26'!K10</f>
        <v>10491.66667</v>
      </c>
      <c r="AD10" s="95">
        <f>'27'!K10</f>
        <v>10491.66667</v>
      </c>
      <c r="AE10" s="95">
        <f>'28'!K10</f>
        <v>10491.66667</v>
      </c>
      <c r="AF10" s="95">
        <f>'29'!K10</f>
        <v>10491.66667</v>
      </c>
      <c r="AG10" s="95">
        <f>'30'!K10</f>
        <v>10491.66667</v>
      </c>
      <c r="AH10" s="95">
        <f>'31'!K10</f>
        <v>10491.66667</v>
      </c>
      <c r="AI10" s="95">
        <v>9450.0</v>
      </c>
      <c r="AJ10" s="95">
        <f t="shared" si="1"/>
        <v>166.6666667</v>
      </c>
      <c r="AK10" s="56">
        <f t="shared" si="2"/>
        <v>10464.78495</v>
      </c>
    </row>
    <row r="11">
      <c r="A11" s="24"/>
      <c r="B11" s="119" t="s">
        <v>27</v>
      </c>
      <c r="C11" s="121" t="s">
        <v>23</v>
      </c>
      <c r="D11" s="123">
        <f>'1'!K11</f>
        <v>10000</v>
      </c>
      <c r="E11" s="123">
        <f>'2'!K11</f>
        <v>10000</v>
      </c>
      <c r="F11" s="123">
        <f>'3'!K11</f>
        <v>10000</v>
      </c>
      <c r="G11" s="123">
        <f>'4'!K11</f>
        <v>10000</v>
      </c>
      <c r="H11" s="123">
        <f>'5'!K11</f>
        <v>10000</v>
      </c>
      <c r="I11" s="123">
        <f>'6'!K11</f>
        <v>10000</v>
      </c>
      <c r="J11" s="123">
        <f>'7'!K11</f>
        <v>10000</v>
      </c>
      <c r="K11" s="123">
        <f>'8'!K11</f>
        <v>10000</v>
      </c>
      <c r="L11" s="123">
        <f>'9'!K11</f>
        <v>10000</v>
      </c>
      <c r="M11" s="123">
        <f>'10'!K11</f>
        <v>10000</v>
      </c>
      <c r="N11" s="123">
        <f>'11'!K11</f>
        <v>10000</v>
      </c>
      <c r="O11" s="123">
        <f>'12'!K11</f>
        <v>10000</v>
      </c>
      <c r="P11" s="123">
        <f>'13'!K11</f>
        <v>10000</v>
      </c>
      <c r="Q11" s="123">
        <f>'14'!K11</f>
        <v>10000</v>
      </c>
      <c r="R11" s="123">
        <f>'15'!K11</f>
        <v>10000</v>
      </c>
      <c r="S11" s="123">
        <f>'16'!K11</f>
        <v>10000</v>
      </c>
      <c r="T11" s="123">
        <f>'17'!K11</f>
        <v>10000</v>
      </c>
      <c r="U11" s="123">
        <f>'18'!K11</f>
        <v>10000</v>
      </c>
      <c r="V11" s="123">
        <f>'19'!K11</f>
        <v>10000</v>
      </c>
      <c r="W11" s="123">
        <f>'20'!K11</f>
        <v>10000</v>
      </c>
      <c r="X11" s="123">
        <f>'21'!K11</f>
        <v>10000</v>
      </c>
      <c r="Y11" s="123">
        <f>'22'!K11</f>
        <v>10000</v>
      </c>
      <c r="Z11" s="123">
        <f>'23'!K11</f>
        <v>10000</v>
      </c>
      <c r="AA11" s="123">
        <f>'24'!K11</f>
        <v>10000</v>
      </c>
      <c r="AB11" s="123">
        <f>'25'!K11</f>
        <v>10000</v>
      </c>
      <c r="AC11" s="123">
        <f>'26'!K11</f>
        <v>10000</v>
      </c>
      <c r="AD11" s="123">
        <f>'27'!K11</f>
        <v>10000</v>
      </c>
      <c r="AE11" s="123">
        <f>'28'!K11</f>
        <v>10000</v>
      </c>
      <c r="AF11" s="123">
        <f>'29'!K11</f>
        <v>10000</v>
      </c>
      <c r="AG11" s="123">
        <f>'30'!K11</f>
        <v>10000</v>
      </c>
      <c r="AH11" s="123">
        <f>'31'!K11</f>
        <v>10000</v>
      </c>
      <c r="AI11" s="123"/>
      <c r="AJ11" s="123">
        <f t="shared" si="1"/>
        <v>0</v>
      </c>
      <c r="AK11" s="56">
        <f t="shared" si="2"/>
        <v>10000</v>
      </c>
    </row>
    <row r="12">
      <c r="A12" s="71"/>
      <c r="B12" s="119" t="s">
        <v>28</v>
      </c>
      <c r="C12" s="121" t="s">
        <v>23</v>
      </c>
      <c r="D12" s="123">
        <f>'1'!K12</f>
        <v>19250</v>
      </c>
      <c r="E12" s="123">
        <f>'2'!K12</f>
        <v>19250</v>
      </c>
      <c r="F12" s="123">
        <f>'3'!K12</f>
        <v>19250</v>
      </c>
      <c r="G12" s="123">
        <f>'4'!K12</f>
        <v>19250</v>
      </c>
      <c r="H12" s="123">
        <f>'5'!K12</f>
        <v>19250</v>
      </c>
      <c r="I12" s="123">
        <f>'6'!K12</f>
        <v>19250</v>
      </c>
      <c r="J12" s="123">
        <f>'7'!K12</f>
        <v>19250</v>
      </c>
      <c r="K12" s="123">
        <f>'8'!K12</f>
        <v>19250</v>
      </c>
      <c r="L12" s="123">
        <f>'9'!K12</f>
        <v>19250</v>
      </c>
      <c r="M12" s="123">
        <f>'10'!K12</f>
        <v>19250</v>
      </c>
      <c r="N12" s="123">
        <f>'11'!K12</f>
        <v>19250</v>
      </c>
      <c r="O12" s="123">
        <f>'12'!K12</f>
        <v>19250</v>
      </c>
      <c r="P12" s="123">
        <f>'13'!K12</f>
        <v>19250</v>
      </c>
      <c r="Q12" s="123">
        <f>'14'!K12</f>
        <v>19250</v>
      </c>
      <c r="R12" s="123">
        <f>'15'!K12</f>
        <v>19250</v>
      </c>
      <c r="S12" s="123">
        <f>'16'!K12</f>
        <v>19250</v>
      </c>
      <c r="T12" s="123">
        <f>'17'!K12</f>
        <v>19250</v>
      </c>
      <c r="U12" s="123">
        <f>'18'!K12</f>
        <v>19250</v>
      </c>
      <c r="V12" s="123">
        <f>'19'!K12</f>
        <v>19250</v>
      </c>
      <c r="W12" s="123">
        <f>'20'!K12</f>
        <v>19250</v>
      </c>
      <c r="X12" s="123">
        <f>'21'!K12</f>
        <v>19250</v>
      </c>
      <c r="Y12" s="123">
        <f>'22'!K12</f>
        <v>19250</v>
      </c>
      <c r="Z12" s="123">
        <f>'23'!K12</f>
        <v>19250</v>
      </c>
      <c r="AA12" s="123">
        <f>'24'!K12</f>
        <v>19250</v>
      </c>
      <c r="AB12" s="123">
        <f>'25'!K12</f>
        <v>19250</v>
      </c>
      <c r="AC12" s="123">
        <f>'26'!K12</f>
        <v>19250</v>
      </c>
      <c r="AD12" s="123">
        <f>'27'!K12</f>
        <v>19250</v>
      </c>
      <c r="AE12" s="123">
        <f>'28'!K12</f>
        <v>19250</v>
      </c>
      <c r="AF12" s="123">
        <f>'29'!K12</f>
        <v>19250</v>
      </c>
      <c r="AG12" s="123">
        <f>'30'!K12</f>
        <v>19250</v>
      </c>
      <c r="AH12" s="123">
        <f>'31'!K12</f>
        <v>19250</v>
      </c>
      <c r="AI12" s="123"/>
      <c r="AJ12" s="123">
        <f t="shared" si="1"/>
        <v>0</v>
      </c>
      <c r="AK12" s="56">
        <f t="shared" si="2"/>
        <v>19250</v>
      </c>
    </row>
    <row r="13">
      <c r="A13" s="133">
        <v>2.0</v>
      </c>
      <c r="B13" s="134" t="s">
        <v>29</v>
      </c>
      <c r="C13" s="135"/>
      <c r="D13" s="123" t="str">
        <f>'1'!K13</f>
        <v/>
      </c>
      <c r="E13" s="123" t="str">
        <f>'2'!K13</f>
        <v/>
      </c>
      <c r="F13" s="123" t="str">
        <f>'3'!K13</f>
        <v/>
      </c>
      <c r="G13" s="123" t="str">
        <f>'4'!K13</f>
        <v/>
      </c>
      <c r="H13" s="123" t="str">
        <f>'5'!K13</f>
        <v/>
      </c>
      <c r="I13" s="123" t="str">
        <f>'6'!K13</f>
        <v/>
      </c>
      <c r="J13" s="123" t="str">
        <f>'7'!K13</f>
        <v/>
      </c>
      <c r="K13" s="123" t="str">
        <f>'8'!K13</f>
        <v/>
      </c>
      <c r="L13" s="123" t="str">
        <f>'9'!K13</f>
        <v/>
      </c>
      <c r="M13" s="123" t="str">
        <f>'10'!K13</f>
        <v/>
      </c>
      <c r="N13" s="123" t="str">
        <f>'11'!K13</f>
        <v/>
      </c>
      <c r="O13" s="123" t="str">
        <f>'12'!K13</f>
        <v/>
      </c>
      <c r="P13" s="123" t="str">
        <f>'13'!K13</f>
        <v/>
      </c>
      <c r="Q13" s="123" t="str">
        <f>'14'!K13</f>
        <v/>
      </c>
      <c r="R13" s="123" t="str">
        <f>'15'!K13</f>
        <v/>
      </c>
      <c r="S13" s="123" t="str">
        <f>'16'!K13</f>
        <v/>
      </c>
      <c r="T13" s="123" t="str">
        <f>'17'!K13</f>
        <v/>
      </c>
      <c r="U13" s="123" t="str">
        <f>'18'!K13</f>
        <v/>
      </c>
      <c r="V13" s="123" t="str">
        <f>'19'!K13</f>
        <v/>
      </c>
      <c r="W13" s="123" t="str">
        <f>'20'!K13</f>
        <v/>
      </c>
      <c r="X13" s="123" t="str">
        <f>'21'!K13</f>
        <v/>
      </c>
      <c r="Y13" s="123" t="str">
        <f>'22'!K13</f>
        <v/>
      </c>
      <c r="Z13" s="123" t="str">
        <f>'23'!K13</f>
        <v/>
      </c>
      <c r="AA13" s="123" t="str">
        <f>'24'!K13</f>
        <v/>
      </c>
      <c r="AB13" s="123" t="str">
        <f>'25'!K13</f>
        <v/>
      </c>
      <c r="AC13" s="123" t="str">
        <f>'26'!K13</f>
        <v/>
      </c>
      <c r="AD13" s="123" t="str">
        <f>'27'!K13</f>
        <v/>
      </c>
      <c r="AE13" s="123" t="str">
        <f>'28'!K13</f>
        <v/>
      </c>
      <c r="AF13" s="123" t="str">
        <f>'29'!K13</f>
        <v/>
      </c>
      <c r="AG13" s="123" t="str">
        <f>'30'!K13</f>
        <v/>
      </c>
      <c r="AH13" s="123" t="str">
        <f>'31'!K13</f>
        <v/>
      </c>
      <c r="AI13" s="123"/>
      <c r="AJ13" s="123">
        <f t="shared" si="1"/>
        <v>0</v>
      </c>
      <c r="AK13" s="56" t="str">
        <f t="shared" si="2"/>
        <v>#DIV/0!</v>
      </c>
    </row>
    <row r="14">
      <c r="A14" s="24"/>
      <c r="B14" s="135" t="s">
        <v>30</v>
      </c>
      <c r="C14" s="121" t="s">
        <v>23</v>
      </c>
      <c r="D14" s="123">
        <f>'1'!K14</f>
        <v>13142.85714</v>
      </c>
      <c r="E14" s="123">
        <f>'2'!K14</f>
        <v>13142.85714</v>
      </c>
      <c r="F14" s="123">
        <f>'3'!K14</f>
        <v>13142.85714</v>
      </c>
      <c r="G14" s="123">
        <f>'4'!K14</f>
        <v>13142.85714</v>
      </c>
      <c r="H14" s="123">
        <f>'5'!K14</f>
        <v>13142.85714</v>
      </c>
      <c r="I14" s="123">
        <f>'6'!K14</f>
        <v>13142.85714</v>
      </c>
      <c r="J14" s="123">
        <f>'7'!K14</f>
        <v>13142.85714</v>
      </c>
      <c r="K14" s="123">
        <f>'8'!K14</f>
        <v>13142.85714</v>
      </c>
      <c r="L14" s="123">
        <f>'9'!K14</f>
        <v>13142.85714</v>
      </c>
      <c r="M14" s="123">
        <f>'10'!K14</f>
        <v>13142.85714</v>
      </c>
      <c r="N14" s="123">
        <f>'11'!K14</f>
        <v>13142.85714</v>
      </c>
      <c r="O14" s="123">
        <f>'12'!K14</f>
        <v>13142.85714</v>
      </c>
      <c r="P14" s="123">
        <f>'13'!K14</f>
        <v>13142.85714</v>
      </c>
      <c r="Q14" s="123">
        <f>'14'!K14</f>
        <v>13142.85714</v>
      </c>
      <c r="R14" s="123">
        <f>'15'!K14</f>
        <v>13142.85714</v>
      </c>
      <c r="S14" s="123">
        <f>'16'!K14</f>
        <v>13142.85714</v>
      </c>
      <c r="T14" s="123">
        <f>'17'!K14</f>
        <v>13142.85714</v>
      </c>
      <c r="U14" s="123">
        <f>'18'!K14</f>
        <v>13142.85714</v>
      </c>
      <c r="V14" s="123">
        <f>'19'!K14</f>
        <v>13142.85714</v>
      </c>
      <c r="W14" s="123">
        <f>'20'!K14</f>
        <v>13142.85714</v>
      </c>
      <c r="X14" s="123">
        <f>'21'!K14</f>
        <v>13142.85714</v>
      </c>
      <c r="Y14" s="123">
        <f>'22'!K14</f>
        <v>13142.85714</v>
      </c>
      <c r="Z14" s="123">
        <f>'23'!K14</f>
        <v>13142.85714</v>
      </c>
      <c r="AA14" s="123">
        <f>'24'!K14</f>
        <v>13142.85714</v>
      </c>
      <c r="AB14" s="123">
        <f>'25'!K14</f>
        <v>13142.85714</v>
      </c>
      <c r="AC14" s="123">
        <f>'26'!K14</f>
        <v>13142.85714</v>
      </c>
      <c r="AD14" s="123">
        <f>'27'!K14</f>
        <v>13142.85714</v>
      </c>
      <c r="AE14" s="123">
        <f>'28'!K14</f>
        <v>13142.85714</v>
      </c>
      <c r="AF14" s="123">
        <f>'29'!K14</f>
        <v>13142.85714</v>
      </c>
      <c r="AG14" s="123">
        <f>'30'!K14</f>
        <v>13142.85714</v>
      </c>
      <c r="AH14" s="123">
        <f>'31'!K14</f>
        <v>13142.85714</v>
      </c>
      <c r="AI14" s="123">
        <v>13500.0</v>
      </c>
      <c r="AJ14" s="123">
        <f t="shared" si="1"/>
        <v>0</v>
      </c>
      <c r="AK14" s="56">
        <f t="shared" si="2"/>
        <v>13142.85714</v>
      </c>
    </row>
    <row r="15">
      <c r="A15" s="71"/>
      <c r="B15" s="141" t="s">
        <v>31</v>
      </c>
      <c r="C15" s="143" t="s">
        <v>23</v>
      </c>
      <c r="D15" s="144">
        <f>'1'!K15</f>
        <v>16571.42857</v>
      </c>
      <c r="E15" s="144">
        <f>'2'!K15</f>
        <v>16571.42857</v>
      </c>
      <c r="F15" s="144">
        <f>'3'!K15</f>
        <v>16571.42857</v>
      </c>
      <c r="G15" s="144">
        <f>'4'!K15</f>
        <v>16571.42857</v>
      </c>
      <c r="H15" s="144">
        <f>'5'!K15</f>
        <v>16571.42857</v>
      </c>
      <c r="I15" s="144">
        <f>'6'!K15</f>
        <v>16571.42857</v>
      </c>
      <c r="J15" s="144">
        <f>'7'!K15</f>
        <v>16571.42857</v>
      </c>
      <c r="K15" s="144">
        <f>'8'!K15</f>
        <v>16571.42857</v>
      </c>
      <c r="L15" s="144">
        <f>'9'!K15</f>
        <v>16571.42857</v>
      </c>
      <c r="M15" s="144">
        <f>'10'!K15</f>
        <v>16571.42857</v>
      </c>
      <c r="N15" s="144">
        <f>'11'!K15</f>
        <v>16571.42857</v>
      </c>
      <c r="O15" s="144">
        <f>'12'!K15</f>
        <v>16571.42857</v>
      </c>
      <c r="P15" s="144">
        <f>'13'!K15</f>
        <v>16571.42857</v>
      </c>
      <c r="Q15" s="144">
        <f>'14'!K15</f>
        <v>16571.42857</v>
      </c>
      <c r="R15" s="144">
        <f>'15'!K15</f>
        <v>16571.42857</v>
      </c>
      <c r="S15" s="144">
        <f>'16'!K15</f>
        <v>16571.42857</v>
      </c>
      <c r="T15" s="144">
        <f>'17'!K15</f>
        <v>16571.42857</v>
      </c>
      <c r="U15" s="144">
        <f>'18'!K15</f>
        <v>16285.71429</v>
      </c>
      <c r="V15" s="144">
        <f>'19'!K15</f>
        <v>16285.71429</v>
      </c>
      <c r="W15" s="144">
        <f>'20'!K15</f>
        <v>16285.71429</v>
      </c>
      <c r="X15" s="144">
        <f>'21'!K15</f>
        <v>16285.71429</v>
      </c>
      <c r="Y15" s="144">
        <f>'22'!K15</f>
        <v>16285.71429</v>
      </c>
      <c r="Z15" s="144">
        <f>'23'!K15</f>
        <v>16285.71429</v>
      </c>
      <c r="AA15" s="144">
        <f>'24'!K15</f>
        <v>16285.71429</v>
      </c>
      <c r="AB15" s="144">
        <f>'25'!K15</f>
        <v>16285.71429</v>
      </c>
      <c r="AC15" s="144">
        <f>'26'!K15</f>
        <v>16285.71429</v>
      </c>
      <c r="AD15" s="144">
        <f>'27'!K15</f>
        <v>16285.71429</v>
      </c>
      <c r="AE15" s="144">
        <f>'28'!K15</f>
        <v>16285.71429</v>
      </c>
      <c r="AF15" s="144">
        <f>'29'!K15</f>
        <v>16285.71429</v>
      </c>
      <c r="AG15" s="144">
        <f>'30'!K15</f>
        <v>16285.71429</v>
      </c>
      <c r="AH15" s="144">
        <f>'31'!K15</f>
        <v>16285.71429</v>
      </c>
      <c r="AI15" s="144"/>
      <c r="AJ15" s="144">
        <f t="shared" si="1"/>
        <v>-285.7142857</v>
      </c>
      <c r="AK15" s="56">
        <f t="shared" si="2"/>
        <v>16442.39631</v>
      </c>
    </row>
    <row r="16">
      <c r="A16" s="133"/>
      <c r="B16" s="134" t="s">
        <v>32</v>
      </c>
      <c r="C16" s="134"/>
      <c r="D16" s="123" t="str">
        <f>'1'!K16</f>
        <v/>
      </c>
      <c r="E16" s="123" t="str">
        <f>'2'!K16</f>
        <v/>
      </c>
      <c r="F16" s="123" t="str">
        <f>'3'!K16</f>
        <v/>
      </c>
      <c r="G16" s="123" t="str">
        <f>'4'!K16</f>
        <v/>
      </c>
      <c r="H16" s="123" t="str">
        <f>'5'!K16</f>
        <v/>
      </c>
      <c r="I16" s="123" t="str">
        <f>'6'!K16</f>
        <v/>
      </c>
      <c r="J16" s="123" t="str">
        <f>'7'!K16</f>
        <v/>
      </c>
      <c r="K16" s="123" t="str">
        <f>'8'!K16</f>
        <v/>
      </c>
      <c r="L16" s="123" t="str">
        <f>'9'!K16</f>
        <v/>
      </c>
      <c r="M16" s="123" t="str">
        <f>'10'!K16</f>
        <v/>
      </c>
      <c r="N16" s="123" t="str">
        <f>'11'!K16</f>
        <v/>
      </c>
      <c r="O16" s="123" t="str">
        <f>'12'!K16</f>
        <v/>
      </c>
      <c r="P16" s="123" t="str">
        <f>'13'!K16</f>
        <v/>
      </c>
      <c r="Q16" s="123" t="str">
        <f>'14'!K16</f>
        <v/>
      </c>
      <c r="R16" s="123" t="str">
        <f>'15'!K16</f>
        <v/>
      </c>
      <c r="S16" s="123" t="str">
        <f>'16'!K16</f>
        <v/>
      </c>
      <c r="T16" s="123" t="str">
        <f>'17'!K16</f>
        <v/>
      </c>
      <c r="U16" s="123" t="str">
        <f>'18'!K16</f>
        <v/>
      </c>
      <c r="V16" s="123" t="str">
        <f>'19'!K16</f>
        <v/>
      </c>
      <c r="W16" s="123" t="str">
        <f>'20'!K16</f>
        <v/>
      </c>
      <c r="X16" s="123" t="str">
        <f>'21'!K16</f>
        <v/>
      </c>
      <c r="Y16" s="123" t="str">
        <f>'22'!K16</f>
        <v/>
      </c>
      <c r="Z16" s="123" t="str">
        <f>'23'!K16</f>
        <v/>
      </c>
      <c r="AA16" s="123" t="str">
        <f>'24'!K16</f>
        <v/>
      </c>
      <c r="AB16" s="123" t="str">
        <f>'25'!K16</f>
        <v/>
      </c>
      <c r="AC16" s="123" t="str">
        <f>'26'!K16</f>
        <v/>
      </c>
      <c r="AD16" s="123" t="str">
        <f>'27'!K16</f>
        <v/>
      </c>
      <c r="AE16" s="123" t="str">
        <f>'28'!K16</f>
        <v/>
      </c>
      <c r="AF16" s="123" t="str">
        <f>'29'!K16</f>
        <v/>
      </c>
      <c r="AG16" s="123" t="str">
        <f>'30'!K16</f>
        <v/>
      </c>
      <c r="AH16" s="123" t="str">
        <f>'31'!K16</f>
        <v/>
      </c>
      <c r="AI16" s="123"/>
      <c r="AJ16" s="123">
        <f t="shared" si="1"/>
        <v>0</v>
      </c>
      <c r="AK16" s="56" t="str">
        <f t="shared" si="2"/>
        <v>#DIV/0!</v>
      </c>
    </row>
    <row r="17">
      <c r="A17" s="71"/>
      <c r="B17" s="141" t="s">
        <v>33</v>
      </c>
      <c r="C17" s="143" t="s">
        <v>23</v>
      </c>
      <c r="D17" s="144">
        <f>'1'!K17</f>
        <v>16571.42857</v>
      </c>
      <c r="E17" s="144">
        <f>'2'!K17</f>
        <v>16571.42857</v>
      </c>
      <c r="F17" s="144">
        <f>'3'!K17</f>
        <v>16571.42857</v>
      </c>
      <c r="G17" s="144">
        <f>'4'!K17</f>
        <v>16571.42857</v>
      </c>
      <c r="H17" s="144">
        <f>'5'!K17</f>
        <v>16571.42857</v>
      </c>
      <c r="I17" s="144">
        <f>'6'!K17</f>
        <v>16428.57143</v>
      </c>
      <c r="J17" s="144">
        <f>'7'!K17</f>
        <v>16428.57143</v>
      </c>
      <c r="K17" s="144">
        <f>'8'!K17</f>
        <v>16428.57143</v>
      </c>
      <c r="L17" s="144">
        <f>'9'!K17</f>
        <v>16285.71429</v>
      </c>
      <c r="M17" s="144">
        <f>'10'!K17</f>
        <v>16285.71429</v>
      </c>
      <c r="N17" s="144">
        <f>'11'!K17</f>
        <v>16285.71429</v>
      </c>
      <c r="O17" s="144">
        <f>'12'!K17</f>
        <v>16285.71429</v>
      </c>
      <c r="P17" s="144">
        <f>'13'!K17</f>
        <v>16285.71429</v>
      </c>
      <c r="Q17" s="144">
        <f>'14'!K17</f>
        <v>16285.71429</v>
      </c>
      <c r="R17" s="144">
        <f>'15'!K17</f>
        <v>16285.71429</v>
      </c>
      <c r="S17" s="144">
        <f>'16'!K17</f>
        <v>16285.71429</v>
      </c>
      <c r="T17" s="144">
        <f>'17'!K17</f>
        <v>16285.71429</v>
      </c>
      <c r="U17" s="144">
        <f>'18'!K17</f>
        <v>16285.71429</v>
      </c>
      <c r="V17" s="144">
        <f>'19'!K17</f>
        <v>16285.71429</v>
      </c>
      <c r="W17" s="144">
        <f>'20'!K17</f>
        <v>16285.71429</v>
      </c>
      <c r="X17" s="144">
        <f>'21'!K17</f>
        <v>16285.71429</v>
      </c>
      <c r="Y17" s="144">
        <f>'22'!K17</f>
        <v>16285.71429</v>
      </c>
      <c r="Z17" s="144">
        <f>'23'!K17</f>
        <v>16285.71429</v>
      </c>
      <c r="AA17" s="144">
        <f>'24'!K17</f>
        <v>16285.71429</v>
      </c>
      <c r="AB17" s="144">
        <f>'25'!K17</f>
        <v>16285.71429</v>
      </c>
      <c r="AC17" s="144">
        <f>'26'!K17</f>
        <v>16285.71429</v>
      </c>
      <c r="AD17" s="144">
        <f>'27'!K17</f>
        <v>16285.71429</v>
      </c>
      <c r="AE17" s="144">
        <f>'28'!K17</f>
        <v>16285.71429</v>
      </c>
      <c r="AF17" s="144">
        <f>'29'!K17</f>
        <v>16285.71429</v>
      </c>
      <c r="AG17" s="144">
        <f>'30'!K17</f>
        <v>16285.71429</v>
      </c>
      <c r="AH17" s="144">
        <f>'31'!K17</f>
        <v>16285.71429</v>
      </c>
      <c r="AI17" s="144">
        <v>15500.0</v>
      </c>
      <c r="AJ17" s="144">
        <f t="shared" si="1"/>
        <v>-285.7142857</v>
      </c>
      <c r="AK17" s="56">
        <f t="shared" si="2"/>
        <v>16345.62212</v>
      </c>
    </row>
    <row r="18">
      <c r="A18" s="133">
        <v>4.0</v>
      </c>
      <c r="B18" s="134" t="s">
        <v>34</v>
      </c>
      <c r="C18" s="134"/>
      <c r="D18" s="123" t="str">
        <f>'1'!K18</f>
        <v/>
      </c>
      <c r="E18" s="123" t="str">
        <f>'2'!K18</f>
        <v/>
      </c>
      <c r="F18" s="123" t="str">
        <f>'3'!K18</f>
        <v/>
      </c>
      <c r="G18" s="123" t="str">
        <f>'4'!K18</f>
        <v/>
      </c>
      <c r="H18" s="123" t="str">
        <f>'5'!K18</f>
        <v/>
      </c>
      <c r="I18" s="123" t="str">
        <f>'6'!K18</f>
        <v/>
      </c>
      <c r="J18" s="123" t="str">
        <f>'7'!K18</f>
        <v/>
      </c>
      <c r="K18" s="123" t="str">
        <f>'8'!K18</f>
        <v/>
      </c>
      <c r="L18" s="123" t="str">
        <f>'9'!K18</f>
        <v/>
      </c>
      <c r="M18" s="123" t="str">
        <f>'10'!K18</f>
        <v/>
      </c>
      <c r="N18" s="123" t="str">
        <f>'11'!K18</f>
        <v/>
      </c>
      <c r="O18" s="123" t="str">
        <f>'12'!K18</f>
        <v/>
      </c>
      <c r="P18" s="123" t="str">
        <f>'13'!K18</f>
        <v/>
      </c>
      <c r="Q18" s="123" t="str">
        <f>'14'!K18</f>
        <v/>
      </c>
      <c r="R18" s="123" t="str">
        <f>'15'!K18</f>
        <v/>
      </c>
      <c r="S18" s="123" t="str">
        <f>'16'!K18</f>
        <v/>
      </c>
      <c r="T18" s="123" t="str">
        <f>'17'!K18</f>
        <v/>
      </c>
      <c r="U18" s="123" t="str">
        <f>'18'!K18</f>
        <v/>
      </c>
      <c r="V18" s="123" t="str">
        <f>'19'!K18</f>
        <v/>
      </c>
      <c r="W18" s="123" t="str">
        <f>'20'!K18</f>
        <v/>
      </c>
      <c r="X18" s="123" t="str">
        <f>'21'!K18</f>
        <v/>
      </c>
      <c r="Y18" s="123" t="str">
        <f>'22'!K18</f>
        <v/>
      </c>
      <c r="Z18" s="123" t="str">
        <f>'23'!K18</f>
        <v/>
      </c>
      <c r="AA18" s="123" t="str">
        <f>'24'!K18</f>
        <v/>
      </c>
      <c r="AB18" s="123" t="str">
        <f>'25'!K18</f>
        <v/>
      </c>
      <c r="AC18" s="123" t="str">
        <f>'26'!K18</f>
        <v/>
      </c>
      <c r="AD18" s="123" t="str">
        <f>'27'!K18</f>
        <v/>
      </c>
      <c r="AE18" s="123" t="str">
        <f>'28'!K18</f>
        <v/>
      </c>
      <c r="AF18" s="123" t="str">
        <f>'29'!K18</f>
        <v/>
      </c>
      <c r="AG18" s="123" t="str">
        <f>'30'!K18</f>
        <v/>
      </c>
      <c r="AH18" s="123" t="str">
        <f>'31'!K18</f>
        <v/>
      </c>
      <c r="AI18" s="123"/>
      <c r="AJ18" s="123">
        <f t="shared" si="1"/>
        <v>0</v>
      </c>
      <c r="AK18" s="56" t="str">
        <f t="shared" si="2"/>
        <v>#DIV/0!</v>
      </c>
    </row>
    <row r="19">
      <c r="A19" s="71"/>
      <c r="B19" s="150" t="s">
        <v>35</v>
      </c>
      <c r="C19" s="121" t="s">
        <v>23</v>
      </c>
      <c r="D19" s="123">
        <f>'1'!K19</f>
        <v>19000</v>
      </c>
      <c r="E19" s="123">
        <f>'2'!K19</f>
        <v>19000</v>
      </c>
      <c r="F19" s="123">
        <f>'3'!K19</f>
        <v>19000</v>
      </c>
      <c r="G19" s="123">
        <f>'4'!K19</f>
        <v>19000</v>
      </c>
      <c r="H19" s="123">
        <f>'5'!K19</f>
        <v>19000</v>
      </c>
      <c r="I19" s="123">
        <f>'6'!K19</f>
        <v>19000</v>
      </c>
      <c r="J19" s="123">
        <f>'7'!K19</f>
        <v>19000</v>
      </c>
      <c r="K19" s="123">
        <f>'8'!K19</f>
        <v>19000</v>
      </c>
      <c r="L19" s="123">
        <f>'9'!K19</f>
        <v>19000</v>
      </c>
      <c r="M19" s="123">
        <f>'10'!K19</f>
        <v>19000</v>
      </c>
      <c r="N19" s="123">
        <f>'11'!K19</f>
        <v>19000</v>
      </c>
      <c r="O19" s="123">
        <f>'12'!K19</f>
        <v>19000</v>
      </c>
      <c r="P19" s="123">
        <f>'13'!K19</f>
        <v>19000</v>
      </c>
      <c r="Q19" s="123">
        <f>'14'!K19</f>
        <v>19000</v>
      </c>
      <c r="R19" s="123">
        <f>'15'!K19</f>
        <v>19000</v>
      </c>
      <c r="S19" s="123">
        <f>'16'!K19</f>
        <v>19000</v>
      </c>
      <c r="T19" s="123">
        <f>'17'!K19</f>
        <v>19000</v>
      </c>
      <c r="U19" s="123">
        <f>'18'!K19</f>
        <v>19000</v>
      </c>
      <c r="V19" s="123">
        <f>'19'!K19</f>
        <v>19000</v>
      </c>
      <c r="W19" s="123">
        <f>'20'!K19</f>
        <v>19000</v>
      </c>
      <c r="X19" s="123">
        <f>'21'!K19</f>
        <v>19000</v>
      </c>
      <c r="Y19" s="123">
        <f>'22'!K19</f>
        <v>19000</v>
      </c>
      <c r="Z19" s="123">
        <f>'23'!K19</f>
        <v>19000</v>
      </c>
      <c r="AA19" s="123">
        <f>'24'!K19</f>
        <v>19000</v>
      </c>
      <c r="AB19" s="123">
        <f>'25'!K19</f>
        <v>19000</v>
      </c>
      <c r="AC19" s="123">
        <f>'26'!K19</f>
        <v>19000</v>
      </c>
      <c r="AD19" s="123">
        <f>'27'!K19</f>
        <v>19000</v>
      </c>
      <c r="AE19" s="123">
        <f>'28'!K19</f>
        <v>19000</v>
      </c>
      <c r="AF19" s="123">
        <f>'29'!K19</f>
        <v>19000</v>
      </c>
      <c r="AG19" s="123">
        <f>'30'!K19</f>
        <v>19000</v>
      </c>
      <c r="AH19" s="123">
        <f>'31'!K19</f>
        <v>19000</v>
      </c>
      <c r="AI19" s="123"/>
      <c r="AJ19" s="123">
        <f t="shared" si="1"/>
        <v>0</v>
      </c>
      <c r="AK19" s="56">
        <f t="shared" si="2"/>
        <v>19000</v>
      </c>
    </row>
    <row r="20">
      <c r="A20" s="133">
        <v>5.0</v>
      </c>
      <c r="B20" s="134" t="s">
        <v>36</v>
      </c>
      <c r="C20" s="134"/>
      <c r="D20" s="123" t="str">
        <f>'1'!K20</f>
        <v/>
      </c>
      <c r="E20" s="123" t="str">
        <f>'2'!K20</f>
        <v/>
      </c>
      <c r="F20" s="123" t="str">
        <f>'3'!K20</f>
        <v/>
      </c>
      <c r="G20" s="123" t="str">
        <f>'4'!K20</f>
        <v/>
      </c>
      <c r="H20" s="123" t="str">
        <f>'5'!K20</f>
        <v/>
      </c>
      <c r="I20" s="123" t="str">
        <f>'6'!K20</f>
        <v/>
      </c>
      <c r="J20" s="123" t="str">
        <f>'7'!K20</f>
        <v/>
      </c>
      <c r="K20" s="123" t="str">
        <f>'8'!K20</f>
        <v/>
      </c>
      <c r="L20" s="123" t="str">
        <f>'9'!K20</f>
        <v/>
      </c>
      <c r="M20" s="123" t="str">
        <f>'10'!K20</f>
        <v/>
      </c>
      <c r="N20" s="123" t="str">
        <f>'11'!K20</f>
        <v/>
      </c>
      <c r="O20" s="123" t="str">
        <f>'12'!K20</f>
        <v/>
      </c>
      <c r="P20" s="123" t="str">
        <f>'13'!K20</f>
        <v/>
      </c>
      <c r="Q20" s="123" t="str">
        <f>'14'!K20</f>
        <v/>
      </c>
      <c r="R20" s="123" t="str">
        <f>'15'!K20</f>
        <v/>
      </c>
      <c r="S20" s="123" t="str">
        <f>'16'!K20</f>
        <v/>
      </c>
      <c r="T20" s="123" t="str">
        <f>'17'!K20</f>
        <v/>
      </c>
      <c r="U20" s="123" t="str">
        <f>'18'!K20</f>
        <v/>
      </c>
      <c r="V20" s="123" t="str">
        <f>'19'!K20</f>
        <v/>
      </c>
      <c r="W20" s="123" t="str">
        <f>'20'!K20</f>
        <v/>
      </c>
      <c r="X20" s="123" t="str">
        <f>'21'!K20</f>
        <v/>
      </c>
      <c r="Y20" s="123" t="str">
        <f>'22'!K20</f>
        <v/>
      </c>
      <c r="Z20" s="123" t="str">
        <f>'23'!K20</f>
        <v/>
      </c>
      <c r="AA20" s="123" t="str">
        <f>'24'!K20</f>
        <v/>
      </c>
      <c r="AB20" s="123" t="str">
        <f>'25'!K20</f>
        <v/>
      </c>
      <c r="AC20" s="123" t="str">
        <f>'26'!K20</f>
        <v/>
      </c>
      <c r="AD20" s="123" t="str">
        <f>'27'!K20</f>
        <v/>
      </c>
      <c r="AE20" s="123" t="str">
        <f>'28'!K20</f>
        <v/>
      </c>
      <c r="AF20" s="123" t="str">
        <f>'29'!K20</f>
        <v/>
      </c>
      <c r="AG20" s="123" t="str">
        <f>'30'!K20</f>
        <v/>
      </c>
      <c r="AH20" s="123" t="str">
        <f>'31'!K20</f>
        <v/>
      </c>
      <c r="AI20" s="123"/>
      <c r="AJ20" s="123">
        <f t="shared" si="1"/>
        <v>0</v>
      </c>
      <c r="AK20" s="56" t="str">
        <f t="shared" si="2"/>
        <v>#DIV/0!</v>
      </c>
    </row>
    <row r="21" ht="15.75" customHeight="1">
      <c r="A21" s="24"/>
      <c r="B21" s="150" t="s">
        <v>37</v>
      </c>
      <c r="C21" s="121" t="s">
        <v>23</v>
      </c>
      <c r="D21" s="123">
        <f>'1'!K21</f>
        <v>118142.8571</v>
      </c>
      <c r="E21" s="123">
        <f>'2'!K21</f>
        <v>118142.8571</v>
      </c>
      <c r="F21" s="123">
        <f>'3'!K21</f>
        <v>118142.8571</v>
      </c>
      <c r="G21" s="123">
        <f>'4'!K21</f>
        <v>118142.8571</v>
      </c>
      <c r="H21" s="123">
        <f>'5'!K21</f>
        <v>118142.8571</v>
      </c>
      <c r="I21" s="123">
        <f>'6'!K21</f>
        <v>118142.8571</v>
      </c>
      <c r="J21" s="123">
        <f>'7'!K21</f>
        <v>118142.8571</v>
      </c>
      <c r="K21" s="123">
        <f>'8'!K21</f>
        <v>118142.8571</v>
      </c>
      <c r="L21" s="123">
        <f>'9'!K21</f>
        <v>118142.8571</v>
      </c>
      <c r="M21" s="123">
        <f>'10'!K21</f>
        <v>118142.8571</v>
      </c>
      <c r="N21" s="123">
        <f>'11'!K21</f>
        <v>118142.8571</v>
      </c>
      <c r="O21" s="123">
        <f>'12'!K21</f>
        <v>118142.8571</v>
      </c>
      <c r="P21" s="123">
        <f>'13'!K21</f>
        <v>118142.8571</v>
      </c>
      <c r="Q21" s="123">
        <f>'14'!K21</f>
        <v>118142.8571</v>
      </c>
      <c r="R21" s="123">
        <f>'15'!K21</f>
        <v>118142.8571</v>
      </c>
      <c r="S21" s="123">
        <f>'16'!K21</f>
        <v>118142.8571</v>
      </c>
      <c r="T21" s="123">
        <f>'17'!K21</f>
        <v>118142.8571</v>
      </c>
      <c r="U21" s="123">
        <f>'18'!K21</f>
        <v>118142.8571</v>
      </c>
      <c r="V21" s="123">
        <f>'19'!K21</f>
        <v>118142.8571</v>
      </c>
      <c r="W21" s="123">
        <f>'20'!K21</f>
        <v>118142.8571</v>
      </c>
      <c r="X21" s="123">
        <f>'21'!K21</f>
        <v>118142.8571</v>
      </c>
      <c r="Y21" s="123">
        <f>'22'!K21</f>
        <v>118142.8571</v>
      </c>
      <c r="Z21" s="123">
        <f>'23'!K21</f>
        <v>118142.8571</v>
      </c>
      <c r="AA21" s="123">
        <f>'24'!K21</f>
        <v>118142.8571</v>
      </c>
      <c r="AB21" s="123">
        <f>'25'!K21</f>
        <v>118142.8571</v>
      </c>
      <c r="AC21" s="123">
        <f>'26'!K21</f>
        <v>118142.8571</v>
      </c>
      <c r="AD21" s="123">
        <f>'27'!K21</f>
        <v>118142.8571</v>
      </c>
      <c r="AE21" s="123">
        <f>'28'!K21</f>
        <v>118142.8571</v>
      </c>
      <c r="AF21" s="123">
        <f>'29'!K21</f>
        <v>118142.8571</v>
      </c>
      <c r="AG21" s="123">
        <f>'30'!K21</f>
        <v>118142.8571</v>
      </c>
      <c r="AH21" s="123">
        <f>'31'!K21</f>
        <v>118142.8571</v>
      </c>
      <c r="AI21" s="123">
        <v>105000.0</v>
      </c>
      <c r="AJ21" s="123">
        <f t="shared" si="1"/>
        <v>0</v>
      </c>
      <c r="AK21" s="56">
        <f t="shared" si="2"/>
        <v>118142.8571</v>
      </c>
    </row>
    <row r="22" ht="15.75" customHeight="1">
      <c r="A22" s="24"/>
      <c r="B22" s="150" t="s">
        <v>38</v>
      </c>
      <c r="C22" s="121" t="s">
        <v>23</v>
      </c>
      <c r="D22" s="123">
        <f>'1'!K22</f>
        <v>109142.8571</v>
      </c>
      <c r="E22" s="123">
        <f>'2'!K22</f>
        <v>109142.8571</v>
      </c>
      <c r="F22" s="123">
        <f>'3'!K22</f>
        <v>109142.8571</v>
      </c>
      <c r="G22" s="123">
        <f>'4'!K22</f>
        <v>109857.1429</v>
      </c>
      <c r="H22" s="123">
        <f>'5'!K22</f>
        <v>109857.1429</v>
      </c>
      <c r="I22" s="123">
        <f>'6'!K22</f>
        <v>109857.1429</v>
      </c>
      <c r="J22" s="123">
        <f>'7'!K22</f>
        <v>109857.1429</v>
      </c>
      <c r="K22" s="123">
        <f>'8'!K22</f>
        <v>109857.1429</v>
      </c>
      <c r="L22" s="123">
        <f>'9'!K22</f>
        <v>109857.1429</v>
      </c>
      <c r="M22" s="123">
        <f>'10'!K22</f>
        <v>109857.1429</v>
      </c>
      <c r="N22" s="123">
        <f>'11'!K22</f>
        <v>109857.1429</v>
      </c>
      <c r="O22" s="123">
        <f>'12'!K22</f>
        <v>109857.1429</v>
      </c>
      <c r="P22" s="123">
        <f>'13'!K22</f>
        <v>109857.1429</v>
      </c>
      <c r="Q22" s="123">
        <f>'14'!K22</f>
        <v>109857.1429</v>
      </c>
      <c r="R22" s="123">
        <f>'15'!K22</f>
        <v>109857.1429</v>
      </c>
      <c r="S22" s="123">
        <f>'16'!K22</f>
        <v>109857.1429</v>
      </c>
      <c r="T22" s="123">
        <f>'17'!K22</f>
        <v>109857.1429</v>
      </c>
      <c r="U22" s="123">
        <f>'18'!K22</f>
        <v>109857.1429</v>
      </c>
      <c r="V22" s="123">
        <f>'19'!K22</f>
        <v>109857.1429</v>
      </c>
      <c r="W22" s="123">
        <f>'20'!K22</f>
        <v>109857.1429</v>
      </c>
      <c r="X22" s="123">
        <f>'21'!K22</f>
        <v>109857.1429</v>
      </c>
      <c r="Y22" s="123">
        <f>'22'!K22</f>
        <v>109857.1429</v>
      </c>
      <c r="Z22" s="123">
        <f>'23'!K22</f>
        <v>109857.1429</v>
      </c>
      <c r="AA22" s="123">
        <f>'24'!K22</f>
        <v>109857.1429</v>
      </c>
      <c r="AB22" s="123">
        <f>'25'!K22</f>
        <v>109142.8571</v>
      </c>
      <c r="AC22" s="123">
        <f>'26'!K22</f>
        <v>109142.8571</v>
      </c>
      <c r="AD22" s="123">
        <f>'27'!K22</f>
        <v>109142.8571</v>
      </c>
      <c r="AE22" s="123">
        <f>'28'!K22</f>
        <v>109142.8571</v>
      </c>
      <c r="AF22" s="123">
        <f>'29'!K22</f>
        <v>109142.8571</v>
      </c>
      <c r="AG22" s="123">
        <f>'30'!K22</f>
        <v>109142.8571</v>
      </c>
      <c r="AH22" s="123">
        <f>'31'!K22</f>
        <v>109142.8571</v>
      </c>
      <c r="AI22" s="123">
        <v>80000.0</v>
      </c>
      <c r="AJ22" s="123">
        <f t="shared" si="1"/>
        <v>0</v>
      </c>
      <c r="AK22" s="56">
        <f t="shared" si="2"/>
        <v>109626.7281</v>
      </c>
    </row>
    <row r="23" ht="15.75" customHeight="1">
      <c r="A23" s="24"/>
      <c r="B23" s="150" t="s">
        <v>39</v>
      </c>
      <c r="C23" s="121" t="s">
        <v>23</v>
      </c>
      <c r="D23" s="123">
        <f>'1'!K23</f>
        <v>99166.66667</v>
      </c>
      <c r="E23" s="123">
        <f>'2'!K23</f>
        <v>99166.66667</v>
      </c>
      <c r="F23" s="123">
        <f>'3'!K23</f>
        <v>99166.66667</v>
      </c>
      <c r="G23" s="123">
        <f>'4'!K23</f>
        <v>100000</v>
      </c>
      <c r="H23" s="123">
        <f>'5'!K23</f>
        <v>100000</v>
      </c>
      <c r="I23" s="123">
        <f>'6'!K23</f>
        <v>100000</v>
      </c>
      <c r="J23" s="123">
        <f>'7'!K23</f>
        <v>100000</v>
      </c>
      <c r="K23" s="123">
        <f>'8'!K23</f>
        <v>100000</v>
      </c>
      <c r="L23" s="123">
        <f>'9'!K23</f>
        <v>100000</v>
      </c>
      <c r="M23" s="123">
        <f>'10'!K23</f>
        <v>100000</v>
      </c>
      <c r="N23" s="123">
        <f>'11'!K23</f>
        <v>100000</v>
      </c>
      <c r="O23" s="123">
        <f>'12'!K23</f>
        <v>100000</v>
      </c>
      <c r="P23" s="123">
        <f>'13'!K23</f>
        <v>100000</v>
      </c>
      <c r="Q23" s="123">
        <f>'14'!K23</f>
        <v>100000</v>
      </c>
      <c r="R23" s="123">
        <f>'15'!K23</f>
        <v>100000</v>
      </c>
      <c r="S23" s="123">
        <f>'16'!K23</f>
        <v>100000</v>
      </c>
      <c r="T23" s="123">
        <f>'17'!K23</f>
        <v>100000</v>
      </c>
      <c r="U23" s="123">
        <f>'18'!K23</f>
        <v>100000</v>
      </c>
      <c r="V23" s="123">
        <f>'19'!K23</f>
        <v>100000</v>
      </c>
      <c r="W23" s="123">
        <f>'20'!K23</f>
        <v>100000</v>
      </c>
      <c r="X23" s="123">
        <f>'21'!K23</f>
        <v>100000</v>
      </c>
      <c r="Y23" s="123">
        <f>'22'!K23</f>
        <v>100000</v>
      </c>
      <c r="Z23" s="123">
        <f>'23'!K23</f>
        <v>100000</v>
      </c>
      <c r="AA23" s="123">
        <f>'24'!K23</f>
        <v>100000</v>
      </c>
      <c r="AB23" s="123">
        <f>'25'!K23</f>
        <v>99166.66667</v>
      </c>
      <c r="AC23" s="123">
        <f>'26'!K23</f>
        <v>99166.66667</v>
      </c>
      <c r="AD23" s="123">
        <f>'27'!K23</f>
        <v>99166.66667</v>
      </c>
      <c r="AE23" s="123">
        <f>'28'!K23</f>
        <v>99166.66667</v>
      </c>
      <c r="AF23" s="123">
        <f>'29'!K23</f>
        <v>99166.66667</v>
      </c>
      <c r="AG23" s="123">
        <f>'30'!K23</f>
        <v>99166.66667</v>
      </c>
      <c r="AH23" s="123">
        <f>'31'!K23</f>
        <v>99166.66667</v>
      </c>
      <c r="AI23" s="123">
        <v>80000.0</v>
      </c>
      <c r="AJ23" s="123">
        <f t="shared" si="1"/>
        <v>0</v>
      </c>
      <c r="AK23" s="56">
        <f t="shared" si="2"/>
        <v>99731.1828</v>
      </c>
    </row>
    <row r="24" ht="15.75" customHeight="1">
      <c r="A24" s="71"/>
      <c r="B24" s="141" t="s">
        <v>40</v>
      </c>
      <c r="C24" s="143" t="s">
        <v>23</v>
      </c>
      <c r="D24" s="144">
        <f>'1'!K24</f>
        <v>33142.85714</v>
      </c>
      <c r="E24" s="144">
        <f>'2'!K24</f>
        <v>32142.85714</v>
      </c>
      <c r="F24" s="144">
        <f>'3'!K24</f>
        <v>31714.28571</v>
      </c>
      <c r="G24" s="144">
        <f>'4'!K24</f>
        <v>31857.14286</v>
      </c>
      <c r="H24" s="144">
        <f>'5'!K24</f>
        <v>31571.42857</v>
      </c>
      <c r="I24" s="144">
        <f>'6'!K24</f>
        <v>31142.85714</v>
      </c>
      <c r="J24" s="144">
        <f>'7'!K24</f>
        <v>30857.14286</v>
      </c>
      <c r="K24" s="144">
        <f>'8'!K24</f>
        <v>30857.14286</v>
      </c>
      <c r="L24" s="144">
        <f>'9'!K24</f>
        <v>31000</v>
      </c>
      <c r="M24" s="144">
        <f>'10'!K24</f>
        <v>31000</v>
      </c>
      <c r="N24" s="144">
        <f>'11'!K24</f>
        <v>31142.85714</v>
      </c>
      <c r="O24" s="144">
        <f>'12'!K24</f>
        <v>31142.85714</v>
      </c>
      <c r="P24" s="144">
        <f>'13'!K24</f>
        <v>31000</v>
      </c>
      <c r="Q24" s="144">
        <f>'14'!K24</f>
        <v>30714.28571</v>
      </c>
      <c r="R24" s="144">
        <f>'15'!K24</f>
        <v>30571.42857</v>
      </c>
      <c r="S24" s="144">
        <f>'16'!K24</f>
        <v>30714.28571</v>
      </c>
      <c r="T24" s="144">
        <f>'17'!K24</f>
        <v>31000</v>
      </c>
      <c r="U24" s="144">
        <f>'18'!K24</f>
        <v>30857.14286</v>
      </c>
      <c r="V24" s="144">
        <f>'19'!K24</f>
        <v>31142.85714</v>
      </c>
      <c r="W24" s="144">
        <f>'20'!K24</f>
        <v>31428.57143</v>
      </c>
      <c r="X24" s="144">
        <f>'21'!K24</f>
        <v>31285.71429</v>
      </c>
      <c r="Y24" s="144">
        <f>'22'!K24</f>
        <v>31428.57143</v>
      </c>
      <c r="Z24" s="144">
        <f>'23'!K24</f>
        <v>30714.28571</v>
      </c>
      <c r="AA24" s="144">
        <f>'24'!K24</f>
        <v>30142.85714</v>
      </c>
      <c r="AB24" s="144">
        <f>'25'!K24</f>
        <v>30142.85714</v>
      </c>
      <c r="AC24" s="144">
        <f>'26'!K24</f>
        <v>29857.14286</v>
      </c>
      <c r="AD24" s="144">
        <f>'27'!K24</f>
        <v>29285.71429</v>
      </c>
      <c r="AE24" s="144">
        <f>'28'!K24</f>
        <v>29285.71429</v>
      </c>
      <c r="AF24" s="144">
        <f>'29'!K24</f>
        <v>29285.71429</v>
      </c>
      <c r="AG24" s="144">
        <f>'30'!K24</f>
        <v>29285.71429</v>
      </c>
      <c r="AH24" s="144">
        <f>'31'!K24</f>
        <v>29571.42857</v>
      </c>
      <c r="AI24" s="144">
        <v>36750.0</v>
      </c>
      <c r="AJ24" s="144">
        <f t="shared" si="1"/>
        <v>-3571.428571</v>
      </c>
      <c r="AK24" s="56">
        <f t="shared" si="2"/>
        <v>30815.6682</v>
      </c>
    </row>
    <row r="25" ht="15.75" customHeight="1">
      <c r="A25" s="133">
        <v>6.0</v>
      </c>
      <c r="B25" s="134" t="s">
        <v>41</v>
      </c>
      <c r="C25" s="134"/>
      <c r="D25" s="123" t="str">
        <f>'1'!K25</f>
        <v/>
      </c>
      <c r="E25" s="123" t="str">
        <f>'2'!K25</f>
        <v/>
      </c>
      <c r="F25" s="123" t="str">
        <f>'3'!K25</f>
        <v/>
      </c>
      <c r="G25" s="123" t="str">
        <f>'4'!K25</f>
        <v/>
      </c>
      <c r="H25" s="123" t="str">
        <f>'5'!K25</f>
        <v/>
      </c>
      <c r="I25" s="123" t="str">
        <f>'6'!K25</f>
        <v/>
      </c>
      <c r="J25" s="123" t="str">
        <f>'7'!K25</f>
        <v/>
      </c>
      <c r="K25" s="123" t="str">
        <f>'8'!K25</f>
        <v/>
      </c>
      <c r="L25" s="123" t="str">
        <f>'9'!K25</f>
        <v/>
      </c>
      <c r="M25" s="123" t="str">
        <f>'10'!K25</f>
        <v/>
      </c>
      <c r="N25" s="123" t="str">
        <f>'11'!K25</f>
        <v/>
      </c>
      <c r="O25" s="123" t="str">
        <f>'12'!K25</f>
        <v/>
      </c>
      <c r="P25" s="123" t="str">
        <f>'13'!K25</f>
        <v/>
      </c>
      <c r="Q25" s="123" t="str">
        <f>'14'!K25</f>
        <v/>
      </c>
      <c r="R25" s="123" t="str">
        <f>'15'!K25</f>
        <v/>
      </c>
      <c r="S25" s="123" t="str">
        <f>'16'!K25</f>
        <v/>
      </c>
      <c r="T25" s="123" t="str">
        <f>'17'!K25</f>
        <v/>
      </c>
      <c r="U25" s="123" t="str">
        <f>'18'!K25</f>
        <v/>
      </c>
      <c r="V25" s="123" t="str">
        <f>'19'!K25</f>
        <v/>
      </c>
      <c r="W25" s="123" t="str">
        <f>'20'!K25</f>
        <v/>
      </c>
      <c r="X25" s="123" t="str">
        <f>'21'!K25</f>
        <v/>
      </c>
      <c r="Y25" s="123" t="str">
        <f>'22'!K25</f>
        <v/>
      </c>
      <c r="Z25" s="123" t="str">
        <f>'23'!K25</f>
        <v/>
      </c>
      <c r="AA25" s="123" t="str">
        <f>'24'!K25</f>
        <v/>
      </c>
      <c r="AB25" s="123" t="str">
        <f>'25'!K25</f>
        <v/>
      </c>
      <c r="AC25" s="123" t="str">
        <f>'26'!K25</f>
        <v/>
      </c>
      <c r="AD25" s="123" t="str">
        <f>'27'!K25</f>
        <v/>
      </c>
      <c r="AE25" s="123" t="str">
        <f>'28'!K25</f>
        <v/>
      </c>
      <c r="AF25" s="123" t="str">
        <f>'29'!K25</f>
        <v/>
      </c>
      <c r="AG25" s="123" t="str">
        <f>'30'!K25</f>
        <v/>
      </c>
      <c r="AH25" s="123" t="str">
        <f>'31'!K25</f>
        <v/>
      </c>
      <c r="AI25" s="123"/>
      <c r="AJ25" s="123">
        <f t="shared" si="1"/>
        <v>0</v>
      </c>
      <c r="AK25" s="56" t="str">
        <f t="shared" si="2"/>
        <v>#DIV/0!</v>
      </c>
    </row>
    <row r="26" ht="15.75" customHeight="1">
      <c r="A26" s="24"/>
      <c r="B26" s="141" t="s">
        <v>42</v>
      </c>
      <c r="C26" s="143" t="s">
        <v>23</v>
      </c>
      <c r="D26" s="144">
        <f>'1'!K26</f>
        <v>37571.42857</v>
      </c>
      <c r="E26" s="144">
        <f>'2'!K26</f>
        <v>37142.85714</v>
      </c>
      <c r="F26" s="144">
        <f>'3'!K26</f>
        <v>37142.85714</v>
      </c>
      <c r="G26" s="144">
        <f>'4'!K26</f>
        <v>37857.14286</v>
      </c>
      <c r="H26" s="144">
        <f>'5'!K26</f>
        <v>38428.57143</v>
      </c>
      <c r="I26" s="144">
        <f>'6'!K26</f>
        <v>37142.85714</v>
      </c>
      <c r="J26" s="144">
        <f>'7'!K26</f>
        <v>37142.85714</v>
      </c>
      <c r="K26" s="144">
        <f>'8'!K26</f>
        <v>37142.85714</v>
      </c>
      <c r="L26" s="144">
        <f>'9'!K26</f>
        <v>37142.85714</v>
      </c>
      <c r="M26" s="144">
        <f>'10'!K26</f>
        <v>36857.14286</v>
      </c>
      <c r="N26" s="144">
        <f>'11'!K26</f>
        <v>36857.14286</v>
      </c>
      <c r="O26" s="144">
        <f>'12'!K26</f>
        <v>36857.14286</v>
      </c>
      <c r="P26" s="144">
        <f>'13'!K26</f>
        <v>36857.14286</v>
      </c>
      <c r="Q26" s="144">
        <f>'14'!K26</f>
        <v>36857.14286</v>
      </c>
      <c r="R26" s="144">
        <f>'15'!K26</f>
        <v>36857.14286</v>
      </c>
      <c r="S26" s="144">
        <f>'16'!K26</f>
        <v>36714.28571</v>
      </c>
      <c r="T26" s="144">
        <f>'17'!K26</f>
        <v>36142.85714</v>
      </c>
      <c r="U26" s="144">
        <f>'18'!K26</f>
        <v>36142.85714</v>
      </c>
      <c r="V26" s="144">
        <f>'19'!K26</f>
        <v>36142.85714</v>
      </c>
      <c r="W26" s="144">
        <f>'20'!K26</f>
        <v>36142.85714</v>
      </c>
      <c r="X26" s="144">
        <f>'21'!K26</f>
        <v>36142.85714</v>
      </c>
      <c r="Y26" s="144">
        <f>'22'!K26</f>
        <v>36142.85714</v>
      </c>
      <c r="Z26" s="144">
        <f>'23'!K26</f>
        <v>36142.85714</v>
      </c>
      <c r="AA26" s="144">
        <f>'24'!K26</f>
        <v>36428.57143</v>
      </c>
      <c r="AB26" s="144">
        <f>'25'!K26</f>
        <v>37142.85714</v>
      </c>
      <c r="AC26" s="144">
        <f>'26'!K26</f>
        <v>37428.57143</v>
      </c>
      <c r="AD26" s="144">
        <f>'27'!K26</f>
        <v>37428.57143</v>
      </c>
      <c r="AE26" s="144">
        <f>'28'!K26</f>
        <v>37428.57143</v>
      </c>
      <c r="AF26" s="144">
        <f>'29'!K26</f>
        <v>37428.57143</v>
      </c>
      <c r="AG26" s="144">
        <f>'30'!K26</f>
        <v>37285.71429</v>
      </c>
      <c r="AH26" s="144">
        <f>'31'!K26</f>
        <v>37285.71429</v>
      </c>
      <c r="AI26" s="144"/>
      <c r="AJ26" s="144">
        <f t="shared" si="1"/>
        <v>-285.7142857</v>
      </c>
      <c r="AK26" s="56">
        <f t="shared" si="2"/>
        <v>36949.30876</v>
      </c>
    </row>
    <row r="27" ht="15.75" customHeight="1">
      <c r="A27" s="24"/>
      <c r="B27" s="141" t="s">
        <v>43</v>
      </c>
      <c r="C27" s="143" t="s">
        <v>23</v>
      </c>
      <c r="D27" s="144">
        <f>'1'!K27</f>
        <v>31666.66667</v>
      </c>
      <c r="E27" s="144">
        <f>'2'!K27</f>
        <v>30000</v>
      </c>
      <c r="F27" s="144">
        <f>'3'!K27</f>
        <v>30500</v>
      </c>
      <c r="G27" s="144">
        <f>'4'!K27</f>
        <v>30500</v>
      </c>
      <c r="H27" s="144">
        <f>'5'!K27</f>
        <v>30500</v>
      </c>
      <c r="I27" s="144">
        <f>'6'!K27</f>
        <v>30500</v>
      </c>
      <c r="J27" s="144">
        <f>'7'!K27</f>
        <v>30500</v>
      </c>
      <c r="K27" s="144">
        <f>'8'!K27</f>
        <v>30500</v>
      </c>
      <c r="L27" s="144">
        <f>'9'!K27</f>
        <v>30500</v>
      </c>
      <c r="M27" s="144">
        <f>'10'!K27</f>
        <v>30000</v>
      </c>
      <c r="N27" s="144">
        <f>'11'!K27</f>
        <v>30000</v>
      </c>
      <c r="O27" s="144">
        <f>'12'!K27</f>
        <v>30000</v>
      </c>
      <c r="P27" s="144">
        <f>'13'!K27</f>
        <v>30000</v>
      </c>
      <c r="Q27" s="144">
        <f>'14'!K27</f>
        <v>30000</v>
      </c>
      <c r="R27" s="144">
        <f>'15'!K27</f>
        <v>30000</v>
      </c>
      <c r="S27" s="144">
        <f>'16'!K27</f>
        <v>29666.66667</v>
      </c>
      <c r="T27" s="144">
        <f>'17'!K27</f>
        <v>29166.66667</v>
      </c>
      <c r="U27" s="144">
        <f>'18'!K27</f>
        <v>30000</v>
      </c>
      <c r="V27" s="144">
        <f>'19'!K27</f>
        <v>29166.66667</v>
      </c>
      <c r="W27" s="144">
        <f>'20'!K27</f>
        <v>29166.66667</v>
      </c>
      <c r="X27" s="144">
        <f>'21'!K27</f>
        <v>29166.66667</v>
      </c>
      <c r="Y27" s="144">
        <f>'22'!K27</f>
        <v>29166.66667</v>
      </c>
      <c r="Z27" s="144">
        <f>'23'!K27</f>
        <v>29166.66667</v>
      </c>
      <c r="AA27" s="144">
        <f>'24'!K27</f>
        <v>29166.66667</v>
      </c>
      <c r="AB27" s="144">
        <f>'25'!K27</f>
        <v>28833.33333</v>
      </c>
      <c r="AC27" s="144">
        <f>'26'!K27</f>
        <v>28833.33333</v>
      </c>
      <c r="AD27" s="144">
        <f>'27'!K27</f>
        <v>28833.33333</v>
      </c>
      <c r="AE27" s="144">
        <f>'28'!K27</f>
        <v>28833.33333</v>
      </c>
      <c r="AF27" s="144">
        <f>'29'!K27</f>
        <v>28833.33333</v>
      </c>
      <c r="AG27" s="144">
        <f>'30'!K27</f>
        <v>28500</v>
      </c>
      <c r="AH27" s="144">
        <f>'31'!K27</f>
        <v>28500</v>
      </c>
      <c r="AI27" s="144"/>
      <c r="AJ27" s="144">
        <f t="shared" si="1"/>
        <v>-3166.666667</v>
      </c>
      <c r="AK27" s="56">
        <f t="shared" si="2"/>
        <v>29682.7957</v>
      </c>
    </row>
    <row r="28" ht="15.75" customHeight="1">
      <c r="A28" s="24"/>
      <c r="B28" s="141" t="s">
        <v>45</v>
      </c>
      <c r="C28" s="143" t="s">
        <v>23</v>
      </c>
      <c r="D28" s="144">
        <f>'1'!K28</f>
        <v>68833.33333</v>
      </c>
      <c r="E28" s="144">
        <f>'2'!K28</f>
        <v>68833.33333</v>
      </c>
      <c r="F28" s="144">
        <f>'3'!K28</f>
        <v>68833.33333</v>
      </c>
      <c r="G28" s="144">
        <f>'4'!K28</f>
        <v>68833.33333</v>
      </c>
      <c r="H28" s="144">
        <f>'5'!K28</f>
        <v>69666.66667</v>
      </c>
      <c r="I28" s="144">
        <f>'6'!K28</f>
        <v>68000</v>
      </c>
      <c r="J28" s="144">
        <f>'7'!K28</f>
        <v>68000</v>
      </c>
      <c r="K28" s="144">
        <f>'8'!K28</f>
        <v>68000</v>
      </c>
      <c r="L28" s="144">
        <f>'9'!K28</f>
        <v>68000</v>
      </c>
      <c r="M28" s="144">
        <f>'10'!K28</f>
        <v>66333.33333</v>
      </c>
      <c r="N28" s="144">
        <f>'11'!K28</f>
        <v>66333.33333</v>
      </c>
      <c r="O28" s="144">
        <f>'12'!K28</f>
        <v>66333.33333</v>
      </c>
      <c r="P28" s="144">
        <f>'13'!K28</f>
        <v>66333.33333</v>
      </c>
      <c r="Q28" s="144">
        <f>'14'!K28</f>
        <v>66333.33333</v>
      </c>
      <c r="R28" s="144">
        <f>'15'!K28</f>
        <v>66333.33333</v>
      </c>
      <c r="S28" s="144">
        <f>'16'!K28</f>
        <v>66333.33333</v>
      </c>
      <c r="T28" s="144">
        <f>'17'!K28</f>
        <v>65500</v>
      </c>
      <c r="U28" s="144">
        <f>'18'!K28</f>
        <v>66333.33333</v>
      </c>
      <c r="V28" s="144">
        <f>'19'!K28</f>
        <v>65500</v>
      </c>
      <c r="W28" s="144">
        <f>'20'!K28</f>
        <v>65500</v>
      </c>
      <c r="X28" s="144">
        <f>'21'!K28</f>
        <v>65500</v>
      </c>
      <c r="Y28" s="144">
        <f>'22'!K28</f>
        <v>65500</v>
      </c>
      <c r="Z28" s="144">
        <f>'23'!K28</f>
        <v>65500</v>
      </c>
      <c r="AA28" s="144">
        <f>'24'!K28</f>
        <v>64666.66667</v>
      </c>
      <c r="AB28" s="144">
        <f>'25'!K28</f>
        <v>63833.33333</v>
      </c>
      <c r="AC28" s="144">
        <f>'26'!K28</f>
        <v>63666.66667</v>
      </c>
      <c r="AD28" s="144">
        <f>'27'!K28</f>
        <v>63666.66667</v>
      </c>
      <c r="AE28" s="144">
        <f>'28'!K28</f>
        <v>63666.66667</v>
      </c>
      <c r="AF28" s="144">
        <f>'29'!K28</f>
        <v>63666.66667</v>
      </c>
      <c r="AG28" s="144">
        <f>'30'!K28</f>
        <v>63666.66667</v>
      </c>
      <c r="AH28" s="144">
        <f>'31'!K28</f>
        <v>63666.66667</v>
      </c>
      <c r="AI28" s="144"/>
      <c r="AJ28" s="144">
        <f t="shared" si="1"/>
        <v>-5166.666667</v>
      </c>
      <c r="AK28" s="56">
        <f t="shared" si="2"/>
        <v>66166.66667</v>
      </c>
    </row>
    <row r="29" ht="15.75" customHeight="1">
      <c r="A29" s="24"/>
      <c r="B29" s="158" t="s">
        <v>46</v>
      </c>
      <c r="C29" s="94" t="s">
        <v>23</v>
      </c>
      <c r="D29" s="95">
        <f>'1'!K29</f>
        <v>24000</v>
      </c>
      <c r="E29" s="95">
        <f>'2'!K29</f>
        <v>24000</v>
      </c>
      <c r="F29" s="95">
        <f>'3'!K29</f>
        <v>24000</v>
      </c>
      <c r="G29" s="95">
        <f>'4'!K29</f>
        <v>24000</v>
      </c>
      <c r="H29" s="95">
        <f>'5'!K29</f>
        <v>24000</v>
      </c>
      <c r="I29" s="95">
        <f>'6'!K29</f>
        <v>24500</v>
      </c>
      <c r="J29" s="95">
        <f>'7'!K29</f>
        <v>24500</v>
      </c>
      <c r="K29" s="95">
        <f>'8'!K29</f>
        <v>24500</v>
      </c>
      <c r="L29" s="95">
        <f>'9'!K29</f>
        <v>24500</v>
      </c>
      <c r="M29" s="95">
        <f>'10'!K29</f>
        <v>24500</v>
      </c>
      <c r="N29" s="95">
        <f>'11'!K29</f>
        <v>24500</v>
      </c>
      <c r="O29" s="95">
        <f>'12'!K29</f>
        <v>24500</v>
      </c>
      <c r="P29" s="95">
        <f>'13'!K29</f>
        <v>24500</v>
      </c>
      <c r="Q29" s="95">
        <f>'14'!K29</f>
        <v>24500</v>
      </c>
      <c r="R29" s="95">
        <f>'15'!K29</f>
        <v>24500</v>
      </c>
      <c r="S29" s="95">
        <f>'16'!K29</f>
        <v>24500</v>
      </c>
      <c r="T29" s="95">
        <f>'17'!K29</f>
        <v>24500</v>
      </c>
      <c r="U29" s="95">
        <f>'18'!K29</f>
        <v>24500</v>
      </c>
      <c r="V29" s="95">
        <f>'19'!K29</f>
        <v>24500</v>
      </c>
      <c r="W29" s="95">
        <f>'20'!K29</f>
        <v>24500</v>
      </c>
      <c r="X29" s="95">
        <f>'21'!K29</f>
        <v>24500</v>
      </c>
      <c r="Y29" s="95">
        <f>'22'!K29</f>
        <v>24500</v>
      </c>
      <c r="Z29" s="95">
        <f>'23'!K29</f>
        <v>24500</v>
      </c>
      <c r="AA29" s="95">
        <f>'24'!K29</f>
        <v>24500</v>
      </c>
      <c r="AB29" s="95">
        <f>'25'!K29</f>
        <v>24500</v>
      </c>
      <c r="AC29" s="95">
        <f>'26'!K29</f>
        <v>24500</v>
      </c>
      <c r="AD29" s="95">
        <f>'27'!K29</f>
        <v>24500</v>
      </c>
      <c r="AE29" s="95">
        <f>'28'!K29</f>
        <v>24500</v>
      </c>
      <c r="AF29" s="95">
        <f>'29'!K29</f>
        <v>24500</v>
      </c>
      <c r="AG29" s="95">
        <f>'30'!K29</f>
        <v>24500</v>
      </c>
      <c r="AH29" s="95">
        <f>'31'!K29</f>
        <v>24500</v>
      </c>
      <c r="AI29" s="95"/>
      <c r="AJ29" s="95">
        <f t="shared" si="1"/>
        <v>500</v>
      </c>
      <c r="AK29" s="56">
        <f t="shared" si="2"/>
        <v>24419.35484</v>
      </c>
    </row>
    <row r="30" ht="15.75" customHeight="1">
      <c r="A30" s="24"/>
      <c r="B30" s="141" t="s">
        <v>47</v>
      </c>
      <c r="C30" s="143" t="s">
        <v>23</v>
      </c>
      <c r="D30" s="144">
        <f>'1'!K30</f>
        <v>39142.85714</v>
      </c>
      <c r="E30" s="144">
        <f>'2'!K30</f>
        <v>38214.28571</v>
      </c>
      <c r="F30" s="144">
        <f>'3'!K30</f>
        <v>38214.28571</v>
      </c>
      <c r="G30" s="144">
        <f>'4'!K30</f>
        <v>37642.85714</v>
      </c>
      <c r="H30" s="144">
        <f>'5'!K30</f>
        <v>37357.14286</v>
      </c>
      <c r="I30" s="144">
        <f>'6'!K30</f>
        <v>37071.42857</v>
      </c>
      <c r="J30" s="144">
        <f>'7'!K30</f>
        <v>37071.42857</v>
      </c>
      <c r="K30" s="144">
        <f>'8'!K30</f>
        <v>37071.42857</v>
      </c>
      <c r="L30" s="144">
        <f>'9'!K30</f>
        <v>37214.28571</v>
      </c>
      <c r="M30" s="144">
        <f>'10'!K30</f>
        <v>36857.14286</v>
      </c>
      <c r="N30" s="144">
        <f>'11'!K30</f>
        <v>36857.14286</v>
      </c>
      <c r="O30" s="144">
        <f>'12'!K30</f>
        <v>36714.28571</v>
      </c>
      <c r="P30" s="144">
        <f>'13'!K30</f>
        <v>36714.28571</v>
      </c>
      <c r="Q30" s="144">
        <f>'14'!K30</f>
        <v>36714.28571</v>
      </c>
      <c r="R30" s="144">
        <f>'15'!K30</f>
        <v>36714.28571</v>
      </c>
      <c r="S30" s="144">
        <f>'16'!K30</f>
        <v>36714.28571</v>
      </c>
      <c r="T30" s="144">
        <f>'17'!K30</f>
        <v>36428.57143</v>
      </c>
      <c r="U30" s="144">
        <f>'18'!K30</f>
        <v>36857.14286</v>
      </c>
      <c r="V30" s="144">
        <f>'19'!K30</f>
        <v>37142.85714</v>
      </c>
      <c r="W30" s="144">
        <f>'20'!K30</f>
        <v>37142.85714</v>
      </c>
      <c r="X30" s="144">
        <f>'21'!K30</f>
        <v>37142.85714</v>
      </c>
      <c r="Y30" s="144">
        <f>'22'!K30</f>
        <v>37142.85714</v>
      </c>
      <c r="Z30" s="144">
        <f>'23'!K30</f>
        <v>37142.85714</v>
      </c>
      <c r="AA30" s="144">
        <f>'24'!K30</f>
        <v>37285.71429</v>
      </c>
      <c r="AB30" s="144">
        <f>'25'!K30</f>
        <v>37000</v>
      </c>
      <c r="AC30" s="144">
        <f>'26'!K30</f>
        <v>37428.57143</v>
      </c>
      <c r="AD30" s="144">
        <f>'27'!K30</f>
        <v>37428.57143</v>
      </c>
      <c r="AE30" s="144">
        <f>'28'!K30</f>
        <v>37428.57143</v>
      </c>
      <c r="AF30" s="144">
        <f>'29'!K30</f>
        <v>37428.57143</v>
      </c>
      <c r="AG30" s="144">
        <f>'30'!K30</f>
        <v>37142.85714</v>
      </c>
      <c r="AH30" s="144">
        <f>'31'!K30</f>
        <v>37142.85714</v>
      </c>
      <c r="AI30" s="144"/>
      <c r="AJ30" s="144">
        <f t="shared" si="1"/>
        <v>-2000</v>
      </c>
      <c r="AK30" s="56">
        <f t="shared" si="2"/>
        <v>37211.98157</v>
      </c>
    </row>
    <row r="31" ht="15.75" customHeight="1">
      <c r="A31" s="71"/>
      <c r="B31" s="141" t="s">
        <v>48</v>
      </c>
      <c r="C31" s="143" t="s">
        <v>23</v>
      </c>
      <c r="D31" s="144">
        <f>'1'!K31</f>
        <v>88000</v>
      </c>
      <c r="E31" s="144">
        <f>'2'!K31</f>
        <v>88000</v>
      </c>
      <c r="F31" s="144">
        <f>'3'!K31</f>
        <v>88000</v>
      </c>
      <c r="G31" s="144">
        <f>'4'!K31</f>
        <v>88000</v>
      </c>
      <c r="H31" s="144">
        <f>'5'!K31</f>
        <v>88000</v>
      </c>
      <c r="I31" s="144">
        <f>'6'!K31</f>
        <v>86000</v>
      </c>
      <c r="J31" s="144">
        <f>'7'!K31</f>
        <v>86000</v>
      </c>
      <c r="K31" s="144">
        <f>'8'!K31</f>
        <v>86000</v>
      </c>
      <c r="L31" s="144">
        <f>'9'!K31</f>
        <v>86000</v>
      </c>
      <c r="M31" s="144">
        <f>'10'!K31</f>
        <v>86000</v>
      </c>
      <c r="N31" s="144">
        <f>'11'!K31</f>
        <v>86000</v>
      </c>
      <c r="O31" s="144">
        <f>'12'!K31</f>
        <v>86000</v>
      </c>
      <c r="P31" s="144">
        <f>'13'!K31</f>
        <v>86000</v>
      </c>
      <c r="Q31" s="144">
        <f>'14'!K31</f>
        <v>86000</v>
      </c>
      <c r="R31" s="144">
        <f>'15'!K31</f>
        <v>86000</v>
      </c>
      <c r="S31" s="144">
        <f>'16'!K31</f>
        <v>86000</v>
      </c>
      <c r="T31" s="144">
        <f>'17'!K31</f>
        <v>86000</v>
      </c>
      <c r="U31" s="144">
        <f>'18'!K31</f>
        <v>86000</v>
      </c>
      <c r="V31" s="144">
        <f>'19'!K31</f>
        <v>86000</v>
      </c>
      <c r="W31" s="144">
        <f>'20'!K31</f>
        <v>86000</v>
      </c>
      <c r="X31" s="144">
        <f>'21'!K31</f>
        <v>86000</v>
      </c>
      <c r="Y31" s="144">
        <f>'22'!K31</f>
        <v>86000</v>
      </c>
      <c r="Z31" s="144">
        <f>'23'!K31</f>
        <v>86000</v>
      </c>
      <c r="AA31" s="144">
        <f>'24'!K31</f>
        <v>86000</v>
      </c>
      <c r="AB31" s="144">
        <f>'25'!K31</f>
        <v>84000</v>
      </c>
      <c r="AC31" s="144">
        <f>'26'!K31</f>
        <v>84000</v>
      </c>
      <c r="AD31" s="144">
        <f>'27'!K31</f>
        <v>84000</v>
      </c>
      <c r="AE31" s="144">
        <f>'28'!K31</f>
        <v>84000</v>
      </c>
      <c r="AF31" s="144">
        <f>'29'!K31</f>
        <v>84000</v>
      </c>
      <c r="AG31" s="144">
        <f>'30'!K31</f>
        <v>84000</v>
      </c>
      <c r="AH31" s="144">
        <f>'31'!K31</f>
        <v>84000</v>
      </c>
      <c r="AI31" s="144"/>
      <c r="AJ31" s="144">
        <f t="shared" si="1"/>
        <v>-4000</v>
      </c>
      <c r="AK31" s="56">
        <f t="shared" si="2"/>
        <v>85870.96774</v>
      </c>
    </row>
    <row r="32" ht="15.75" customHeight="1">
      <c r="A32" s="133">
        <v>7.0</v>
      </c>
      <c r="B32" s="134" t="s">
        <v>49</v>
      </c>
      <c r="C32" s="134"/>
      <c r="D32" s="123" t="str">
        <f>'1'!K32</f>
        <v/>
      </c>
      <c r="E32" s="123" t="str">
        <f>'2'!K32</f>
        <v/>
      </c>
      <c r="F32" s="123" t="str">
        <f>'3'!K32</f>
        <v/>
      </c>
      <c r="G32" s="123" t="str">
        <f>'4'!K32</f>
        <v/>
      </c>
      <c r="H32" s="123" t="str">
        <f>'5'!K32</f>
        <v/>
      </c>
      <c r="I32" s="123" t="str">
        <f>'6'!K32</f>
        <v/>
      </c>
      <c r="J32" s="123" t="str">
        <f>'7'!K32</f>
        <v/>
      </c>
      <c r="K32" s="123" t="str">
        <f>'8'!K32</f>
        <v/>
      </c>
      <c r="L32" s="123" t="str">
        <f>'9'!K32</f>
        <v/>
      </c>
      <c r="M32" s="123" t="str">
        <f>'10'!K32</f>
        <v/>
      </c>
      <c r="N32" s="123" t="str">
        <f>'11'!K32</f>
        <v/>
      </c>
      <c r="O32" s="123" t="str">
        <f>'12'!K32</f>
        <v/>
      </c>
      <c r="P32" s="123" t="str">
        <f>'13'!K32</f>
        <v/>
      </c>
      <c r="Q32" s="123" t="str">
        <f>'14'!K32</f>
        <v/>
      </c>
      <c r="R32" s="123" t="str">
        <f>'15'!K32</f>
        <v/>
      </c>
      <c r="S32" s="123" t="str">
        <f>'16'!K32</f>
        <v/>
      </c>
      <c r="T32" s="123" t="str">
        <f>'17'!K32</f>
        <v/>
      </c>
      <c r="U32" s="123" t="str">
        <f>'18'!K32</f>
        <v/>
      </c>
      <c r="V32" s="123" t="str">
        <f>'19'!K32</f>
        <v/>
      </c>
      <c r="W32" s="123" t="str">
        <f>'20'!K32</f>
        <v/>
      </c>
      <c r="X32" s="123" t="str">
        <f>'21'!K32</f>
        <v/>
      </c>
      <c r="Y32" s="123" t="str">
        <f>'22'!K32</f>
        <v/>
      </c>
      <c r="Z32" s="123" t="str">
        <f>'23'!K32</f>
        <v/>
      </c>
      <c r="AA32" s="123" t="str">
        <f>'24'!K32</f>
        <v/>
      </c>
      <c r="AB32" s="123" t="str">
        <f>'25'!K32</f>
        <v/>
      </c>
      <c r="AC32" s="123" t="str">
        <f>'26'!K32</f>
        <v/>
      </c>
      <c r="AD32" s="123" t="str">
        <f>'27'!K32</f>
        <v/>
      </c>
      <c r="AE32" s="123" t="str">
        <f>'28'!K32</f>
        <v/>
      </c>
      <c r="AF32" s="123" t="str">
        <f>'29'!K32</f>
        <v/>
      </c>
      <c r="AG32" s="123" t="str">
        <f>'30'!K32</f>
        <v/>
      </c>
      <c r="AH32" s="123" t="str">
        <f>'31'!K32</f>
        <v/>
      </c>
      <c r="AI32" s="123"/>
      <c r="AJ32" s="123">
        <f t="shared" si="1"/>
        <v>0</v>
      </c>
      <c r="AK32" s="56" t="str">
        <f t="shared" si="2"/>
        <v>#DIV/0!</v>
      </c>
    </row>
    <row r="33" ht="15.75" customHeight="1">
      <c r="A33" s="24"/>
      <c r="B33" s="141" t="s">
        <v>113</v>
      </c>
      <c r="C33" s="143" t="s">
        <v>23</v>
      </c>
      <c r="D33" s="144">
        <f>'1'!K33</f>
        <v>27857.14286</v>
      </c>
      <c r="E33" s="144">
        <f>'2'!K33</f>
        <v>27857.14286</v>
      </c>
      <c r="F33" s="144">
        <f>'3'!K33</f>
        <v>27714.28571</v>
      </c>
      <c r="G33" s="144">
        <f>'4'!K33</f>
        <v>28000</v>
      </c>
      <c r="H33" s="144">
        <f>'5'!K33</f>
        <v>27428.57143</v>
      </c>
      <c r="I33" s="144">
        <f>'6'!K33</f>
        <v>27285.71429</v>
      </c>
      <c r="J33" s="144">
        <f>'7'!K33</f>
        <v>27285.71429</v>
      </c>
      <c r="K33" s="144">
        <f>'8'!K33</f>
        <v>27142.85714</v>
      </c>
      <c r="L33" s="144">
        <f>'9'!K33</f>
        <v>27071.42857</v>
      </c>
      <c r="M33" s="144">
        <f>'10'!K33</f>
        <v>26928.57143</v>
      </c>
      <c r="N33" s="144">
        <f>'11'!K33</f>
        <v>26928.57143</v>
      </c>
      <c r="O33" s="144">
        <f>'12'!K33</f>
        <v>26928.57143</v>
      </c>
      <c r="P33" s="144">
        <f>'13'!K33</f>
        <v>26928.57143</v>
      </c>
      <c r="Q33" s="144">
        <f>'14'!K33</f>
        <v>26928.57143</v>
      </c>
      <c r="R33" s="144">
        <f>'15'!K33</f>
        <v>26928.57143</v>
      </c>
      <c r="S33" s="144">
        <f>'16'!K33</f>
        <v>26928.57143</v>
      </c>
      <c r="T33" s="144">
        <f>'17'!K33</f>
        <v>27071.42857</v>
      </c>
      <c r="U33" s="144">
        <f>'18'!K33</f>
        <v>27214.28571</v>
      </c>
      <c r="V33" s="144">
        <f>'19'!K33</f>
        <v>27214.28571</v>
      </c>
      <c r="W33" s="144">
        <f>'20'!K33</f>
        <v>27214.28571</v>
      </c>
      <c r="X33" s="144">
        <f>'21'!K33</f>
        <v>27214.28571</v>
      </c>
      <c r="Y33" s="144">
        <f>'22'!K33</f>
        <v>27357.14286</v>
      </c>
      <c r="Z33" s="144">
        <f>'23'!K33</f>
        <v>27214.28571</v>
      </c>
      <c r="AA33" s="144">
        <f>'24'!K33</f>
        <v>27214.28571</v>
      </c>
      <c r="AB33" s="144">
        <f>'25'!K33</f>
        <v>27071.42857</v>
      </c>
      <c r="AC33" s="144">
        <f>'26'!K33</f>
        <v>27071.42857</v>
      </c>
      <c r="AD33" s="144">
        <f>'27'!K33</f>
        <v>26714.28571</v>
      </c>
      <c r="AE33" s="144">
        <f>'28'!K33</f>
        <v>26714.28571</v>
      </c>
      <c r="AF33" s="144">
        <f>'29'!K33</f>
        <v>26714.28571</v>
      </c>
      <c r="AG33" s="144">
        <f>'30'!K33</f>
        <v>26642.85714</v>
      </c>
      <c r="AH33" s="144">
        <f>'31'!K33</f>
        <v>26642.85714</v>
      </c>
      <c r="AI33" s="144">
        <v>27000.0</v>
      </c>
      <c r="AJ33" s="144">
        <f t="shared" si="1"/>
        <v>-1214.285714</v>
      </c>
      <c r="AK33" s="56">
        <f t="shared" si="2"/>
        <v>27142.85714</v>
      </c>
    </row>
    <row r="34" ht="15.75" customHeight="1">
      <c r="A34" s="71"/>
      <c r="B34" s="141" t="s">
        <v>52</v>
      </c>
      <c r="C34" s="143" t="s">
        <v>53</v>
      </c>
      <c r="D34" s="144">
        <f>'1'!K34</f>
        <v>2457.142857</v>
      </c>
      <c r="E34" s="144">
        <f>'2'!K34</f>
        <v>2457.142857</v>
      </c>
      <c r="F34" s="144">
        <f>'3'!K34</f>
        <v>2457.142857</v>
      </c>
      <c r="G34" s="144">
        <f>'4'!K34</f>
        <v>2457.142857</v>
      </c>
      <c r="H34" s="144">
        <f>'5'!K34</f>
        <v>2457.142857</v>
      </c>
      <c r="I34" s="144">
        <f>'6'!K34</f>
        <v>2442.857143</v>
      </c>
      <c r="J34" s="144">
        <f>'7'!K34</f>
        <v>2442.857143</v>
      </c>
      <c r="K34" s="144">
        <f>'8'!K34</f>
        <v>2442.857143</v>
      </c>
      <c r="L34" s="144">
        <f>'9'!K34</f>
        <v>2442.857143</v>
      </c>
      <c r="M34" s="144">
        <f>'10'!K34</f>
        <v>2442.857143</v>
      </c>
      <c r="N34" s="144">
        <f>'11'!K34</f>
        <v>2400</v>
      </c>
      <c r="O34" s="144">
        <f>'12'!K34</f>
        <v>2400</v>
      </c>
      <c r="P34" s="144">
        <f>'13'!K34</f>
        <v>2400</v>
      </c>
      <c r="Q34" s="144">
        <f>'14'!K34</f>
        <v>2400</v>
      </c>
      <c r="R34" s="144">
        <f>'15'!K34</f>
        <v>2400</v>
      </c>
      <c r="S34" s="144">
        <f>'16'!K34</f>
        <v>2371.428571</v>
      </c>
      <c r="T34" s="144">
        <f>'17'!K34</f>
        <v>2371.428571</v>
      </c>
      <c r="U34" s="144">
        <f>'18'!K34</f>
        <v>2371.428571</v>
      </c>
      <c r="V34" s="144">
        <f>'19'!K34</f>
        <v>2371.428571</v>
      </c>
      <c r="W34" s="144">
        <f>'20'!K34</f>
        <v>2371.428571</v>
      </c>
      <c r="X34" s="144">
        <f>'21'!K34</f>
        <v>2371.428571</v>
      </c>
      <c r="Y34" s="144">
        <f>'22'!K34</f>
        <v>2371.428571</v>
      </c>
      <c r="Z34" s="144">
        <f>'23'!K34</f>
        <v>2371.428571</v>
      </c>
      <c r="AA34" s="144">
        <f>'24'!K34</f>
        <v>2371.428571</v>
      </c>
      <c r="AB34" s="144">
        <f>'25'!K34</f>
        <v>2371.428571</v>
      </c>
      <c r="AC34" s="144">
        <f>'26'!K34</f>
        <v>2371.428571</v>
      </c>
      <c r="AD34" s="144">
        <f>'27'!K34</f>
        <v>2371.428571</v>
      </c>
      <c r="AE34" s="144">
        <f>'28'!K34</f>
        <v>2371.428571</v>
      </c>
      <c r="AF34" s="144">
        <f>'29'!K34</f>
        <v>2371.428571</v>
      </c>
      <c r="AG34" s="144">
        <f>'30'!K34</f>
        <v>2371.428571</v>
      </c>
      <c r="AH34" s="144">
        <f>'31'!K34</f>
        <v>2371.428571</v>
      </c>
      <c r="AI34" s="144"/>
      <c r="AJ34" s="144">
        <f t="shared" si="1"/>
        <v>-85.71428571</v>
      </c>
      <c r="AK34" s="56">
        <f t="shared" si="2"/>
        <v>2401.382488</v>
      </c>
    </row>
    <row r="35" ht="15.75" customHeight="1">
      <c r="A35" s="133">
        <v>8.0</v>
      </c>
      <c r="B35" s="134" t="s">
        <v>54</v>
      </c>
      <c r="C35" s="134"/>
      <c r="D35" s="123" t="str">
        <f>'1'!K35</f>
        <v/>
      </c>
      <c r="E35" s="123" t="str">
        <f>'2'!K35</f>
        <v/>
      </c>
      <c r="F35" s="123" t="str">
        <f>'3'!K35</f>
        <v/>
      </c>
      <c r="G35" s="123" t="str">
        <f>'4'!K35</f>
        <v/>
      </c>
      <c r="H35" s="123" t="str">
        <f>'5'!K35</f>
        <v/>
      </c>
      <c r="I35" s="123" t="str">
        <f>'6'!K35</f>
        <v/>
      </c>
      <c r="J35" s="123" t="str">
        <f>'7'!K35</f>
        <v/>
      </c>
      <c r="K35" s="123" t="str">
        <f>'8'!K35</f>
        <v/>
      </c>
      <c r="L35" s="123" t="str">
        <f>'9'!K35</f>
        <v/>
      </c>
      <c r="M35" s="123" t="str">
        <f>'10'!K35</f>
        <v/>
      </c>
      <c r="N35" s="123" t="str">
        <f>'11'!K35</f>
        <v/>
      </c>
      <c r="O35" s="123" t="str">
        <f>'12'!K35</f>
        <v/>
      </c>
      <c r="P35" s="123" t="str">
        <f>'13'!K35</f>
        <v/>
      </c>
      <c r="Q35" s="123" t="str">
        <f>'14'!K35</f>
        <v/>
      </c>
      <c r="R35" s="123" t="str">
        <f>'15'!K35</f>
        <v/>
      </c>
      <c r="S35" s="123" t="str">
        <f>'16'!K35</f>
        <v/>
      </c>
      <c r="T35" s="123" t="str">
        <f>'17'!K35</f>
        <v/>
      </c>
      <c r="U35" s="123" t="str">
        <f>'18'!K35</f>
        <v/>
      </c>
      <c r="V35" s="123" t="str">
        <f>'19'!K35</f>
        <v/>
      </c>
      <c r="W35" s="123" t="str">
        <f>'20'!K35</f>
        <v/>
      </c>
      <c r="X35" s="123" t="str">
        <f>'21'!K35</f>
        <v/>
      </c>
      <c r="Y35" s="123" t="str">
        <f>'22'!K35</f>
        <v/>
      </c>
      <c r="Z35" s="123" t="str">
        <f>'23'!K35</f>
        <v/>
      </c>
      <c r="AA35" s="123" t="str">
        <f>'24'!K35</f>
        <v/>
      </c>
      <c r="AB35" s="123" t="str">
        <f>'25'!K35</f>
        <v/>
      </c>
      <c r="AC35" s="123" t="str">
        <f>'26'!K35</f>
        <v/>
      </c>
      <c r="AD35" s="123" t="str">
        <f>'27'!K35</f>
        <v/>
      </c>
      <c r="AE35" s="123" t="str">
        <f>'28'!K35</f>
        <v/>
      </c>
      <c r="AF35" s="123" t="str">
        <f>'29'!K35</f>
        <v/>
      </c>
      <c r="AG35" s="123" t="str">
        <f>'30'!K35</f>
        <v/>
      </c>
      <c r="AH35" s="123" t="str">
        <f>'31'!K35</f>
        <v/>
      </c>
      <c r="AI35" s="123"/>
      <c r="AJ35" s="123">
        <f t="shared" si="1"/>
        <v>0</v>
      </c>
      <c r="AK35" s="56" t="str">
        <f t="shared" si="2"/>
        <v>#DIV/0!</v>
      </c>
    </row>
    <row r="36" ht="15.75" customHeight="1">
      <c r="A36" s="24"/>
      <c r="B36" s="150" t="s">
        <v>55</v>
      </c>
      <c r="C36" s="121" t="s">
        <v>56</v>
      </c>
      <c r="D36" s="123">
        <f>'1'!K36</f>
        <v>11500</v>
      </c>
      <c r="E36" s="123">
        <f>'2'!K36</f>
        <v>11500</v>
      </c>
      <c r="F36" s="123">
        <f>'3'!K36</f>
        <v>11500</v>
      </c>
      <c r="G36" s="123">
        <f>'4'!K36</f>
        <v>11500</v>
      </c>
      <c r="H36" s="123">
        <f>'5'!K36</f>
        <v>11500</v>
      </c>
      <c r="I36" s="123">
        <f>'6'!K36</f>
        <v>11500</v>
      </c>
      <c r="J36" s="123">
        <f>'7'!K36</f>
        <v>11500</v>
      </c>
      <c r="K36" s="123">
        <f>'8'!K36</f>
        <v>11500</v>
      </c>
      <c r="L36" s="123">
        <f>'9'!K36</f>
        <v>11500</v>
      </c>
      <c r="M36" s="123">
        <f>'10'!K36</f>
        <v>11500</v>
      </c>
      <c r="N36" s="123">
        <f>'11'!K36</f>
        <v>11500</v>
      </c>
      <c r="O36" s="123">
        <f>'12'!K36</f>
        <v>11500</v>
      </c>
      <c r="P36" s="123">
        <f>'13'!K36</f>
        <v>11500</v>
      </c>
      <c r="Q36" s="123">
        <f>'14'!K36</f>
        <v>11500</v>
      </c>
      <c r="R36" s="123">
        <f>'15'!K36</f>
        <v>11500</v>
      </c>
      <c r="S36" s="123">
        <f>'16'!K36</f>
        <v>11500</v>
      </c>
      <c r="T36" s="123">
        <f>'17'!K36</f>
        <v>11500</v>
      </c>
      <c r="U36" s="123">
        <f>'18'!K36</f>
        <v>11500</v>
      </c>
      <c r="V36" s="123">
        <f>'19'!K36</f>
        <v>11500</v>
      </c>
      <c r="W36" s="123">
        <f>'20'!K36</f>
        <v>11500</v>
      </c>
      <c r="X36" s="123">
        <f>'21'!K36</f>
        <v>11500</v>
      </c>
      <c r="Y36" s="123">
        <f>'22'!K36</f>
        <v>11500</v>
      </c>
      <c r="Z36" s="123">
        <f>'23'!K36</f>
        <v>11500</v>
      </c>
      <c r="AA36" s="123">
        <f>'24'!K36</f>
        <v>11500</v>
      </c>
      <c r="AB36" s="123">
        <f>'25'!K36</f>
        <v>11500</v>
      </c>
      <c r="AC36" s="123">
        <f>'26'!K36</f>
        <v>11500</v>
      </c>
      <c r="AD36" s="123">
        <f>'27'!K36</f>
        <v>11500</v>
      </c>
      <c r="AE36" s="123">
        <f>'28'!K36</f>
        <v>11500</v>
      </c>
      <c r="AF36" s="123">
        <f>'29'!K36</f>
        <v>11500</v>
      </c>
      <c r="AG36" s="123">
        <f>'30'!K36</f>
        <v>11500</v>
      </c>
      <c r="AH36" s="123">
        <f>'31'!K36</f>
        <v>11500</v>
      </c>
      <c r="AI36" s="123"/>
      <c r="AJ36" s="123">
        <f t="shared" si="1"/>
        <v>0</v>
      </c>
      <c r="AK36" s="56">
        <f t="shared" si="2"/>
        <v>11500</v>
      </c>
    </row>
    <row r="37" ht="15.75" customHeight="1">
      <c r="A37" s="71"/>
      <c r="B37" s="150" t="s">
        <v>57</v>
      </c>
      <c r="C37" s="121" t="s">
        <v>58</v>
      </c>
      <c r="D37" s="123">
        <f>'1'!K37</f>
        <v>40200</v>
      </c>
      <c r="E37" s="123">
        <f>'2'!K37</f>
        <v>40200</v>
      </c>
      <c r="F37" s="123">
        <f>'3'!K37</f>
        <v>40200</v>
      </c>
      <c r="G37" s="123">
        <f>'4'!K37</f>
        <v>40200</v>
      </c>
      <c r="H37" s="123">
        <f>'5'!K37</f>
        <v>40200</v>
      </c>
      <c r="I37" s="123">
        <f>'6'!K37</f>
        <v>40200</v>
      </c>
      <c r="J37" s="123">
        <f>'7'!K37</f>
        <v>40200</v>
      </c>
      <c r="K37" s="123">
        <f>'8'!K37</f>
        <v>40200</v>
      </c>
      <c r="L37" s="123">
        <f>'9'!K37</f>
        <v>40200</v>
      </c>
      <c r="M37" s="123">
        <f>'10'!K37</f>
        <v>40200</v>
      </c>
      <c r="N37" s="123">
        <f>'11'!K37</f>
        <v>40200</v>
      </c>
      <c r="O37" s="123">
        <f>'12'!K37</f>
        <v>40200</v>
      </c>
      <c r="P37" s="123">
        <f>'13'!K37</f>
        <v>40200</v>
      </c>
      <c r="Q37" s="123">
        <f>'14'!K37</f>
        <v>40200</v>
      </c>
      <c r="R37" s="123">
        <f>'15'!K37</f>
        <v>40200</v>
      </c>
      <c r="S37" s="123">
        <f>'16'!K37</f>
        <v>40200</v>
      </c>
      <c r="T37" s="123">
        <f>'17'!K37</f>
        <v>40200</v>
      </c>
      <c r="U37" s="123">
        <f>'18'!K37</f>
        <v>40200</v>
      </c>
      <c r="V37" s="123">
        <f>'19'!K37</f>
        <v>40200</v>
      </c>
      <c r="W37" s="123">
        <f>'20'!K37</f>
        <v>40200</v>
      </c>
      <c r="X37" s="123">
        <f>'21'!K37</f>
        <v>40200</v>
      </c>
      <c r="Y37" s="123">
        <f>'22'!K37</f>
        <v>40200</v>
      </c>
      <c r="Z37" s="123">
        <f>'23'!K37</f>
        <v>40200</v>
      </c>
      <c r="AA37" s="123">
        <f>'24'!K37</f>
        <v>40200</v>
      </c>
      <c r="AB37" s="123">
        <f>'25'!K37</f>
        <v>40200</v>
      </c>
      <c r="AC37" s="123">
        <f>'26'!K37</f>
        <v>40200</v>
      </c>
      <c r="AD37" s="123">
        <f>'27'!K37</f>
        <v>40200</v>
      </c>
      <c r="AE37" s="123">
        <f>'28'!K37</f>
        <v>40200</v>
      </c>
      <c r="AF37" s="123">
        <f>'29'!K37</f>
        <v>40200</v>
      </c>
      <c r="AG37" s="123">
        <f>'30'!K37</f>
        <v>40200</v>
      </c>
      <c r="AH37" s="123">
        <f>'31'!K37</f>
        <v>40200</v>
      </c>
      <c r="AI37" s="123"/>
      <c r="AJ37" s="123">
        <f t="shared" si="1"/>
        <v>0</v>
      </c>
      <c r="AK37" s="56">
        <f t="shared" si="2"/>
        <v>40200</v>
      </c>
    </row>
    <row r="38" ht="15.75" customHeight="1">
      <c r="A38" s="133">
        <v>9.0</v>
      </c>
      <c r="B38" s="134" t="s">
        <v>59</v>
      </c>
      <c r="C38" s="134"/>
      <c r="D38" s="123" t="str">
        <f>'1'!K38</f>
        <v/>
      </c>
      <c r="E38" s="123" t="str">
        <f>'2'!K38</f>
        <v/>
      </c>
      <c r="F38" s="123" t="str">
        <f>'3'!K38</f>
        <v/>
      </c>
      <c r="G38" s="123" t="str">
        <f>'4'!K38</f>
        <v/>
      </c>
      <c r="H38" s="123" t="str">
        <f>'5'!K38</f>
        <v/>
      </c>
      <c r="I38" s="123" t="str">
        <f>'6'!K38</f>
        <v/>
      </c>
      <c r="J38" s="123" t="str">
        <f>'7'!K38</f>
        <v/>
      </c>
      <c r="K38" s="123" t="str">
        <f>'8'!K38</f>
        <v/>
      </c>
      <c r="L38" s="123" t="str">
        <f>'9'!K38</f>
        <v/>
      </c>
      <c r="M38" s="123" t="str">
        <f>'10'!K38</f>
        <v/>
      </c>
      <c r="N38" s="123" t="str">
        <f>'11'!K38</f>
        <v/>
      </c>
      <c r="O38" s="123" t="str">
        <f>'12'!K38</f>
        <v/>
      </c>
      <c r="P38" s="123" t="str">
        <f>'13'!K38</f>
        <v/>
      </c>
      <c r="Q38" s="123" t="str">
        <f>'14'!K38</f>
        <v/>
      </c>
      <c r="R38" s="123" t="str">
        <f>'15'!K38</f>
        <v/>
      </c>
      <c r="S38" s="123" t="str">
        <f>'16'!K38</f>
        <v/>
      </c>
      <c r="T38" s="123" t="str">
        <f>'17'!K38</f>
        <v/>
      </c>
      <c r="U38" s="123" t="str">
        <f>'18'!K38</f>
        <v/>
      </c>
      <c r="V38" s="123" t="str">
        <f>'19'!K38</f>
        <v/>
      </c>
      <c r="W38" s="123" t="str">
        <f>'20'!K38</f>
        <v/>
      </c>
      <c r="X38" s="123" t="str">
        <f>'21'!K38</f>
        <v/>
      </c>
      <c r="Y38" s="123" t="str">
        <f>'22'!K38</f>
        <v/>
      </c>
      <c r="Z38" s="123" t="str">
        <f>'23'!K38</f>
        <v/>
      </c>
      <c r="AA38" s="123" t="str">
        <f>'24'!K38</f>
        <v/>
      </c>
      <c r="AB38" s="123" t="str">
        <f>'25'!K38</f>
        <v/>
      </c>
      <c r="AC38" s="123" t="str">
        <f>'26'!K38</f>
        <v/>
      </c>
      <c r="AD38" s="123" t="str">
        <f>'27'!K38</f>
        <v/>
      </c>
      <c r="AE38" s="123" t="str">
        <f>'28'!K38</f>
        <v/>
      </c>
      <c r="AF38" s="123" t="str">
        <f>'29'!K38</f>
        <v/>
      </c>
      <c r="AG38" s="123" t="str">
        <f>'30'!K38</f>
        <v/>
      </c>
      <c r="AH38" s="123" t="str">
        <f>'31'!K38</f>
        <v/>
      </c>
      <c r="AI38" s="123"/>
      <c r="AJ38" s="123">
        <f t="shared" si="1"/>
        <v>0</v>
      </c>
      <c r="AK38" s="56" t="str">
        <f t="shared" si="2"/>
        <v>#DIV/0!</v>
      </c>
    </row>
    <row r="39" ht="15.75" customHeight="1">
      <c r="A39" s="24"/>
      <c r="B39" s="150" t="s">
        <v>60</v>
      </c>
      <c r="C39" s="121" t="s">
        <v>61</v>
      </c>
      <c r="D39" s="123">
        <f>'1'!K39</f>
        <v>19700</v>
      </c>
      <c r="E39" s="123">
        <f>'2'!K39</f>
        <v>19700</v>
      </c>
      <c r="F39" s="123">
        <f>'3'!K39</f>
        <v>19700</v>
      </c>
      <c r="G39" s="123">
        <f>'4'!K39</f>
        <v>19700</v>
      </c>
      <c r="H39" s="123">
        <f>'5'!K39</f>
        <v>19700</v>
      </c>
      <c r="I39" s="123">
        <f>'6'!K39</f>
        <v>19700</v>
      </c>
      <c r="J39" s="123">
        <f>'7'!K39</f>
        <v>19700</v>
      </c>
      <c r="K39" s="123">
        <f>'8'!K39</f>
        <v>19700</v>
      </c>
      <c r="L39" s="123">
        <f>'9'!K39</f>
        <v>19700</v>
      </c>
      <c r="M39" s="123">
        <f>'10'!K39</f>
        <v>19700</v>
      </c>
      <c r="N39" s="123">
        <f>'11'!K39</f>
        <v>19700</v>
      </c>
      <c r="O39" s="123">
        <f>'12'!K39</f>
        <v>19700</v>
      </c>
      <c r="P39" s="123">
        <f>'13'!K39</f>
        <v>19700</v>
      </c>
      <c r="Q39" s="123">
        <f>'14'!K39</f>
        <v>19700</v>
      </c>
      <c r="R39" s="123">
        <f>'15'!K39</f>
        <v>19700</v>
      </c>
      <c r="S39" s="123">
        <f>'16'!K39</f>
        <v>19700</v>
      </c>
      <c r="T39" s="123">
        <f>'17'!K39</f>
        <v>19700</v>
      </c>
      <c r="U39" s="123">
        <f>'18'!K39</f>
        <v>19700</v>
      </c>
      <c r="V39" s="123">
        <f>'19'!K39</f>
        <v>19700</v>
      </c>
      <c r="W39" s="123">
        <f>'20'!K39</f>
        <v>19700</v>
      </c>
      <c r="X39" s="123">
        <f>'21'!K39</f>
        <v>19700</v>
      </c>
      <c r="Y39" s="123">
        <f>'22'!K39</f>
        <v>19700</v>
      </c>
      <c r="Z39" s="123">
        <f>'23'!K39</f>
        <v>19700</v>
      </c>
      <c r="AA39" s="123">
        <f>'24'!K39</f>
        <v>19700</v>
      </c>
      <c r="AB39" s="123">
        <f>'25'!K39</f>
        <v>19700</v>
      </c>
      <c r="AC39" s="123">
        <f>'26'!K39</f>
        <v>19700</v>
      </c>
      <c r="AD39" s="123">
        <f>'27'!K39</f>
        <v>19700</v>
      </c>
      <c r="AE39" s="123">
        <f>'28'!K39</f>
        <v>19700</v>
      </c>
      <c r="AF39" s="123">
        <f>'29'!K39</f>
        <v>19700</v>
      </c>
      <c r="AG39" s="123">
        <f>'30'!K39</f>
        <v>19700</v>
      </c>
      <c r="AH39" s="123">
        <f>'31'!K39</f>
        <v>19700</v>
      </c>
      <c r="AI39" s="123"/>
      <c r="AJ39" s="123">
        <f t="shared" si="1"/>
        <v>0</v>
      </c>
      <c r="AK39" s="56">
        <f t="shared" si="2"/>
        <v>19700</v>
      </c>
    </row>
    <row r="40" ht="15.75" customHeight="1">
      <c r="A40" s="24"/>
      <c r="B40" s="150" t="s">
        <v>62</v>
      </c>
      <c r="C40" s="121" t="s">
        <v>63</v>
      </c>
      <c r="D40" s="123">
        <f>'1'!K40</f>
        <v>2000</v>
      </c>
      <c r="E40" s="123">
        <f>'2'!K40</f>
        <v>2000</v>
      </c>
      <c r="F40" s="123">
        <f>'3'!K40</f>
        <v>2000</v>
      </c>
      <c r="G40" s="123">
        <f>'4'!K40</f>
        <v>2000</v>
      </c>
      <c r="H40" s="123">
        <f>'5'!K40</f>
        <v>2000</v>
      </c>
      <c r="I40" s="123">
        <f>'6'!K40</f>
        <v>2000</v>
      </c>
      <c r="J40" s="123">
        <f>'7'!K40</f>
        <v>2000</v>
      </c>
      <c r="K40" s="123">
        <f>'8'!K40</f>
        <v>2000</v>
      </c>
      <c r="L40" s="123">
        <f>'9'!K40</f>
        <v>2000</v>
      </c>
      <c r="M40" s="123">
        <f>'10'!K40</f>
        <v>2000</v>
      </c>
      <c r="N40" s="123">
        <f>'11'!K40</f>
        <v>2000</v>
      </c>
      <c r="O40" s="123">
        <f>'12'!K40</f>
        <v>2000</v>
      </c>
      <c r="P40" s="123">
        <f>'13'!K40</f>
        <v>2000</v>
      </c>
      <c r="Q40" s="123">
        <f>'14'!K40</f>
        <v>2000</v>
      </c>
      <c r="R40" s="123">
        <f>'15'!K40</f>
        <v>2000</v>
      </c>
      <c r="S40" s="123">
        <f>'16'!K40</f>
        <v>2000</v>
      </c>
      <c r="T40" s="123">
        <f>'17'!K40</f>
        <v>2000</v>
      </c>
      <c r="U40" s="123">
        <f>'18'!K40</f>
        <v>2000</v>
      </c>
      <c r="V40" s="123">
        <f>'19'!K40</f>
        <v>2000</v>
      </c>
      <c r="W40" s="123">
        <f>'20'!K40</f>
        <v>2000</v>
      </c>
      <c r="X40" s="123">
        <f>'21'!K40</f>
        <v>2000</v>
      </c>
      <c r="Y40" s="123">
        <f>'22'!K40</f>
        <v>2000</v>
      </c>
      <c r="Z40" s="123">
        <f>'23'!K40</f>
        <v>2000</v>
      </c>
      <c r="AA40" s="123">
        <f>'24'!K40</f>
        <v>2000</v>
      </c>
      <c r="AB40" s="123">
        <f>'25'!K40</f>
        <v>2000</v>
      </c>
      <c r="AC40" s="123">
        <f>'26'!K40</f>
        <v>2000</v>
      </c>
      <c r="AD40" s="123">
        <f>'27'!K40</f>
        <v>2000</v>
      </c>
      <c r="AE40" s="123">
        <f>'28'!K40</f>
        <v>2000</v>
      </c>
      <c r="AF40" s="123">
        <f>'29'!K40</f>
        <v>2000</v>
      </c>
      <c r="AG40" s="123">
        <f>'30'!K40</f>
        <v>2000</v>
      </c>
      <c r="AH40" s="123">
        <f>'31'!K40</f>
        <v>2000</v>
      </c>
      <c r="AI40" s="123"/>
      <c r="AJ40" s="123">
        <f t="shared" si="1"/>
        <v>0</v>
      </c>
      <c r="AK40" s="56">
        <f t="shared" si="2"/>
        <v>2000</v>
      </c>
    </row>
    <row r="41" ht="15.75" customHeight="1">
      <c r="A41" s="173">
        <v>10.0</v>
      </c>
      <c r="B41" s="174" t="s">
        <v>64</v>
      </c>
      <c r="C41" s="121"/>
      <c r="D41" s="123" t="str">
        <f>'1'!K41</f>
        <v/>
      </c>
      <c r="E41" s="123" t="str">
        <f>'2'!K41</f>
        <v/>
      </c>
      <c r="F41" s="123" t="str">
        <f>'3'!K41</f>
        <v/>
      </c>
      <c r="G41" s="123" t="str">
        <f>'4'!K41</f>
        <v/>
      </c>
      <c r="H41" s="123" t="str">
        <f>'5'!K41</f>
        <v/>
      </c>
      <c r="I41" s="123" t="str">
        <f>'6'!K41</f>
        <v/>
      </c>
      <c r="J41" s="123" t="str">
        <f>'7'!K41</f>
        <v/>
      </c>
      <c r="K41" s="123" t="str">
        <f>'8'!K41</f>
        <v/>
      </c>
      <c r="L41" s="123" t="str">
        <f>'9'!K41</f>
        <v/>
      </c>
      <c r="M41" s="123" t="str">
        <f>'10'!K41</f>
        <v/>
      </c>
      <c r="N41" s="123" t="str">
        <f>'11'!K41</f>
        <v/>
      </c>
      <c r="O41" s="123" t="str">
        <f>'12'!K41</f>
        <v/>
      </c>
      <c r="P41" s="123" t="str">
        <f>'13'!K41</f>
        <v/>
      </c>
      <c r="Q41" s="123" t="str">
        <f>'14'!K41</f>
        <v/>
      </c>
      <c r="R41" s="123" t="str">
        <f>'15'!K41</f>
        <v/>
      </c>
      <c r="S41" s="123" t="str">
        <f>'16'!K41</f>
        <v/>
      </c>
      <c r="T41" s="123" t="str">
        <f>'17'!K41</f>
        <v/>
      </c>
      <c r="U41" s="123" t="str">
        <f>'18'!K41</f>
        <v/>
      </c>
      <c r="V41" s="123" t="str">
        <f>'19'!K41</f>
        <v/>
      </c>
      <c r="W41" s="123" t="str">
        <f>'20'!K41</f>
        <v/>
      </c>
      <c r="X41" s="123" t="str">
        <f>'21'!K41</f>
        <v/>
      </c>
      <c r="Y41" s="123" t="str">
        <f>'22'!K41</f>
        <v/>
      </c>
      <c r="Z41" s="123" t="str">
        <f>'23'!K41</f>
        <v/>
      </c>
      <c r="AA41" s="123" t="str">
        <f>'24'!K41</f>
        <v/>
      </c>
      <c r="AB41" s="123" t="str">
        <f>'25'!K41</f>
        <v/>
      </c>
      <c r="AC41" s="123" t="str">
        <f>'26'!K41</f>
        <v/>
      </c>
      <c r="AD41" s="123" t="str">
        <f>'27'!K41</f>
        <v/>
      </c>
      <c r="AE41" s="123" t="str">
        <f>'28'!K41</f>
        <v/>
      </c>
      <c r="AF41" s="123" t="str">
        <f>'29'!K41</f>
        <v/>
      </c>
      <c r="AG41" s="123" t="str">
        <f>'30'!K41</f>
        <v/>
      </c>
      <c r="AH41" s="123" t="str">
        <f>'31'!K41</f>
        <v/>
      </c>
      <c r="AI41" s="123"/>
      <c r="AJ41" s="123">
        <f t="shared" si="1"/>
        <v>0</v>
      </c>
      <c r="AK41" s="56" t="str">
        <f t="shared" si="2"/>
        <v>#DIV/0!</v>
      </c>
    </row>
    <row r="42" ht="15.75" customHeight="1">
      <c r="A42" s="173"/>
      <c r="B42" s="141" t="s">
        <v>65</v>
      </c>
      <c r="C42" s="143" t="s">
        <v>23</v>
      </c>
      <c r="D42" s="144">
        <f>'1'!K42</f>
        <v>9428.571429</v>
      </c>
      <c r="E42" s="144">
        <f>'2'!K42</f>
        <v>9428.571429</v>
      </c>
      <c r="F42" s="144">
        <f>'3'!K42</f>
        <v>9428.571429</v>
      </c>
      <c r="G42" s="144">
        <f>'4'!K42</f>
        <v>9428.571429</v>
      </c>
      <c r="H42" s="144">
        <f>'5'!K42</f>
        <v>9428.571429</v>
      </c>
      <c r="I42" s="144">
        <f>'6'!K42</f>
        <v>9428.571429</v>
      </c>
      <c r="J42" s="144">
        <f>'7'!K42</f>
        <v>9428.571429</v>
      </c>
      <c r="K42" s="144">
        <f>'8'!K42</f>
        <v>9428.571429</v>
      </c>
      <c r="L42" s="144">
        <f>'9'!K42</f>
        <v>9428.571429</v>
      </c>
      <c r="M42" s="144">
        <f>'10'!K42</f>
        <v>9428.571429</v>
      </c>
      <c r="N42" s="144">
        <f>'11'!K42</f>
        <v>9428.571429</v>
      </c>
      <c r="O42" s="144">
        <f>'12'!K42</f>
        <v>9428.571429</v>
      </c>
      <c r="P42" s="144">
        <f>'13'!K42</f>
        <v>9428.571429</v>
      </c>
      <c r="Q42" s="144">
        <f>'14'!K42</f>
        <v>9285.714286</v>
      </c>
      <c r="R42" s="144">
        <f>'15'!K42</f>
        <v>9285.714286</v>
      </c>
      <c r="S42" s="144">
        <f>'16'!K42</f>
        <v>9285.714286</v>
      </c>
      <c r="T42" s="144">
        <f>'17'!K42</f>
        <v>9285.714286</v>
      </c>
      <c r="U42" s="144">
        <f>'18'!K42</f>
        <v>9285.714286</v>
      </c>
      <c r="V42" s="144">
        <f>'19'!K42</f>
        <v>9285.714286</v>
      </c>
      <c r="W42" s="144">
        <f>'20'!K42</f>
        <v>9285.714286</v>
      </c>
      <c r="X42" s="144">
        <f>'21'!K42</f>
        <v>9285.714286</v>
      </c>
      <c r="Y42" s="144">
        <f>'22'!K42</f>
        <v>9285.714286</v>
      </c>
      <c r="Z42" s="144">
        <f>'23'!K42</f>
        <v>9285.714286</v>
      </c>
      <c r="AA42" s="144">
        <f>'24'!K42</f>
        <v>9285.714286</v>
      </c>
      <c r="AB42" s="144">
        <f>'25'!K42</f>
        <v>9285.714286</v>
      </c>
      <c r="AC42" s="144">
        <f>'26'!K42</f>
        <v>9285.714286</v>
      </c>
      <c r="AD42" s="144">
        <f>'27'!K42</f>
        <v>9285.714286</v>
      </c>
      <c r="AE42" s="144">
        <f>'28'!K42</f>
        <v>9285.714286</v>
      </c>
      <c r="AF42" s="144">
        <f>'29'!K42</f>
        <v>9285.714286</v>
      </c>
      <c r="AG42" s="144">
        <f>'30'!K42</f>
        <v>9285.714286</v>
      </c>
      <c r="AH42" s="144">
        <f>'31'!K42</f>
        <v>9285.714286</v>
      </c>
      <c r="AI42" s="144"/>
      <c r="AJ42" s="144">
        <f t="shared" si="1"/>
        <v>-142.8571429</v>
      </c>
      <c r="AK42" s="56">
        <f t="shared" si="2"/>
        <v>9345.62212</v>
      </c>
    </row>
    <row r="43" ht="15.75" customHeight="1">
      <c r="A43" s="177"/>
      <c r="B43" s="150" t="s">
        <v>66</v>
      </c>
      <c r="C43" s="121" t="s">
        <v>23</v>
      </c>
      <c r="D43" s="123">
        <f>'1'!K43</f>
        <v>8600</v>
      </c>
      <c r="E43" s="123">
        <f>'2'!K43</f>
        <v>8600</v>
      </c>
      <c r="F43" s="123">
        <f>'3'!K43</f>
        <v>8600</v>
      </c>
      <c r="G43" s="123">
        <f>'4'!K43</f>
        <v>8600</v>
      </c>
      <c r="H43" s="123">
        <f>'5'!K43</f>
        <v>8600</v>
      </c>
      <c r="I43" s="123">
        <f>'6'!K43</f>
        <v>8600</v>
      </c>
      <c r="J43" s="123">
        <f>'7'!K43</f>
        <v>8600</v>
      </c>
      <c r="K43" s="123">
        <f>'8'!K43</f>
        <v>8600</v>
      </c>
      <c r="L43" s="123">
        <f>'9'!K43</f>
        <v>8600</v>
      </c>
      <c r="M43" s="123">
        <f>'10'!K43</f>
        <v>8600</v>
      </c>
      <c r="N43" s="123">
        <f>'11'!K43</f>
        <v>8600</v>
      </c>
      <c r="O43" s="123">
        <f>'12'!K43</f>
        <v>8600</v>
      </c>
      <c r="P43" s="123">
        <f>'13'!K43</f>
        <v>8600</v>
      </c>
      <c r="Q43" s="123">
        <f>'14'!K43</f>
        <v>8600</v>
      </c>
      <c r="R43" s="123">
        <f>'15'!K43</f>
        <v>8600</v>
      </c>
      <c r="S43" s="123">
        <f>'16'!K43</f>
        <v>8600</v>
      </c>
      <c r="T43" s="123">
        <f>'17'!K43</f>
        <v>8600</v>
      </c>
      <c r="U43" s="123">
        <f>'18'!K43</f>
        <v>8600</v>
      </c>
      <c r="V43" s="123">
        <f>'19'!K43</f>
        <v>8600</v>
      </c>
      <c r="W43" s="123">
        <f>'20'!K43</f>
        <v>8600</v>
      </c>
      <c r="X43" s="123">
        <f>'21'!K43</f>
        <v>8600</v>
      </c>
      <c r="Y43" s="123">
        <f>'22'!K43</f>
        <v>8600</v>
      </c>
      <c r="Z43" s="123">
        <f>'23'!K43</f>
        <v>8600</v>
      </c>
      <c r="AA43" s="123">
        <f>'24'!K43</f>
        <v>8600</v>
      </c>
      <c r="AB43" s="123">
        <f>'25'!K43</f>
        <v>8600</v>
      </c>
      <c r="AC43" s="123">
        <f>'26'!K43</f>
        <v>8600</v>
      </c>
      <c r="AD43" s="123">
        <f>'27'!K43</f>
        <v>8600</v>
      </c>
      <c r="AE43" s="123">
        <f>'28'!K43</f>
        <v>8600</v>
      </c>
      <c r="AF43" s="123">
        <f>'29'!K43</f>
        <v>8600</v>
      </c>
      <c r="AG43" s="123">
        <f>'30'!K43</f>
        <v>8600</v>
      </c>
      <c r="AH43" s="123">
        <f>'31'!K43</f>
        <v>8600</v>
      </c>
      <c r="AI43" s="123"/>
      <c r="AJ43" s="123">
        <f t="shared" si="1"/>
        <v>0</v>
      </c>
      <c r="AK43" s="56">
        <f t="shared" si="2"/>
        <v>8600</v>
      </c>
    </row>
    <row r="44" ht="15.75" customHeight="1">
      <c r="A44" s="133">
        <v>11.0</v>
      </c>
      <c r="B44" s="134" t="s">
        <v>67</v>
      </c>
      <c r="C44" s="134"/>
      <c r="D44" s="123" t="str">
        <f>'1'!K44</f>
        <v/>
      </c>
      <c r="E44" s="123" t="str">
        <f>'2'!K44</f>
        <v/>
      </c>
      <c r="F44" s="123" t="str">
        <f>'3'!K44</f>
        <v/>
      </c>
      <c r="G44" s="123" t="str">
        <f>'4'!K44</f>
        <v/>
      </c>
      <c r="H44" s="123" t="str">
        <f>'5'!K44</f>
        <v/>
      </c>
      <c r="I44" s="123" t="str">
        <f>'6'!K44</f>
        <v/>
      </c>
      <c r="J44" s="123" t="str">
        <f>'7'!K44</f>
        <v/>
      </c>
      <c r="K44" s="123" t="str">
        <f>'8'!K44</f>
        <v/>
      </c>
      <c r="L44" s="123" t="str">
        <f>'9'!K44</f>
        <v/>
      </c>
      <c r="M44" s="123" t="str">
        <f>'10'!K44</f>
        <v/>
      </c>
      <c r="N44" s="123" t="str">
        <f>'11'!K44</f>
        <v/>
      </c>
      <c r="O44" s="123" t="str">
        <f>'12'!K44</f>
        <v/>
      </c>
      <c r="P44" s="123" t="str">
        <f>'13'!K44</f>
        <v/>
      </c>
      <c r="Q44" s="123" t="str">
        <f>'14'!K44</f>
        <v/>
      </c>
      <c r="R44" s="123" t="str">
        <f>'15'!K44</f>
        <v/>
      </c>
      <c r="S44" s="123" t="str">
        <f>'16'!K44</f>
        <v/>
      </c>
      <c r="T44" s="123" t="str">
        <f>'17'!K44</f>
        <v/>
      </c>
      <c r="U44" s="123" t="str">
        <f>'18'!K44</f>
        <v/>
      </c>
      <c r="V44" s="123" t="str">
        <f>'19'!K44</f>
        <v/>
      </c>
      <c r="W44" s="123" t="str">
        <f>'20'!K44</f>
        <v/>
      </c>
      <c r="X44" s="123" t="str">
        <f>'21'!K44</f>
        <v/>
      </c>
      <c r="Y44" s="123" t="str">
        <f>'22'!K44</f>
        <v/>
      </c>
      <c r="Z44" s="123" t="str">
        <f>'23'!K44</f>
        <v/>
      </c>
      <c r="AA44" s="123" t="str">
        <f>'24'!K44</f>
        <v/>
      </c>
      <c r="AB44" s="123" t="str">
        <f>'25'!K44</f>
        <v/>
      </c>
      <c r="AC44" s="123" t="str">
        <f>'26'!K44</f>
        <v/>
      </c>
      <c r="AD44" s="123" t="str">
        <f>'27'!K44</f>
        <v/>
      </c>
      <c r="AE44" s="123" t="str">
        <f>'28'!K44</f>
        <v/>
      </c>
      <c r="AF44" s="123" t="str">
        <f>'29'!K44</f>
        <v/>
      </c>
      <c r="AG44" s="123" t="str">
        <f>'30'!K44</f>
        <v/>
      </c>
      <c r="AH44" s="123" t="str">
        <f>'31'!K44</f>
        <v/>
      </c>
      <c r="AI44" s="123"/>
      <c r="AJ44" s="123">
        <f t="shared" si="1"/>
        <v>0</v>
      </c>
      <c r="AK44" s="56" t="str">
        <f t="shared" si="2"/>
        <v>#DIV/0!</v>
      </c>
    </row>
    <row r="45" ht="15.75" customHeight="1">
      <c r="A45" s="71"/>
      <c r="B45" s="158" t="s">
        <v>68</v>
      </c>
      <c r="C45" s="94" t="s">
        <v>69</v>
      </c>
      <c r="D45" s="95">
        <f>'1'!K45</f>
        <v>3916.666667</v>
      </c>
      <c r="E45" s="95">
        <f>'2'!K45</f>
        <v>3916.666667</v>
      </c>
      <c r="F45" s="95">
        <f>'3'!K45</f>
        <v>3916.666667</v>
      </c>
      <c r="G45" s="95">
        <f>'4'!K45</f>
        <v>3916.666667</v>
      </c>
      <c r="H45" s="95">
        <f>'5'!K45</f>
        <v>3916.666667</v>
      </c>
      <c r="I45" s="95">
        <f>'6'!K45</f>
        <v>3916.666667</v>
      </c>
      <c r="J45" s="95">
        <f>'7'!K45</f>
        <v>3916.666667</v>
      </c>
      <c r="K45" s="95">
        <f>'8'!K45</f>
        <v>3916.666667</v>
      </c>
      <c r="L45" s="95">
        <f>'9'!K45</f>
        <v>4000</v>
      </c>
      <c r="M45" s="95">
        <f>'10'!K45</f>
        <v>4000</v>
      </c>
      <c r="N45" s="95">
        <f>'11'!K45</f>
        <v>4000</v>
      </c>
      <c r="O45" s="95">
        <f>'12'!K45</f>
        <v>4000</v>
      </c>
      <c r="P45" s="95">
        <f>'13'!K45</f>
        <v>4000</v>
      </c>
      <c r="Q45" s="95">
        <f>'14'!K45</f>
        <v>4000</v>
      </c>
      <c r="R45" s="95">
        <f>'15'!K45</f>
        <v>4000</v>
      </c>
      <c r="S45" s="95">
        <f>'16'!K45</f>
        <v>4000</v>
      </c>
      <c r="T45" s="95">
        <f>'17'!K45</f>
        <v>4000</v>
      </c>
      <c r="U45" s="95">
        <f>'18'!K45</f>
        <v>4000</v>
      </c>
      <c r="V45" s="95">
        <f>'19'!K45</f>
        <v>4000</v>
      </c>
      <c r="W45" s="95">
        <f>'20'!K45</f>
        <v>4000</v>
      </c>
      <c r="X45" s="95">
        <f>'21'!K45</f>
        <v>4000</v>
      </c>
      <c r="Y45" s="95">
        <f>'22'!K45</f>
        <v>4000</v>
      </c>
      <c r="Z45" s="95">
        <f>'23'!K45</f>
        <v>4000</v>
      </c>
      <c r="AA45" s="95">
        <f>'24'!K45</f>
        <v>4000</v>
      </c>
      <c r="AB45" s="95">
        <f>'25'!K45</f>
        <v>4000</v>
      </c>
      <c r="AC45" s="95">
        <f>'26'!K45</f>
        <v>4000</v>
      </c>
      <c r="AD45" s="95">
        <f>'27'!K45</f>
        <v>4000</v>
      </c>
      <c r="AE45" s="95">
        <f>'28'!K45</f>
        <v>4000</v>
      </c>
      <c r="AF45" s="95">
        <f>'29'!K45</f>
        <v>4000</v>
      </c>
      <c r="AG45" s="95">
        <f>'30'!K45</f>
        <v>4000</v>
      </c>
      <c r="AH45" s="95">
        <f>'31'!K45</f>
        <v>4000</v>
      </c>
      <c r="AI45" s="95"/>
      <c r="AJ45" s="95">
        <f t="shared" si="1"/>
        <v>83.33333333</v>
      </c>
      <c r="AK45" s="56">
        <f t="shared" si="2"/>
        <v>3978.494624</v>
      </c>
    </row>
    <row r="46" ht="15.75" customHeight="1">
      <c r="A46" s="133">
        <v>12.0</v>
      </c>
      <c r="B46" s="134" t="s">
        <v>70</v>
      </c>
      <c r="C46" s="121"/>
      <c r="D46" s="123" t="str">
        <f>'1'!K46</f>
        <v/>
      </c>
      <c r="E46" s="123" t="str">
        <f>'2'!K46</f>
        <v/>
      </c>
      <c r="F46" s="123" t="str">
        <f>'3'!K46</f>
        <v/>
      </c>
      <c r="G46" s="123" t="str">
        <f>'4'!K46</f>
        <v/>
      </c>
      <c r="H46" s="123" t="str">
        <f>'5'!K46</f>
        <v/>
      </c>
      <c r="I46" s="123" t="str">
        <f>'6'!K46</f>
        <v/>
      </c>
      <c r="J46" s="123" t="str">
        <f>'7'!K46</f>
        <v/>
      </c>
      <c r="K46" s="123" t="str">
        <f>'8'!K46</f>
        <v/>
      </c>
      <c r="L46" s="123" t="str">
        <f>'9'!K46</f>
        <v/>
      </c>
      <c r="M46" s="123" t="str">
        <f>'10'!K46</f>
        <v/>
      </c>
      <c r="N46" s="123" t="str">
        <f>'11'!K46</f>
        <v/>
      </c>
      <c r="O46" s="123" t="str">
        <f>'12'!K46</f>
        <v/>
      </c>
      <c r="P46" s="123" t="str">
        <f>'13'!K46</f>
        <v/>
      </c>
      <c r="Q46" s="123" t="str">
        <f>'14'!K46</f>
        <v/>
      </c>
      <c r="R46" s="123" t="str">
        <f>'15'!K46</f>
        <v/>
      </c>
      <c r="S46" s="123" t="str">
        <f>'16'!K46</f>
        <v/>
      </c>
      <c r="T46" s="123" t="str">
        <f>'17'!K46</f>
        <v/>
      </c>
      <c r="U46" s="123" t="str">
        <f>'18'!K46</f>
        <v/>
      </c>
      <c r="V46" s="123" t="str">
        <f>'19'!K46</f>
        <v/>
      </c>
      <c r="W46" s="123" t="str">
        <f>'20'!K46</f>
        <v/>
      </c>
      <c r="X46" s="123" t="str">
        <f>'21'!K46</f>
        <v/>
      </c>
      <c r="Y46" s="123" t="str">
        <f>'22'!K46</f>
        <v/>
      </c>
      <c r="Z46" s="123" t="str">
        <f>'23'!K46</f>
        <v/>
      </c>
      <c r="AA46" s="123" t="str">
        <f>'24'!K46</f>
        <v/>
      </c>
      <c r="AB46" s="123" t="str">
        <f>'25'!K46</f>
        <v/>
      </c>
      <c r="AC46" s="123" t="str">
        <f>'26'!K46</f>
        <v/>
      </c>
      <c r="AD46" s="123" t="str">
        <f>'27'!K46</f>
        <v/>
      </c>
      <c r="AE46" s="123" t="str">
        <f>'28'!K46</f>
        <v/>
      </c>
      <c r="AF46" s="123" t="str">
        <f>'29'!K46</f>
        <v/>
      </c>
      <c r="AG46" s="123" t="str">
        <f>'30'!K46</f>
        <v/>
      </c>
      <c r="AH46" s="123" t="str">
        <f>'31'!K46</f>
        <v/>
      </c>
      <c r="AI46" s="123"/>
      <c r="AJ46" s="123">
        <f t="shared" si="1"/>
        <v>0</v>
      </c>
      <c r="AK46" s="56" t="str">
        <f t="shared" si="2"/>
        <v>#DIV/0!</v>
      </c>
    </row>
    <row r="47" ht="15.75" customHeight="1">
      <c r="A47" s="71"/>
      <c r="B47" s="150" t="s">
        <v>71</v>
      </c>
      <c r="C47" s="121" t="s">
        <v>23</v>
      </c>
      <c r="D47" s="123">
        <f>'1'!K47</f>
        <v>10642.85714</v>
      </c>
      <c r="E47" s="123">
        <f>'2'!K47</f>
        <v>10642.85714</v>
      </c>
      <c r="F47" s="123">
        <f>'3'!K47</f>
        <v>10642.85714</v>
      </c>
      <c r="G47" s="123">
        <f>'4'!K47</f>
        <v>10642.85714</v>
      </c>
      <c r="H47" s="123">
        <f>'5'!K47</f>
        <v>10642.85714</v>
      </c>
      <c r="I47" s="123">
        <f>'6'!K47</f>
        <v>10642.85714</v>
      </c>
      <c r="J47" s="123">
        <f>'7'!K47</f>
        <v>10642.85714</v>
      </c>
      <c r="K47" s="123">
        <f>'8'!K47</f>
        <v>10642.85714</v>
      </c>
      <c r="L47" s="123">
        <f>'9'!K47</f>
        <v>10642.85714</v>
      </c>
      <c r="M47" s="123">
        <f>'10'!K47</f>
        <v>10642.85714</v>
      </c>
      <c r="N47" s="123">
        <f>'11'!K47</f>
        <v>10642.85714</v>
      </c>
      <c r="O47" s="123">
        <f>'12'!K47</f>
        <v>10642.85714</v>
      </c>
      <c r="P47" s="123">
        <f>'13'!K47</f>
        <v>10642.85714</v>
      </c>
      <c r="Q47" s="123">
        <f>'14'!K47</f>
        <v>10642.85714</v>
      </c>
      <c r="R47" s="123">
        <f>'15'!K47</f>
        <v>10642.85714</v>
      </c>
      <c r="S47" s="123">
        <f>'16'!K47</f>
        <v>10642.85714</v>
      </c>
      <c r="T47" s="123">
        <f>'17'!K47</f>
        <v>10642.85714</v>
      </c>
      <c r="U47" s="123">
        <f>'18'!K47</f>
        <v>10642.85714</v>
      </c>
      <c r="V47" s="123">
        <f>'19'!K47</f>
        <v>10642.85714</v>
      </c>
      <c r="W47" s="123">
        <f>'20'!K47</f>
        <v>10642.85714</v>
      </c>
      <c r="X47" s="123">
        <f>'21'!K47</f>
        <v>10642.85714</v>
      </c>
      <c r="Y47" s="123">
        <f>'22'!K47</f>
        <v>10642.85714</v>
      </c>
      <c r="Z47" s="123">
        <f>'23'!K47</f>
        <v>10642.85714</v>
      </c>
      <c r="AA47" s="123">
        <f>'24'!K47</f>
        <v>10642.85714</v>
      </c>
      <c r="AB47" s="123">
        <f>'25'!K47</f>
        <v>10642.85714</v>
      </c>
      <c r="AC47" s="123">
        <f>'26'!K47</f>
        <v>10642.85714</v>
      </c>
      <c r="AD47" s="123">
        <f>'27'!K47</f>
        <v>10642.85714</v>
      </c>
      <c r="AE47" s="123">
        <f>'28'!K47</f>
        <v>10642.85714</v>
      </c>
      <c r="AF47" s="123">
        <f>'29'!K47</f>
        <v>10642.85714</v>
      </c>
      <c r="AG47" s="123">
        <f>'30'!K47</f>
        <v>10642.85714</v>
      </c>
      <c r="AH47" s="123">
        <f>'31'!K47</f>
        <v>10642.85714</v>
      </c>
      <c r="AI47" s="123"/>
      <c r="AJ47" s="123">
        <f t="shared" si="1"/>
        <v>0</v>
      </c>
      <c r="AK47" s="56">
        <f t="shared" si="2"/>
        <v>10642.85714</v>
      </c>
    </row>
    <row r="48" ht="15.75" customHeight="1">
      <c r="A48" s="133">
        <v>13.0</v>
      </c>
      <c r="B48" s="134" t="s">
        <v>72</v>
      </c>
      <c r="C48" s="134"/>
      <c r="D48" s="123" t="str">
        <f>'1'!K48</f>
        <v/>
      </c>
      <c r="E48" s="123" t="str">
        <f>'2'!K48</f>
        <v/>
      </c>
      <c r="F48" s="123" t="str">
        <f>'3'!K48</f>
        <v/>
      </c>
      <c r="G48" s="123" t="str">
        <f>'4'!K48</f>
        <v/>
      </c>
      <c r="H48" s="123" t="str">
        <f>'5'!K48</f>
        <v/>
      </c>
      <c r="I48" s="123" t="str">
        <f>'6'!K48</f>
        <v/>
      </c>
      <c r="J48" s="123" t="str">
        <f>'7'!K48</f>
        <v/>
      </c>
      <c r="K48" s="123" t="str">
        <f>'8'!K48</f>
        <v/>
      </c>
      <c r="L48" s="123" t="str">
        <f>'9'!K48</f>
        <v/>
      </c>
      <c r="M48" s="123" t="str">
        <f>'10'!K48</f>
        <v/>
      </c>
      <c r="N48" s="123" t="str">
        <f>'11'!K48</f>
        <v/>
      </c>
      <c r="O48" s="123" t="str">
        <f>'12'!K48</f>
        <v/>
      </c>
      <c r="P48" s="123" t="str">
        <f>'13'!K48</f>
        <v/>
      </c>
      <c r="Q48" s="123" t="str">
        <f>'14'!K48</f>
        <v/>
      </c>
      <c r="R48" s="123" t="str">
        <f>'15'!K48</f>
        <v/>
      </c>
      <c r="S48" s="123" t="str">
        <f>'16'!K48</f>
        <v/>
      </c>
      <c r="T48" s="123" t="str">
        <f>'17'!K48</f>
        <v/>
      </c>
      <c r="U48" s="123" t="str">
        <f>'18'!K48</f>
        <v/>
      </c>
      <c r="V48" s="123" t="str">
        <f>'19'!K48</f>
        <v/>
      </c>
      <c r="W48" s="123" t="str">
        <f>'20'!K48</f>
        <v/>
      </c>
      <c r="X48" s="123" t="str">
        <f>'21'!K48</f>
        <v/>
      </c>
      <c r="Y48" s="123" t="str">
        <f>'22'!K48</f>
        <v/>
      </c>
      <c r="Z48" s="123" t="str">
        <f>'23'!K48</f>
        <v/>
      </c>
      <c r="AA48" s="123" t="str">
        <f>'24'!K48</f>
        <v/>
      </c>
      <c r="AB48" s="123" t="str">
        <f>'25'!K48</f>
        <v/>
      </c>
      <c r="AC48" s="123" t="str">
        <f>'26'!K48</f>
        <v/>
      </c>
      <c r="AD48" s="123" t="str">
        <f>'27'!K48</f>
        <v/>
      </c>
      <c r="AE48" s="123" t="str">
        <f>'28'!K48</f>
        <v/>
      </c>
      <c r="AF48" s="123" t="str">
        <f>'29'!K48</f>
        <v/>
      </c>
      <c r="AG48" s="123" t="str">
        <f>'30'!K48</f>
        <v/>
      </c>
      <c r="AH48" s="123" t="str">
        <f>'31'!K48</f>
        <v/>
      </c>
      <c r="AI48" s="123"/>
      <c r="AJ48" s="123">
        <f t="shared" si="1"/>
        <v>0</v>
      </c>
      <c r="AK48" s="56" t="str">
        <f t="shared" si="2"/>
        <v>#DIV/0!</v>
      </c>
    </row>
    <row r="49" ht="15.75" customHeight="1">
      <c r="A49" s="24"/>
      <c r="B49" s="141" t="s">
        <v>73</v>
      </c>
      <c r="C49" s="143" t="s">
        <v>23</v>
      </c>
      <c r="D49" s="144">
        <f>'1'!K49</f>
        <v>16166.66667</v>
      </c>
      <c r="E49" s="144">
        <f>'2'!K49</f>
        <v>16166.66667</v>
      </c>
      <c r="F49" s="144">
        <f>'3'!K49</f>
        <v>16166.66667</v>
      </c>
      <c r="G49" s="144">
        <f>'4'!K49</f>
        <v>16000</v>
      </c>
      <c r="H49" s="144">
        <f>'5'!K49</f>
        <v>16000</v>
      </c>
      <c r="I49" s="144">
        <f>'6'!K49</f>
        <v>16166.66667</v>
      </c>
      <c r="J49" s="144">
        <f>'7'!K49</f>
        <v>16166.66667</v>
      </c>
      <c r="K49" s="144">
        <f>'8'!K49</f>
        <v>16166.66667</v>
      </c>
      <c r="L49" s="144">
        <f>'9'!K49</f>
        <v>16166.66667</v>
      </c>
      <c r="M49" s="144">
        <f>'10'!K49</f>
        <v>16166.66667</v>
      </c>
      <c r="N49" s="144">
        <f>'11'!K49</f>
        <v>16166.66667</v>
      </c>
      <c r="O49" s="144">
        <f>'12'!K49</f>
        <v>16166.66667</v>
      </c>
      <c r="P49" s="144">
        <f>'13'!K49</f>
        <v>16166.66667</v>
      </c>
      <c r="Q49" s="144">
        <f>'14'!K49</f>
        <v>16000</v>
      </c>
      <c r="R49" s="144">
        <f>'15'!K49</f>
        <v>16000</v>
      </c>
      <c r="S49" s="144">
        <f>'16'!K49</f>
        <v>16000</v>
      </c>
      <c r="T49" s="144">
        <f>'17'!K49</f>
        <v>16000</v>
      </c>
      <c r="U49" s="144">
        <f>'18'!K49</f>
        <v>16166.66667</v>
      </c>
      <c r="V49" s="144">
        <f>'19'!K49</f>
        <v>16166.66667</v>
      </c>
      <c r="W49" s="144">
        <f>'20'!K49</f>
        <v>16166.66667</v>
      </c>
      <c r="X49" s="144">
        <f>'21'!K49</f>
        <v>16166.66667</v>
      </c>
      <c r="Y49" s="144">
        <f>'22'!K49</f>
        <v>16166.66667</v>
      </c>
      <c r="Z49" s="144">
        <f>'23'!K49</f>
        <v>16166.66667</v>
      </c>
      <c r="AA49" s="144">
        <f>'24'!K49</f>
        <v>16166.66667</v>
      </c>
      <c r="AB49" s="144">
        <f>'25'!K49</f>
        <v>16166.66667</v>
      </c>
      <c r="AC49" s="144">
        <f>'26'!K49</f>
        <v>16166.66667</v>
      </c>
      <c r="AD49" s="144">
        <f>'27'!K49</f>
        <v>16166.66667</v>
      </c>
      <c r="AE49" s="144">
        <f>'28'!K49</f>
        <v>16166.66667</v>
      </c>
      <c r="AF49" s="144">
        <f>'29'!K49</f>
        <v>16166.66667</v>
      </c>
      <c r="AG49" s="144">
        <f>'30'!K49</f>
        <v>15583.33333</v>
      </c>
      <c r="AH49" s="144">
        <f>'31'!K49</f>
        <v>15583.33333</v>
      </c>
      <c r="AI49" s="144">
        <v>6800.0</v>
      </c>
      <c r="AJ49" s="144">
        <f t="shared" si="1"/>
        <v>-583.3333333</v>
      </c>
      <c r="AK49" s="56">
        <f t="shared" si="2"/>
        <v>16096.77419</v>
      </c>
    </row>
    <row r="50" ht="15.75" customHeight="1">
      <c r="A50" s="24"/>
      <c r="B50" s="150" t="s">
        <v>74</v>
      </c>
      <c r="C50" s="121" t="s">
        <v>23</v>
      </c>
      <c r="D50" s="123">
        <f>'1'!K50</f>
        <v>13166.66667</v>
      </c>
      <c r="E50" s="123">
        <f>'2'!K50</f>
        <v>13166.66667</v>
      </c>
      <c r="F50" s="123">
        <f>'3'!K50</f>
        <v>13166.66667</v>
      </c>
      <c r="G50" s="123">
        <f>'4'!K50</f>
        <v>12833.33333</v>
      </c>
      <c r="H50" s="123">
        <f>'5'!K50</f>
        <v>12833.33333</v>
      </c>
      <c r="I50" s="123">
        <f>'6'!K50</f>
        <v>12833.33333</v>
      </c>
      <c r="J50" s="123">
        <f>'7'!K50</f>
        <v>12833.33333</v>
      </c>
      <c r="K50" s="123">
        <f>'8'!K50</f>
        <v>12833.33333</v>
      </c>
      <c r="L50" s="123">
        <f>'9'!K50</f>
        <v>12833.33333</v>
      </c>
      <c r="M50" s="123">
        <f>'10'!K50</f>
        <v>12833.33333</v>
      </c>
      <c r="N50" s="123">
        <f>'11'!K50</f>
        <v>12833.33333</v>
      </c>
      <c r="O50" s="123">
        <f>'12'!K50</f>
        <v>12833.33333</v>
      </c>
      <c r="P50" s="123">
        <f>'13'!K50</f>
        <v>12833.33333</v>
      </c>
      <c r="Q50" s="123">
        <f>'14'!K50</f>
        <v>12833.33333</v>
      </c>
      <c r="R50" s="123">
        <f>'15'!K50</f>
        <v>12833.33333</v>
      </c>
      <c r="S50" s="123">
        <f>'16'!K50</f>
        <v>12833.33333</v>
      </c>
      <c r="T50" s="123">
        <f>'17'!K50</f>
        <v>12833.33333</v>
      </c>
      <c r="U50" s="123">
        <f>'18'!K50</f>
        <v>13166.66667</v>
      </c>
      <c r="V50" s="123">
        <f>'19'!K50</f>
        <v>13166.66667</v>
      </c>
      <c r="W50" s="123">
        <f>'20'!K50</f>
        <v>13166.66667</v>
      </c>
      <c r="X50" s="123">
        <f>'21'!K50</f>
        <v>13166.66667</v>
      </c>
      <c r="Y50" s="123">
        <f>'22'!K50</f>
        <v>13166.66667</v>
      </c>
      <c r="Z50" s="123">
        <f>'23'!K50</f>
        <v>13166.66667</v>
      </c>
      <c r="AA50" s="123">
        <f>'24'!K50</f>
        <v>13166.66667</v>
      </c>
      <c r="AB50" s="123">
        <f>'25'!K50</f>
        <v>13166.66667</v>
      </c>
      <c r="AC50" s="123">
        <f>'26'!K50</f>
        <v>13166.66667</v>
      </c>
      <c r="AD50" s="123">
        <f>'27'!K50</f>
        <v>13166.66667</v>
      </c>
      <c r="AE50" s="123">
        <f>'28'!K50</f>
        <v>13166.66667</v>
      </c>
      <c r="AF50" s="123">
        <f>'29'!K50</f>
        <v>13166.66667</v>
      </c>
      <c r="AG50" s="123">
        <f>'30'!K50</f>
        <v>13166.66667</v>
      </c>
      <c r="AH50" s="123">
        <f>'31'!K50</f>
        <v>13166.66667</v>
      </c>
      <c r="AI50" s="123">
        <v>9200.0</v>
      </c>
      <c r="AJ50" s="123">
        <f t="shared" si="1"/>
        <v>0</v>
      </c>
      <c r="AK50" s="56">
        <f t="shared" si="2"/>
        <v>13016.12903</v>
      </c>
    </row>
    <row r="51" ht="15.75" customHeight="1">
      <c r="A51" s="24"/>
      <c r="B51" s="141" t="s">
        <v>76</v>
      </c>
      <c r="C51" s="143" t="s">
        <v>23</v>
      </c>
      <c r="D51" s="144">
        <f>'1'!K51</f>
        <v>24857.14286</v>
      </c>
      <c r="E51" s="144">
        <f>'2'!K51</f>
        <v>24857.14286</v>
      </c>
      <c r="F51" s="144">
        <f>'3'!K51</f>
        <v>24857.14286</v>
      </c>
      <c r="G51" s="144">
        <f>'4'!K51</f>
        <v>24857.14286</v>
      </c>
      <c r="H51" s="144">
        <f>'5'!K51</f>
        <v>24857.14286</v>
      </c>
      <c r="I51" s="144">
        <f>'6'!K51</f>
        <v>24857.14286</v>
      </c>
      <c r="J51" s="144">
        <f>'7'!K51</f>
        <v>24857.14286</v>
      </c>
      <c r="K51" s="144">
        <f>'8'!K51</f>
        <v>24857.14286</v>
      </c>
      <c r="L51" s="144">
        <f>'9'!K51</f>
        <v>24857.14286</v>
      </c>
      <c r="M51" s="144">
        <f>'10'!K51</f>
        <v>24857.14286</v>
      </c>
      <c r="N51" s="144">
        <f>'11'!K51</f>
        <v>24857.14286</v>
      </c>
      <c r="O51" s="144">
        <f>'12'!K51</f>
        <v>24571.42857</v>
      </c>
      <c r="P51" s="144">
        <f>'13'!K51</f>
        <v>24571.42857</v>
      </c>
      <c r="Q51" s="144">
        <f>'14'!K51</f>
        <v>24571.42857</v>
      </c>
      <c r="R51" s="144">
        <f>'15'!K51</f>
        <v>24571.42857</v>
      </c>
      <c r="S51" s="144">
        <f>'16'!K51</f>
        <v>24571.42857</v>
      </c>
      <c r="T51" s="144">
        <f>'17'!K51</f>
        <v>24571.42857</v>
      </c>
      <c r="U51" s="144">
        <f>'18'!K51</f>
        <v>24571.42857</v>
      </c>
      <c r="V51" s="144">
        <f>'19'!K51</f>
        <v>24571.42857</v>
      </c>
      <c r="W51" s="144">
        <f>'20'!K51</f>
        <v>24571.42857</v>
      </c>
      <c r="X51" s="144">
        <f>'21'!K51</f>
        <v>24571.42857</v>
      </c>
      <c r="Y51" s="144">
        <f>'22'!K51</f>
        <v>24571.42857</v>
      </c>
      <c r="Z51" s="144">
        <f>'23'!K51</f>
        <v>24571.42857</v>
      </c>
      <c r="AA51" s="144">
        <f>'24'!K51</f>
        <v>24571.42857</v>
      </c>
      <c r="AB51" s="144">
        <f>'25'!K51</f>
        <v>24571.42857</v>
      </c>
      <c r="AC51" s="144">
        <f>'26'!K51</f>
        <v>24571.42857</v>
      </c>
      <c r="AD51" s="144">
        <f>'27'!K51</f>
        <v>24571.42857</v>
      </c>
      <c r="AE51" s="144">
        <f>'28'!K51</f>
        <v>24571.42857</v>
      </c>
      <c r="AF51" s="144">
        <f>'29'!K51</f>
        <v>24571.42857</v>
      </c>
      <c r="AG51" s="144">
        <f>'30'!K51</f>
        <v>24571.42857</v>
      </c>
      <c r="AH51" s="144">
        <f>'31'!K51</f>
        <v>24571.42857</v>
      </c>
      <c r="AI51" s="144"/>
      <c r="AJ51" s="144">
        <f t="shared" si="1"/>
        <v>-285.7142857</v>
      </c>
      <c r="AK51" s="56">
        <f t="shared" si="2"/>
        <v>24672.81106</v>
      </c>
    </row>
    <row r="52" ht="15.75" customHeight="1">
      <c r="A52" s="71"/>
      <c r="B52" s="158" t="s">
        <v>77</v>
      </c>
      <c r="C52" s="94" t="s">
        <v>23</v>
      </c>
      <c r="D52" s="95">
        <f>'1'!K52</f>
        <v>28428.57143</v>
      </c>
      <c r="E52" s="95">
        <f>'2'!K52</f>
        <v>28428.57143</v>
      </c>
      <c r="F52" s="95">
        <f>'3'!K52</f>
        <v>28428.57143</v>
      </c>
      <c r="G52" s="95">
        <f>'4'!K52</f>
        <v>28571.42857</v>
      </c>
      <c r="H52" s="95">
        <f>'5'!K52</f>
        <v>28571.42857</v>
      </c>
      <c r="I52" s="95">
        <f>'6'!K52</f>
        <v>28571.42857</v>
      </c>
      <c r="J52" s="95">
        <f>'7'!K52</f>
        <v>28571.42857</v>
      </c>
      <c r="K52" s="95">
        <f>'8'!K52</f>
        <v>28571.42857</v>
      </c>
      <c r="L52" s="95">
        <f>'9'!K52</f>
        <v>28571.42857</v>
      </c>
      <c r="M52" s="95">
        <f>'10'!K52</f>
        <v>28571.42857</v>
      </c>
      <c r="N52" s="95">
        <f>'11'!K52</f>
        <v>28571.42857</v>
      </c>
      <c r="O52" s="95">
        <f>'12'!K52</f>
        <v>28571.42857</v>
      </c>
      <c r="P52" s="95">
        <f>'13'!K52</f>
        <v>28571.42857</v>
      </c>
      <c r="Q52" s="95">
        <f>'14'!K52</f>
        <v>28571.42857</v>
      </c>
      <c r="R52" s="95">
        <f>'15'!K52</f>
        <v>28571.42857</v>
      </c>
      <c r="S52" s="95">
        <f>'16'!K52</f>
        <v>28571.42857</v>
      </c>
      <c r="T52" s="95">
        <f>'17'!K52</f>
        <v>28571.42857</v>
      </c>
      <c r="U52" s="95">
        <f>'18'!K52</f>
        <v>28571.42857</v>
      </c>
      <c r="V52" s="95">
        <f>'19'!K52</f>
        <v>28571.42857</v>
      </c>
      <c r="W52" s="95">
        <f>'20'!K52</f>
        <v>28571.42857</v>
      </c>
      <c r="X52" s="95">
        <f>'21'!K52</f>
        <v>28571.42857</v>
      </c>
      <c r="Y52" s="95">
        <f>'22'!K52</f>
        <v>28571.42857</v>
      </c>
      <c r="Z52" s="95">
        <f>'23'!K52</f>
        <v>28571.42857</v>
      </c>
      <c r="AA52" s="95">
        <f>'24'!K52</f>
        <v>28571.42857</v>
      </c>
      <c r="AB52" s="95">
        <f>'25'!K52</f>
        <v>28571.42857</v>
      </c>
      <c r="AC52" s="95">
        <f>'26'!K52</f>
        <v>28571.42857</v>
      </c>
      <c r="AD52" s="95">
        <f>'27'!K52</f>
        <v>28571.42857</v>
      </c>
      <c r="AE52" s="95">
        <f>'28'!K52</f>
        <v>28571.42857</v>
      </c>
      <c r="AF52" s="95">
        <f>'29'!K52</f>
        <v>28571.42857</v>
      </c>
      <c r="AG52" s="95">
        <f>'30'!K52</f>
        <v>28571.42857</v>
      </c>
      <c r="AH52" s="95">
        <f>'31'!K52</f>
        <v>28571.42857</v>
      </c>
      <c r="AI52" s="95"/>
      <c r="AJ52" s="95">
        <f t="shared" si="1"/>
        <v>142.8571429</v>
      </c>
      <c r="AK52" s="56">
        <f t="shared" si="2"/>
        <v>28557.60369</v>
      </c>
    </row>
    <row r="53" ht="15.75" customHeight="1">
      <c r="A53" s="180">
        <v>14.0</v>
      </c>
      <c r="B53" s="134" t="s">
        <v>78</v>
      </c>
      <c r="C53" s="121"/>
      <c r="D53" s="123" t="str">
        <f>'1'!K53</f>
        <v/>
      </c>
      <c r="E53" s="123" t="str">
        <f>'2'!K53</f>
        <v/>
      </c>
      <c r="F53" s="123" t="str">
        <f>'3'!K53</f>
        <v/>
      </c>
      <c r="G53" s="123" t="str">
        <f>'4'!K53</f>
        <v/>
      </c>
      <c r="H53" s="123" t="str">
        <f>'5'!K53</f>
        <v/>
      </c>
      <c r="I53" s="123" t="str">
        <f>'6'!K53</f>
        <v/>
      </c>
      <c r="J53" s="123" t="str">
        <f>'7'!K53</f>
        <v/>
      </c>
      <c r="K53" s="123" t="str">
        <f>'8'!K53</f>
        <v/>
      </c>
      <c r="L53" s="123" t="str">
        <f>'9'!K53</f>
        <v/>
      </c>
      <c r="M53" s="123" t="str">
        <f>'10'!K53</f>
        <v/>
      </c>
      <c r="N53" s="123" t="str">
        <f>'11'!K53</f>
        <v/>
      </c>
      <c r="O53" s="123" t="str">
        <f>'12'!K53</f>
        <v/>
      </c>
      <c r="P53" s="123" t="str">
        <f>'13'!K53</f>
        <v/>
      </c>
      <c r="Q53" s="123" t="str">
        <f>'14'!K53</f>
        <v/>
      </c>
      <c r="R53" s="123" t="str">
        <f>'15'!K53</f>
        <v/>
      </c>
      <c r="S53" s="123" t="str">
        <f>'16'!K53</f>
        <v/>
      </c>
      <c r="T53" s="123" t="str">
        <f>'17'!K53</f>
        <v/>
      </c>
      <c r="U53" s="123" t="str">
        <f>'18'!K53</f>
        <v/>
      </c>
      <c r="V53" s="123" t="str">
        <f>'19'!K53</f>
        <v/>
      </c>
      <c r="W53" s="123" t="str">
        <f>'20'!K53</f>
        <v/>
      </c>
      <c r="X53" s="123" t="str">
        <f>'21'!K53</f>
        <v/>
      </c>
      <c r="Y53" s="123" t="str">
        <f>'22'!K53</f>
        <v/>
      </c>
      <c r="Z53" s="123" t="str">
        <f>'23'!K53</f>
        <v/>
      </c>
      <c r="AA53" s="123" t="str">
        <f>'24'!K53</f>
        <v/>
      </c>
      <c r="AB53" s="123" t="str">
        <f>'25'!K53</f>
        <v/>
      </c>
      <c r="AC53" s="123" t="str">
        <f>'26'!K53</f>
        <v/>
      </c>
      <c r="AD53" s="123" t="str">
        <f>'27'!K53</f>
        <v/>
      </c>
      <c r="AE53" s="123" t="str">
        <f>'28'!K53</f>
        <v/>
      </c>
      <c r="AF53" s="123" t="str">
        <f>'29'!K53</f>
        <v/>
      </c>
      <c r="AG53" s="123" t="str">
        <f>'30'!K53</f>
        <v/>
      </c>
      <c r="AH53" s="123" t="str">
        <f>'31'!K53</f>
        <v/>
      </c>
      <c r="AI53" s="123"/>
      <c r="AJ53" s="123">
        <f t="shared" si="1"/>
        <v>0</v>
      </c>
      <c r="AK53" s="56" t="str">
        <f t="shared" si="2"/>
        <v>#DIV/0!</v>
      </c>
    </row>
    <row r="54" ht="15.75" customHeight="1">
      <c r="A54" s="181"/>
      <c r="B54" s="150" t="s">
        <v>79</v>
      </c>
      <c r="C54" s="121" t="s">
        <v>80</v>
      </c>
      <c r="D54" s="123">
        <f>'1'!K54</f>
        <v>3066.666667</v>
      </c>
      <c r="E54" s="123">
        <f>'2'!K54</f>
        <v>3066.666667</v>
      </c>
      <c r="F54" s="123">
        <f>'3'!K54</f>
        <v>3066.666667</v>
      </c>
      <c r="G54" s="123">
        <f>'4'!K54</f>
        <v>3066.666667</v>
      </c>
      <c r="H54" s="123">
        <f>'5'!K54</f>
        <v>3066.666667</v>
      </c>
      <c r="I54" s="123">
        <f>'6'!K54</f>
        <v>3066.666667</v>
      </c>
      <c r="J54" s="123">
        <f>'7'!K54</f>
        <v>3066.666667</v>
      </c>
      <c r="K54" s="123">
        <f>'8'!K54</f>
        <v>3066.666667</v>
      </c>
      <c r="L54" s="123">
        <f>'9'!K54</f>
        <v>3066.666667</v>
      </c>
      <c r="M54" s="123">
        <f>'10'!K54</f>
        <v>3066.666667</v>
      </c>
      <c r="N54" s="123">
        <f>'11'!K54</f>
        <v>3066.666667</v>
      </c>
      <c r="O54" s="123">
        <f>'12'!K54</f>
        <v>3066.666667</v>
      </c>
      <c r="P54" s="123">
        <f>'13'!K54</f>
        <v>3066.666667</v>
      </c>
      <c r="Q54" s="123">
        <f>'14'!K54</f>
        <v>3066.666667</v>
      </c>
      <c r="R54" s="123">
        <f>'15'!K54</f>
        <v>3066.666667</v>
      </c>
      <c r="S54" s="123">
        <f>'16'!K54</f>
        <v>3066.666667</v>
      </c>
      <c r="T54" s="123">
        <f>'17'!K54</f>
        <v>3066.666667</v>
      </c>
      <c r="U54" s="123">
        <f>'18'!K54</f>
        <v>3066.666667</v>
      </c>
      <c r="V54" s="123">
        <f>'19'!K54</f>
        <v>3066.666667</v>
      </c>
      <c r="W54" s="123">
        <f>'20'!K54</f>
        <v>3066.666667</v>
      </c>
      <c r="X54" s="123">
        <f>'21'!K54</f>
        <v>3066.666667</v>
      </c>
      <c r="Y54" s="123">
        <f>'22'!K54</f>
        <v>3066.666667</v>
      </c>
      <c r="Z54" s="123">
        <f>'23'!K54</f>
        <v>3066.666667</v>
      </c>
      <c r="AA54" s="123">
        <f>'24'!K54</f>
        <v>3066.666667</v>
      </c>
      <c r="AB54" s="123">
        <f>'25'!K54</f>
        <v>3066.666667</v>
      </c>
      <c r="AC54" s="123">
        <f>'26'!K54</f>
        <v>3066.666667</v>
      </c>
      <c r="AD54" s="123">
        <f>'27'!K54</f>
        <v>3066.666667</v>
      </c>
      <c r="AE54" s="123">
        <f>'28'!K54</f>
        <v>3066.666667</v>
      </c>
      <c r="AF54" s="123">
        <f>'29'!K54</f>
        <v>3066.666667</v>
      </c>
      <c r="AG54" s="123">
        <f>'30'!K54</f>
        <v>3066.666667</v>
      </c>
      <c r="AH54" s="123">
        <f>'31'!K54</f>
        <v>3066.666667</v>
      </c>
      <c r="AI54" s="123"/>
      <c r="AJ54" s="123">
        <f t="shared" si="1"/>
        <v>0</v>
      </c>
      <c r="AK54" s="56">
        <f t="shared" si="2"/>
        <v>3066.666667</v>
      </c>
    </row>
    <row r="55" ht="15.75" customHeight="1">
      <c r="A55" s="133">
        <v>15.0</v>
      </c>
      <c r="B55" s="134" t="s">
        <v>81</v>
      </c>
      <c r="C55" s="134"/>
      <c r="D55" s="123" t="str">
        <f>'1'!K55</f>
        <v/>
      </c>
      <c r="E55" s="123" t="str">
        <f>'2'!K55</f>
        <v/>
      </c>
      <c r="F55" s="123" t="str">
        <f>'3'!K55</f>
        <v/>
      </c>
      <c r="G55" s="123" t="str">
        <f>'4'!K55</f>
        <v/>
      </c>
      <c r="H55" s="123" t="str">
        <f>'5'!K55</f>
        <v/>
      </c>
      <c r="I55" s="123" t="str">
        <f>'6'!K55</f>
        <v/>
      </c>
      <c r="J55" s="123" t="str">
        <f>'7'!K55</f>
        <v/>
      </c>
      <c r="K55" s="123" t="str">
        <f>'8'!K55</f>
        <v/>
      </c>
      <c r="L55" s="123" t="str">
        <f>'9'!K55</f>
        <v/>
      </c>
      <c r="M55" s="123" t="str">
        <f>'10'!K55</f>
        <v/>
      </c>
      <c r="N55" s="123" t="str">
        <f>'11'!K55</f>
        <v/>
      </c>
      <c r="O55" s="123" t="str">
        <f>'12'!K55</f>
        <v/>
      </c>
      <c r="P55" s="123" t="str">
        <f>'13'!K55</f>
        <v/>
      </c>
      <c r="Q55" s="123" t="str">
        <f>'14'!K55</f>
        <v/>
      </c>
      <c r="R55" s="123" t="str">
        <f>'15'!K55</f>
        <v/>
      </c>
      <c r="S55" s="123" t="str">
        <f>'16'!K55</f>
        <v/>
      </c>
      <c r="T55" s="123" t="str">
        <f>'17'!K55</f>
        <v/>
      </c>
      <c r="U55" s="123" t="str">
        <f>'18'!K55</f>
        <v/>
      </c>
      <c r="V55" s="123" t="str">
        <f>'19'!K55</f>
        <v/>
      </c>
      <c r="W55" s="123" t="str">
        <f>'20'!K55</f>
        <v/>
      </c>
      <c r="X55" s="123" t="str">
        <f>'21'!K55</f>
        <v/>
      </c>
      <c r="Y55" s="123" t="str">
        <f>'22'!K55</f>
        <v/>
      </c>
      <c r="Z55" s="123" t="str">
        <f>'23'!K55</f>
        <v/>
      </c>
      <c r="AA55" s="123" t="str">
        <f>'24'!K55</f>
        <v/>
      </c>
      <c r="AB55" s="123" t="str">
        <f>'25'!K55</f>
        <v/>
      </c>
      <c r="AC55" s="123" t="str">
        <f>'26'!K55</f>
        <v/>
      </c>
      <c r="AD55" s="123" t="str">
        <f>'27'!K55</f>
        <v/>
      </c>
      <c r="AE55" s="123" t="str">
        <f>'28'!K55</f>
        <v/>
      </c>
      <c r="AF55" s="123" t="str">
        <f>'29'!K55</f>
        <v/>
      </c>
      <c r="AG55" s="123" t="str">
        <f>'30'!K55</f>
        <v/>
      </c>
      <c r="AH55" s="123" t="str">
        <f>'31'!K55</f>
        <v/>
      </c>
      <c r="AI55" s="123"/>
      <c r="AJ55" s="123">
        <f t="shared" si="1"/>
        <v>0</v>
      </c>
      <c r="AK55" s="56" t="str">
        <f t="shared" si="2"/>
        <v>#DIV/0!</v>
      </c>
    </row>
    <row r="56" ht="15.75" customHeight="1">
      <c r="A56" s="24"/>
      <c r="B56" s="158" t="s">
        <v>82</v>
      </c>
      <c r="C56" s="94" t="s">
        <v>23</v>
      </c>
      <c r="D56" s="95">
        <f>'1'!K56</f>
        <v>22571.42857</v>
      </c>
      <c r="E56" s="95">
        <f>'2'!K56</f>
        <v>26142.85714</v>
      </c>
      <c r="F56" s="95">
        <f>'3'!K56</f>
        <v>27142.85714</v>
      </c>
      <c r="G56" s="95">
        <f>'4'!K56</f>
        <v>27857.14286</v>
      </c>
      <c r="H56" s="95">
        <f>'5'!K56</f>
        <v>30000</v>
      </c>
      <c r="I56" s="95">
        <f>'6'!K56</f>
        <v>32142.85714</v>
      </c>
      <c r="J56" s="95">
        <f>'7'!K56</f>
        <v>32142.85714</v>
      </c>
      <c r="K56" s="95">
        <f>'8'!K56</f>
        <v>32142.85714</v>
      </c>
      <c r="L56" s="95">
        <f>'9'!K56</f>
        <v>32857.14286</v>
      </c>
      <c r="M56" s="95">
        <f>'10'!K56</f>
        <v>32142.85714</v>
      </c>
      <c r="N56" s="95">
        <f>'11'!K56</f>
        <v>34285.71429</v>
      </c>
      <c r="O56" s="95">
        <f>'12'!K56</f>
        <v>35000</v>
      </c>
      <c r="P56" s="95">
        <f>'13'!K56</f>
        <v>35285.71429</v>
      </c>
      <c r="Q56" s="95">
        <f>'14'!K56</f>
        <v>35285.71429</v>
      </c>
      <c r="R56" s="95">
        <f>'15'!K56</f>
        <v>35285.71429</v>
      </c>
      <c r="S56" s="95">
        <f>'16'!K56</f>
        <v>33571.42857</v>
      </c>
      <c r="T56" s="95">
        <f>'17'!K56</f>
        <v>33571.42857</v>
      </c>
      <c r="U56" s="95">
        <f>'18'!K56</f>
        <v>34285.71429</v>
      </c>
      <c r="V56" s="95">
        <f>'19'!K56</f>
        <v>33571.42857</v>
      </c>
      <c r="W56" s="95">
        <f>'20'!K56</f>
        <v>30714.28571</v>
      </c>
      <c r="X56" s="95">
        <f>'21'!K56</f>
        <v>31571.42857</v>
      </c>
      <c r="Y56" s="95">
        <f>'22'!K56</f>
        <v>30714.28571</v>
      </c>
      <c r="Z56" s="95">
        <f>'23'!K56</f>
        <v>30714.28571</v>
      </c>
      <c r="AA56" s="95">
        <f>'24'!K56</f>
        <v>31428.57143</v>
      </c>
      <c r="AB56" s="95">
        <f>'25'!K56</f>
        <v>30714.28571</v>
      </c>
      <c r="AC56" s="95">
        <f>'26'!K56</f>
        <v>30714.28571</v>
      </c>
      <c r="AD56" s="95">
        <f>'27'!K56</f>
        <v>29571.42857</v>
      </c>
      <c r="AE56" s="95">
        <f>'28'!K56</f>
        <v>30714.28571</v>
      </c>
      <c r="AF56" s="95">
        <f>'29'!K56</f>
        <v>30714.28571</v>
      </c>
      <c r="AG56" s="95">
        <f>'30'!K56</f>
        <v>29285.71429</v>
      </c>
      <c r="AH56" s="95">
        <f>'31'!K56</f>
        <v>29285.71429</v>
      </c>
      <c r="AI56" s="95"/>
      <c r="AJ56" s="95">
        <f t="shared" si="1"/>
        <v>6714.285714</v>
      </c>
      <c r="AK56" s="56">
        <f t="shared" si="2"/>
        <v>31336.40553</v>
      </c>
    </row>
    <row r="57" ht="15.75" customHeight="1">
      <c r="A57" s="24"/>
      <c r="B57" s="158" t="s">
        <v>83</v>
      </c>
      <c r="C57" s="94" t="s">
        <v>23</v>
      </c>
      <c r="D57" s="95">
        <f>'1'!K57</f>
        <v>35000</v>
      </c>
      <c r="E57" s="95">
        <f>'2'!K57</f>
        <v>38750</v>
      </c>
      <c r="F57" s="95">
        <f>'3'!K57</f>
        <v>40000</v>
      </c>
      <c r="G57" s="95">
        <f>'4'!K57</f>
        <v>42500</v>
      </c>
      <c r="H57" s="95">
        <f>'5'!K57</f>
        <v>42500</v>
      </c>
      <c r="I57" s="95">
        <f>'6'!K57</f>
        <v>45000</v>
      </c>
      <c r="J57" s="95">
        <f>'7'!K57</f>
        <v>45000</v>
      </c>
      <c r="K57" s="95">
        <f>'8'!K57</f>
        <v>45000</v>
      </c>
      <c r="L57" s="95">
        <f>'9'!K57</f>
        <v>45000</v>
      </c>
      <c r="M57" s="95">
        <f>'10'!K57</f>
        <v>41250</v>
      </c>
      <c r="N57" s="95">
        <f>'11'!K57</f>
        <v>40000</v>
      </c>
      <c r="O57" s="95">
        <f>'12'!K57</f>
        <v>40000</v>
      </c>
      <c r="P57" s="95">
        <f>'13'!K57</f>
        <v>40000</v>
      </c>
      <c r="Q57" s="95">
        <f>'14'!K57</f>
        <v>40000</v>
      </c>
      <c r="R57" s="95">
        <f>'15'!K57</f>
        <v>40000</v>
      </c>
      <c r="S57" s="95">
        <f>'16'!K57</f>
        <v>41250</v>
      </c>
      <c r="T57" s="95">
        <f>'17'!K57</f>
        <v>40000</v>
      </c>
      <c r="U57" s="95">
        <f>'18'!K57</f>
        <v>37500</v>
      </c>
      <c r="V57" s="95">
        <f>'19'!K57</f>
        <v>37500</v>
      </c>
      <c r="W57" s="95">
        <f>'20'!K57</f>
        <v>36250</v>
      </c>
      <c r="X57" s="95">
        <f>'21'!K57</f>
        <v>33750</v>
      </c>
      <c r="Y57" s="95">
        <f>'22'!K57</f>
        <v>33750</v>
      </c>
      <c r="Z57" s="95">
        <f>'23'!K57</f>
        <v>33750</v>
      </c>
      <c r="AA57" s="95">
        <f>'24'!K57</f>
        <v>35000</v>
      </c>
      <c r="AB57" s="95">
        <f>'25'!K57</f>
        <v>35000</v>
      </c>
      <c r="AC57" s="95">
        <f>'26'!K57</f>
        <v>35000</v>
      </c>
      <c r="AD57" s="95">
        <f>'27'!K57</f>
        <v>36250</v>
      </c>
      <c r="AE57" s="95">
        <f>'28'!K57</f>
        <v>36250</v>
      </c>
      <c r="AF57" s="95">
        <f>'29'!K57</f>
        <v>37500</v>
      </c>
      <c r="AG57" s="95">
        <f>'30'!K57</f>
        <v>36250</v>
      </c>
      <c r="AH57" s="95">
        <f>'31'!K57</f>
        <v>37500</v>
      </c>
      <c r="AI57" s="95"/>
      <c r="AJ57" s="95">
        <f t="shared" si="1"/>
        <v>2500</v>
      </c>
      <c r="AK57" s="56">
        <f t="shared" si="2"/>
        <v>38790.32258</v>
      </c>
    </row>
    <row r="58" ht="15.75" customHeight="1">
      <c r="A58" s="71"/>
      <c r="B58" s="158" t="s">
        <v>84</v>
      </c>
      <c r="C58" s="94" t="s">
        <v>23</v>
      </c>
      <c r="D58" s="95">
        <f>'1'!K58</f>
        <v>47857.14286</v>
      </c>
      <c r="E58" s="95">
        <f>'2'!K58</f>
        <v>61428.57143</v>
      </c>
      <c r="F58" s="95">
        <f>'3'!K58</f>
        <v>64285.71429</v>
      </c>
      <c r="G58" s="95">
        <f>'4'!K58</f>
        <v>65000</v>
      </c>
      <c r="H58" s="95">
        <f>'5'!K58</f>
        <v>57857.14286</v>
      </c>
      <c r="I58" s="95">
        <f>'6'!K58</f>
        <v>58571.42857</v>
      </c>
      <c r="J58" s="95">
        <f>'7'!K58</f>
        <v>57142.85714</v>
      </c>
      <c r="K58" s="95">
        <f>'8'!K58</f>
        <v>57142.85714</v>
      </c>
      <c r="L58" s="95">
        <f>'9'!K58</f>
        <v>54285.71429</v>
      </c>
      <c r="M58" s="95">
        <f>'10'!K58</f>
        <v>51428.57143</v>
      </c>
      <c r="N58" s="95">
        <f>'11'!K58</f>
        <v>52142.85714</v>
      </c>
      <c r="O58" s="95">
        <f>'12'!K58</f>
        <v>54285.71429</v>
      </c>
      <c r="P58" s="95">
        <f>'13'!K58</f>
        <v>53571.42857</v>
      </c>
      <c r="Q58" s="95">
        <f>'14'!K58</f>
        <v>50714.28571</v>
      </c>
      <c r="R58" s="95">
        <f>'15'!K58</f>
        <v>50714.28571</v>
      </c>
      <c r="S58" s="95">
        <f>'16'!K58</f>
        <v>46285.71429</v>
      </c>
      <c r="T58" s="95">
        <f>'17'!K58</f>
        <v>44857.14286</v>
      </c>
      <c r="U58" s="95">
        <f>'18'!K58</f>
        <v>46285.71429</v>
      </c>
      <c r="V58" s="95">
        <f>'19'!K58</f>
        <v>47428.57143</v>
      </c>
      <c r="W58" s="95">
        <f>'20'!K58</f>
        <v>43428.57143</v>
      </c>
      <c r="X58" s="95">
        <f>'21'!K58</f>
        <v>44142.85714</v>
      </c>
      <c r="Y58" s="95">
        <f>'22'!K58</f>
        <v>45714.28571</v>
      </c>
      <c r="Z58" s="95">
        <f>'23'!K58</f>
        <v>44285.71429</v>
      </c>
      <c r="AA58" s="95">
        <f>'24'!K58</f>
        <v>49285.71429</v>
      </c>
      <c r="AB58" s="95">
        <f>'25'!K58</f>
        <v>48571.42857</v>
      </c>
      <c r="AC58" s="95">
        <f>'26'!K58</f>
        <v>48571.42857</v>
      </c>
      <c r="AD58" s="95">
        <f>'27'!K58</f>
        <v>47857.14286</v>
      </c>
      <c r="AE58" s="95">
        <f>'28'!K58</f>
        <v>47857.14286</v>
      </c>
      <c r="AF58" s="95">
        <f>'29'!K58</f>
        <v>47857.14286</v>
      </c>
      <c r="AG58" s="95">
        <f>'30'!K58</f>
        <v>50714.28571</v>
      </c>
      <c r="AH58" s="95">
        <f>'31'!K58</f>
        <v>50714.28571</v>
      </c>
      <c r="AI58" s="95"/>
      <c r="AJ58" s="95">
        <f t="shared" si="1"/>
        <v>2857.142857</v>
      </c>
      <c r="AK58" s="56">
        <f t="shared" si="2"/>
        <v>51299.53917</v>
      </c>
    </row>
    <row r="59" ht="15.75" customHeight="1">
      <c r="A59" s="180">
        <v>16.0</v>
      </c>
      <c r="B59" s="134" t="s">
        <v>85</v>
      </c>
      <c r="C59" s="121"/>
      <c r="D59" s="123" t="str">
        <f>'1'!K59</f>
        <v/>
      </c>
      <c r="E59" s="123" t="str">
        <f>'2'!K59</f>
        <v/>
      </c>
      <c r="F59" s="123" t="str">
        <f>'3'!K59</f>
        <v/>
      </c>
      <c r="G59" s="123" t="str">
        <f>'4'!K59</f>
        <v/>
      </c>
      <c r="H59" s="123" t="str">
        <f>'5'!K59</f>
        <v/>
      </c>
      <c r="I59" s="123" t="str">
        <f>'6'!K59</f>
        <v/>
      </c>
      <c r="J59" s="123" t="str">
        <f>'7'!K59</f>
        <v/>
      </c>
      <c r="K59" s="123" t="str">
        <f>'8'!K59</f>
        <v/>
      </c>
      <c r="L59" s="123" t="str">
        <f>'9'!K59</f>
        <v/>
      </c>
      <c r="M59" s="123" t="str">
        <f>'10'!K59</f>
        <v/>
      </c>
      <c r="N59" s="123" t="str">
        <f>'11'!K59</f>
        <v/>
      </c>
      <c r="O59" s="123" t="str">
        <f>'12'!K59</f>
        <v/>
      </c>
      <c r="P59" s="123" t="str">
        <f>'13'!K59</f>
        <v/>
      </c>
      <c r="Q59" s="123" t="str">
        <f>'14'!K59</f>
        <v/>
      </c>
      <c r="R59" s="123" t="str">
        <f>'15'!K59</f>
        <v/>
      </c>
      <c r="S59" s="123" t="str">
        <f>'16'!K59</f>
        <v/>
      </c>
      <c r="T59" s="123" t="str">
        <f>'17'!K59</f>
        <v/>
      </c>
      <c r="U59" s="123" t="str">
        <f>'18'!K59</f>
        <v/>
      </c>
      <c r="V59" s="123" t="str">
        <f>'19'!K59</f>
        <v/>
      </c>
      <c r="W59" s="123" t="str">
        <f>'20'!K59</f>
        <v/>
      </c>
      <c r="X59" s="123" t="str">
        <f>'21'!K59</f>
        <v/>
      </c>
      <c r="Y59" s="123" t="str">
        <f>'22'!K59</f>
        <v/>
      </c>
      <c r="Z59" s="123" t="str">
        <f>'23'!K59</f>
        <v/>
      </c>
      <c r="AA59" s="123" t="str">
        <f>'24'!K59</f>
        <v/>
      </c>
      <c r="AB59" s="123" t="str">
        <f>'25'!K59</f>
        <v/>
      </c>
      <c r="AC59" s="123" t="str">
        <f>'26'!K59</f>
        <v/>
      </c>
      <c r="AD59" s="123" t="str">
        <f>'27'!K59</f>
        <v/>
      </c>
      <c r="AE59" s="123" t="str">
        <f>'28'!K59</f>
        <v/>
      </c>
      <c r="AF59" s="123" t="str">
        <f>'29'!K59</f>
        <v/>
      </c>
      <c r="AG59" s="123" t="str">
        <f>'30'!K59</f>
        <v/>
      </c>
      <c r="AH59" s="123" t="str">
        <f>'31'!K59</f>
        <v/>
      </c>
      <c r="AI59" s="123"/>
      <c r="AJ59" s="123">
        <f t="shared" si="1"/>
        <v>0</v>
      </c>
      <c r="AK59" s="56" t="str">
        <f t="shared" si="2"/>
        <v>#DIV/0!</v>
      </c>
    </row>
    <row r="60" ht="15.75" customHeight="1">
      <c r="A60" s="181"/>
      <c r="B60" s="150" t="s">
        <v>86</v>
      </c>
      <c r="C60" s="121" t="s">
        <v>87</v>
      </c>
      <c r="D60" s="123">
        <f>'1'!K60</f>
        <v>18166.66667</v>
      </c>
      <c r="E60" s="123">
        <f>'2'!K60</f>
        <v>18166.66667</v>
      </c>
      <c r="F60" s="123">
        <f>'3'!K60</f>
        <v>18166.66667</v>
      </c>
      <c r="G60" s="123">
        <f>'4'!K60</f>
        <v>18166.66667</v>
      </c>
      <c r="H60" s="123">
        <f>'5'!K60</f>
        <v>18166.66667</v>
      </c>
      <c r="I60" s="123">
        <f>'6'!K60</f>
        <v>18166.66667</v>
      </c>
      <c r="J60" s="123">
        <f>'7'!K60</f>
        <v>18166.66667</v>
      </c>
      <c r="K60" s="123">
        <f>'8'!K60</f>
        <v>18166.66667</v>
      </c>
      <c r="L60" s="123">
        <f>'9'!K60</f>
        <v>18166.66667</v>
      </c>
      <c r="M60" s="123">
        <f>'10'!K60</f>
        <v>18166.66667</v>
      </c>
      <c r="N60" s="123">
        <f>'11'!K60</f>
        <v>18166.66667</v>
      </c>
      <c r="O60" s="123">
        <f>'12'!K60</f>
        <v>18166.66667</v>
      </c>
      <c r="P60" s="123">
        <f>'13'!K60</f>
        <v>18166.66667</v>
      </c>
      <c r="Q60" s="123">
        <f>'14'!K60</f>
        <v>18166.66667</v>
      </c>
      <c r="R60" s="123">
        <f>'15'!K60</f>
        <v>18166.66667</v>
      </c>
      <c r="S60" s="123">
        <f>'16'!K60</f>
        <v>18166.66667</v>
      </c>
      <c r="T60" s="123">
        <f>'17'!K60</f>
        <v>18166.66667</v>
      </c>
      <c r="U60" s="123">
        <f>'18'!K60</f>
        <v>18166.66667</v>
      </c>
      <c r="V60" s="123">
        <f>'19'!K60</f>
        <v>18166.66667</v>
      </c>
      <c r="W60" s="123">
        <f>'20'!K60</f>
        <v>18166.66667</v>
      </c>
      <c r="X60" s="123">
        <f>'21'!K60</f>
        <v>18166.66667</v>
      </c>
      <c r="Y60" s="123">
        <f>'22'!K60</f>
        <v>18166.66667</v>
      </c>
      <c r="Z60" s="123">
        <f>'23'!K60</f>
        <v>18166.66667</v>
      </c>
      <c r="AA60" s="123">
        <f>'24'!K60</f>
        <v>18166.66667</v>
      </c>
      <c r="AB60" s="123">
        <f>'25'!K60</f>
        <v>18166.66667</v>
      </c>
      <c r="AC60" s="123">
        <f>'26'!K60</f>
        <v>18166.66667</v>
      </c>
      <c r="AD60" s="123">
        <f>'27'!K60</f>
        <v>18166.66667</v>
      </c>
      <c r="AE60" s="123">
        <f>'28'!K60</f>
        <v>18166.66667</v>
      </c>
      <c r="AF60" s="123">
        <f>'29'!K60</f>
        <v>18166.66667</v>
      </c>
      <c r="AG60" s="123">
        <f>'30'!K60</f>
        <v>18166.66667</v>
      </c>
      <c r="AH60" s="123">
        <f>'31'!K60</f>
        <v>18166.66667</v>
      </c>
      <c r="AI60" s="123"/>
      <c r="AJ60" s="123">
        <f t="shared" si="1"/>
        <v>0</v>
      </c>
      <c r="AK60" s="56">
        <f t="shared" si="2"/>
        <v>18166.66667</v>
      </c>
    </row>
    <row r="61" ht="15.75" customHeight="1">
      <c r="A61" s="133">
        <v>17.0</v>
      </c>
      <c r="B61" s="134" t="s">
        <v>88</v>
      </c>
      <c r="C61" s="134"/>
      <c r="D61" s="123" t="str">
        <f>'1'!K61</f>
        <v/>
      </c>
      <c r="E61" s="123" t="str">
        <f>'2'!K61</f>
        <v/>
      </c>
      <c r="F61" s="123" t="str">
        <f>'3'!K61</f>
        <v/>
      </c>
      <c r="G61" s="123" t="str">
        <f>'4'!K61</f>
        <v/>
      </c>
      <c r="H61" s="123" t="str">
        <f>'5'!K61</f>
        <v/>
      </c>
      <c r="I61" s="123" t="str">
        <f>'6'!K61</f>
        <v/>
      </c>
      <c r="J61" s="123" t="str">
        <f>'7'!K61</f>
        <v/>
      </c>
      <c r="K61" s="123" t="str">
        <f>'8'!K61</f>
        <v/>
      </c>
      <c r="L61" s="123" t="str">
        <f>'9'!K61</f>
        <v/>
      </c>
      <c r="M61" s="123" t="str">
        <f>'10'!K61</f>
        <v/>
      </c>
      <c r="N61" s="123" t="str">
        <f>'11'!K61</f>
        <v/>
      </c>
      <c r="O61" s="123" t="str">
        <f>'12'!K61</f>
        <v/>
      </c>
      <c r="P61" s="123" t="str">
        <f>'13'!K61</f>
        <v/>
      </c>
      <c r="Q61" s="123" t="str">
        <f>'14'!K61</f>
        <v/>
      </c>
      <c r="R61" s="123" t="str">
        <f>'15'!K61</f>
        <v/>
      </c>
      <c r="S61" s="123" t="str">
        <f>'16'!K61</f>
        <v/>
      </c>
      <c r="T61" s="123" t="str">
        <f>'17'!K61</f>
        <v/>
      </c>
      <c r="U61" s="123" t="str">
        <f>'18'!K61</f>
        <v/>
      </c>
      <c r="V61" s="123" t="str">
        <f>'19'!K61</f>
        <v/>
      </c>
      <c r="W61" s="123" t="str">
        <f>'20'!K61</f>
        <v/>
      </c>
      <c r="X61" s="123" t="str">
        <f>'21'!K61</f>
        <v/>
      </c>
      <c r="Y61" s="123" t="str">
        <f>'22'!K61</f>
        <v/>
      </c>
      <c r="Z61" s="123" t="str">
        <f>'23'!K61</f>
        <v/>
      </c>
      <c r="AA61" s="123" t="str">
        <f>'24'!K61</f>
        <v/>
      </c>
      <c r="AB61" s="123" t="str">
        <f>'25'!K61</f>
        <v/>
      </c>
      <c r="AC61" s="123" t="str">
        <f>'26'!K61</f>
        <v/>
      </c>
      <c r="AD61" s="123" t="str">
        <f>'27'!K61</f>
        <v/>
      </c>
      <c r="AE61" s="123" t="str">
        <f>'28'!K61</f>
        <v/>
      </c>
      <c r="AF61" s="123" t="str">
        <f>'29'!K61</f>
        <v/>
      </c>
      <c r="AG61" s="123" t="str">
        <f>'30'!K61</f>
        <v/>
      </c>
      <c r="AH61" s="123" t="str">
        <f>'31'!K61</f>
        <v/>
      </c>
      <c r="AI61" s="123"/>
      <c r="AJ61" s="123">
        <f t="shared" si="1"/>
        <v>0</v>
      </c>
      <c r="AK61" s="56" t="str">
        <f t="shared" si="2"/>
        <v>#DIV/0!</v>
      </c>
    </row>
    <row r="62" ht="15.75" customHeight="1">
      <c r="A62" s="24"/>
      <c r="B62" s="158" t="s">
        <v>89</v>
      </c>
      <c r="C62" s="94" t="s">
        <v>23</v>
      </c>
      <c r="D62" s="95">
        <f>'1'!K62</f>
        <v>26714.28571</v>
      </c>
      <c r="E62" s="95">
        <f>'2'!K62</f>
        <v>26857.14286</v>
      </c>
      <c r="F62" s="95">
        <f>'3'!K62</f>
        <v>26857.14286</v>
      </c>
      <c r="G62" s="95">
        <f>'4'!K62</f>
        <v>26714.28571</v>
      </c>
      <c r="H62" s="95">
        <f>'5'!K62</f>
        <v>26142.85714</v>
      </c>
      <c r="I62" s="95">
        <f>'6'!K62</f>
        <v>26714.28571</v>
      </c>
      <c r="J62" s="95">
        <f>'7'!K62</f>
        <v>27000</v>
      </c>
      <c r="K62" s="95">
        <f>'8'!K62</f>
        <v>27000</v>
      </c>
      <c r="L62" s="95">
        <f>'9'!K62</f>
        <v>27142.85714</v>
      </c>
      <c r="M62" s="95">
        <f>'10'!K62</f>
        <v>27285.71429</v>
      </c>
      <c r="N62" s="95">
        <f>'11'!K62</f>
        <v>27428.57143</v>
      </c>
      <c r="O62" s="95">
        <f>'12'!K62</f>
        <v>27714.28571</v>
      </c>
      <c r="P62" s="95">
        <f>'13'!K62</f>
        <v>27714.28571</v>
      </c>
      <c r="Q62" s="95">
        <f>'14'!K62</f>
        <v>27714.28571</v>
      </c>
      <c r="R62" s="95">
        <f>'15'!K62</f>
        <v>27714.28571</v>
      </c>
      <c r="S62" s="95">
        <f>'16'!K62</f>
        <v>27571.42857</v>
      </c>
      <c r="T62" s="95">
        <f>'17'!K62</f>
        <v>27714.28571</v>
      </c>
      <c r="U62" s="95">
        <f>'18'!K62</f>
        <v>27714.28571</v>
      </c>
      <c r="V62" s="95">
        <f>'19'!K62</f>
        <v>27857.14286</v>
      </c>
      <c r="W62" s="95">
        <f>'20'!K62</f>
        <v>27714.28571</v>
      </c>
      <c r="X62" s="95">
        <f>'21'!K62</f>
        <v>27714.28571</v>
      </c>
      <c r="Y62" s="95">
        <f>'22'!K62</f>
        <v>27714.28571</v>
      </c>
      <c r="Z62" s="95">
        <f>'23'!K62</f>
        <v>27714.28571</v>
      </c>
      <c r="AA62" s="95">
        <f>'24'!K62</f>
        <v>27857.14286</v>
      </c>
      <c r="AB62" s="95">
        <f>'25'!K62</f>
        <v>28142.85714</v>
      </c>
      <c r="AC62" s="95">
        <f>'26'!K62</f>
        <v>28428.57143</v>
      </c>
      <c r="AD62" s="95">
        <f>'27'!K62</f>
        <v>29000</v>
      </c>
      <c r="AE62" s="95">
        <f>'28'!K62</f>
        <v>29000</v>
      </c>
      <c r="AF62" s="95">
        <f>'29'!K62</f>
        <v>29000</v>
      </c>
      <c r="AG62" s="95">
        <f>'30'!K62</f>
        <v>29000</v>
      </c>
      <c r="AH62" s="95">
        <f>'31'!K62</f>
        <v>29000</v>
      </c>
      <c r="AI62" s="95"/>
      <c r="AJ62" s="95">
        <f t="shared" si="1"/>
        <v>2285.714286</v>
      </c>
      <c r="AK62" s="56">
        <f t="shared" si="2"/>
        <v>27672.81106</v>
      </c>
    </row>
    <row r="63" ht="15.75" customHeight="1">
      <c r="A63" s="24"/>
      <c r="B63" s="158" t="s">
        <v>90</v>
      </c>
      <c r="C63" s="94" t="s">
        <v>23</v>
      </c>
      <c r="D63" s="95">
        <f>'1'!K63</f>
        <v>23000</v>
      </c>
      <c r="E63" s="95">
        <f>'2'!K63</f>
        <v>23142.85714</v>
      </c>
      <c r="F63" s="95">
        <f>'3'!K63</f>
        <v>23142.85714</v>
      </c>
      <c r="G63" s="95">
        <f>'4'!K63</f>
        <v>23000</v>
      </c>
      <c r="H63" s="95">
        <f>'5'!K63</f>
        <v>22857.14286</v>
      </c>
      <c r="I63" s="95">
        <f>'6'!K63</f>
        <v>22857.14286</v>
      </c>
      <c r="J63" s="95">
        <f>'7'!K63</f>
        <v>23142.85714</v>
      </c>
      <c r="K63" s="95">
        <f>'8'!K63</f>
        <v>23142.85714</v>
      </c>
      <c r="L63" s="95">
        <f>'9'!K63</f>
        <v>23428.57143</v>
      </c>
      <c r="M63" s="95">
        <f>'10'!K63</f>
        <v>23571.42857</v>
      </c>
      <c r="N63" s="95">
        <f>'11'!K63</f>
        <v>23571.42857</v>
      </c>
      <c r="O63" s="95">
        <f>'12'!K63</f>
        <v>24571.42857</v>
      </c>
      <c r="P63" s="95">
        <f>'13'!K63</f>
        <v>24571.42857</v>
      </c>
      <c r="Q63" s="95">
        <f>'14'!K63</f>
        <v>24571.42857</v>
      </c>
      <c r="R63" s="95">
        <f>'15'!K63</f>
        <v>24571.42857</v>
      </c>
      <c r="S63" s="95">
        <f>'16'!K63</f>
        <v>24571.42857</v>
      </c>
      <c r="T63" s="95">
        <f>'17'!K63</f>
        <v>25000</v>
      </c>
      <c r="U63" s="95">
        <f>'18'!K63</f>
        <v>25000</v>
      </c>
      <c r="V63" s="95">
        <f>'19'!K63</f>
        <v>25142.85714</v>
      </c>
      <c r="W63" s="95">
        <f>'20'!K63</f>
        <v>25000</v>
      </c>
      <c r="X63" s="95">
        <f>'21'!K63</f>
        <v>25000</v>
      </c>
      <c r="Y63" s="95">
        <f>'22'!K63</f>
        <v>25000</v>
      </c>
      <c r="Z63" s="95">
        <f>'23'!K63</f>
        <v>25000</v>
      </c>
      <c r="AA63" s="95">
        <f>'24'!K63</f>
        <v>25142.85714</v>
      </c>
      <c r="AB63" s="95">
        <f>'25'!K63</f>
        <v>25285.71429</v>
      </c>
      <c r="AC63" s="95">
        <f>'26'!K63</f>
        <v>25571.42857</v>
      </c>
      <c r="AD63" s="95">
        <f>'27'!K63</f>
        <v>25428.57143</v>
      </c>
      <c r="AE63" s="95">
        <f>'28'!K63</f>
        <v>25428.57143</v>
      </c>
      <c r="AF63" s="95">
        <f>'29'!K63</f>
        <v>25428.57143</v>
      </c>
      <c r="AG63" s="95">
        <f>'30'!K63</f>
        <v>25714.28571</v>
      </c>
      <c r="AH63" s="95">
        <f>'31'!K63</f>
        <v>25714.28571</v>
      </c>
      <c r="AI63" s="95"/>
      <c r="AJ63" s="95">
        <f t="shared" si="1"/>
        <v>2714.285714</v>
      </c>
      <c r="AK63" s="56">
        <f t="shared" si="2"/>
        <v>24405.52995</v>
      </c>
    </row>
    <row r="64" ht="15.75" customHeight="1">
      <c r="A64" s="24"/>
      <c r="B64" s="158" t="s">
        <v>91</v>
      </c>
      <c r="C64" s="94" t="s">
        <v>23</v>
      </c>
      <c r="D64" s="95">
        <f>'1'!K64</f>
        <v>31857.14286</v>
      </c>
      <c r="E64" s="95">
        <f>'2'!K64</f>
        <v>32571.42857</v>
      </c>
      <c r="F64" s="95">
        <f>'3'!K64</f>
        <v>32571.42857</v>
      </c>
      <c r="G64" s="95">
        <f>'4'!K64</f>
        <v>32714.28571</v>
      </c>
      <c r="H64" s="95">
        <f>'5'!K64</f>
        <v>32571.42857</v>
      </c>
      <c r="I64" s="95">
        <f>'6'!K64</f>
        <v>32571.42857</v>
      </c>
      <c r="J64" s="95">
        <f>'7'!K64</f>
        <v>32571.42857</v>
      </c>
      <c r="K64" s="95">
        <f>'8'!K64</f>
        <v>32571.42857</v>
      </c>
      <c r="L64" s="95">
        <f>'9'!K64</f>
        <v>33285.71429</v>
      </c>
      <c r="M64" s="95">
        <f>'10'!K64</f>
        <v>33285.71429</v>
      </c>
      <c r="N64" s="95">
        <f>'11'!K64</f>
        <v>33285.71429</v>
      </c>
      <c r="O64" s="95">
        <f>'12'!K64</f>
        <v>33000</v>
      </c>
      <c r="P64" s="95">
        <f>'13'!K64</f>
        <v>33000</v>
      </c>
      <c r="Q64" s="95">
        <f>'14'!K64</f>
        <v>32714.28571</v>
      </c>
      <c r="R64" s="95">
        <f>'15'!K64</f>
        <v>32714.28571</v>
      </c>
      <c r="S64" s="95">
        <f>'16'!K64</f>
        <v>34714.28571</v>
      </c>
      <c r="T64" s="95">
        <f>'17'!K64</f>
        <v>35142.85714</v>
      </c>
      <c r="U64" s="95">
        <f>'18'!K64</f>
        <v>35285.71429</v>
      </c>
      <c r="V64" s="95">
        <f>'19'!K64</f>
        <v>35428.57143</v>
      </c>
      <c r="W64" s="95">
        <f>'20'!K64</f>
        <v>35857.14286</v>
      </c>
      <c r="X64" s="95">
        <f>'21'!K64</f>
        <v>35571.42857</v>
      </c>
      <c r="Y64" s="95">
        <f>'22'!K64</f>
        <v>35285.71429</v>
      </c>
      <c r="Z64" s="95">
        <f>'23'!K64</f>
        <v>35857.14286</v>
      </c>
      <c r="AA64" s="95">
        <f>'24'!K64</f>
        <v>35857.14286</v>
      </c>
      <c r="AB64" s="95">
        <f>'25'!K64</f>
        <v>34714.28571</v>
      </c>
      <c r="AC64" s="95">
        <f>'26'!K64</f>
        <v>36428.57143</v>
      </c>
      <c r="AD64" s="95">
        <f>'27'!K64</f>
        <v>36571.42857</v>
      </c>
      <c r="AE64" s="95">
        <f>'28'!K64</f>
        <v>36714.28571</v>
      </c>
      <c r="AF64" s="95">
        <f>'29'!K64</f>
        <v>36428.57143</v>
      </c>
      <c r="AG64" s="95">
        <f>'30'!K64</f>
        <v>37142.85714</v>
      </c>
      <c r="AH64" s="95">
        <f>'31'!K64</f>
        <v>37142.85714</v>
      </c>
      <c r="AI64" s="95">
        <v>12000.0</v>
      </c>
      <c r="AJ64" s="95">
        <f t="shared" si="1"/>
        <v>5285.714286</v>
      </c>
      <c r="AK64" s="56">
        <f t="shared" si="2"/>
        <v>34368.66359</v>
      </c>
    </row>
    <row r="65" ht="15.75" customHeight="1">
      <c r="A65" s="71"/>
      <c r="B65" s="150" t="s">
        <v>92</v>
      </c>
      <c r="C65" s="121" t="s">
        <v>23</v>
      </c>
      <c r="D65" s="123">
        <f>'1'!K65</f>
        <v>21714.28571</v>
      </c>
      <c r="E65" s="123">
        <f>'2'!K65</f>
        <v>22571.42857</v>
      </c>
      <c r="F65" s="123">
        <f>'3'!K65</f>
        <v>22285.71429</v>
      </c>
      <c r="G65" s="123">
        <f>'4'!K65</f>
        <v>22285.71429</v>
      </c>
      <c r="H65" s="123">
        <f>'5'!K65</f>
        <v>22571.42857</v>
      </c>
      <c r="I65" s="123">
        <f>'6'!K65</f>
        <v>22571.42857</v>
      </c>
      <c r="J65" s="123">
        <f>'7'!K65</f>
        <v>22571.42857</v>
      </c>
      <c r="K65" s="123">
        <f>'8'!K65</f>
        <v>22571.42857</v>
      </c>
      <c r="L65" s="123">
        <f>'9'!K65</f>
        <v>22571.42857</v>
      </c>
      <c r="M65" s="123">
        <f>'10'!K65</f>
        <v>21428.57143</v>
      </c>
      <c r="N65" s="123">
        <f>'11'!K65</f>
        <v>21428.57143</v>
      </c>
      <c r="O65" s="123">
        <f>'12'!K65</f>
        <v>21428.57143</v>
      </c>
      <c r="P65" s="123">
        <f>'13'!K65</f>
        <v>21428.57143</v>
      </c>
      <c r="Q65" s="123">
        <f>'14'!K65</f>
        <v>21428.57143</v>
      </c>
      <c r="R65" s="123">
        <f>'15'!K65</f>
        <v>21428.57143</v>
      </c>
      <c r="S65" s="123">
        <f>'16'!K65</f>
        <v>21428.57143</v>
      </c>
      <c r="T65" s="123">
        <f>'17'!K65</f>
        <v>22000</v>
      </c>
      <c r="U65" s="123">
        <f>'18'!K65</f>
        <v>22000</v>
      </c>
      <c r="V65" s="123">
        <f>'19'!K65</f>
        <v>22000</v>
      </c>
      <c r="W65" s="123">
        <f>'20'!K65</f>
        <v>21428.57143</v>
      </c>
      <c r="X65" s="123">
        <f>'21'!K65</f>
        <v>21428.57143</v>
      </c>
      <c r="Y65" s="123">
        <f>'22'!K65</f>
        <v>21428.57143</v>
      </c>
      <c r="Z65" s="123">
        <f>'23'!K65</f>
        <v>21428.57143</v>
      </c>
      <c r="AA65" s="123">
        <f>'24'!K65</f>
        <v>21428.57143</v>
      </c>
      <c r="AB65" s="123">
        <f>'25'!K65</f>
        <v>21428.57143</v>
      </c>
      <c r="AC65" s="123">
        <f>'26'!K65</f>
        <v>21428.57143</v>
      </c>
      <c r="AD65" s="123">
        <f>'27'!K65</f>
        <v>21714.28571</v>
      </c>
      <c r="AE65" s="123">
        <f>'28'!K65</f>
        <v>21714.28571</v>
      </c>
      <c r="AF65" s="123">
        <f>'29'!K65</f>
        <v>21714.28571</v>
      </c>
      <c r="AG65" s="123">
        <f>'30'!K65</f>
        <v>21714.28571</v>
      </c>
      <c r="AH65" s="123">
        <f>'31'!K65</f>
        <v>21714.28571</v>
      </c>
      <c r="AI65" s="123"/>
      <c r="AJ65" s="123">
        <f t="shared" si="1"/>
        <v>0</v>
      </c>
      <c r="AK65" s="56">
        <f t="shared" si="2"/>
        <v>21815.6682</v>
      </c>
    </row>
    <row r="66" ht="15.75" customHeight="1">
      <c r="A66" s="180">
        <v>18.0</v>
      </c>
      <c r="B66" s="134" t="s">
        <v>93</v>
      </c>
      <c r="C66" s="121"/>
      <c r="D66" s="123" t="str">
        <f>'1'!K66</f>
        <v/>
      </c>
      <c r="E66" s="123" t="str">
        <f>'2'!K66</f>
        <v/>
      </c>
      <c r="F66" s="123" t="str">
        <f>'3'!K66</f>
        <v/>
      </c>
      <c r="G66" s="123" t="str">
        <f>'4'!K66</f>
        <v/>
      </c>
      <c r="H66" s="123" t="str">
        <f>'5'!K66</f>
        <v/>
      </c>
      <c r="I66" s="123" t="str">
        <f>'6'!K66</f>
        <v/>
      </c>
      <c r="J66" s="123" t="str">
        <f>'7'!K66</f>
        <v/>
      </c>
      <c r="K66" s="123" t="str">
        <f>'8'!K66</f>
        <v/>
      </c>
      <c r="L66" s="123" t="str">
        <f>'9'!K66</f>
        <v/>
      </c>
      <c r="M66" s="123" t="str">
        <f>'10'!K66</f>
        <v/>
      </c>
      <c r="N66" s="123" t="str">
        <f>'11'!K66</f>
        <v/>
      </c>
      <c r="O66" s="123" t="str">
        <f>'12'!K66</f>
        <v/>
      </c>
      <c r="P66" s="123" t="str">
        <f>'13'!K66</f>
        <v/>
      </c>
      <c r="Q66" s="123" t="str">
        <f>'14'!K66</f>
        <v/>
      </c>
      <c r="R66" s="123" t="str">
        <f>'15'!K66</f>
        <v/>
      </c>
      <c r="S66" s="123" t="str">
        <f>'16'!K66</f>
        <v/>
      </c>
      <c r="T66" s="123" t="str">
        <f>'17'!K66</f>
        <v/>
      </c>
      <c r="U66" s="123" t="str">
        <f>'18'!K66</f>
        <v/>
      </c>
      <c r="V66" s="123" t="str">
        <f>'19'!K66</f>
        <v/>
      </c>
      <c r="W66" s="123" t="str">
        <f>'20'!K66</f>
        <v/>
      </c>
      <c r="X66" s="123" t="str">
        <f>'21'!K66</f>
        <v/>
      </c>
      <c r="Y66" s="123" t="str">
        <f>'22'!K66</f>
        <v/>
      </c>
      <c r="Z66" s="123" t="str">
        <f>'23'!K66</f>
        <v/>
      </c>
      <c r="AA66" s="123" t="str">
        <f>'24'!K66</f>
        <v/>
      </c>
      <c r="AB66" s="123" t="str">
        <f>'25'!K66</f>
        <v/>
      </c>
      <c r="AC66" s="123" t="str">
        <f>'26'!K66</f>
        <v/>
      </c>
      <c r="AD66" s="123" t="str">
        <f>'27'!K66</f>
        <v/>
      </c>
      <c r="AE66" s="123" t="str">
        <f>'28'!K66</f>
        <v/>
      </c>
      <c r="AF66" s="123" t="str">
        <f>'29'!K66</f>
        <v/>
      </c>
      <c r="AG66" s="123" t="str">
        <f>'30'!K66</f>
        <v/>
      </c>
      <c r="AH66" s="123" t="str">
        <f>'31'!K66</f>
        <v/>
      </c>
      <c r="AI66" s="123"/>
      <c r="AJ66" s="123">
        <f t="shared" si="1"/>
        <v>0</v>
      </c>
      <c r="AK66" s="56" t="str">
        <f t="shared" si="2"/>
        <v>#DIV/0!</v>
      </c>
    </row>
    <row r="67" ht="15.75" customHeight="1">
      <c r="A67" s="182"/>
      <c r="B67" s="150" t="s">
        <v>94</v>
      </c>
      <c r="C67" s="121" t="s">
        <v>23</v>
      </c>
      <c r="D67" s="123">
        <f>'1'!K67</f>
        <v>5571.428571</v>
      </c>
      <c r="E67" s="123">
        <f>'2'!K67</f>
        <v>5571.428571</v>
      </c>
      <c r="F67" s="123">
        <f>'3'!K67</f>
        <v>5571.428571</v>
      </c>
      <c r="G67" s="123">
        <f>'4'!K67</f>
        <v>5571.428571</v>
      </c>
      <c r="H67" s="123">
        <f>'5'!K67</f>
        <v>5571.428571</v>
      </c>
      <c r="I67" s="123">
        <f>'6'!K67</f>
        <v>5571.428571</v>
      </c>
      <c r="J67" s="123">
        <f>'7'!K67</f>
        <v>5571.428571</v>
      </c>
      <c r="K67" s="123">
        <f>'8'!K67</f>
        <v>5571.428571</v>
      </c>
      <c r="L67" s="123">
        <f>'9'!K67</f>
        <v>5571.428571</v>
      </c>
      <c r="M67" s="123">
        <f>'10'!K67</f>
        <v>5571.428571</v>
      </c>
      <c r="N67" s="123">
        <f>'11'!K67</f>
        <v>5571.428571</v>
      </c>
      <c r="O67" s="123">
        <f>'12'!K67</f>
        <v>5571.428571</v>
      </c>
      <c r="P67" s="123">
        <f>'13'!K67</f>
        <v>5571.428571</v>
      </c>
      <c r="Q67" s="123">
        <f>'14'!K67</f>
        <v>5571.428571</v>
      </c>
      <c r="R67" s="123">
        <f>'15'!K67</f>
        <v>5571.428571</v>
      </c>
      <c r="S67" s="123">
        <f>'16'!K67</f>
        <v>5571.428571</v>
      </c>
      <c r="T67" s="123">
        <f>'17'!K67</f>
        <v>5571.428571</v>
      </c>
      <c r="U67" s="123">
        <f>'18'!K67</f>
        <v>5571.428571</v>
      </c>
      <c r="V67" s="123">
        <f>'19'!K67</f>
        <v>5571.428571</v>
      </c>
      <c r="W67" s="123">
        <f>'20'!K67</f>
        <v>5571.428571</v>
      </c>
      <c r="X67" s="123">
        <f>'21'!K67</f>
        <v>5571.428571</v>
      </c>
      <c r="Y67" s="123">
        <f>'22'!K67</f>
        <v>5571.428571</v>
      </c>
      <c r="Z67" s="123">
        <f>'23'!K67</f>
        <v>5571.428571</v>
      </c>
      <c r="AA67" s="123">
        <f>'24'!K67</f>
        <v>5571.428571</v>
      </c>
      <c r="AB67" s="123">
        <f>'25'!K67</f>
        <v>5571.428571</v>
      </c>
      <c r="AC67" s="123">
        <f>'26'!K67</f>
        <v>5571.428571</v>
      </c>
      <c r="AD67" s="123">
        <f>'27'!K67</f>
        <v>5571.428571</v>
      </c>
      <c r="AE67" s="123">
        <f>'28'!K67</f>
        <v>5571.428571</v>
      </c>
      <c r="AF67" s="123">
        <f>'29'!K67</f>
        <v>5571.428571</v>
      </c>
      <c r="AG67" s="123">
        <f>'30'!K67</f>
        <v>5571.428571</v>
      </c>
      <c r="AH67" s="123">
        <f>'31'!K67</f>
        <v>5571.428571</v>
      </c>
      <c r="AI67" s="123"/>
      <c r="AJ67" s="123">
        <f t="shared" si="1"/>
        <v>0</v>
      </c>
      <c r="AK67" s="56">
        <f t="shared" si="2"/>
        <v>5571.428571</v>
      </c>
    </row>
    <row r="68" ht="15.75" customHeight="1">
      <c r="A68" s="181"/>
      <c r="B68" s="150" t="s">
        <v>95</v>
      </c>
      <c r="C68" s="121" t="s">
        <v>23</v>
      </c>
      <c r="D68" s="123">
        <f>'1'!K68</f>
        <v>5600</v>
      </c>
      <c r="E68" s="123">
        <f>'2'!K68</f>
        <v>5600</v>
      </c>
      <c r="F68" s="123">
        <f>'3'!K68</f>
        <v>5600</v>
      </c>
      <c r="G68" s="123">
        <f>'4'!K68</f>
        <v>5600</v>
      </c>
      <c r="H68" s="123">
        <f>'5'!K68</f>
        <v>5600</v>
      </c>
      <c r="I68" s="123">
        <f>'6'!K68</f>
        <v>5600</v>
      </c>
      <c r="J68" s="123">
        <f>'7'!K68</f>
        <v>5600</v>
      </c>
      <c r="K68" s="123">
        <f>'8'!K68</f>
        <v>5600</v>
      </c>
      <c r="L68" s="123">
        <f>'9'!K68</f>
        <v>5600</v>
      </c>
      <c r="M68" s="123">
        <f>'10'!K68</f>
        <v>5600</v>
      </c>
      <c r="N68" s="123">
        <f>'11'!K68</f>
        <v>5600</v>
      </c>
      <c r="O68" s="123">
        <f>'12'!K68</f>
        <v>5600</v>
      </c>
      <c r="P68" s="123">
        <f>'13'!K68</f>
        <v>5600</v>
      </c>
      <c r="Q68" s="123">
        <f>'14'!K68</f>
        <v>5600</v>
      </c>
      <c r="R68" s="123">
        <f>'15'!K68</f>
        <v>5600</v>
      </c>
      <c r="S68" s="123">
        <f>'16'!K68</f>
        <v>5600</v>
      </c>
      <c r="T68" s="123">
        <f>'17'!K68</f>
        <v>5600</v>
      </c>
      <c r="U68" s="123">
        <f>'18'!K68</f>
        <v>5600</v>
      </c>
      <c r="V68" s="123">
        <f>'19'!K68</f>
        <v>5600</v>
      </c>
      <c r="W68" s="123">
        <f>'20'!K68</f>
        <v>5600</v>
      </c>
      <c r="X68" s="123">
        <f>'21'!K68</f>
        <v>5600</v>
      </c>
      <c r="Y68" s="123">
        <f>'22'!K68</f>
        <v>5600</v>
      </c>
      <c r="Z68" s="123">
        <f>'23'!K68</f>
        <v>5600</v>
      </c>
      <c r="AA68" s="123">
        <f>'24'!K68</f>
        <v>5600</v>
      </c>
      <c r="AB68" s="123">
        <f>'25'!K68</f>
        <v>5600</v>
      </c>
      <c r="AC68" s="123">
        <f>'26'!K68</f>
        <v>5600</v>
      </c>
      <c r="AD68" s="123">
        <f>'27'!K68</f>
        <v>5600</v>
      </c>
      <c r="AE68" s="123">
        <f>'28'!K68</f>
        <v>5600</v>
      </c>
      <c r="AF68" s="123">
        <f>'29'!K68</f>
        <v>5600</v>
      </c>
      <c r="AG68" s="123">
        <f>'30'!K68</f>
        <v>5600</v>
      </c>
      <c r="AH68" s="123">
        <f>'31'!K68</f>
        <v>5600</v>
      </c>
      <c r="AI68" s="123"/>
      <c r="AJ68" s="123">
        <f t="shared" si="1"/>
        <v>0</v>
      </c>
      <c r="AK68" s="56">
        <f t="shared" si="2"/>
        <v>5600</v>
      </c>
    </row>
    <row r="69" ht="15.75" customHeight="1">
      <c r="A69" s="180">
        <v>19.0</v>
      </c>
      <c r="B69" s="134" t="s">
        <v>96</v>
      </c>
      <c r="C69" s="121"/>
      <c r="D69" s="123" t="str">
        <f>'1'!K69</f>
        <v/>
      </c>
      <c r="E69" s="123" t="str">
        <f>'2'!K69</f>
        <v/>
      </c>
      <c r="F69" s="123" t="str">
        <f>'3'!K69</f>
        <v/>
      </c>
      <c r="G69" s="123" t="str">
        <f>'4'!K69</f>
        <v/>
      </c>
      <c r="H69" s="123" t="str">
        <f>'5'!K69</f>
        <v/>
      </c>
      <c r="I69" s="123" t="str">
        <f>'6'!K69</f>
        <v/>
      </c>
      <c r="J69" s="123" t="str">
        <f>'7'!K69</f>
        <v/>
      </c>
      <c r="K69" s="123" t="str">
        <f>'8'!K69</f>
        <v/>
      </c>
      <c r="L69" s="123" t="str">
        <f>'9'!K69</f>
        <v/>
      </c>
      <c r="M69" s="123" t="str">
        <f>'10'!K69</f>
        <v/>
      </c>
      <c r="N69" s="123" t="str">
        <f>'11'!K69</f>
        <v/>
      </c>
      <c r="O69" s="123" t="str">
        <f>'12'!K69</f>
        <v/>
      </c>
      <c r="P69" s="123" t="str">
        <f>'13'!K69</f>
        <v/>
      </c>
      <c r="Q69" s="123" t="str">
        <f>'14'!K69</f>
        <v/>
      </c>
      <c r="R69" s="123" t="str">
        <f>'15'!K69</f>
        <v/>
      </c>
      <c r="S69" s="123" t="str">
        <f>'16'!K69</f>
        <v/>
      </c>
      <c r="T69" s="123" t="str">
        <f>'17'!K69</f>
        <v/>
      </c>
      <c r="U69" s="123" t="str">
        <f>'18'!K69</f>
        <v/>
      </c>
      <c r="V69" s="123" t="str">
        <f>'19'!K69</f>
        <v/>
      </c>
      <c r="W69" s="123" t="str">
        <f>'20'!K69</f>
        <v/>
      </c>
      <c r="X69" s="123" t="str">
        <f>'21'!K69</f>
        <v/>
      </c>
      <c r="Y69" s="123" t="str">
        <f>'22'!K69</f>
        <v/>
      </c>
      <c r="Z69" s="123" t="str">
        <f>'23'!K69</f>
        <v/>
      </c>
      <c r="AA69" s="123" t="str">
        <f>'24'!K69</f>
        <v/>
      </c>
      <c r="AB69" s="123" t="str">
        <f>'25'!K69</f>
        <v/>
      </c>
      <c r="AC69" s="123" t="str">
        <f>'26'!K69</f>
        <v/>
      </c>
      <c r="AD69" s="123" t="str">
        <f>'27'!K69</f>
        <v/>
      </c>
      <c r="AE69" s="123" t="str">
        <f>'28'!K69</f>
        <v/>
      </c>
      <c r="AF69" s="123" t="str">
        <f>'29'!K69</f>
        <v/>
      </c>
      <c r="AG69" s="123" t="str">
        <f>'30'!K69</f>
        <v/>
      </c>
      <c r="AH69" s="123" t="str">
        <f>'31'!K69</f>
        <v/>
      </c>
      <c r="AI69" s="123"/>
      <c r="AJ69" s="123">
        <f t="shared" si="1"/>
        <v>0</v>
      </c>
      <c r="AK69" s="56" t="str">
        <f t="shared" si="2"/>
        <v>#DIV/0!</v>
      </c>
    </row>
    <row r="70" ht="15.75" customHeight="1">
      <c r="A70" s="182"/>
      <c r="B70" s="158" t="s">
        <v>97</v>
      </c>
      <c r="C70" s="94" t="s">
        <v>23</v>
      </c>
      <c r="D70" s="95">
        <f>'1'!K70</f>
        <v>10142.85714</v>
      </c>
      <c r="E70" s="95">
        <f>'2'!K70</f>
        <v>10428.57143</v>
      </c>
      <c r="F70" s="95">
        <f>'3'!K70</f>
        <v>11000</v>
      </c>
      <c r="G70" s="95">
        <f>'4'!K70</f>
        <v>11000</v>
      </c>
      <c r="H70" s="95">
        <f>'5'!K70</f>
        <v>11000</v>
      </c>
      <c r="I70" s="95">
        <f>'6'!K70</f>
        <v>11285.71429</v>
      </c>
      <c r="J70" s="95">
        <f>'7'!K70</f>
        <v>11142.85714</v>
      </c>
      <c r="K70" s="95">
        <f>'8'!K70</f>
        <v>11142.85714</v>
      </c>
      <c r="L70" s="95">
        <f>'9'!K70</f>
        <v>10857.14286</v>
      </c>
      <c r="M70" s="95">
        <f>'10'!K70</f>
        <v>10714.28571</v>
      </c>
      <c r="N70" s="95">
        <f>'11'!K70</f>
        <v>10714.28571</v>
      </c>
      <c r="O70" s="95">
        <f>'12'!K70</f>
        <v>10857.14286</v>
      </c>
      <c r="P70" s="95">
        <f>'13'!K70</f>
        <v>10857.14286</v>
      </c>
      <c r="Q70" s="95">
        <f>'14'!K70</f>
        <v>10714.28571</v>
      </c>
      <c r="R70" s="95">
        <f>'15'!K70</f>
        <v>10714.28571</v>
      </c>
      <c r="S70" s="95">
        <f>'16'!K70</f>
        <v>10857.14286</v>
      </c>
      <c r="T70" s="95">
        <f>'17'!K70</f>
        <v>11000</v>
      </c>
      <c r="U70" s="95">
        <f>'18'!K70</f>
        <v>11000</v>
      </c>
      <c r="V70" s="95">
        <f>'19'!K70</f>
        <v>11000</v>
      </c>
      <c r="W70" s="95">
        <f>'20'!K70</f>
        <v>10714.28571</v>
      </c>
      <c r="X70" s="95">
        <f>'21'!K70</f>
        <v>10714.28571</v>
      </c>
      <c r="Y70" s="95">
        <f>'22'!K70</f>
        <v>10714.28571</v>
      </c>
      <c r="Z70" s="95">
        <f>'23'!K70</f>
        <v>10857.14286</v>
      </c>
      <c r="AA70" s="95">
        <f>'24'!K70</f>
        <v>10857.14286</v>
      </c>
      <c r="AB70" s="95">
        <f>'25'!K70</f>
        <v>10571.42857</v>
      </c>
      <c r="AC70" s="95">
        <f>'26'!K70</f>
        <v>10714.28571</v>
      </c>
      <c r="AD70" s="95">
        <f>'27'!K70</f>
        <v>10571.42857</v>
      </c>
      <c r="AE70" s="95">
        <f>'28'!K70</f>
        <v>10571.42857</v>
      </c>
      <c r="AF70" s="95">
        <f>'29'!K70</f>
        <v>10571.42857</v>
      </c>
      <c r="AG70" s="95">
        <f>'30'!K70</f>
        <v>10285.71429</v>
      </c>
      <c r="AH70" s="95">
        <f>'31'!K70</f>
        <v>10285.71429</v>
      </c>
      <c r="AI70" s="95"/>
      <c r="AJ70" s="95">
        <f t="shared" si="1"/>
        <v>142.8571429</v>
      </c>
      <c r="AK70" s="56">
        <f t="shared" si="2"/>
        <v>10769.58525</v>
      </c>
    </row>
    <row r="71" ht="15.75" customHeight="1">
      <c r="A71" s="182"/>
      <c r="B71" s="158" t="s">
        <v>98</v>
      </c>
      <c r="C71" s="94" t="s">
        <v>23</v>
      </c>
      <c r="D71" s="95">
        <f>'1'!K71</f>
        <v>10571.42857</v>
      </c>
      <c r="E71" s="95">
        <f>'2'!K71</f>
        <v>11571.42857</v>
      </c>
      <c r="F71" s="95">
        <f>'3'!K71</f>
        <v>10857.14286</v>
      </c>
      <c r="G71" s="95">
        <f>'4'!K71</f>
        <v>11714.28571</v>
      </c>
      <c r="H71" s="95">
        <f>'5'!K71</f>
        <v>12000</v>
      </c>
      <c r="I71" s="95">
        <f>'6'!K71</f>
        <v>11428.57143</v>
      </c>
      <c r="J71" s="95">
        <f>'7'!K71</f>
        <v>11428.57143</v>
      </c>
      <c r="K71" s="95">
        <f>'8'!K71</f>
        <v>11428.57143</v>
      </c>
      <c r="L71" s="95">
        <f>'9'!K71</f>
        <v>11428.57143</v>
      </c>
      <c r="M71" s="95">
        <f>'10'!K71</f>
        <v>11428.57143</v>
      </c>
      <c r="N71" s="95">
        <f>'11'!K71</f>
        <v>11428.57143</v>
      </c>
      <c r="O71" s="95">
        <f>'12'!K71</f>
        <v>11714.28571</v>
      </c>
      <c r="P71" s="95">
        <f>'13'!K71</f>
        <v>11714.28571</v>
      </c>
      <c r="Q71" s="95">
        <f>'14'!K71</f>
        <v>11714.28571</v>
      </c>
      <c r="R71" s="95">
        <f>'15'!K71</f>
        <v>11714.28571</v>
      </c>
      <c r="S71" s="95">
        <f>'16'!K71</f>
        <v>11428.57143</v>
      </c>
      <c r="T71" s="95">
        <f>'17'!K71</f>
        <v>11857.14286</v>
      </c>
      <c r="U71" s="95">
        <f>'18'!K71</f>
        <v>11857.14286</v>
      </c>
      <c r="V71" s="95">
        <f>'19'!K71</f>
        <v>12142.85714</v>
      </c>
      <c r="W71" s="95">
        <f>'20'!K71</f>
        <v>12142.85714</v>
      </c>
      <c r="X71" s="95">
        <f>'21'!K71</f>
        <v>11857.14286</v>
      </c>
      <c r="Y71" s="95">
        <f>'22'!K71</f>
        <v>11857.14286</v>
      </c>
      <c r="Z71" s="95">
        <f>'23'!K71</f>
        <v>11857.14286</v>
      </c>
      <c r="AA71" s="95">
        <f>'24'!K71</f>
        <v>11857.14286</v>
      </c>
      <c r="AB71" s="95">
        <f>'25'!K71</f>
        <v>11714.28571</v>
      </c>
      <c r="AC71" s="95">
        <f>'26'!K71</f>
        <v>11714.28571</v>
      </c>
      <c r="AD71" s="95">
        <f>'27'!K71</f>
        <v>11571.42857</v>
      </c>
      <c r="AE71" s="95">
        <f>'28'!K71</f>
        <v>11571.42857</v>
      </c>
      <c r="AF71" s="95">
        <f>'29'!K71</f>
        <v>11571.42857</v>
      </c>
      <c r="AG71" s="95">
        <f>'30'!K71</f>
        <v>11571.42857</v>
      </c>
      <c r="AH71" s="95">
        <f>'31'!K71</f>
        <v>11571.42857</v>
      </c>
      <c r="AI71" s="95"/>
      <c r="AJ71" s="95">
        <f t="shared" si="1"/>
        <v>1000</v>
      </c>
      <c r="AK71" s="56">
        <f t="shared" si="2"/>
        <v>11622.11982</v>
      </c>
    </row>
    <row r="72" ht="15.75" customHeight="1">
      <c r="A72" s="182"/>
      <c r="B72" s="158" t="s">
        <v>99</v>
      </c>
      <c r="C72" s="94" t="s">
        <v>23</v>
      </c>
      <c r="D72" s="95">
        <f>'1'!K72</f>
        <v>15000</v>
      </c>
      <c r="E72" s="95">
        <f>'2'!K72</f>
        <v>14857.14286</v>
      </c>
      <c r="F72" s="95">
        <f>'3'!K72</f>
        <v>14857.14286</v>
      </c>
      <c r="G72" s="95">
        <f>'4'!K72</f>
        <v>14857.14286</v>
      </c>
      <c r="H72" s="95">
        <f>'5'!K72</f>
        <v>14857.14286</v>
      </c>
      <c r="I72" s="95">
        <f>'6'!K72</f>
        <v>14857.14286</v>
      </c>
      <c r="J72" s="95">
        <f>'7'!K72</f>
        <v>14857.14286</v>
      </c>
      <c r="K72" s="95">
        <f>'8'!K72</f>
        <v>14857.14286</v>
      </c>
      <c r="L72" s="95">
        <f>'9'!K72</f>
        <v>15714.28571</v>
      </c>
      <c r="M72" s="95">
        <f>'10'!K72</f>
        <v>16285.71429</v>
      </c>
      <c r="N72" s="95">
        <f>'11'!K72</f>
        <v>15714.28571</v>
      </c>
      <c r="O72" s="95">
        <f>'12'!K72</f>
        <v>16142.85714</v>
      </c>
      <c r="P72" s="95">
        <f>'13'!K72</f>
        <v>16142.85714</v>
      </c>
      <c r="Q72" s="95">
        <f>'14'!K72</f>
        <v>15714.28571</v>
      </c>
      <c r="R72" s="95">
        <f>'15'!K72</f>
        <v>15714.28571</v>
      </c>
      <c r="S72" s="95">
        <f>'16'!K72</f>
        <v>15714.28571</v>
      </c>
      <c r="T72" s="95">
        <f>'17'!K72</f>
        <v>15714.28571</v>
      </c>
      <c r="U72" s="95">
        <f>'18'!K72</f>
        <v>16000</v>
      </c>
      <c r="V72" s="95">
        <f>'19'!K72</f>
        <v>16000</v>
      </c>
      <c r="W72" s="95">
        <f>'20'!K72</f>
        <v>16000</v>
      </c>
      <c r="X72" s="95">
        <f>'21'!K72</f>
        <v>16000</v>
      </c>
      <c r="Y72" s="95">
        <f>'22'!K72</f>
        <v>16000</v>
      </c>
      <c r="Z72" s="95">
        <f>'23'!K72</f>
        <v>16000</v>
      </c>
      <c r="AA72" s="95">
        <f>'24'!K72</f>
        <v>16000</v>
      </c>
      <c r="AB72" s="95">
        <f>'25'!K72</f>
        <v>16000</v>
      </c>
      <c r="AC72" s="95">
        <f>'26'!K72</f>
        <v>16000</v>
      </c>
      <c r="AD72" s="95">
        <f>'27'!K72</f>
        <v>16000</v>
      </c>
      <c r="AE72" s="95">
        <f>'28'!K72</f>
        <v>16000</v>
      </c>
      <c r="AF72" s="95">
        <f>'29'!K72</f>
        <v>16000</v>
      </c>
      <c r="AG72" s="95">
        <f>'30'!K72</f>
        <v>15714.28571</v>
      </c>
      <c r="AH72" s="95">
        <f>'31'!K72</f>
        <v>16000</v>
      </c>
      <c r="AI72" s="95"/>
      <c r="AJ72" s="95">
        <f t="shared" si="1"/>
        <v>1000</v>
      </c>
      <c r="AK72" s="56">
        <f t="shared" si="2"/>
        <v>15663.59447</v>
      </c>
    </row>
    <row r="73" ht="15.75" customHeight="1">
      <c r="A73" s="182"/>
      <c r="B73" s="141" t="s">
        <v>100</v>
      </c>
      <c r="C73" s="143" t="s">
        <v>23</v>
      </c>
      <c r="D73" s="144">
        <f>'1'!K73</f>
        <v>13428.57143</v>
      </c>
      <c r="E73" s="144">
        <f>'2'!K73</f>
        <v>13857.14286</v>
      </c>
      <c r="F73" s="144">
        <f>'3'!K73</f>
        <v>13428.57143</v>
      </c>
      <c r="G73" s="144">
        <f>'4'!K73</f>
        <v>12285.71429</v>
      </c>
      <c r="H73" s="144">
        <f>'5'!K73</f>
        <v>11571.42857</v>
      </c>
      <c r="I73" s="144">
        <f>'6'!K73</f>
        <v>11857.14286</v>
      </c>
      <c r="J73" s="144">
        <f>'7'!K73</f>
        <v>12142.85714</v>
      </c>
      <c r="K73" s="144">
        <f>'8'!K73</f>
        <v>12142.85714</v>
      </c>
      <c r="L73" s="144">
        <f>'9'!K73</f>
        <v>12000</v>
      </c>
      <c r="M73" s="144">
        <f>'10'!K73</f>
        <v>11714.28571</v>
      </c>
      <c r="N73" s="144">
        <f>'11'!K73</f>
        <v>11428.57143</v>
      </c>
      <c r="O73" s="144">
        <f>'12'!K73</f>
        <v>11285.71429</v>
      </c>
      <c r="P73" s="144">
        <f>'13'!K73</f>
        <v>11142.85714</v>
      </c>
      <c r="Q73" s="144">
        <f>'14'!K73</f>
        <v>11142.85714</v>
      </c>
      <c r="R73" s="144">
        <f>'15'!K73</f>
        <v>11142.85714</v>
      </c>
      <c r="S73" s="144">
        <f>'16'!K73</f>
        <v>10714.28571</v>
      </c>
      <c r="T73" s="144">
        <f>'17'!K73</f>
        <v>11714.28571</v>
      </c>
      <c r="U73" s="144">
        <f>'18'!K73</f>
        <v>11714.28571</v>
      </c>
      <c r="V73" s="144">
        <f>'19'!K73</f>
        <v>11857.14286</v>
      </c>
      <c r="W73" s="144">
        <f>'20'!K73</f>
        <v>12000</v>
      </c>
      <c r="X73" s="144">
        <f>'21'!K73</f>
        <v>12000</v>
      </c>
      <c r="Y73" s="144">
        <f>'22'!K73</f>
        <v>12000</v>
      </c>
      <c r="Z73" s="144">
        <f>'23'!K73</f>
        <v>11857.14286</v>
      </c>
      <c r="AA73" s="144">
        <f>'24'!K73</f>
        <v>11857.14286</v>
      </c>
      <c r="AB73" s="144">
        <f>'25'!K73</f>
        <v>10571.42857</v>
      </c>
      <c r="AC73" s="144">
        <f>'26'!K73</f>
        <v>10428.57143</v>
      </c>
      <c r="AD73" s="144">
        <f>'27'!K73</f>
        <v>10714.28571</v>
      </c>
      <c r="AE73" s="144">
        <f>'28'!K73</f>
        <v>10714.28571</v>
      </c>
      <c r="AF73" s="144">
        <f>'29'!K73</f>
        <v>10714.28571</v>
      </c>
      <c r="AG73" s="144">
        <f>'30'!K73</f>
        <v>10714.28571</v>
      </c>
      <c r="AH73" s="144">
        <f>'31'!K73</f>
        <v>10714.28571</v>
      </c>
      <c r="AI73" s="144"/>
      <c r="AJ73" s="144">
        <f t="shared" si="1"/>
        <v>-2714.285714</v>
      </c>
      <c r="AK73" s="56">
        <f t="shared" si="2"/>
        <v>11640.553</v>
      </c>
    </row>
    <row r="74" ht="15.75" customHeight="1">
      <c r="A74" s="182"/>
      <c r="B74" s="158" t="s">
        <v>101</v>
      </c>
      <c r="C74" s="94" t="s">
        <v>23</v>
      </c>
      <c r="D74" s="95">
        <f>'1'!K74</f>
        <v>11000</v>
      </c>
      <c r="E74" s="95">
        <f>'2'!K74</f>
        <v>11285.71429</v>
      </c>
      <c r="F74" s="95">
        <f>'3'!K74</f>
        <v>12000</v>
      </c>
      <c r="G74" s="95">
        <f>'4'!K74</f>
        <v>12142.85714</v>
      </c>
      <c r="H74" s="95">
        <f>'5'!K74</f>
        <v>12142.85714</v>
      </c>
      <c r="I74" s="95">
        <f>'6'!K74</f>
        <v>12285.71429</v>
      </c>
      <c r="J74" s="95">
        <f>'7'!K74</f>
        <v>12285.71429</v>
      </c>
      <c r="K74" s="95">
        <f>'8'!K74</f>
        <v>12285.71429</v>
      </c>
      <c r="L74" s="95">
        <f>'9'!K74</f>
        <v>12142.85714</v>
      </c>
      <c r="M74" s="95">
        <f>'10'!K74</f>
        <v>11857.14286</v>
      </c>
      <c r="N74" s="95">
        <f>'11'!K74</f>
        <v>11857.14286</v>
      </c>
      <c r="O74" s="95">
        <f>'12'!K74</f>
        <v>11714.28571</v>
      </c>
      <c r="P74" s="95">
        <f>'13'!K74</f>
        <v>11714.28571</v>
      </c>
      <c r="Q74" s="95">
        <f>'14'!K74</f>
        <v>11714.28571</v>
      </c>
      <c r="R74" s="95">
        <f>'15'!K74</f>
        <v>11714.28571</v>
      </c>
      <c r="S74" s="95">
        <f>'16'!K74</f>
        <v>11571.42857</v>
      </c>
      <c r="T74" s="95">
        <f>'17'!K74</f>
        <v>10714.28571</v>
      </c>
      <c r="U74" s="95">
        <f>'18'!K74</f>
        <v>11285.71429</v>
      </c>
      <c r="V74" s="95">
        <f>'19'!K74</f>
        <v>11142.85714</v>
      </c>
      <c r="W74" s="95">
        <f>'20'!K74</f>
        <v>11000</v>
      </c>
      <c r="X74" s="95">
        <f>'21'!K74</f>
        <v>11000</v>
      </c>
      <c r="Y74" s="95">
        <f>'22'!K74</f>
        <v>11000</v>
      </c>
      <c r="Z74" s="95">
        <f>'23'!K74</f>
        <v>11000</v>
      </c>
      <c r="AA74" s="95">
        <f>'24'!K74</f>
        <v>11000</v>
      </c>
      <c r="AB74" s="95">
        <f>'25'!K74</f>
        <v>11142.85714</v>
      </c>
      <c r="AC74" s="95">
        <f>'26'!K74</f>
        <v>11142.85714</v>
      </c>
      <c r="AD74" s="95">
        <f>'27'!K74</f>
        <v>11142.85714</v>
      </c>
      <c r="AE74" s="95">
        <f>'28'!K74</f>
        <v>11142.85714</v>
      </c>
      <c r="AF74" s="95">
        <f>'29'!K74</f>
        <v>11142.85714</v>
      </c>
      <c r="AG74" s="95">
        <f>'30'!K74</f>
        <v>11142.85714</v>
      </c>
      <c r="AH74" s="95">
        <f>'31'!K74</f>
        <v>11142.85714</v>
      </c>
      <c r="AI74" s="95"/>
      <c r="AJ74" s="95">
        <f t="shared" si="1"/>
        <v>142.8571429</v>
      </c>
      <c r="AK74" s="56">
        <f t="shared" si="2"/>
        <v>11479.26267</v>
      </c>
    </row>
    <row r="75" ht="15.75" customHeight="1">
      <c r="A75" s="182"/>
      <c r="B75" s="141" t="s">
        <v>102</v>
      </c>
      <c r="C75" s="143" t="s">
        <v>23</v>
      </c>
      <c r="D75" s="144">
        <f>'1'!K75</f>
        <v>10200</v>
      </c>
      <c r="E75" s="144">
        <f>'2'!K75</f>
        <v>9800</v>
      </c>
      <c r="F75" s="144">
        <f>'3'!K75</f>
        <v>9800</v>
      </c>
      <c r="G75" s="144">
        <f>'4'!K75</f>
        <v>9800</v>
      </c>
      <c r="H75" s="144">
        <f>'5'!K75</f>
        <v>9800</v>
      </c>
      <c r="I75" s="144">
        <f>'6'!K75</f>
        <v>10200</v>
      </c>
      <c r="J75" s="144">
        <f>'7'!K75</f>
        <v>10200</v>
      </c>
      <c r="K75" s="144">
        <f>'8'!K75</f>
        <v>10200</v>
      </c>
      <c r="L75" s="144">
        <f>'9'!K75</f>
        <v>10000</v>
      </c>
      <c r="M75" s="144">
        <f>'10'!K75</f>
        <v>9600</v>
      </c>
      <c r="N75" s="144">
        <f>'11'!K75</f>
        <v>9200</v>
      </c>
      <c r="O75" s="144">
        <f>'12'!K75</f>
        <v>9200</v>
      </c>
      <c r="P75" s="144">
        <f>'13'!K75</f>
        <v>9200</v>
      </c>
      <c r="Q75" s="144">
        <f>'14'!K75</f>
        <v>9200</v>
      </c>
      <c r="R75" s="144">
        <f>'15'!K75</f>
        <v>9200</v>
      </c>
      <c r="S75" s="144">
        <f>'16'!K75</f>
        <v>9200</v>
      </c>
      <c r="T75" s="144">
        <f>'17'!K75</f>
        <v>9200</v>
      </c>
      <c r="U75" s="144">
        <f>'18'!K75</f>
        <v>9200</v>
      </c>
      <c r="V75" s="144">
        <f>'19'!K75</f>
        <v>9200</v>
      </c>
      <c r="W75" s="144">
        <f>'20'!K75</f>
        <v>9200</v>
      </c>
      <c r="X75" s="144">
        <f>'21'!K75</f>
        <v>9200</v>
      </c>
      <c r="Y75" s="144">
        <f>'22'!K75</f>
        <v>9200</v>
      </c>
      <c r="Z75" s="144">
        <f>'23'!K75</f>
        <v>9200</v>
      </c>
      <c r="AA75" s="144">
        <f>'24'!K75</f>
        <v>9200</v>
      </c>
      <c r="AB75" s="144">
        <f>'25'!K75</f>
        <v>9600</v>
      </c>
      <c r="AC75" s="144">
        <f>'26'!K75</f>
        <v>9600</v>
      </c>
      <c r="AD75" s="144">
        <f>'27'!K75</f>
        <v>9600</v>
      </c>
      <c r="AE75" s="144">
        <f>'28'!K75</f>
        <v>9600</v>
      </c>
      <c r="AF75" s="144">
        <f>'29'!K75</f>
        <v>9600</v>
      </c>
      <c r="AG75" s="144">
        <f>'30'!K75</f>
        <v>9600</v>
      </c>
      <c r="AH75" s="144">
        <f>'31'!K75</f>
        <v>9600</v>
      </c>
      <c r="AI75" s="144"/>
      <c r="AJ75" s="144">
        <f t="shared" si="1"/>
        <v>-600</v>
      </c>
      <c r="AK75" s="56">
        <f t="shared" si="2"/>
        <v>9535.483871</v>
      </c>
    </row>
    <row r="76" ht="15.75" customHeight="1">
      <c r="A76" s="182"/>
      <c r="B76" s="141" t="s">
        <v>103</v>
      </c>
      <c r="C76" s="143" t="s">
        <v>104</v>
      </c>
      <c r="D76" s="144">
        <f>'1'!K76</f>
        <v>1600</v>
      </c>
      <c r="E76" s="144">
        <f>'2'!K76</f>
        <v>1800</v>
      </c>
      <c r="F76" s="144">
        <f>'3'!K76</f>
        <v>1900</v>
      </c>
      <c r="G76" s="144">
        <f>'4'!K76</f>
        <v>1900</v>
      </c>
      <c r="H76" s="144">
        <f>'5'!K76</f>
        <v>1900</v>
      </c>
      <c r="I76" s="144">
        <f>'6'!K76</f>
        <v>1800</v>
      </c>
      <c r="J76" s="144">
        <f>'7'!K76</f>
        <v>1800</v>
      </c>
      <c r="K76" s="144">
        <f>'8'!K76</f>
        <v>1800</v>
      </c>
      <c r="L76" s="144">
        <f>'9'!K76</f>
        <v>1700</v>
      </c>
      <c r="M76" s="144">
        <f>'10'!K76</f>
        <v>1700</v>
      </c>
      <c r="N76" s="144">
        <f>'11'!K76</f>
        <v>1700</v>
      </c>
      <c r="O76" s="144">
        <f>'12'!K76</f>
        <v>1700</v>
      </c>
      <c r="P76" s="144">
        <f>'13'!K76</f>
        <v>1700</v>
      </c>
      <c r="Q76" s="144">
        <f>'14'!K76</f>
        <v>1700</v>
      </c>
      <c r="R76" s="144">
        <f>'15'!K76</f>
        <v>1700</v>
      </c>
      <c r="S76" s="144">
        <f>'16'!K76</f>
        <v>1500</v>
      </c>
      <c r="T76" s="144">
        <f>'17'!K76</f>
        <v>1500</v>
      </c>
      <c r="U76" s="144">
        <f>'18'!K76</f>
        <v>1500</v>
      </c>
      <c r="V76" s="144">
        <f>'19'!K76</f>
        <v>1500</v>
      </c>
      <c r="W76" s="144">
        <f>'20'!K76</f>
        <v>1500</v>
      </c>
      <c r="X76" s="144">
        <f>'21'!K76</f>
        <v>1500</v>
      </c>
      <c r="Y76" s="144">
        <f>'22'!K76</f>
        <v>1500</v>
      </c>
      <c r="Z76" s="144">
        <f>'23'!K76</f>
        <v>1600</v>
      </c>
      <c r="AA76" s="144">
        <f>'24'!K76</f>
        <v>1600</v>
      </c>
      <c r="AB76" s="144">
        <f>'25'!K76</f>
        <v>1600</v>
      </c>
      <c r="AC76" s="144">
        <f>'26'!K76</f>
        <v>1600</v>
      </c>
      <c r="AD76" s="144">
        <f>'27'!K76</f>
        <v>1500</v>
      </c>
      <c r="AE76" s="144">
        <f>'28'!K76</f>
        <v>1600</v>
      </c>
      <c r="AF76" s="144">
        <f>'29'!K76</f>
        <v>1600</v>
      </c>
      <c r="AG76" s="144">
        <f>'30'!K76</f>
        <v>1600</v>
      </c>
      <c r="AH76" s="144">
        <f>'31'!K76</f>
        <v>1500</v>
      </c>
      <c r="AI76" s="144"/>
      <c r="AJ76" s="144">
        <f t="shared" si="1"/>
        <v>-100</v>
      </c>
      <c r="AK76" s="56">
        <f t="shared" si="2"/>
        <v>1648.387097</v>
      </c>
    </row>
    <row r="77" ht="15.75" customHeight="1">
      <c r="A77" s="182"/>
      <c r="B77" s="141" t="s">
        <v>105</v>
      </c>
      <c r="C77" s="143" t="s">
        <v>104</v>
      </c>
      <c r="D77" s="144">
        <f>'1'!K77</f>
        <v>1500</v>
      </c>
      <c r="E77" s="144">
        <f>'2'!K77</f>
        <v>1600</v>
      </c>
      <c r="F77" s="144">
        <f>'3'!K77</f>
        <v>1600</v>
      </c>
      <c r="G77" s="144">
        <f>'4'!K77</f>
        <v>1600</v>
      </c>
      <c r="H77" s="144">
        <f>'5'!K77</f>
        <v>1600</v>
      </c>
      <c r="I77" s="144">
        <f>'6'!K77</f>
        <v>1600</v>
      </c>
      <c r="J77" s="144">
        <f>'7'!K77</f>
        <v>1600</v>
      </c>
      <c r="K77" s="144">
        <f>'8'!K77</f>
        <v>1600</v>
      </c>
      <c r="L77" s="144">
        <f>'9'!K77</f>
        <v>1600</v>
      </c>
      <c r="M77" s="144">
        <f>'10'!K77</f>
        <v>1500</v>
      </c>
      <c r="N77" s="144">
        <f>'11'!K77</f>
        <v>1500</v>
      </c>
      <c r="O77" s="144">
        <f>'12'!K77</f>
        <v>1500</v>
      </c>
      <c r="P77" s="144">
        <f>'13'!K77</f>
        <v>1500</v>
      </c>
      <c r="Q77" s="144">
        <f>'14'!K77</f>
        <v>1500</v>
      </c>
      <c r="R77" s="144">
        <f>'15'!K77</f>
        <v>1500</v>
      </c>
      <c r="S77" s="144">
        <f>'16'!K77</f>
        <v>1400</v>
      </c>
      <c r="T77" s="144">
        <f>'17'!K77</f>
        <v>1400</v>
      </c>
      <c r="U77" s="144">
        <f>'18'!K77</f>
        <v>1400</v>
      </c>
      <c r="V77" s="144">
        <f>'19'!K77</f>
        <v>1400</v>
      </c>
      <c r="W77" s="144">
        <f>'20'!K77</f>
        <v>1400</v>
      </c>
      <c r="X77" s="144">
        <f>'21'!K77</f>
        <v>1400</v>
      </c>
      <c r="Y77" s="144">
        <f>'22'!K77</f>
        <v>1400</v>
      </c>
      <c r="Z77" s="144">
        <f>'23'!K77</f>
        <v>1400</v>
      </c>
      <c r="AA77" s="144">
        <f>'24'!K77</f>
        <v>1500</v>
      </c>
      <c r="AB77" s="144">
        <f>'25'!K77</f>
        <v>1500</v>
      </c>
      <c r="AC77" s="144">
        <f>'26'!K77</f>
        <v>1500</v>
      </c>
      <c r="AD77" s="144">
        <f>'27'!K77</f>
        <v>1400</v>
      </c>
      <c r="AE77" s="144">
        <f>'28'!K77</f>
        <v>1400</v>
      </c>
      <c r="AF77" s="144">
        <f>'29'!K77</f>
        <v>1400</v>
      </c>
      <c r="AG77" s="144">
        <f>'30'!K77</f>
        <v>1400</v>
      </c>
      <c r="AH77" s="144">
        <f>'31'!K77</f>
        <v>1400</v>
      </c>
      <c r="AI77" s="144"/>
      <c r="AJ77" s="144">
        <f t="shared" si="1"/>
        <v>-100</v>
      </c>
      <c r="AK77" s="56">
        <f t="shared" si="2"/>
        <v>1483.870968</v>
      </c>
    </row>
    <row r="78" ht="15.75" customHeight="1">
      <c r="A78" s="181"/>
      <c r="B78" s="141" t="s">
        <v>106</v>
      </c>
      <c r="C78" s="143" t="s">
        <v>104</v>
      </c>
      <c r="D78" s="144">
        <f>'1'!K78</f>
        <v>1900</v>
      </c>
      <c r="E78" s="144">
        <f>'2'!K78</f>
        <v>2000</v>
      </c>
      <c r="F78" s="144">
        <f>'3'!K78</f>
        <v>2000</v>
      </c>
      <c r="G78" s="144">
        <f>'4'!K78</f>
        <v>2000</v>
      </c>
      <c r="H78" s="144">
        <f>'5'!K78</f>
        <v>2000</v>
      </c>
      <c r="I78" s="144">
        <f>'6'!K78</f>
        <v>1900</v>
      </c>
      <c r="J78" s="144">
        <f>'7'!K78</f>
        <v>1900</v>
      </c>
      <c r="K78" s="144">
        <f>'8'!K78</f>
        <v>1900</v>
      </c>
      <c r="L78" s="144">
        <f>'9'!K78</f>
        <v>1900</v>
      </c>
      <c r="M78" s="144">
        <f>'10'!K78</f>
        <v>1900</v>
      </c>
      <c r="N78" s="144">
        <f>'11'!K78</f>
        <v>1900</v>
      </c>
      <c r="O78" s="144">
        <f>'12'!K78</f>
        <v>1900</v>
      </c>
      <c r="P78" s="144">
        <f>'13'!K78</f>
        <v>1900</v>
      </c>
      <c r="Q78" s="144">
        <f>'14'!K78</f>
        <v>1900</v>
      </c>
      <c r="R78" s="144">
        <f>'15'!K78</f>
        <v>1900</v>
      </c>
      <c r="S78" s="144">
        <f>'16'!K78</f>
        <v>1800</v>
      </c>
      <c r="T78" s="144">
        <f>'17'!K78</f>
        <v>1800</v>
      </c>
      <c r="U78" s="144">
        <f>'18'!K78</f>
        <v>1800</v>
      </c>
      <c r="V78" s="144">
        <f>'19'!K78</f>
        <v>1800</v>
      </c>
      <c r="W78" s="144">
        <f>'20'!K78</f>
        <v>1800</v>
      </c>
      <c r="X78" s="144">
        <f>'21'!K78</f>
        <v>1800</v>
      </c>
      <c r="Y78" s="144">
        <f>'22'!K78</f>
        <v>1800</v>
      </c>
      <c r="Z78" s="144">
        <f>'23'!K78</f>
        <v>1800</v>
      </c>
      <c r="AA78" s="144">
        <f>'24'!K78</f>
        <v>1800</v>
      </c>
      <c r="AB78" s="144">
        <f>'25'!K78</f>
        <v>1800</v>
      </c>
      <c r="AC78" s="144">
        <f>'26'!K78</f>
        <v>1800</v>
      </c>
      <c r="AD78" s="144">
        <f>'27'!K78</f>
        <v>1700</v>
      </c>
      <c r="AE78" s="144">
        <f>'28'!K78</f>
        <v>1800</v>
      </c>
      <c r="AF78" s="144">
        <f>'29'!K78</f>
        <v>1800</v>
      </c>
      <c r="AG78" s="144">
        <f>'30'!K78</f>
        <v>1800</v>
      </c>
      <c r="AH78" s="144">
        <f>'31'!K78</f>
        <v>1700</v>
      </c>
      <c r="AI78" s="144"/>
      <c r="AJ78" s="144">
        <f t="shared" si="1"/>
        <v>-200</v>
      </c>
      <c r="AK78" s="56">
        <f t="shared" si="2"/>
        <v>1854.83871</v>
      </c>
    </row>
    <row r="79" ht="15.75" customHeight="1">
      <c r="A79" s="180">
        <v>20.0</v>
      </c>
      <c r="B79" s="134" t="s">
        <v>107</v>
      </c>
      <c r="C79" s="121"/>
      <c r="D79" s="123" t="str">
        <f>'1'!K79</f>
        <v/>
      </c>
      <c r="E79" s="123" t="str">
        <f>'2'!K79</f>
        <v/>
      </c>
      <c r="F79" s="123" t="str">
        <f>'3'!K79</f>
        <v/>
      </c>
      <c r="G79" s="123" t="str">
        <f>'4'!K79</f>
        <v/>
      </c>
      <c r="H79" s="123" t="str">
        <f>'5'!K79</f>
        <v/>
      </c>
      <c r="I79" s="123" t="str">
        <f>'6'!K79</f>
        <v/>
      </c>
      <c r="J79" s="123" t="str">
        <f>'7'!K79</f>
        <v/>
      </c>
      <c r="K79" s="123" t="str">
        <f>'8'!K79</f>
        <v/>
      </c>
      <c r="L79" s="123" t="str">
        <f>'9'!K79</f>
        <v/>
      </c>
      <c r="M79" s="123" t="str">
        <f>'10'!K79</f>
        <v/>
      </c>
      <c r="N79" s="123" t="str">
        <f>'11'!K79</f>
        <v/>
      </c>
      <c r="O79" s="123" t="str">
        <f>'12'!K79</f>
        <v/>
      </c>
      <c r="P79" s="123" t="str">
        <f>'13'!K79</f>
        <v/>
      </c>
      <c r="Q79" s="123" t="str">
        <f>'14'!K79</f>
        <v/>
      </c>
      <c r="R79" s="123" t="str">
        <f>'15'!K79</f>
        <v/>
      </c>
      <c r="S79" s="123" t="str">
        <f>'16'!K79</f>
        <v/>
      </c>
      <c r="T79" s="123" t="str">
        <f>'17'!K79</f>
        <v/>
      </c>
      <c r="U79" s="123" t="str">
        <f>'18'!K79</f>
        <v/>
      </c>
      <c r="V79" s="123" t="str">
        <f>'19'!K79</f>
        <v/>
      </c>
      <c r="W79" s="123" t="str">
        <f>'20'!K79</f>
        <v/>
      </c>
      <c r="X79" s="123" t="str">
        <f>'21'!K79</f>
        <v/>
      </c>
      <c r="Y79" s="123" t="str">
        <f>'22'!K79</f>
        <v/>
      </c>
      <c r="Z79" s="123" t="str">
        <f>'23'!K79</f>
        <v/>
      </c>
      <c r="AA79" s="123" t="str">
        <f>'24'!K79</f>
        <v/>
      </c>
      <c r="AB79" s="123" t="str">
        <f>'25'!K79</f>
        <v/>
      </c>
      <c r="AC79" s="123" t="str">
        <f>'26'!K79</f>
        <v/>
      </c>
      <c r="AD79" s="123" t="str">
        <f>'27'!K79</f>
        <v/>
      </c>
      <c r="AE79" s="123" t="str">
        <f>'28'!K79</f>
        <v/>
      </c>
      <c r="AF79" s="123" t="str">
        <f>'29'!K79</f>
        <v/>
      </c>
      <c r="AG79" s="123" t="str">
        <f>'30'!K79</f>
        <v/>
      </c>
      <c r="AH79" s="123" t="str">
        <f>'31'!K79</f>
        <v/>
      </c>
      <c r="AI79" s="123"/>
      <c r="AJ79" s="123">
        <f t="shared" si="1"/>
        <v>0</v>
      </c>
      <c r="AK79" s="56" t="str">
        <f t="shared" si="2"/>
        <v>#DIV/0!</v>
      </c>
    </row>
    <row r="80" ht="15.75" customHeight="1">
      <c r="A80" s="181"/>
      <c r="B80" s="150" t="s">
        <v>109</v>
      </c>
      <c r="C80" s="121" t="s">
        <v>110</v>
      </c>
      <c r="D80" s="123">
        <f>'1'!K80</f>
        <v>18000</v>
      </c>
      <c r="E80" s="123">
        <f>'2'!K80</f>
        <v>18000</v>
      </c>
      <c r="F80" s="123">
        <f>'3'!K80</f>
        <v>18000</v>
      </c>
      <c r="G80" s="123">
        <f>'4'!K80</f>
        <v>18000</v>
      </c>
      <c r="H80" s="123">
        <f>'5'!K80</f>
        <v>18000</v>
      </c>
      <c r="I80" s="123">
        <f>'6'!K80</f>
        <v>18000</v>
      </c>
      <c r="J80" s="123">
        <f>'7'!K80</f>
        <v>18000</v>
      </c>
      <c r="K80" s="123">
        <f>'8'!K80</f>
        <v>18000</v>
      </c>
      <c r="L80" s="123">
        <f>'9'!K80</f>
        <v>18000</v>
      </c>
      <c r="M80" s="123">
        <f>'10'!K80</f>
        <v>18000</v>
      </c>
      <c r="N80" s="123">
        <f>'11'!K80</f>
        <v>18000</v>
      </c>
      <c r="O80" s="123">
        <f>'12'!K80</f>
        <v>18000</v>
      </c>
      <c r="P80" s="123">
        <f>'13'!K80</f>
        <v>18000</v>
      </c>
      <c r="Q80" s="123">
        <f>'14'!K80</f>
        <v>18000</v>
      </c>
      <c r="R80" s="123">
        <f>'15'!K80</f>
        <v>18000</v>
      </c>
      <c r="S80" s="123">
        <f>'16'!K80</f>
        <v>18000</v>
      </c>
      <c r="T80" s="123">
        <f>'17'!K80</f>
        <v>18000</v>
      </c>
      <c r="U80" s="123">
        <f>'18'!K80</f>
        <v>18000</v>
      </c>
      <c r="V80" s="123">
        <f>'19'!K80</f>
        <v>18000</v>
      </c>
      <c r="W80" s="123">
        <f>'20'!K80</f>
        <v>18000</v>
      </c>
      <c r="X80" s="123">
        <f>'21'!K80</f>
        <v>18000</v>
      </c>
      <c r="Y80" s="123">
        <f>'22'!K80</f>
        <v>18000</v>
      </c>
      <c r="Z80" s="123">
        <f>'23'!K80</f>
        <v>18000</v>
      </c>
      <c r="AA80" s="123">
        <f>'24'!K80</f>
        <v>18000</v>
      </c>
      <c r="AB80" s="123">
        <f>'25'!K80</f>
        <v>18000</v>
      </c>
      <c r="AC80" s="123">
        <f>'26'!K80</f>
        <v>18000</v>
      </c>
      <c r="AD80" s="123">
        <f>'27'!K80</f>
        <v>18000</v>
      </c>
      <c r="AE80" s="123">
        <f>'28'!K80</f>
        <v>18000</v>
      </c>
      <c r="AF80" s="123">
        <f>'29'!K80</f>
        <v>18000</v>
      </c>
      <c r="AG80" s="123">
        <f>'30'!K80</f>
        <v>18000</v>
      </c>
      <c r="AH80" s="123">
        <f>'31'!K80</f>
        <v>18000</v>
      </c>
      <c r="AI80" s="123"/>
      <c r="AJ80" s="123">
        <f t="shared" si="1"/>
        <v>0</v>
      </c>
      <c r="AK80" s="56">
        <f t="shared" si="2"/>
        <v>18000</v>
      </c>
    </row>
    <row r="81" ht="15.75" customHeight="1"/>
    <row r="82" ht="15.75" customHeight="1">
      <c r="B82" s="183" t="s">
        <v>120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AJ1"/>
    <mergeCell ref="A2:AJ2"/>
    <mergeCell ref="A3:AJ3"/>
    <mergeCell ref="B4:B6"/>
    <mergeCell ref="C4:C6"/>
    <mergeCell ref="AI4:AI6"/>
    <mergeCell ref="AJ4:AJ6"/>
    <mergeCell ref="A32:A34"/>
    <mergeCell ref="A35:A37"/>
    <mergeCell ref="A38:A40"/>
    <mergeCell ref="A44:A45"/>
    <mergeCell ref="A46:A47"/>
    <mergeCell ref="A48:A52"/>
    <mergeCell ref="A55:A58"/>
    <mergeCell ref="A61:A65"/>
    <mergeCell ref="A4:A6"/>
    <mergeCell ref="A7:A12"/>
    <mergeCell ref="A13:A15"/>
    <mergeCell ref="A16:A17"/>
    <mergeCell ref="A18:A19"/>
    <mergeCell ref="A20:A24"/>
    <mergeCell ref="A25:A31"/>
  </mergeCells>
  <printOptions/>
  <pageMargins bottom="0.25" footer="0.0" header="0.0" left="0.7" right="0.7" top="0.25"/>
  <pageSetup paperSize="5" scale="4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3.0"/>
    <col customWidth="1" min="3" max="15" width="9.14"/>
    <col customWidth="1" min="16" max="33" width="8.86"/>
  </cols>
  <sheetData>
    <row r="1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>
      <c r="A2" s="151"/>
      <c r="B2" s="152"/>
      <c r="C2" s="153">
        <v>1.0</v>
      </c>
      <c r="D2" s="153">
        <v>2.0</v>
      </c>
      <c r="E2" s="153">
        <v>3.0</v>
      </c>
      <c r="F2" s="153">
        <v>4.0</v>
      </c>
      <c r="G2" s="153">
        <v>5.0</v>
      </c>
      <c r="H2" s="153">
        <v>6.0</v>
      </c>
      <c r="I2" s="153">
        <v>7.0</v>
      </c>
      <c r="J2" s="153">
        <v>8.0</v>
      </c>
      <c r="K2" s="153">
        <v>9.0</v>
      </c>
      <c r="L2" s="153">
        <v>10.0</v>
      </c>
      <c r="M2" s="153">
        <v>11.0</v>
      </c>
      <c r="N2" s="153">
        <v>12.0</v>
      </c>
      <c r="O2" s="153">
        <v>13.0</v>
      </c>
      <c r="P2" s="153">
        <v>14.0</v>
      </c>
      <c r="Q2" s="153">
        <v>15.0</v>
      </c>
      <c r="R2" s="153">
        <v>16.0</v>
      </c>
      <c r="S2" s="153">
        <v>17.0</v>
      </c>
      <c r="T2" s="153">
        <v>18.0</v>
      </c>
      <c r="U2" s="153">
        <v>19.0</v>
      </c>
      <c r="V2" s="153">
        <v>20.0</v>
      </c>
      <c r="W2" s="153">
        <v>21.0</v>
      </c>
      <c r="X2" s="153">
        <v>22.0</v>
      </c>
      <c r="Y2" s="153">
        <v>23.0</v>
      </c>
      <c r="Z2" s="153">
        <v>24.0</v>
      </c>
      <c r="AA2" s="153">
        <v>25.0</v>
      </c>
      <c r="AB2" s="153">
        <v>26.0</v>
      </c>
      <c r="AC2" s="153">
        <v>27.0</v>
      </c>
      <c r="AD2" s="153">
        <v>28.0</v>
      </c>
      <c r="AE2" s="153">
        <v>29.0</v>
      </c>
      <c r="AF2" s="153">
        <v>30.0</v>
      </c>
      <c r="AG2" s="154">
        <v>31.0</v>
      </c>
    </row>
    <row r="3">
      <c r="A3" s="155" t="s">
        <v>22</v>
      </c>
      <c r="B3" s="156" t="s">
        <v>23</v>
      </c>
      <c r="C3" s="157">
        <f>'1'!K8</f>
        <v>12471.42857</v>
      </c>
      <c r="D3" s="157">
        <f>'2'!K8</f>
        <v>12471.42857</v>
      </c>
      <c r="E3" s="157">
        <f>'3'!K8</f>
        <v>12471.42857</v>
      </c>
      <c r="F3" s="157">
        <f>'4'!K8</f>
        <v>12471.42857</v>
      </c>
      <c r="G3" s="157">
        <f>'5'!K8</f>
        <v>12471.42857</v>
      </c>
      <c r="H3" s="157">
        <f>'6'!K8</f>
        <v>12471.42857</v>
      </c>
      <c r="I3" s="157">
        <f>'7'!K8</f>
        <v>12471.42857</v>
      </c>
      <c r="J3" s="157">
        <f>'8'!K8</f>
        <v>12471.42857</v>
      </c>
      <c r="K3" s="157">
        <f>'9'!K8</f>
        <v>12471.42857</v>
      </c>
      <c r="L3" s="157">
        <f>'10'!K8</f>
        <v>12471.42857</v>
      </c>
      <c r="M3" s="157">
        <f>'11'!K8</f>
        <v>12471.42857</v>
      </c>
      <c r="N3" s="157">
        <f>'12'!K8</f>
        <v>12471.42857</v>
      </c>
      <c r="O3" s="157">
        <f>'13'!K8</f>
        <v>12471.42857</v>
      </c>
      <c r="P3" s="157">
        <f>'14'!K8</f>
        <v>12471.42857</v>
      </c>
      <c r="Q3" s="157">
        <f>'15'!K8</f>
        <v>12471.42857</v>
      </c>
      <c r="R3" s="157">
        <f>'16'!K8</f>
        <v>12471.42857</v>
      </c>
      <c r="S3" s="157">
        <f>'17'!K8</f>
        <v>12471.42857</v>
      </c>
      <c r="T3" s="157">
        <f>'18'!K8</f>
        <v>12471.42857</v>
      </c>
      <c r="U3" s="157">
        <f>'19'!K8</f>
        <v>12471.42857</v>
      </c>
      <c r="V3" s="157">
        <f>'20'!K8</f>
        <v>12542.85714</v>
      </c>
      <c r="W3" s="157">
        <f>'21'!K8</f>
        <v>12542.85714</v>
      </c>
      <c r="X3" s="157">
        <f>'22'!K8</f>
        <v>12542.85714</v>
      </c>
      <c r="Y3" s="157">
        <f>'23'!K8</f>
        <v>12542.85714</v>
      </c>
      <c r="Z3" s="157">
        <f>'24'!K8</f>
        <v>12542.85714</v>
      </c>
      <c r="AA3" s="157">
        <f>'25'!K8</f>
        <v>12542.85714</v>
      </c>
      <c r="AB3" s="157">
        <f>'26'!K8</f>
        <v>12542.85714</v>
      </c>
      <c r="AC3" s="157">
        <f>'27'!K8</f>
        <v>12542.85714</v>
      </c>
      <c r="AD3" s="157">
        <f>'28'!K8</f>
        <v>12542.85714</v>
      </c>
      <c r="AE3" s="157">
        <f>'29'!K8</f>
        <v>12542.85714</v>
      </c>
      <c r="AF3" s="157">
        <f>'30'!K8</f>
        <v>12542.85714</v>
      </c>
      <c r="AG3" s="157">
        <f>'31'!K8</f>
        <v>12542.85714</v>
      </c>
    </row>
    <row r="4">
      <c r="A4" s="155" t="s">
        <v>24</v>
      </c>
      <c r="B4" s="156" t="s">
        <v>23</v>
      </c>
      <c r="C4" s="157">
        <f>'1'!K9</f>
        <v>11285.71429</v>
      </c>
      <c r="D4" s="157">
        <f>'2'!K9</f>
        <v>11285.71429</v>
      </c>
      <c r="E4" s="157">
        <f>'3'!K9</f>
        <v>11285.71429</v>
      </c>
      <c r="F4" s="157">
        <f>'4'!K9</f>
        <v>11285.71429</v>
      </c>
      <c r="G4" s="157">
        <f>'5'!K9</f>
        <v>11285.71429</v>
      </c>
      <c r="H4" s="157">
        <f>'6'!K9</f>
        <v>11357.14286</v>
      </c>
      <c r="I4" s="157">
        <f>'7'!K9</f>
        <v>11357.14286</v>
      </c>
      <c r="J4" s="157">
        <f>'8'!K9</f>
        <v>11357.14286</v>
      </c>
      <c r="K4" s="157">
        <f>'9'!K9</f>
        <v>11357.14286</v>
      </c>
      <c r="L4" s="157">
        <f>'10'!K9</f>
        <v>11357.14286</v>
      </c>
      <c r="M4" s="157">
        <f>'11'!K9</f>
        <v>11357.14286</v>
      </c>
      <c r="N4" s="157">
        <f>'12'!K9</f>
        <v>11357.14286</v>
      </c>
      <c r="O4" s="157">
        <f>'13'!K9</f>
        <v>11357.14286</v>
      </c>
      <c r="P4" s="157">
        <f>'14'!K9</f>
        <v>11357.14286</v>
      </c>
      <c r="Q4" s="157">
        <f>'15'!K9</f>
        <v>11357.14286</v>
      </c>
      <c r="R4" s="157">
        <f>'16'!K9</f>
        <v>11357.14286</v>
      </c>
      <c r="S4" s="157">
        <f>'17'!K9</f>
        <v>11357.14286</v>
      </c>
      <c r="T4" s="157">
        <f>'18'!K9</f>
        <v>11357.14286</v>
      </c>
      <c r="U4" s="157">
        <f>'19'!K9</f>
        <v>11357.14286</v>
      </c>
      <c r="V4" s="157">
        <f>'20'!K9</f>
        <v>11357.14286</v>
      </c>
      <c r="W4" s="157">
        <f>'21'!K9</f>
        <v>11357.14286</v>
      </c>
      <c r="X4" s="157">
        <f>'22'!K9</f>
        <v>11357.14286</v>
      </c>
      <c r="Y4" s="157">
        <f>'23'!K9</f>
        <v>11357.14286</v>
      </c>
      <c r="Z4" s="157">
        <f>'24'!K9</f>
        <v>11357.14286</v>
      </c>
      <c r="AA4" s="157">
        <f>'25'!K9</f>
        <v>11357.14286</v>
      </c>
      <c r="AB4" s="157">
        <f>'26'!K9</f>
        <v>11357.14286</v>
      </c>
      <c r="AC4" s="157">
        <f>'27'!K9</f>
        <v>11357.14286</v>
      </c>
      <c r="AD4" s="157">
        <f>'28'!K9</f>
        <v>11357.14286</v>
      </c>
      <c r="AE4" s="157">
        <f>'29'!K9</f>
        <v>11357.14286</v>
      </c>
      <c r="AF4" s="157">
        <f>'30'!K9</f>
        <v>11357.14286</v>
      </c>
      <c r="AG4" s="157">
        <f>'31'!K9</f>
        <v>11357.14286</v>
      </c>
    </row>
    <row r="5">
      <c r="A5" s="155" t="s">
        <v>25</v>
      </c>
      <c r="B5" s="156" t="s">
        <v>23</v>
      </c>
      <c r="C5" s="157">
        <f>'1'!K10</f>
        <v>10325</v>
      </c>
      <c r="D5" s="157">
        <f>'2'!K10</f>
        <v>10325</v>
      </c>
      <c r="E5" s="157">
        <f>'3'!K10</f>
        <v>10325</v>
      </c>
      <c r="F5" s="157">
        <f>'4'!K10</f>
        <v>10325</v>
      </c>
      <c r="G5" s="157">
        <f>'5'!K10</f>
        <v>10325</v>
      </c>
      <c r="H5" s="157">
        <f>'6'!K10</f>
        <v>10491.66667</v>
      </c>
      <c r="I5" s="157">
        <f>'7'!K10</f>
        <v>10491.66667</v>
      </c>
      <c r="J5" s="157">
        <f>'8'!K10</f>
        <v>10491.66667</v>
      </c>
      <c r="K5" s="157">
        <f>'9'!K10</f>
        <v>10491.66667</v>
      </c>
      <c r="L5" s="157">
        <f>'10'!K10</f>
        <v>10491.66667</v>
      </c>
      <c r="M5" s="157">
        <f>'11'!K10</f>
        <v>10491.66667</v>
      </c>
      <c r="N5" s="157">
        <f>'12'!K10</f>
        <v>10491.66667</v>
      </c>
      <c r="O5" s="157">
        <f>'13'!K10</f>
        <v>10491.66667</v>
      </c>
      <c r="P5" s="157">
        <f>'14'!K10</f>
        <v>10491.66667</v>
      </c>
      <c r="Q5" s="157">
        <f>'15'!K10</f>
        <v>10491.66667</v>
      </c>
      <c r="R5" s="157">
        <f>'16'!K10</f>
        <v>10491.66667</v>
      </c>
      <c r="S5" s="157">
        <f>'17'!K10</f>
        <v>10491.66667</v>
      </c>
      <c r="T5" s="157">
        <f>'18'!K10</f>
        <v>10491.66667</v>
      </c>
      <c r="U5" s="157">
        <f>'19'!K10</f>
        <v>10491.66667</v>
      </c>
      <c r="V5" s="157">
        <f>'20'!K10</f>
        <v>10491.66667</v>
      </c>
      <c r="W5" s="157">
        <f>'21'!K10</f>
        <v>10491.66667</v>
      </c>
      <c r="X5" s="157">
        <f>'22'!K10</f>
        <v>10491.66667</v>
      </c>
      <c r="Y5" s="157">
        <f>'23'!K10</f>
        <v>10491.66667</v>
      </c>
      <c r="Z5" s="157">
        <f>'24'!K10</f>
        <v>10491.66667</v>
      </c>
      <c r="AA5" s="157">
        <f>'25'!K10</f>
        <v>10491.66667</v>
      </c>
      <c r="AB5" s="157">
        <f>'26'!K10</f>
        <v>10491.66667</v>
      </c>
      <c r="AC5" s="157">
        <f>'27'!K10</f>
        <v>10491.66667</v>
      </c>
      <c r="AD5" s="157">
        <f>'28'!K10</f>
        <v>10491.66667</v>
      </c>
      <c r="AE5" s="157">
        <f>'29'!K10</f>
        <v>10491.66667</v>
      </c>
      <c r="AF5" s="157">
        <f>'30'!K10</f>
        <v>10491.66667</v>
      </c>
      <c r="AG5" s="157">
        <f>'31'!K10</f>
        <v>10491.66667</v>
      </c>
    </row>
    <row r="6">
      <c r="A6" s="159"/>
      <c r="B6" s="160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</row>
    <row r="7">
      <c r="A7" s="162"/>
      <c r="B7" s="163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</row>
    <row r="8">
      <c r="A8" s="162"/>
      <c r="B8" s="163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</row>
    <row r="9">
      <c r="A9" s="162"/>
      <c r="B9" s="163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</row>
    <row r="10">
      <c r="A10" s="162"/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</row>
    <row r="11">
      <c r="A11" s="162"/>
      <c r="B11" s="163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</row>
    <row r="12">
      <c r="A12" s="162"/>
      <c r="B12" s="163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</row>
    <row r="13">
      <c r="A13" s="162"/>
      <c r="B13" s="163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</row>
    <row r="14">
      <c r="A14" s="162"/>
      <c r="B14" s="163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</row>
    <row r="15">
      <c r="A15" s="162"/>
      <c r="B15" s="163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</row>
    <row r="16">
      <c r="A16" s="162"/>
      <c r="B16" s="163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</row>
    <row r="17">
      <c r="A17" s="162"/>
      <c r="B17" s="163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</row>
    <row r="18">
      <c r="A18" s="162"/>
      <c r="B18" s="163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</row>
    <row r="19">
      <c r="A19" s="162"/>
      <c r="B19" s="163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</row>
    <row r="20">
      <c r="A20" s="162"/>
      <c r="B20" s="163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</row>
    <row r="21" ht="15.75" customHeight="1">
      <c r="A21" s="162"/>
      <c r="B21" s="163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</row>
    <row r="22" ht="15.75" customHeight="1">
      <c r="A22" s="162"/>
      <c r="B22" s="163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</row>
    <row r="23" ht="15.75" customHeight="1">
      <c r="A23" s="165"/>
      <c r="B23" s="166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</row>
    <row r="24" ht="15.75" customHeight="1">
      <c r="A24" s="168"/>
      <c r="B24" s="169"/>
      <c r="C24" s="154">
        <v>1.0</v>
      </c>
      <c r="D24" s="154">
        <v>2.0</v>
      </c>
      <c r="E24" s="154">
        <v>3.0</v>
      </c>
      <c r="F24" s="154">
        <v>4.0</v>
      </c>
      <c r="G24" s="154">
        <v>5.0</v>
      </c>
      <c r="H24" s="154">
        <v>6.0</v>
      </c>
      <c r="I24" s="154">
        <v>7.0</v>
      </c>
      <c r="J24" s="154">
        <v>8.0</v>
      </c>
      <c r="K24" s="154">
        <v>9.0</v>
      </c>
      <c r="L24" s="154">
        <v>10.0</v>
      </c>
      <c r="M24" s="154">
        <v>11.0</v>
      </c>
      <c r="N24" s="154">
        <v>12.0</v>
      </c>
      <c r="O24" s="154">
        <v>13.0</v>
      </c>
      <c r="P24" s="154">
        <v>14.0</v>
      </c>
      <c r="Q24" s="154">
        <v>15.0</v>
      </c>
      <c r="R24" s="154">
        <v>16.0</v>
      </c>
      <c r="S24" s="154">
        <v>17.0</v>
      </c>
      <c r="T24" s="154">
        <v>18.0</v>
      </c>
      <c r="U24" s="154">
        <v>19.0</v>
      </c>
      <c r="V24" s="154">
        <v>20.0</v>
      </c>
      <c r="W24" s="154">
        <v>21.0</v>
      </c>
      <c r="X24" s="154">
        <v>22.0</v>
      </c>
      <c r="Y24" s="154">
        <v>23.0</v>
      </c>
      <c r="Z24" s="154">
        <v>24.0</v>
      </c>
      <c r="AA24" s="154">
        <v>25.0</v>
      </c>
      <c r="AB24" s="154">
        <v>26.0</v>
      </c>
      <c r="AC24" s="154">
        <v>27.0</v>
      </c>
      <c r="AD24" s="154">
        <v>28.0</v>
      </c>
      <c r="AE24" s="154">
        <v>29.0</v>
      </c>
      <c r="AF24" s="154">
        <v>30.0</v>
      </c>
      <c r="AG24" s="154">
        <v>31.0</v>
      </c>
    </row>
    <row r="25" ht="15.75" customHeight="1">
      <c r="A25" s="170" t="s">
        <v>30</v>
      </c>
      <c r="B25" s="156" t="s">
        <v>23</v>
      </c>
      <c r="C25" s="157">
        <f>'1'!K14</f>
        <v>13142.85714</v>
      </c>
      <c r="D25" s="157">
        <f>'2'!K14</f>
        <v>13142.85714</v>
      </c>
      <c r="E25" s="157">
        <f>'3'!K14</f>
        <v>13142.85714</v>
      </c>
      <c r="F25" s="157">
        <f>'4'!K14</f>
        <v>13142.85714</v>
      </c>
      <c r="G25" s="157">
        <f>'5'!K14</f>
        <v>13142.85714</v>
      </c>
      <c r="H25" s="157">
        <f>'6'!K14</f>
        <v>13142.85714</v>
      </c>
      <c r="I25" s="157">
        <f>'7'!K14</f>
        <v>13142.85714</v>
      </c>
      <c r="J25" s="157">
        <f>'8'!K14</f>
        <v>13142.85714</v>
      </c>
      <c r="K25" s="157">
        <f>'9'!K14</f>
        <v>13142.85714</v>
      </c>
      <c r="L25" s="157">
        <f>'10'!K14</f>
        <v>13142.85714</v>
      </c>
      <c r="M25" s="157">
        <f>'11'!K14</f>
        <v>13142.85714</v>
      </c>
      <c r="N25" s="157">
        <f>'12'!K14</f>
        <v>13142.85714</v>
      </c>
      <c r="O25" s="157">
        <f>'13'!K14</f>
        <v>13142.85714</v>
      </c>
      <c r="P25" s="157">
        <f>'14'!K14</f>
        <v>13142.85714</v>
      </c>
      <c r="Q25" s="157">
        <f>'15'!K14</f>
        <v>13142.85714</v>
      </c>
      <c r="R25" s="157">
        <f>'16'!K14</f>
        <v>13142.85714</v>
      </c>
      <c r="S25" s="157">
        <f>'17'!K14</f>
        <v>13142.85714</v>
      </c>
      <c r="T25" s="157">
        <f>'18'!K14</f>
        <v>13142.85714</v>
      </c>
      <c r="U25" s="157">
        <f>'19'!K14</f>
        <v>13142.85714</v>
      </c>
      <c r="V25" s="157">
        <f>'20'!K14</f>
        <v>13142.85714</v>
      </c>
      <c r="W25" s="157">
        <f>'21'!K14</f>
        <v>13142.85714</v>
      </c>
      <c r="X25" s="157">
        <f>'22'!K14</f>
        <v>13142.85714</v>
      </c>
      <c r="Y25" s="157">
        <f>'23'!K14</f>
        <v>13142.85714</v>
      </c>
      <c r="Z25" s="157">
        <f>'24'!K14</f>
        <v>13142.85714</v>
      </c>
      <c r="AA25" s="157">
        <f>'25'!K14</f>
        <v>13142.85714</v>
      </c>
      <c r="AB25" s="157">
        <f>'26'!K14</f>
        <v>13142.85714</v>
      </c>
      <c r="AC25" s="157">
        <f>'27'!K14</f>
        <v>13142.85714</v>
      </c>
      <c r="AD25" s="157">
        <f>'28'!K14</f>
        <v>13142.85714</v>
      </c>
      <c r="AE25" s="157">
        <f>'29'!K14</f>
        <v>13142.85714</v>
      </c>
      <c r="AF25" s="157">
        <f>'30'!K14</f>
        <v>13142.85714</v>
      </c>
      <c r="AG25" s="157">
        <f>'31'!K14</f>
        <v>13142.85714</v>
      </c>
    </row>
    <row r="26" ht="15.75" customHeight="1">
      <c r="A26" s="171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</row>
    <row r="27" ht="15.75" customHeight="1">
      <c r="A27" s="172"/>
      <c r="B27" s="163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</row>
    <row r="28" ht="15.75" customHeight="1">
      <c r="A28" s="172"/>
      <c r="B28" s="163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</row>
    <row r="29" ht="15.75" customHeight="1">
      <c r="A29" s="172"/>
      <c r="B29" s="163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</row>
    <row r="30" ht="15.75" customHeight="1">
      <c r="A30" s="172"/>
      <c r="B30" s="163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</row>
    <row r="31" ht="15.75" customHeight="1">
      <c r="A31" s="172"/>
      <c r="B31" s="163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</row>
    <row r="32" ht="15.75" customHeight="1">
      <c r="A32" s="172"/>
      <c r="B32" s="163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</row>
    <row r="33" ht="15.75" customHeight="1">
      <c r="A33" s="172"/>
      <c r="B33" s="163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</row>
    <row r="34" ht="15.75" customHeight="1">
      <c r="A34" s="172"/>
      <c r="B34" s="163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</row>
    <row r="35" ht="15.75" customHeight="1">
      <c r="A35" s="172"/>
      <c r="B35" s="163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</row>
    <row r="36" ht="15.75" customHeight="1">
      <c r="A36" s="172"/>
      <c r="B36" s="163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</row>
    <row r="37" ht="15.75" customHeight="1">
      <c r="A37" s="172"/>
      <c r="B37" s="16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</row>
    <row r="38" ht="15.75" customHeight="1">
      <c r="A38" s="172"/>
      <c r="B38" s="163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</row>
    <row r="39" ht="15.75" customHeight="1">
      <c r="A39" s="172"/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</row>
    <row r="40" ht="15.75" customHeight="1">
      <c r="A40" s="172"/>
      <c r="B40" s="163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</row>
    <row r="41" ht="15.75" customHeight="1">
      <c r="A41" s="172"/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</row>
    <row r="42" ht="15.75" customHeight="1">
      <c r="A42" s="172"/>
      <c r="B42" s="163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</row>
    <row r="43" ht="15.75" customHeight="1">
      <c r="A43" s="172"/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</row>
    <row r="44" ht="15.75" customHeight="1">
      <c r="A44" s="172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</row>
    <row r="45" ht="15.75" customHeight="1">
      <c r="A45" s="175"/>
      <c r="B45" s="166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</row>
    <row r="46" ht="15.75" customHeight="1">
      <c r="A46" s="168"/>
      <c r="B46" s="169"/>
      <c r="C46" s="154">
        <v>1.0</v>
      </c>
      <c r="D46" s="154">
        <v>2.0</v>
      </c>
      <c r="E46" s="154">
        <v>3.0</v>
      </c>
      <c r="F46" s="154">
        <v>4.0</v>
      </c>
      <c r="G46" s="154">
        <v>5.0</v>
      </c>
      <c r="H46" s="154">
        <v>6.0</v>
      </c>
      <c r="I46" s="154">
        <v>7.0</v>
      </c>
      <c r="J46" s="154">
        <v>8.0</v>
      </c>
      <c r="K46" s="154">
        <v>9.0</v>
      </c>
      <c r="L46" s="154">
        <v>10.0</v>
      </c>
      <c r="M46" s="154">
        <v>11.0</v>
      </c>
      <c r="N46" s="154">
        <v>12.0</v>
      </c>
      <c r="O46" s="154">
        <v>13.0</v>
      </c>
      <c r="P46" s="154">
        <v>14.0</v>
      </c>
      <c r="Q46" s="154">
        <v>15.0</v>
      </c>
      <c r="R46" s="154">
        <v>16.0</v>
      </c>
      <c r="S46" s="154">
        <v>17.0</v>
      </c>
      <c r="T46" s="154">
        <v>18.0</v>
      </c>
      <c r="U46" s="154">
        <v>19.0</v>
      </c>
      <c r="V46" s="154">
        <v>20.0</v>
      </c>
      <c r="W46" s="154">
        <v>21.0</v>
      </c>
      <c r="X46" s="154">
        <v>22.0</v>
      </c>
      <c r="Y46" s="154">
        <v>23.0</v>
      </c>
      <c r="Z46" s="154">
        <v>24.0</v>
      </c>
      <c r="AA46" s="154">
        <v>25.0</v>
      </c>
      <c r="AB46" s="154">
        <v>26.0</v>
      </c>
      <c r="AC46" s="154">
        <v>27.0</v>
      </c>
      <c r="AD46" s="154">
        <v>28.0</v>
      </c>
      <c r="AE46" s="154">
        <v>29.0</v>
      </c>
      <c r="AF46" s="154">
        <v>30.0</v>
      </c>
      <c r="AG46" s="154">
        <v>31.0</v>
      </c>
    </row>
    <row r="47" ht="15.75" customHeight="1">
      <c r="A47" s="176" t="s">
        <v>33</v>
      </c>
      <c r="B47" s="156" t="s">
        <v>23</v>
      </c>
      <c r="C47" s="157">
        <f>'1'!K17</f>
        <v>16571.42857</v>
      </c>
      <c r="D47" s="157">
        <f>'2'!K17</f>
        <v>16571.42857</v>
      </c>
      <c r="E47" s="157">
        <f>'3'!K17</f>
        <v>16571.42857</v>
      </c>
      <c r="F47" s="157">
        <f>'4'!K17</f>
        <v>16571.42857</v>
      </c>
      <c r="G47" s="157">
        <f>'5'!K17</f>
        <v>16571.42857</v>
      </c>
      <c r="H47" s="157">
        <f>'6'!K17</f>
        <v>16428.57143</v>
      </c>
      <c r="I47" s="157">
        <f>'7'!K17</f>
        <v>16428.57143</v>
      </c>
      <c r="J47" s="157">
        <f>'8'!K17</f>
        <v>16428.57143</v>
      </c>
      <c r="K47" s="157">
        <f>'9'!K17</f>
        <v>16285.71429</v>
      </c>
      <c r="L47" s="157">
        <f>'10'!K17</f>
        <v>16285.71429</v>
      </c>
      <c r="M47" s="157">
        <f>'11'!K17</f>
        <v>16285.71429</v>
      </c>
      <c r="N47" s="157">
        <f>'12'!K17</f>
        <v>16285.71429</v>
      </c>
      <c r="O47" s="157">
        <f>'13'!K17</f>
        <v>16285.71429</v>
      </c>
      <c r="P47" s="157">
        <f>'14'!K17</f>
        <v>16285.71429</v>
      </c>
      <c r="Q47" s="157">
        <f>'15'!K17</f>
        <v>16285.71429</v>
      </c>
      <c r="R47" s="157">
        <f>'16'!K17</f>
        <v>16285.71429</v>
      </c>
      <c r="S47" s="157">
        <f>'17'!K17</f>
        <v>16285.71429</v>
      </c>
      <c r="T47" s="157">
        <f>'18'!K17</f>
        <v>16285.71429</v>
      </c>
      <c r="U47" s="157">
        <f>'19'!K17</f>
        <v>16285.71429</v>
      </c>
      <c r="V47" s="157">
        <f>'20'!K17</f>
        <v>16285.71429</v>
      </c>
      <c r="W47" s="157">
        <f>'21'!K17</f>
        <v>16285.71429</v>
      </c>
      <c r="X47" s="157">
        <f>'22'!K17</f>
        <v>16285.71429</v>
      </c>
      <c r="Y47" s="157">
        <f>'23'!K17</f>
        <v>16285.71429</v>
      </c>
      <c r="Z47" s="157">
        <f>'24'!K17</f>
        <v>16285.71429</v>
      </c>
      <c r="AA47" s="157">
        <f>'25'!K17</f>
        <v>16285.71429</v>
      </c>
      <c r="AB47" s="157">
        <f>'26'!K17</f>
        <v>16285.71429</v>
      </c>
      <c r="AC47" s="157">
        <f>'27'!K17</f>
        <v>16285.71429</v>
      </c>
      <c r="AD47" s="157">
        <f>'28'!K17</f>
        <v>16285.71429</v>
      </c>
      <c r="AE47" s="157">
        <f>'29'!K17</f>
        <v>16285.71429</v>
      </c>
      <c r="AF47" s="157">
        <f>'30'!K17</f>
        <v>16285.71429</v>
      </c>
      <c r="AG47" s="157">
        <f>'31'!K17</f>
        <v>16285.71429</v>
      </c>
    </row>
    <row r="48" ht="15.75" customHeight="1">
      <c r="A48" s="178"/>
      <c r="B48" s="178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</row>
    <row r="49" ht="15.75" customHeight="1">
      <c r="A49" s="179"/>
      <c r="B49" s="179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</row>
    <row r="50" ht="15.75" customHeight="1">
      <c r="A50" s="179"/>
      <c r="B50" s="179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</row>
    <row r="51" ht="15.75" customHeight="1">
      <c r="A51" s="179"/>
      <c r="B51" s="179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</row>
    <row r="52" ht="15.75" customHeight="1">
      <c r="A52" s="179"/>
      <c r="B52" s="179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</row>
    <row r="53" ht="15.75" customHeight="1">
      <c r="A53" s="179"/>
      <c r="B53" s="179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</row>
    <row r="54" ht="15.75" customHeight="1">
      <c r="A54" s="179"/>
      <c r="B54" s="179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</row>
    <row r="55" ht="15.75" customHeight="1">
      <c r="A55" s="179"/>
      <c r="B55" s="179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</row>
    <row r="56" ht="15.75" customHeight="1">
      <c r="A56" s="179"/>
      <c r="B56" s="179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</row>
    <row r="57" ht="15.75" customHeight="1">
      <c r="A57" s="179"/>
      <c r="B57" s="179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</row>
    <row r="58" ht="15.75" customHeight="1">
      <c r="A58" s="179"/>
      <c r="B58" s="179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</row>
    <row r="59" ht="15.75" customHeight="1">
      <c r="A59" s="179"/>
      <c r="B59" s="179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</row>
    <row r="60" ht="15.75" customHeight="1">
      <c r="A60" s="179"/>
      <c r="B60" s="179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</row>
    <row r="61" ht="15.75" customHeight="1">
      <c r="A61" s="179"/>
      <c r="B61" s="179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</row>
    <row r="62" ht="15.75" customHeight="1">
      <c r="A62" s="179"/>
      <c r="B62" s="179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</row>
    <row r="63" ht="15.75" customHeight="1">
      <c r="A63" s="179"/>
      <c r="B63" s="179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</row>
    <row r="64" ht="15.75" customHeight="1">
      <c r="A64" s="179"/>
      <c r="B64" s="179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</row>
    <row r="65" ht="15.75" customHeight="1">
      <c r="A65" s="179"/>
      <c r="B65" s="179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</row>
    <row r="66" ht="15.75" customHeight="1">
      <c r="A66" s="179"/>
      <c r="B66" s="179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</row>
    <row r="67" ht="15.75" customHeight="1">
      <c r="A67" s="179"/>
      <c r="B67" s="179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</row>
    <row r="68" ht="15.75" customHeight="1">
      <c r="A68" s="179"/>
      <c r="B68" s="179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</row>
    <row r="69" ht="15.75" customHeight="1">
      <c r="A69" s="179"/>
      <c r="B69" s="179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</row>
    <row r="70" ht="15.75" customHeight="1">
      <c r="A70" s="179"/>
      <c r="B70" s="179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</row>
    <row r="71" ht="15.75" customHeight="1">
      <c r="A71" s="179"/>
      <c r="B71" s="179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</row>
    <row r="72" ht="15.75" customHeight="1">
      <c r="A72" s="179"/>
      <c r="B72" s="179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</row>
    <row r="73" ht="15.75" customHeight="1">
      <c r="A73" s="179"/>
      <c r="B73" s="179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</row>
    <row r="74" ht="15.75" customHeight="1">
      <c r="A74" s="175"/>
      <c r="B74" s="166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</row>
    <row r="75" ht="15.75" customHeight="1">
      <c r="A75" s="168"/>
      <c r="B75" s="169"/>
      <c r="C75" s="154">
        <v>1.0</v>
      </c>
      <c r="D75" s="154">
        <v>2.0</v>
      </c>
      <c r="E75" s="154">
        <v>3.0</v>
      </c>
      <c r="F75" s="154">
        <v>4.0</v>
      </c>
      <c r="G75" s="154">
        <v>5.0</v>
      </c>
      <c r="H75" s="154">
        <v>6.0</v>
      </c>
      <c r="I75" s="154">
        <v>7.0</v>
      </c>
      <c r="J75" s="154">
        <v>8.0</v>
      </c>
      <c r="K75" s="154">
        <v>9.0</v>
      </c>
      <c r="L75" s="154">
        <v>10.0</v>
      </c>
      <c r="M75" s="154">
        <v>11.0</v>
      </c>
      <c r="N75" s="154">
        <v>12.0</v>
      </c>
      <c r="O75" s="154">
        <v>13.0</v>
      </c>
      <c r="P75" s="154">
        <v>14.0</v>
      </c>
      <c r="Q75" s="154">
        <v>15.0</v>
      </c>
      <c r="R75" s="154">
        <v>16.0</v>
      </c>
      <c r="S75" s="154">
        <v>17.0</v>
      </c>
      <c r="T75" s="154">
        <v>18.0</v>
      </c>
      <c r="U75" s="154">
        <v>19.0</v>
      </c>
      <c r="V75" s="154">
        <v>20.0</v>
      </c>
      <c r="W75" s="154">
        <v>21.0</v>
      </c>
      <c r="X75" s="154">
        <v>22.0</v>
      </c>
      <c r="Y75" s="154">
        <v>23.0</v>
      </c>
      <c r="Z75" s="154">
        <v>24.0</v>
      </c>
      <c r="AA75" s="154">
        <v>25.0</v>
      </c>
      <c r="AB75" s="154">
        <v>26.0</v>
      </c>
      <c r="AC75" s="154">
        <v>27.0</v>
      </c>
      <c r="AD75" s="154">
        <v>28.0</v>
      </c>
      <c r="AE75" s="154">
        <v>29.0</v>
      </c>
      <c r="AF75" s="154">
        <v>30.0</v>
      </c>
      <c r="AG75" s="154">
        <v>31.0</v>
      </c>
    </row>
    <row r="76" ht="15.75" customHeight="1">
      <c r="A76" s="176" t="s">
        <v>40</v>
      </c>
      <c r="B76" s="156" t="s">
        <v>23</v>
      </c>
      <c r="C76" s="157">
        <f>'1'!K24</f>
        <v>33142.85714</v>
      </c>
      <c r="D76" s="157">
        <f>'2'!K24</f>
        <v>32142.85714</v>
      </c>
      <c r="E76" s="157">
        <f>'3'!K24</f>
        <v>31714.28571</v>
      </c>
      <c r="F76" s="157">
        <f>'4'!K24</f>
        <v>31857.14286</v>
      </c>
      <c r="G76" s="157">
        <f>'5'!K24</f>
        <v>31571.42857</v>
      </c>
      <c r="H76" s="157">
        <f>'6'!K24</f>
        <v>31142.85714</v>
      </c>
      <c r="I76" s="157">
        <f>'7'!K24</f>
        <v>30857.14286</v>
      </c>
      <c r="J76" s="157">
        <f>'8'!K24</f>
        <v>30857.14286</v>
      </c>
      <c r="K76" s="157">
        <f>'9'!K24</f>
        <v>31000</v>
      </c>
      <c r="L76" s="157">
        <f>'10'!K24</f>
        <v>31000</v>
      </c>
      <c r="M76" s="157">
        <f>'11'!K24</f>
        <v>31142.85714</v>
      </c>
      <c r="N76" s="157">
        <f>'12'!K24</f>
        <v>31142.85714</v>
      </c>
      <c r="O76" s="157">
        <f>'13'!K24</f>
        <v>31000</v>
      </c>
      <c r="P76" s="157">
        <f>'14'!K24</f>
        <v>30714.28571</v>
      </c>
      <c r="Q76" s="157">
        <f>'15'!K24</f>
        <v>30571.42857</v>
      </c>
      <c r="R76" s="157">
        <f>'16'!K24</f>
        <v>30714.28571</v>
      </c>
      <c r="S76" s="157">
        <f>'17'!K24</f>
        <v>31000</v>
      </c>
      <c r="T76" s="157">
        <f>'18'!K24</f>
        <v>30857.14286</v>
      </c>
      <c r="U76" s="157">
        <f>'19'!K24</f>
        <v>31142.85714</v>
      </c>
      <c r="V76" s="157">
        <f>'20'!K24</f>
        <v>31428.57143</v>
      </c>
      <c r="W76" s="157">
        <f>'21'!K24</f>
        <v>31285.71429</v>
      </c>
      <c r="X76" s="157">
        <f>'22'!K24</f>
        <v>31428.57143</v>
      </c>
      <c r="Y76" s="157">
        <f>'23'!K24</f>
        <v>30714.28571</v>
      </c>
      <c r="Z76" s="157">
        <f>'24'!K24</f>
        <v>30142.85714</v>
      </c>
      <c r="AA76" s="157">
        <f>'25'!K24</f>
        <v>30142.85714</v>
      </c>
      <c r="AB76" s="157">
        <f>'26'!K24</f>
        <v>29857.14286</v>
      </c>
      <c r="AC76" s="157">
        <f>'27'!K24</f>
        <v>29285.71429</v>
      </c>
      <c r="AD76" s="157">
        <f>'28'!K24</f>
        <v>29285.71429</v>
      </c>
      <c r="AE76" s="157">
        <f>'29'!K24</f>
        <v>29285.71429</v>
      </c>
      <c r="AF76" s="157">
        <f>'30'!K24</f>
        <v>29285.71429</v>
      </c>
      <c r="AG76" s="157">
        <f>'31'!K24</f>
        <v>29571.42857</v>
      </c>
    </row>
    <row r="77" ht="15.75" customHeight="1">
      <c r="A77" s="172"/>
      <c r="B77" s="163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</row>
    <row r="78" ht="15.75" customHeight="1">
      <c r="A78" s="172"/>
      <c r="B78" s="163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</row>
    <row r="79" ht="15.75" customHeight="1">
      <c r="A79" s="172"/>
      <c r="B79" s="163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</row>
    <row r="80" ht="15.75" customHeight="1">
      <c r="A80" s="172"/>
      <c r="B80" s="163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</row>
    <row r="81" ht="15.75" customHeight="1">
      <c r="A81" s="172"/>
      <c r="B81" s="163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</row>
    <row r="82" ht="15.75" customHeight="1">
      <c r="A82" s="172"/>
      <c r="B82" s="163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</row>
    <row r="83" ht="15.75" customHeight="1">
      <c r="A83" s="172"/>
      <c r="B83" s="163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</row>
    <row r="84" ht="15.75" customHeight="1">
      <c r="A84" s="172"/>
      <c r="B84" s="163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</row>
    <row r="85" ht="15.75" customHeight="1">
      <c r="A85" s="172"/>
      <c r="B85" s="163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</row>
    <row r="86" ht="15.75" customHeight="1">
      <c r="A86" s="172"/>
      <c r="B86" s="163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</row>
    <row r="87" ht="15.75" customHeight="1">
      <c r="A87" s="172"/>
      <c r="B87" s="163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</row>
    <row r="88" ht="15.75" customHeight="1">
      <c r="A88" s="172"/>
      <c r="B88" s="163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</row>
    <row r="89" ht="15.75" customHeight="1">
      <c r="A89" s="172"/>
      <c r="B89" s="163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</row>
    <row r="90" ht="15.75" customHeight="1">
      <c r="A90" s="172"/>
      <c r="B90" s="163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</row>
    <row r="91" ht="15.75" customHeight="1">
      <c r="A91" s="172"/>
      <c r="B91" s="163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</row>
    <row r="92" ht="15.75" customHeight="1">
      <c r="A92" s="172"/>
      <c r="B92" s="163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</row>
    <row r="93" ht="15.75" customHeight="1">
      <c r="A93" s="172"/>
      <c r="B93" s="163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</row>
    <row r="94" ht="15.75" customHeight="1">
      <c r="A94" s="172"/>
      <c r="B94" s="163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</row>
    <row r="95" ht="15.75" customHeight="1">
      <c r="A95" s="175"/>
      <c r="B95" s="166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</row>
    <row r="96" ht="15.75" customHeight="1">
      <c r="A96" s="168"/>
      <c r="B96" s="169"/>
      <c r="C96" s="154">
        <v>1.0</v>
      </c>
      <c r="D96" s="154">
        <v>2.0</v>
      </c>
      <c r="E96" s="154">
        <v>3.0</v>
      </c>
      <c r="F96" s="154">
        <v>4.0</v>
      </c>
      <c r="G96" s="154">
        <v>5.0</v>
      </c>
      <c r="H96" s="154">
        <v>6.0</v>
      </c>
      <c r="I96" s="154">
        <v>7.0</v>
      </c>
      <c r="J96" s="154">
        <v>8.0</v>
      </c>
      <c r="K96" s="154">
        <v>9.0</v>
      </c>
      <c r="L96" s="154">
        <v>10.0</v>
      </c>
      <c r="M96" s="154">
        <v>11.0</v>
      </c>
      <c r="N96" s="154">
        <v>12.0</v>
      </c>
      <c r="O96" s="154">
        <v>13.0</v>
      </c>
      <c r="P96" s="154">
        <v>14.0</v>
      </c>
      <c r="Q96" s="154">
        <v>15.0</v>
      </c>
      <c r="R96" s="154">
        <v>16.0</v>
      </c>
      <c r="S96" s="154">
        <v>17.0</v>
      </c>
      <c r="T96" s="154">
        <v>18.0</v>
      </c>
      <c r="U96" s="154">
        <v>19.0</v>
      </c>
      <c r="V96" s="154">
        <v>20.0</v>
      </c>
      <c r="W96" s="154">
        <v>21.0</v>
      </c>
      <c r="X96" s="154">
        <v>22.0</v>
      </c>
      <c r="Y96" s="154">
        <v>23.0</v>
      </c>
      <c r="Z96" s="154">
        <v>24.0</v>
      </c>
      <c r="AA96" s="154">
        <v>25.0</v>
      </c>
      <c r="AB96" s="154">
        <v>26.0</v>
      </c>
      <c r="AC96" s="154">
        <v>27.0</v>
      </c>
      <c r="AD96" s="154">
        <v>28.0</v>
      </c>
      <c r="AE96" s="154">
        <v>29.0</v>
      </c>
      <c r="AF96" s="154">
        <v>30.0</v>
      </c>
      <c r="AG96" s="154">
        <v>31.0</v>
      </c>
    </row>
    <row r="97" ht="15.75" customHeight="1">
      <c r="A97" s="176" t="s">
        <v>113</v>
      </c>
      <c r="B97" s="156" t="s">
        <v>23</v>
      </c>
      <c r="C97" s="157">
        <f>'1'!K33</f>
        <v>27857.14286</v>
      </c>
      <c r="D97" s="157">
        <f>'2'!K33</f>
        <v>27857.14286</v>
      </c>
      <c r="E97" s="157">
        <f>'3'!K33</f>
        <v>27714.28571</v>
      </c>
      <c r="F97" s="157">
        <f>'4'!K33</f>
        <v>28000</v>
      </c>
      <c r="G97" s="157">
        <f>'5'!K33</f>
        <v>27428.57143</v>
      </c>
      <c r="H97" s="157">
        <f>'6'!K33</f>
        <v>27285.71429</v>
      </c>
      <c r="I97" s="157">
        <f>'7'!K33</f>
        <v>27285.71429</v>
      </c>
      <c r="J97" s="157">
        <f>'8'!K33</f>
        <v>27142.85714</v>
      </c>
      <c r="K97" s="157">
        <f>'9'!K33</f>
        <v>27071.42857</v>
      </c>
      <c r="L97" s="157">
        <f>'10'!K33</f>
        <v>26928.57143</v>
      </c>
      <c r="M97" s="157">
        <f>'11'!K33</f>
        <v>26928.57143</v>
      </c>
      <c r="N97" s="157">
        <f>'12'!K33</f>
        <v>26928.57143</v>
      </c>
      <c r="O97" s="157">
        <f>'13'!K33</f>
        <v>26928.57143</v>
      </c>
      <c r="P97" s="157">
        <f>'14'!K33</f>
        <v>26928.57143</v>
      </c>
      <c r="Q97" s="157">
        <f>'15'!K33</f>
        <v>26928.57143</v>
      </c>
      <c r="R97" s="157">
        <f>'16'!K33</f>
        <v>26928.57143</v>
      </c>
      <c r="S97" s="157">
        <f>'17'!K33</f>
        <v>27071.42857</v>
      </c>
      <c r="T97" s="157">
        <f>'18'!K33</f>
        <v>27214.28571</v>
      </c>
      <c r="U97" s="157">
        <f>'19'!K33</f>
        <v>27214.28571</v>
      </c>
      <c r="V97" s="157">
        <f>'20'!K33</f>
        <v>27214.28571</v>
      </c>
      <c r="W97" s="157">
        <f>'21'!K33</f>
        <v>27214.28571</v>
      </c>
      <c r="X97" s="157">
        <f>'22'!K33</f>
        <v>27357.14286</v>
      </c>
      <c r="Y97" s="157">
        <f>'23'!K33</f>
        <v>27214.28571</v>
      </c>
      <c r="Z97" s="157">
        <f>'24'!K33</f>
        <v>27214.28571</v>
      </c>
      <c r="AA97" s="157">
        <f>'25'!K33</f>
        <v>27071.42857</v>
      </c>
      <c r="AB97" s="157">
        <f>'26'!K33</f>
        <v>27071.42857</v>
      </c>
      <c r="AC97" s="157">
        <f>'27'!K33</f>
        <v>26714.28571</v>
      </c>
      <c r="AD97" s="157">
        <f>'28'!K33</f>
        <v>26714.28571</v>
      </c>
      <c r="AE97" s="157">
        <f>'29'!K33</f>
        <v>26714.28571</v>
      </c>
      <c r="AF97" s="157">
        <f>'30'!K33</f>
        <v>26642.85714</v>
      </c>
      <c r="AG97" s="157">
        <f>'31'!K33</f>
        <v>26642.85714</v>
      </c>
    </row>
    <row r="98" ht="15.75" customHeight="1">
      <c r="A98" s="171"/>
      <c r="B98" s="160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</row>
    <row r="99" ht="15.75" customHeight="1">
      <c r="A99" s="179"/>
      <c r="B99" s="179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</row>
    <row r="100" ht="15.75" customHeight="1">
      <c r="A100" s="179"/>
      <c r="B100" s="179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</row>
    <row r="101" ht="15.75" customHeight="1">
      <c r="A101" s="179"/>
      <c r="B101" s="179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</row>
    <row r="102" ht="15.75" customHeight="1">
      <c r="A102" s="179"/>
      <c r="B102" s="179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</row>
    <row r="103" ht="15.75" customHeight="1">
      <c r="A103" s="179"/>
      <c r="B103" s="179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</row>
    <row r="104" ht="15.75" customHeight="1">
      <c r="A104" s="179"/>
      <c r="B104" s="179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</row>
    <row r="105" ht="15.75" customHeight="1">
      <c r="A105" s="179"/>
      <c r="B105" s="179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</row>
    <row r="106" ht="15.75" customHeight="1">
      <c r="A106" s="179"/>
      <c r="B106" s="179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</row>
    <row r="107" ht="15.75" customHeight="1">
      <c r="A107" s="179"/>
      <c r="B107" s="179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</row>
    <row r="108" ht="15.75" customHeight="1">
      <c r="A108" s="179"/>
      <c r="B108" s="179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</row>
    <row r="109" ht="15.75" customHeight="1">
      <c r="A109" s="179"/>
      <c r="B109" s="179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</row>
    <row r="110" ht="15.75" customHeight="1">
      <c r="A110" s="179"/>
      <c r="B110" s="179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</row>
    <row r="111" ht="15.75" customHeight="1">
      <c r="A111" s="179"/>
      <c r="B111" s="179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</row>
    <row r="112" ht="15.75" customHeight="1">
      <c r="A112" s="179"/>
      <c r="B112" s="179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</row>
    <row r="113" ht="15.75" customHeight="1">
      <c r="A113" s="179"/>
      <c r="B113" s="179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</row>
    <row r="114" ht="15.75" customHeight="1">
      <c r="A114" s="179"/>
      <c r="B114" s="179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</row>
    <row r="115" ht="15.75" customHeight="1">
      <c r="A115" s="175"/>
      <c r="B115" s="166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</row>
    <row r="116" ht="15.75" customHeight="1">
      <c r="A116" s="168"/>
      <c r="B116" s="169"/>
      <c r="C116" s="154">
        <v>1.0</v>
      </c>
      <c r="D116" s="154">
        <v>2.0</v>
      </c>
      <c r="E116" s="154">
        <v>3.0</v>
      </c>
      <c r="F116" s="154">
        <v>4.0</v>
      </c>
      <c r="G116" s="154">
        <v>5.0</v>
      </c>
      <c r="H116" s="154">
        <v>6.0</v>
      </c>
      <c r="I116" s="154">
        <v>7.0</v>
      </c>
      <c r="J116" s="154">
        <v>8.0</v>
      </c>
      <c r="K116" s="154">
        <v>9.0</v>
      </c>
      <c r="L116" s="154">
        <v>10.0</v>
      </c>
      <c r="M116" s="154">
        <v>11.0</v>
      </c>
      <c r="N116" s="154">
        <v>12.0</v>
      </c>
      <c r="O116" s="154">
        <v>13.0</v>
      </c>
      <c r="P116" s="154">
        <v>14.0</v>
      </c>
      <c r="Q116" s="154">
        <v>15.0</v>
      </c>
      <c r="R116" s="154">
        <v>16.0</v>
      </c>
      <c r="S116" s="154">
        <v>17.0</v>
      </c>
      <c r="T116" s="154">
        <v>18.0</v>
      </c>
      <c r="U116" s="154">
        <v>19.0</v>
      </c>
      <c r="V116" s="154">
        <v>20.0</v>
      </c>
      <c r="W116" s="154">
        <v>21.0</v>
      </c>
      <c r="X116" s="154">
        <v>22.0</v>
      </c>
      <c r="Y116" s="154">
        <v>23.0</v>
      </c>
      <c r="Z116" s="154">
        <v>24.0</v>
      </c>
      <c r="AA116" s="154">
        <v>25.0</v>
      </c>
      <c r="AB116" s="154">
        <v>26.0</v>
      </c>
      <c r="AC116" s="154">
        <v>27.0</v>
      </c>
      <c r="AD116" s="154">
        <v>28.0</v>
      </c>
      <c r="AE116" s="154">
        <v>29.0</v>
      </c>
      <c r="AF116" s="154">
        <v>30.0</v>
      </c>
      <c r="AG116" s="154">
        <v>31.0</v>
      </c>
    </row>
    <row r="117" ht="15.75" customHeight="1">
      <c r="A117" s="176" t="s">
        <v>68</v>
      </c>
      <c r="B117" s="156" t="s">
        <v>69</v>
      </c>
      <c r="C117" s="157">
        <f>'1'!K45</f>
        <v>3916.666667</v>
      </c>
      <c r="D117" s="157">
        <f>'2'!K45</f>
        <v>3916.666667</v>
      </c>
      <c r="E117" s="157">
        <f>'3'!K45</f>
        <v>3916.666667</v>
      </c>
      <c r="F117" s="157">
        <f>'4'!K45</f>
        <v>3916.666667</v>
      </c>
      <c r="G117" s="157">
        <f>'5'!K45</f>
        <v>3916.666667</v>
      </c>
      <c r="H117" s="157">
        <f>'6'!K45</f>
        <v>3916.666667</v>
      </c>
      <c r="I117" s="157">
        <f>'7'!K45</f>
        <v>3916.666667</v>
      </c>
      <c r="J117" s="157">
        <f>'8'!K45</f>
        <v>3916.666667</v>
      </c>
      <c r="K117" s="157">
        <f>'9'!K45</f>
        <v>4000</v>
      </c>
      <c r="L117" s="157">
        <f>'10'!K45</f>
        <v>4000</v>
      </c>
      <c r="M117" s="157">
        <f>'11'!K45</f>
        <v>4000</v>
      </c>
      <c r="N117" s="157">
        <f>'12'!K45</f>
        <v>4000</v>
      </c>
      <c r="O117" s="157">
        <f>'13'!K45</f>
        <v>4000</v>
      </c>
      <c r="P117" s="157">
        <f>'14'!K45</f>
        <v>4000</v>
      </c>
      <c r="Q117" s="157">
        <f>'15'!K45</f>
        <v>4000</v>
      </c>
      <c r="R117" s="157">
        <f>'16'!K45</f>
        <v>4000</v>
      </c>
      <c r="S117" s="157">
        <f>'17'!K45</f>
        <v>4000</v>
      </c>
      <c r="T117" s="157">
        <f>'18'!K45</f>
        <v>4000</v>
      </c>
      <c r="U117" s="157">
        <f>'19'!K45</f>
        <v>4000</v>
      </c>
      <c r="V117" s="157">
        <f>'20'!K45</f>
        <v>4000</v>
      </c>
      <c r="W117" s="157">
        <f>'21'!K45</f>
        <v>4000</v>
      </c>
      <c r="X117" s="157">
        <f>'22'!K45</f>
        <v>4000</v>
      </c>
      <c r="Y117" s="157">
        <f>'23'!K45</f>
        <v>4000</v>
      </c>
      <c r="Z117" s="157">
        <f>'24'!K45</f>
        <v>4000</v>
      </c>
      <c r="AA117" s="157">
        <f>'25'!K45</f>
        <v>4000</v>
      </c>
      <c r="AB117" s="157">
        <f>'26'!K45</f>
        <v>4000</v>
      </c>
      <c r="AC117" s="157">
        <f>'27'!K45</f>
        <v>4000</v>
      </c>
      <c r="AD117" s="157">
        <f>'28'!K45</f>
        <v>4000</v>
      </c>
      <c r="AE117" s="157">
        <f>'29'!K45</f>
        <v>4000</v>
      </c>
      <c r="AF117" s="157">
        <f>'30'!K45</f>
        <v>4000</v>
      </c>
      <c r="AG117" s="157">
        <f>'31'!K45</f>
        <v>4000</v>
      </c>
    </row>
    <row r="118" ht="15.75" customHeight="1">
      <c r="A118" s="178"/>
      <c r="B118" s="160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</row>
    <row r="119" ht="15.75" customHeight="1">
      <c r="A119" s="179"/>
      <c r="B119" s="163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</row>
    <row r="120" ht="15.75" customHeight="1">
      <c r="A120" s="179"/>
      <c r="B120" s="163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</row>
    <row r="121" ht="15.75" customHeight="1">
      <c r="A121" s="179"/>
      <c r="B121" s="163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</row>
    <row r="122" ht="15.75" customHeight="1">
      <c r="A122" s="179"/>
      <c r="B122" s="163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</row>
    <row r="123" ht="15.75" customHeight="1">
      <c r="A123" s="179"/>
      <c r="B123" s="163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</row>
    <row r="124" ht="15.75" customHeight="1">
      <c r="A124" s="179"/>
      <c r="B124" s="163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</row>
    <row r="125" ht="15.75" customHeight="1">
      <c r="A125" s="179"/>
      <c r="B125" s="163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</row>
    <row r="126" ht="15.75" customHeight="1">
      <c r="A126" s="179"/>
      <c r="B126" s="163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</row>
    <row r="127" ht="15.75" customHeight="1">
      <c r="A127" s="179"/>
      <c r="B127" s="163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</row>
    <row r="128" ht="15.75" customHeight="1">
      <c r="A128" s="179"/>
      <c r="B128" s="163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</row>
    <row r="129" ht="15.75" customHeight="1">
      <c r="A129" s="179"/>
      <c r="B129" s="163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</row>
    <row r="130" ht="15.75" customHeight="1">
      <c r="A130" s="179"/>
      <c r="B130" s="163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</row>
    <row r="131" ht="15.75" customHeight="1">
      <c r="A131" s="179"/>
      <c r="B131" s="163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</row>
    <row r="132" ht="15.75" customHeight="1">
      <c r="A132" s="179"/>
      <c r="B132" s="163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</row>
    <row r="133" ht="15.75" customHeight="1">
      <c r="A133" s="179"/>
      <c r="B133" s="163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</row>
    <row r="134" ht="15.75" customHeight="1">
      <c r="A134" s="179"/>
      <c r="B134" s="163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</row>
    <row r="135" ht="15.75" customHeight="1">
      <c r="A135" s="179"/>
      <c r="B135" s="163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</row>
    <row r="136" ht="15.75" customHeight="1">
      <c r="A136" s="179"/>
      <c r="B136" s="163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</row>
    <row r="137" ht="15.75" customHeight="1">
      <c r="A137" s="179"/>
      <c r="B137" s="163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</row>
    <row r="138" ht="15.75" customHeight="1">
      <c r="A138" s="179"/>
      <c r="B138" s="163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</row>
    <row r="139" ht="15.75" customHeight="1">
      <c r="A139" s="179"/>
      <c r="B139" s="163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</row>
    <row r="140" ht="15.75" customHeight="1">
      <c r="A140" s="179"/>
      <c r="B140" s="163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</row>
    <row r="141" ht="15.75" customHeight="1">
      <c r="A141" s="179"/>
      <c r="B141" s="163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</row>
    <row r="142" ht="15.75" customHeight="1">
      <c r="A142" s="179"/>
      <c r="B142" s="163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</row>
    <row r="143" ht="15.75" customHeight="1">
      <c r="A143" s="179"/>
      <c r="B143" s="163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</row>
    <row r="144" ht="15.75" customHeight="1">
      <c r="A144" s="179"/>
      <c r="B144" s="163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</row>
    <row r="145" ht="15.75" customHeight="1">
      <c r="A145" s="179"/>
      <c r="B145" s="163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</row>
    <row r="146" ht="15.75" customHeight="1">
      <c r="A146" s="179"/>
      <c r="B146" s="163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</row>
    <row r="147" ht="15.75" customHeight="1">
      <c r="A147" s="179"/>
      <c r="B147" s="163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</row>
    <row r="148" ht="15.75" customHeight="1">
      <c r="A148" s="175"/>
      <c r="B148" s="166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</row>
    <row r="149" ht="15.75" customHeight="1">
      <c r="A149" s="168"/>
      <c r="B149" s="169"/>
      <c r="C149" s="154">
        <v>1.0</v>
      </c>
      <c r="D149" s="154">
        <v>2.0</v>
      </c>
      <c r="E149" s="154">
        <v>3.0</v>
      </c>
      <c r="F149" s="154">
        <v>4.0</v>
      </c>
      <c r="G149" s="154">
        <v>5.0</v>
      </c>
      <c r="H149" s="154">
        <v>6.0</v>
      </c>
      <c r="I149" s="154">
        <v>7.0</v>
      </c>
      <c r="J149" s="154">
        <v>8.0</v>
      </c>
      <c r="K149" s="154">
        <v>9.0</v>
      </c>
      <c r="L149" s="154">
        <v>10.0</v>
      </c>
      <c r="M149" s="154">
        <v>11.0</v>
      </c>
      <c r="N149" s="154">
        <v>12.0</v>
      </c>
      <c r="O149" s="154">
        <v>13.0</v>
      </c>
      <c r="P149" s="154">
        <v>14.0</v>
      </c>
      <c r="Q149" s="154">
        <v>15.0</v>
      </c>
      <c r="R149" s="154">
        <v>16.0</v>
      </c>
      <c r="S149" s="154">
        <v>17.0</v>
      </c>
      <c r="T149" s="154">
        <v>18.0</v>
      </c>
      <c r="U149" s="154">
        <v>19.0</v>
      </c>
      <c r="V149" s="154">
        <v>20.0</v>
      </c>
      <c r="W149" s="154">
        <v>21.0</v>
      </c>
      <c r="X149" s="154">
        <v>22.0</v>
      </c>
      <c r="Y149" s="154">
        <v>23.0</v>
      </c>
      <c r="Z149" s="154">
        <v>24.0</v>
      </c>
      <c r="AA149" s="154">
        <v>25.0</v>
      </c>
      <c r="AB149" s="154">
        <v>26.0</v>
      </c>
      <c r="AC149" s="154">
        <v>27.0</v>
      </c>
      <c r="AD149" s="154">
        <v>28.0</v>
      </c>
      <c r="AE149" s="154">
        <v>29.0</v>
      </c>
      <c r="AF149" s="154">
        <v>30.0</v>
      </c>
      <c r="AG149" s="154">
        <v>31.0</v>
      </c>
    </row>
    <row r="150" ht="15.75" customHeight="1">
      <c r="A150" s="176" t="s">
        <v>73</v>
      </c>
      <c r="B150" s="156" t="s">
        <v>23</v>
      </c>
      <c r="C150" s="157">
        <f>'1'!K49</f>
        <v>16166.66667</v>
      </c>
      <c r="D150" s="157">
        <f>'2'!K49</f>
        <v>16166.66667</v>
      </c>
      <c r="E150" s="157">
        <f>'3'!K49</f>
        <v>16166.66667</v>
      </c>
      <c r="F150" s="157">
        <f>'4'!K49</f>
        <v>16000</v>
      </c>
      <c r="G150" s="157">
        <f>'5'!K49</f>
        <v>16000</v>
      </c>
      <c r="H150" s="157">
        <f>'6'!K49</f>
        <v>16166.66667</v>
      </c>
      <c r="I150" s="157">
        <f>'7'!K49</f>
        <v>16166.66667</v>
      </c>
      <c r="J150" s="157">
        <f>'8'!K49</f>
        <v>16166.66667</v>
      </c>
      <c r="K150" s="157">
        <f>'9'!K49</f>
        <v>16166.66667</v>
      </c>
      <c r="L150" s="157">
        <f>'10'!K49</f>
        <v>16166.66667</v>
      </c>
      <c r="M150" s="157">
        <f>'11'!K49</f>
        <v>16166.66667</v>
      </c>
      <c r="N150" s="157">
        <f>'12'!K49</f>
        <v>16166.66667</v>
      </c>
      <c r="O150" s="157">
        <f>'13'!K49</f>
        <v>16166.66667</v>
      </c>
      <c r="P150" s="157">
        <f>'14'!K49</f>
        <v>16000</v>
      </c>
      <c r="Q150" s="157">
        <f>'15'!K49</f>
        <v>16000</v>
      </c>
      <c r="R150" s="157">
        <f>'16'!K49</f>
        <v>16000</v>
      </c>
      <c r="S150" s="157">
        <f>'17'!K49</f>
        <v>16000</v>
      </c>
      <c r="T150" s="157">
        <f>'18'!K49</f>
        <v>16166.66667</v>
      </c>
      <c r="U150" s="157">
        <f>'19'!K49</f>
        <v>16166.66667</v>
      </c>
      <c r="V150" s="157">
        <f>'20'!K49</f>
        <v>16166.66667</v>
      </c>
      <c r="W150" s="157">
        <f>'21'!K49</f>
        <v>16166.66667</v>
      </c>
      <c r="X150" s="157">
        <f>'22'!K49</f>
        <v>16166.66667</v>
      </c>
      <c r="Y150" s="157">
        <f>'23'!K49</f>
        <v>16166.66667</v>
      </c>
      <c r="Z150" s="157">
        <f>'24'!K49</f>
        <v>16166.66667</v>
      </c>
      <c r="AA150" s="157">
        <f>'25'!K49</f>
        <v>16166.66667</v>
      </c>
      <c r="AB150" s="157">
        <f>'26'!K49</f>
        <v>16166.66667</v>
      </c>
      <c r="AC150" s="157">
        <f>'27'!K49</f>
        <v>16166.66667</v>
      </c>
      <c r="AD150" s="157">
        <f>'28'!K49</f>
        <v>16166.66667</v>
      </c>
      <c r="AE150" s="157">
        <f>'29'!K49</f>
        <v>16166.66667</v>
      </c>
      <c r="AF150" s="157">
        <f>'30'!K49</f>
        <v>15583.33333</v>
      </c>
      <c r="AG150" s="157">
        <f>'31'!K49</f>
        <v>15583.33333</v>
      </c>
    </row>
    <row r="151" ht="15.75" customHeight="1">
      <c r="A151" s="171"/>
      <c r="B151" s="160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</row>
    <row r="152" ht="15.75" customHeight="1">
      <c r="A152" s="172"/>
      <c r="B152" s="163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</row>
    <row r="153" ht="15.75" customHeight="1">
      <c r="A153" s="172"/>
      <c r="B153" s="163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</row>
    <row r="154" ht="15.75" customHeight="1">
      <c r="A154" s="172"/>
      <c r="B154" s="163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</row>
    <row r="155" ht="15.75" customHeight="1">
      <c r="A155" s="172"/>
      <c r="B155" s="163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</row>
    <row r="156" ht="15.75" customHeight="1">
      <c r="A156" s="172"/>
      <c r="B156" s="163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</row>
    <row r="157" ht="15.75" customHeight="1">
      <c r="A157" s="172"/>
      <c r="B157" s="163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</row>
    <row r="158" ht="15.75" customHeight="1">
      <c r="A158" s="172"/>
      <c r="B158" s="163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</row>
    <row r="159" ht="15.75" customHeight="1">
      <c r="A159" s="172"/>
      <c r="B159" s="163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</row>
    <row r="160" ht="15.75" customHeight="1">
      <c r="A160" s="172"/>
      <c r="B160" s="163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</row>
    <row r="161" ht="15.75" customHeight="1">
      <c r="A161" s="172"/>
      <c r="B161" s="163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</row>
    <row r="162" ht="15.75" customHeight="1">
      <c r="A162" s="172"/>
      <c r="B162" s="163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</row>
    <row r="163" ht="15.75" customHeight="1">
      <c r="A163" s="172"/>
      <c r="B163" s="163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</row>
    <row r="164" ht="15.75" customHeight="1">
      <c r="A164" s="172"/>
      <c r="B164" s="163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</row>
    <row r="165" ht="15.75" customHeight="1">
      <c r="A165" s="172"/>
      <c r="B165" s="163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</row>
    <row r="166" ht="15.75" customHeight="1">
      <c r="A166" s="172"/>
      <c r="B166" s="163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</row>
    <row r="167" ht="15.75" customHeight="1">
      <c r="A167" s="179"/>
      <c r="B167" s="163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</row>
    <row r="168" ht="15.75" customHeight="1">
      <c r="A168" s="175"/>
      <c r="B168" s="166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</row>
    <row r="169" ht="15.75" customHeight="1">
      <c r="A169" s="168"/>
      <c r="B169" s="169"/>
      <c r="C169" s="154">
        <v>1.0</v>
      </c>
      <c r="D169" s="154">
        <v>2.0</v>
      </c>
      <c r="E169" s="154">
        <v>3.0</v>
      </c>
      <c r="F169" s="154">
        <v>4.0</v>
      </c>
      <c r="G169" s="154">
        <v>5.0</v>
      </c>
      <c r="H169" s="154">
        <v>6.0</v>
      </c>
      <c r="I169" s="154">
        <v>7.0</v>
      </c>
      <c r="J169" s="154">
        <v>8.0</v>
      </c>
      <c r="K169" s="154">
        <v>9.0</v>
      </c>
      <c r="L169" s="154">
        <v>10.0</v>
      </c>
      <c r="M169" s="154">
        <v>11.0</v>
      </c>
      <c r="N169" s="154">
        <v>12.0</v>
      </c>
      <c r="O169" s="154">
        <v>13.0</v>
      </c>
      <c r="P169" s="154">
        <v>14.0</v>
      </c>
      <c r="Q169" s="154">
        <v>15.0</v>
      </c>
      <c r="R169" s="154">
        <v>16.0</v>
      </c>
      <c r="S169" s="154">
        <v>17.0</v>
      </c>
      <c r="T169" s="154">
        <v>18.0</v>
      </c>
      <c r="U169" s="154">
        <v>19.0</v>
      </c>
      <c r="V169" s="154">
        <v>20.0</v>
      </c>
      <c r="W169" s="154">
        <v>21.0</v>
      </c>
      <c r="X169" s="154">
        <v>22.0</v>
      </c>
      <c r="Y169" s="154">
        <v>23.0</v>
      </c>
      <c r="Z169" s="154">
        <v>24.0</v>
      </c>
      <c r="AA169" s="154">
        <v>25.0</v>
      </c>
      <c r="AB169" s="154">
        <v>26.0</v>
      </c>
      <c r="AC169" s="154">
        <v>27.0</v>
      </c>
      <c r="AD169" s="154">
        <v>28.0</v>
      </c>
      <c r="AE169" s="154">
        <v>29.0</v>
      </c>
      <c r="AF169" s="154">
        <v>30.0</v>
      </c>
      <c r="AG169" s="154">
        <v>31.0</v>
      </c>
    </row>
    <row r="170" ht="15.75" customHeight="1">
      <c r="A170" s="176" t="s">
        <v>82</v>
      </c>
      <c r="B170" s="156" t="s">
        <v>23</v>
      </c>
      <c r="C170" s="157">
        <f>'1'!K56</f>
        <v>22571.42857</v>
      </c>
      <c r="D170" s="157">
        <f>'2'!K56</f>
        <v>26142.85714</v>
      </c>
      <c r="E170" s="157">
        <f>'3'!K56</f>
        <v>27142.85714</v>
      </c>
      <c r="F170" s="157">
        <f>'4'!K56</f>
        <v>27857.14286</v>
      </c>
      <c r="G170" s="157">
        <f>'5'!K56</f>
        <v>30000</v>
      </c>
      <c r="H170" s="157">
        <f>'6'!K56</f>
        <v>32142.85714</v>
      </c>
      <c r="I170" s="157">
        <f>'7'!K56</f>
        <v>32142.85714</v>
      </c>
      <c r="J170" s="157">
        <f>'8'!K56</f>
        <v>32142.85714</v>
      </c>
      <c r="K170" s="157">
        <f>'9'!K56</f>
        <v>32857.14286</v>
      </c>
      <c r="L170" s="157">
        <f>'10'!K56</f>
        <v>32142.85714</v>
      </c>
      <c r="M170" s="157">
        <f>'11'!K56</f>
        <v>34285.71429</v>
      </c>
      <c r="N170" s="157">
        <f>'12'!K56</f>
        <v>35000</v>
      </c>
      <c r="O170" s="157">
        <f>'13'!K56</f>
        <v>35285.71429</v>
      </c>
      <c r="P170" s="157">
        <f>'14'!K56</f>
        <v>35285.71429</v>
      </c>
      <c r="Q170" s="157">
        <f>'15'!K56</f>
        <v>35285.71429</v>
      </c>
      <c r="R170" s="157">
        <f>'16'!K56</f>
        <v>33571.42857</v>
      </c>
      <c r="S170" s="157">
        <f>'17'!K56</f>
        <v>33571.42857</v>
      </c>
      <c r="T170" s="157">
        <f>'18'!K56</f>
        <v>34285.71429</v>
      </c>
      <c r="U170" s="157">
        <f>'19'!K56</f>
        <v>33571.42857</v>
      </c>
      <c r="V170" s="157">
        <f>'20'!K56</f>
        <v>30714.28571</v>
      </c>
      <c r="W170" s="157">
        <f>'21'!K56</f>
        <v>31571.42857</v>
      </c>
      <c r="X170" s="157">
        <f>'22'!K56</f>
        <v>30714.28571</v>
      </c>
      <c r="Y170" s="157">
        <f>'23'!K56</f>
        <v>30714.28571</v>
      </c>
      <c r="Z170" s="157">
        <f>'24'!K56</f>
        <v>31428.57143</v>
      </c>
      <c r="AA170" s="157">
        <f>'25'!K56</f>
        <v>30714.28571</v>
      </c>
      <c r="AB170" s="157">
        <f>'26'!K56</f>
        <v>30714.28571</v>
      </c>
      <c r="AC170" s="157">
        <f>'27'!K56</f>
        <v>29571.42857</v>
      </c>
      <c r="AD170" s="157">
        <f>'28'!K56</f>
        <v>30714.28571</v>
      </c>
      <c r="AE170" s="157">
        <f>'29'!K56</f>
        <v>30714.28571</v>
      </c>
      <c r="AF170" s="157">
        <f>'30'!K56</f>
        <v>29285.71429</v>
      </c>
      <c r="AG170" s="157">
        <f>'31'!K56</f>
        <v>29285.71429</v>
      </c>
    </row>
    <row r="171" ht="15.75" customHeight="1">
      <c r="A171" s="176" t="s">
        <v>83</v>
      </c>
      <c r="B171" s="156" t="s">
        <v>23</v>
      </c>
      <c r="C171" s="157">
        <f>'1'!K57</f>
        <v>35000</v>
      </c>
      <c r="D171" s="157">
        <f>'2'!K57</f>
        <v>38750</v>
      </c>
      <c r="E171" s="157">
        <f>'3'!K57</f>
        <v>40000</v>
      </c>
      <c r="F171" s="157">
        <f>'4'!K57</f>
        <v>42500</v>
      </c>
      <c r="G171" s="157">
        <f>'5'!K57</f>
        <v>42500</v>
      </c>
      <c r="H171" s="157">
        <f>'6'!K57</f>
        <v>45000</v>
      </c>
      <c r="I171" s="157">
        <f>'7'!K57</f>
        <v>45000</v>
      </c>
      <c r="J171" s="157">
        <f>'8'!K57</f>
        <v>45000</v>
      </c>
      <c r="K171" s="157">
        <f>'9'!K57</f>
        <v>45000</v>
      </c>
      <c r="L171" s="157">
        <f>'10'!K57</f>
        <v>41250</v>
      </c>
      <c r="M171" s="157">
        <f>'11'!K57</f>
        <v>40000</v>
      </c>
      <c r="N171" s="157">
        <f>'12'!K57</f>
        <v>40000</v>
      </c>
      <c r="O171" s="157">
        <f>'13'!K57</f>
        <v>40000</v>
      </c>
      <c r="P171" s="157">
        <f>'14'!K57</f>
        <v>40000</v>
      </c>
      <c r="Q171" s="157">
        <f>'15'!K57</f>
        <v>40000</v>
      </c>
      <c r="R171" s="157">
        <f>'16'!K57</f>
        <v>41250</v>
      </c>
      <c r="S171" s="157">
        <f>'17'!K57</f>
        <v>40000</v>
      </c>
      <c r="T171" s="157">
        <f>'18'!K57</f>
        <v>37500</v>
      </c>
      <c r="U171" s="157">
        <f>'19'!K57</f>
        <v>37500</v>
      </c>
      <c r="V171" s="157">
        <f>'20'!K57</f>
        <v>36250</v>
      </c>
      <c r="W171" s="157">
        <f>'21'!K57</f>
        <v>33750</v>
      </c>
      <c r="X171" s="157">
        <f>'22'!K57</f>
        <v>33750</v>
      </c>
      <c r="Y171" s="157">
        <f>'23'!K57</f>
        <v>33750</v>
      </c>
      <c r="Z171" s="157">
        <f>'24'!K57</f>
        <v>35000</v>
      </c>
      <c r="AA171" s="157">
        <f>'25'!K57</f>
        <v>35000</v>
      </c>
      <c r="AB171" s="157">
        <f>'26'!K57</f>
        <v>35000</v>
      </c>
      <c r="AC171" s="157">
        <f>'27'!K57</f>
        <v>36250</v>
      </c>
      <c r="AD171" s="157">
        <f>'28'!K57</f>
        <v>36250</v>
      </c>
      <c r="AE171" s="157">
        <f>'29'!K57</f>
        <v>37500</v>
      </c>
      <c r="AF171" s="157">
        <f>'30'!K57</f>
        <v>36250</v>
      </c>
      <c r="AG171" s="157">
        <f>'31'!K57</f>
        <v>37500</v>
      </c>
    </row>
    <row r="172" ht="15.75" customHeight="1">
      <c r="A172" s="176" t="s">
        <v>84</v>
      </c>
      <c r="B172" s="156" t="s">
        <v>23</v>
      </c>
      <c r="C172" s="157">
        <f>'1'!K58</f>
        <v>47857.14286</v>
      </c>
      <c r="D172" s="157">
        <f>'2'!K58</f>
        <v>61428.57143</v>
      </c>
      <c r="E172" s="157">
        <f>'3'!K58</f>
        <v>64285.71429</v>
      </c>
      <c r="F172" s="157">
        <f>'4'!K58</f>
        <v>65000</v>
      </c>
      <c r="G172" s="157">
        <f>'5'!K58</f>
        <v>57857.14286</v>
      </c>
      <c r="H172" s="157">
        <f>'6'!K58</f>
        <v>58571.42857</v>
      </c>
      <c r="I172" s="157">
        <f>'7'!K58</f>
        <v>57142.85714</v>
      </c>
      <c r="J172" s="157">
        <f>'8'!K58</f>
        <v>57142.85714</v>
      </c>
      <c r="K172" s="157">
        <f>'9'!K58</f>
        <v>54285.71429</v>
      </c>
      <c r="L172" s="157">
        <f>'10'!K58</f>
        <v>51428.57143</v>
      </c>
      <c r="M172" s="157">
        <f>'11'!K58</f>
        <v>52142.85714</v>
      </c>
      <c r="N172" s="157">
        <f>'12'!K58</f>
        <v>54285.71429</v>
      </c>
      <c r="O172" s="157">
        <f>'13'!K58</f>
        <v>53571.42857</v>
      </c>
      <c r="P172" s="157">
        <f>'14'!K58</f>
        <v>50714.28571</v>
      </c>
      <c r="Q172" s="157">
        <f>'15'!K58</f>
        <v>50714.28571</v>
      </c>
      <c r="R172" s="157">
        <f>'16'!K58</f>
        <v>46285.71429</v>
      </c>
      <c r="S172" s="157">
        <f>'17'!K58</f>
        <v>44857.14286</v>
      </c>
      <c r="T172" s="157">
        <f>'18'!K58</f>
        <v>46285.71429</v>
      </c>
      <c r="U172" s="157">
        <f>'19'!K58</f>
        <v>47428.57143</v>
      </c>
      <c r="V172" s="157">
        <f>'20'!K58</f>
        <v>43428.57143</v>
      </c>
      <c r="W172" s="157">
        <f>'21'!K58</f>
        <v>44142.85714</v>
      </c>
      <c r="X172" s="157">
        <f>'22'!K58</f>
        <v>45714.28571</v>
      </c>
      <c r="Y172" s="157">
        <f>'23'!K58</f>
        <v>44285.71429</v>
      </c>
      <c r="Z172" s="157">
        <f>'24'!K58</f>
        <v>49285.71429</v>
      </c>
      <c r="AA172" s="157">
        <f>'25'!K58</f>
        <v>48571.42857</v>
      </c>
      <c r="AB172" s="157">
        <f>'26'!K58</f>
        <v>48571.42857</v>
      </c>
      <c r="AC172" s="157">
        <f>'27'!K58</f>
        <v>47857.14286</v>
      </c>
      <c r="AD172" s="157">
        <f>'28'!K58</f>
        <v>47857.14286</v>
      </c>
      <c r="AE172" s="157">
        <f>'29'!K58</f>
        <v>47857.14286</v>
      </c>
      <c r="AF172" s="157">
        <f>'30'!K58</f>
        <v>50714.28571</v>
      </c>
      <c r="AG172" s="157">
        <f>'31'!K58</f>
        <v>50714.28571</v>
      </c>
    </row>
    <row r="173" ht="15.75" customHeight="1">
      <c r="A173" s="178"/>
      <c r="B173" s="160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</row>
    <row r="174" ht="15.75" customHeight="1">
      <c r="A174" s="179"/>
      <c r="B174" s="163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</row>
    <row r="175" ht="15.75" customHeight="1">
      <c r="A175" s="179"/>
      <c r="B175" s="163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</row>
    <row r="176" ht="15.75" customHeight="1">
      <c r="A176" s="179"/>
      <c r="B176" s="163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</row>
    <row r="177" ht="15.75" customHeight="1">
      <c r="A177" s="179"/>
      <c r="B177" s="163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</row>
    <row r="178" ht="15.75" customHeight="1">
      <c r="A178" s="179"/>
      <c r="B178" s="163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</row>
    <row r="179" ht="15.75" customHeight="1">
      <c r="A179" s="179"/>
      <c r="B179" s="163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</row>
    <row r="180" ht="15.75" customHeight="1">
      <c r="A180" s="179"/>
      <c r="B180" s="163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</row>
    <row r="181" ht="15.75" customHeight="1">
      <c r="A181" s="179"/>
      <c r="B181" s="163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</row>
    <row r="182" ht="15.75" customHeight="1">
      <c r="A182" s="179"/>
      <c r="B182" s="163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</row>
    <row r="183" ht="15.75" customHeight="1">
      <c r="A183" s="179"/>
      <c r="B183" s="163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</row>
    <row r="184" ht="15.75" customHeight="1">
      <c r="A184" s="179"/>
      <c r="B184" s="163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</row>
    <row r="185" ht="15.75" customHeight="1">
      <c r="A185" s="179"/>
      <c r="B185" s="163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</row>
    <row r="186" ht="15.75" customHeight="1">
      <c r="A186" s="179"/>
      <c r="B186" s="163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</row>
    <row r="187" ht="15.75" customHeight="1">
      <c r="A187" s="179"/>
      <c r="B187" s="163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</row>
    <row r="188" ht="15.75" customHeight="1">
      <c r="A188" s="179"/>
      <c r="B188" s="163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</row>
    <row r="189" ht="15.75" customHeight="1">
      <c r="A189" s="179"/>
      <c r="B189" s="163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</row>
    <row r="190" ht="15.75" customHeight="1">
      <c r="A190" s="179"/>
      <c r="B190" s="163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</row>
    <row r="191" ht="15.75" customHeight="1">
      <c r="A191" s="179"/>
      <c r="B191" s="163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</row>
    <row r="192" ht="15.75" customHeight="1">
      <c r="A192" s="175"/>
      <c r="B192" s="166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</row>
    <row r="193" ht="15.75" customHeight="1">
      <c r="A193" s="168"/>
      <c r="B193" s="169"/>
      <c r="C193" s="154">
        <v>1.0</v>
      </c>
      <c r="D193" s="154">
        <v>2.0</v>
      </c>
      <c r="E193" s="154">
        <v>3.0</v>
      </c>
      <c r="F193" s="154">
        <v>4.0</v>
      </c>
      <c r="G193" s="154">
        <v>5.0</v>
      </c>
      <c r="H193" s="154">
        <v>6.0</v>
      </c>
      <c r="I193" s="154">
        <v>7.0</v>
      </c>
      <c r="J193" s="154">
        <v>8.0</v>
      </c>
      <c r="K193" s="154">
        <v>9.0</v>
      </c>
      <c r="L193" s="154">
        <v>10.0</v>
      </c>
      <c r="M193" s="154">
        <v>11.0</v>
      </c>
      <c r="N193" s="154">
        <v>12.0</v>
      </c>
      <c r="O193" s="154">
        <v>13.0</v>
      </c>
      <c r="P193" s="154">
        <v>14.0</v>
      </c>
      <c r="Q193" s="154">
        <v>15.0</v>
      </c>
      <c r="R193" s="154">
        <v>16.0</v>
      </c>
      <c r="S193" s="154">
        <v>17.0</v>
      </c>
      <c r="T193" s="154">
        <v>18.0</v>
      </c>
      <c r="U193" s="154">
        <v>19.0</v>
      </c>
      <c r="V193" s="154">
        <v>20.0</v>
      </c>
      <c r="W193" s="154">
        <v>21.0</v>
      </c>
      <c r="X193" s="154">
        <v>22.0</v>
      </c>
      <c r="Y193" s="154">
        <v>23.0</v>
      </c>
      <c r="Z193" s="154">
        <v>24.0</v>
      </c>
      <c r="AA193" s="154">
        <v>25.0</v>
      </c>
      <c r="AB193" s="154">
        <v>26.0</v>
      </c>
      <c r="AC193" s="154">
        <v>27.0</v>
      </c>
      <c r="AD193" s="154">
        <v>28.0</v>
      </c>
      <c r="AE193" s="154">
        <v>29.0</v>
      </c>
      <c r="AF193" s="154">
        <v>30.0</v>
      </c>
      <c r="AG193" s="154">
        <v>31.0</v>
      </c>
    </row>
    <row r="194" ht="15.75" customHeight="1">
      <c r="A194" s="176" t="s">
        <v>89</v>
      </c>
      <c r="B194" s="156" t="s">
        <v>23</v>
      </c>
      <c r="C194" s="157">
        <f>'1'!K62</f>
        <v>26714.28571</v>
      </c>
      <c r="D194" s="157">
        <f>'2'!K62</f>
        <v>26857.14286</v>
      </c>
      <c r="E194" s="157">
        <f>'3'!K62</f>
        <v>26857.14286</v>
      </c>
      <c r="F194" s="157">
        <f>'4'!K62</f>
        <v>26714.28571</v>
      </c>
      <c r="G194" s="157">
        <f>'5'!K62</f>
        <v>26142.85714</v>
      </c>
      <c r="H194" s="157">
        <f>'6'!K62</f>
        <v>26714.28571</v>
      </c>
      <c r="I194" s="157">
        <f>'7'!K62</f>
        <v>27000</v>
      </c>
      <c r="J194" s="157">
        <f>'8'!K62</f>
        <v>27000</v>
      </c>
      <c r="K194" s="157">
        <f>'9'!K62</f>
        <v>27142.85714</v>
      </c>
      <c r="L194" s="157">
        <f>'10'!K62</f>
        <v>27285.71429</v>
      </c>
      <c r="M194" s="157">
        <f>'11'!K62</f>
        <v>27428.57143</v>
      </c>
      <c r="N194" s="157">
        <f>'12'!K62</f>
        <v>27714.28571</v>
      </c>
      <c r="O194" s="157">
        <f>'13'!K62</f>
        <v>27714.28571</v>
      </c>
      <c r="P194" s="157">
        <f>'14'!K62</f>
        <v>27714.28571</v>
      </c>
      <c r="Q194" s="157">
        <f>'15'!K62</f>
        <v>27714.28571</v>
      </c>
      <c r="R194" s="157">
        <f>'16'!K62</f>
        <v>27571.42857</v>
      </c>
      <c r="S194" s="157">
        <f>'17'!K62</f>
        <v>27714.28571</v>
      </c>
      <c r="T194" s="157">
        <f>'18'!K62</f>
        <v>27714.28571</v>
      </c>
      <c r="U194" s="157">
        <f>'19'!K62</f>
        <v>27857.14286</v>
      </c>
      <c r="V194" s="157">
        <f>'20'!K62</f>
        <v>27714.28571</v>
      </c>
      <c r="W194" s="157">
        <f>'21'!K62</f>
        <v>27714.28571</v>
      </c>
      <c r="X194" s="157">
        <f>'22'!K62</f>
        <v>27714.28571</v>
      </c>
      <c r="Y194" s="157">
        <f>'23'!K62</f>
        <v>27714.28571</v>
      </c>
      <c r="Z194" s="157">
        <f>'24'!K62</f>
        <v>27857.14286</v>
      </c>
      <c r="AA194" s="157">
        <f>'25'!K62</f>
        <v>28142.85714</v>
      </c>
      <c r="AB194" s="157">
        <f>'26'!K62</f>
        <v>28428.57143</v>
      </c>
      <c r="AC194" s="157">
        <f>'27'!K62</f>
        <v>29000</v>
      </c>
      <c r="AD194" s="157">
        <f>'28'!K62</f>
        <v>29000</v>
      </c>
      <c r="AE194" s="157">
        <f>'29'!K62</f>
        <v>29000</v>
      </c>
      <c r="AF194" s="157">
        <f>'30'!K62</f>
        <v>29000</v>
      </c>
      <c r="AG194" s="157">
        <f>'31'!K62</f>
        <v>29000</v>
      </c>
    </row>
    <row r="195" ht="15.75" customHeight="1">
      <c r="A195" s="176" t="s">
        <v>90</v>
      </c>
      <c r="B195" s="156" t="s">
        <v>23</v>
      </c>
      <c r="C195" s="157">
        <f>'1'!K63</f>
        <v>23000</v>
      </c>
      <c r="D195" s="157">
        <f>'2'!K63</f>
        <v>23142.85714</v>
      </c>
      <c r="E195" s="157">
        <f>'3'!K63</f>
        <v>23142.85714</v>
      </c>
      <c r="F195" s="157">
        <f>'4'!K63</f>
        <v>23000</v>
      </c>
      <c r="G195" s="157">
        <f>'5'!K63</f>
        <v>22857.14286</v>
      </c>
      <c r="H195" s="157">
        <f>'6'!K63</f>
        <v>22857.14286</v>
      </c>
      <c r="I195" s="157">
        <f>'7'!K63</f>
        <v>23142.85714</v>
      </c>
      <c r="J195" s="157">
        <f>'8'!K63</f>
        <v>23142.85714</v>
      </c>
      <c r="K195" s="157">
        <f>'9'!K63</f>
        <v>23428.57143</v>
      </c>
      <c r="L195" s="157">
        <f>'10'!K63</f>
        <v>23571.42857</v>
      </c>
      <c r="M195" s="157">
        <f>'11'!K63</f>
        <v>23571.42857</v>
      </c>
      <c r="N195" s="157">
        <f>'12'!K63</f>
        <v>24571.42857</v>
      </c>
      <c r="O195" s="157">
        <f>'13'!K63</f>
        <v>24571.42857</v>
      </c>
      <c r="P195" s="157">
        <f>'14'!K63</f>
        <v>24571.42857</v>
      </c>
      <c r="Q195" s="157">
        <f>'15'!K63</f>
        <v>24571.42857</v>
      </c>
      <c r="R195" s="157">
        <f>'16'!K63</f>
        <v>24571.42857</v>
      </c>
      <c r="S195" s="157">
        <f>'17'!K63</f>
        <v>25000</v>
      </c>
      <c r="T195" s="157">
        <f>'18'!K63</f>
        <v>25000</v>
      </c>
      <c r="U195" s="157">
        <f>'19'!K63</f>
        <v>25142.85714</v>
      </c>
      <c r="V195" s="157">
        <f>'20'!K63</f>
        <v>25000</v>
      </c>
      <c r="W195" s="157">
        <f>'21'!K63</f>
        <v>25000</v>
      </c>
      <c r="X195" s="157">
        <f>'22'!K63</f>
        <v>25000</v>
      </c>
      <c r="Y195" s="157">
        <f>'23'!K63</f>
        <v>25000</v>
      </c>
      <c r="Z195" s="157">
        <f>'24'!K63</f>
        <v>25142.85714</v>
      </c>
      <c r="AA195" s="157">
        <f>'25'!K63</f>
        <v>25285.71429</v>
      </c>
      <c r="AB195" s="157">
        <f>'26'!K63</f>
        <v>25571.42857</v>
      </c>
      <c r="AC195" s="157">
        <f>'27'!K63</f>
        <v>25428.57143</v>
      </c>
      <c r="AD195" s="157">
        <f>'28'!K63</f>
        <v>25428.57143</v>
      </c>
      <c r="AE195" s="157">
        <f>'29'!K63</f>
        <v>25428.57143</v>
      </c>
      <c r="AF195" s="157">
        <f>'30'!K63</f>
        <v>25714.28571</v>
      </c>
      <c r="AG195" s="157">
        <f>'31'!K63</f>
        <v>25714.28571</v>
      </c>
    </row>
    <row r="196" ht="15.75" customHeight="1">
      <c r="A196" s="176" t="s">
        <v>91</v>
      </c>
      <c r="B196" s="156" t="s">
        <v>23</v>
      </c>
      <c r="C196" s="157">
        <f>'1'!K64</f>
        <v>31857.14286</v>
      </c>
      <c r="D196" s="157">
        <f>'2'!K64</f>
        <v>32571.42857</v>
      </c>
      <c r="E196" s="157">
        <f>'3'!K64</f>
        <v>32571.42857</v>
      </c>
      <c r="F196" s="157">
        <f>'4'!K64</f>
        <v>32714.28571</v>
      </c>
      <c r="G196" s="157">
        <f>'5'!K64</f>
        <v>32571.42857</v>
      </c>
      <c r="H196" s="157">
        <f>'6'!K64</f>
        <v>32571.42857</v>
      </c>
      <c r="I196" s="157">
        <f>'7'!K64</f>
        <v>32571.42857</v>
      </c>
      <c r="J196" s="157">
        <f>'8'!K64</f>
        <v>32571.42857</v>
      </c>
      <c r="K196" s="157">
        <f>'9'!K64</f>
        <v>33285.71429</v>
      </c>
      <c r="L196" s="157">
        <f>'10'!K64</f>
        <v>33285.71429</v>
      </c>
      <c r="M196" s="157">
        <f>'11'!K64</f>
        <v>33285.71429</v>
      </c>
      <c r="N196" s="157">
        <f>'12'!K64</f>
        <v>33000</v>
      </c>
      <c r="O196" s="157">
        <f>'13'!K64</f>
        <v>33000</v>
      </c>
      <c r="P196" s="157">
        <f>'14'!K64</f>
        <v>32714.28571</v>
      </c>
      <c r="Q196" s="157">
        <f>'15'!K64</f>
        <v>32714.28571</v>
      </c>
      <c r="R196" s="157">
        <f>'16'!K64</f>
        <v>34714.28571</v>
      </c>
      <c r="S196" s="157">
        <f>'17'!K64</f>
        <v>35142.85714</v>
      </c>
      <c r="T196" s="157">
        <f>'18'!K64</f>
        <v>35285.71429</v>
      </c>
      <c r="U196" s="157">
        <f>'19'!K64</f>
        <v>35428.57143</v>
      </c>
      <c r="V196" s="157">
        <f>'20'!K64</f>
        <v>35857.14286</v>
      </c>
      <c r="W196" s="157">
        <f>'21'!K64</f>
        <v>35571.42857</v>
      </c>
      <c r="X196" s="157">
        <f>'22'!K64</f>
        <v>35285.71429</v>
      </c>
      <c r="Y196" s="157">
        <f>'23'!K64</f>
        <v>35857.14286</v>
      </c>
      <c r="Z196" s="157">
        <f>'24'!K64</f>
        <v>35857.14286</v>
      </c>
      <c r="AA196" s="157">
        <f>'25'!K64</f>
        <v>34714.28571</v>
      </c>
      <c r="AB196" s="157">
        <f>'26'!K64</f>
        <v>36428.57143</v>
      </c>
      <c r="AC196" s="157">
        <f>'27'!K64</f>
        <v>36571.42857</v>
      </c>
      <c r="AD196" s="157">
        <f>'28'!K64</f>
        <v>36714.28571</v>
      </c>
      <c r="AE196" s="157">
        <f>'29'!K64</f>
        <v>36428.57143</v>
      </c>
      <c r="AF196" s="157">
        <f>'30'!K64</f>
        <v>37142.85714</v>
      </c>
      <c r="AG196" s="157">
        <f>'31'!K64</f>
        <v>37142.85714</v>
      </c>
    </row>
    <row r="197" ht="15.75" customHeight="1">
      <c r="A197" s="176" t="s">
        <v>92</v>
      </c>
      <c r="B197" s="156" t="s">
        <v>23</v>
      </c>
      <c r="C197" s="157">
        <f>'1'!K65</f>
        <v>21714.28571</v>
      </c>
      <c r="D197" s="157">
        <f>'2'!K65</f>
        <v>22571.42857</v>
      </c>
      <c r="E197" s="157">
        <f>'3'!K65</f>
        <v>22285.71429</v>
      </c>
      <c r="F197" s="157">
        <f>'4'!K65</f>
        <v>22285.71429</v>
      </c>
      <c r="G197" s="157">
        <f>'5'!K65</f>
        <v>22571.42857</v>
      </c>
      <c r="H197" s="157">
        <f>'6'!K65</f>
        <v>22571.42857</v>
      </c>
      <c r="I197" s="157">
        <f>'7'!K65</f>
        <v>22571.42857</v>
      </c>
      <c r="J197" s="157">
        <f>'8'!K65</f>
        <v>22571.42857</v>
      </c>
      <c r="K197" s="157">
        <f>'9'!K65</f>
        <v>22571.42857</v>
      </c>
      <c r="L197" s="157">
        <f>'10'!K65</f>
        <v>21428.57143</v>
      </c>
      <c r="M197" s="157">
        <f>'11'!K65</f>
        <v>21428.57143</v>
      </c>
      <c r="N197" s="157">
        <f>'12'!K65</f>
        <v>21428.57143</v>
      </c>
      <c r="O197" s="157">
        <f>'13'!K65</f>
        <v>21428.57143</v>
      </c>
      <c r="P197" s="157">
        <f>'14'!K65</f>
        <v>21428.57143</v>
      </c>
      <c r="Q197" s="157">
        <f>'15'!K65</f>
        <v>21428.57143</v>
      </c>
      <c r="R197" s="157">
        <f>'16'!K65</f>
        <v>21428.57143</v>
      </c>
      <c r="S197" s="157">
        <f>'17'!K65</f>
        <v>22000</v>
      </c>
      <c r="T197" s="157">
        <f>'18'!K65</f>
        <v>22000</v>
      </c>
      <c r="U197" s="157">
        <f>'19'!K65</f>
        <v>22000</v>
      </c>
      <c r="V197" s="157">
        <f>'20'!K65</f>
        <v>21428.57143</v>
      </c>
      <c r="W197" s="157">
        <f>'21'!K65</f>
        <v>21428.57143</v>
      </c>
      <c r="X197" s="157">
        <f>'22'!K65</f>
        <v>21428.57143</v>
      </c>
      <c r="Y197" s="157">
        <f>'23'!K65</f>
        <v>21428.57143</v>
      </c>
      <c r="Z197" s="157">
        <f>'24'!K65</f>
        <v>21428.57143</v>
      </c>
      <c r="AA197" s="157">
        <f>'25'!K65</f>
        <v>21428.57143</v>
      </c>
      <c r="AB197" s="157">
        <f>'26'!K65</f>
        <v>21428.57143</v>
      </c>
      <c r="AC197" s="157">
        <f>'27'!K65</f>
        <v>21714.28571</v>
      </c>
      <c r="AD197" s="157">
        <f>'28'!K65</f>
        <v>21714.28571</v>
      </c>
      <c r="AE197" s="157">
        <f>'29'!K65</f>
        <v>21714.28571</v>
      </c>
      <c r="AF197" s="157">
        <f>'30'!K65</f>
        <v>21714.28571</v>
      </c>
      <c r="AG197" s="157">
        <f>'31'!K65</f>
        <v>21714.28571</v>
      </c>
    </row>
    <row r="198" ht="15.75" customHeight="1">
      <c r="A198" s="178"/>
      <c r="B198" s="160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</row>
    <row r="199" ht="15.75" customHeight="1">
      <c r="A199" s="172"/>
      <c r="B199" s="163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</row>
    <row r="200" ht="15.75" customHeight="1">
      <c r="A200" s="172"/>
      <c r="B200" s="163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</row>
    <row r="201" ht="15.75" customHeight="1">
      <c r="A201" s="179"/>
      <c r="B201" s="163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</row>
    <row r="202" ht="15.75" customHeight="1">
      <c r="A202" s="172"/>
      <c r="B202" s="163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</row>
    <row r="203" ht="15.75" customHeight="1">
      <c r="A203" s="172"/>
      <c r="B203" s="163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</row>
    <row r="204" ht="15.75" customHeight="1">
      <c r="A204" s="172"/>
      <c r="B204" s="163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</row>
    <row r="205" ht="15.75" customHeight="1">
      <c r="A205" s="172"/>
      <c r="B205" s="163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</row>
    <row r="206" ht="15.75" customHeight="1">
      <c r="A206" s="172"/>
      <c r="B206" s="163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</row>
    <row r="207" ht="15.75" customHeight="1">
      <c r="A207" s="172"/>
      <c r="B207" s="163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</row>
    <row r="208" ht="15.75" customHeight="1">
      <c r="A208" s="172"/>
      <c r="B208" s="163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</row>
    <row r="209" ht="15.75" customHeight="1">
      <c r="A209" s="172"/>
      <c r="B209" s="163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</row>
    <row r="210" ht="15.75" customHeight="1">
      <c r="A210" s="172"/>
      <c r="B210" s="163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</row>
    <row r="211" ht="15.75" customHeight="1">
      <c r="A211" s="179"/>
      <c r="B211" s="163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</row>
    <row r="212" ht="15.75" customHeight="1">
      <c r="A212" s="172"/>
      <c r="B212" s="163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</row>
    <row r="213" ht="15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148"/>
      <c r="AE213" s="148"/>
      <c r="AF213" s="148"/>
      <c r="AG213" s="148"/>
    </row>
    <row r="214" ht="15.75" customHeight="1">
      <c r="A214" s="172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  <c r="AD214" s="148"/>
      <c r="AE214" s="148"/>
      <c r="AF214" s="148"/>
      <c r="AG214" s="148"/>
    </row>
    <row r="215" ht="15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  <c r="AD215" s="148"/>
      <c r="AE215" s="148"/>
      <c r="AF215" s="148"/>
      <c r="AG215" s="148"/>
    </row>
    <row r="216" ht="15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  <c r="AD216" s="148"/>
      <c r="AE216" s="148"/>
      <c r="AF216" s="148"/>
      <c r="AG216" s="148"/>
    </row>
    <row r="217" ht="15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  <c r="AD217" s="148"/>
      <c r="AE217" s="148"/>
      <c r="AF217" s="148"/>
      <c r="AG217" s="148"/>
    </row>
    <row r="218" ht="15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</row>
    <row r="219" ht="15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</row>
    <row r="220" ht="15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</row>
    <row r="221" ht="15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</row>
    <row r="222" ht="15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148"/>
      <c r="AE222" s="148"/>
      <c r="AF222" s="148"/>
      <c r="AG222" s="148"/>
    </row>
    <row r="223" ht="15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148"/>
      <c r="AE223" s="148"/>
      <c r="AF223" s="148"/>
      <c r="AG223" s="148"/>
    </row>
    <row r="224" ht="15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148"/>
      <c r="AE224" s="148"/>
      <c r="AF224" s="148"/>
      <c r="AG224" s="148"/>
    </row>
    <row r="225" ht="15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  <c r="AD225" s="148"/>
      <c r="AE225" s="148"/>
      <c r="AF225" s="148"/>
      <c r="AG225" s="148"/>
    </row>
    <row r="226" ht="15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  <c r="AD226" s="148"/>
      <c r="AE226" s="148"/>
      <c r="AF226" s="148"/>
      <c r="AG226" s="148"/>
    </row>
    <row r="227" ht="15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  <c r="AD227" s="148"/>
      <c r="AE227" s="148"/>
      <c r="AF227" s="148"/>
      <c r="AG227" s="148"/>
    </row>
    <row r="228" ht="15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  <c r="AD228" s="148"/>
      <c r="AE228" s="148"/>
      <c r="AF228" s="148"/>
      <c r="AG228" s="148"/>
    </row>
    <row r="229" ht="15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  <c r="AD229" s="148"/>
      <c r="AE229" s="148"/>
      <c r="AF229" s="148"/>
      <c r="AG229" s="148"/>
    </row>
    <row r="230" ht="15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  <c r="AD230" s="148"/>
      <c r="AE230" s="148"/>
      <c r="AF230" s="148"/>
      <c r="AG230" s="148"/>
    </row>
    <row r="231" ht="15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  <c r="AD231" s="148"/>
      <c r="AE231" s="148"/>
      <c r="AF231" s="148"/>
      <c r="AG231" s="148"/>
    </row>
    <row r="232" ht="15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  <c r="AD232" s="148"/>
      <c r="AE232" s="148"/>
      <c r="AF232" s="148"/>
      <c r="AG232" s="148"/>
    </row>
    <row r="233" ht="15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</row>
    <row r="234" ht="15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148"/>
      <c r="AE234" s="148"/>
      <c r="AF234" s="148"/>
      <c r="AG234" s="148"/>
    </row>
    <row r="235" ht="15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148"/>
      <c r="AE235" s="148"/>
      <c r="AF235" s="148"/>
      <c r="AG235" s="148"/>
    </row>
    <row r="236" ht="15.75" customHeight="1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148"/>
      <c r="AE236" s="148"/>
      <c r="AF236" s="148"/>
      <c r="AG236" s="148"/>
    </row>
    <row r="237" ht="15.75" customHeight="1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</row>
    <row r="238" ht="15.75" customHeight="1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  <c r="AD238" s="148"/>
      <c r="AE238" s="148"/>
      <c r="AF238" s="148"/>
      <c r="AG238" s="148"/>
    </row>
    <row r="239" ht="15.75" customHeight="1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8"/>
      <c r="AG239" s="148"/>
    </row>
    <row r="240" ht="15.75" customHeight="1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148"/>
      <c r="AE240" s="148"/>
      <c r="AF240" s="148"/>
      <c r="AG240" s="148"/>
    </row>
    <row r="241" ht="15.75" customHeight="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  <c r="AD241" s="148"/>
      <c r="AE241" s="148"/>
      <c r="AF241" s="148"/>
      <c r="AG241" s="148"/>
    </row>
    <row r="242" ht="15.75" customHeight="1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48"/>
    </row>
    <row r="243" ht="15.75" customHeight="1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  <c r="AD243" s="148"/>
      <c r="AE243" s="148"/>
      <c r="AF243" s="148"/>
      <c r="AG243" s="148"/>
    </row>
    <row r="244" ht="15.75" customHeight="1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  <c r="AD244" s="148"/>
      <c r="AE244" s="148"/>
      <c r="AF244" s="148"/>
      <c r="AG244" s="148"/>
    </row>
    <row r="245" ht="15.75" customHeight="1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  <c r="AD245" s="148"/>
      <c r="AE245" s="148"/>
      <c r="AF245" s="148"/>
      <c r="AG245" s="148"/>
    </row>
    <row r="246" ht="15.75" customHeight="1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</row>
    <row r="247" ht="15.75" customHeight="1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8"/>
      <c r="AG247" s="148"/>
    </row>
    <row r="248" ht="15.75" customHeight="1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  <c r="AD248" s="148"/>
      <c r="AE248" s="148"/>
      <c r="AF248" s="148"/>
      <c r="AG248" s="148"/>
    </row>
    <row r="249" ht="15.75" customHeight="1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  <c r="AD249" s="148"/>
      <c r="AE249" s="148"/>
      <c r="AF249" s="148"/>
      <c r="AG249" s="148"/>
    </row>
    <row r="250" ht="15.75" customHeight="1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148"/>
      <c r="AE250" s="148"/>
      <c r="AF250" s="148"/>
      <c r="AG250" s="148"/>
    </row>
    <row r="251" ht="15.75" customHeight="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148"/>
      <c r="AE251" s="148"/>
      <c r="AF251" s="148"/>
      <c r="AG251" s="148"/>
    </row>
    <row r="252" ht="15.75" customHeight="1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8"/>
      <c r="AE252" s="148"/>
      <c r="AF252" s="148"/>
      <c r="AG252" s="148"/>
    </row>
    <row r="253" ht="15.75" customHeight="1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  <c r="AD253" s="148"/>
      <c r="AE253" s="148"/>
      <c r="AF253" s="148"/>
      <c r="AG253" s="148"/>
    </row>
    <row r="254" ht="15.75" customHeight="1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148"/>
      <c r="AE254" s="148"/>
      <c r="AF254" s="148"/>
      <c r="AG254" s="148"/>
    </row>
    <row r="255" ht="15.75" customHeight="1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  <c r="AD255" s="148"/>
      <c r="AE255" s="148"/>
      <c r="AF255" s="148"/>
      <c r="AG255" s="148"/>
    </row>
    <row r="256" ht="15.75" customHeight="1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  <c r="AD256" s="148"/>
      <c r="AE256" s="148"/>
      <c r="AF256" s="148"/>
      <c r="AG256" s="148"/>
    </row>
    <row r="257" ht="15.75" customHeight="1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  <c r="AD257" s="148"/>
      <c r="AE257" s="148"/>
      <c r="AF257" s="148"/>
      <c r="AG257" s="148"/>
    </row>
    <row r="258" ht="15.75" customHeight="1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  <c r="AD258" s="148"/>
      <c r="AE258" s="148"/>
      <c r="AF258" s="148"/>
      <c r="AG258" s="148"/>
    </row>
    <row r="259" ht="15.75" customHeight="1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  <c r="AD259" s="148"/>
      <c r="AE259" s="148"/>
      <c r="AF259" s="148"/>
      <c r="AG259" s="148"/>
    </row>
    <row r="260" ht="15.75" customHeight="1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  <c r="AD260" s="148"/>
      <c r="AE260" s="148"/>
      <c r="AF260" s="148"/>
      <c r="AG260" s="148"/>
    </row>
    <row r="261" ht="15.75" customHeight="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  <c r="AD261" s="148"/>
      <c r="AE261" s="148"/>
      <c r="AF261" s="148"/>
      <c r="AG261" s="148"/>
    </row>
    <row r="262" ht="15.75" customHeight="1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  <c r="AD262" s="148"/>
      <c r="AE262" s="148"/>
      <c r="AF262" s="148"/>
      <c r="AG262" s="148"/>
    </row>
    <row r="263" ht="15.75" customHeight="1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148"/>
      <c r="AE263" s="148"/>
      <c r="AF263" s="148"/>
      <c r="AG263" s="148"/>
    </row>
    <row r="264" ht="15.75" customHeight="1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148"/>
      <c r="AE264" s="148"/>
      <c r="AF264" s="148"/>
      <c r="AG264" s="148"/>
    </row>
    <row r="265" ht="15.75" customHeight="1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</row>
    <row r="266" ht="15.75" customHeight="1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  <c r="AD266" s="148"/>
      <c r="AE266" s="148"/>
      <c r="AF266" s="148"/>
      <c r="AG266" s="148"/>
    </row>
    <row r="267" ht="15.75" customHeight="1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  <c r="AD267" s="148"/>
      <c r="AE267" s="148"/>
      <c r="AF267" s="148"/>
      <c r="AG267" s="148"/>
    </row>
    <row r="268" ht="15.75" customHeight="1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148"/>
      <c r="AE268" s="148"/>
      <c r="AF268" s="148"/>
      <c r="AG268" s="148"/>
    </row>
    <row r="269" ht="15.75" customHeight="1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</row>
    <row r="270" ht="15.75" customHeight="1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148"/>
      <c r="AE270" s="148"/>
      <c r="AF270" s="148"/>
      <c r="AG270" s="148"/>
    </row>
    <row r="271" ht="15.75" customHeight="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148"/>
      <c r="AE271" s="148"/>
      <c r="AF271" s="148"/>
      <c r="AG271" s="148"/>
    </row>
    <row r="272" ht="15.75" customHeight="1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  <c r="AD272" s="148"/>
      <c r="AE272" s="148"/>
      <c r="AF272" s="148"/>
      <c r="AG272" s="148"/>
    </row>
    <row r="273" ht="15.75" customHeight="1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8"/>
    </row>
    <row r="274" ht="15.75" customHeight="1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  <c r="AD274" s="148"/>
      <c r="AE274" s="148"/>
      <c r="AF274" s="148"/>
      <c r="AG274" s="148"/>
    </row>
    <row r="275" ht="15.75" customHeight="1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  <c r="AD275" s="148"/>
      <c r="AE275" s="148"/>
      <c r="AF275" s="148"/>
      <c r="AG275" s="148"/>
    </row>
    <row r="276" ht="15.75" customHeight="1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  <c r="AD276" s="148"/>
      <c r="AE276" s="148"/>
      <c r="AF276" s="148"/>
      <c r="AG276" s="148"/>
    </row>
    <row r="277" ht="15.75" customHeight="1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148"/>
      <c r="AE277" s="148"/>
      <c r="AF277" s="148"/>
      <c r="AG277" s="148"/>
    </row>
    <row r="278" ht="15.75" customHeight="1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  <c r="AD278" s="148"/>
      <c r="AE278" s="148"/>
      <c r="AF278" s="148"/>
      <c r="AG278" s="148"/>
    </row>
    <row r="279" ht="15.75" customHeight="1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</row>
    <row r="280" ht="15.75" customHeight="1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  <c r="AD280" s="148"/>
      <c r="AE280" s="148"/>
      <c r="AF280" s="148"/>
      <c r="AG280" s="148"/>
    </row>
    <row r="281" ht="15.75" customHeight="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</row>
    <row r="282" ht="15.75" customHeight="1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  <c r="AD282" s="148"/>
      <c r="AE282" s="148"/>
      <c r="AF282" s="148"/>
      <c r="AG282" s="148"/>
    </row>
    <row r="283" ht="15.75" customHeight="1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  <c r="AD283" s="148"/>
      <c r="AE283" s="148"/>
      <c r="AF283" s="148"/>
      <c r="AG283" s="148"/>
    </row>
    <row r="284" ht="15.75" customHeight="1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  <c r="AD284" s="148"/>
      <c r="AE284" s="148"/>
      <c r="AF284" s="148"/>
      <c r="AG284" s="148"/>
    </row>
    <row r="285" ht="15.75" customHeight="1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  <c r="AD285" s="148"/>
      <c r="AE285" s="148"/>
      <c r="AF285" s="148"/>
      <c r="AG285" s="148"/>
    </row>
    <row r="286" ht="15.75" customHeight="1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  <c r="AD286" s="148"/>
      <c r="AE286" s="148"/>
      <c r="AF286" s="148"/>
      <c r="AG286" s="148"/>
    </row>
    <row r="287" ht="15.75" customHeight="1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  <c r="AD287" s="148"/>
      <c r="AE287" s="148"/>
      <c r="AF287" s="148"/>
      <c r="AG287" s="148"/>
    </row>
    <row r="288" ht="15.75" customHeight="1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  <c r="AD288" s="148"/>
      <c r="AE288" s="148"/>
      <c r="AF288" s="148"/>
      <c r="AG288" s="148"/>
    </row>
    <row r="289" ht="15.75" customHeight="1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  <c r="AD289" s="148"/>
      <c r="AE289" s="148"/>
      <c r="AF289" s="148"/>
      <c r="AG289" s="148"/>
    </row>
    <row r="290" ht="15.75" customHeight="1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  <c r="AD290" s="148"/>
      <c r="AE290" s="148"/>
      <c r="AF290" s="148"/>
      <c r="AG290" s="148"/>
    </row>
    <row r="291" ht="15.75" customHeight="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  <c r="AD291" s="148"/>
      <c r="AE291" s="148"/>
      <c r="AF291" s="148"/>
      <c r="AG291" s="148"/>
    </row>
    <row r="292" ht="15.75" customHeight="1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  <c r="AD292" s="148"/>
      <c r="AE292" s="148"/>
      <c r="AF292" s="148"/>
      <c r="AG292" s="148"/>
    </row>
    <row r="293" ht="15.75" customHeight="1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  <c r="AD293" s="148"/>
      <c r="AE293" s="148"/>
      <c r="AF293" s="148"/>
      <c r="AG293" s="148"/>
    </row>
    <row r="294" ht="15.75" customHeight="1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  <c r="AD294" s="148"/>
      <c r="AE294" s="148"/>
      <c r="AF294" s="148"/>
      <c r="AG294" s="148"/>
    </row>
    <row r="295" ht="15.75" customHeight="1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48"/>
      <c r="AG295" s="148"/>
    </row>
    <row r="296" ht="15.75" customHeight="1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48"/>
      <c r="AG296" s="148"/>
    </row>
    <row r="297" ht="15.75" customHeight="1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  <c r="AD297" s="148"/>
      <c r="AE297" s="148"/>
      <c r="AF297" s="148"/>
      <c r="AG297" s="148"/>
    </row>
    <row r="298" ht="15.75" customHeight="1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  <c r="AD298" s="148"/>
      <c r="AE298" s="148"/>
      <c r="AF298" s="148"/>
      <c r="AG298" s="148"/>
    </row>
    <row r="299" ht="15.75" customHeight="1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48"/>
      <c r="AG299" s="148"/>
    </row>
    <row r="300" ht="15.75" customHeight="1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  <c r="AD300" s="148"/>
      <c r="AE300" s="148"/>
      <c r="AF300" s="148"/>
      <c r="AG300" s="148"/>
    </row>
    <row r="301" ht="15.75" customHeight="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  <c r="AD301" s="148"/>
      <c r="AE301" s="148"/>
      <c r="AF301" s="148"/>
      <c r="AG301" s="148"/>
    </row>
    <row r="302" ht="15.75" customHeight="1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  <c r="AD302" s="148"/>
      <c r="AE302" s="148"/>
      <c r="AF302" s="148"/>
      <c r="AG302" s="148"/>
    </row>
    <row r="303" ht="15.75" customHeight="1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  <c r="AD303" s="148"/>
      <c r="AE303" s="148"/>
      <c r="AF303" s="148"/>
      <c r="AG303" s="148"/>
    </row>
    <row r="304" ht="15.75" customHeight="1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  <c r="AD304" s="148"/>
      <c r="AE304" s="148"/>
      <c r="AF304" s="148"/>
      <c r="AG304" s="148"/>
    </row>
    <row r="305" ht="15.75" customHeight="1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</row>
    <row r="306" ht="15.75" customHeight="1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148"/>
      <c r="AE306" s="148"/>
      <c r="AF306" s="148"/>
      <c r="AG306" s="148"/>
    </row>
    <row r="307" ht="15.75" customHeight="1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  <c r="AD307" s="148"/>
      <c r="AE307" s="148"/>
      <c r="AF307" s="148"/>
      <c r="AG307" s="148"/>
    </row>
    <row r="308" ht="15.75" customHeight="1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  <c r="AD308" s="148"/>
      <c r="AE308" s="148"/>
      <c r="AF308" s="148"/>
      <c r="AG308" s="148"/>
    </row>
    <row r="309" ht="15.75" customHeight="1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148"/>
      <c r="AE309" s="148"/>
      <c r="AF309" s="148"/>
      <c r="AG309" s="148"/>
    </row>
    <row r="310" ht="15.75" customHeight="1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  <c r="AD310" s="148"/>
      <c r="AE310" s="148"/>
      <c r="AF310" s="148"/>
      <c r="AG310" s="148"/>
    </row>
    <row r="311" ht="15.75" customHeight="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  <c r="AD311" s="148"/>
      <c r="AE311" s="148"/>
      <c r="AF311" s="148"/>
      <c r="AG311" s="148"/>
    </row>
    <row r="312" ht="15.75" customHeight="1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  <c r="AD312" s="148"/>
      <c r="AE312" s="148"/>
      <c r="AF312" s="148"/>
      <c r="AG312" s="148"/>
    </row>
    <row r="313" ht="15.75" customHeight="1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  <c r="AD313" s="148"/>
      <c r="AE313" s="148"/>
      <c r="AF313" s="148"/>
      <c r="AG313" s="148"/>
    </row>
    <row r="314" ht="15.75" customHeight="1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  <c r="AD314" s="148"/>
      <c r="AE314" s="148"/>
      <c r="AF314" s="148"/>
      <c r="AG314" s="148"/>
    </row>
    <row r="315" ht="15.75" customHeight="1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  <c r="AD315" s="148"/>
      <c r="AE315" s="148"/>
      <c r="AF315" s="148"/>
      <c r="AG315" s="148"/>
    </row>
    <row r="316" ht="15.75" customHeight="1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  <c r="AD316" s="148"/>
      <c r="AE316" s="148"/>
      <c r="AF316" s="148"/>
      <c r="AG316" s="148"/>
    </row>
    <row r="317" ht="15.75" customHeight="1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  <c r="AD317" s="148"/>
      <c r="AE317" s="148"/>
      <c r="AF317" s="148"/>
      <c r="AG317" s="148"/>
    </row>
    <row r="318" ht="15.75" customHeight="1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  <c r="AD318" s="148"/>
      <c r="AE318" s="148"/>
      <c r="AF318" s="148"/>
      <c r="AG318" s="148"/>
    </row>
    <row r="319" ht="15.75" customHeight="1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  <c r="AD319" s="148"/>
      <c r="AE319" s="148"/>
      <c r="AF319" s="148"/>
      <c r="AG319" s="148"/>
    </row>
    <row r="320" ht="15.75" customHeight="1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  <c r="AD320" s="148"/>
      <c r="AE320" s="148"/>
      <c r="AF320" s="148"/>
      <c r="AG320" s="148"/>
    </row>
    <row r="321" ht="15.75" customHeight="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  <c r="AD321" s="148"/>
      <c r="AE321" s="148"/>
      <c r="AF321" s="148"/>
      <c r="AG321" s="148"/>
    </row>
    <row r="322" ht="15.75" customHeight="1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  <c r="AD322" s="148"/>
      <c r="AE322" s="148"/>
      <c r="AF322" s="148"/>
      <c r="AG322" s="148"/>
    </row>
    <row r="323" ht="15.75" customHeight="1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  <c r="AD323" s="148"/>
      <c r="AE323" s="148"/>
      <c r="AF323" s="148"/>
      <c r="AG323" s="148"/>
    </row>
    <row r="324" ht="15.75" customHeight="1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  <c r="AD324" s="148"/>
      <c r="AE324" s="148"/>
      <c r="AF324" s="148"/>
      <c r="AG324" s="148"/>
    </row>
    <row r="325" ht="15.75" customHeight="1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8"/>
    </row>
    <row r="326" ht="15.75" customHeight="1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  <c r="AD326" s="148"/>
      <c r="AE326" s="148"/>
      <c r="AF326" s="148"/>
      <c r="AG326" s="148"/>
    </row>
    <row r="327" ht="15.75" customHeight="1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  <c r="AD327" s="148"/>
      <c r="AE327" s="148"/>
      <c r="AF327" s="148"/>
      <c r="AG327" s="148"/>
    </row>
    <row r="328" ht="15.75" customHeight="1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  <c r="AD328" s="148"/>
      <c r="AE328" s="148"/>
      <c r="AF328" s="148"/>
      <c r="AG328" s="148"/>
    </row>
    <row r="329" ht="15.75" customHeight="1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  <c r="AD329" s="148"/>
      <c r="AE329" s="148"/>
      <c r="AF329" s="148"/>
      <c r="AG329" s="148"/>
    </row>
    <row r="330" ht="15.75" customHeight="1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  <c r="AD330" s="148"/>
      <c r="AE330" s="148"/>
      <c r="AF330" s="148"/>
      <c r="AG330" s="148"/>
    </row>
    <row r="331" ht="15.75" customHeight="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  <c r="AD331" s="148"/>
      <c r="AE331" s="148"/>
      <c r="AF331" s="148"/>
      <c r="AG331" s="148"/>
    </row>
    <row r="332" ht="15.75" customHeight="1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  <c r="AD332" s="148"/>
      <c r="AE332" s="148"/>
      <c r="AF332" s="148"/>
      <c r="AG332" s="148"/>
    </row>
    <row r="333" ht="15.75" customHeight="1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  <c r="AD333" s="148"/>
      <c r="AE333" s="148"/>
      <c r="AF333" s="148"/>
      <c r="AG333" s="148"/>
    </row>
    <row r="334" ht="15.75" customHeight="1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  <c r="AD334" s="148"/>
      <c r="AE334" s="148"/>
      <c r="AF334" s="148"/>
      <c r="AG334" s="148"/>
    </row>
    <row r="335" ht="15.75" customHeight="1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  <c r="AD335" s="148"/>
      <c r="AE335" s="148"/>
      <c r="AF335" s="148"/>
      <c r="AG335" s="148"/>
    </row>
    <row r="336" ht="15.75" customHeight="1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  <c r="AD336" s="148"/>
      <c r="AE336" s="148"/>
      <c r="AF336" s="148"/>
      <c r="AG336" s="148"/>
    </row>
    <row r="337" ht="15.75" customHeight="1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  <c r="AD337" s="148"/>
      <c r="AE337" s="148"/>
      <c r="AF337" s="148"/>
      <c r="AG337" s="148"/>
    </row>
    <row r="338" ht="15.75" customHeight="1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  <c r="AD338" s="148"/>
      <c r="AE338" s="148"/>
      <c r="AF338" s="148"/>
      <c r="AG338" s="148"/>
    </row>
    <row r="339" ht="15.75" customHeight="1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  <c r="AD339" s="148"/>
      <c r="AE339" s="148"/>
      <c r="AF339" s="148"/>
      <c r="AG339" s="148"/>
    </row>
    <row r="340" ht="15.75" customHeight="1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  <c r="AD340" s="148"/>
      <c r="AE340" s="148"/>
      <c r="AF340" s="148"/>
      <c r="AG340" s="148"/>
    </row>
    <row r="341" ht="15.75" customHeight="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  <c r="AD341" s="148"/>
      <c r="AE341" s="148"/>
      <c r="AF341" s="148"/>
      <c r="AG341" s="148"/>
    </row>
    <row r="342" ht="15.75" customHeight="1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  <c r="AD342" s="148"/>
      <c r="AE342" s="148"/>
      <c r="AF342" s="148"/>
      <c r="AG342" s="148"/>
    </row>
    <row r="343" ht="15.75" customHeight="1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  <c r="AD343" s="148"/>
      <c r="AE343" s="148"/>
      <c r="AF343" s="148"/>
      <c r="AG343" s="148"/>
    </row>
    <row r="344" ht="15.75" customHeight="1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  <c r="AD344" s="148"/>
      <c r="AE344" s="148"/>
      <c r="AF344" s="148"/>
      <c r="AG344" s="148"/>
    </row>
    <row r="345" ht="15.75" customHeight="1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  <c r="AD345" s="148"/>
      <c r="AE345" s="148"/>
      <c r="AF345" s="148"/>
      <c r="AG345" s="148"/>
    </row>
    <row r="346" ht="15.75" customHeight="1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  <c r="AD346" s="148"/>
      <c r="AE346" s="148"/>
      <c r="AF346" s="148"/>
      <c r="AG346" s="148"/>
    </row>
    <row r="347" ht="15.75" customHeight="1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  <c r="AD347" s="148"/>
      <c r="AE347" s="148"/>
      <c r="AF347" s="148"/>
      <c r="AG347" s="148"/>
    </row>
    <row r="348" ht="15.75" customHeight="1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  <c r="AD348" s="148"/>
      <c r="AE348" s="148"/>
      <c r="AF348" s="148"/>
      <c r="AG348" s="148"/>
    </row>
    <row r="349" ht="15.75" customHeight="1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  <c r="AD349" s="148"/>
      <c r="AE349" s="148"/>
      <c r="AF349" s="148"/>
      <c r="AG349" s="148"/>
    </row>
    <row r="350" ht="15.75" customHeight="1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  <c r="AD350" s="148"/>
      <c r="AE350" s="148"/>
      <c r="AF350" s="148"/>
      <c r="AG350" s="148"/>
    </row>
    <row r="351" ht="15.75" customHeight="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  <c r="AD351" s="148"/>
      <c r="AE351" s="148"/>
      <c r="AF351" s="148"/>
      <c r="AG351" s="148"/>
    </row>
    <row r="352" ht="15.75" customHeight="1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  <c r="AD352" s="148"/>
      <c r="AE352" s="148"/>
      <c r="AF352" s="148"/>
      <c r="AG352" s="148"/>
    </row>
    <row r="353" ht="15.75" customHeight="1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  <c r="AD353" s="148"/>
      <c r="AE353" s="148"/>
      <c r="AF353" s="148"/>
      <c r="AG353" s="148"/>
    </row>
    <row r="354" ht="15.75" customHeight="1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  <c r="AD354" s="148"/>
      <c r="AE354" s="148"/>
      <c r="AF354" s="148"/>
      <c r="AG354" s="148"/>
    </row>
    <row r="355" ht="15.75" customHeight="1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  <c r="AD355" s="148"/>
      <c r="AE355" s="148"/>
      <c r="AF355" s="148"/>
      <c r="AG355" s="148"/>
    </row>
    <row r="356" ht="15.75" customHeight="1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  <c r="AD356" s="148"/>
      <c r="AE356" s="148"/>
      <c r="AF356" s="148"/>
      <c r="AG356" s="148"/>
    </row>
    <row r="357" ht="15.75" customHeight="1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  <c r="AD357" s="148"/>
      <c r="AE357" s="148"/>
      <c r="AF357" s="148"/>
      <c r="AG357" s="148"/>
    </row>
    <row r="358" ht="15.75" customHeight="1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  <c r="AD358" s="148"/>
      <c r="AE358" s="148"/>
      <c r="AF358" s="148"/>
      <c r="AG358" s="148"/>
    </row>
    <row r="359" ht="15.75" customHeight="1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  <c r="AD359" s="148"/>
      <c r="AE359" s="148"/>
      <c r="AF359" s="148"/>
      <c r="AG359" s="148"/>
    </row>
    <row r="360" ht="15.75" customHeight="1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  <c r="AD360" s="148"/>
      <c r="AE360" s="148"/>
      <c r="AF360" s="148"/>
      <c r="AG360" s="148"/>
    </row>
    <row r="361" ht="15.75" customHeight="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  <c r="AD361" s="148"/>
      <c r="AE361" s="148"/>
      <c r="AF361" s="148"/>
      <c r="AG361" s="148"/>
    </row>
    <row r="362" ht="15.75" customHeight="1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  <c r="AD362" s="148"/>
      <c r="AE362" s="148"/>
      <c r="AF362" s="148"/>
      <c r="AG362" s="148"/>
    </row>
    <row r="363" ht="15.75" customHeight="1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  <c r="AD363" s="148"/>
      <c r="AE363" s="148"/>
      <c r="AF363" s="148"/>
      <c r="AG363" s="148"/>
    </row>
    <row r="364" ht="15.75" customHeight="1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  <c r="AD364" s="148"/>
      <c r="AE364" s="148"/>
      <c r="AF364" s="148"/>
      <c r="AG364" s="148"/>
    </row>
    <row r="365" ht="15.75" customHeight="1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  <c r="AD365" s="148"/>
      <c r="AE365" s="148"/>
      <c r="AF365" s="148"/>
      <c r="AG365" s="148"/>
    </row>
    <row r="366" ht="15.75" customHeight="1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  <c r="AD366" s="148"/>
      <c r="AE366" s="148"/>
      <c r="AF366" s="148"/>
      <c r="AG366" s="148"/>
    </row>
    <row r="367" ht="15.75" customHeight="1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  <c r="AD367" s="148"/>
      <c r="AE367" s="148"/>
      <c r="AF367" s="148"/>
      <c r="AG367" s="148"/>
    </row>
    <row r="368" ht="15.75" customHeight="1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  <c r="AD368" s="148"/>
      <c r="AE368" s="148"/>
      <c r="AF368" s="148"/>
      <c r="AG368" s="148"/>
    </row>
    <row r="369" ht="15.75" customHeight="1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  <c r="AD369" s="148"/>
      <c r="AE369" s="148"/>
      <c r="AF369" s="148"/>
      <c r="AG369" s="148"/>
    </row>
    <row r="370" ht="15.75" customHeight="1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  <c r="AD370" s="148"/>
      <c r="AE370" s="148"/>
      <c r="AF370" s="148"/>
      <c r="AG370" s="148"/>
    </row>
    <row r="371" ht="15.75" customHeight="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  <c r="AD371" s="148"/>
      <c r="AE371" s="148"/>
      <c r="AF371" s="148"/>
      <c r="AG371" s="148"/>
    </row>
    <row r="372" ht="15.75" customHeight="1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  <c r="AD372" s="148"/>
      <c r="AE372" s="148"/>
      <c r="AF372" s="148"/>
      <c r="AG372" s="148"/>
    </row>
    <row r="373" ht="15.75" customHeight="1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  <c r="AD373" s="148"/>
      <c r="AE373" s="148"/>
      <c r="AF373" s="148"/>
      <c r="AG373" s="148"/>
    </row>
    <row r="374" ht="15.75" customHeight="1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  <c r="AD374" s="148"/>
      <c r="AE374" s="148"/>
      <c r="AF374" s="148"/>
      <c r="AG374" s="148"/>
    </row>
    <row r="375" ht="15.75" customHeight="1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  <c r="AD375" s="148"/>
      <c r="AE375" s="148"/>
      <c r="AF375" s="148"/>
      <c r="AG375" s="148"/>
    </row>
    <row r="376" ht="15.75" customHeight="1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  <c r="AD376" s="148"/>
      <c r="AE376" s="148"/>
      <c r="AF376" s="148"/>
      <c r="AG376" s="148"/>
    </row>
    <row r="377" ht="15.75" customHeight="1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8"/>
    </row>
    <row r="378" ht="15.75" customHeight="1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  <c r="AD378" s="148"/>
      <c r="AE378" s="148"/>
      <c r="AF378" s="148"/>
      <c r="AG378" s="148"/>
    </row>
    <row r="379" ht="15.75" customHeight="1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  <c r="AD379" s="148"/>
      <c r="AE379" s="148"/>
      <c r="AF379" s="148"/>
      <c r="AG379" s="148"/>
    </row>
    <row r="380" ht="15.75" customHeight="1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  <c r="AD380" s="148"/>
      <c r="AE380" s="148"/>
      <c r="AF380" s="148"/>
      <c r="AG380" s="148"/>
    </row>
    <row r="381" ht="15.75" customHeight="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  <c r="AD381" s="148"/>
      <c r="AE381" s="148"/>
      <c r="AF381" s="148"/>
      <c r="AG381" s="148"/>
    </row>
    <row r="382" ht="15.75" customHeight="1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  <c r="AD382" s="148"/>
      <c r="AE382" s="148"/>
      <c r="AF382" s="148"/>
      <c r="AG382" s="148"/>
    </row>
    <row r="383" ht="15.75" customHeight="1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  <c r="AD383" s="148"/>
      <c r="AE383" s="148"/>
      <c r="AF383" s="148"/>
      <c r="AG383" s="148"/>
    </row>
    <row r="384" ht="15.75" customHeight="1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  <c r="AD384" s="148"/>
      <c r="AE384" s="148"/>
      <c r="AF384" s="148"/>
      <c r="AG384" s="148"/>
    </row>
    <row r="385" ht="15.75" customHeight="1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  <c r="AD385" s="148"/>
      <c r="AE385" s="148"/>
      <c r="AF385" s="148"/>
      <c r="AG385" s="148"/>
    </row>
    <row r="386" ht="15.75" customHeight="1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  <c r="AD386" s="148"/>
      <c r="AE386" s="148"/>
      <c r="AF386" s="148"/>
      <c r="AG386" s="148"/>
    </row>
    <row r="387" ht="15.75" customHeight="1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  <c r="AD387" s="148"/>
      <c r="AE387" s="148"/>
      <c r="AF387" s="148"/>
      <c r="AG387" s="148"/>
    </row>
    <row r="388" ht="15.75" customHeight="1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  <c r="AD388" s="148"/>
      <c r="AE388" s="148"/>
      <c r="AF388" s="148"/>
      <c r="AG388" s="148"/>
    </row>
    <row r="389" ht="15.75" customHeight="1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  <c r="AD389" s="148"/>
      <c r="AE389" s="148"/>
      <c r="AF389" s="148"/>
      <c r="AG389" s="148"/>
    </row>
    <row r="390" ht="15.75" customHeight="1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  <c r="AD390" s="148"/>
      <c r="AE390" s="148"/>
      <c r="AF390" s="148"/>
      <c r="AG390" s="148"/>
    </row>
    <row r="391" ht="15.75" customHeight="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  <c r="AD391" s="148"/>
      <c r="AE391" s="148"/>
      <c r="AF391" s="148"/>
      <c r="AG391" s="148"/>
    </row>
    <row r="392" ht="15.75" customHeight="1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  <c r="AD392" s="148"/>
      <c r="AE392" s="148"/>
      <c r="AF392" s="148"/>
      <c r="AG392" s="148"/>
    </row>
    <row r="393" ht="15.75" customHeight="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  <c r="AD393" s="148"/>
      <c r="AE393" s="148"/>
      <c r="AF393" s="148"/>
      <c r="AG393" s="148"/>
    </row>
    <row r="394" ht="15.75" customHeight="1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  <c r="AD394" s="148"/>
      <c r="AE394" s="148"/>
      <c r="AF394" s="148"/>
      <c r="AG394" s="148"/>
    </row>
    <row r="395" ht="15.75" customHeight="1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  <c r="AD395" s="148"/>
      <c r="AE395" s="148"/>
      <c r="AF395" s="148"/>
      <c r="AG395" s="148"/>
    </row>
    <row r="396" ht="15.75" customHeight="1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  <c r="AD396" s="148"/>
      <c r="AE396" s="148"/>
      <c r="AF396" s="148"/>
      <c r="AG396" s="148"/>
    </row>
    <row r="397" ht="15.75" customHeight="1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  <c r="AD397" s="148"/>
      <c r="AE397" s="148"/>
      <c r="AF397" s="148"/>
      <c r="AG397" s="148"/>
    </row>
    <row r="398" ht="15.75" customHeight="1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  <c r="AD398" s="148"/>
      <c r="AE398" s="148"/>
      <c r="AF398" s="148"/>
      <c r="AG398" s="148"/>
    </row>
    <row r="399" ht="15.75" customHeight="1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  <c r="AD399" s="148"/>
      <c r="AE399" s="148"/>
      <c r="AF399" s="148"/>
      <c r="AG399" s="148"/>
    </row>
    <row r="400" ht="15.75" customHeight="1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  <c r="AD400" s="148"/>
      <c r="AE400" s="148"/>
      <c r="AF400" s="148"/>
      <c r="AG400" s="148"/>
    </row>
    <row r="401" ht="15.75" customHeight="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  <c r="AD401" s="148"/>
      <c r="AE401" s="148"/>
      <c r="AF401" s="148"/>
      <c r="AG401" s="148"/>
    </row>
    <row r="402" ht="15.75" customHeight="1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  <c r="AD402" s="148"/>
      <c r="AE402" s="148"/>
      <c r="AF402" s="148"/>
      <c r="AG402" s="148"/>
    </row>
    <row r="403" ht="15.75" customHeight="1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  <c r="AD403" s="148"/>
      <c r="AE403" s="148"/>
      <c r="AF403" s="148"/>
      <c r="AG403" s="148"/>
    </row>
    <row r="404" ht="15.75" customHeight="1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  <c r="AD404" s="148"/>
      <c r="AE404" s="148"/>
      <c r="AF404" s="148"/>
      <c r="AG404" s="148"/>
    </row>
    <row r="405" ht="15.75" customHeight="1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  <c r="AD405" s="148"/>
      <c r="AE405" s="148"/>
      <c r="AF405" s="148"/>
      <c r="AG405" s="148"/>
    </row>
    <row r="406" ht="15.75" customHeight="1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  <c r="AD406" s="148"/>
      <c r="AE406" s="148"/>
      <c r="AF406" s="148"/>
      <c r="AG406" s="148"/>
    </row>
    <row r="407" ht="15.75" customHeight="1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  <c r="AD407" s="148"/>
      <c r="AE407" s="148"/>
      <c r="AF407" s="148"/>
      <c r="AG407" s="148"/>
    </row>
    <row r="408" ht="15.75" customHeight="1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  <c r="AD408" s="148"/>
      <c r="AE408" s="148"/>
      <c r="AF408" s="148"/>
      <c r="AG408" s="148"/>
    </row>
    <row r="409" ht="15.75" customHeight="1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  <c r="AD409" s="148"/>
      <c r="AE409" s="148"/>
      <c r="AF409" s="148"/>
      <c r="AG409" s="148"/>
    </row>
    <row r="410" ht="15.75" customHeight="1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  <c r="AD410" s="148"/>
      <c r="AE410" s="148"/>
      <c r="AF410" s="148"/>
      <c r="AG410" s="148"/>
    </row>
    <row r="411" ht="15.75" customHeight="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  <c r="AD411" s="148"/>
      <c r="AE411" s="148"/>
      <c r="AF411" s="148"/>
      <c r="AG411" s="148"/>
    </row>
    <row r="412" ht="15.75" customHeight="1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  <c r="AD412" s="148"/>
      <c r="AE412" s="148"/>
      <c r="AF412" s="148"/>
      <c r="AG412" s="148"/>
    </row>
    <row r="413" ht="15.75" customHeight="1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  <c r="AD413" s="148"/>
      <c r="AE413" s="148"/>
      <c r="AF413" s="148"/>
      <c r="AG413" s="148"/>
    </row>
    <row r="414" ht="15.75" customHeight="1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  <c r="AD414" s="148"/>
      <c r="AE414" s="148"/>
      <c r="AF414" s="148"/>
      <c r="AG414" s="148"/>
    </row>
    <row r="415" ht="15.75" customHeight="1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</row>
    <row r="416" ht="15.75" customHeight="1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  <c r="AD416" s="148"/>
      <c r="AE416" s="148"/>
      <c r="AF416" s="148"/>
      <c r="AG416" s="148"/>
    </row>
    <row r="417" ht="15.75" customHeight="1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  <c r="AD417" s="148"/>
      <c r="AE417" s="148"/>
      <c r="AF417" s="148"/>
      <c r="AG417" s="148"/>
    </row>
    <row r="418" ht="15.75" customHeight="1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  <c r="AD418" s="148"/>
      <c r="AE418" s="148"/>
      <c r="AF418" s="148"/>
      <c r="AG418" s="148"/>
    </row>
    <row r="419" ht="15.75" customHeight="1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  <c r="AD419" s="148"/>
      <c r="AE419" s="148"/>
      <c r="AF419" s="148"/>
      <c r="AG419" s="148"/>
    </row>
    <row r="420" ht="15.75" customHeight="1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  <c r="AD420" s="148"/>
      <c r="AE420" s="148"/>
      <c r="AF420" s="148"/>
      <c r="AG420" s="148"/>
    </row>
    <row r="421" ht="15.75" customHeight="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  <c r="AD421" s="148"/>
      <c r="AE421" s="148"/>
      <c r="AF421" s="148"/>
      <c r="AG421" s="148"/>
    </row>
    <row r="422" ht="15.75" customHeight="1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  <c r="AD422" s="148"/>
      <c r="AE422" s="148"/>
      <c r="AF422" s="148"/>
      <c r="AG422" s="148"/>
    </row>
    <row r="423" ht="15.75" customHeight="1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  <c r="AD423" s="148"/>
      <c r="AE423" s="148"/>
      <c r="AF423" s="148"/>
      <c r="AG423" s="148"/>
    </row>
    <row r="424" ht="15.75" customHeight="1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  <c r="AD424" s="148"/>
      <c r="AE424" s="148"/>
      <c r="AF424" s="148"/>
      <c r="AG424" s="148"/>
    </row>
    <row r="425" ht="15.75" customHeight="1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  <c r="AD425" s="148"/>
      <c r="AE425" s="148"/>
      <c r="AF425" s="148"/>
      <c r="AG425" s="148"/>
    </row>
    <row r="426" ht="15.75" customHeight="1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  <c r="AD426" s="148"/>
      <c r="AE426" s="148"/>
      <c r="AF426" s="148"/>
      <c r="AG426" s="148"/>
    </row>
    <row r="427" ht="15.75" customHeight="1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  <c r="AD427" s="148"/>
      <c r="AE427" s="148"/>
      <c r="AF427" s="148"/>
      <c r="AG427" s="148"/>
    </row>
    <row r="428" ht="15.75" customHeight="1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  <c r="AD428" s="148"/>
      <c r="AE428" s="148"/>
      <c r="AF428" s="148"/>
      <c r="AG428" s="148"/>
    </row>
    <row r="429" ht="15.75" customHeight="1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8"/>
    </row>
    <row r="430" ht="15.75" customHeight="1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  <c r="AD430" s="148"/>
      <c r="AE430" s="148"/>
      <c r="AF430" s="148"/>
      <c r="AG430" s="148"/>
    </row>
    <row r="431" ht="15.75" customHeight="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  <c r="AD431" s="148"/>
      <c r="AE431" s="148"/>
      <c r="AF431" s="148"/>
      <c r="AG431" s="148"/>
    </row>
    <row r="432" ht="15.75" customHeight="1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  <c r="AD432" s="148"/>
      <c r="AE432" s="148"/>
      <c r="AF432" s="148"/>
      <c r="AG432" s="148"/>
    </row>
    <row r="433" ht="15.75" customHeight="1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  <c r="AD433" s="148"/>
      <c r="AE433" s="148"/>
      <c r="AF433" s="148"/>
      <c r="AG433" s="148"/>
    </row>
    <row r="434" ht="15.75" customHeight="1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  <c r="AD434" s="148"/>
      <c r="AE434" s="148"/>
      <c r="AF434" s="148"/>
      <c r="AG434" s="148"/>
    </row>
    <row r="435" ht="15.75" customHeight="1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  <c r="AD435" s="148"/>
      <c r="AE435" s="148"/>
      <c r="AF435" s="148"/>
      <c r="AG435" s="148"/>
    </row>
    <row r="436" ht="15.75" customHeight="1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  <c r="AD436" s="148"/>
      <c r="AE436" s="148"/>
      <c r="AF436" s="148"/>
      <c r="AG436" s="148"/>
    </row>
    <row r="437" ht="15.75" customHeight="1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  <c r="AD437" s="148"/>
      <c r="AE437" s="148"/>
      <c r="AF437" s="148"/>
      <c r="AG437" s="148"/>
    </row>
    <row r="438" ht="15.75" customHeight="1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  <c r="AD438" s="148"/>
      <c r="AE438" s="148"/>
      <c r="AF438" s="148"/>
      <c r="AG438" s="148"/>
    </row>
    <row r="439" ht="15.75" customHeight="1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  <c r="AD439" s="148"/>
      <c r="AE439" s="148"/>
      <c r="AF439" s="148"/>
      <c r="AG439" s="148"/>
    </row>
    <row r="440" ht="15.75" customHeight="1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  <c r="AD440" s="148"/>
      <c r="AE440" s="148"/>
      <c r="AF440" s="148"/>
      <c r="AG440" s="148"/>
    </row>
    <row r="441" ht="15.75" customHeight="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  <c r="AD441" s="148"/>
      <c r="AE441" s="148"/>
      <c r="AF441" s="148"/>
      <c r="AG441" s="148"/>
    </row>
    <row r="442" ht="15.75" customHeight="1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  <c r="AD442" s="148"/>
      <c r="AE442" s="148"/>
      <c r="AF442" s="148"/>
      <c r="AG442" s="148"/>
    </row>
    <row r="443" ht="15.75" customHeight="1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  <c r="AD443" s="148"/>
      <c r="AE443" s="148"/>
      <c r="AF443" s="148"/>
      <c r="AG443" s="148"/>
    </row>
    <row r="444" ht="15.75" customHeight="1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  <c r="AD444" s="148"/>
      <c r="AE444" s="148"/>
      <c r="AF444" s="148"/>
      <c r="AG444" s="148"/>
    </row>
    <row r="445" ht="15.75" customHeight="1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  <c r="AD445" s="148"/>
      <c r="AE445" s="148"/>
      <c r="AF445" s="148"/>
      <c r="AG445" s="148"/>
    </row>
    <row r="446" ht="15.75" customHeight="1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  <c r="AD446" s="148"/>
      <c r="AE446" s="148"/>
      <c r="AF446" s="148"/>
      <c r="AG446" s="148"/>
    </row>
    <row r="447" ht="15.75" customHeight="1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</row>
    <row r="448" ht="15.75" customHeight="1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  <c r="AD448" s="148"/>
      <c r="AE448" s="148"/>
      <c r="AF448" s="148"/>
      <c r="AG448" s="148"/>
    </row>
    <row r="449" ht="15.75" customHeight="1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  <c r="AD449" s="148"/>
      <c r="AE449" s="148"/>
      <c r="AF449" s="148"/>
      <c r="AG449" s="148"/>
    </row>
    <row r="450" ht="15.75" customHeight="1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  <c r="AD450" s="148"/>
      <c r="AE450" s="148"/>
      <c r="AF450" s="148"/>
      <c r="AG450" s="148"/>
    </row>
    <row r="451" ht="15.75" customHeight="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</row>
    <row r="452" ht="15.75" customHeight="1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  <c r="AD452" s="148"/>
      <c r="AE452" s="148"/>
      <c r="AF452" s="148"/>
      <c r="AG452" s="148"/>
    </row>
    <row r="453" ht="15.75" customHeight="1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</row>
    <row r="454" ht="15.75" customHeight="1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  <c r="AD454" s="148"/>
      <c r="AE454" s="148"/>
      <c r="AF454" s="148"/>
      <c r="AG454" s="148"/>
    </row>
    <row r="455" ht="15.75" customHeight="1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  <c r="AD455" s="148"/>
      <c r="AE455" s="148"/>
      <c r="AF455" s="148"/>
      <c r="AG455" s="148"/>
    </row>
    <row r="456" ht="15.75" customHeight="1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  <c r="AD456" s="148"/>
      <c r="AE456" s="148"/>
      <c r="AF456" s="148"/>
      <c r="AG456" s="148"/>
    </row>
    <row r="457" ht="15.75" customHeight="1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  <c r="AD457" s="148"/>
      <c r="AE457" s="148"/>
      <c r="AF457" s="148"/>
      <c r="AG457" s="148"/>
    </row>
    <row r="458" ht="15.75" customHeight="1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  <c r="AD458" s="148"/>
      <c r="AE458" s="148"/>
      <c r="AF458" s="148"/>
      <c r="AG458" s="148"/>
    </row>
    <row r="459" ht="15.75" customHeight="1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  <c r="AD459" s="148"/>
      <c r="AE459" s="148"/>
      <c r="AF459" s="148"/>
      <c r="AG459" s="148"/>
    </row>
    <row r="460" ht="15.75" customHeight="1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  <c r="AD460" s="148"/>
      <c r="AE460" s="148"/>
      <c r="AF460" s="148"/>
      <c r="AG460" s="148"/>
    </row>
    <row r="461" ht="15.75" customHeight="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  <c r="AD461" s="148"/>
      <c r="AE461" s="148"/>
      <c r="AF461" s="148"/>
      <c r="AG461" s="148"/>
    </row>
    <row r="462" ht="15.75" customHeight="1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  <c r="AD462" s="148"/>
      <c r="AE462" s="148"/>
      <c r="AF462" s="148"/>
      <c r="AG462" s="148"/>
    </row>
    <row r="463" ht="15.75" customHeight="1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  <c r="AD463" s="148"/>
      <c r="AE463" s="148"/>
      <c r="AF463" s="148"/>
      <c r="AG463" s="148"/>
    </row>
    <row r="464" ht="15.75" customHeight="1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  <c r="AD464" s="148"/>
      <c r="AE464" s="148"/>
      <c r="AF464" s="148"/>
      <c r="AG464" s="148"/>
    </row>
    <row r="465" ht="15.75" customHeight="1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  <c r="AD465" s="148"/>
      <c r="AE465" s="148"/>
      <c r="AF465" s="148"/>
      <c r="AG465" s="148"/>
    </row>
    <row r="466" ht="15.75" customHeight="1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  <c r="AD466" s="148"/>
      <c r="AE466" s="148"/>
      <c r="AF466" s="148"/>
      <c r="AG466" s="148"/>
    </row>
    <row r="467" ht="15.75" customHeight="1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  <c r="AD467" s="148"/>
      <c r="AE467" s="148"/>
      <c r="AF467" s="148"/>
      <c r="AG467" s="148"/>
    </row>
    <row r="468" ht="15.75" customHeight="1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  <c r="AD468" s="148"/>
      <c r="AE468" s="148"/>
      <c r="AF468" s="148"/>
      <c r="AG468" s="148"/>
    </row>
    <row r="469" ht="15.75" customHeight="1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  <c r="AD469" s="148"/>
      <c r="AE469" s="148"/>
      <c r="AF469" s="148"/>
      <c r="AG469" s="148"/>
    </row>
    <row r="470" ht="15.75" customHeight="1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  <c r="AD470" s="148"/>
      <c r="AE470" s="148"/>
      <c r="AF470" s="148"/>
      <c r="AG470" s="148"/>
    </row>
    <row r="471" ht="15.75" customHeight="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  <c r="AD471" s="148"/>
      <c r="AE471" s="148"/>
      <c r="AF471" s="148"/>
      <c r="AG471" s="148"/>
    </row>
    <row r="472" ht="15.75" customHeight="1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  <c r="AD472" s="148"/>
      <c r="AE472" s="148"/>
      <c r="AF472" s="148"/>
      <c r="AG472" s="148"/>
    </row>
    <row r="473" ht="15.75" customHeight="1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  <c r="AD473" s="148"/>
      <c r="AE473" s="148"/>
      <c r="AF473" s="148"/>
      <c r="AG473" s="148"/>
    </row>
    <row r="474" ht="15.75" customHeight="1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  <c r="AD474" s="148"/>
      <c r="AE474" s="148"/>
      <c r="AF474" s="148"/>
      <c r="AG474" s="148"/>
    </row>
    <row r="475" ht="15.75" customHeight="1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  <c r="AD475" s="148"/>
      <c r="AE475" s="148"/>
      <c r="AF475" s="148"/>
      <c r="AG475" s="148"/>
    </row>
    <row r="476" ht="15.75" customHeight="1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  <c r="AD476" s="148"/>
      <c r="AE476" s="148"/>
      <c r="AF476" s="148"/>
      <c r="AG476" s="148"/>
    </row>
    <row r="477" ht="15.75" customHeight="1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  <c r="AD477" s="148"/>
      <c r="AE477" s="148"/>
      <c r="AF477" s="148"/>
      <c r="AG477" s="148"/>
    </row>
    <row r="478" ht="15.75" customHeight="1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  <c r="AD478" s="148"/>
      <c r="AE478" s="148"/>
      <c r="AF478" s="148"/>
      <c r="AG478" s="148"/>
    </row>
    <row r="479" ht="15.75" customHeight="1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  <c r="AD479" s="148"/>
      <c r="AE479" s="148"/>
      <c r="AF479" s="148"/>
      <c r="AG479" s="148"/>
    </row>
    <row r="480" ht="15.75" customHeight="1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  <c r="AD480" s="148"/>
      <c r="AE480" s="148"/>
      <c r="AF480" s="148"/>
      <c r="AG480" s="148"/>
    </row>
    <row r="481" ht="15.75" customHeight="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8"/>
    </row>
    <row r="482" ht="15.75" customHeight="1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8"/>
      <c r="AE482" s="148"/>
      <c r="AF482" s="148"/>
      <c r="AG482" s="148"/>
    </row>
    <row r="483" ht="15.75" customHeight="1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  <c r="AD483" s="148"/>
      <c r="AE483" s="148"/>
      <c r="AF483" s="148"/>
      <c r="AG483" s="148"/>
    </row>
    <row r="484" ht="15.75" customHeight="1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  <c r="AD484" s="148"/>
      <c r="AE484" s="148"/>
      <c r="AF484" s="148"/>
      <c r="AG484" s="148"/>
    </row>
    <row r="485" ht="15.75" customHeight="1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  <c r="AD485" s="148"/>
      <c r="AE485" s="148"/>
      <c r="AF485" s="148"/>
      <c r="AG485" s="148"/>
    </row>
    <row r="486" ht="15.75" customHeight="1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  <c r="AD486" s="148"/>
      <c r="AE486" s="148"/>
      <c r="AF486" s="148"/>
      <c r="AG486" s="148"/>
    </row>
    <row r="487" ht="15.75" customHeight="1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  <c r="AD487" s="148"/>
      <c r="AE487" s="148"/>
      <c r="AF487" s="148"/>
      <c r="AG487" s="148"/>
    </row>
    <row r="488" ht="15.75" customHeight="1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  <c r="AD488" s="148"/>
      <c r="AE488" s="148"/>
      <c r="AF488" s="148"/>
      <c r="AG488" s="148"/>
    </row>
    <row r="489" ht="15.75" customHeight="1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  <c r="AD489" s="148"/>
      <c r="AE489" s="148"/>
      <c r="AF489" s="148"/>
      <c r="AG489" s="148"/>
    </row>
    <row r="490" ht="15.75" customHeight="1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  <c r="AD490" s="148"/>
      <c r="AE490" s="148"/>
      <c r="AF490" s="148"/>
      <c r="AG490" s="148"/>
    </row>
    <row r="491" ht="15.75" customHeight="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  <c r="AD491" s="148"/>
      <c r="AE491" s="148"/>
      <c r="AF491" s="148"/>
      <c r="AG491" s="148"/>
    </row>
    <row r="492" ht="15.75" customHeight="1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  <c r="AD492" s="148"/>
      <c r="AE492" s="148"/>
      <c r="AF492" s="148"/>
      <c r="AG492" s="148"/>
    </row>
    <row r="493" ht="15.75" customHeight="1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  <c r="AD493" s="148"/>
      <c r="AE493" s="148"/>
      <c r="AF493" s="148"/>
      <c r="AG493" s="148"/>
    </row>
    <row r="494" ht="15.75" customHeight="1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  <c r="AD494" s="148"/>
      <c r="AE494" s="148"/>
      <c r="AF494" s="148"/>
      <c r="AG494" s="148"/>
    </row>
    <row r="495" ht="15.75" customHeight="1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  <c r="AD495" s="148"/>
      <c r="AE495" s="148"/>
      <c r="AF495" s="148"/>
      <c r="AG495" s="148"/>
    </row>
    <row r="496" ht="15.75" customHeight="1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  <c r="AD496" s="148"/>
      <c r="AE496" s="148"/>
      <c r="AF496" s="148"/>
      <c r="AG496" s="148"/>
    </row>
    <row r="497" ht="15.75" customHeight="1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  <c r="AD497" s="148"/>
      <c r="AE497" s="148"/>
      <c r="AF497" s="148"/>
      <c r="AG497" s="148"/>
    </row>
    <row r="498" ht="15.75" customHeight="1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  <c r="AD498" s="148"/>
      <c r="AE498" s="148"/>
      <c r="AF498" s="148"/>
      <c r="AG498" s="148"/>
    </row>
    <row r="499" ht="15.75" customHeight="1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  <c r="AD499" s="148"/>
      <c r="AE499" s="148"/>
      <c r="AF499" s="148"/>
      <c r="AG499" s="148"/>
    </row>
    <row r="500" ht="15.75" customHeight="1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  <c r="AD500" s="148"/>
      <c r="AE500" s="148"/>
      <c r="AF500" s="148"/>
      <c r="AG500" s="148"/>
    </row>
    <row r="501" ht="15.75" customHeight="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  <c r="AD501" s="148"/>
      <c r="AE501" s="148"/>
      <c r="AF501" s="148"/>
      <c r="AG501" s="148"/>
    </row>
    <row r="502" ht="15.75" customHeight="1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  <c r="AD502" s="148"/>
      <c r="AE502" s="148"/>
      <c r="AF502" s="148"/>
      <c r="AG502" s="148"/>
    </row>
    <row r="503" ht="15.75" customHeight="1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  <c r="AD503" s="148"/>
      <c r="AE503" s="148"/>
      <c r="AF503" s="148"/>
      <c r="AG503" s="148"/>
    </row>
    <row r="504" ht="15.75" customHeight="1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  <c r="AD504" s="148"/>
      <c r="AE504" s="148"/>
      <c r="AF504" s="148"/>
      <c r="AG504" s="148"/>
    </row>
    <row r="505" ht="15.75" customHeight="1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  <c r="AD505" s="148"/>
      <c r="AE505" s="148"/>
      <c r="AF505" s="148"/>
      <c r="AG505" s="148"/>
    </row>
    <row r="506" ht="15.75" customHeight="1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  <c r="AD506" s="148"/>
      <c r="AE506" s="148"/>
      <c r="AF506" s="148"/>
      <c r="AG506" s="148"/>
    </row>
    <row r="507" ht="15.75" customHeight="1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  <c r="AD507" s="148"/>
      <c r="AE507" s="148"/>
      <c r="AF507" s="148"/>
      <c r="AG507" s="148"/>
    </row>
    <row r="508" ht="15.75" customHeight="1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  <c r="AD508" s="148"/>
      <c r="AE508" s="148"/>
      <c r="AF508" s="148"/>
      <c r="AG508" s="148"/>
    </row>
    <row r="509" ht="15.75" customHeight="1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  <c r="AD509" s="148"/>
      <c r="AE509" s="148"/>
      <c r="AF509" s="148"/>
      <c r="AG509" s="148"/>
    </row>
    <row r="510" ht="15.75" customHeight="1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  <c r="AD510" s="148"/>
      <c r="AE510" s="148"/>
      <c r="AF510" s="148"/>
      <c r="AG510" s="148"/>
    </row>
    <row r="511" ht="15.75" customHeight="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  <c r="AD511" s="148"/>
      <c r="AE511" s="148"/>
      <c r="AF511" s="148"/>
      <c r="AG511" s="148"/>
    </row>
    <row r="512" ht="15.75" customHeight="1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  <c r="AD512" s="148"/>
      <c r="AE512" s="148"/>
      <c r="AF512" s="148"/>
      <c r="AG512" s="148"/>
    </row>
    <row r="513" ht="15.75" customHeight="1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  <c r="AD513" s="148"/>
      <c r="AE513" s="148"/>
      <c r="AF513" s="148"/>
      <c r="AG513" s="148"/>
    </row>
    <row r="514" ht="15.75" customHeight="1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</row>
    <row r="515" ht="15.75" customHeight="1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  <c r="AD515" s="148"/>
      <c r="AE515" s="148"/>
      <c r="AF515" s="148"/>
      <c r="AG515" s="148"/>
    </row>
    <row r="516" ht="15.75" customHeight="1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  <c r="AD516" s="148"/>
      <c r="AE516" s="148"/>
      <c r="AF516" s="148"/>
      <c r="AG516" s="148"/>
    </row>
    <row r="517" ht="15.75" customHeight="1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  <c r="AD517" s="148"/>
      <c r="AE517" s="148"/>
      <c r="AF517" s="148"/>
      <c r="AG517" s="148"/>
    </row>
    <row r="518" ht="15.75" customHeight="1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  <c r="AD518" s="148"/>
      <c r="AE518" s="148"/>
      <c r="AF518" s="148"/>
      <c r="AG518" s="148"/>
    </row>
    <row r="519" ht="15.75" customHeight="1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  <c r="AD519" s="148"/>
      <c r="AE519" s="148"/>
      <c r="AF519" s="148"/>
      <c r="AG519" s="148"/>
    </row>
    <row r="520" ht="15.75" customHeight="1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  <c r="AD520" s="148"/>
      <c r="AE520" s="148"/>
      <c r="AF520" s="148"/>
      <c r="AG520" s="148"/>
    </row>
    <row r="521" ht="15.75" customHeight="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  <c r="AD521" s="148"/>
      <c r="AE521" s="148"/>
      <c r="AF521" s="148"/>
      <c r="AG521" s="148"/>
    </row>
    <row r="522" ht="15.75" customHeight="1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  <c r="AD522" s="148"/>
      <c r="AE522" s="148"/>
      <c r="AF522" s="148"/>
      <c r="AG522" s="148"/>
    </row>
    <row r="523" ht="15.75" customHeight="1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  <c r="AD523" s="148"/>
      <c r="AE523" s="148"/>
      <c r="AF523" s="148"/>
      <c r="AG523" s="148"/>
    </row>
    <row r="524" ht="15.75" customHeight="1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  <c r="AD524" s="148"/>
      <c r="AE524" s="148"/>
      <c r="AF524" s="148"/>
      <c r="AG524" s="148"/>
    </row>
    <row r="525" ht="15.75" customHeight="1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  <c r="AD525" s="148"/>
      <c r="AE525" s="148"/>
      <c r="AF525" s="148"/>
      <c r="AG525" s="148"/>
    </row>
    <row r="526" ht="15.75" customHeight="1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  <c r="AD526" s="148"/>
      <c r="AE526" s="148"/>
      <c r="AF526" s="148"/>
      <c r="AG526" s="148"/>
    </row>
    <row r="527" ht="15.75" customHeight="1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  <c r="AD527" s="148"/>
      <c r="AE527" s="148"/>
      <c r="AF527" s="148"/>
      <c r="AG527" s="148"/>
    </row>
    <row r="528" ht="15.75" customHeight="1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  <c r="AD528" s="148"/>
      <c r="AE528" s="148"/>
      <c r="AF528" s="148"/>
      <c r="AG528" s="148"/>
    </row>
    <row r="529" ht="15.75" customHeight="1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148"/>
      <c r="AE529" s="148"/>
      <c r="AF529" s="148"/>
      <c r="AG529" s="148"/>
    </row>
    <row r="530" ht="15.75" customHeight="1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  <c r="AD530" s="148"/>
      <c r="AE530" s="148"/>
      <c r="AF530" s="148"/>
      <c r="AG530" s="148"/>
    </row>
    <row r="531" ht="15.75" customHeight="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  <c r="AD531" s="148"/>
      <c r="AE531" s="148"/>
      <c r="AF531" s="148"/>
      <c r="AG531" s="148"/>
    </row>
    <row r="532" ht="15.75" customHeight="1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  <c r="AD532" s="148"/>
      <c r="AE532" s="148"/>
      <c r="AF532" s="148"/>
      <c r="AG532" s="148"/>
    </row>
    <row r="533" ht="15.75" customHeight="1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  <c r="AD533" s="148"/>
      <c r="AE533" s="148"/>
      <c r="AF533" s="148"/>
      <c r="AG533" s="148"/>
    </row>
    <row r="534" ht="15.75" customHeight="1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148"/>
      <c r="AE534" s="148"/>
      <c r="AF534" s="148"/>
      <c r="AG534" s="148"/>
    </row>
    <row r="535" ht="15.75" customHeight="1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  <c r="AD535" s="148"/>
      <c r="AE535" s="148"/>
      <c r="AF535" s="148"/>
      <c r="AG535" s="148"/>
    </row>
    <row r="536" ht="15.75" customHeight="1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  <c r="AD536" s="148"/>
      <c r="AE536" s="148"/>
      <c r="AF536" s="148"/>
      <c r="AG536" s="148"/>
    </row>
    <row r="537" ht="15.75" customHeight="1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  <c r="AD537" s="148"/>
      <c r="AE537" s="148"/>
      <c r="AF537" s="148"/>
      <c r="AG537" s="148"/>
    </row>
    <row r="538" ht="15.75" customHeight="1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  <c r="AD538" s="148"/>
      <c r="AE538" s="148"/>
      <c r="AF538" s="148"/>
      <c r="AG538" s="148"/>
    </row>
    <row r="539" ht="15.75" customHeight="1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148"/>
      <c r="AE539" s="148"/>
      <c r="AF539" s="148"/>
      <c r="AG539" s="148"/>
    </row>
    <row r="540" ht="15.75" customHeight="1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  <c r="AD540" s="148"/>
      <c r="AE540" s="148"/>
      <c r="AF540" s="148"/>
      <c r="AG540" s="148"/>
    </row>
    <row r="541" ht="15.75" customHeight="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  <c r="AD541" s="148"/>
      <c r="AE541" s="148"/>
      <c r="AF541" s="148"/>
      <c r="AG541" s="148"/>
    </row>
    <row r="542" ht="15.75" customHeight="1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  <c r="AD542" s="148"/>
      <c r="AE542" s="148"/>
      <c r="AF542" s="148"/>
      <c r="AG542" s="148"/>
    </row>
    <row r="543" ht="15.75" customHeight="1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  <c r="AD543" s="148"/>
      <c r="AE543" s="148"/>
      <c r="AF543" s="148"/>
      <c r="AG543" s="148"/>
    </row>
    <row r="544" ht="15.75" customHeight="1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148"/>
      <c r="AE544" s="148"/>
      <c r="AF544" s="148"/>
      <c r="AG544" s="148"/>
    </row>
    <row r="545" ht="15.75" customHeight="1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  <c r="AD545" s="148"/>
      <c r="AE545" s="148"/>
      <c r="AF545" s="148"/>
      <c r="AG545" s="148"/>
    </row>
    <row r="546" ht="15.75" customHeight="1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  <c r="AD546" s="148"/>
      <c r="AE546" s="148"/>
      <c r="AF546" s="148"/>
      <c r="AG546" s="148"/>
    </row>
    <row r="547" ht="15.75" customHeight="1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148"/>
      <c r="AE547" s="148"/>
      <c r="AF547" s="148"/>
      <c r="AG547" s="148"/>
    </row>
    <row r="548" ht="15.75" customHeight="1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  <c r="AD548" s="148"/>
      <c r="AE548" s="148"/>
      <c r="AF548" s="148"/>
      <c r="AG548" s="148"/>
    </row>
    <row r="549" ht="15.75" customHeight="1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</row>
    <row r="550" ht="15.75" customHeight="1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  <c r="AD550" s="148"/>
      <c r="AE550" s="148"/>
      <c r="AF550" s="148"/>
      <c r="AG550" s="148"/>
    </row>
    <row r="551" ht="15.75" customHeight="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  <c r="AD551" s="148"/>
      <c r="AE551" s="148"/>
      <c r="AF551" s="148"/>
      <c r="AG551" s="148"/>
    </row>
    <row r="552" ht="15.75" customHeight="1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  <c r="AD552" s="148"/>
      <c r="AE552" s="148"/>
      <c r="AF552" s="148"/>
      <c r="AG552" s="148"/>
    </row>
    <row r="553" ht="15.75" customHeight="1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  <c r="AD553" s="148"/>
      <c r="AE553" s="148"/>
      <c r="AF553" s="148"/>
      <c r="AG553" s="148"/>
    </row>
    <row r="554" ht="15.75" customHeight="1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148"/>
      <c r="AE554" s="148"/>
      <c r="AF554" s="148"/>
      <c r="AG554" s="148"/>
    </row>
    <row r="555" ht="15.75" customHeight="1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  <c r="AD555" s="148"/>
      <c r="AE555" s="148"/>
      <c r="AF555" s="148"/>
      <c r="AG555" s="148"/>
    </row>
    <row r="556" ht="15.75" customHeight="1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148"/>
      <c r="AE556" s="148"/>
      <c r="AF556" s="148"/>
      <c r="AG556" s="148"/>
    </row>
    <row r="557" ht="15.75" customHeight="1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  <c r="AD557" s="148"/>
      <c r="AE557" s="148"/>
      <c r="AF557" s="148"/>
      <c r="AG557" s="148"/>
    </row>
    <row r="558" ht="15.75" customHeight="1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  <c r="AD558" s="148"/>
      <c r="AE558" s="148"/>
      <c r="AF558" s="148"/>
      <c r="AG558" s="148"/>
    </row>
    <row r="559" ht="15.75" customHeight="1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  <c r="AD559" s="148"/>
      <c r="AE559" s="148"/>
      <c r="AF559" s="148"/>
      <c r="AG559" s="148"/>
    </row>
    <row r="560" ht="15.75" customHeight="1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  <c r="AD560" s="148"/>
      <c r="AE560" s="148"/>
      <c r="AF560" s="148"/>
      <c r="AG560" s="148"/>
    </row>
    <row r="561" ht="15.75" customHeight="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  <c r="AD561" s="148"/>
      <c r="AE561" s="148"/>
      <c r="AF561" s="148"/>
      <c r="AG561" s="148"/>
    </row>
    <row r="562" ht="15.75" customHeight="1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148"/>
      <c r="AE562" s="148"/>
      <c r="AF562" s="148"/>
      <c r="AG562" s="148"/>
    </row>
    <row r="563" ht="15.75" customHeight="1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  <c r="AD563" s="148"/>
      <c r="AE563" s="148"/>
      <c r="AF563" s="148"/>
      <c r="AG563" s="148"/>
    </row>
    <row r="564" ht="15.75" customHeight="1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148"/>
      <c r="AE564" s="148"/>
      <c r="AF564" s="148"/>
      <c r="AG564" s="148"/>
    </row>
    <row r="565" ht="15.75" customHeight="1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148"/>
      <c r="AE565" s="148"/>
      <c r="AF565" s="148"/>
      <c r="AG565" s="148"/>
    </row>
    <row r="566" ht="15.75" customHeight="1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  <c r="AD566" s="148"/>
      <c r="AE566" s="148"/>
      <c r="AF566" s="148"/>
      <c r="AG566" s="148"/>
    </row>
    <row r="567" ht="15.75" customHeight="1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  <c r="AD567" s="148"/>
      <c r="AE567" s="148"/>
      <c r="AF567" s="148"/>
      <c r="AG567" s="148"/>
    </row>
    <row r="568" ht="15.75" customHeight="1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  <c r="AD568" s="148"/>
      <c r="AE568" s="148"/>
      <c r="AF568" s="148"/>
      <c r="AG568" s="148"/>
    </row>
    <row r="569" ht="15.75" customHeight="1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  <c r="AD569" s="148"/>
      <c r="AE569" s="148"/>
      <c r="AF569" s="148"/>
      <c r="AG569" s="148"/>
    </row>
    <row r="570" ht="15.75" customHeight="1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  <c r="AD570" s="148"/>
      <c r="AE570" s="148"/>
      <c r="AF570" s="148"/>
      <c r="AG570" s="148"/>
    </row>
    <row r="571" ht="15.75" customHeight="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  <c r="AD571" s="148"/>
      <c r="AE571" s="148"/>
      <c r="AF571" s="148"/>
      <c r="AG571" s="148"/>
    </row>
    <row r="572" ht="15.75" customHeight="1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  <c r="AD572" s="148"/>
      <c r="AE572" s="148"/>
      <c r="AF572" s="148"/>
      <c r="AG572" s="148"/>
    </row>
    <row r="573" ht="15.75" customHeight="1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  <c r="AD573" s="148"/>
      <c r="AE573" s="148"/>
      <c r="AF573" s="148"/>
      <c r="AG573" s="148"/>
    </row>
    <row r="574" ht="15.75" customHeight="1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  <c r="AD574" s="148"/>
      <c r="AE574" s="148"/>
      <c r="AF574" s="148"/>
      <c r="AG574" s="148"/>
    </row>
    <row r="575" ht="15.75" customHeight="1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  <c r="AD575" s="148"/>
      <c r="AE575" s="148"/>
      <c r="AF575" s="148"/>
      <c r="AG575" s="148"/>
    </row>
    <row r="576" ht="15.75" customHeight="1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  <c r="AD576" s="148"/>
      <c r="AE576" s="148"/>
      <c r="AF576" s="148"/>
      <c r="AG576" s="148"/>
    </row>
    <row r="577" ht="15.75" customHeight="1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  <c r="AD577" s="148"/>
      <c r="AE577" s="148"/>
      <c r="AF577" s="148"/>
      <c r="AG577" s="148"/>
    </row>
    <row r="578" ht="15.75" customHeight="1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  <c r="AD578" s="148"/>
      <c r="AE578" s="148"/>
      <c r="AF578" s="148"/>
      <c r="AG578" s="148"/>
    </row>
    <row r="579" ht="15.75" customHeight="1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  <c r="AD579" s="148"/>
      <c r="AE579" s="148"/>
      <c r="AF579" s="148"/>
      <c r="AG579" s="148"/>
    </row>
    <row r="580" ht="15.75" customHeight="1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  <c r="AD580" s="148"/>
      <c r="AE580" s="148"/>
      <c r="AF580" s="148"/>
      <c r="AG580" s="148"/>
    </row>
    <row r="581" ht="15.75" customHeight="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</row>
    <row r="582" ht="15.75" customHeight="1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  <c r="AD582" s="148"/>
      <c r="AE582" s="148"/>
      <c r="AF582" s="148"/>
      <c r="AG582" s="148"/>
    </row>
    <row r="583" ht="15.75" customHeight="1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  <c r="AD583" s="148"/>
      <c r="AE583" s="148"/>
      <c r="AF583" s="148"/>
      <c r="AG583" s="148"/>
    </row>
    <row r="584" ht="15.75" customHeight="1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  <c r="AD584" s="148"/>
      <c r="AE584" s="148"/>
      <c r="AF584" s="148"/>
      <c r="AG584" s="148"/>
    </row>
    <row r="585" ht="15.75" customHeight="1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148"/>
      <c r="AE585" s="148"/>
      <c r="AF585" s="148"/>
      <c r="AG585" s="148"/>
    </row>
    <row r="586" ht="15.75" customHeight="1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  <c r="AD586" s="148"/>
      <c r="AE586" s="148"/>
      <c r="AF586" s="148"/>
      <c r="AG586" s="148"/>
    </row>
    <row r="587" ht="15.75" customHeight="1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  <c r="AD587" s="148"/>
      <c r="AE587" s="148"/>
      <c r="AF587" s="148"/>
      <c r="AG587" s="148"/>
    </row>
    <row r="588" ht="15.75" customHeight="1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  <c r="AD588" s="148"/>
      <c r="AE588" s="148"/>
      <c r="AF588" s="148"/>
      <c r="AG588" s="148"/>
    </row>
    <row r="589" ht="15.75" customHeight="1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  <c r="AD589" s="148"/>
      <c r="AE589" s="148"/>
      <c r="AF589" s="148"/>
      <c r="AG589" s="148"/>
    </row>
    <row r="590" ht="15.75" customHeight="1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48"/>
      <c r="AG590" s="148"/>
    </row>
    <row r="591" ht="15.75" customHeight="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48"/>
      <c r="AG591" s="148"/>
    </row>
    <row r="592" ht="15.75" customHeight="1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  <c r="AD592" s="148"/>
      <c r="AE592" s="148"/>
      <c r="AF592" s="148"/>
      <c r="AG592" s="148"/>
    </row>
    <row r="593" ht="15.75" customHeight="1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  <c r="AD593" s="148"/>
      <c r="AE593" s="148"/>
      <c r="AF593" s="148"/>
      <c r="AG593" s="148"/>
    </row>
    <row r="594" ht="15.75" customHeight="1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48"/>
      <c r="AG594" s="148"/>
    </row>
    <row r="595" ht="15.75" customHeight="1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  <c r="AD595" s="148"/>
      <c r="AE595" s="148"/>
      <c r="AF595" s="148"/>
      <c r="AG595" s="148"/>
    </row>
    <row r="596" ht="15.75" customHeight="1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  <c r="AD596" s="148"/>
      <c r="AE596" s="148"/>
      <c r="AF596" s="148"/>
      <c r="AG596" s="148"/>
    </row>
    <row r="597" ht="15.75" customHeight="1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  <c r="AD597" s="148"/>
      <c r="AE597" s="148"/>
      <c r="AF597" s="148"/>
      <c r="AG597" s="148"/>
    </row>
    <row r="598" ht="15.75" customHeight="1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  <c r="AD598" s="148"/>
      <c r="AE598" s="148"/>
      <c r="AF598" s="148"/>
      <c r="AG598" s="148"/>
    </row>
    <row r="599" ht="15.75" customHeight="1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  <c r="AD599" s="148"/>
      <c r="AE599" s="148"/>
      <c r="AF599" s="148"/>
      <c r="AG599" s="148"/>
    </row>
    <row r="600" ht="15.75" customHeight="1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  <c r="AD600" s="148"/>
      <c r="AE600" s="148"/>
      <c r="AF600" s="148"/>
      <c r="AG600" s="148"/>
    </row>
    <row r="601" ht="15.75" customHeight="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  <c r="AD601" s="148"/>
      <c r="AE601" s="148"/>
      <c r="AF601" s="148"/>
      <c r="AG601" s="148"/>
    </row>
    <row r="602" ht="15.75" customHeight="1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  <c r="AD602" s="148"/>
      <c r="AE602" s="148"/>
      <c r="AF602" s="148"/>
      <c r="AG602" s="148"/>
    </row>
    <row r="603" ht="15.75" customHeight="1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  <c r="AD603" s="148"/>
      <c r="AE603" s="148"/>
      <c r="AF603" s="148"/>
      <c r="AG603" s="148"/>
    </row>
    <row r="604" ht="15.75" customHeight="1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  <c r="AD604" s="148"/>
      <c r="AE604" s="148"/>
      <c r="AF604" s="148"/>
      <c r="AG604" s="148"/>
    </row>
    <row r="605" ht="15.75" customHeight="1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  <c r="AD605" s="148"/>
      <c r="AE605" s="148"/>
      <c r="AF605" s="148"/>
      <c r="AG605" s="148"/>
    </row>
    <row r="606" ht="15.75" customHeight="1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  <c r="AD606" s="148"/>
      <c r="AE606" s="148"/>
      <c r="AF606" s="148"/>
      <c r="AG606" s="148"/>
    </row>
    <row r="607" ht="15.75" customHeight="1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  <c r="AD607" s="148"/>
      <c r="AE607" s="148"/>
      <c r="AF607" s="148"/>
      <c r="AG607" s="148"/>
    </row>
    <row r="608" ht="15.75" customHeight="1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  <c r="AD608" s="148"/>
      <c r="AE608" s="148"/>
      <c r="AF608" s="148"/>
      <c r="AG608" s="148"/>
    </row>
    <row r="609" ht="15.75" customHeight="1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  <c r="AD609" s="148"/>
      <c r="AE609" s="148"/>
      <c r="AF609" s="148"/>
      <c r="AG609" s="148"/>
    </row>
    <row r="610" ht="15.75" customHeight="1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  <c r="AD610" s="148"/>
      <c r="AE610" s="148"/>
      <c r="AF610" s="148"/>
      <c r="AG610" s="148"/>
    </row>
    <row r="611" ht="15.75" customHeight="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  <c r="AD611" s="148"/>
      <c r="AE611" s="148"/>
      <c r="AF611" s="148"/>
      <c r="AG611" s="148"/>
    </row>
    <row r="612" ht="15.75" customHeight="1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  <c r="AD612" s="148"/>
      <c r="AE612" s="148"/>
      <c r="AF612" s="148"/>
      <c r="AG612" s="148"/>
    </row>
    <row r="613" ht="15.75" customHeight="1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8"/>
      <c r="AE613" s="148"/>
      <c r="AF613" s="148"/>
      <c r="AG613" s="148"/>
    </row>
    <row r="614" ht="15.75" customHeight="1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148"/>
      <c r="AE614" s="148"/>
      <c r="AF614" s="148"/>
      <c r="AG614" s="148"/>
    </row>
    <row r="615" ht="15.75" customHeight="1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  <c r="AD615" s="148"/>
      <c r="AE615" s="148"/>
      <c r="AF615" s="148"/>
      <c r="AG615" s="148"/>
    </row>
    <row r="616" ht="15.75" customHeight="1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</row>
    <row r="617" ht="15.75" customHeight="1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  <c r="AD617" s="148"/>
      <c r="AE617" s="148"/>
      <c r="AF617" s="148"/>
      <c r="AG617" s="148"/>
    </row>
    <row r="618" ht="15.75" customHeight="1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  <c r="AD618" s="148"/>
      <c r="AE618" s="148"/>
      <c r="AF618" s="148"/>
      <c r="AG618" s="148"/>
    </row>
    <row r="619" ht="15.75" customHeight="1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  <c r="AD619" s="148"/>
      <c r="AE619" s="148"/>
      <c r="AF619" s="148"/>
      <c r="AG619" s="148"/>
    </row>
    <row r="620" ht="15.75" customHeight="1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  <c r="AD620" s="148"/>
      <c r="AE620" s="148"/>
      <c r="AF620" s="148"/>
      <c r="AG620" s="148"/>
    </row>
    <row r="621" ht="15.75" customHeight="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148"/>
      <c r="AE621" s="148"/>
      <c r="AF621" s="148"/>
      <c r="AG621" s="148"/>
    </row>
    <row r="622" ht="15.75" customHeight="1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  <c r="AD622" s="148"/>
      <c r="AE622" s="148"/>
      <c r="AF622" s="148"/>
      <c r="AG622" s="148"/>
    </row>
    <row r="623" ht="15.75" customHeight="1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  <c r="AD623" s="148"/>
      <c r="AE623" s="148"/>
      <c r="AF623" s="148"/>
      <c r="AG623" s="148"/>
    </row>
    <row r="624" ht="15.75" customHeight="1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8"/>
      <c r="AE624" s="148"/>
      <c r="AF624" s="148"/>
      <c r="AG624" s="148"/>
    </row>
    <row r="625" ht="15.75" customHeight="1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8"/>
      <c r="AE625" s="148"/>
      <c r="AF625" s="148"/>
      <c r="AG625" s="148"/>
    </row>
    <row r="626" ht="15.75" customHeight="1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148"/>
      <c r="AE626" s="148"/>
      <c r="AF626" s="148"/>
      <c r="AG626" s="148"/>
    </row>
    <row r="627" ht="15.75" customHeight="1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148"/>
      <c r="AE627" s="148"/>
      <c r="AF627" s="148"/>
      <c r="AG627" s="148"/>
    </row>
    <row r="628" ht="15.75" customHeight="1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148"/>
      <c r="AE628" s="148"/>
      <c r="AF628" s="148"/>
      <c r="AG628" s="148"/>
    </row>
    <row r="629" ht="15.75" customHeight="1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148"/>
      <c r="AE629" s="148"/>
      <c r="AF629" s="148"/>
      <c r="AG629" s="148"/>
    </row>
    <row r="630" ht="15.75" customHeight="1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148"/>
      <c r="AE630" s="148"/>
      <c r="AF630" s="148"/>
      <c r="AG630" s="148"/>
    </row>
    <row r="631" ht="15.75" customHeight="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148"/>
      <c r="AE631" s="148"/>
      <c r="AF631" s="148"/>
      <c r="AG631" s="148"/>
    </row>
    <row r="632" ht="15.75" customHeight="1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  <c r="AD632" s="148"/>
      <c r="AE632" s="148"/>
      <c r="AF632" s="148"/>
      <c r="AG632" s="148"/>
    </row>
    <row r="633" ht="15.75" customHeight="1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  <c r="AD633" s="148"/>
      <c r="AE633" s="148"/>
      <c r="AF633" s="148"/>
      <c r="AG633" s="148"/>
    </row>
    <row r="634" ht="15.75" customHeight="1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  <c r="AD634" s="148"/>
      <c r="AE634" s="148"/>
      <c r="AF634" s="148"/>
      <c r="AG634" s="148"/>
    </row>
    <row r="635" ht="15.75" customHeight="1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  <c r="AD635" s="148"/>
      <c r="AE635" s="148"/>
      <c r="AF635" s="148"/>
      <c r="AG635" s="148"/>
    </row>
    <row r="636" ht="15.75" customHeight="1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148"/>
      <c r="AE636" s="148"/>
      <c r="AF636" s="148"/>
      <c r="AG636" s="148"/>
    </row>
    <row r="637" ht="15.75" customHeight="1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148"/>
      <c r="AE637" s="148"/>
      <c r="AF637" s="148"/>
      <c r="AG637" s="148"/>
    </row>
    <row r="638" ht="15.75" customHeight="1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148"/>
      <c r="AE638" s="148"/>
      <c r="AF638" s="148"/>
      <c r="AG638" s="148"/>
    </row>
    <row r="639" ht="15.75" customHeight="1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  <c r="AD639" s="148"/>
      <c r="AE639" s="148"/>
      <c r="AF639" s="148"/>
      <c r="AG639" s="148"/>
    </row>
    <row r="640" ht="15.75" customHeight="1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148"/>
      <c r="AE640" s="148"/>
      <c r="AF640" s="148"/>
      <c r="AG640" s="148"/>
    </row>
    <row r="641" ht="15.75" customHeight="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148"/>
      <c r="AE641" s="148"/>
      <c r="AF641" s="148"/>
      <c r="AG641" s="148"/>
    </row>
    <row r="642" ht="15.75" customHeight="1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148"/>
      <c r="AE642" s="148"/>
      <c r="AF642" s="148"/>
      <c r="AG642" s="148"/>
    </row>
    <row r="643" ht="15.75" customHeight="1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148"/>
      <c r="AE643" s="148"/>
      <c r="AF643" s="148"/>
      <c r="AG643" s="148"/>
    </row>
    <row r="644" ht="15.75" customHeight="1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148"/>
      <c r="AE644" s="148"/>
      <c r="AF644" s="148"/>
      <c r="AG644" s="148"/>
    </row>
    <row r="645" ht="15.75" customHeight="1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148"/>
      <c r="AE645" s="148"/>
      <c r="AF645" s="148"/>
      <c r="AG645" s="148"/>
    </row>
    <row r="646" ht="15.75" customHeight="1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  <c r="AD646" s="148"/>
      <c r="AE646" s="148"/>
      <c r="AF646" s="148"/>
      <c r="AG646" s="148"/>
    </row>
    <row r="647" ht="15.75" customHeight="1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  <c r="AD647" s="148"/>
      <c r="AE647" s="148"/>
      <c r="AF647" s="148"/>
      <c r="AG647" s="148"/>
    </row>
    <row r="648" ht="15.75" customHeight="1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</row>
    <row r="649" ht="15.75" customHeight="1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148"/>
      <c r="AE649" s="148"/>
      <c r="AF649" s="148"/>
      <c r="AG649" s="148"/>
    </row>
    <row r="650" ht="15.75" customHeight="1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148"/>
      <c r="AE650" s="148"/>
      <c r="AF650" s="148"/>
      <c r="AG650" s="148"/>
    </row>
    <row r="651" ht="15.75" customHeight="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  <c r="AD651" s="148"/>
      <c r="AE651" s="148"/>
      <c r="AF651" s="148"/>
      <c r="AG651" s="148"/>
    </row>
    <row r="652" ht="15.75" customHeight="1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  <c r="AD652" s="148"/>
      <c r="AE652" s="148"/>
      <c r="AF652" s="148"/>
      <c r="AG652" s="148"/>
    </row>
    <row r="653" ht="15.75" customHeight="1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  <c r="AD653" s="148"/>
      <c r="AE653" s="148"/>
      <c r="AF653" s="148"/>
      <c r="AG653" s="148"/>
    </row>
    <row r="654" ht="15.75" customHeight="1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148"/>
      <c r="AE654" s="148"/>
      <c r="AF654" s="148"/>
      <c r="AG654" s="148"/>
    </row>
    <row r="655" ht="15.75" customHeight="1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8"/>
      <c r="AE655" s="148"/>
      <c r="AF655" s="148"/>
      <c r="AG655" s="148"/>
    </row>
    <row r="656" ht="15.75" customHeight="1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8"/>
      <c r="AE656" s="148"/>
      <c r="AF656" s="148"/>
      <c r="AG656" s="148"/>
    </row>
    <row r="657" ht="15.75" customHeight="1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8"/>
      <c r="AE657" s="148"/>
      <c r="AF657" s="148"/>
      <c r="AG657" s="148"/>
    </row>
    <row r="658" ht="15.75" customHeight="1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148"/>
      <c r="AE658" s="148"/>
      <c r="AF658" s="148"/>
      <c r="AG658" s="148"/>
    </row>
    <row r="659" ht="15.75" customHeight="1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148"/>
      <c r="AE659" s="148"/>
      <c r="AF659" s="148"/>
      <c r="AG659" s="148"/>
    </row>
    <row r="660" ht="15.75" customHeight="1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148"/>
      <c r="AE660" s="148"/>
      <c r="AF660" s="148"/>
      <c r="AG660" s="148"/>
    </row>
    <row r="661" ht="15.75" customHeight="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148"/>
      <c r="AE661" s="148"/>
      <c r="AF661" s="148"/>
      <c r="AG661" s="148"/>
    </row>
    <row r="662" ht="15.75" customHeight="1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  <c r="AD662" s="148"/>
      <c r="AE662" s="148"/>
      <c r="AF662" s="148"/>
      <c r="AG662" s="148"/>
    </row>
    <row r="663" ht="15.75" customHeight="1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  <c r="AD663" s="148"/>
      <c r="AE663" s="148"/>
      <c r="AF663" s="148"/>
      <c r="AG663" s="148"/>
    </row>
    <row r="664" ht="15.75" customHeight="1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  <c r="AD664" s="148"/>
      <c r="AE664" s="148"/>
      <c r="AF664" s="148"/>
      <c r="AG664" s="148"/>
    </row>
    <row r="665" ht="15.75" customHeight="1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148"/>
      <c r="AE665" s="148"/>
      <c r="AF665" s="148"/>
      <c r="AG665" s="148"/>
    </row>
    <row r="666" ht="15.75" customHeight="1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148"/>
      <c r="AE666" s="148"/>
      <c r="AF666" s="148"/>
      <c r="AG666" s="148"/>
    </row>
    <row r="667" ht="15.75" customHeight="1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8"/>
      <c r="AE667" s="148"/>
      <c r="AF667" s="148"/>
      <c r="AG667" s="148"/>
    </row>
    <row r="668" ht="15.75" customHeight="1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8"/>
      <c r="AE668" s="148"/>
      <c r="AF668" s="148"/>
      <c r="AG668" s="148"/>
    </row>
    <row r="669" ht="15.75" customHeight="1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8"/>
      <c r="AE669" s="148"/>
      <c r="AF669" s="148"/>
      <c r="AG669" s="148"/>
    </row>
    <row r="670" ht="15.75" customHeight="1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8"/>
      <c r="AE670" s="148"/>
      <c r="AF670" s="148"/>
      <c r="AG670" s="148"/>
    </row>
    <row r="671" ht="15.75" customHeight="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148"/>
      <c r="AE671" s="148"/>
      <c r="AF671" s="148"/>
      <c r="AG671" s="148"/>
    </row>
    <row r="672" ht="15.75" customHeight="1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148"/>
      <c r="AE672" s="148"/>
      <c r="AF672" s="148"/>
      <c r="AG672" s="148"/>
    </row>
    <row r="673" ht="15.75" customHeight="1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148"/>
      <c r="AE673" s="148"/>
      <c r="AF673" s="148"/>
      <c r="AG673" s="148"/>
    </row>
    <row r="674" ht="15.75" customHeight="1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148"/>
      <c r="AE674" s="148"/>
      <c r="AF674" s="148"/>
      <c r="AG674" s="148"/>
    </row>
    <row r="675" ht="15.75" customHeight="1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148"/>
      <c r="AE675" s="148"/>
      <c r="AF675" s="148"/>
      <c r="AG675" s="148"/>
    </row>
    <row r="676" ht="15.75" customHeight="1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148"/>
      <c r="AE676" s="148"/>
      <c r="AF676" s="148"/>
      <c r="AG676" s="148"/>
    </row>
    <row r="677" ht="15.75" customHeight="1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148"/>
      <c r="AE677" s="148"/>
      <c r="AF677" s="148"/>
      <c r="AG677" s="148"/>
    </row>
    <row r="678" ht="15.75" customHeight="1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  <c r="AD678" s="148"/>
      <c r="AE678" s="148"/>
      <c r="AF678" s="148"/>
      <c r="AG678" s="148"/>
    </row>
    <row r="679" ht="15.75" customHeight="1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  <c r="AD679" s="148"/>
      <c r="AE679" s="148"/>
      <c r="AF679" s="148"/>
      <c r="AG679" s="148"/>
    </row>
    <row r="680" ht="15.75" customHeight="1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  <c r="AD680" s="148"/>
      <c r="AE680" s="148"/>
      <c r="AF680" s="148"/>
      <c r="AG680" s="148"/>
    </row>
    <row r="681" ht="15.75" customHeight="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  <c r="AD681" s="148"/>
      <c r="AE681" s="148"/>
      <c r="AF681" s="148"/>
      <c r="AG681" s="148"/>
    </row>
    <row r="682" ht="15.75" customHeight="1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148"/>
      <c r="AE682" s="148"/>
      <c r="AF682" s="148"/>
      <c r="AG682" s="148"/>
    </row>
    <row r="683" ht="15.75" customHeight="1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</row>
    <row r="684" ht="15.75" customHeight="1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  <c r="AD684" s="148"/>
      <c r="AE684" s="148"/>
      <c r="AF684" s="148"/>
      <c r="AG684" s="148"/>
    </row>
    <row r="685" ht="15.75" customHeight="1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  <c r="AD685" s="148"/>
      <c r="AE685" s="148"/>
      <c r="AF685" s="148"/>
      <c r="AG685" s="148"/>
    </row>
    <row r="686" ht="15.75" customHeight="1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  <c r="AD686" s="148"/>
      <c r="AE686" s="148"/>
      <c r="AF686" s="148"/>
      <c r="AG686" s="148"/>
    </row>
    <row r="687" ht="15.75" customHeight="1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  <c r="AD687" s="148"/>
      <c r="AE687" s="148"/>
      <c r="AF687" s="148"/>
      <c r="AG687" s="148"/>
    </row>
    <row r="688" ht="15.75" customHeight="1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  <c r="AD688" s="148"/>
      <c r="AE688" s="148"/>
      <c r="AF688" s="148"/>
      <c r="AG688" s="148"/>
    </row>
    <row r="689" ht="15.75" customHeight="1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  <c r="AD689" s="148"/>
      <c r="AE689" s="148"/>
      <c r="AF689" s="148"/>
      <c r="AG689" s="148"/>
    </row>
    <row r="690" ht="15.75" customHeight="1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  <c r="AD690" s="148"/>
      <c r="AE690" s="148"/>
      <c r="AF690" s="148"/>
      <c r="AG690" s="148"/>
    </row>
    <row r="691" ht="15.75" customHeight="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  <c r="AD691" s="148"/>
      <c r="AE691" s="148"/>
      <c r="AF691" s="148"/>
      <c r="AG691" s="148"/>
    </row>
    <row r="692" ht="15.75" customHeight="1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  <c r="AD692" s="148"/>
      <c r="AE692" s="148"/>
      <c r="AF692" s="148"/>
      <c r="AG692" s="148"/>
    </row>
    <row r="693" ht="15.75" customHeight="1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  <c r="AD693" s="148"/>
      <c r="AE693" s="148"/>
      <c r="AF693" s="148"/>
      <c r="AG693" s="148"/>
    </row>
    <row r="694" ht="15.75" customHeight="1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148"/>
      <c r="AE694" s="148"/>
      <c r="AF694" s="148"/>
      <c r="AG694" s="148"/>
    </row>
    <row r="695" ht="15.75" customHeight="1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  <c r="AD695" s="148"/>
      <c r="AE695" s="148"/>
      <c r="AF695" s="148"/>
      <c r="AG695" s="148"/>
    </row>
    <row r="696" ht="15.75" customHeight="1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  <c r="AD696" s="148"/>
      <c r="AE696" s="148"/>
      <c r="AF696" s="148"/>
      <c r="AG696" s="148"/>
    </row>
    <row r="697" ht="15.75" customHeight="1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148"/>
      <c r="AE697" s="148"/>
      <c r="AF697" s="148"/>
      <c r="AG697" s="148"/>
    </row>
    <row r="698" ht="15.75" customHeight="1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148"/>
      <c r="AE698" s="148"/>
      <c r="AF698" s="148"/>
      <c r="AG698" s="148"/>
    </row>
    <row r="699" ht="15.75" customHeight="1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148"/>
      <c r="AE699" s="148"/>
      <c r="AF699" s="148"/>
      <c r="AG699" s="148"/>
    </row>
    <row r="700" ht="15.75" customHeight="1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148"/>
      <c r="AE700" s="148"/>
      <c r="AF700" s="148"/>
      <c r="AG700" s="148"/>
    </row>
    <row r="701" ht="15.75" customHeight="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148"/>
      <c r="AE701" s="148"/>
      <c r="AF701" s="148"/>
      <c r="AG701" s="148"/>
    </row>
    <row r="702" ht="15.75" customHeight="1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  <c r="AD702" s="148"/>
      <c r="AE702" s="148"/>
      <c r="AF702" s="148"/>
      <c r="AG702" s="148"/>
    </row>
    <row r="703" ht="15.75" customHeight="1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  <c r="AD703" s="148"/>
      <c r="AE703" s="148"/>
      <c r="AF703" s="148"/>
      <c r="AG703" s="148"/>
    </row>
    <row r="704" ht="15.75" customHeight="1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148"/>
      <c r="AE704" s="148"/>
      <c r="AF704" s="148"/>
      <c r="AG704" s="148"/>
    </row>
    <row r="705" ht="15.75" customHeight="1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148"/>
      <c r="AE705" s="148"/>
      <c r="AF705" s="148"/>
      <c r="AG705" s="148"/>
    </row>
    <row r="706" ht="15.75" customHeight="1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  <c r="AD706" s="148"/>
      <c r="AE706" s="148"/>
      <c r="AF706" s="148"/>
      <c r="AG706" s="148"/>
    </row>
    <row r="707" ht="15.75" customHeight="1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  <c r="AD707" s="148"/>
      <c r="AE707" s="148"/>
      <c r="AF707" s="148"/>
      <c r="AG707" s="148"/>
    </row>
    <row r="708" ht="15.75" customHeight="1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  <c r="AD708" s="148"/>
      <c r="AE708" s="148"/>
      <c r="AF708" s="148"/>
      <c r="AG708" s="148"/>
    </row>
    <row r="709" ht="15.75" customHeight="1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  <c r="AD709" s="148"/>
      <c r="AE709" s="148"/>
      <c r="AF709" s="148"/>
      <c r="AG709" s="148"/>
    </row>
    <row r="710" ht="15.75" customHeight="1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  <c r="AD710" s="148"/>
      <c r="AE710" s="148"/>
      <c r="AF710" s="148"/>
      <c r="AG710" s="148"/>
    </row>
    <row r="711" ht="15.75" customHeight="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  <c r="AD711" s="148"/>
      <c r="AE711" s="148"/>
      <c r="AF711" s="148"/>
      <c r="AG711" s="148"/>
    </row>
    <row r="712" ht="15.75" customHeight="1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  <c r="AD712" s="148"/>
      <c r="AE712" s="148"/>
      <c r="AF712" s="148"/>
      <c r="AG712" s="148"/>
    </row>
    <row r="713" ht="15.75" customHeight="1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  <c r="AD713" s="148"/>
      <c r="AE713" s="148"/>
      <c r="AF713" s="148"/>
      <c r="AG713" s="148"/>
    </row>
    <row r="714" ht="15.75" customHeight="1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  <c r="AD714" s="148"/>
      <c r="AE714" s="148"/>
      <c r="AF714" s="148"/>
      <c r="AG714" s="148"/>
    </row>
    <row r="715" ht="15.75" customHeight="1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</row>
    <row r="716" ht="15.75" customHeight="1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  <c r="AD716" s="148"/>
      <c r="AE716" s="148"/>
      <c r="AF716" s="148"/>
      <c r="AG716" s="148"/>
    </row>
    <row r="717" ht="15.75" customHeight="1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  <c r="AD717" s="148"/>
      <c r="AE717" s="148"/>
      <c r="AF717" s="148"/>
      <c r="AG717" s="148"/>
    </row>
    <row r="718" ht="15.75" customHeight="1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  <c r="AD718" s="148"/>
      <c r="AE718" s="148"/>
      <c r="AF718" s="148"/>
      <c r="AG718" s="148"/>
    </row>
    <row r="719" ht="15.75" customHeight="1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  <c r="AD719" s="148"/>
      <c r="AE719" s="148"/>
      <c r="AF719" s="148"/>
      <c r="AG719" s="148"/>
    </row>
    <row r="720" ht="15.75" customHeight="1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  <c r="AD720" s="148"/>
      <c r="AE720" s="148"/>
      <c r="AF720" s="148"/>
      <c r="AG720" s="148"/>
    </row>
    <row r="721" ht="15.75" customHeight="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  <c r="AD721" s="148"/>
      <c r="AE721" s="148"/>
      <c r="AF721" s="148"/>
      <c r="AG721" s="148"/>
    </row>
    <row r="722" ht="15.75" customHeight="1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  <c r="AD722" s="148"/>
      <c r="AE722" s="148"/>
      <c r="AF722" s="148"/>
      <c r="AG722" s="148"/>
    </row>
    <row r="723" ht="15.75" customHeight="1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  <c r="AD723" s="148"/>
      <c r="AE723" s="148"/>
      <c r="AF723" s="148"/>
      <c r="AG723" s="148"/>
    </row>
    <row r="724" ht="15.75" customHeight="1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  <c r="AD724" s="148"/>
      <c r="AE724" s="148"/>
      <c r="AF724" s="148"/>
      <c r="AG724" s="148"/>
    </row>
    <row r="725" ht="15.75" customHeight="1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  <c r="AD725" s="148"/>
      <c r="AE725" s="148"/>
      <c r="AF725" s="148"/>
      <c r="AG725" s="148"/>
    </row>
    <row r="726" ht="15.75" customHeight="1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  <c r="AD726" s="148"/>
      <c r="AE726" s="148"/>
      <c r="AF726" s="148"/>
      <c r="AG726" s="148"/>
    </row>
    <row r="727" ht="15.75" customHeight="1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  <c r="AD727" s="148"/>
      <c r="AE727" s="148"/>
      <c r="AF727" s="148"/>
      <c r="AG727" s="148"/>
    </row>
    <row r="728" ht="15.75" customHeight="1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  <c r="AD728" s="148"/>
      <c r="AE728" s="148"/>
      <c r="AF728" s="148"/>
      <c r="AG728" s="148"/>
    </row>
    <row r="729" ht="15.75" customHeight="1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  <c r="AD729" s="148"/>
      <c r="AE729" s="148"/>
      <c r="AF729" s="148"/>
      <c r="AG729" s="148"/>
    </row>
    <row r="730" ht="15.75" customHeight="1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  <c r="AD730" s="148"/>
      <c r="AE730" s="148"/>
      <c r="AF730" s="148"/>
      <c r="AG730" s="148"/>
    </row>
    <row r="731" ht="15.75" customHeight="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  <c r="AD731" s="148"/>
      <c r="AE731" s="148"/>
      <c r="AF731" s="148"/>
      <c r="AG731" s="148"/>
    </row>
    <row r="732" ht="15.75" customHeight="1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  <c r="AD732" s="148"/>
      <c r="AE732" s="148"/>
      <c r="AF732" s="148"/>
      <c r="AG732" s="148"/>
    </row>
    <row r="733" ht="15.75" customHeight="1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  <c r="AD733" s="148"/>
      <c r="AE733" s="148"/>
      <c r="AF733" s="148"/>
      <c r="AG733" s="148"/>
    </row>
    <row r="734" ht="15.75" customHeight="1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  <c r="AD734" s="148"/>
      <c r="AE734" s="148"/>
      <c r="AF734" s="148"/>
      <c r="AG734" s="148"/>
    </row>
    <row r="735" ht="15.75" customHeight="1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  <c r="AD735" s="148"/>
      <c r="AE735" s="148"/>
      <c r="AF735" s="148"/>
      <c r="AG735" s="148"/>
    </row>
    <row r="736" ht="15.75" customHeight="1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  <c r="AD736" s="148"/>
      <c r="AE736" s="148"/>
      <c r="AF736" s="148"/>
      <c r="AG736" s="148"/>
    </row>
    <row r="737" ht="15.75" customHeight="1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  <c r="AD737" s="148"/>
      <c r="AE737" s="148"/>
      <c r="AF737" s="148"/>
      <c r="AG737" s="148"/>
    </row>
    <row r="738" ht="15.75" customHeight="1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  <c r="AD738" s="148"/>
      <c r="AE738" s="148"/>
      <c r="AF738" s="148"/>
      <c r="AG738" s="148"/>
    </row>
    <row r="739" ht="15.75" customHeight="1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  <c r="AD739" s="148"/>
      <c r="AE739" s="148"/>
      <c r="AF739" s="148"/>
      <c r="AG739" s="148"/>
    </row>
    <row r="740" ht="15.75" customHeight="1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  <c r="AD740" s="148"/>
      <c r="AE740" s="148"/>
      <c r="AF740" s="148"/>
      <c r="AG740" s="148"/>
    </row>
    <row r="741" ht="15.75" customHeight="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  <c r="AD741" s="148"/>
      <c r="AE741" s="148"/>
      <c r="AF741" s="148"/>
      <c r="AG741" s="148"/>
    </row>
    <row r="742" ht="15.75" customHeight="1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  <c r="AD742" s="148"/>
      <c r="AE742" s="148"/>
      <c r="AF742" s="148"/>
      <c r="AG742" s="148"/>
    </row>
    <row r="743" ht="15.75" customHeight="1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  <c r="AD743" s="148"/>
      <c r="AE743" s="148"/>
      <c r="AF743" s="148"/>
      <c r="AG743" s="148"/>
    </row>
    <row r="744" ht="15.75" customHeight="1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  <c r="AD744" s="148"/>
      <c r="AE744" s="148"/>
      <c r="AF744" s="148"/>
      <c r="AG744" s="148"/>
    </row>
    <row r="745" ht="15.75" customHeight="1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  <c r="AD745" s="148"/>
      <c r="AE745" s="148"/>
      <c r="AF745" s="148"/>
      <c r="AG745" s="148"/>
    </row>
    <row r="746" ht="15.75" customHeight="1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  <c r="AD746" s="148"/>
      <c r="AE746" s="148"/>
      <c r="AF746" s="148"/>
      <c r="AG746" s="148"/>
    </row>
    <row r="747" ht="15.75" customHeight="1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  <c r="AD747" s="148"/>
      <c r="AE747" s="148"/>
      <c r="AF747" s="148"/>
      <c r="AG747" s="148"/>
    </row>
    <row r="748" ht="15.75" customHeight="1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  <c r="AD748" s="148"/>
      <c r="AE748" s="148"/>
      <c r="AF748" s="148"/>
      <c r="AG748" s="148"/>
    </row>
    <row r="749" ht="15.75" customHeight="1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  <c r="AD749" s="148"/>
      <c r="AE749" s="148"/>
      <c r="AF749" s="148"/>
      <c r="AG749" s="148"/>
    </row>
    <row r="750" ht="15.75" customHeight="1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  <c r="AD750" s="148"/>
      <c r="AE750" s="148"/>
      <c r="AF750" s="148"/>
      <c r="AG750" s="148"/>
    </row>
    <row r="751" ht="15.75" customHeight="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  <c r="AD751" s="148"/>
      <c r="AE751" s="148"/>
      <c r="AF751" s="148"/>
      <c r="AG751" s="148"/>
    </row>
    <row r="752" ht="15.75" customHeight="1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  <c r="AD752" s="148"/>
      <c r="AE752" s="148"/>
      <c r="AF752" s="148"/>
      <c r="AG752" s="148"/>
    </row>
    <row r="753" ht="15.75" customHeight="1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  <c r="AD753" s="148"/>
      <c r="AE753" s="148"/>
      <c r="AF753" s="148"/>
      <c r="AG753" s="148"/>
    </row>
    <row r="754" ht="15.75" customHeight="1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  <c r="AD754" s="148"/>
      <c r="AE754" s="148"/>
      <c r="AF754" s="148"/>
      <c r="AG754" s="148"/>
    </row>
    <row r="755" ht="15.75" customHeight="1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  <c r="AD755" s="148"/>
      <c r="AE755" s="148"/>
      <c r="AF755" s="148"/>
      <c r="AG755" s="148"/>
    </row>
    <row r="756" ht="15.75" customHeight="1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  <c r="AD756" s="148"/>
      <c r="AE756" s="148"/>
      <c r="AF756" s="148"/>
      <c r="AG756" s="148"/>
    </row>
    <row r="757" ht="15.75" customHeight="1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  <c r="AD757" s="148"/>
      <c r="AE757" s="148"/>
      <c r="AF757" s="148"/>
      <c r="AG757" s="148"/>
    </row>
    <row r="758" ht="15.75" customHeight="1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  <c r="AD758" s="148"/>
      <c r="AE758" s="148"/>
      <c r="AF758" s="148"/>
      <c r="AG758" s="148"/>
    </row>
    <row r="759" ht="15.75" customHeight="1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  <c r="AD759" s="148"/>
      <c r="AE759" s="148"/>
      <c r="AF759" s="148"/>
      <c r="AG759" s="148"/>
    </row>
    <row r="760" ht="15.75" customHeight="1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  <c r="AD760" s="148"/>
      <c r="AE760" s="148"/>
      <c r="AF760" s="148"/>
      <c r="AG760" s="148"/>
    </row>
    <row r="761" ht="15.75" customHeight="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  <c r="AD761" s="148"/>
      <c r="AE761" s="148"/>
      <c r="AF761" s="148"/>
      <c r="AG761" s="148"/>
    </row>
    <row r="762" ht="15.75" customHeight="1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  <c r="AD762" s="148"/>
      <c r="AE762" s="148"/>
      <c r="AF762" s="148"/>
      <c r="AG762" s="148"/>
    </row>
    <row r="763" ht="15.75" customHeight="1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  <c r="AD763" s="148"/>
      <c r="AE763" s="148"/>
      <c r="AF763" s="148"/>
      <c r="AG763" s="148"/>
    </row>
    <row r="764" ht="15.75" customHeight="1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  <c r="AD764" s="148"/>
      <c r="AE764" s="148"/>
      <c r="AF764" s="148"/>
      <c r="AG764" s="148"/>
    </row>
    <row r="765" ht="15.75" customHeight="1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  <c r="AD765" s="148"/>
      <c r="AE765" s="148"/>
      <c r="AF765" s="148"/>
      <c r="AG765" s="148"/>
    </row>
    <row r="766" ht="15.75" customHeight="1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  <c r="AD766" s="148"/>
      <c r="AE766" s="148"/>
      <c r="AF766" s="148"/>
      <c r="AG766" s="148"/>
    </row>
    <row r="767" ht="15.75" customHeight="1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  <c r="AD767" s="148"/>
      <c r="AE767" s="148"/>
      <c r="AF767" s="148"/>
      <c r="AG767" s="148"/>
    </row>
    <row r="768" ht="15.75" customHeight="1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  <c r="AD768" s="148"/>
      <c r="AE768" s="148"/>
      <c r="AF768" s="148"/>
      <c r="AG768" s="148"/>
    </row>
    <row r="769" ht="15.75" customHeight="1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  <c r="AD769" s="148"/>
      <c r="AE769" s="148"/>
      <c r="AF769" s="148"/>
      <c r="AG769" s="148"/>
    </row>
    <row r="770" ht="15.75" customHeight="1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  <c r="AD770" s="148"/>
      <c r="AE770" s="148"/>
      <c r="AF770" s="148"/>
      <c r="AG770" s="148"/>
    </row>
    <row r="771" ht="15.75" customHeight="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  <c r="AD771" s="148"/>
      <c r="AE771" s="148"/>
      <c r="AF771" s="148"/>
      <c r="AG771" s="148"/>
    </row>
    <row r="772" ht="15.75" customHeight="1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  <c r="AD772" s="148"/>
      <c r="AE772" s="148"/>
      <c r="AF772" s="148"/>
      <c r="AG772" s="148"/>
    </row>
    <row r="773" ht="15.75" customHeight="1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  <c r="AD773" s="148"/>
      <c r="AE773" s="148"/>
      <c r="AF773" s="148"/>
      <c r="AG773" s="148"/>
    </row>
    <row r="774" ht="15.75" customHeight="1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  <c r="AD774" s="148"/>
      <c r="AE774" s="148"/>
      <c r="AF774" s="148"/>
      <c r="AG774" s="148"/>
    </row>
    <row r="775" ht="15.75" customHeight="1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  <c r="AD775" s="148"/>
      <c r="AE775" s="148"/>
      <c r="AF775" s="148"/>
      <c r="AG775" s="148"/>
    </row>
    <row r="776" ht="15.75" customHeight="1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  <c r="AD776" s="148"/>
      <c r="AE776" s="148"/>
      <c r="AF776" s="148"/>
      <c r="AG776" s="148"/>
    </row>
    <row r="777" ht="15.75" customHeight="1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  <c r="AD777" s="148"/>
      <c r="AE777" s="148"/>
      <c r="AF777" s="148"/>
      <c r="AG777" s="148"/>
    </row>
    <row r="778" ht="15.75" customHeight="1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  <c r="AD778" s="148"/>
      <c r="AE778" s="148"/>
      <c r="AF778" s="148"/>
      <c r="AG778" s="148"/>
    </row>
    <row r="779" ht="15.75" customHeight="1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  <c r="AD779" s="148"/>
      <c r="AE779" s="148"/>
      <c r="AF779" s="148"/>
      <c r="AG779" s="148"/>
    </row>
    <row r="780" ht="15.75" customHeight="1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  <c r="AD780" s="148"/>
      <c r="AE780" s="148"/>
      <c r="AF780" s="148"/>
      <c r="AG780" s="148"/>
    </row>
    <row r="781" ht="15.75" customHeight="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  <c r="AD781" s="148"/>
      <c r="AE781" s="148"/>
      <c r="AF781" s="148"/>
      <c r="AG781" s="148"/>
    </row>
    <row r="782" ht="15.75" customHeight="1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  <c r="AD782" s="148"/>
      <c r="AE782" s="148"/>
      <c r="AF782" s="148"/>
      <c r="AG782" s="148"/>
    </row>
    <row r="783" ht="15.75" customHeight="1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  <c r="AD783" s="148"/>
      <c r="AE783" s="148"/>
      <c r="AF783" s="148"/>
      <c r="AG783" s="148"/>
    </row>
    <row r="784" ht="15.75" customHeight="1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  <c r="AD784" s="148"/>
      <c r="AE784" s="148"/>
      <c r="AF784" s="148"/>
      <c r="AG784" s="148"/>
    </row>
    <row r="785" ht="15.75" customHeight="1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  <c r="AD785" s="148"/>
      <c r="AE785" s="148"/>
      <c r="AF785" s="148"/>
      <c r="AG785" s="148"/>
    </row>
    <row r="786" ht="15.75" customHeight="1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  <c r="AD786" s="148"/>
      <c r="AE786" s="148"/>
      <c r="AF786" s="148"/>
      <c r="AG786" s="148"/>
    </row>
    <row r="787" ht="15.75" customHeight="1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  <c r="AD787" s="148"/>
      <c r="AE787" s="148"/>
      <c r="AF787" s="148"/>
      <c r="AG787" s="148"/>
    </row>
    <row r="788" ht="15.75" customHeight="1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  <c r="AD788" s="148"/>
      <c r="AE788" s="148"/>
      <c r="AF788" s="148"/>
      <c r="AG788" s="148"/>
    </row>
    <row r="789" ht="15.75" customHeight="1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  <c r="AD789" s="148"/>
      <c r="AE789" s="148"/>
      <c r="AF789" s="148"/>
      <c r="AG789" s="148"/>
    </row>
    <row r="790" ht="15.75" customHeight="1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  <c r="AD790" s="148"/>
      <c r="AE790" s="148"/>
      <c r="AF790" s="148"/>
      <c r="AG790" s="148"/>
    </row>
    <row r="791" ht="15.75" customHeight="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  <c r="AD791" s="148"/>
      <c r="AE791" s="148"/>
      <c r="AF791" s="148"/>
      <c r="AG791" s="148"/>
    </row>
    <row r="792" ht="15.75" customHeight="1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  <c r="AD792" s="148"/>
      <c r="AE792" s="148"/>
      <c r="AF792" s="148"/>
      <c r="AG792" s="148"/>
    </row>
    <row r="793" ht="15.75" customHeight="1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  <c r="AD793" s="148"/>
      <c r="AE793" s="148"/>
      <c r="AF793" s="148"/>
      <c r="AG793" s="148"/>
    </row>
    <row r="794" ht="15.75" customHeight="1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  <c r="AD794" s="148"/>
      <c r="AE794" s="148"/>
      <c r="AF794" s="148"/>
      <c r="AG794" s="148"/>
    </row>
    <row r="795" ht="15.75" customHeight="1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  <c r="AD795" s="148"/>
      <c r="AE795" s="148"/>
      <c r="AF795" s="148"/>
      <c r="AG795" s="148"/>
    </row>
    <row r="796" ht="15.75" customHeight="1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  <c r="AD796" s="148"/>
      <c r="AE796" s="148"/>
      <c r="AF796" s="148"/>
      <c r="AG796" s="148"/>
    </row>
    <row r="797" ht="15.75" customHeight="1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  <c r="AD797" s="148"/>
      <c r="AE797" s="148"/>
      <c r="AF797" s="148"/>
      <c r="AG797" s="148"/>
    </row>
    <row r="798" ht="15.75" customHeight="1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  <c r="AD798" s="148"/>
      <c r="AE798" s="148"/>
      <c r="AF798" s="148"/>
      <c r="AG798" s="148"/>
    </row>
    <row r="799" ht="15.75" customHeight="1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  <c r="AD799" s="148"/>
      <c r="AE799" s="148"/>
      <c r="AF799" s="148"/>
      <c r="AG799" s="148"/>
    </row>
    <row r="800" ht="15.75" customHeight="1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  <c r="AD800" s="148"/>
      <c r="AE800" s="148"/>
      <c r="AF800" s="148"/>
      <c r="AG800" s="148"/>
    </row>
    <row r="801" ht="15.75" customHeight="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  <c r="AD801" s="148"/>
      <c r="AE801" s="148"/>
      <c r="AF801" s="148"/>
      <c r="AG801" s="148"/>
    </row>
    <row r="802" ht="15.75" customHeight="1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  <c r="AD802" s="148"/>
      <c r="AE802" s="148"/>
      <c r="AF802" s="148"/>
      <c r="AG802" s="148"/>
    </row>
    <row r="803" ht="15.75" customHeight="1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  <c r="AD803" s="148"/>
      <c r="AE803" s="148"/>
      <c r="AF803" s="148"/>
      <c r="AG803" s="148"/>
    </row>
    <row r="804" ht="15.75" customHeight="1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  <c r="AD804" s="148"/>
      <c r="AE804" s="148"/>
      <c r="AF804" s="148"/>
      <c r="AG804" s="148"/>
    </row>
    <row r="805" ht="15.75" customHeight="1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  <c r="AD805" s="148"/>
      <c r="AE805" s="148"/>
      <c r="AF805" s="148"/>
      <c r="AG805" s="148"/>
    </row>
    <row r="806" ht="15.75" customHeight="1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  <c r="AD806" s="148"/>
      <c r="AE806" s="148"/>
      <c r="AF806" s="148"/>
      <c r="AG806" s="148"/>
    </row>
    <row r="807" ht="15.75" customHeight="1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  <c r="AD807" s="148"/>
      <c r="AE807" s="148"/>
      <c r="AF807" s="148"/>
      <c r="AG807" s="148"/>
    </row>
    <row r="808" ht="15.75" customHeight="1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  <c r="AD808" s="148"/>
      <c r="AE808" s="148"/>
      <c r="AF808" s="148"/>
      <c r="AG808" s="148"/>
    </row>
    <row r="809" ht="15.75" customHeight="1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  <c r="AD809" s="148"/>
      <c r="AE809" s="148"/>
      <c r="AF809" s="148"/>
      <c r="AG809" s="148"/>
    </row>
    <row r="810" ht="15.75" customHeight="1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  <c r="AD810" s="148"/>
      <c r="AE810" s="148"/>
      <c r="AF810" s="148"/>
      <c r="AG810" s="148"/>
    </row>
    <row r="811" ht="15.75" customHeight="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  <c r="AD811" s="148"/>
      <c r="AE811" s="148"/>
      <c r="AF811" s="148"/>
      <c r="AG811" s="148"/>
    </row>
    <row r="812" ht="15.75" customHeight="1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  <c r="AD812" s="148"/>
      <c r="AE812" s="148"/>
      <c r="AF812" s="148"/>
      <c r="AG812" s="148"/>
    </row>
    <row r="813" ht="15.75" customHeight="1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  <c r="AD813" s="148"/>
      <c r="AE813" s="148"/>
      <c r="AF813" s="148"/>
      <c r="AG813" s="148"/>
    </row>
    <row r="814" ht="15.75" customHeight="1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  <c r="AD814" s="148"/>
      <c r="AE814" s="148"/>
      <c r="AF814" s="148"/>
      <c r="AG814" s="148"/>
    </row>
    <row r="815" ht="15.75" customHeight="1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  <c r="AD815" s="148"/>
      <c r="AE815" s="148"/>
      <c r="AF815" s="148"/>
      <c r="AG815" s="148"/>
    </row>
    <row r="816" ht="15.75" customHeight="1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  <c r="AD816" s="148"/>
      <c r="AE816" s="148"/>
      <c r="AF816" s="148"/>
      <c r="AG816" s="148"/>
    </row>
    <row r="817" ht="15.75" customHeight="1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  <c r="AD817" s="148"/>
      <c r="AE817" s="148"/>
      <c r="AF817" s="148"/>
      <c r="AG817" s="148"/>
    </row>
    <row r="818" ht="15.75" customHeight="1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  <c r="AD818" s="148"/>
      <c r="AE818" s="148"/>
      <c r="AF818" s="148"/>
      <c r="AG818" s="148"/>
    </row>
    <row r="819" ht="15.75" customHeight="1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  <c r="AD819" s="148"/>
      <c r="AE819" s="148"/>
      <c r="AF819" s="148"/>
      <c r="AG819" s="148"/>
    </row>
    <row r="820" ht="15.75" customHeight="1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  <c r="AD820" s="148"/>
      <c r="AE820" s="148"/>
      <c r="AF820" s="148"/>
      <c r="AG820" s="148"/>
    </row>
    <row r="821" ht="15.75" customHeight="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  <c r="AD821" s="148"/>
      <c r="AE821" s="148"/>
      <c r="AF821" s="148"/>
      <c r="AG821" s="148"/>
    </row>
    <row r="822" ht="15.75" customHeight="1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  <c r="AD822" s="148"/>
      <c r="AE822" s="148"/>
      <c r="AF822" s="148"/>
      <c r="AG822" s="148"/>
    </row>
    <row r="823" ht="15.75" customHeight="1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  <c r="AD823" s="148"/>
      <c r="AE823" s="148"/>
      <c r="AF823" s="148"/>
      <c r="AG823" s="148"/>
    </row>
    <row r="824" ht="15.75" customHeight="1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  <c r="AD824" s="148"/>
      <c r="AE824" s="148"/>
      <c r="AF824" s="148"/>
      <c r="AG824" s="148"/>
    </row>
    <row r="825" ht="15.75" customHeight="1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  <c r="AD825" s="148"/>
      <c r="AE825" s="148"/>
      <c r="AF825" s="148"/>
      <c r="AG825" s="148"/>
    </row>
    <row r="826" ht="15.75" customHeight="1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  <c r="AD826" s="148"/>
      <c r="AE826" s="148"/>
      <c r="AF826" s="148"/>
      <c r="AG826" s="148"/>
    </row>
    <row r="827" ht="15.75" customHeight="1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  <c r="AD827" s="148"/>
      <c r="AE827" s="148"/>
      <c r="AF827" s="148"/>
      <c r="AG827" s="148"/>
    </row>
    <row r="828" ht="15.75" customHeight="1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  <c r="AD828" s="148"/>
      <c r="AE828" s="148"/>
      <c r="AF828" s="148"/>
      <c r="AG828" s="148"/>
    </row>
    <row r="829" ht="15.75" customHeight="1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  <c r="AD829" s="148"/>
      <c r="AE829" s="148"/>
      <c r="AF829" s="148"/>
      <c r="AG829" s="148"/>
    </row>
    <row r="830" ht="15.75" customHeight="1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  <c r="AD830" s="148"/>
      <c r="AE830" s="148"/>
      <c r="AF830" s="148"/>
      <c r="AG830" s="148"/>
    </row>
    <row r="831" ht="15.75" customHeight="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  <c r="AD831" s="148"/>
      <c r="AE831" s="148"/>
      <c r="AF831" s="148"/>
      <c r="AG831" s="148"/>
    </row>
    <row r="832" ht="15.75" customHeight="1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  <c r="AD832" s="148"/>
      <c r="AE832" s="148"/>
      <c r="AF832" s="148"/>
      <c r="AG832" s="148"/>
    </row>
    <row r="833" ht="15.75" customHeight="1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  <c r="AD833" s="148"/>
      <c r="AE833" s="148"/>
      <c r="AF833" s="148"/>
      <c r="AG833" s="148"/>
    </row>
    <row r="834" ht="15.75" customHeight="1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  <c r="AD834" s="148"/>
      <c r="AE834" s="148"/>
      <c r="AF834" s="148"/>
      <c r="AG834" s="148"/>
    </row>
    <row r="835" ht="15.75" customHeight="1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  <c r="AD835" s="148"/>
      <c r="AE835" s="148"/>
      <c r="AF835" s="148"/>
      <c r="AG835" s="148"/>
    </row>
    <row r="836" ht="15.75" customHeight="1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  <c r="AD836" s="148"/>
      <c r="AE836" s="148"/>
      <c r="AF836" s="148"/>
      <c r="AG836" s="148"/>
    </row>
    <row r="837" ht="15.75" customHeight="1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  <c r="AD837" s="148"/>
      <c r="AE837" s="148"/>
      <c r="AF837" s="148"/>
      <c r="AG837" s="148"/>
    </row>
    <row r="838" ht="15.75" customHeight="1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  <c r="AD838" s="148"/>
      <c r="AE838" s="148"/>
      <c r="AF838" s="148"/>
      <c r="AG838" s="148"/>
    </row>
    <row r="839" ht="15.75" customHeight="1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  <c r="AD839" s="148"/>
      <c r="AE839" s="148"/>
      <c r="AF839" s="148"/>
      <c r="AG839" s="148"/>
    </row>
    <row r="840" ht="15.75" customHeight="1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  <c r="AD840" s="148"/>
      <c r="AE840" s="148"/>
      <c r="AF840" s="148"/>
      <c r="AG840" s="148"/>
    </row>
    <row r="841" ht="15.75" customHeight="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  <c r="AD841" s="148"/>
      <c r="AE841" s="148"/>
      <c r="AF841" s="148"/>
      <c r="AG841" s="148"/>
    </row>
    <row r="842" ht="15.75" customHeight="1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  <c r="AD842" s="148"/>
      <c r="AE842" s="148"/>
      <c r="AF842" s="148"/>
      <c r="AG842" s="148"/>
    </row>
    <row r="843" ht="15.75" customHeight="1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  <c r="AD843" s="148"/>
      <c r="AE843" s="148"/>
      <c r="AF843" s="148"/>
      <c r="AG843" s="148"/>
    </row>
    <row r="844" ht="15.75" customHeight="1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  <c r="AD844" s="148"/>
      <c r="AE844" s="148"/>
      <c r="AF844" s="148"/>
      <c r="AG844" s="148"/>
    </row>
    <row r="845" ht="15.75" customHeight="1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  <c r="AD845" s="148"/>
      <c r="AE845" s="148"/>
      <c r="AF845" s="148"/>
      <c r="AG845" s="148"/>
    </row>
    <row r="846" ht="15.75" customHeight="1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  <c r="AD846" s="148"/>
      <c r="AE846" s="148"/>
      <c r="AF846" s="148"/>
      <c r="AG846" s="148"/>
    </row>
    <row r="847" ht="15.75" customHeight="1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  <c r="AD847" s="148"/>
      <c r="AE847" s="148"/>
      <c r="AF847" s="148"/>
      <c r="AG847" s="148"/>
    </row>
    <row r="848" ht="15.75" customHeight="1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  <c r="AD848" s="148"/>
      <c r="AE848" s="148"/>
      <c r="AF848" s="148"/>
      <c r="AG848" s="148"/>
    </row>
    <row r="849" ht="15.75" customHeight="1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  <c r="AD849" s="148"/>
      <c r="AE849" s="148"/>
      <c r="AF849" s="148"/>
      <c r="AG849" s="148"/>
    </row>
    <row r="850" ht="15.75" customHeight="1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  <c r="AD850" s="148"/>
      <c r="AE850" s="148"/>
      <c r="AF850" s="148"/>
      <c r="AG850" s="148"/>
    </row>
    <row r="851" ht="15.75" customHeight="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  <c r="AD851" s="148"/>
      <c r="AE851" s="148"/>
      <c r="AF851" s="148"/>
      <c r="AG851" s="148"/>
    </row>
    <row r="852" ht="15.75" customHeight="1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  <c r="AD852" s="148"/>
      <c r="AE852" s="148"/>
      <c r="AF852" s="148"/>
      <c r="AG852" s="148"/>
    </row>
    <row r="853" ht="15.75" customHeight="1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  <c r="AD853" s="148"/>
      <c r="AE853" s="148"/>
      <c r="AF853" s="148"/>
      <c r="AG853" s="148"/>
    </row>
    <row r="854" ht="15.75" customHeight="1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  <c r="AD854" s="148"/>
      <c r="AE854" s="148"/>
      <c r="AF854" s="148"/>
      <c r="AG854" s="148"/>
    </row>
    <row r="855" ht="15.75" customHeight="1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  <c r="AD855" s="148"/>
      <c r="AE855" s="148"/>
      <c r="AF855" s="148"/>
      <c r="AG855" s="148"/>
    </row>
    <row r="856" ht="15.75" customHeight="1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  <c r="AD856" s="148"/>
      <c r="AE856" s="148"/>
      <c r="AF856" s="148"/>
      <c r="AG856" s="148"/>
    </row>
    <row r="857" ht="15.75" customHeight="1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  <c r="AD857" s="148"/>
      <c r="AE857" s="148"/>
      <c r="AF857" s="148"/>
      <c r="AG857" s="148"/>
    </row>
    <row r="858" ht="15.75" customHeight="1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  <c r="AD858" s="148"/>
      <c r="AE858" s="148"/>
      <c r="AF858" s="148"/>
      <c r="AG858" s="148"/>
    </row>
    <row r="859" ht="15.75" customHeight="1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  <c r="AD859" s="148"/>
      <c r="AE859" s="148"/>
      <c r="AF859" s="148"/>
      <c r="AG859" s="148"/>
    </row>
    <row r="860" ht="15.75" customHeight="1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  <c r="AD860" s="148"/>
      <c r="AE860" s="148"/>
      <c r="AF860" s="148"/>
      <c r="AG860" s="148"/>
    </row>
    <row r="861" ht="15.75" customHeight="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  <c r="AD861" s="148"/>
      <c r="AE861" s="148"/>
      <c r="AF861" s="148"/>
      <c r="AG861" s="148"/>
    </row>
    <row r="862" ht="15.75" customHeight="1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  <c r="AD862" s="148"/>
      <c r="AE862" s="148"/>
      <c r="AF862" s="148"/>
      <c r="AG862" s="148"/>
    </row>
    <row r="863" ht="15.75" customHeight="1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  <c r="AD863" s="148"/>
      <c r="AE863" s="148"/>
      <c r="AF863" s="148"/>
      <c r="AG863" s="148"/>
    </row>
    <row r="864" ht="15.75" customHeight="1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  <c r="AD864" s="148"/>
      <c r="AE864" s="148"/>
      <c r="AF864" s="148"/>
      <c r="AG864" s="148"/>
    </row>
    <row r="865" ht="15.75" customHeight="1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  <c r="AD865" s="148"/>
      <c r="AE865" s="148"/>
      <c r="AF865" s="148"/>
      <c r="AG865" s="148"/>
    </row>
    <row r="866" ht="15.75" customHeight="1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  <c r="AD866" s="148"/>
      <c r="AE866" s="148"/>
      <c r="AF866" s="148"/>
      <c r="AG866" s="148"/>
    </row>
    <row r="867" ht="15.75" customHeight="1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  <c r="AD867" s="148"/>
      <c r="AE867" s="148"/>
      <c r="AF867" s="148"/>
      <c r="AG867" s="148"/>
    </row>
    <row r="868" ht="15.75" customHeight="1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  <c r="AD868" s="148"/>
      <c r="AE868" s="148"/>
      <c r="AF868" s="148"/>
      <c r="AG868" s="148"/>
    </row>
    <row r="869" ht="15.75" customHeight="1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  <c r="AD869" s="148"/>
      <c r="AE869" s="148"/>
      <c r="AF869" s="148"/>
      <c r="AG869" s="148"/>
    </row>
    <row r="870" ht="15.75" customHeight="1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  <c r="AD870" s="148"/>
      <c r="AE870" s="148"/>
      <c r="AF870" s="148"/>
      <c r="AG870" s="148"/>
    </row>
    <row r="871" ht="15.75" customHeight="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  <c r="AD871" s="148"/>
      <c r="AE871" s="148"/>
      <c r="AF871" s="148"/>
      <c r="AG871" s="148"/>
    </row>
    <row r="872" ht="15.75" customHeight="1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  <c r="AD872" s="148"/>
      <c r="AE872" s="148"/>
      <c r="AF872" s="148"/>
      <c r="AG872" s="148"/>
    </row>
    <row r="873" ht="15.75" customHeight="1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  <c r="AD873" s="148"/>
      <c r="AE873" s="148"/>
      <c r="AF873" s="148"/>
      <c r="AG873" s="148"/>
    </row>
    <row r="874" ht="15.75" customHeight="1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  <c r="AD874" s="148"/>
      <c r="AE874" s="148"/>
      <c r="AF874" s="148"/>
      <c r="AG874" s="148"/>
    </row>
    <row r="875" ht="15.75" customHeight="1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  <c r="AD875" s="148"/>
      <c r="AE875" s="148"/>
      <c r="AF875" s="148"/>
      <c r="AG875" s="148"/>
    </row>
    <row r="876" ht="15.75" customHeight="1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  <c r="AD876" s="148"/>
      <c r="AE876" s="148"/>
      <c r="AF876" s="148"/>
      <c r="AG876" s="148"/>
    </row>
    <row r="877" ht="15.75" customHeight="1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  <c r="AD877" s="148"/>
      <c r="AE877" s="148"/>
      <c r="AF877" s="148"/>
      <c r="AG877" s="148"/>
    </row>
    <row r="878" ht="15.75" customHeight="1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  <c r="AD878" s="148"/>
      <c r="AE878" s="148"/>
      <c r="AF878" s="148"/>
      <c r="AG878" s="148"/>
    </row>
    <row r="879" ht="15.75" customHeight="1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  <c r="AD879" s="148"/>
      <c r="AE879" s="148"/>
      <c r="AF879" s="148"/>
      <c r="AG879" s="148"/>
    </row>
    <row r="880" ht="15.75" customHeight="1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  <c r="AD880" s="148"/>
      <c r="AE880" s="148"/>
      <c r="AF880" s="148"/>
      <c r="AG880" s="148"/>
    </row>
    <row r="881" ht="15.75" customHeight="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  <c r="AD881" s="148"/>
      <c r="AE881" s="148"/>
      <c r="AF881" s="148"/>
      <c r="AG881" s="148"/>
    </row>
    <row r="882" ht="15.75" customHeight="1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  <c r="AD882" s="148"/>
      <c r="AE882" s="148"/>
      <c r="AF882" s="148"/>
      <c r="AG882" s="148"/>
    </row>
    <row r="883" ht="15.75" customHeight="1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  <c r="AD883" s="148"/>
      <c r="AE883" s="148"/>
      <c r="AF883" s="148"/>
      <c r="AG883" s="148"/>
    </row>
    <row r="884" ht="15.75" customHeight="1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  <c r="AD884" s="148"/>
      <c r="AE884" s="148"/>
      <c r="AF884" s="148"/>
      <c r="AG884" s="148"/>
    </row>
    <row r="885" ht="15.75" customHeight="1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  <c r="AD885" s="148"/>
      <c r="AE885" s="148"/>
      <c r="AF885" s="148"/>
      <c r="AG885" s="148"/>
    </row>
    <row r="886" ht="15.75" customHeight="1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  <c r="AD886" s="148"/>
      <c r="AE886" s="148"/>
      <c r="AF886" s="148"/>
      <c r="AG886" s="148"/>
    </row>
    <row r="887" ht="15.75" customHeight="1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  <c r="AD887" s="148"/>
      <c r="AE887" s="148"/>
      <c r="AF887" s="148"/>
      <c r="AG887" s="148"/>
    </row>
    <row r="888" ht="15.75" customHeight="1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  <c r="AD888" s="148"/>
      <c r="AE888" s="148"/>
      <c r="AF888" s="148"/>
      <c r="AG888" s="148"/>
    </row>
    <row r="889" ht="15.75" customHeight="1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  <c r="AD889" s="148"/>
      <c r="AE889" s="148"/>
      <c r="AF889" s="148"/>
      <c r="AG889" s="148"/>
    </row>
    <row r="890" ht="15.75" customHeight="1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  <c r="AD890" s="148"/>
      <c r="AE890" s="148"/>
      <c r="AF890" s="148"/>
      <c r="AG890" s="148"/>
    </row>
    <row r="891" ht="15.75" customHeight="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  <c r="AD891" s="148"/>
      <c r="AE891" s="148"/>
      <c r="AF891" s="148"/>
      <c r="AG891" s="148"/>
    </row>
    <row r="892" ht="15.75" customHeight="1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  <c r="AD892" s="148"/>
      <c r="AE892" s="148"/>
      <c r="AF892" s="148"/>
      <c r="AG892" s="148"/>
    </row>
    <row r="893" ht="15.75" customHeight="1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  <c r="AD893" s="148"/>
      <c r="AE893" s="148"/>
      <c r="AF893" s="148"/>
      <c r="AG893" s="148"/>
    </row>
    <row r="894" ht="15.75" customHeight="1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  <c r="AD894" s="148"/>
      <c r="AE894" s="148"/>
      <c r="AF894" s="148"/>
      <c r="AG894" s="148"/>
    </row>
    <row r="895" ht="15.75" customHeight="1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  <c r="AD895" s="148"/>
      <c r="AE895" s="148"/>
      <c r="AF895" s="148"/>
      <c r="AG895" s="148"/>
    </row>
    <row r="896" ht="15.75" customHeight="1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  <c r="AD896" s="148"/>
      <c r="AE896" s="148"/>
      <c r="AF896" s="148"/>
      <c r="AG896" s="148"/>
    </row>
    <row r="897" ht="15.75" customHeight="1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  <c r="AD897" s="148"/>
      <c r="AE897" s="148"/>
      <c r="AF897" s="148"/>
      <c r="AG897" s="148"/>
    </row>
    <row r="898" ht="15.75" customHeight="1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  <c r="AD898" s="148"/>
      <c r="AE898" s="148"/>
      <c r="AF898" s="148"/>
      <c r="AG898" s="148"/>
    </row>
    <row r="899" ht="15.75" customHeight="1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  <c r="AD899" s="148"/>
      <c r="AE899" s="148"/>
      <c r="AF899" s="148"/>
      <c r="AG899" s="148"/>
    </row>
    <row r="900" ht="15.75" customHeight="1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  <c r="AD900" s="148"/>
      <c r="AE900" s="148"/>
      <c r="AF900" s="148"/>
      <c r="AG900" s="148"/>
    </row>
    <row r="901" ht="15.75" customHeight="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  <c r="AD901" s="148"/>
      <c r="AE901" s="148"/>
      <c r="AF901" s="148"/>
      <c r="AG901" s="148"/>
    </row>
    <row r="902" ht="15.75" customHeight="1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  <c r="AD902" s="148"/>
      <c r="AE902" s="148"/>
      <c r="AF902" s="148"/>
      <c r="AG902" s="148"/>
    </row>
    <row r="903" ht="15.75" customHeight="1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  <c r="AD903" s="148"/>
      <c r="AE903" s="148"/>
      <c r="AF903" s="148"/>
      <c r="AG903" s="148"/>
    </row>
    <row r="904" ht="15.75" customHeight="1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  <c r="AD904" s="148"/>
      <c r="AE904" s="148"/>
      <c r="AF904" s="148"/>
      <c r="AG904" s="148"/>
    </row>
    <row r="905" ht="15.75" customHeight="1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  <c r="AD905" s="148"/>
      <c r="AE905" s="148"/>
      <c r="AF905" s="148"/>
      <c r="AG905" s="148"/>
    </row>
    <row r="906" ht="15.75" customHeight="1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  <c r="AD906" s="148"/>
      <c r="AE906" s="148"/>
      <c r="AF906" s="148"/>
      <c r="AG906" s="148"/>
    </row>
    <row r="907" ht="15.75" customHeight="1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  <c r="AD907" s="148"/>
      <c r="AE907" s="148"/>
      <c r="AF907" s="148"/>
      <c r="AG907" s="148"/>
    </row>
    <row r="908" ht="15.75" customHeight="1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  <c r="AD908" s="148"/>
      <c r="AE908" s="148"/>
      <c r="AF908" s="148"/>
      <c r="AG908" s="148"/>
    </row>
    <row r="909" ht="15.75" customHeight="1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  <c r="AD909" s="148"/>
      <c r="AE909" s="148"/>
      <c r="AF909" s="148"/>
      <c r="AG909" s="148"/>
    </row>
    <row r="910" ht="15.75" customHeight="1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  <c r="AD910" s="148"/>
      <c r="AE910" s="148"/>
      <c r="AF910" s="148"/>
      <c r="AG910" s="148"/>
    </row>
    <row r="911" ht="15.75" customHeight="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  <c r="AD911" s="148"/>
      <c r="AE911" s="148"/>
      <c r="AF911" s="148"/>
      <c r="AG911" s="148"/>
    </row>
    <row r="912" ht="15.75" customHeight="1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  <c r="AD912" s="148"/>
      <c r="AE912" s="148"/>
      <c r="AF912" s="148"/>
      <c r="AG912" s="148"/>
    </row>
    <row r="913" ht="15.75" customHeight="1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  <c r="AD913" s="148"/>
      <c r="AE913" s="148"/>
      <c r="AF913" s="148"/>
      <c r="AG913" s="148"/>
    </row>
    <row r="914" ht="15.75" customHeight="1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  <c r="AD914" s="148"/>
      <c r="AE914" s="148"/>
      <c r="AF914" s="148"/>
      <c r="AG914" s="148"/>
    </row>
    <row r="915" ht="15.75" customHeight="1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  <c r="AD915" s="148"/>
      <c r="AE915" s="148"/>
      <c r="AF915" s="148"/>
      <c r="AG915" s="148"/>
    </row>
    <row r="916" ht="15.75" customHeight="1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  <c r="AD916" s="148"/>
      <c r="AE916" s="148"/>
      <c r="AF916" s="148"/>
      <c r="AG916" s="148"/>
    </row>
    <row r="917" ht="15.75" customHeight="1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  <c r="AD917" s="148"/>
      <c r="AE917" s="148"/>
      <c r="AF917" s="148"/>
      <c r="AG917" s="148"/>
    </row>
    <row r="918" ht="15.75" customHeight="1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  <c r="AD918" s="148"/>
      <c r="AE918" s="148"/>
      <c r="AF918" s="148"/>
      <c r="AG918" s="148"/>
    </row>
    <row r="919" ht="15.75" customHeight="1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  <c r="AD919" s="148"/>
      <c r="AE919" s="148"/>
      <c r="AF919" s="148"/>
      <c r="AG919" s="148"/>
    </row>
    <row r="920" ht="15.75" customHeight="1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  <c r="AD920" s="148"/>
      <c r="AE920" s="148"/>
      <c r="AF920" s="148"/>
      <c r="AG920" s="148"/>
    </row>
    <row r="921" ht="15.75" customHeight="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  <c r="AD921" s="148"/>
      <c r="AE921" s="148"/>
      <c r="AF921" s="148"/>
      <c r="AG921" s="148"/>
    </row>
    <row r="922" ht="15.75" customHeight="1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  <c r="AD922" s="148"/>
      <c r="AE922" s="148"/>
      <c r="AF922" s="148"/>
      <c r="AG922" s="148"/>
    </row>
    <row r="923" ht="15.75" customHeight="1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  <c r="AD923" s="148"/>
      <c r="AE923" s="148"/>
      <c r="AF923" s="148"/>
      <c r="AG923" s="148"/>
    </row>
    <row r="924" ht="15.75" customHeight="1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  <c r="AD924" s="148"/>
      <c r="AE924" s="148"/>
      <c r="AF924" s="148"/>
      <c r="AG924" s="148"/>
    </row>
    <row r="925" ht="15.75" customHeight="1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  <c r="AD925" s="148"/>
      <c r="AE925" s="148"/>
      <c r="AF925" s="148"/>
      <c r="AG925" s="148"/>
    </row>
    <row r="926" ht="15.75" customHeight="1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  <c r="AD926" s="148"/>
      <c r="AE926" s="148"/>
      <c r="AF926" s="148"/>
      <c r="AG926" s="148"/>
    </row>
    <row r="927" ht="15.75" customHeight="1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  <c r="AD927" s="148"/>
      <c r="AE927" s="148"/>
      <c r="AF927" s="148"/>
      <c r="AG927" s="148"/>
    </row>
    <row r="928" ht="15.75" customHeight="1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  <c r="AD928" s="148"/>
      <c r="AE928" s="148"/>
      <c r="AF928" s="148"/>
      <c r="AG928" s="148"/>
    </row>
    <row r="929" ht="15.75" customHeight="1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  <c r="AD929" s="148"/>
      <c r="AE929" s="148"/>
      <c r="AF929" s="148"/>
      <c r="AG929" s="148"/>
    </row>
    <row r="930" ht="15.75" customHeight="1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  <c r="AD930" s="148"/>
      <c r="AE930" s="148"/>
      <c r="AF930" s="148"/>
      <c r="AG930" s="148"/>
    </row>
    <row r="931" ht="15.75" customHeight="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  <c r="AD931" s="148"/>
      <c r="AE931" s="148"/>
      <c r="AF931" s="148"/>
      <c r="AG931" s="148"/>
    </row>
    <row r="932" ht="15.75" customHeight="1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  <c r="AD932" s="148"/>
      <c r="AE932" s="148"/>
      <c r="AF932" s="148"/>
      <c r="AG932" s="148"/>
    </row>
    <row r="933" ht="15.75" customHeight="1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  <c r="AD933" s="148"/>
      <c r="AE933" s="148"/>
      <c r="AF933" s="148"/>
      <c r="AG933" s="148"/>
    </row>
    <row r="934" ht="15.75" customHeight="1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  <c r="AD934" s="148"/>
      <c r="AE934" s="148"/>
      <c r="AF934" s="148"/>
      <c r="AG934" s="148"/>
    </row>
    <row r="935" ht="15.75" customHeight="1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  <c r="AD935" s="148"/>
      <c r="AE935" s="148"/>
      <c r="AF935" s="148"/>
      <c r="AG935" s="148"/>
    </row>
    <row r="936" ht="15.75" customHeight="1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  <c r="AD936" s="148"/>
      <c r="AE936" s="148"/>
      <c r="AF936" s="148"/>
      <c r="AG936" s="148"/>
    </row>
    <row r="937" ht="15.75" customHeight="1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  <c r="AD937" s="148"/>
      <c r="AE937" s="148"/>
      <c r="AF937" s="148"/>
      <c r="AG937" s="148"/>
    </row>
    <row r="938" ht="15.75" customHeight="1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  <c r="AD938" s="148"/>
      <c r="AE938" s="148"/>
      <c r="AF938" s="148"/>
      <c r="AG938" s="148"/>
    </row>
    <row r="939" ht="15.75" customHeight="1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  <c r="AD939" s="148"/>
      <c r="AE939" s="148"/>
      <c r="AF939" s="148"/>
      <c r="AG939" s="148"/>
    </row>
    <row r="940" ht="15.75" customHeight="1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  <c r="AD940" s="148"/>
      <c r="AE940" s="148"/>
      <c r="AF940" s="148"/>
      <c r="AG940" s="148"/>
    </row>
    <row r="941" ht="15.75" customHeight="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  <c r="AD941" s="148"/>
      <c r="AE941" s="148"/>
      <c r="AF941" s="148"/>
      <c r="AG941" s="148"/>
    </row>
    <row r="942" ht="15.75" customHeight="1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  <c r="AD942" s="148"/>
      <c r="AE942" s="148"/>
      <c r="AF942" s="148"/>
      <c r="AG942" s="148"/>
    </row>
    <row r="943" ht="15.75" customHeight="1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  <c r="AD943" s="148"/>
      <c r="AE943" s="148"/>
      <c r="AF943" s="148"/>
      <c r="AG943" s="148"/>
    </row>
    <row r="944" ht="15.75" customHeight="1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  <c r="AD944" s="148"/>
      <c r="AE944" s="148"/>
      <c r="AF944" s="148"/>
      <c r="AG944" s="148"/>
    </row>
    <row r="945" ht="15.75" customHeight="1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  <c r="AD945" s="148"/>
      <c r="AE945" s="148"/>
      <c r="AF945" s="148"/>
      <c r="AG945" s="148"/>
    </row>
    <row r="946" ht="15.75" customHeight="1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  <c r="AD946" s="148"/>
      <c r="AE946" s="148"/>
      <c r="AF946" s="148"/>
      <c r="AG946" s="148"/>
    </row>
    <row r="947" ht="15.75" customHeight="1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  <c r="AD947" s="148"/>
      <c r="AE947" s="148"/>
      <c r="AF947" s="148"/>
      <c r="AG947" s="148"/>
    </row>
    <row r="948" ht="15.75" customHeight="1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  <c r="AD948" s="148"/>
      <c r="AE948" s="148"/>
      <c r="AF948" s="148"/>
      <c r="AG948" s="148"/>
    </row>
    <row r="949" ht="15.75" customHeight="1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  <c r="AD949" s="148"/>
      <c r="AE949" s="148"/>
      <c r="AF949" s="148"/>
      <c r="AG949" s="148"/>
    </row>
    <row r="950" ht="15.75" customHeight="1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  <c r="AD950" s="148"/>
      <c r="AE950" s="148"/>
      <c r="AF950" s="148"/>
      <c r="AG950" s="148"/>
    </row>
    <row r="951" ht="15.75" customHeight="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  <c r="AD951" s="148"/>
      <c r="AE951" s="148"/>
      <c r="AF951" s="148"/>
      <c r="AG951" s="148"/>
    </row>
    <row r="952" ht="15.75" customHeight="1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  <c r="AD952" s="148"/>
      <c r="AE952" s="148"/>
      <c r="AF952" s="148"/>
      <c r="AG952" s="148"/>
    </row>
    <row r="953" ht="15.75" customHeight="1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  <c r="AD953" s="148"/>
      <c r="AE953" s="148"/>
      <c r="AF953" s="148"/>
      <c r="AG953" s="148"/>
    </row>
    <row r="954" ht="15.75" customHeight="1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  <c r="AD954" s="148"/>
      <c r="AE954" s="148"/>
      <c r="AF954" s="148"/>
      <c r="AG954" s="148"/>
    </row>
    <row r="955" ht="15.75" customHeight="1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  <c r="AD955" s="148"/>
      <c r="AE955" s="148"/>
      <c r="AF955" s="148"/>
      <c r="AG955" s="148"/>
    </row>
    <row r="956" ht="15.75" customHeight="1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  <c r="AD956" s="148"/>
      <c r="AE956" s="148"/>
      <c r="AF956" s="148"/>
      <c r="AG956" s="148"/>
    </row>
    <row r="957" ht="15.75" customHeight="1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  <c r="AD957" s="148"/>
      <c r="AE957" s="148"/>
      <c r="AF957" s="148"/>
      <c r="AG957" s="148"/>
    </row>
    <row r="958" ht="15.75" customHeight="1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  <c r="AD958" s="148"/>
      <c r="AE958" s="148"/>
      <c r="AF958" s="148"/>
      <c r="AG958" s="148"/>
    </row>
    <row r="959" ht="15.75" customHeight="1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  <c r="AD959" s="148"/>
      <c r="AE959" s="148"/>
      <c r="AF959" s="148"/>
      <c r="AG959" s="148"/>
    </row>
    <row r="960" ht="15.75" customHeight="1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  <c r="AD960" s="148"/>
      <c r="AE960" s="148"/>
      <c r="AF960" s="148"/>
      <c r="AG960" s="148"/>
    </row>
    <row r="961" ht="15.75" customHeight="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  <c r="AD961" s="148"/>
      <c r="AE961" s="148"/>
      <c r="AF961" s="148"/>
      <c r="AG961" s="148"/>
    </row>
    <row r="962" ht="15.75" customHeight="1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  <c r="AD962" s="148"/>
      <c r="AE962" s="148"/>
      <c r="AF962" s="148"/>
      <c r="AG962" s="148"/>
    </row>
    <row r="963" ht="15.75" customHeight="1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  <c r="AD963" s="148"/>
      <c r="AE963" s="148"/>
      <c r="AF963" s="148"/>
      <c r="AG963" s="148"/>
    </row>
    <row r="964" ht="15.75" customHeight="1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  <c r="AD964" s="148"/>
      <c r="AE964" s="148"/>
      <c r="AF964" s="148"/>
      <c r="AG964" s="148"/>
    </row>
    <row r="965" ht="15.75" customHeight="1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  <c r="AD965" s="148"/>
      <c r="AE965" s="148"/>
      <c r="AF965" s="148"/>
      <c r="AG965" s="148"/>
    </row>
    <row r="966" ht="15.75" customHeight="1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  <c r="AD966" s="148"/>
      <c r="AE966" s="148"/>
      <c r="AF966" s="148"/>
      <c r="AG966" s="148"/>
    </row>
    <row r="967" ht="15.75" customHeight="1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  <c r="AD967" s="148"/>
      <c r="AE967" s="148"/>
      <c r="AF967" s="148"/>
      <c r="AG967" s="148"/>
    </row>
    <row r="968" ht="15.75" customHeight="1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  <c r="AD968" s="148"/>
      <c r="AE968" s="148"/>
      <c r="AF968" s="148"/>
      <c r="AG968" s="148"/>
    </row>
    <row r="969" ht="15.75" customHeight="1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  <c r="AD969" s="148"/>
      <c r="AE969" s="148"/>
      <c r="AF969" s="148"/>
      <c r="AG969" s="148"/>
    </row>
    <row r="970" ht="15.75" customHeight="1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  <c r="AD970" s="148"/>
      <c r="AE970" s="148"/>
      <c r="AF970" s="148"/>
      <c r="AG970" s="148"/>
    </row>
    <row r="971" ht="15.75" customHeight="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  <c r="AD971" s="148"/>
      <c r="AE971" s="148"/>
      <c r="AF971" s="148"/>
      <c r="AG971" s="148"/>
    </row>
    <row r="972" ht="15.75" customHeight="1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  <c r="AD972" s="148"/>
      <c r="AE972" s="148"/>
      <c r="AF972" s="148"/>
      <c r="AG972" s="148"/>
    </row>
    <row r="973" ht="15.75" customHeight="1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  <c r="AD973" s="148"/>
      <c r="AE973" s="148"/>
      <c r="AF973" s="148"/>
      <c r="AG973" s="148"/>
    </row>
    <row r="974" ht="15.75" customHeight="1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  <c r="AD974" s="148"/>
      <c r="AE974" s="148"/>
      <c r="AF974" s="148"/>
      <c r="AG974" s="148"/>
    </row>
    <row r="975" ht="15.75" customHeight="1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  <c r="AD975" s="148"/>
      <c r="AE975" s="148"/>
      <c r="AF975" s="148"/>
      <c r="AG975" s="148"/>
    </row>
    <row r="976" ht="15.75" customHeight="1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  <c r="AC976" s="148"/>
      <c r="AD976" s="148"/>
      <c r="AE976" s="148"/>
      <c r="AF976" s="148"/>
      <c r="AG976" s="148"/>
    </row>
    <row r="977" ht="15.75" customHeight="1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  <c r="AC977" s="148"/>
      <c r="AD977" s="148"/>
      <c r="AE977" s="148"/>
      <c r="AF977" s="148"/>
      <c r="AG977" s="148"/>
    </row>
    <row r="978" ht="15.75" customHeight="1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  <c r="AC978" s="148"/>
      <c r="AD978" s="148"/>
      <c r="AE978" s="148"/>
      <c r="AF978" s="148"/>
      <c r="AG978" s="148"/>
    </row>
    <row r="979" ht="15.75" customHeight="1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  <c r="AC979" s="148"/>
      <c r="AD979" s="148"/>
      <c r="AE979" s="148"/>
      <c r="AF979" s="148"/>
      <c r="AG979" s="148"/>
    </row>
    <row r="980" ht="15.75" customHeight="1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  <c r="AC980" s="148"/>
      <c r="AD980" s="148"/>
      <c r="AE980" s="148"/>
      <c r="AF980" s="148"/>
      <c r="AG980" s="148"/>
    </row>
    <row r="981" ht="15.75" customHeight="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  <c r="AC981" s="148"/>
      <c r="AD981" s="148"/>
      <c r="AE981" s="148"/>
      <c r="AF981" s="148"/>
      <c r="AG981" s="148"/>
    </row>
    <row r="982" ht="15.75" customHeight="1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  <c r="AC982" s="148"/>
      <c r="AD982" s="148"/>
      <c r="AE982" s="148"/>
      <c r="AF982" s="148"/>
      <c r="AG982" s="148"/>
    </row>
    <row r="983" ht="15.75" customHeight="1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  <c r="AC983" s="148"/>
      <c r="AD983" s="148"/>
      <c r="AE983" s="148"/>
      <c r="AF983" s="148"/>
      <c r="AG983" s="148"/>
    </row>
    <row r="984" ht="15.75" customHeight="1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  <c r="AC984" s="148"/>
      <c r="AD984" s="148"/>
      <c r="AE984" s="148"/>
      <c r="AF984" s="148"/>
      <c r="AG984" s="148"/>
    </row>
    <row r="985" ht="15.75" customHeight="1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  <c r="AC985" s="148"/>
      <c r="AD985" s="148"/>
      <c r="AE985" s="148"/>
      <c r="AF985" s="148"/>
      <c r="AG985" s="148"/>
    </row>
    <row r="986" ht="15.75" customHeight="1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  <c r="AC986" s="148"/>
      <c r="AD986" s="148"/>
      <c r="AE986" s="148"/>
      <c r="AF986" s="148"/>
      <c r="AG986" s="148"/>
    </row>
    <row r="987" ht="15.75" customHeight="1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  <c r="AC987" s="148"/>
      <c r="AD987" s="148"/>
      <c r="AE987" s="148"/>
      <c r="AF987" s="148"/>
      <c r="AG987" s="148"/>
    </row>
    <row r="988" ht="15.75" customHeight="1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  <c r="AC988" s="148"/>
      <c r="AD988" s="148"/>
      <c r="AE988" s="148"/>
      <c r="AF988" s="148"/>
      <c r="AG988" s="148"/>
    </row>
    <row r="989" ht="15.75" customHeight="1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  <c r="AC989" s="148"/>
      <c r="AD989" s="148"/>
      <c r="AE989" s="148"/>
      <c r="AF989" s="148"/>
      <c r="AG989" s="148"/>
    </row>
    <row r="990" ht="15.75" customHeight="1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  <c r="AC990" s="148"/>
      <c r="AD990" s="148"/>
      <c r="AE990" s="148"/>
      <c r="AF990" s="148"/>
      <c r="AG990" s="148"/>
    </row>
    <row r="991" ht="15.75" customHeight="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  <c r="AC991" s="148"/>
      <c r="AD991" s="148"/>
      <c r="AE991" s="148"/>
      <c r="AF991" s="148"/>
      <c r="AG991" s="148"/>
    </row>
    <row r="992" ht="15.75" customHeight="1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  <c r="AC992" s="148"/>
      <c r="AD992" s="148"/>
      <c r="AE992" s="148"/>
      <c r="AF992" s="148"/>
      <c r="AG992" s="148"/>
    </row>
    <row r="993" ht="15.75" customHeight="1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  <c r="AC993" s="148"/>
      <c r="AD993" s="148"/>
      <c r="AE993" s="148"/>
      <c r="AF993" s="148"/>
      <c r="AG993" s="148"/>
    </row>
    <row r="994" ht="15.75" customHeight="1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  <c r="AC994" s="148"/>
      <c r="AD994" s="148"/>
      <c r="AE994" s="148"/>
      <c r="AF994" s="148"/>
      <c r="AG994" s="148"/>
    </row>
    <row r="995" ht="15.75" customHeight="1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  <c r="AD995" s="148"/>
      <c r="AE995" s="148"/>
      <c r="AF995" s="148"/>
      <c r="AG995" s="148"/>
    </row>
    <row r="996" ht="15.75" customHeight="1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  <c r="AC996" s="148"/>
      <c r="AD996" s="148"/>
      <c r="AE996" s="148"/>
      <c r="AF996" s="148"/>
      <c r="AG996" s="148"/>
    </row>
    <row r="997" ht="15.75" customHeight="1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  <c r="AC997" s="148"/>
      <c r="AD997" s="148"/>
      <c r="AE997" s="148"/>
      <c r="AF997" s="148"/>
      <c r="AG997" s="148"/>
    </row>
    <row r="998" ht="15.75" customHeight="1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  <c r="AC998" s="148"/>
      <c r="AD998" s="148"/>
      <c r="AE998" s="148"/>
      <c r="AF998" s="148"/>
      <c r="AG998" s="148"/>
    </row>
    <row r="999" ht="15.75" customHeight="1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  <c r="AC999" s="148"/>
      <c r="AD999" s="148"/>
      <c r="AE999" s="148"/>
      <c r="AF999" s="148"/>
      <c r="AG999" s="148"/>
    </row>
    <row r="1000" ht="15.75" customHeight="1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  <c r="AC1000" s="148"/>
      <c r="AD1000" s="148"/>
      <c r="AE1000" s="148"/>
      <c r="AF1000" s="148"/>
      <c r="AG1000" s="148"/>
    </row>
  </sheetData>
  <printOptions/>
  <pageMargins bottom="0.25" footer="0.0" header="0.0" left="0.7" right="0.45" top="0.75"/>
  <pageSetup paperSize="5" scale="5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6.86"/>
    <col customWidth="1" min="3" max="3" width="14.43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11500.0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11285.71429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10000.0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10325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18000.0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16571.42857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33000.0</v>
      </c>
      <c r="E24" s="59">
        <v>32000.0</v>
      </c>
      <c r="F24" s="59">
        <v>35000.0</v>
      </c>
      <c r="G24" s="59">
        <v>33000.0</v>
      </c>
      <c r="H24" s="53">
        <v>32000.0</v>
      </c>
      <c r="I24" s="61">
        <v>33000.0</v>
      </c>
      <c r="J24" s="53">
        <v>34000.0</v>
      </c>
      <c r="K24" s="64">
        <f t="shared" si="3"/>
        <v>33142.85714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37000.0</v>
      </c>
      <c r="G26" s="59">
        <v>40000.0</v>
      </c>
      <c r="H26" s="61">
        <v>30000.0</v>
      </c>
      <c r="I26" s="67">
        <v>43000.0</v>
      </c>
      <c r="J26" s="53">
        <v>35000.0</v>
      </c>
      <c r="K26" s="64">
        <f t="shared" ref="K26:K31" si="4">AVERAGE(D26:J26)</f>
        <v>37571.42857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35000.0</v>
      </c>
      <c r="G27" s="60">
        <v>30000.0</v>
      </c>
      <c r="H27" s="67">
        <v>23000.0</v>
      </c>
      <c r="I27" s="67">
        <v>37000.0</v>
      </c>
      <c r="J27" s="102">
        <v>30000.0</v>
      </c>
      <c r="K27" s="64">
        <f t="shared" si="4"/>
        <v>31666.66667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70000.0</v>
      </c>
      <c r="G28" s="60">
        <v>85000.0</v>
      </c>
      <c r="H28" s="61">
        <v>58000.0</v>
      </c>
      <c r="I28" s="67">
        <v>80000.0</v>
      </c>
      <c r="J28" s="102">
        <v>60000.0</v>
      </c>
      <c r="K28" s="64">
        <f t="shared" si="4"/>
        <v>68833.33333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23000.0</v>
      </c>
      <c r="H29" s="61">
        <v>23000.0</v>
      </c>
      <c r="I29" s="67">
        <v>24000.0</v>
      </c>
      <c r="J29" s="102">
        <v>26000.0</v>
      </c>
      <c r="K29" s="64">
        <f t="shared" si="4"/>
        <v>24000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42000.0</v>
      </c>
      <c r="E30" s="59">
        <v>40000.0</v>
      </c>
      <c r="F30" s="59">
        <v>40000.0</v>
      </c>
      <c r="G30" s="59">
        <v>40000.0</v>
      </c>
      <c r="H30" s="61">
        <v>28000.0</v>
      </c>
      <c r="I30" s="67">
        <v>44000.0</v>
      </c>
      <c r="J30" s="53">
        <v>40000.0</v>
      </c>
      <c r="K30" s="64">
        <f t="shared" si="4"/>
        <v>39142.85714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120000.0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88000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28000.0</v>
      </c>
      <c r="F33" s="59">
        <v>28000.0</v>
      </c>
      <c r="G33" s="59">
        <v>28000.0</v>
      </c>
      <c r="H33" s="61">
        <v>27000.0</v>
      </c>
      <c r="I33" s="61">
        <v>28000.0</v>
      </c>
      <c r="J33" s="53">
        <v>28000.0</v>
      </c>
      <c r="K33" s="64">
        <f t="shared" ref="K33:K34" si="5">AVERAGE(D33:J33)</f>
        <v>27857.14286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2500.0</v>
      </c>
      <c r="H34" s="61">
        <v>2000.0</v>
      </c>
      <c r="I34" s="61">
        <v>2500.0</v>
      </c>
      <c r="J34" s="53">
        <v>3000.0</v>
      </c>
      <c r="K34" s="64">
        <f t="shared" si="5"/>
        <v>2457.142857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16000.0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13000.0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27000.0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28428.57143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20000.0</v>
      </c>
      <c r="E56" s="59">
        <v>20000.0</v>
      </c>
      <c r="F56" s="59">
        <v>20000.0</v>
      </c>
      <c r="G56" s="59">
        <v>30000.0</v>
      </c>
      <c r="H56" s="61">
        <v>20000.0</v>
      </c>
      <c r="I56" s="61">
        <v>30000.0</v>
      </c>
      <c r="J56" s="53">
        <v>18000.0</v>
      </c>
      <c r="K56" s="64">
        <f t="shared" ref="K56:K58" si="10">AVERAGE(D56:J56)</f>
        <v>22571.42857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30000.0</v>
      </c>
      <c r="E57" s="59">
        <v>30000.0</v>
      </c>
      <c r="F57" s="59">
        <v>40000.0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40000.0</v>
      </c>
      <c r="E58" s="59">
        <v>50000.0</v>
      </c>
      <c r="F58" s="59">
        <v>50000.0</v>
      </c>
      <c r="G58" s="59">
        <v>50000.0</v>
      </c>
      <c r="H58" s="61">
        <v>45000.0</v>
      </c>
      <c r="I58" s="61">
        <v>55000.0</v>
      </c>
      <c r="J58" s="53">
        <v>45000.0</v>
      </c>
      <c r="K58" s="64">
        <f t="shared" si="10"/>
        <v>47857.14286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23000.0</v>
      </c>
      <c r="E62" s="59">
        <v>28000.0</v>
      </c>
      <c r="F62" s="59">
        <v>26000.0</v>
      </c>
      <c r="G62" s="59">
        <v>30000.0</v>
      </c>
      <c r="H62" s="61">
        <v>23000.0</v>
      </c>
      <c r="I62" s="61">
        <v>30000.0</v>
      </c>
      <c r="J62" s="53">
        <v>27000.0</v>
      </c>
      <c r="K62" s="64">
        <f t="shared" ref="K62:K65" si="11">AVERAGE(D62:J62)</f>
        <v>26714.28571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22000.0</v>
      </c>
      <c r="G63" s="59">
        <v>25000.0</v>
      </c>
      <c r="H63" s="61">
        <v>21000.0</v>
      </c>
      <c r="I63" s="61">
        <v>23000.0</v>
      </c>
      <c r="J63" s="53">
        <v>24000.0</v>
      </c>
      <c r="K63" s="64">
        <f t="shared" si="11"/>
        <v>23000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30000.0</v>
      </c>
      <c r="E64" s="59">
        <v>32000.0</v>
      </c>
      <c r="F64" s="59">
        <v>36000.0</v>
      </c>
      <c r="G64" s="59">
        <v>35000.0</v>
      </c>
      <c r="H64" s="61">
        <v>28000.0</v>
      </c>
      <c r="I64" s="61">
        <v>34000.0</v>
      </c>
      <c r="J64" s="53">
        <v>28000.0</v>
      </c>
      <c r="K64" s="64">
        <f t="shared" si="11"/>
        <v>31857.14286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21714.28571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12000.0</v>
      </c>
      <c r="F70" s="59">
        <v>10000.0</v>
      </c>
      <c r="G70" s="59">
        <v>8000.0</v>
      </c>
      <c r="H70" s="61">
        <v>11000.0</v>
      </c>
      <c r="I70" s="68">
        <v>12000.0</v>
      </c>
      <c r="J70" s="53">
        <v>8000.0</v>
      </c>
      <c r="K70" s="64">
        <f t="shared" ref="K70:K78" si="13">AVERAGE(D70:J70)</f>
        <v>10142.85714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8000.0</v>
      </c>
      <c r="E71" s="59">
        <v>12000.0</v>
      </c>
      <c r="F71" s="59">
        <v>13000.0</v>
      </c>
      <c r="G71" s="59">
        <v>12000.0</v>
      </c>
      <c r="H71" s="61">
        <v>5000.0</v>
      </c>
      <c r="I71" s="68">
        <v>12000.0</v>
      </c>
      <c r="J71" s="53">
        <v>12000.0</v>
      </c>
      <c r="K71" s="64">
        <f t="shared" si="13"/>
        <v>10571.42857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17000.0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15000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20000.0</v>
      </c>
      <c r="E73" s="59">
        <v>12000.0</v>
      </c>
      <c r="F73" s="59">
        <v>10000.0</v>
      </c>
      <c r="G73" s="59">
        <v>20000.0</v>
      </c>
      <c r="H73" s="61">
        <v>8000.0</v>
      </c>
      <c r="I73" s="68">
        <v>14000.0</v>
      </c>
      <c r="J73" s="53">
        <v>10000.0</v>
      </c>
      <c r="K73" s="64">
        <f t="shared" si="13"/>
        <v>13428.57143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9000.0</v>
      </c>
      <c r="E74" s="59">
        <v>10000.0</v>
      </c>
      <c r="F74" s="59">
        <v>14000.0</v>
      </c>
      <c r="G74" s="59">
        <v>13000.0</v>
      </c>
      <c r="H74" s="61">
        <v>10000.0</v>
      </c>
      <c r="I74" s="61">
        <v>13000.0</v>
      </c>
      <c r="J74" s="53">
        <v>8000.0</v>
      </c>
      <c r="K74" s="64">
        <f t="shared" si="13"/>
        <v>11000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10000.0</v>
      </c>
      <c r="K75" s="64">
        <f t="shared" si="13"/>
        <v>10200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1500.0</v>
      </c>
      <c r="J76" s="102">
        <v>1500.0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11500.0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11285.71429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10000.0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10325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18000.0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16571.42857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33000.0</v>
      </c>
      <c r="E24" s="59">
        <v>32000.0</v>
      </c>
      <c r="F24" s="59">
        <v>33000.0</v>
      </c>
      <c r="G24" s="59">
        <v>33000.0</v>
      </c>
      <c r="H24" s="53">
        <v>32000.0</v>
      </c>
      <c r="I24" s="61">
        <v>30000.0</v>
      </c>
      <c r="J24" s="53">
        <v>32000.0</v>
      </c>
      <c r="K24" s="64">
        <f t="shared" si="3"/>
        <v>32142.85714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37000.0</v>
      </c>
      <c r="G26" s="59">
        <v>40000.0</v>
      </c>
      <c r="H26" s="61">
        <v>30000.0</v>
      </c>
      <c r="I26" s="67">
        <v>40000.0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 t="s">
        <v>26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70000.0</v>
      </c>
      <c r="G28" s="60">
        <v>85000.0</v>
      </c>
      <c r="H28" s="61">
        <v>58000.0</v>
      </c>
      <c r="I28" s="67">
        <v>80000.0</v>
      </c>
      <c r="J28" s="102">
        <v>60000.0</v>
      </c>
      <c r="K28" s="64">
        <f t="shared" si="4"/>
        <v>68833.33333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23000.0</v>
      </c>
      <c r="H29" s="61">
        <v>23000.0</v>
      </c>
      <c r="I29" s="67" t="s">
        <v>26</v>
      </c>
      <c r="J29" s="102">
        <v>26000.0</v>
      </c>
      <c r="K29" s="64">
        <f t="shared" si="4"/>
        <v>24000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42000.0</v>
      </c>
      <c r="E30" s="59">
        <v>40000.0</v>
      </c>
      <c r="F30" s="59">
        <v>37500.0</v>
      </c>
      <c r="G30" s="59">
        <v>40000.0</v>
      </c>
      <c r="H30" s="61">
        <v>28000.0</v>
      </c>
      <c r="I30" s="67">
        <v>40000.0</v>
      </c>
      <c r="J30" s="53">
        <v>40000.0</v>
      </c>
      <c r="K30" s="64">
        <f t="shared" si="4"/>
        <v>38214.28571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120000.0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88000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27000.0</v>
      </c>
      <c r="F33" s="59">
        <v>28000.0</v>
      </c>
      <c r="G33" s="59">
        <v>28000.0</v>
      </c>
      <c r="H33" s="61">
        <v>27000.0</v>
      </c>
      <c r="I33" s="61">
        <v>28000.0</v>
      </c>
      <c r="J33" s="53">
        <v>29000.0</v>
      </c>
      <c r="K33" s="64">
        <f t="shared" ref="K33:K34" si="5">AVERAGE(D33:J33)</f>
        <v>27857.14286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2500.0</v>
      </c>
      <c r="H34" s="61">
        <v>2000.0</v>
      </c>
      <c r="I34" s="61">
        <v>2500.0</v>
      </c>
      <c r="J34" s="53">
        <v>3000.0</v>
      </c>
      <c r="K34" s="64">
        <f t="shared" si="5"/>
        <v>2457.142857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16000.0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13000.0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27000.0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28428.57143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20000.0</v>
      </c>
      <c r="E56" s="59">
        <v>30000.0</v>
      </c>
      <c r="F56" s="59">
        <v>20000.0</v>
      </c>
      <c r="G56" s="59">
        <v>30000.0</v>
      </c>
      <c r="H56" s="61">
        <v>23000.0</v>
      </c>
      <c r="I56" s="61">
        <v>30000.0</v>
      </c>
      <c r="J56" s="53">
        <v>30000.0</v>
      </c>
      <c r="K56" s="64">
        <f t="shared" ref="K56:K58" si="10">AVERAGE(D56:J56)</f>
        <v>26142.85714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30000.0</v>
      </c>
      <c r="E57" s="59">
        <v>40000.0</v>
      </c>
      <c r="F57" s="59">
        <v>45000.0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38750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40000.0</v>
      </c>
      <c r="E58" s="59">
        <v>70000.0</v>
      </c>
      <c r="F58" s="59">
        <v>65000.0</v>
      </c>
      <c r="G58" s="59">
        <v>50000.0</v>
      </c>
      <c r="H58" s="61">
        <v>60000.0</v>
      </c>
      <c r="I58" s="61">
        <v>65000.0</v>
      </c>
      <c r="J58" s="53">
        <v>80000.0</v>
      </c>
      <c r="K58" s="64">
        <f t="shared" si="10"/>
        <v>61428.57143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23000.0</v>
      </c>
      <c r="E62" s="59">
        <v>28000.0</v>
      </c>
      <c r="F62" s="59">
        <v>26000.0</v>
      </c>
      <c r="G62" s="59">
        <v>30000.0</v>
      </c>
      <c r="H62" s="61">
        <v>23000.0</v>
      </c>
      <c r="I62" s="61">
        <v>30000.0</v>
      </c>
      <c r="J62" s="53">
        <v>28000.0</v>
      </c>
      <c r="K62" s="64">
        <f t="shared" ref="K62:K65" si="11">AVERAGE(D62:J62)</f>
        <v>26857.14286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22000.0</v>
      </c>
      <c r="G63" s="59">
        <v>25000.0</v>
      </c>
      <c r="H63" s="61">
        <v>21000.0</v>
      </c>
      <c r="I63" s="61">
        <v>23000.0</v>
      </c>
      <c r="J63" s="53">
        <v>24000.0</v>
      </c>
      <c r="K63" s="64">
        <f t="shared" si="11"/>
        <v>23142.85714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30000.0</v>
      </c>
      <c r="E64" s="59">
        <v>35000.0</v>
      </c>
      <c r="F64" s="59">
        <v>35000.0</v>
      </c>
      <c r="G64" s="59">
        <v>35000.0</v>
      </c>
      <c r="H64" s="61">
        <v>25000.0</v>
      </c>
      <c r="I64" s="61">
        <v>38000.0</v>
      </c>
      <c r="J64" s="53">
        <v>30000.0</v>
      </c>
      <c r="K64" s="64">
        <f t="shared" si="11"/>
        <v>32571.42857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22571.42857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12000.0</v>
      </c>
      <c r="F70" s="59">
        <v>13000.0</v>
      </c>
      <c r="G70" s="59">
        <v>8000.0</v>
      </c>
      <c r="H70" s="61">
        <v>10000.0</v>
      </c>
      <c r="I70" s="68">
        <v>12000.0</v>
      </c>
      <c r="J70" s="53">
        <v>8000.0</v>
      </c>
      <c r="K70" s="64">
        <f t="shared" ref="K70:K78" si="13">AVERAGE(D70:J70)</f>
        <v>10428.57143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8000.0</v>
      </c>
      <c r="E71" s="59">
        <v>12000.0</v>
      </c>
      <c r="F71" s="59">
        <v>14000.0</v>
      </c>
      <c r="G71" s="59">
        <v>12000.0</v>
      </c>
      <c r="H71" s="61">
        <v>10000.0</v>
      </c>
      <c r="I71" s="68">
        <v>12000.0</v>
      </c>
      <c r="J71" s="53">
        <v>13000.0</v>
      </c>
      <c r="K71" s="64">
        <f t="shared" si="13"/>
        <v>11571.42857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20000.0</v>
      </c>
      <c r="E73" s="59">
        <v>12000.0</v>
      </c>
      <c r="F73" s="59">
        <v>10000.0</v>
      </c>
      <c r="G73" s="59">
        <v>20000.0</v>
      </c>
      <c r="H73" s="61">
        <v>9000.0</v>
      </c>
      <c r="I73" s="68">
        <v>14000.0</v>
      </c>
      <c r="J73" s="53">
        <v>12000.0</v>
      </c>
      <c r="K73" s="64">
        <f t="shared" si="13"/>
        <v>13857.14286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9000.0</v>
      </c>
      <c r="E74" s="59">
        <v>10000.0</v>
      </c>
      <c r="F74" s="59">
        <v>14000.0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11285.71429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8000.0</v>
      </c>
      <c r="K75" s="64">
        <f t="shared" si="13"/>
        <v>9800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2000.0</v>
      </c>
      <c r="G76" s="60">
        <v>2000.0</v>
      </c>
      <c r="H76" s="61">
        <v>1500.0</v>
      </c>
      <c r="I76" s="67">
        <v>1500.0</v>
      </c>
      <c r="J76" s="102">
        <v>2000.0</v>
      </c>
      <c r="K76" s="64">
        <f t="shared" si="13"/>
        <v>1800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2000.0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2000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112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11500.0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11285.71429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10000.0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10325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18000.0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16571.42857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32000.0</v>
      </c>
      <c r="F24" s="59">
        <v>32000.0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31714.28571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37000.0</v>
      </c>
      <c r="G26" s="59">
        <v>40000.0</v>
      </c>
      <c r="H26" s="61">
        <v>30000.0</v>
      </c>
      <c r="I26" s="67">
        <v>40000.0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70000.0</v>
      </c>
      <c r="G28" s="60">
        <v>85000.0</v>
      </c>
      <c r="H28" s="61">
        <v>58000.0</v>
      </c>
      <c r="I28" s="67">
        <v>80000.0</v>
      </c>
      <c r="J28" s="102">
        <v>60000.0</v>
      </c>
      <c r="K28" s="64">
        <f t="shared" si="4"/>
        <v>68833.33333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23000.0</v>
      </c>
      <c r="H29" s="61">
        <v>23000.0</v>
      </c>
      <c r="I29" s="67" t="s">
        <v>26</v>
      </c>
      <c r="J29" s="102">
        <v>26000.0</v>
      </c>
      <c r="K29" s="64">
        <f t="shared" si="4"/>
        <v>24000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42000.0</v>
      </c>
      <c r="E30" s="59">
        <v>40000.0</v>
      </c>
      <c r="F30" s="59">
        <v>37500.0</v>
      </c>
      <c r="G30" s="59">
        <v>40000.0</v>
      </c>
      <c r="H30" s="61">
        <v>28000.0</v>
      </c>
      <c r="I30" s="67">
        <v>40000.0</v>
      </c>
      <c r="J30" s="53">
        <v>40000.0</v>
      </c>
      <c r="K30" s="64">
        <f t="shared" si="4"/>
        <v>38214.28571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120000.0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88000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28000.0</v>
      </c>
      <c r="H33" s="61">
        <v>27000.0</v>
      </c>
      <c r="I33" s="61">
        <v>28000.0</v>
      </c>
      <c r="J33" s="53">
        <v>29000.0</v>
      </c>
      <c r="K33" s="64">
        <f t="shared" ref="K33:K34" si="5">AVERAGE(D33:J33)</f>
        <v>27714.28571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2500.0</v>
      </c>
      <c r="H34" s="61">
        <v>2000.0</v>
      </c>
      <c r="I34" s="61">
        <v>2500.0</v>
      </c>
      <c r="J34" s="53">
        <v>3000.0</v>
      </c>
      <c r="K34" s="64">
        <f t="shared" si="5"/>
        <v>2457.142857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16000.0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13000.0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27000.0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28428.57143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20000.0</v>
      </c>
      <c r="E56" s="59">
        <v>30000.0</v>
      </c>
      <c r="F56" s="59">
        <v>25000.0</v>
      </c>
      <c r="G56" s="59">
        <v>30000.0</v>
      </c>
      <c r="H56" s="61">
        <v>25000.0</v>
      </c>
      <c r="I56" s="61">
        <v>30000.0</v>
      </c>
      <c r="J56" s="53">
        <v>30000.0</v>
      </c>
      <c r="K56" s="64">
        <f t="shared" ref="K56:K58" si="10">AVERAGE(D56:J56)</f>
        <v>27142.85714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30000.0</v>
      </c>
      <c r="E57" s="59">
        <v>40000.0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40000.0</v>
      </c>
      <c r="E58" s="59">
        <v>65000.0</v>
      </c>
      <c r="F58" s="59">
        <v>70000.0</v>
      </c>
      <c r="G58" s="59">
        <v>65000.0</v>
      </c>
      <c r="H58" s="61">
        <v>65000.0</v>
      </c>
      <c r="I58" s="61">
        <v>65000.0</v>
      </c>
      <c r="J58" s="53">
        <v>80000.0</v>
      </c>
      <c r="K58" s="64">
        <f t="shared" si="10"/>
        <v>64285.71429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23000.0</v>
      </c>
      <c r="E62" s="59">
        <v>28000.0</v>
      </c>
      <c r="F62" s="59">
        <v>26000.0</v>
      </c>
      <c r="G62" s="59">
        <v>30000.0</v>
      </c>
      <c r="H62" s="61">
        <v>23000.0</v>
      </c>
      <c r="I62" s="61">
        <v>30000.0</v>
      </c>
      <c r="J62" s="53">
        <v>28000.0</v>
      </c>
      <c r="K62" s="64">
        <f t="shared" ref="K62:K65" si="11">AVERAGE(D62:J62)</f>
        <v>26857.14286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22000.0</v>
      </c>
      <c r="G63" s="59">
        <v>25000.0</v>
      </c>
      <c r="H63" s="61">
        <v>21000.0</v>
      </c>
      <c r="I63" s="61">
        <v>23000.0</v>
      </c>
      <c r="J63" s="53">
        <v>24000.0</v>
      </c>
      <c r="K63" s="64">
        <f t="shared" si="11"/>
        <v>23142.85714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30000.0</v>
      </c>
      <c r="E64" s="59">
        <v>30000.0</v>
      </c>
      <c r="F64" s="59">
        <v>35000.0</v>
      </c>
      <c r="G64" s="59">
        <v>35000.0</v>
      </c>
      <c r="H64" s="61">
        <v>30000.0</v>
      </c>
      <c r="I64" s="61">
        <v>38000.0</v>
      </c>
      <c r="J64" s="53">
        <v>30000.0</v>
      </c>
      <c r="K64" s="64">
        <f t="shared" si="11"/>
        <v>32571.42857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22285.71429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10000.0</v>
      </c>
      <c r="J70" s="53">
        <v>12000.0</v>
      </c>
      <c r="K70" s="64">
        <f t="shared" ref="K70:K78" si="13">AVERAGE(D70:J70)</f>
        <v>11000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8000.0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12000.0</v>
      </c>
      <c r="J71" s="53">
        <v>13000.0</v>
      </c>
      <c r="K71" s="64">
        <f t="shared" si="13"/>
        <v>10857.14286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20000.0</v>
      </c>
      <c r="E73" s="59">
        <v>10000.0</v>
      </c>
      <c r="F73" s="59">
        <v>10000.0</v>
      </c>
      <c r="G73" s="59">
        <v>20000.0</v>
      </c>
      <c r="H73" s="61">
        <v>8000.0</v>
      </c>
      <c r="I73" s="68">
        <v>14000.0</v>
      </c>
      <c r="J73" s="53">
        <v>12000.0</v>
      </c>
      <c r="K73" s="64">
        <f t="shared" si="13"/>
        <v>13428.57143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9000.0</v>
      </c>
      <c r="E74" s="59">
        <v>15000.0</v>
      </c>
      <c r="F74" s="59">
        <v>14000.0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12000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8000.0</v>
      </c>
      <c r="K75" s="64">
        <f t="shared" si="13"/>
        <v>9800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2000.0</v>
      </c>
      <c r="G76" s="60">
        <v>2000.0</v>
      </c>
      <c r="H76" s="61">
        <v>1500.0</v>
      </c>
      <c r="I76" s="67">
        <v>2000.0</v>
      </c>
      <c r="J76" s="102">
        <v>2000.0</v>
      </c>
      <c r="K76" s="64">
        <f t="shared" si="13"/>
        <v>1900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2000.0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2000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111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11500.0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11285.71429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10000.0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10325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18000.0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16571.42857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32000.0</v>
      </c>
      <c r="F24" s="59">
        <v>33000.0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31857.14286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45000.0</v>
      </c>
      <c r="E26" s="59">
        <v>40000.0</v>
      </c>
      <c r="F26" s="69">
        <v>37000.0</v>
      </c>
      <c r="G26" s="59">
        <v>40000.0</v>
      </c>
      <c r="H26" s="61">
        <v>30000.0</v>
      </c>
      <c r="I26" s="67">
        <v>38000.0</v>
      </c>
      <c r="J26" s="53">
        <v>35000.0</v>
      </c>
      <c r="K26" s="64">
        <f t="shared" ref="K26:K31" si="4">AVERAGE(D26:J26)</f>
        <v>37857.14286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70000.0</v>
      </c>
      <c r="G28" s="60">
        <v>85000.0</v>
      </c>
      <c r="H28" s="61">
        <v>58000.0</v>
      </c>
      <c r="I28" s="67">
        <v>80000.0</v>
      </c>
      <c r="J28" s="102">
        <v>60000.0</v>
      </c>
      <c r="K28" s="64">
        <f t="shared" si="4"/>
        <v>68833.33333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23000.0</v>
      </c>
      <c r="H29" s="61">
        <v>23000.0</v>
      </c>
      <c r="I29" s="67" t="s">
        <v>26</v>
      </c>
      <c r="J29" s="102">
        <v>26000.0</v>
      </c>
      <c r="K29" s="64">
        <f t="shared" si="4"/>
        <v>24000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40000.0</v>
      </c>
      <c r="F30" s="59">
        <v>37500.0</v>
      </c>
      <c r="G30" s="59">
        <v>40000.0</v>
      </c>
      <c r="H30" s="61">
        <v>28000.0</v>
      </c>
      <c r="I30" s="67">
        <v>38000.0</v>
      </c>
      <c r="J30" s="53">
        <v>40000.0</v>
      </c>
      <c r="K30" s="64">
        <f t="shared" si="4"/>
        <v>37642.85714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120000.0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88000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28000.0</v>
      </c>
      <c r="F33" s="59">
        <v>28000.0</v>
      </c>
      <c r="G33" s="59">
        <v>28000.0</v>
      </c>
      <c r="H33" s="61">
        <v>27000.0</v>
      </c>
      <c r="I33" s="61">
        <v>28000.0</v>
      </c>
      <c r="J33" s="53">
        <v>29000.0</v>
      </c>
      <c r="K33" s="64">
        <f t="shared" ref="K33:K34" si="5">AVERAGE(D33:J33)</f>
        <v>28000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2500.0</v>
      </c>
      <c r="H34" s="61">
        <v>2000.0</v>
      </c>
      <c r="I34" s="61">
        <v>2500.0</v>
      </c>
      <c r="J34" s="53">
        <v>3000.0</v>
      </c>
      <c r="K34" s="64">
        <f t="shared" si="5"/>
        <v>2457.142857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16000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30000.0</v>
      </c>
      <c r="F56" s="59">
        <v>25000.0</v>
      </c>
      <c r="G56" s="59">
        <v>30000.0</v>
      </c>
      <c r="H56" s="61">
        <v>25000.0</v>
      </c>
      <c r="I56" s="61">
        <v>30000.0</v>
      </c>
      <c r="J56" s="53">
        <v>30000.0</v>
      </c>
      <c r="K56" s="64">
        <f t="shared" ref="K56:K58" si="10">AVERAGE(D56:J56)</f>
        <v>27857.14286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40000.0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42500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55000.0</v>
      </c>
      <c r="E58" s="59">
        <v>65000.0</v>
      </c>
      <c r="F58" s="59">
        <v>60000.0</v>
      </c>
      <c r="G58" s="59">
        <v>65000.0</v>
      </c>
      <c r="H58" s="61">
        <v>65000.0</v>
      </c>
      <c r="I58" s="61">
        <v>65000.0</v>
      </c>
      <c r="J58" s="53">
        <v>80000.0</v>
      </c>
      <c r="K58" s="64">
        <f t="shared" si="10"/>
        <v>65000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22000.0</v>
      </c>
      <c r="E62" s="59">
        <v>28000.0</v>
      </c>
      <c r="F62" s="59">
        <v>26000.0</v>
      </c>
      <c r="G62" s="59">
        <v>30000.0</v>
      </c>
      <c r="H62" s="61">
        <v>23000.0</v>
      </c>
      <c r="I62" s="61">
        <v>30000.0</v>
      </c>
      <c r="J62" s="53">
        <v>28000.0</v>
      </c>
      <c r="K62" s="64">
        <f t="shared" ref="K62:K65" si="11">AVERAGE(D62:J62)</f>
        <v>26714.28571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22000.0</v>
      </c>
      <c r="G63" s="59">
        <v>25000.0</v>
      </c>
      <c r="H63" s="61">
        <v>21000.0</v>
      </c>
      <c r="I63" s="61">
        <v>23000.0</v>
      </c>
      <c r="J63" s="53">
        <v>24000.0</v>
      </c>
      <c r="K63" s="64">
        <f t="shared" si="11"/>
        <v>23000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30000.0</v>
      </c>
      <c r="E64" s="59">
        <v>30000.0</v>
      </c>
      <c r="F64" s="59">
        <v>36000.0</v>
      </c>
      <c r="G64" s="59">
        <v>35000.0</v>
      </c>
      <c r="H64" s="61">
        <v>30000.0</v>
      </c>
      <c r="I64" s="61">
        <v>38000.0</v>
      </c>
      <c r="J64" s="53">
        <v>30000.0</v>
      </c>
      <c r="K64" s="64">
        <f t="shared" si="11"/>
        <v>32714.28571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22285.71429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10000.0</v>
      </c>
      <c r="J70" s="53">
        <v>12000.0</v>
      </c>
      <c r="K70" s="64">
        <f t="shared" ref="K70:K78" si="13">AVERAGE(D70:J70)</f>
        <v>11000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14000.0</v>
      </c>
      <c r="J71" s="53">
        <v>13000.0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14000.0</v>
      </c>
      <c r="E73" s="59">
        <v>10000.0</v>
      </c>
      <c r="F73" s="59">
        <v>10000.0</v>
      </c>
      <c r="G73" s="59">
        <v>20000.0</v>
      </c>
      <c r="H73" s="61">
        <v>8000.0</v>
      </c>
      <c r="I73" s="68">
        <v>12000.0</v>
      </c>
      <c r="J73" s="53">
        <v>12000.0</v>
      </c>
      <c r="K73" s="64">
        <f t="shared" si="13"/>
        <v>12285.71429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15000.0</v>
      </c>
      <c r="F74" s="59">
        <v>14000.0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12142.85714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8000.0</v>
      </c>
      <c r="K75" s="64">
        <f t="shared" si="13"/>
        <v>9800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2000.0</v>
      </c>
      <c r="G76" s="60">
        <v>2000.0</v>
      </c>
      <c r="H76" s="61">
        <v>1500.0</v>
      </c>
      <c r="I76" s="67">
        <v>2000.0</v>
      </c>
      <c r="J76" s="102">
        <v>2000.0</v>
      </c>
      <c r="K76" s="64">
        <f t="shared" si="13"/>
        <v>1900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2000.0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2000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114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11500.0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11285.71429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10000.0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10325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18000.0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16571.42857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33000.0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31571.42857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45000.0</v>
      </c>
      <c r="E26" s="59">
        <v>44000.0</v>
      </c>
      <c r="F26" s="69">
        <v>37000.0</v>
      </c>
      <c r="G26" s="59">
        <v>40000.0</v>
      </c>
      <c r="H26" s="61">
        <v>30000.0</v>
      </c>
      <c r="I26" s="67">
        <v>38000.0</v>
      </c>
      <c r="J26" s="53">
        <v>35000.0</v>
      </c>
      <c r="K26" s="64">
        <f t="shared" ref="K26:K31" si="4">AVERAGE(D26:J26)</f>
        <v>38428.57143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70000.0</v>
      </c>
      <c r="G28" s="60">
        <v>85000.0</v>
      </c>
      <c r="H28" s="61">
        <v>58000.0</v>
      </c>
      <c r="I28" s="67">
        <v>80000.0</v>
      </c>
      <c r="J28" s="102">
        <v>60000.0</v>
      </c>
      <c r="K28" s="64">
        <f t="shared" si="4"/>
        <v>69666.66667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23000.0</v>
      </c>
      <c r="H29" s="61">
        <v>23000.0</v>
      </c>
      <c r="I29" s="67">
        <v>24000.0</v>
      </c>
      <c r="J29" s="102">
        <v>26000.0</v>
      </c>
      <c r="K29" s="64">
        <f t="shared" si="4"/>
        <v>24000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37500.0</v>
      </c>
      <c r="G30" s="59">
        <v>40000.0</v>
      </c>
      <c r="H30" s="61">
        <v>28000.0</v>
      </c>
      <c r="I30" s="67">
        <v>38000.0</v>
      </c>
      <c r="J30" s="53">
        <v>40000.0</v>
      </c>
      <c r="K30" s="64">
        <f t="shared" si="4"/>
        <v>37357.14286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120000.0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88000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27000.0</v>
      </c>
      <c r="F33" s="59">
        <v>28000.0</v>
      </c>
      <c r="G33" s="59">
        <v>28000.0</v>
      </c>
      <c r="H33" s="61">
        <v>27000.0</v>
      </c>
      <c r="I33" s="61">
        <v>27000.0</v>
      </c>
      <c r="J33" s="53">
        <v>27000.0</v>
      </c>
      <c r="K33" s="64">
        <f t="shared" ref="K33:K34" si="5">AVERAGE(D33:J33)</f>
        <v>27428.57143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2500.0</v>
      </c>
      <c r="H34" s="61">
        <v>2000.0</v>
      </c>
      <c r="I34" s="61">
        <v>2500.0</v>
      </c>
      <c r="J34" s="53">
        <v>3000.0</v>
      </c>
      <c r="K34" s="64">
        <f t="shared" si="5"/>
        <v>2457.142857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16000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30000.0</v>
      </c>
      <c r="F56" s="59">
        <v>30000.0</v>
      </c>
      <c r="G56" s="59">
        <v>30000.0</v>
      </c>
      <c r="H56" s="61">
        <v>30000.0</v>
      </c>
      <c r="I56" s="61">
        <v>35000.0</v>
      </c>
      <c r="J56" s="53">
        <v>30000.0</v>
      </c>
      <c r="K56" s="64">
        <f t="shared" ref="K56:K58" si="10">AVERAGE(D56:J56)</f>
        <v>30000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40000.0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42500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55000.0</v>
      </c>
      <c r="E58" s="59">
        <v>65000.0</v>
      </c>
      <c r="F58" s="59">
        <v>50000.0</v>
      </c>
      <c r="G58" s="59">
        <v>65000.0</v>
      </c>
      <c r="H58" s="61">
        <v>45000.0</v>
      </c>
      <c r="I58" s="61">
        <v>65000.0</v>
      </c>
      <c r="J58" s="53">
        <v>60000.0</v>
      </c>
      <c r="K58" s="64">
        <f t="shared" si="10"/>
        <v>57857.14286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22000.0</v>
      </c>
      <c r="E62" s="59">
        <v>25000.0</v>
      </c>
      <c r="F62" s="59">
        <v>26000.0</v>
      </c>
      <c r="G62" s="59">
        <v>30000.0</v>
      </c>
      <c r="H62" s="61">
        <v>22000.0</v>
      </c>
      <c r="I62" s="61">
        <v>30000.0</v>
      </c>
      <c r="J62" s="53">
        <v>28000.0</v>
      </c>
      <c r="K62" s="64">
        <f t="shared" ref="K62:K65" si="11">AVERAGE(D62:J62)</f>
        <v>26142.85714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22000.0</v>
      </c>
      <c r="G63" s="59">
        <v>25000.0</v>
      </c>
      <c r="H63" s="61">
        <v>19000.0</v>
      </c>
      <c r="I63" s="61">
        <v>23000.0</v>
      </c>
      <c r="J63" s="53">
        <v>25000.0</v>
      </c>
      <c r="K63" s="64">
        <f t="shared" si="11"/>
        <v>22857.14286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30000.0</v>
      </c>
      <c r="E64" s="59">
        <v>30000.0</v>
      </c>
      <c r="F64" s="59">
        <v>36000.0</v>
      </c>
      <c r="G64" s="59">
        <v>35000.0</v>
      </c>
      <c r="H64" s="61">
        <v>29000.0</v>
      </c>
      <c r="I64" s="61">
        <v>38000.0</v>
      </c>
      <c r="J64" s="53">
        <v>30000.0</v>
      </c>
      <c r="K64" s="64">
        <f t="shared" si="11"/>
        <v>32571.42857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22571.42857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10000.0</v>
      </c>
      <c r="J70" s="53">
        <v>12000.0</v>
      </c>
      <c r="K70" s="64">
        <f t="shared" ref="K70:K78" si="13">AVERAGE(D70:J70)</f>
        <v>11000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14000.0</v>
      </c>
      <c r="J71" s="53">
        <v>15000.0</v>
      </c>
      <c r="K71" s="64">
        <f t="shared" si="13"/>
        <v>12000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14000.0</v>
      </c>
      <c r="E73" s="59">
        <v>10000.0</v>
      </c>
      <c r="F73" s="59">
        <v>10000.0</v>
      </c>
      <c r="G73" s="59">
        <v>20000.0</v>
      </c>
      <c r="H73" s="61">
        <v>6000.0</v>
      </c>
      <c r="I73" s="68">
        <v>12000.0</v>
      </c>
      <c r="J73" s="53">
        <v>9000.0</v>
      </c>
      <c r="K73" s="64">
        <f t="shared" si="13"/>
        <v>11571.42857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15000.0</v>
      </c>
      <c r="F74" s="59">
        <v>14000.0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12142.85714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8000.0</v>
      </c>
      <c r="K75" s="64">
        <f t="shared" si="13"/>
        <v>9800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2000.0</v>
      </c>
      <c r="G76" s="60">
        <v>2000.0</v>
      </c>
      <c r="H76" s="61">
        <v>1500.0</v>
      </c>
      <c r="I76" s="67">
        <v>2000.0</v>
      </c>
      <c r="J76" s="102">
        <v>2000.0</v>
      </c>
      <c r="K76" s="64">
        <f t="shared" si="13"/>
        <v>1900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2000.0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2000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115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16428.57143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33000.0</v>
      </c>
      <c r="G24" s="59">
        <v>31000.0</v>
      </c>
      <c r="H24" s="53">
        <v>32000.0</v>
      </c>
      <c r="I24" s="61">
        <v>30000.0</v>
      </c>
      <c r="J24" s="53">
        <v>32000.0</v>
      </c>
      <c r="K24" s="64">
        <f t="shared" si="3"/>
        <v>31142.85714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37000.0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65000.0</v>
      </c>
      <c r="G28" s="60">
        <v>85000.0</v>
      </c>
      <c r="H28" s="61">
        <v>58000.0</v>
      </c>
      <c r="I28" s="67">
        <v>75000.0</v>
      </c>
      <c r="J28" s="102">
        <v>60000.0</v>
      </c>
      <c r="K28" s="64">
        <f t="shared" si="4"/>
        <v>68000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37500.0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37071.42857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27000.0</v>
      </c>
      <c r="F33" s="59">
        <v>28000.0</v>
      </c>
      <c r="G33" s="59">
        <v>27000.0</v>
      </c>
      <c r="H33" s="61">
        <v>27000.0</v>
      </c>
      <c r="I33" s="61">
        <v>27000.0</v>
      </c>
      <c r="J33" s="53">
        <v>27000.0</v>
      </c>
      <c r="K33" s="64">
        <f t="shared" ref="K33:K34" si="5">AVERAGE(D33:J33)</f>
        <v>27285.71429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2442.857143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30000.0</v>
      </c>
      <c r="K56" s="64">
        <f t="shared" ref="K56:K58" si="10">AVERAGE(D56:J56)</f>
        <v>32142.85714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40000.0</v>
      </c>
      <c r="F57" s="59">
        <v>50000.0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60000.0</v>
      </c>
      <c r="F58" s="59">
        <v>70000.0</v>
      </c>
      <c r="G58" s="59">
        <v>65000.0</v>
      </c>
      <c r="H58" s="61">
        <v>45000.0</v>
      </c>
      <c r="I58" s="61">
        <v>65000.0</v>
      </c>
      <c r="J58" s="53">
        <v>60000.0</v>
      </c>
      <c r="K58" s="64">
        <f t="shared" si="10"/>
        <v>58571.42857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25000.0</v>
      </c>
      <c r="F62" s="59">
        <v>26000.0</v>
      </c>
      <c r="G62" s="59">
        <v>30000.0</v>
      </c>
      <c r="H62" s="61">
        <v>22000.0</v>
      </c>
      <c r="I62" s="61">
        <v>30000.0</v>
      </c>
      <c r="J62" s="53">
        <v>28000.0</v>
      </c>
      <c r="K62" s="64">
        <f t="shared" ref="K62:K65" si="11">AVERAGE(D62:J62)</f>
        <v>26714.28571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22000.0</v>
      </c>
      <c r="G63" s="59">
        <v>25000.0</v>
      </c>
      <c r="H63" s="61">
        <v>19000.0</v>
      </c>
      <c r="I63" s="61">
        <v>23000.0</v>
      </c>
      <c r="J63" s="53">
        <v>25000.0</v>
      </c>
      <c r="K63" s="64">
        <f t="shared" si="11"/>
        <v>22857.14286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30000.0</v>
      </c>
      <c r="F64" s="59">
        <v>36000.0</v>
      </c>
      <c r="G64" s="59">
        <v>35000.0</v>
      </c>
      <c r="H64" s="61">
        <v>29000.0</v>
      </c>
      <c r="I64" s="61">
        <v>36000.0</v>
      </c>
      <c r="J64" s="53">
        <v>30000.0</v>
      </c>
      <c r="K64" s="64">
        <f t="shared" si="11"/>
        <v>32571.42857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22571.42857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12000.0</v>
      </c>
      <c r="J70" s="53">
        <v>12000.0</v>
      </c>
      <c r="K70" s="64">
        <f t="shared" ref="K70:K78" si="13">AVERAGE(D70:J70)</f>
        <v>11285.71429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10000.0</v>
      </c>
      <c r="F73" s="59">
        <v>10000.0</v>
      </c>
      <c r="G73" s="59">
        <v>20000.0</v>
      </c>
      <c r="H73" s="61">
        <v>6000.0</v>
      </c>
      <c r="I73" s="68">
        <v>10000.0</v>
      </c>
      <c r="J73" s="53">
        <v>9000.0</v>
      </c>
      <c r="K73" s="64">
        <f t="shared" si="13"/>
        <v>11857.14286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15000.0</v>
      </c>
      <c r="F74" s="59">
        <v>14000.0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12285.71429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12000.0</v>
      </c>
      <c r="J75" s="140">
        <v>8000.0</v>
      </c>
      <c r="K75" s="64">
        <f t="shared" si="13"/>
        <v>10200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2000.0</v>
      </c>
      <c r="K76" s="64">
        <f t="shared" si="13"/>
        <v>1800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117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16428.57143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31000.0</v>
      </c>
      <c r="G24" s="59">
        <v>31000.0</v>
      </c>
      <c r="H24" s="53">
        <v>32000.0</v>
      </c>
      <c r="I24" s="61">
        <v>30000.0</v>
      </c>
      <c r="J24" s="53">
        <v>32000.0</v>
      </c>
      <c r="K24" s="64">
        <f t="shared" si="3"/>
        <v>30857.14286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37000.0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65000.0</v>
      </c>
      <c r="G28" s="60">
        <v>85000.0</v>
      </c>
      <c r="H28" s="61">
        <v>58000.0</v>
      </c>
      <c r="I28" s="67">
        <v>75000.0</v>
      </c>
      <c r="J28" s="102">
        <v>60000.0</v>
      </c>
      <c r="K28" s="64">
        <f t="shared" si="4"/>
        <v>68000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37500.0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37071.42857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27000.0</v>
      </c>
      <c r="F33" s="59">
        <v>28000.0</v>
      </c>
      <c r="G33" s="59">
        <v>27000.0</v>
      </c>
      <c r="H33" s="61">
        <v>27000.0</v>
      </c>
      <c r="I33" s="61">
        <v>27000.0</v>
      </c>
      <c r="J33" s="53">
        <v>27000.0</v>
      </c>
      <c r="K33" s="64">
        <f t="shared" ref="K33:K34" si="5">AVERAGE(D33:J33)</f>
        <v>27285.71429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2442.857143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30000.0</v>
      </c>
      <c r="K56" s="64">
        <f t="shared" ref="K56:K58" si="10">AVERAGE(D56:J56)</f>
        <v>32142.85714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40000.0</v>
      </c>
      <c r="F57" s="59">
        <v>50000.0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60000.0</v>
      </c>
      <c r="F58" s="59">
        <v>60000.0</v>
      </c>
      <c r="G58" s="59">
        <v>65000.0</v>
      </c>
      <c r="H58" s="61">
        <v>45000.0</v>
      </c>
      <c r="I58" s="61">
        <v>65000.0</v>
      </c>
      <c r="J58" s="53">
        <v>60000.0</v>
      </c>
      <c r="K58" s="64">
        <f t="shared" si="10"/>
        <v>57142.85714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25000.0</v>
      </c>
      <c r="F62" s="59">
        <v>28000.0</v>
      </c>
      <c r="G62" s="59">
        <v>30000.0</v>
      </c>
      <c r="H62" s="61">
        <v>22000.0</v>
      </c>
      <c r="I62" s="61">
        <v>30000.0</v>
      </c>
      <c r="J62" s="53">
        <v>28000.0</v>
      </c>
      <c r="K62" s="64">
        <f t="shared" ref="K62:K65" si="11">AVERAGE(D62:J62)</f>
        <v>27000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24000.0</v>
      </c>
      <c r="G63" s="59">
        <v>25000.0</v>
      </c>
      <c r="H63" s="61">
        <v>19000.0</v>
      </c>
      <c r="I63" s="61">
        <v>23000.0</v>
      </c>
      <c r="J63" s="53">
        <v>25000.0</v>
      </c>
      <c r="K63" s="64">
        <f t="shared" si="11"/>
        <v>23142.85714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30000.0</v>
      </c>
      <c r="F64" s="59">
        <v>36000.0</v>
      </c>
      <c r="G64" s="59">
        <v>35000.0</v>
      </c>
      <c r="H64" s="61">
        <v>29000.0</v>
      </c>
      <c r="I64" s="61">
        <v>36000.0</v>
      </c>
      <c r="J64" s="53">
        <v>30000.0</v>
      </c>
      <c r="K64" s="64">
        <f t="shared" si="11"/>
        <v>32571.42857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22571.42857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12000.0</v>
      </c>
      <c r="J70" s="53">
        <v>12000.0</v>
      </c>
      <c r="K70" s="64">
        <f t="shared" ref="K70:K78" si="13">AVERAGE(D70:J70)</f>
        <v>11142.85714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10000.0</v>
      </c>
      <c r="F73" s="59">
        <v>12000.0</v>
      </c>
      <c r="G73" s="59">
        <v>20000.0</v>
      </c>
      <c r="H73" s="61">
        <v>6000.0</v>
      </c>
      <c r="I73" s="68">
        <v>10000.0</v>
      </c>
      <c r="J73" s="53">
        <v>9000.0</v>
      </c>
      <c r="K73" s="64">
        <f t="shared" si="13"/>
        <v>12142.85714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15000.0</v>
      </c>
      <c r="F74" s="59">
        <v>14000.0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12285.71429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12000.0</v>
      </c>
      <c r="J75" s="140">
        <v>8000.0</v>
      </c>
      <c r="K75" s="64">
        <f t="shared" si="13"/>
        <v>10200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2000.0</v>
      </c>
      <c r="K76" s="64">
        <f t="shared" si="13"/>
        <v>1800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116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17000.0</v>
      </c>
      <c r="K17" s="64">
        <f>AVERAGE(D17:J17)</f>
        <v>16428.57143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31000.0</v>
      </c>
      <c r="G24" s="59">
        <v>31000.0</v>
      </c>
      <c r="H24" s="53">
        <v>32000.0</v>
      </c>
      <c r="I24" s="61">
        <v>30000.0</v>
      </c>
      <c r="J24" s="53">
        <v>32000.0</v>
      </c>
      <c r="K24" s="64">
        <f t="shared" si="3"/>
        <v>30857.14286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37000.0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65000.0</v>
      </c>
      <c r="G28" s="60">
        <v>85000.0</v>
      </c>
      <c r="H28" s="61">
        <v>58000.0</v>
      </c>
      <c r="I28" s="67">
        <v>75000.0</v>
      </c>
      <c r="J28" s="102">
        <v>60000.0</v>
      </c>
      <c r="K28" s="64">
        <f t="shared" si="4"/>
        <v>68000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37500.0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37071.42857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27000.0</v>
      </c>
      <c r="I33" s="61">
        <v>27000.0</v>
      </c>
      <c r="J33" s="53">
        <v>27000.0</v>
      </c>
      <c r="K33" s="64">
        <f t="shared" ref="K33:K34" si="5">AVERAGE(D33:J33)</f>
        <v>27142.85714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2442.857143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2000.0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3916.666667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30000.0</v>
      </c>
      <c r="K56" s="64">
        <f t="shared" ref="K56:K58" si="10">AVERAGE(D56:J56)</f>
        <v>32142.85714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40000.0</v>
      </c>
      <c r="F57" s="59">
        <v>50000.0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60000.0</v>
      </c>
      <c r="F58" s="59">
        <v>60000.0</v>
      </c>
      <c r="G58" s="59">
        <v>65000.0</v>
      </c>
      <c r="H58" s="61">
        <v>45000.0</v>
      </c>
      <c r="I58" s="61">
        <v>65000.0</v>
      </c>
      <c r="J58" s="53">
        <v>60000.0</v>
      </c>
      <c r="K58" s="64">
        <f t="shared" si="10"/>
        <v>57142.85714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25000.0</v>
      </c>
      <c r="F62" s="59">
        <v>28000.0</v>
      </c>
      <c r="G62" s="59">
        <v>30000.0</v>
      </c>
      <c r="H62" s="61">
        <v>22000.0</v>
      </c>
      <c r="I62" s="61">
        <v>30000.0</v>
      </c>
      <c r="J62" s="53">
        <v>28000.0</v>
      </c>
      <c r="K62" s="64">
        <f t="shared" ref="K62:K65" si="11">AVERAGE(D62:J62)</f>
        <v>27000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24000.0</v>
      </c>
      <c r="G63" s="59">
        <v>25000.0</v>
      </c>
      <c r="H63" s="61">
        <v>19000.0</v>
      </c>
      <c r="I63" s="61">
        <v>23000.0</v>
      </c>
      <c r="J63" s="53">
        <v>25000.0</v>
      </c>
      <c r="K63" s="64">
        <f t="shared" si="11"/>
        <v>23142.85714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30000.0</v>
      </c>
      <c r="F64" s="59">
        <v>36000.0</v>
      </c>
      <c r="G64" s="59">
        <v>35000.0</v>
      </c>
      <c r="H64" s="61">
        <v>29000.0</v>
      </c>
      <c r="I64" s="61">
        <v>36000.0</v>
      </c>
      <c r="J64" s="53">
        <v>30000.0</v>
      </c>
      <c r="K64" s="64">
        <f t="shared" si="11"/>
        <v>32571.42857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22571.42857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12000.0</v>
      </c>
      <c r="J70" s="53">
        <v>12000.0</v>
      </c>
      <c r="K70" s="64">
        <f t="shared" ref="K70:K78" si="13">AVERAGE(D70:J70)</f>
        <v>11142.85714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15000.0</v>
      </c>
      <c r="K72" s="64">
        <f t="shared" si="13"/>
        <v>14857.14286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10000.0</v>
      </c>
      <c r="F73" s="59">
        <v>12000.0</v>
      </c>
      <c r="G73" s="59">
        <v>20000.0</v>
      </c>
      <c r="H73" s="61">
        <v>6000.0</v>
      </c>
      <c r="I73" s="68">
        <v>10000.0</v>
      </c>
      <c r="J73" s="53">
        <v>9000.0</v>
      </c>
      <c r="K73" s="64">
        <f t="shared" si="13"/>
        <v>12142.85714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15000.0</v>
      </c>
      <c r="F74" s="59">
        <v>14000.0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12285.71429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12000.0</v>
      </c>
      <c r="J75" s="140">
        <v>8000.0</v>
      </c>
      <c r="K75" s="64">
        <f t="shared" si="13"/>
        <v>10200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2000.0</v>
      </c>
      <c r="K76" s="64">
        <f t="shared" si="13"/>
        <v>1800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118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31000.0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31000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37000.0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32000.0</v>
      </c>
      <c r="G27" s="60">
        <v>30000.0</v>
      </c>
      <c r="H27" s="67">
        <v>23000.0</v>
      </c>
      <c r="I27" s="67">
        <v>33000.0</v>
      </c>
      <c r="J27" s="102">
        <v>30000.0</v>
      </c>
      <c r="K27" s="64">
        <f t="shared" si="4"/>
        <v>30500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65000.0</v>
      </c>
      <c r="G28" s="60">
        <v>85000.0</v>
      </c>
      <c r="H28" s="61">
        <v>58000.0</v>
      </c>
      <c r="I28" s="67">
        <v>75000.0</v>
      </c>
      <c r="J28" s="102">
        <v>60000.0</v>
      </c>
      <c r="K28" s="64">
        <f t="shared" si="4"/>
        <v>68000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37500.0</v>
      </c>
      <c r="G30" s="59">
        <v>40000.0</v>
      </c>
      <c r="H30" s="61">
        <v>28000.0</v>
      </c>
      <c r="I30" s="67">
        <v>37000.0</v>
      </c>
      <c r="J30" s="53">
        <v>40000.0</v>
      </c>
      <c r="K30" s="64">
        <f t="shared" si="4"/>
        <v>37214.28571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27000.0</v>
      </c>
      <c r="I33" s="61">
        <v>27000.0</v>
      </c>
      <c r="J33" s="53">
        <v>26500.0</v>
      </c>
      <c r="K33" s="64">
        <f t="shared" ref="K33:K34" si="5">AVERAGE(D33:J33)</f>
        <v>27071.42857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2442.857143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35000.0</v>
      </c>
      <c r="F56" s="59">
        <v>35000.0</v>
      </c>
      <c r="G56" s="59">
        <v>35000.0</v>
      </c>
      <c r="H56" s="61">
        <v>30000.0</v>
      </c>
      <c r="I56" s="61">
        <v>40000.0</v>
      </c>
      <c r="J56" s="53">
        <v>30000.0</v>
      </c>
      <c r="K56" s="64">
        <f t="shared" ref="K56:K58" si="10">AVERAGE(D56:J56)</f>
        <v>32857.14286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40000.0</v>
      </c>
      <c r="F57" s="59">
        <v>50000.0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45000.0</v>
      </c>
      <c r="F58" s="59">
        <v>60000.0</v>
      </c>
      <c r="G58" s="59">
        <v>65000.0</v>
      </c>
      <c r="H58" s="61">
        <v>45000.0</v>
      </c>
      <c r="I58" s="61">
        <v>65000.0</v>
      </c>
      <c r="J58" s="53">
        <v>55000.0</v>
      </c>
      <c r="K58" s="64">
        <f t="shared" si="10"/>
        <v>54285.71429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25000.0</v>
      </c>
      <c r="F62" s="59">
        <v>26000.0</v>
      </c>
      <c r="G62" s="59">
        <v>30000.0</v>
      </c>
      <c r="H62" s="61">
        <v>25000.0</v>
      </c>
      <c r="I62" s="61">
        <v>30000.0</v>
      </c>
      <c r="J62" s="53">
        <v>28000.0</v>
      </c>
      <c r="K62" s="64">
        <f t="shared" ref="K62:K65" si="11">AVERAGE(D62:J62)</f>
        <v>27142.85714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24000.0</v>
      </c>
      <c r="F63" s="59">
        <v>24000.0</v>
      </c>
      <c r="G63" s="59">
        <v>25000.0</v>
      </c>
      <c r="H63" s="61">
        <v>22000.0</v>
      </c>
      <c r="I63" s="61">
        <v>23000.0</v>
      </c>
      <c r="J63" s="53">
        <v>24000.0</v>
      </c>
      <c r="K63" s="64">
        <f t="shared" si="11"/>
        <v>23428.57143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35000.0</v>
      </c>
      <c r="G64" s="59">
        <v>35000.0</v>
      </c>
      <c r="H64" s="61">
        <v>30000.0</v>
      </c>
      <c r="I64" s="61">
        <v>36000.0</v>
      </c>
      <c r="J64" s="53">
        <v>30000.0</v>
      </c>
      <c r="K64" s="64">
        <f t="shared" si="11"/>
        <v>33285.71429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28000.0</v>
      </c>
      <c r="F65" s="60">
        <v>22000.0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22571.42857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10857.14286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14000.0</v>
      </c>
      <c r="F72" s="59">
        <v>17000.0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10000.0</v>
      </c>
      <c r="F73" s="59">
        <v>12000.0</v>
      </c>
      <c r="G73" s="59">
        <v>20000.0</v>
      </c>
      <c r="H73" s="61">
        <v>6000.0</v>
      </c>
      <c r="I73" s="68">
        <v>10000.0</v>
      </c>
      <c r="J73" s="53">
        <v>8000.0</v>
      </c>
      <c r="K73" s="64">
        <f t="shared" si="13"/>
        <v>12000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15000.0</v>
      </c>
      <c r="F74" s="59">
        <v>13000.0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12142.85714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12000.0</v>
      </c>
      <c r="J75" s="140">
        <v>7000.0</v>
      </c>
      <c r="K75" s="64">
        <f t="shared" si="13"/>
        <v>10000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1600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119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31000.0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31000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36857.14286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37000.0</v>
      </c>
      <c r="J30" s="53">
        <v>40000.0</v>
      </c>
      <c r="K30" s="64">
        <f t="shared" si="4"/>
        <v>36857.14286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2500.0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2442.857143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25000.0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30000.0</v>
      </c>
      <c r="K56" s="64">
        <f t="shared" ref="K56:K58" si="10">AVERAGE(D56:J56)</f>
        <v>32142.85714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40000.0</v>
      </c>
      <c r="E57" s="59">
        <v>35000.0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41250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50000.0</v>
      </c>
      <c r="F58" s="59">
        <v>50000.0</v>
      </c>
      <c r="G58" s="59">
        <v>65000.0</v>
      </c>
      <c r="H58" s="61">
        <v>40000.0</v>
      </c>
      <c r="I58" s="61">
        <v>55000.0</v>
      </c>
      <c r="J58" s="53">
        <v>55000.0</v>
      </c>
      <c r="K58" s="64">
        <f t="shared" si="10"/>
        <v>51428.57143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26000.0</v>
      </c>
      <c r="F62" s="59">
        <v>26000.0</v>
      </c>
      <c r="G62" s="59">
        <v>30000.0</v>
      </c>
      <c r="H62" s="61">
        <v>25000.0</v>
      </c>
      <c r="I62" s="61">
        <v>30000.0</v>
      </c>
      <c r="J62" s="53">
        <v>28000.0</v>
      </c>
      <c r="K62" s="64">
        <f t="shared" ref="K62:K65" si="11">AVERAGE(D62:J62)</f>
        <v>27285.71429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24000.0</v>
      </c>
      <c r="G63" s="59">
        <v>25000.0</v>
      </c>
      <c r="H63" s="61">
        <v>22000.0</v>
      </c>
      <c r="I63" s="61">
        <v>23000.0</v>
      </c>
      <c r="J63" s="53">
        <v>24000.0</v>
      </c>
      <c r="K63" s="64">
        <f t="shared" si="11"/>
        <v>23571.42857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36000.0</v>
      </c>
      <c r="G64" s="59">
        <v>35000.0</v>
      </c>
      <c r="H64" s="61">
        <v>30000.0</v>
      </c>
      <c r="I64" s="61">
        <v>35000.0</v>
      </c>
      <c r="J64" s="53">
        <v>30000.0</v>
      </c>
      <c r="K64" s="64">
        <f t="shared" si="11"/>
        <v>33285.71429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16000.0</v>
      </c>
      <c r="F72" s="59">
        <v>19000.0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16285.71429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8000.0</v>
      </c>
      <c r="F73" s="59">
        <v>12000.0</v>
      </c>
      <c r="G73" s="59">
        <v>20000.0</v>
      </c>
      <c r="H73" s="61">
        <v>6000.0</v>
      </c>
      <c r="I73" s="68">
        <v>10000.0</v>
      </c>
      <c r="J73" s="53">
        <v>8000.0</v>
      </c>
      <c r="K73" s="64">
        <f t="shared" si="13"/>
        <v>11714.28571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14000.0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11857.14286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121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32000.0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36857.14286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37000.0</v>
      </c>
      <c r="J30" s="53">
        <v>40000.0</v>
      </c>
      <c r="K30" s="64">
        <f t="shared" si="4"/>
        <v>36857.14286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2200.0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2400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25000.0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24857.14286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35000.0</v>
      </c>
      <c r="E56" s="59">
        <v>35000.0</v>
      </c>
      <c r="F56" s="59">
        <v>35000.0</v>
      </c>
      <c r="G56" s="59">
        <v>35000.0</v>
      </c>
      <c r="H56" s="61">
        <v>30000.0</v>
      </c>
      <c r="I56" s="61">
        <v>40000.0</v>
      </c>
      <c r="J56" s="53">
        <v>30000.0</v>
      </c>
      <c r="K56" s="64">
        <f t="shared" ref="K56:K58" si="10">AVERAGE(D56:J56)</f>
        <v>34285.71429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50000.0</v>
      </c>
      <c r="F58" s="59">
        <v>50000.0</v>
      </c>
      <c r="G58" s="59">
        <v>65000.0</v>
      </c>
      <c r="H58" s="61">
        <v>45000.0</v>
      </c>
      <c r="I58" s="61">
        <v>55000.0</v>
      </c>
      <c r="J58" s="53">
        <v>55000.0</v>
      </c>
      <c r="K58" s="64">
        <f t="shared" si="10"/>
        <v>52142.85714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26000.0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28000.0</v>
      </c>
      <c r="K62" s="64">
        <f t="shared" ref="K62:K65" si="11">AVERAGE(D62:J62)</f>
        <v>27428.57143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26000.0</v>
      </c>
      <c r="G63" s="59">
        <v>25000.0</v>
      </c>
      <c r="H63" s="61">
        <v>20000.0</v>
      </c>
      <c r="I63" s="61">
        <v>23000.0</v>
      </c>
      <c r="J63" s="53">
        <v>24000.0</v>
      </c>
      <c r="K63" s="64">
        <f t="shared" si="11"/>
        <v>23571.42857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36000.0</v>
      </c>
      <c r="G64" s="59">
        <v>35000.0</v>
      </c>
      <c r="H64" s="61">
        <v>30000.0</v>
      </c>
      <c r="I64" s="61">
        <v>35000.0</v>
      </c>
      <c r="J64" s="53">
        <v>30000.0</v>
      </c>
      <c r="K64" s="64">
        <f t="shared" si="11"/>
        <v>33285.71429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12000.0</v>
      </c>
      <c r="F72" s="59">
        <v>19000.0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8000.0</v>
      </c>
      <c r="F73" s="59">
        <v>12000.0</v>
      </c>
      <c r="G73" s="59">
        <v>20000.0</v>
      </c>
      <c r="H73" s="61">
        <v>4000.0</v>
      </c>
      <c r="I73" s="68">
        <v>10000.0</v>
      </c>
      <c r="J73" s="53">
        <v>8000.0</v>
      </c>
      <c r="K73" s="64">
        <f t="shared" si="13"/>
        <v>11428.57143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14000.0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11857.14286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122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32000.0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36857.14286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36714.28571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2200.0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2400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35000.0</v>
      </c>
      <c r="E56" s="59">
        <v>35000.0</v>
      </c>
      <c r="F56" s="59">
        <v>35000.0</v>
      </c>
      <c r="G56" s="59">
        <v>35000.0</v>
      </c>
      <c r="H56" s="61">
        <v>30000.0</v>
      </c>
      <c r="I56" s="61">
        <v>40000.0</v>
      </c>
      <c r="J56" s="53">
        <v>35000.0</v>
      </c>
      <c r="K56" s="64">
        <f t="shared" ref="K56:K58" si="10">AVERAGE(D56:J56)</f>
        <v>35000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50000.0</v>
      </c>
      <c r="F58" s="59">
        <v>50000.0</v>
      </c>
      <c r="G58" s="59">
        <v>65000.0</v>
      </c>
      <c r="H58" s="61">
        <v>50000.0</v>
      </c>
      <c r="I58" s="61">
        <v>55000.0</v>
      </c>
      <c r="J58" s="53">
        <v>60000.0</v>
      </c>
      <c r="K58" s="64">
        <f t="shared" si="10"/>
        <v>54285.71429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27000.0</v>
      </c>
      <c r="F62" s="59">
        <v>28000.0</v>
      </c>
      <c r="G62" s="59">
        <v>30000.0</v>
      </c>
      <c r="H62" s="61">
        <v>25000.0</v>
      </c>
      <c r="I62" s="61">
        <v>30000.0</v>
      </c>
      <c r="J62" s="53">
        <v>28000.0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26000.0</v>
      </c>
      <c r="G63" s="59">
        <v>25000.0</v>
      </c>
      <c r="H63" s="61">
        <v>23000.0</v>
      </c>
      <c r="I63" s="61">
        <v>25000.0</v>
      </c>
      <c r="J63" s="53">
        <v>26000.0</v>
      </c>
      <c r="K63" s="64">
        <f t="shared" si="11"/>
        <v>24571.42857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36000.0</v>
      </c>
      <c r="G64" s="59">
        <v>35000.0</v>
      </c>
      <c r="H64" s="61">
        <v>30000.0</v>
      </c>
      <c r="I64" s="61">
        <v>35000.0</v>
      </c>
      <c r="J64" s="53">
        <v>30000.0</v>
      </c>
      <c r="K64" s="64">
        <f t="shared" si="11"/>
        <v>33000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10857.14286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19000.0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16142.85714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8000.0</v>
      </c>
      <c r="F73" s="59">
        <v>10000.0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11285.71429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13000.0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11714.28571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123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32000.0</v>
      </c>
      <c r="G24" s="59">
        <v>32000.0</v>
      </c>
      <c r="H24" s="53">
        <v>31000.0</v>
      </c>
      <c r="I24" s="61">
        <v>30000.0</v>
      </c>
      <c r="J24" s="53">
        <v>32000.0</v>
      </c>
      <c r="K24" s="64">
        <f t="shared" si="3"/>
        <v>31000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36857.14286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36714.28571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2200.0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2400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9000.0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9428.571429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17000.0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35000.0</v>
      </c>
      <c r="E56" s="59">
        <v>35000.0</v>
      </c>
      <c r="F56" s="59">
        <v>35000.0</v>
      </c>
      <c r="G56" s="59">
        <v>35000.0</v>
      </c>
      <c r="H56" s="61">
        <v>32000.0</v>
      </c>
      <c r="I56" s="61">
        <v>40000.0</v>
      </c>
      <c r="J56" s="53">
        <v>35000.0</v>
      </c>
      <c r="K56" s="64">
        <f t="shared" ref="K56:K58" si="10">AVERAGE(D56:J56)</f>
        <v>35285.71429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50000.0</v>
      </c>
      <c r="F58" s="59">
        <v>50000.0</v>
      </c>
      <c r="G58" s="59">
        <v>65000.0</v>
      </c>
      <c r="H58" s="61">
        <v>45000.0</v>
      </c>
      <c r="I58" s="61">
        <v>55000.0</v>
      </c>
      <c r="J58" s="53">
        <v>60000.0</v>
      </c>
      <c r="K58" s="64">
        <f t="shared" si="10"/>
        <v>53571.42857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27000.0</v>
      </c>
      <c r="F62" s="59">
        <v>28000.0</v>
      </c>
      <c r="G62" s="59">
        <v>30000.0</v>
      </c>
      <c r="H62" s="61">
        <v>25000.0</v>
      </c>
      <c r="I62" s="61">
        <v>30000.0</v>
      </c>
      <c r="J62" s="53">
        <v>28000.0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26000.0</v>
      </c>
      <c r="G63" s="59">
        <v>25000.0</v>
      </c>
      <c r="H63" s="61">
        <v>23000.0</v>
      </c>
      <c r="I63" s="61">
        <v>25000.0</v>
      </c>
      <c r="J63" s="53">
        <v>26000.0</v>
      </c>
      <c r="K63" s="64">
        <f t="shared" si="11"/>
        <v>24571.42857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36000.0</v>
      </c>
      <c r="G64" s="59">
        <v>35000.0</v>
      </c>
      <c r="H64" s="61">
        <v>30000.0</v>
      </c>
      <c r="I64" s="61">
        <v>35000.0</v>
      </c>
      <c r="J64" s="53">
        <v>30000.0</v>
      </c>
      <c r="K64" s="64">
        <f t="shared" si="11"/>
        <v>33000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10857.14286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19000.0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16142.85714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8000.0</v>
      </c>
      <c r="F73" s="59">
        <v>10000.0</v>
      </c>
      <c r="G73" s="59">
        <v>20000.0</v>
      </c>
      <c r="H73" s="61">
        <v>4000.0</v>
      </c>
      <c r="I73" s="68">
        <v>10000.0</v>
      </c>
      <c r="J73" s="53">
        <v>8000.0</v>
      </c>
      <c r="K73" s="64">
        <f t="shared" si="13"/>
        <v>11142.85714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13000.0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11714.28571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124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31000.0</v>
      </c>
      <c r="G24" s="59">
        <v>31000.0</v>
      </c>
      <c r="H24" s="53">
        <v>31000.0</v>
      </c>
      <c r="I24" s="61">
        <v>30000.0</v>
      </c>
      <c r="J24" s="53">
        <v>32000.0</v>
      </c>
      <c r="K24" s="64">
        <f t="shared" si="3"/>
        <v>30714.28571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36857.14286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36714.28571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2200.0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2400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16000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35000.0</v>
      </c>
      <c r="E56" s="59">
        <v>35000.0</v>
      </c>
      <c r="F56" s="59">
        <v>35000.0</v>
      </c>
      <c r="G56" s="59">
        <v>35000.0</v>
      </c>
      <c r="H56" s="61">
        <v>32000.0</v>
      </c>
      <c r="I56" s="61">
        <v>40000.0</v>
      </c>
      <c r="J56" s="53">
        <v>35000.0</v>
      </c>
      <c r="K56" s="64">
        <f t="shared" ref="K56:K58" si="10">AVERAGE(D56:J56)</f>
        <v>35285.71429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40000.0</v>
      </c>
      <c r="F58" s="59">
        <v>40000.0</v>
      </c>
      <c r="G58" s="59">
        <v>65000.0</v>
      </c>
      <c r="H58" s="61">
        <v>45000.0</v>
      </c>
      <c r="I58" s="61">
        <v>55000.0</v>
      </c>
      <c r="J58" s="53">
        <v>60000.0</v>
      </c>
      <c r="K58" s="64">
        <f t="shared" si="10"/>
        <v>50714.28571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27000.0</v>
      </c>
      <c r="F62" s="59">
        <v>28000.0</v>
      </c>
      <c r="G62" s="59">
        <v>30000.0</v>
      </c>
      <c r="H62" s="61">
        <v>25000.0</v>
      </c>
      <c r="I62" s="61">
        <v>30000.0</v>
      </c>
      <c r="J62" s="53">
        <v>28000.0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26000.0</v>
      </c>
      <c r="G63" s="59">
        <v>25000.0</v>
      </c>
      <c r="H63" s="61">
        <v>23000.0</v>
      </c>
      <c r="I63" s="61">
        <v>25000.0</v>
      </c>
      <c r="J63" s="53">
        <v>26000.0</v>
      </c>
      <c r="K63" s="64">
        <f t="shared" si="11"/>
        <v>24571.42857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34000.0</v>
      </c>
      <c r="G64" s="59">
        <v>35000.0</v>
      </c>
      <c r="H64" s="61">
        <v>30000.0</v>
      </c>
      <c r="I64" s="61">
        <v>35000.0</v>
      </c>
      <c r="J64" s="53">
        <v>30000.0</v>
      </c>
      <c r="K64" s="64">
        <f t="shared" si="11"/>
        <v>32714.28571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8000.0</v>
      </c>
      <c r="F73" s="59">
        <v>10000.0</v>
      </c>
      <c r="G73" s="59">
        <v>20000.0</v>
      </c>
      <c r="H73" s="61">
        <v>4000.0</v>
      </c>
      <c r="I73" s="68">
        <v>10000.0</v>
      </c>
      <c r="J73" s="53">
        <v>8000.0</v>
      </c>
      <c r="K73" s="64">
        <f t="shared" si="13"/>
        <v>11142.85714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13000.0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11714.28571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125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30000.0</v>
      </c>
      <c r="G24" s="59">
        <v>31000.0</v>
      </c>
      <c r="H24" s="53">
        <v>31000.0</v>
      </c>
      <c r="I24" s="61">
        <v>30000.0</v>
      </c>
      <c r="J24" s="53">
        <v>32000.0</v>
      </c>
      <c r="K24" s="64">
        <f t="shared" si="3"/>
        <v>30571.42857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36857.14286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30000.0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36714.28571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2200.0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2400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16000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35000.0</v>
      </c>
      <c r="E56" s="59">
        <v>35000.0</v>
      </c>
      <c r="F56" s="59">
        <v>35000.0</v>
      </c>
      <c r="G56" s="59">
        <v>35000.0</v>
      </c>
      <c r="H56" s="61">
        <v>32000.0</v>
      </c>
      <c r="I56" s="61">
        <v>40000.0</v>
      </c>
      <c r="J56" s="53">
        <v>35000.0</v>
      </c>
      <c r="K56" s="64">
        <f t="shared" ref="K56:K58" si="10">AVERAGE(D56:J56)</f>
        <v>35285.71429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40000.0</v>
      </c>
      <c r="F58" s="59">
        <v>40000.0</v>
      </c>
      <c r="G58" s="59">
        <v>65000.0</v>
      </c>
      <c r="H58" s="61">
        <v>45000.0</v>
      </c>
      <c r="I58" s="61">
        <v>55000.0</v>
      </c>
      <c r="J58" s="53">
        <v>60000.0</v>
      </c>
      <c r="K58" s="64">
        <f t="shared" si="10"/>
        <v>50714.28571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26000.0</v>
      </c>
      <c r="E62" s="59">
        <v>27000.0</v>
      </c>
      <c r="F62" s="59">
        <v>28000.0</v>
      </c>
      <c r="G62" s="59">
        <v>30000.0</v>
      </c>
      <c r="H62" s="61">
        <v>25000.0</v>
      </c>
      <c r="I62" s="61">
        <v>30000.0</v>
      </c>
      <c r="J62" s="53">
        <v>28000.0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22000.0</v>
      </c>
      <c r="E63" s="59">
        <v>25000.0</v>
      </c>
      <c r="F63" s="59">
        <v>26000.0</v>
      </c>
      <c r="G63" s="59">
        <v>25000.0</v>
      </c>
      <c r="H63" s="61">
        <v>23000.0</v>
      </c>
      <c r="I63" s="61">
        <v>25000.0</v>
      </c>
      <c r="J63" s="53">
        <v>26000.0</v>
      </c>
      <c r="K63" s="64">
        <f t="shared" si="11"/>
        <v>24571.42857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34000.0</v>
      </c>
      <c r="G64" s="59">
        <v>35000.0</v>
      </c>
      <c r="H64" s="61">
        <v>30000.0</v>
      </c>
      <c r="I64" s="61">
        <v>35000.0</v>
      </c>
      <c r="J64" s="53">
        <v>30000.0</v>
      </c>
      <c r="K64" s="64">
        <f t="shared" si="11"/>
        <v>32714.28571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12000.0</v>
      </c>
      <c r="J70" s="53">
        <v>9000.0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14000.0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18000.0</v>
      </c>
      <c r="E73" s="59">
        <v>8000.0</v>
      </c>
      <c r="F73" s="59">
        <v>10000.0</v>
      </c>
      <c r="G73" s="59">
        <v>20000.0</v>
      </c>
      <c r="H73" s="61">
        <v>4000.0</v>
      </c>
      <c r="I73" s="68">
        <v>10000.0</v>
      </c>
      <c r="J73" s="53">
        <v>8000.0</v>
      </c>
      <c r="K73" s="64">
        <f t="shared" si="13"/>
        <v>11142.85714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13000.0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11714.28571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1500.0</v>
      </c>
      <c r="K76" s="64">
        <f t="shared" si="13"/>
        <v>1700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1500.0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2000.0</v>
      </c>
      <c r="K78" s="64">
        <f t="shared" si="13"/>
        <v>1900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126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30000.0</v>
      </c>
      <c r="F24" s="59">
        <v>32000.0</v>
      </c>
      <c r="G24" s="59">
        <v>32000.0</v>
      </c>
      <c r="H24" s="53">
        <v>31000.0</v>
      </c>
      <c r="I24" s="61">
        <v>30000.0</v>
      </c>
      <c r="J24" s="53">
        <v>30000.0</v>
      </c>
      <c r="K24" s="64">
        <f t="shared" si="3"/>
        <v>30714.28571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36714.28571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35000.0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30000.0</v>
      </c>
      <c r="K27" s="64">
        <f t="shared" si="4"/>
        <v>29666.66667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65000.0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38000.0</v>
      </c>
      <c r="F30" s="59">
        <v>35000.0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36714.28571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26928.57143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16000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35000.0</v>
      </c>
      <c r="K56" s="64">
        <f t="shared" ref="K56:K58" si="10">AVERAGE(D56:J56)</f>
        <v>33571.42857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40000.0</v>
      </c>
      <c r="F57" s="59">
        <v>40000.0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41250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34000.0</v>
      </c>
      <c r="E58" s="59">
        <v>50000.0</v>
      </c>
      <c r="F58" s="59">
        <v>50000.0</v>
      </c>
      <c r="G58" s="59">
        <v>65000.0</v>
      </c>
      <c r="H58" s="61">
        <v>35000.0</v>
      </c>
      <c r="I58" s="61">
        <v>45000.0</v>
      </c>
      <c r="J58" s="53">
        <v>45000.0</v>
      </c>
      <c r="K58" s="64">
        <f t="shared" si="10"/>
        <v>46285.71429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27000.0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27571.42857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25000.0</v>
      </c>
      <c r="F63" s="59">
        <v>25000.0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24571.42857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35000.0</v>
      </c>
      <c r="G64" s="59">
        <v>35000.0</v>
      </c>
      <c r="H64" s="61">
        <v>33000.0</v>
      </c>
      <c r="I64" s="61">
        <v>35000.0</v>
      </c>
      <c r="J64" s="53">
        <v>40000.0</v>
      </c>
      <c r="K64" s="64">
        <f t="shared" si="11"/>
        <v>34714.28571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10000.0</v>
      </c>
      <c r="G70" s="59">
        <v>8000.0</v>
      </c>
      <c r="H70" s="61">
        <v>11000.0</v>
      </c>
      <c r="I70" s="68">
        <v>12000.0</v>
      </c>
      <c r="J70" s="53">
        <v>12000.0</v>
      </c>
      <c r="K70" s="64">
        <f t="shared" ref="K70:K78" si="13">AVERAGE(D70:J70)</f>
        <v>10857.14286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10000.0</v>
      </c>
      <c r="J71" s="53">
        <v>15000.0</v>
      </c>
      <c r="K71" s="64">
        <f t="shared" si="13"/>
        <v>11428.57143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10714.28571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12000.0</v>
      </c>
      <c r="F74" s="59">
        <v>12000.0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11571.42857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127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18000.0</v>
      </c>
      <c r="J15" s="53">
        <v>16000.0</v>
      </c>
      <c r="K15" s="64">
        <f t="shared" si="2"/>
        <v>16571.42857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32000.0</v>
      </c>
      <c r="G24" s="59">
        <v>32000.0</v>
      </c>
      <c r="H24" s="53">
        <v>31000.0</v>
      </c>
      <c r="I24" s="61">
        <v>30000.0</v>
      </c>
      <c r="J24" s="53">
        <v>30000.0</v>
      </c>
      <c r="K24" s="64">
        <f t="shared" si="3"/>
        <v>31000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30000.0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60000.0</v>
      </c>
      <c r="K28" s="64">
        <f t="shared" si="4"/>
        <v>65500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35000.0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36428.57143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28000.0</v>
      </c>
      <c r="F33" s="59">
        <v>28000.0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27071.42857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15000.0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16000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13000.0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12833.33333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35000.0</v>
      </c>
      <c r="K56" s="64">
        <f t="shared" ref="K56:K58" si="10">AVERAGE(D56:J56)</f>
        <v>33571.42857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40000.0</v>
      </c>
      <c r="F57" s="59">
        <v>35000.0</v>
      </c>
      <c r="G57" s="59">
        <v>50000.0</v>
      </c>
      <c r="H57" s="126" t="s">
        <v>26</v>
      </c>
      <c r="I57" s="68" t="s">
        <v>26</v>
      </c>
      <c r="J57" s="101" t="s">
        <v>26</v>
      </c>
      <c r="K57" s="64">
        <f t="shared" si="10"/>
        <v>40000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34000.0</v>
      </c>
      <c r="E58" s="59">
        <v>50000.0</v>
      </c>
      <c r="F58" s="59">
        <v>40000.0</v>
      </c>
      <c r="G58" s="59">
        <v>65000.0</v>
      </c>
      <c r="H58" s="61">
        <v>35000.0</v>
      </c>
      <c r="I58" s="61">
        <v>45000.0</v>
      </c>
      <c r="J58" s="53">
        <v>45000.0</v>
      </c>
      <c r="K58" s="64">
        <f t="shared" si="10"/>
        <v>44857.14286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25000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38000.0</v>
      </c>
      <c r="G64" s="59">
        <v>35000.0</v>
      </c>
      <c r="H64" s="61">
        <v>33000.0</v>
      </c>
      <c r="I64" s="61">
        <v>35000.0</v>
      </c>
      <c r="J64" s="53">
        <v>40000.0</v>
      </c>
      <c r="K64" s="64">
        <f t="shared" si="11"/>
        <v>35142.85714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24000.0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22000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12000.0</v>
      </c>
      <c r="K70" s="64">
        <f t="shared" ref="K70:K78" si="13">AVERAGE(D70:J70)</f>
        <v>11000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11714.28571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10000.0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10714.28571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128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30000.0</v>
      </c>
      <c r="G24" s="59">
        <v>32000.0</v>
      </c>
      <c r="H24" s="53">
        <v>32000.0</v>
      </c>
      <c r="I24" s="61">
        <v>30000.0</v>
      </c>
      <c r="J24" s="53">
        <v>30000.0</v>
      </c>
      <c r="K24" s="64">
        <f t="shared" si="3"/>
        <v>30857.14286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35000.0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30000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70000.0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66333.33333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36857.14286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28000.0</v>
      </c>
      <c r="F33" s="59">
        <v>28000.0</v>
      </c>
      <c r="G33" s="59">
        <v>28000.0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27214.28571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35000.0</v>
      </c>
      <c r="G56" s="59">
        <v>35000.0</v>
      </c>
      <c r="H56" s="61">
        <v>30000.0</v>
      </c>
      <c r="I56" s="61">
        <v>40000.0</v>
      </c>
      <c r="J56" s="53">
        <v>35000.0</v>
      </c>
      <c r="K56" s="64">
        <f t="shared" ref="K56:K58" si="10">AVERAGE(D56:J56)</f>
        <v>34285.71429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40000.0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37500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34000.0</v>
      </c>
      <c r="E58" s="59">
        <v>50000.0</v>
      </c>
      <c r="F58" s="59">
        <v>50000.0</v>
      </c>
      <c r="G58" s="59">
        <v>50000.0</v>
      </c>
      <c r="H58" s="61">
        <v>50000.0</v>
      </c>
      <c r="I58" s="61">
        <v>45000.0</v>
      </c>
      <c r="J58" s="53">
        <v>45000.0</v>
      </c>
      <c r="K58" s="64">
        <f t="shared" si="10"/>
        <v>46285.71429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25000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40000.0</v>
      </c>
      <c r="G64" s="59">
        <v>35000.0</v>
      </c>
      <c r="H64" s="61">
        <v>32000.0</v>
      </c>
      <c r="I64" s="61">
        <v>35000.0</v>
      </c>
      <c r="J64" s="53">
        <v>40000.0</v>
      </c>
      <c r="K64" s="64">
        <f t="shared" si="11"/>
        <v>35285.71429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24000.0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22000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12000.0</v>
      </c>
      <c r="K70" s="64">
        <f t="shared" ref="K70:K78" si="13">AVERAGE(D70:J70)</f>
        <v>11000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11714.28571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14000.0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11285.71429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129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12500.0</v>
      </c>
      <c r="J8" s="54">
        <v>12500.0</v>
      </c>
      <c r="K8" s="55">
        <f t="shared" ref="K8:K12" si="1">AVERAGE(D8:J8)</f>
        <v>12471.42857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32000.0</v>
      </c>
      <c r="G24" s="59">
        <v>32000.0</v>
      </c>
      <c r="H24" s="53">
        <v>32000.0</v>
      </c>
      <c r="I24" s="61">
        <v>30000.0</v>
      </c>
      <c r="J24" s="53">
        <v>30000.0</v>
      </c>
      <c r="K24" s="64">
        <f t="shared" si="3"/>
        <v>31142.85714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65000.0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65500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40000.0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28000.0</v>
      </c>
      <c r="F33" s="59">
        <v>28000.0</v>
      </c>
      <c r="G33" s="59">
        <v>28000.0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27214.28571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30000.0</v>
      </c>
      <c r="G56" s="59">
        <v>35000.0</v>
      </c>
      <c r="H56" s="61">
        <v>30000.0</v>
      </c>
      <c r="I56" s="61">
        <v>40000.0</v>
      </c>
      <c r="J56" s="53">
        <v>35000.0</v>
      </c>
      <c r="K56" s="64">
        <f t="shared" ref="K56:K58" si="10">AVERAGE(D56:J56)</f>
        <v>33571.42857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40000.0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37500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34000.0</v>
      </c>
      <c r="E58" s="59">
        <v>50000.0</v>
      </c>
      <c r="F58" s="59">
        <v>50000.0</v>
      </c>
      <c r="G58" s="59">
        <v>50000.0</v>
      </c>
      <c r="H58" s="61">
        <v>58000.0</v>
      </c>
      <c r="I58" s="61">
        <v>45000.0</v>
      </c>
      <c r="J58" s="53">
        <v>45000.0</v>
      </c>
      <c r="K58" s="64">
        <f t="shared" si="10"/>
        <v>47428.57143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25000.0</v>
      </c>
      <c r="I62" s="61">
        <v>30000.0</v>
      </c>
      <c r="J62" s="53">
        <v>30000.0</v>
      </c>
      <c r="K62" s="64">
        <f t="shared" ref="K62:K65" si="11">AVERAGE(D62:J62)</f>
        <v>27857.14286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23000.0</v>
      </c>
      <c r="I63" s="61">
        <v>25000.0</v>
      </c>
      <c r="J63" s="53">
        <v>25000.0</v>
      </c>
      <c r="K63" s="64">
        <f t="shared" si="11"/>
        <v>25142.85714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38000.0</v>
      </c>
      <c r="G64" s="59">
        <v>35000.0</v>
      </c>
      <c r="H64" s="61">
        <v>35000.0</v>
      </c>
      <c r="I64" s="61">
        <v>35000.0</v>
      </c>
      <c r="J64" s="53">
        <v>40000.0</v>
      </c>
      <c r="K64" s="64">
        <f t="shared" si="11"/>
        <v>35428.57143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24000.0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22000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12000.0</v>
      </c>
      <c r="K70" s="64">
        <f t="shared" ref="K70:K78" si="13">AVERAGE(D70:J70)</f>
        <v>11000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14000.0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12142.85714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10000.0</v>
      </c>
      <c r="G73" s="59">
        <v>20000.0</v>
      </c>
      <c r="H73" s="61">
        <v>4000.0</v>
      </c>
      <c r="I73" s="68">
        <v>10000.0</v>
      </c>
      <c r="J73" s="53">
        <v>8000.0</v>
      </c>
      <c r="K73" s="64">
        <f t="shared" si="13"/>
        <v>11857.14286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13000.0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130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32000.0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31428.57143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65000.0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65500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40000.0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28000.0</v>
      </c>
      <c r="F33" s="59">
        <v>28000.0</v>
      </c>
      <c r="G33" s="59">
        <v>28000.0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27214.28571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30000.0</v>
      </c>
      <c r="G56" s="59">
        <v>35000.0</v>
      </c>
      <c r="H56" s="61">
        <v>25000.0</v>
      </c>
      <c r="I56" s="61">
        <v>30000.0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40000.0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36250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34000.0</v>
      </c>
      <c r="E58" s="59">
        <v>50000.0</v>
      </c>
      <c r="F58" s="59">
        <v>40000.0</v>
      </c>
      <c r="G58" s="59">
        <v>50000.0</v>
      </c>
      <c r="H58" s="61">
        <v>40000.0</v>
      </c>
      <c r="I58" s="61">
        <v>45000.0</v>
      </c>
      <c r="J58" s="53">
        <v>45000.0</v>
      </c>
      <c r="K58" s="64">
        <f t="shared" si="10"/>
        <v>43428.57143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25000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38000.0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35857.14286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14000.0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12142.85714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10000.0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12000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12000.0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131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31000.0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31285.71429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65000.0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65500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40000.0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28000.0</v>
      </c>
      <c r="F33" s="59">
        <v>28000.0</v>
      </c>
      <c r="G33" s="59">
        <v>28000.0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27214.28571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36000.0</v>
      </c>
      <c r="G56" s="59">
        <v>35000.0</v>
      </c>
      <c r="H56" s="61">
        <v>25000.0</v>
      </c>
      <c r="I56" s="61">
        <v>30000.0</v>
      </c>
      <c r="J56" s="53">
        <v>30000.0</v>
      </c>
      <c r="K56" s="64">
        <f t="shared" ref="K56:K58" si="10">AVERAGE(D56:J56)</f>
        <v>31571.42857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30000.0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33750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34000.0</v>
      </c>
      <c r="E58" s="59">
        <v>50000.0</v>
      </c>
      <c r="F58" s="59">
        <v>45000.0</v>
      </c>
      <c r="G58" s="59">
        <v>50000.0</v>
      </c>
      <c r="H58" s="61">
        <v>40000.0</v>
      </c>
      <c r="I58" s="61">
        <v>45000.0</v>
      </c>
      <c r="J58" s="53">
        <v>45000.0</v>
      </c>
      <c r="K58" s="64">
        <f t="shared" si="10"/>
        <v>44142.85714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25000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36000.0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35571.42857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10000.0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12000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12000.0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132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32000.0</v>
      </c>
      <c r="G24" s="59">
        <v>32000.0</v>
      </c>
      <c r="H24" s="53">
        <v>32000.0</v>
      </c>
      <c r="I24" s="61">
        <v>30000.0</v>
      </c>
      <c r="J24" s="53">
        <v>32000.0</v>
      </c>
      <c r="K24" s="64">
        <f t="shared" si="3"/>
        <v>31428.57143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65000.0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65500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40000.0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28000.0</v>
      </c>
      <c r="F33" s="59">
        <v>28000.0</v>
      </c>
      <c r="G33" s="59">
        <v>28000.0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27357.14286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30000.0</v>
      </c>
      <c r="G56" s="59">
        <v>35000.0</v>
      </c>
      <c r="H56" s="61">
        <v>25000.0</v>
      </c>
      <c r="I56" s="61">
        <v>30000.0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30000.0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33750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50000.0</v>
      </c>
      <c r="F58" s="59">
        <v>45000.0</v>
      </c>
      <c r="G58" s="59">
        <v>50000.0</v>
      </c>
      <c r="H58" s="61">
        <v>40000.0</v>
      </c>
      <c r="I58" s="61">
        <v>45000.0</v>
      </c>
      <c r="J58" s="53">
        <v>45000.0</v>
      </c>
      <c r="K58" s="64">
        <f t="shared" si="10"/>
        <v>45714.28571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25000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34000.0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35285.71429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10000.0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12000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12000.0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133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32000.0</v>
      </c>
      <c r="E24" s="59">
        <v>30000.0</v>
      </c>
      <c r="F24" s="59">
        <v>31000.0</v>
      </c>
      <c r="G24" s="59">
        <v>30000.0</v>
      </c>
      <c r="H24" s="53">
        <v>32000.0</v>
      </c>
      <c r="I24" s="61">
        <v>30000.0</v>
      </c>
      <c r="J24" s="53">
        <v>30000.0</v>
      </c>
      <c r="K24" s="64">
        <f t="shared" si="3"/>
        <v>30714.28571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38000.0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65000.0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65500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40000.0</v>
      </c>
      <c r="G30" s="59">
        <v>40000.0</v>
      </c>
      <c r="H30" s="61">
        <v>28000.0</v>
      </c>
      <c r="I30" s="67">
        <v>36000.0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28000.0</v>
      </c>
      <c r="F33" s="59">
        <v>27000.0</v>
      </c>
      <c r="G33" s="59">
        <v>27500.0</v>
      </c>
      <c r="H33" s="61">
        <v>26000.0</v>
      </c>
      <c r="I33" s="61">
        <v>27000.0</v>
      </c>
      <c r="J33" s="53">
        <v>27000.0</v>
      </c>
      <c r="K33" s="64">
        <f t="shared" ref="K33:K34" si="5">AVERAGE(D33:J33)</f>
        <v>27214.28571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25000.0</v>
      </c>
      <c r="G56" s="59">
        <v>40000.0</v>
      </c>
      <c r="H56" s="61">
        <v>25000.0</v>
      </c>
      <c r="I56" s="61">
        <v>30000.0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30000.0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33750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50000.0</v>
      </c>
      <c r="F58" s="59">
        <v>30000.0</v>
      </c>
      <c r="G58" s="59">
        <v>55000.0</v>
      </c>
      <c r="H58" s="61">
        <v>40000.0</v>
      </c>
      <c r="I58" s="61">
        <v>45000.0</v>
      </c>
      <c r="J58" s="53">
        <v>45000.0</v>
      </c>
      <c r="K58" s="64">
        <f t="shared" si="10"/>
        <v>44285.71429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24000.0</v>
      </c>
      <c r="I62" s="61">
        <v>30000.0</v>
      </c>
      <c r="J62" s="53">
        <v>30000.0</v>
      </c>
      <c r="K62" s="64">
        <f t="shared" ref="K62:K65" si="11">AVERAGE(D62:J62)</f>
        <v>27714.28571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22000.0</v>
      </c>
      <c r="I63" s="61">
        <v>25000.0</v>
      </c>
      <c r="J63" s="53">
        <v>25000.0</v>
      </c>
      <c r="K63" s="64">
        <f t="shared" si="11"/>
        <v>25000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38000.0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35857.14286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13000.0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10857.14286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9000.0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11857.14286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12000.0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134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115000.0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109857.1429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105000.0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100000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28000.0</v>
      </c>
      <c r="F24" s="59">
        <v>31000.0</v>
      </c>
      <c r="G24" s="59">
        <v>30000.0</v>
      </c>
      <c r="H24" s="53">
        <v>32000.0</v>
      </c>
      <c r="I24" s="61">
        <v>30000.0</v>
      </c>
      <c r="J24" s="53">
        <v>30000.0</v>
      </c>
      <c r="K24" s="64">
        <f t="shared" si="3"/>
        <v>30142.85714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40000.0</v>
      </c>
      <c r="F26" s="69">
        <v>35000.0</v>
      </c>
      <c r="G26" s="59">
        <v>40000.0</v>
      </c>
      <c r="H26" s="61">
        <v>30000.0</v>
      </c>
      <c r="I26" s="67">
        <v>35000.0</v>
      </c>
      <c r="J26" s="53">
        <v>35000.0</v>
      </c>
      <c r="K26" s="64">
        <f t="shared" ref="K26:K31" si="4">AVERAGE(D26:J26)</f>
        <v>36428.57143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32000.0</v>
      </c>
      <c r="J27" s="102">
        <v>28000.0</v>
      </c>
      <c r="K27" s="64">
        <f t="shared" si="4"/>
        <v>29166.66667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70000.0</v>
      </c>
      <c r="J28" s="102">
        <v>55000.0</v>
      </c>
      <c r="K28" s="64">
        <f t="shared" si="4"/>
        <v>64666.66667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40000.0</v>
      </c>
      <c r="G30" s="59">
        <v>40000.0</v>
      </c>
      <c r="H30" s="61">
        <v>28000.0</v>
      </c>
      <c r="I30" s="67">
        <v>37000.0</v>
      </c>
      <c r="J30" s="53">
        <v>40000.0</v>
      </c>
      <c r="K30" s="64">
        <f t="shared" si="4"/>
        <v>37285.71429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110000.0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86000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28000.0</v>
      </c>
      <c r="F33" s="59">
        <v>27000.0</v>
      </c>
      <c r="G33" s="59">
        <v>27500.0</v>
      </c>
      <c r="H33" s="61">
        <v>26000.0</v>
      </c>
      <c r="I33" s="61">
        <v>27000.0</v>
      </c>
      <c r="J33" s="53">
        <v>27000.0</v>
      </c>
      <c r="K33" s="64">
        <f t="shared" ref="K33:K34" si="5">AVERAGE(D33:J33)</f>
        <v>27214.28571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35000.0</v>
      </c>
      <c r="F56" s="59">
        <v>25000.0</v>
      </c>
      <c r="G56" s="59">
        <v>40000.0</v>
      </c>
      <c r="H56" s="61">
        <v>25000.0</v>
      </c>
      <c r="I56" s="61">
        <v>35000.0</v>
      </c>
      <c r="J56" s="53">
        <v>30000.0</v>
      </c>
      <c r="K56" s="64">
        <f t="shared" ref="K56:K58" si="10">AVERAGE(D56:J56)</f>
        <v>31428.57143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50000.0</v>
      </c>
      <c r="F58" s="59">
        <v>50000.0</v>
      </c>
      <c r="G58" s="59">
        <v>55000.0</v>
      </c>
      <c r="H58" s="61">
        <v>45000.0</v>
      </c>
      <c r="I58" s="61">
        <v>50000.0</v>
      </c>
      <c r="J58" s="53">
        <v>45000.0</v>
      </c>
      <c r="K58" s="64">
        <f t="shared" si="10"/>
        <v>49285.71429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25000.0</v>
      </c>
      <c r="I62" s="61">
        <v>30000.0</v>
      </c>
      <c r="J62" s="53">
        <v>30000.0</v>
      </c>
      <c r="K62" s="64">
        <f t="shared" ref="K62:K65" si="11">AVERAGE(D62:J62)</f>
        <v>27857.14286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23000.0</v>
      </c>
      <c r="I63" s="61">
        <v>25000.0</v>
      </c>
      <c r="J63" s="53">
        <v>25000.0</v>
      </c>
      <c r="K63" s="64">
        <f t="shared" si="11"/>
        <v>25142.85714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33000.0</v>
      </c>
      <c r="F64" s="59">
        <v>38000.0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35857.14286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14000.0</v>
      </c>
      <c r="F70" s="59">
        <v>13000.0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10857.14286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14000.0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11857.14286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15000.0</v>
      </c>
      <c r="F73" s="59">
        <v>9000.0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11857.14286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8000.0</v>
      </c>
      <c r="F74" s="59">
        <v>12000.0</v>
      </c>
      <c r="G74" s="59">
        <v>13000.0</v>
      </c>
      <c r="H74" s="61">
        <v>10000.0</v>
      </c>
      <c r="I74" s="61">
        <v>14000.0</v>
      </c>
      <c r="J74" s="53">
        <v>10000.0</v>
      </c>
      <c r="K74" s="64">
        <f t="shared" si="13"/>
        <v>11000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10000.0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9200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135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28000.0</v>
      </c>
      <c r="F24" s="59">
        <v>32000.0</v>
      </c>
      <c r="G24" s="59">
        <v>30000.0</v>
      </c>
      <c r="H24" s="53">
        <v>32000.0</v>
      </c>
      <c r="I24" s="61">
        <v>29000.0</v>
      </c>
      <c r="J24" s="53">
        <v>30000.0</v>
      </c>
      <c r="K24" s="64">
        <f t="shared" si="3"/>
        <v>30142.85714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36000.0</v>
      </c>
      <c r="J26" s="53">
        <v>35000.0</v>
      </c>
      <c r="K26" s="64">
        <f t="shared" ref="K26:K31" si="4">AVERAGE(D26:J26)</f>
        <v>37142.85714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28833.33333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65000.0</v>
      </c>
      <c r="J28" s="102">
        <v>55000.0</v>
      </c>
      <c r="K28" s="64">
        <f t="shared" si="4"/>
        <v>63833.33333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37000.0</v>
      </c>
      <c r="J30" s="53">
        <v>40000.0</v>
      </c>
      <c r="K30" s="64">
        <f t="shared" si="4"/>
        <v>37000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27000.0</v>
      </c>
      <c r="F33" s="59">
        <v>27000.0</v>
      </c>
      <c r="G33" s="59">
        <v>27500.0</v>
      </c>
      <c r="H33" s="61">
        <v>26000.0</v>
      </c>
      <c r="I33" s="61">
        <v>27000.0</v>
      </c>
      <c r="J33" s="53">
        <v>27000.0</v>
      </c>
      <c r="K33" s="64">
        <f t="shared" ref="K33:K34" si="5">AVERAGE(D33:J33)</f>
        <v>27071.42857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30000.0</v>
      </c>
      <c r="F56" s="59">
        <v>25000.0</v>
      </c>
      <c r="G56" s="59">
        <v>40000.0</v>
      </c>
      <c r="H56" s="61">
        <v>25000.0</v>
      </c>
      <c r="I56" s="61">
        <v>35000.0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50000.0</v>
      </c>
      <c r="F58" s="59">
        <v>50000.0</v>
      </c>
      <c r="G58" s="59">
        <v>55000.0</v>
      </c>
      <c r="H58" s="61">
        <v>40000.0</v>
      </c>
      <c r="I58" s="61">
        <v>50000.0</v>
      </c>
      <c r="J58" s="53">
        <v>45000.0</v>
      </c>
      <c r="K58" s="64">
        <f t="shared" si="10"/>
        <v>48571.42857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28000.0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28142.85714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26000.0</v>
      </c>
      <c r="G63" s="59">
        <v>25000.0</v>
      </c>
      <c r="H63" s="61">
        <v>24000.0</v>
      </c>
      <c r="I63" s="61">
        <v>25000.0</v>
      </c>
      <c r="J63" s="53">
        <v>25000.0</v>
      </c>
      <c r="K63" s="64">
        <f t="shared" si="11"/>
        <v>25285.71429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28000.0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34714.28571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10571.42857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13000.0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9000.0</v>
      </c>
      <c r="G73" s="59">
        <v>20000.0</v>
      </c>
      <c r="H73" s="61">
        <v>3000.0</v>
      </c>
      <c r="I73" s="68">
        <v>10000.0</v>
      </c>
      <c r="J73" s="53">
        <v>8000.0</v>
      </c>
      <c r="K73" s="64">
        <f t="shared" si="13"/>
        <v>10571.42857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136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52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28000.0</v>
      </c>
      <c r="F24" s="59">
        <v>30000.0</v>
      </c>
      <c r="G24" s="59">
        <v>30000.0</v>
      </c>
      <c r="H24" s="53">
        <v>32000.0</v>
      </c>
      <c r="I24" s="61">
        <v>29000.0</v>
      </c>
      <c r="J24" s="53">
        <v>30000.0</v>
      </c>
      <c r="K24" s="64">
        <f t="shared" si="3"/>
        <v>29857.14286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38000.0</v>
      </c>
      <c r="J26" s="53">
        <v>35000.0</v>
      </c>
      <c r="K26" s="64">
        <f t="shared" ref="K26:K31" si="4">AVERAGE(D26:J26)</f>
        <v>37428.57143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28833.33333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64000.0</v>
      </c>
      <c r="J28" s="102">
        <v>55000.0</v>
      </c>
      <c r="K28" s="64">
        <f t="shared" si="4"/>
        <v>63666.66667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40000.0</v>
      </c>
      <c r="J30" s="53">
        <v>40000.0</v>
      </c>
      <c r="K30" s="64">
        <f t="shared" si="4"/>
        <v>37428.57143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28000.0</v>
      </c>
      <c r="E33" s="59">
        <v>27000.0</v>
      </c>
      <c r="F33" s="59">
        <v>27000.0</v>
      </c>
      <c r="G33" s="59">
        <v>27500.0</v>
      </c>
      <c r="H33" s="61">
        <v>26000.0</v>
      </c>
      <c r="I33" s="61">
        <v>27000.0</v>
      </c>
      <c r="J33" s="53">
        <v>27000.0</v>
      </c>
      <c r="K33" s="64">
        <f t="shared" ref="K33:K34" si="5">AVERAGE(D33:J33)</f>
        <v>27071.42857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30000.0</v>
      </c>
      <c r="F56" s="59">
        <v>25000.0</v>
      </c>
      <c r="G56" s="59">
        <v>40000.0</v>
      </c>
      <c r="H56" s="61">
        <v>25000.0</v>
      </c>
      <c r="I56" s="61">
        <v>35000.0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35000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50000.0</v>
      </c>
      <c r="E58" s="59">
        <v>50000.0</v>
      </c>
      <c r="F58" s="59">
        <v>50000.0</v>
      </c>
      <c r="G58" s="59">
        <v>55000.0</v>
      </c>
      <c r="H58" s="61">
        <v>40000.0</v>
      </c>
      <c r="I58" s="61">
        <v>50000.0</v>
      </c>
      <c r="J58" s="53">
        <v>45000.0</v>
      </c>
      <c r="K58" s="64">
        <f t="shared" si="10"/>
        <v>48571.42857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24000.0</v>
      </c>
      <c r="E62" s="59">
        <v>28000.0</v>
      </c>
      <c r="F62" s="59">
        <v>30000.0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28428.57143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27000.0</v>
      </c>
      <c r="F63" s="59">
        <v>28000.0</v>
      </c>
      <c r="G63" s="59">
        <v>25000.0</v>
      </c>
      <c r="H63" s="61">
        <v>24000.0</v>
      </c>
      <c r="I63" s="61">
        <v>25000.0</v>
      </c>
      <c r="J63" s="53">
        <v>25000.0</v>
      </c>
      <c r="K63" s="64">
        <f t="shared" si="11"/>
        <v>25571.42857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40000.0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36428.57143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18000.0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21428.57143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13000.0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10714.28571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13000.0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11714.28571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3000.0</v>
      </c>
      <c r="I73" s="68">
        <v>10000.0</v>
      </c>
      <c r="J73" s="53">
        <v>8000.0</v>
      </c>
      <c r="K73" s="64">
        <f t="shared" si="13"/>
        <v>10428.57143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1500.0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1500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137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69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28000.0</v>
      </c>
      <c r="E24" s="59">
        <v>28000.0</v>
      </c>
      <c r="F24" s="59">
        <v>30000.0</v>
      </c>
      <c r="G24" s="59">
        <v>30000.0</v>
      </c>
      <c r="H24" s="53">
        <v>30000.0</v>
      </c>
      <c r="I24" s="61">
        <v>29000.0</v>
      </c>
      <c r="J24" s="53">
        <v>30000.0</v>
      </c>
      <c r="K24" s="64">
        <f t="shared" si="3"/>
        <v>29285.71429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38000.0</v>
      </c>
      <c r="J26" s="53">
        <v>35000.0</v>
      </c>
      <c r="K26" s="64">
        <f t="shared" ref="K26:K31" si="4">AVERAGE(D26:J26)</f>
        <v>37428.57143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28833.33333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64000.0</v>
      </c>
      <c r="J28" s="102">
        <v>55000.0</v>
      </c>
      <c r="K28" s="64">
        <f t="shared" si="4"/>
        <v>63666.66667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40000.0</v>
      </c>
      <c r="J30" s="53">
        <v>40000.0</v>
      </c>
      <c r="K30" s="64">
        <f t="shared" si="4"/>
        <v>37428.57143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27000.0</v>
      </c>
      <c r="G33" s="59">
        <v>27000.0</v>
      </c>
      <c r="H33" s="61">
        <v>26000.0</v>
      </c>
      <c r="I33" s="61">
        <v>27000.0</v>
      </c>
      <c r="J33" s="53">
        <v>26000.0</v>
      </c>
      <c r="K33" s="64">
        <f t="shared" ref="K33:K34" si="5">AVERAGE(D33:J33)</f>
        <v>26714.28571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27000.0</v>
      </c>
      <c r="F56" s="59">
        <v>25000.0</v>
      </c>
      <c r="G56" s="59">
        <v>35000.0</v>
      </c>
      <c r="H56" s="61">
        <v>25000.0</v>
      </c>
      <c r="I56" s="61">
        <v>35000.0</v>
      </c>
      <c r="J56" s="53">
        <v>30000.0</v>
      </c>
      <c r="K56" s="64">
        <f t="shared" ref="K56:K58" si="10">AVERAGE(D56:J56)</f>
        <v>29571.42857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36250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45000.0</v>
      </c>
      <c r="F58" s="59">
        <v>50000.0</v>
      </c>
      <c r="G58" s="59">
        <v>55000.0</v>
      </c>
      <c r="H58" s="61">
        <v>45000.0</v>
      </c>
      <c r="I58" s="61">
        <v>50000.0</v>
      </c>
      <c r="J58" s="53">
        <v>45000.0</v>
      </c>
      <c r="K58" s="64">
        <f t="shared" si="10"/>
        <v>47857.14286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28000.0</v>
      </c>
      <c r="E62" s="59">
        <v>28000.0</v>
      </c>
      <c r="F62" s="59">
        <v>30000.0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29000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26000.0</v>
      </c>
      <c r="F63" s="59">
        <v>28000.0</v>
      </c>
      <c r="G63" s="59">
        <v>25000.0</v>
      </c>
      <c r="H63" s="61">
        <v>24000.0</v>
      </c>
      <c r="I63" s="61">
        <v>25000.0</v>
      </c>
      <c r="J63" s="53">
        <v>25000.0</v>
      </c>
      <c r="K63" s="64">
        <f t="shared" si="11"/>
        <v>25428.57143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36000.0</v>
      </c>
      <c r="F64" s="59">
        <v>40000.0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36571.42857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20000.0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21714.28571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10571.42857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10714.28571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1000.0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1700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138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69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28000.0</v>
      </c>
      <c r="E24" s="59">
        <v>28000.0</v>
      </c>
      <c r="F24" s="59">
        <v>30000.0</v>
      </c>
      <c r="G24" s="59">
        <v>30000.0</v>
      </c>
      <c r="H24" s="53">
        <v>30000.0</v>
      </c>
      <c r="I24" s="61">
        <v>29000.0</v>
      </c>
      <c r="J24" s="53">
        <v>30000.0</v>
      </c>
      <c r="K24" s="64">
        <f t="shared" si="3"/>
        <v>29285.71429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38000.0</v>
      </c>
      <c r="J26" s="53">
        <v>35000.0</v>
      </c>
      <c r="K26" s="64">
        <f t="shared" ref="K26:K31" si="4">AVERAGE(D26:J26)</f>
        <v>37428.57143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28833.33333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64000.0</v>
      </c>
      <c r="J28" s="102">
        <v>55000.0</v>
      </c>
      <c r="K28" s="64">
        <f t="shared" si="4"/>
        <v>63666.66667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40000.0</v>
      </c>
      <c r="J30" s="53">
        <v>40000.0</v>
      </c>
      <c r="K30" s="64">
        <f t="shared" si="4"/>
        <v>37428.57143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27000.0</v>
      </c>
      <c r="G33" s="59">
        <v>27000.0</v>
      </c>
      <c r="H33" s="61">
        <v>26000.0</v>
      </c>
      <c r="I33" s="61">
        <v>27000.0</v>
      </c>
      <c r="J33" s="53">
        <v>26000.0</v>
      </c>
      <c r="K33" s="64">
        <f t="shared" ref="K33:K34" si="5">AVERAGE(D33:J33)</f>
        <v>26714.28571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30000.0</v>
      </c>
      <c r="F56" s="59">
        <v>25000.0</v>
      </c>
      <c r="G56" s="59">
        <v>35000.0</v>
      </c>
      <c r="H56" s="61">
        <v>25000.0</v>
      </c>
      <c r="I56" s="61">
        <v>40000.0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35000.0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36250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45000.0</v>
      </c>
      <c r="F58" s="59">
        <v>50000.0</v>
      </c>
      <c r="G58" s="59">
        <v>55000.0</v>
      </c>
      <c r="H58" s="61">
        <v>45000.0</v>
      </c>
      <c r="I58" s="61">
        <v>50000.0</v>
      </c>
      <c r="J58" s="53">
        <v>45000.0</v>
      </c>
      <c r="K58" s="64">
        <f t="shared" si="10"/>
        <v>47857.14286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28000.0</v>
      </c>
      <c r="E62" s="59">
        <v>28000.0</v>
      </c>
      <c r="F62" s="59">
        <v>30000.0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29000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26000.0</v>
      </c>
      <c r="F63" s="59">
        <v>28000.0</v>
      </c>
      <c r="G63" s="59">
        <v>25000.0</v>
      </c>
      <c r="H63" s="61">
        <v>24000.0</v>
      </c>
      <c r="I63" s="61">
        <v>25000.0</v>
      </c>
      <c r="J63" s="53">
        <v>25000.0</v>
      </c>
      <c r="K63" s="64">
        <f t="shared" si="11"/>
        <v>25428.57143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37000.0</v>
      </c>
      <c r="F64" s="59">
        <v>40000.0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36714.28571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20000.0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21714.28571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10571.42857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10714.28571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139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69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28000.0</v>
      </c>
      <c r="E24" s="59">
        <v>28000.0</v>
      </c>
      <c r="F24" s="59">
        <v>30000.0</v>
      </c>
      <c r="G24" s="59">
        <v>30000.0</v>
      </c>
      <c r="H24" s="53">
        <v>30000.0</v>
      </c>
      <c r="I24" s="61">
        <v>29000.0</v>
      </c>
      <c r="J24" s="53">
        <v>30000.0</v>
      </c>
      <c r="K24" s="64">
        <f t="shared" si="3"/>
        <v>29285.71429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38000.0</v>
      </c>
      <c r="J26" s="53">
        <v>35000.0</v>
      </c>
      <c r="K26" s="64">
        <f t="shared" ref="K26:K31" si="4">AVERAGE(D26:J26)</f>
        <v>37428.57143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32000.0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28833.33333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64000.0</v>
      </c>
      <c r="J28" s="102">
        <v>55000.0</v>
      </c>
      <c r="K28" s="64">
        <f t="shared" si="4"/>
        <v>63666.66667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40000.0</v>
      </c>
      <c r="J30" s="53">
        <v>40000.0</v>
      </c>
      <c r="K30" s="64">
        <f t="shared" si="4"/>
        <v>37428.57143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27000.0</v>
      </c>
      <c r="F33" s="59">
        <v>27000.0</v>
      </c>
      <c r="G33" s="59">
        <v>27000.0</v>
      </c>
      <c r="H33" s="61">
        <v>26000.0</v>
      </c>
      <c r="I33" s="61">
        <v>27000.0</v>
      </c>
      <c r="J33" s="53">
        <v>26000.0</v>
      </c>
      <c r="K33" s="64">
        <f t="shared" ref="K33:K34" si="5">AVERAGE(D33:J33)</f>
        <v>26714.28571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15000.0</v>
      </c>
      <c r="I49" s="67">
        <v>17000.0</v>
      </c>
      <c r="J49" s="101" t="s">
        <v>26</v>
      </c>
      <c r="K49" s="64">
        <f t="shared" ref="K49:K52" si="9">AVERAGE(D49:J49)</f>
        <v>16166.66667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30000.0</v>
      </c>
      <c r="F56" s="59">
        <v>25000.0</v>
      </c>
      <c r="G56" s="59">
        <v>35000.0</v>
      </c>
      <c r="H56" s="61">
        <v>25000.0</v>
      </c>
      <c r="I56" s="61">
        <v>40000.0</v>
      </c>
      <c r="J56" s="53">
        <v>30000.0</v>
      </c>
      <c r="K56" s="64">
        <f t="shared" ref="K56:K58" si="10">AVERAGE(D56:J56)</f>
        <v>30714.28571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37500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45000.0</v>
      </c>
      <c r="F58" s="59">
        <v>50000.0</v>
      </c>
      <c r="G58" s="59">
        <v>55000.0</v>
      </c>
      <c r="H58" s="61">
        <v>45000.0</v>
      </c>
      <c r="I58" s="61">
        <v>50000.0</v>
      </c>
      <c r="J58" s="53">
        <v>45000.0</v>
      </c>
      <c r="K58" s="64">
        <f t="shared" si="10"/>
        <v>47857.14286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28000.0</v>
      </c>
      <c r="E62" s="59">
        <v>28000.0</v>
      </c>
      <c r="F62" s="59">
        <v>30000.0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29000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26000.0</v>
      </c>
      <c r="F63" s="59">
        <v>28000.0</v>
      </c>
      <c r="G63" s="59">
        <v>25000.0</v>
      </c>
      <c r="H63" s="61">
        <v>24000.0</v>
      </c>
      <c r="I63" s="61">
        <v>25000.0</v>
      </c>
      <c r="J63" s="53">
        <v>25000.0</v>
      </c>
      <c r="K63" s="64">
        <f t="shared" si="11"/>
        <v>25428.57143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37000.0</v>
      </c>
      <c r="F64" s="59">
        <v>38000.0</v>
      </c>
      <c r="G64" s="59">
        <v>35000.0</v>
      </c>
      <c r="H64" s="61">
        <v>35000.0</v>
      </c>
      <c r="I64" s="61">
        <v>38000.0</v>
      </c>
      <c r="J64" s="53">
        <v>40000.0</v>
      </c>
      <c r="K64" s="64">
        <f t="shared" si="11"/>
        <v>36428.57143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20000.0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21714.28571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12000.0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10571.42857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10714.28571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140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69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28000.0</v>
      </c>
      <c r="F24" s="59">
        <v>28000.0</v>
      </c>
      <c r="G24" s="59">
        <v>30000.0</v>
      </c>
      <c r="H24" s="53">
        <v>30000.0</v>
      </c>
      <c r="I24" s="61">
        <v>29000.0</v>
      </c>
      <c r="J24" s="53">
        <v>30000.0</v>
      </c>
      <c r="K24" s="64">
        <f t="shared" si="3"/>
        <v>29285.71429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37000.0</v>
      </c>
      <c r="J26" s="53">
        <v>35000.0</v>
      </c>
      <c r="K26" s="64">
        <f t="shared" ref="K26:K31" si="4">AVERAGE(D26:J26)</f>
        <v>37285.71429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30000.0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64000.0</v>
      </c>
      <c r="J28" s="102">
        <v>55000.0</v>
      </c>
      <c r="K28" s="64">
        <f t="shared" si="4"/>
        <v>63666.66667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38000.0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26000.0</v>
      </c>
      <c r="F33" s="59">
        <v>27000.0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26642.85714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11500.0</v>
      </c>
      <c r="I49" s="67">
        <v>17000.0</v>
      </c>
      <c r="J49" s="101" t="s">
        <v>26</v>
      </c>
      <c r="K49" s="64">
        <f t="shared" ref="K49:K52" si="9">AVERAGE(D49:J49)</f>
        <v>15583.33333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30000.0</v>
      </c>
      <c r="F56" s="59">
        <v>25000.0</v>
      </c>
      <c r="G56" s="59">
        <v>35000.0</v>
      </c>
      <c r="H56" s="61">
        <v>20000.0</v>
      </c>
      <c r="I56" s="61">
        <v>40000.0</v>
      </c>
      <c r="J56" s="53">
        <v>25000.0</v>
      </c>
      <c r="K56" s="64">
        <f t="shared" ref="K56:K58" si="10">AVERAGE(D56:J56)</f>
        <v>29285.71429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30000.0</v>
      </c>
      <c r="F57" s="59">
        <v>40000.0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36250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55000.0</v>
      </c>
      <c r="F58" s="59">
        <v>50000.0</v>
      </c>
      <c r="G58" s="59">
        <v>55000.0</v>
      </c>
      <c r="H58" s="61">
        <v>45000.0</v>
      </c>
      <c r="I58" s="61">
        <v>50000.0</v>
      </c>
      <c r="J58" s="53">
        <v>55000.0</v>
      </c>
      <c r="K58" s="64">
        <f t="shared" si="10"/>
        <v>50714.28571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28000.0</v>
      </c>
      <c r="E62" s="59">
        <v>28000.0</v>
      </c>
      <c r="F62" s="59">
        <v>30000.0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29000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26000.0</v>
      </c>
      <c r="F63" s="59">
        <v>28000.0</v>
      </c>
      <c r="G63" s="59">
        <v>25000.0</v>
      </c>
      <c r="H63" s="61">
        <v>24000.0</v>
      </c>
      <c r="I63" s="61">
        <v>27000.0</v>
      </c>
      <c r="J63" s="53">
        <v>25000.0</v>
      </c>
      <c r="K63" s="64">
        <f t="shared" si="11"/>
        <v>25714.28571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40000.0</v>
      </c>
      <c r="G64" s="59">
        <v>35000.0</v>
      </c>
      <c r="H64" s="61">
        <v>35000.0</v>
      </c>
      <c r="I64" s="61">
        <v>38000.0</v>
      </c>
      <c r="J64" s="53">
        <v>45000.0</v>
      </c>
      <c r="K64" s="64">
        <f t="shared" si="11"/>
        <v>37142.85714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20000.0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21714.28571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10000.0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10285.71429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16000.0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15714.28571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10714.28571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1500.0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1600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1500.0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1800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3.43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3" t="s">
        <v>2</v>
      </c>
      <c r="M1" s="5"/>
      <c r="N1" s="5"/>
    </row>
    <row r="2" ht="27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9"/>
      <c r="M2" s="5"/>
      <c r="N2" s="5"/>
    </row>
    <row r="3" ht="27.75" customHeight="1">
      <c r="A3" s="10" t="s">
        <v>141</v>
      </c>
      <c r="B3" s="6"/>
      <c r="C3" s="6"/>
      <c r="D3" s="6"/>
      <c r="E3" s="6"/>
      <c r="F3" s="6"/>
      <c r="G3" s="6"/>
      <c r="H3" s="6"/>
      <c r="I3" s="6"/>
      <c r="J3" s="6"/>
      <c r="K3" s="6"/>
      <c r="M3" s="5"/>
      <c r="N3" s="5"/>
    </row>
    <row r="4" ht="25.5" customHeight="1">
      <c r="A4" s="12" t="s">
        <v>6</v>
      </c>
      <c r="B4" s="13" t="s">
        <v>8</v>
      </c>
      <c r="C4" s="12" t="s">
        <v>9</v>
      </c>
      <c r="D4" s="15" t="s">
        <v>10</v>
      </c>
      <c r="E4" s="17" t="s">
        <v>12</v>
      </c>
      <c r="F4" s="18" t="s">
        <v>13</v>
      </c>
      <c r="G4" s="19" t="s">
        <v>14</v>
      </c>
      <c r="H4" s="20" t="s">
        <v>15</v>
      </c>
      <c r="I4" s="21" t="s">
        <v>16</v>
      </c>
      <c r="J4" s="22" t="s">
        <v>17</v>
      </c>
      <c r="K4" s="23" t="s">
        <v>18</v>
      </c>
      <c r="M4" s="5"/>
      <c r="N4" s="5"/>
    </row>
    <row r="5" ht="15.0" customHeight="1">
      <c r="A5" s="24"/>
      <c r="B5" s="24"/>
      <c r="C5" s="24"/>
      <c r="D5" s="25"/>
      <c r="E5" s="26"/>
      <c r="F5" s="27"/>
      <c r="G5" s="28"/>
      <c r="H5" s="24"/>
      <c r="I5" s="24"/>
      <c r="J5" s="29"/>
      <c r="K5" s="27"/>
      <c r="M5" s="5"/>
      <c r="N5" s="5"/>
    </row>
    <row r="6">
      <c r="A6" s="30"/>
      <c r="B6" s="30"/>
      <c r="C6" s="30"/>
      <c r="D6" s="31"/>
      <c r="E6" s="32"/>
      <c r="F6" s="33"/>
      <c r="G6" s="34"/>
      <c r="H6" s="30"/>
      <c r="I6" s="30"/>
      <c r="J6" s="35"/>
      <c r="K6" s="36"/>
      <c r="M6" s="5"/>
      <c r="N6" s="5"/>
    </row>
    <row r="7">
      <c r="A7" s="37">
        <v>1.0</v>
      </c>
      <c r="B7" s="38" t="s">
        <v>19</v>
      </c>
      <c r="C7" s="39"/>
      <c r="D7" s="40"/>
      <c r="E7" s="41"/>
      <c r="F7" s="41"/>
      <c r="G7" s="43"/>
      <c r="H7" s="45"/>
      <c r="I7" s="14"/>
      <c r="J7" s="45"/>
      <c r="K7" s="47"/>
      <c r="M7" s="5"/>
      <c r="N7" s="5"/>
    </row>
    <row r="8">
      <c r="A8" s="24"/>
      <c r="B8" s="48" t="s">
        <v>22</v>
      </c>
      <c r="C8" s="49" t="s">
        <v>23</v>
      </c>
      <c r="D8" s="50">
        <v>12500.0</v>
      </c>
      <c r="E8" s="51">
        <v>12500.0</v>
      </c>
      <c r="F8" s="51">
        <v>12000.0</v>
      </c>
      <c r="G8" s="69">
        <v>12800.0</v>
      </c>
      <c r="H8" s="53">
        <v>12500.0</v>
      </c>
      <c r="I8" s="53">
        <v>13000.0</v>
      </c>
      <c r="J8" s="54">
        <v>12500.0</v>
      </c>
      <c r="K8" s="55">
        <f t="shared" ref="K8:K12" si="1">AVERAGE(D8:J8)</f>
        <v>12542.85714</v>
      </c>
      <c r="L8" s="56"/>
      <c r="M8" s="57"/>
      <c r="N8" s="5"/>
    </row>
    <row r="9">
      <c r="A9" s="24"/>
      <c r="B9" s="48" t="s">
        <v>24</v>
      </c>
      <c r="C9" s="49" t="s">
        <v>23</v>
      </c>
      <c r="D9" s="58">
        <v>11000.0</v>
      </c>
      <c r="E9" s="59">
        <v>12000.0</v>
      </c>
      <c r="F9" s="59">
        <v>11500.0</v>
      </c>
      <c r="G9" s="60">
        <v>12000.0</v>
      </c>
      <c r="H9" s="61">
        <v>10500.0</v>
      </c>
      <c r="I9" s="61">
        <v>11500.0</v>
      </c>
      <c r="J9" s="63">
        <v>11000.0</v>
      </c>
      <c r="K9" s="64">
        <f t="shared" si="1"/>
        <v>11357.14286</v>
      </c>
      <c r="M9" s="5"/>
      <c r="N9" s="5"/>
    </row>
    <row r="10">
      <c r="A10" s="24"/>
      <c r="B10" s="48" t="s">
        <v>25</v>
      </c>
      <c r="C10" s="49" t="s">
        <v>23</v>
      </c>
      <c r="D10" s="65">
        <v>12000.0</v>
      </c>
      <c r="E10" s="59">
        <v>11000.0</v>
      </c>
      <c r="F10" s="66">
        <v>10500.0</v>
      </c>
      <c r="G10" s="66">
        <v>9450.0</v>
      </c>
      <c r="H10" s="67">
        <v>9500.0</v>
      </c>
      <c r="I10" s="68">
        <v>10500.0</v>
      </c>
      <c r="J10" s="68" t="s">
        <v>26</v>
      </c>
      <c r="K10" s="64">
        <f t="shared" si="1"/>
        <v>10491.66667</v>
      </c>
      <c r="M10" s="5"/>
      <c r="N10" s="5"/>
    </row>
    <row r="11">
      <c r="A11" s="24"/>
      <c r="B11" s="48" t="s">
        <v>27</v>
      </c>
      <c r="C11" s="49" t="s">
        <v>23</v>
      </c>
      <c r="D11" s="65" t="s">
        <v>26</v>
      </c>
      <c r="E11" s="69" t="s">
        <v>26</v>
      </c>
      <c r="F11" s="70" t="s">
        <v>26</v>
      </c>
      <c r="G11" s="60">
        <v>11000.0</v>
      </c>
      <c r="H11" s="67" t="s">
        <v>26</v>
      </c>
      <c r="I11" s="68">
        <v>11000.0</v>
      </c>
      <c r="J11" s="63">
        <v>8000.0</v>
      </c>
      <c r="K11" s="64">
        <f t="shared" si="1"/>
        <v>10000</v>
      </c>
      <c r="M11" s="5"/>
      <c r="N11" s="5"/>
    </row>
    <row r="12">
      <c r="A12" s="71"/>
      <c r="B12" s="48" t="s">
        <v>28</v>
      </c>
      <c r="C12" s="49" t="s">
        <v>23</v>
      </c>
      <c r="D12" s="65" t="s">
        <v>26</v>
      </c>
      <c r="E12" s="69">
        <v>23000.0</v>
      </c>
      <c r="F12" s="70" t="s">
        <v>26</v>
      </c>
      <c r="G12" s="60">
        <v>18000.0</v>
      </c>
      <c r="H12" s="67" t="s">
        <v>26</v>
      </c>
      <c r="I12" s="68">
        <v>18000.0</v>
      </c>
      <c r="J12" s="63">
        <v>18000.0</v>
      </c>
      <c r="K12" s="64">
        <f t="shared" si="1"/>
        <v>19250</v>
      </c>
      <c r="M12" s="5"/>
      <c r="N12" s="5"/>
    </row>
    <row r="13">
      <c r="A13" s="72">
        <v>2.0</v>
      </c>
      <c r="B13" s="73" t="s">
        <v>29</v>
      </c>
      <c r="C13" s="74"/>
      <c r="D13" s="75"/>
      <c r="E13" s="76"/>
      <c r="F13" s="77"/>
      <c r="G13" s="78"/>
      <c r="H13" s="79"/>
      <c r="I13" s="79"/>
      <c r="J13" s="79"/>
      <c r="K13" s="80"/>
      <c r="M13" s="5"/>
      <c r="N13" s="81"/>
    </row>
    <row r="14">
      <c r="A14" s="24"/>
      <c r="B14" s="82" t="s">
        <v>30</v>
      </c>
      <c r="C14" s="49" t="s">
        <v>23</v>
      </c>
      <c r="D14" s="58">
        <v>13000.0</v>
      </c>
      <c r="E14" s="59">
        <v>13000.0</v>
      </c>
      <c r="F14" s="59">
        <v>13500.0</v>
      </c>
      <c r="G14" s="59">
        <v>13000.0</v>
      </c>
      <c r="H14" s="61">
        <v>13000.0</v>
      </c>
      <c r="I14" s="61">
        <v>13500.0</v>
      </c>
      <c r="J14" s="53">
        <v>13000.0</v>
      </c>
      <c r="K14" s="64">
        <f t="shared" ref="K14:K15" si="2">AVERAGE(D14:J14)</f>
        <v>13142.85714</v>
      </c>
      <c r="M14" s="5"/>
      <c r="N14" s="5"/>
    </row>
    <row r="15">
      <c r="A15" s="71"/>
      <c r="B15" s="48" t="s">
        <v>31</v>
      </c>
      <c r="C15" s="49" t="s">
        <v>23</v>
      </c>
      <c r="D15" s="65">
        <v>15000.0</v>
      </c>
      <c r="E15" s="69">
        <v>16000.0</v>
      </c>
      <c r="F15" s="66">
        <v>17000.0</v>
      </c>
      <c r="G15" s="60">
        <v>19000.0</v>
      </c>
      <c r="H15" s="61">
        <v>15000.0</v>
      </c>
      <c r="I15" s="61">
        <v>16000.0</v>
      </c>
      <c r="J15" s="53">
        <v>16000.0</v>
      </c>
      <c r="K15" s="64">
        <f t="shared" si="2"/>
        <v>16285.71429</v>
      </c>
      <c r="M15" s="5"/>
      <c r="N15" s="5"/>
    </row>
    <row r="16">
      <c r="A16" s="72"/>
      <c r="B16" s="73" t="s">
        <v>32</v>
      </c>
      <c r="C16" s="73"/>
      <c r="D16" s="87"/>
      <c r="E16" s="88"/>
      <c r="F16" s="89"/>
      <c r="G16" s="89"/>
      <c r="H16" s="90"/>
      <c r="I16" s="90"/>
      <c r="J16" s="92"/>
      <c r="K16" s="80"/>
      <c r="M16" s="5"/>
      <c r="N16" s="5"/>
    </row>
    <row r="17">
      <c r="A17" s="71"/>
      <c r="B17" s="48" t="s">
        <v>33</v>
      </c>
      <c r="C17" s="49" t="s">
        <v>23</v>
      </c>
      <c r="D17" s="58">
        <v>16000.0</v>
      </c>
      <c r="E17" s="69">
        <v>16000.0</v>
      </c>
      <c r="F17" s="59">
        <v>17000.0</v>
      </c>
      <c r="G17" s="59">
        <v>16000.0</v>
      </c>
      <c r="H17" s="61">
        <v>16000.0</v>
      </c>
      <c r="I17" s="61">
        <v>17000.0</v>
      </c>
      <c r="J17" s="53">
        <v>16000.0</v>
      </c>
      <c r="K17" s="64">
        <f>AVERAGE(D17:J17)</f>
        <v>16285.71429</v>
      </c>
      <c r="M17" s="5"/>
      <c r="N17" s="5"/>
    </row>
    <row r="18">
      <c r="A18" s="72">
        <v>4.0</v>
      </c>
      <c r="B18" s="73" t="s">
        <v>34</v>
      </c>
      <c r="C18" s="73"/>
      <c r="D18" s="87"/>
      <c r="E18" s="88"/>
      <c r="F18" s="89"/>
      <c r="G18" s="96"/>
      <c r="H18" s="90"/>
      <c r="I18" s="90"/>
      <c r="J18" s="92"/>
      <c r="K18" s="80"/>
      <c r="M18" s="5"/>
      <c r="N18" s="5"/>
    </row>
    <row r="19" ht="17.25" customHeight="1">
      <c r="A19" s="71"/>
      <c r="B19" s="48" t="s">
        <v>35</v>
      </c>
      <c r="C19" s="49" t="s">
        <v>23</v>
      </c>
      <c r="D19" s="65" t="s">
        <v>26</v>
      </c>
      <c r="E19" s="69" t="s">
        <v>26</v>
      </c>
      <c r="F19" s="70" t="s">
        <v>26</v>
      </c>
      <c r="G19" s="60">
        <v>14000.0</v>
      </c>
      <c r="H19" s="97" t="s">
        <v>26</v>
      </c>
      <c r="I19" s="68">
        <v>24000.0</v>
      </c>
      <c r="J19" s="98" t="s">
        <v>26</v>
      </c>
      <c r="K19" s="64">
        <f>AVERAGE(D19:J19)</f>
        <v>19000</v>
      </c>
      <c r="M19" s="5"/>
      <c r="N19" s="5"/>
    </row>
    <row r="20">
      <c r="A20" s="72">
        <v>5.0</v>
      </c>
      <c r="B20" s="73" t="s">
        <v>36</v>
      </c>
      <c r="C20" s="73"/>
      <c r="D20" s="87"/>
      <c r="E20" s="77"/>
      <c r="F20" s="89"/>
      <c r="G20" s="96"/>
      <c r="H20" s="90"/>
      <c r="I20" s="99"/>
      <c r="J20" s="100"/>
      <c r="K20" s="80"/>
      <c r="M20" s="5"/>
      <c r="N20" s="5"/>
    </row>
    <row r="21" ht="15.75" customHeight="1">
      <c r="A21" s="24"/>
      <c r="B21" s="48" t="s">
        <v>37</v>
      </c>
      <c r="C21" s="49" t="s">
        <v>23</v>
      </c>
      <c r="D21" s="65">
        <v>120000.0</v>
      </c>
      <c r="E21" s="59">
        <v>120000.0</v>
      </c>
      <c r="F21" s="59">
        <v>120000.0</v>
      </c>
      <c r="G21" s="59">
        <v>120000.0</v>
      </c>
      <c r="H21" s="61">
        <v>117000.0</v>
      </c>
      <c r="I21" s="68">
        <v>120000.0</v>
      </c>
      <c r="J21" s="101">
        <v>110000.0</v>
      </c>
      <c r="K21" s="64">
        <f t="shared" ref="K21:K24" si="3">AVERAGE(D21:J21)</f>
        <v>118142.8571</v>
      </c>
      <c r="M21" s="5"/>
      <c r="N21" s="5"/>
    </row>
    <row r="22" ht="15.75" customHeight="1">
      <c r="A22" s="24"/>
      <c r="B22" s="48" t="s">
        <v>38</v>
      </c>
      <c r="C22" s="49" t="s">
        <v>23</v>
      </c>
      <c r="D22" s="65">
        <v>110000.0</v>
      </c>
      <c r="E22" s="59">
        <v>110000.0</v>
      </c>
      <c r="F22" s="59">
        <v>110000.0</v>
      </c>
      <c r="G22" s="59">
        <v>110000.0</v>
      </c>
      <c r="H22" s="61">
        <v>114000.0</v>
      </c>
      <c r="I22" s="67">
        <v>110000.0</v>
      </c>
      <c r="J22" s="53">
        <v>100000.0</v>
      </c>
      <c r="K22" s="64">
        <f t="shared" si="3"/>
        <v>109142.8571</v>
      </c>
      <c r="M22" s="5"/>
      <c r="N22" s="5"/>
    </row>
    <row r="23" ht="15.75" customHeight="1">
      <c r="A23" s="24"/>
      <c r="B23" s="48" t="s">
        <v>39</v>
      </c>
      <c r="C23" s="49" t="s">
        <v>23</v>
      </c>
      <c r="D23" s="65">
        <v>100000.0</v>
      </c>
      <c r="E23" s="59">
        <v>95000.0</v>
      </c>
      <c r="F23" s="59">
        <v>100000.0</v>
      </c>
      <c r="G23" s="59">
        <v>100000.0</v>
      </c>
      <c r="H23" s="61">
        <v>100000.0</v>
      </c>
      <c r="I23" s="68">
        <v>100000.0</v>
      </c>
      <c r="J23" s="101" t="s">
        <v>26</v>
      </c>
      <c r="K23" s="64">
        <f t="shared" si="3"/>
        <v>99166.66667</v>
      </c>
      <c r="M23" s="5"/>
      <c r="N23" s="5"/>
    </row>
    <row r="24" ht="15.75" customHeight="1">
      <c r="A24" s="71"/>
      <c r="B24" s="48" t="s">
        <v>40</v>
      </c>
      <c r="C24" s="49" t="s">
        <v>23</v>
      </c>
      <c r="D24" s="58">
        <v>30000.0</v>
      </c>
      <c r="E24" s="59">
        <v>28000.0</v>
      </c>
      <c r="F24" s="59">
        <v>30000.0</v>
      </c>
      <c r="G24" s="59">
        <v>30000.0</v>
      </c>
      <c r="H24" s="53">
        <v>30000.0</v>
      </c>
      <c r="I24" s="61">
        <v>29000.0</v>
      </c>
      <c r="J24" s="53">
        <v>30000.0</v>
      </c>
      <c r="K24" s="64">
        <f t="shared" si="3"/>
        <v>29571.42857</v>
      </c>
      <c r="M24" s="5"/>
      <c r="N24" s="5"/>
    </row>
    <row r="25" ht="15.75" customHeight="1">
      <c r="A25" s="72">
        <v>6.0</v>
      </c>
      <c r="B25" s="73" t="s">
        <v>41</v>
      </c>
      <c r="C25" s="73"/>
      <c r="D25" s="87"/>
      <c r="E25" s="77"/>
      <c r="F25" s="96"/>
      <c r="G25" s="89"/>
      <c r="H25" s="92"/>
      <c r="I25" s="90"/>
      <c r="J25" s="92"/>
      <c r="K25" s="80"/>
      <c r="M25" s="5"/>
      <c r="N25" s="5"/>
    </row>
    <row r="26" ht="15.75" customHeight="1">
      <c r="A26" s="24"/>
      <c r="B26" s="48" t="s">
        <v>42</v>
      </c>
      <c r="C26" s="49" t="s">
        <v>23</v>
      </c>
      <c r="D26" s="65">
        <v>40000.0</v>
      </c>
      <c r="E26" s="59">
        <v>44000.0</v>
      </c>
      <c r="F26" s="69">
        <v>35000.0</v>
      </c>
      <c r="G26" s="59">
        <v>40000.0</v>
      </c>
      <c r="H26" s="61">
        <v>30000.0</v>
      </c>
      <c r="I26" s="67">
        <v>37000.0</v>
      </c>
      <c r="J26" s="53">
        <v>35000.0</v>
      </c>
      <c r="K26" s="64">
        <f t="shared" ref="K26:K31" si="4">AVERAGE(D26:J26)</f>
        <v>37285.71429</v>
      </c>
      <c r="M26" s="5"/>
      <c r="N26" s="5"/>
    </row>
    <row r="27" ht="15.75" customHeight="1">
      <c r="A27" s="24"/>
      <c r="B27" s="48" t="s">
        <v>43</v>
      </c>
      <c r="C27" s="49" t="s">
        <v>23</v>
      </c>
      <c r="D27" s="65" t="s">
        <v>26</v>
      </c>
      <c r="E27" s="69">
        <v>30000.0</v>
      </c>
      <c r="F27" s="59">
        <v>30000.0</v>
      </c>
      <c r="G27" s="60">
        <v>30000.0</v>
      </c>
      <c r="H27" s="67">
        <v>23000.0</v>
      </c>
      <c r="I27" s="67">
        <v>30000.0</v>
      </c>
      <c r="J27" s="102">
        <v>28000.0</v>
      </c>
      <c r="K27" s="64">
        <f t="shared" si="4"/>
        <v>28500</v>
      </c>
      <c r="L27" s="103" t="s">
        <v>44</v>
      </c>
      <c r="M27" s="5"/>
      <c r="N27" s="5"/>
    </row>
    <row r="28" ht="15.75" customHeight="1">
      <c r="A28" s="24"/>
      <c r="B28" s="48" t="s">
        <v>45</v>
      </c>
      <c r="C28" s="49" t="s">
        <v>23</v>
      </c>
      <c r="D28" s="65" t="s">
        <v>26</v>
      </c>
      <c r="E28" s="69">
        <v>60000.0</v>
      </c>
      <c r="F28" s="60">
        <v>60000.0</v>
      </c>
      <c r="G28" s="60">
        <v>85000.0</v>
      </c>
      <c r="H28" s="61">
        <v>58000.0</v>
      </c>
      <c r="I28" s="67">
        <v>64000.0</v>
      </c>
      <c r="J28" s="102">
        <v>55000.0</v>
      </c>
      <c r="K28" s="64">
        <f t="shared" si="4"/>
        <v>63666.66667</v>
      </c>
      <c r="M28" s="5"/>
      <c r="N28" s="5"/>
    </row>
    <row r="29" ht="15.75" customHeight="1">
      <c r="A29" s="24"/>
      <c r="B29" s="48" t="s">
        <v>46</v>
      </c>
      <c r="C29" s="49" t="s">
        <v>23</v>
      </c>
      <c r="D29" s="65" t="s">
        <v>26</v>
      </c>
      <c r="E29" s="69" t="s">
        <v>26</v>
      </c>
      <c r="F29" s="70" t="s">
        <v>26</v>
      </c>
      <c r="G29" s="60">
        <v>25000.0</v>
      </c>
      <c r="H29" s="61">
        <v>23000.0</v>
      </c>
      <c r="I29" s="67">
        <v>24000.0</v>
      </c>
      <c r="J29" s="102">
        <v>26000.0</v>
      </c>
      <c r="K29" s="64">
        <f t="shared" si="4"/>
        <v>24500</v>
      </c>
      <c r="M29" s="5"/>
      <c r="N29" s="5"/>
    </row>
    <row r="30" ht="15.75" customHeight="1">
      <c r="A30" s="24"/>
      <c r="B30" s="48" t="s">
        <v>47</v>
      </c>
      <c r="C30" s="49" t="s">
        <v>23</v>
      </c>
      <c r="D30" s="65">
        <v>40000.0</v>
      </c>
      <c r="E30" s="59">
        <v>36000.0</v>
      </c>
      <c r="F30" s="59">
        <v>38000.0</v>
      </c>
      <c r="G30" s="59">
        <v>40000.0</v>
      </c>
      <c r="H30" s="61">
        <v>28000.0</v>
      </c>
      <c r="I30" s="67">
        <v>38000.0</v>
      </c>
      <c r="J30" s="53">
        <v>40000.0</v>
      </c>
      <c r="K30" s="64">
        <f t="shared" si="4"/>
        <v>37142.85714</v>
      </c>
      <c r="M30" s="5"/>
      <c r="N30" s="5"/>
    </row>
    <row r="31" ht="15.75" customHeight="1">
      <c r="A31" s="71"/>
      <c r="B31" s="48" t="s">
        <v>48</v>
      </c>
      <c r="C31" s="49" t="s">
        <v>23</v>
      </c>
      <c r="D31" s="65">
        <v>80000.0</v>
      </c>
      <c r="E31" s="59">
        <v>100000.0</v>
      </c>
      <c r="F31" s="59">
        <v>100000.0</v>
      </c>
      <c r="G31" s="59">
        <v>60000.0</v>
      </c>
      <c r="H31" s="61">
        <v>80000.0</v>
      </c>
      <c r="I31" s="67" t="s">
        <v>26</v>
      </c>
      <c r="J31" s="102" t="s">
        <v>26</v>
      </c>
      <c r="K31" s="64">
        <f t="shared" si="4"/>
        <v>84000</v>
      </c>
      <c r="M31" s="5"/>
      <c r="N31" s="5"/>
    </row>
    <row r="32" ht="15.75" customHeight="1">
      <c r="A32" s="72">
        <v>7.0</v>
      </c>
      <c r="B32" s="73" t="s">
        <v>49</v>
      </c>
      <c r="C32" s="73"/>
      <c r="D32" s="87"/>
      <c r="E32" s="77"/>
      <c r="F32" s="96"/>
      <c r="G32" s="96"/>
      <c r="H32" s="90"/>
      <c r="I32" s="90"/>
      <c r="J32" s="92" t="s">
        <v>50</v>
      </c>
      <c r="K32" s="80"/>
      <c r="M32" s="5"/>
      <c r="N32" s="5"/>
    </row>
    <row r="33" ht="15.75" customHeight="1">
      <c r="A33" s="24"/>
      <c r="B33" s="48" t="s">
        <v>51</v>
      </c>
      <c r="C33" s="49" t="s">
        <v>23</v>
      </c>
      <c r="D33" s="58">
        <v>27000.0</v>
      </c>
      <c r="E33" s="59">
        <v>26000.0</v>
      </c>
      <c r="F33" s="59">
        <v>27000.0</v>
      </c>
      <c r="G33" s="59">
        <v>27000.0</v>
      </c>
      <c r="H33" s="61">
        <v>26000.0</v>
      </c>
      <c r="I33" s="61">
        <v>27000.0</v>
      </c>
      <c r="J33" s="53">
        <v>26500.0</v>
      </c>
      <c r="K33" s="64">
        <f t="shared" ref="K33:K34" si="5">AVERAGE(D33:J33)</f>
        <v>26642.85714</v>
      </c>
      <c r="M33" s="5"/>
      <c r="N33" s="5"/>
    </row>
    <row r="34" ht="15.75" customHeight="1">
      <c r="A34" s="71"/>
      <c r="B34" s="48" t="s">
        <v>52</v>
      </c>
      <c r="C34" s="49" t="s">
        <v>53</v>
      </c>
      <c r="D34" s="58">
        <v>2500.0</v>
      </c>
      <c r="E34" s="59">
        <v>2000.0</v>
      </c>
      <c r="F34" s="104">
        <v>2200.0</v>
      </c>
      <c r="G34" s="59">
        <v>2400.0</v>
      </c>
      <c r="H34" s="61">
        <v>2000.0</v>
      </c>
      <c r="I34" s="61">
        <v>2500.0</v>
      </c>
      <c r="J34" s="53">
        <v>3000.0</v>
      </c>
      <c r="K34" s="64">
        <f t="shared" si="5"/>
        <v>2371.428571</v>
      </c>
      <c r="M34" s="5"/>
      <c r="N34" s="5"/>
    </row>
    <row r="35" ht="15.75" customHeight="1">
      <c r="A35" s="72">
        <v>8.0</v>
      </c>
      <c r="B35" s="73" t="s">
        <v>54</v>
      </c>
      <c r="C35" s="73"/>
      <c r="D35" s="87"/>
      <c r="E35" s="77"/>
      <c r="F35" s="96"/>
      <c r="G35" s="89"/>
      <c r="H35" s="90"/>
      <c r="I35" s="90"/>
      <c r="J35" s="105"/>
      <c r="K35" s="80"/>
      <c r="M35" s="5"/>
      <c r="N35" s="5"/>
    </row>
    <row r="36" ht="15.75" customHeight="1">
      <c r="A36" s="24"/>
      <c r="B36" s="48" t="s">
        <v>55</v>
      </c>
      <c r="C36" s="49" t="s">
        <v>56</v>
      </c>
      <c r="D36" s="58">
        <v>12500.0</v>
      </c>
      <c r="E36" s="69">
        <v>12000.0</v>
      </c>
      <c r="F36" s="59">
        <v>10000.0</v>
      </c>
      <c r="G36" s="59">
        <v>12500.0</v>
      </c>
      <c r="H36" s="97" t="s">
        <v>26</v>
      </c>
      <c r="I36" s="68">
        <v>12000.0</v>
      </c>
      <c r="J36" s="101">
        <v>10000.0</v>
      </c>
      <c r="K36" s="64">
        <f t="shared" ref="K36:K37" si="6">AVERAGE(D36:J36)</f>
        <v>11500</v>
      </c>
      <c r="M36" s="5"/>
      <c r="N36" s="5"/>
    </row>
    <row r="37" ht="15.75" customHeight="1">
      <c r="A37" s="71"/>
      <c r="B37" s="48" t="s">
        <v>57</v>
      </c>
      <c r="C37" s="49" t="s">
        <v>58</v>
      </c>
      <c r="D37" s="65" t="s">
        <v>26</v>
      </c>
      <c r="E37" s="69">
        <v>37900.0</v>
      </c>
      <c r="F37" s="70" t="s">
        <v>26</v>
      </c>
      <c r="G37" s="59">
        <v>42500.0</v>
      </c>
      <c r="H37" s="97" t="s">
        <v>26</v>
      </c>
      <c r="I37" s="68" t="s">
        <v>26</v>
      </c>
      <c r="J37" s="98" t="s">
        <v>26</v>
      </c>
      <c r="K37" s="64">
        <f t="shared" si="6"/>
        <v>40200</v>
      </c>
      <c r="M37" s="5"/>
      <c r="N37" s="5"/>
    </row>
    <row r="38" ht="15.75" customHeight="1">
      <c r="A38" s="72">
        <v>9.0</v>
      </c>
      <c r="B38" s="73" t="s">
        <v>59</v>
      </c>
      <c r="C38" s="73"/>
      <c r="D38" s="87"/>
      <c r="E38" s="106"/>
      <c r="F38" s="89"/>
      <c r="G38" s="96"/>
      <c r="H38" s="90"/>
      <c r="I38" s="90"/>
      <c r="J38" s="92"/>
      <c r="K38" s="80"/>
      <c r="M38" s="5"/>
      <c r="N38" s="5"/>
    </row>
    <row r="39" ht="15.75" customHeight="1">
      <c r="A39" s="24"/>
      <c r="B39" s="48" t="s">
        <v>60</v>
      </c>
      <c r="C39" s="49" t="s">
        <v>61</v>
      </c>
      <c r="D39" s="65">
        <v>22000.0</v>
      </c>
      <c r="E39" s="69" t="s">
        <v>26</v>
      </c>
      <c r="F39" s="70" t="s">
        <v>26</v>
      </c>
      <c r="G39" s="60">
        <v>20500.0</v>
      </c>
      <c r="H39" s="61">
        <v>17500.0</v>
      </c>
      <c r="I39" s="68">
        <v>21000.0</v>
      </c>
      <c r="J39" s="102">
        <v>17500.0</v>
      </c>
      <c r="K39" s="64">
        <f t="shared" ref="K39:K40" si="7">AVERAGE(D39:J39)</f>
        <v>19700</v>
      </c>
      <c r="M39" s="5"/>
      <c r="N39" s="5"/>
    </row>
    <row r="40" ht="15.75" customHeight="1">
      <c r="A40" s="24"/>
      <c r="B40" s="48" t="s">
        <v>62</v>
      </c>
      <c r="C40" s="49" t="s">
        <v>63</v>
      </c>
      <c r="D40" s="65">
        <v>2000.0</v>
      </c>
      <c r="E40" s="69" t="s">
        <v>26</v>
      </c>
      <c r="F40" s="70" t="s">
        <v>26</v>
      </c>
      <c r="G40" s="60">
        <v>2000.0</v>
      </c>
      <c r="H40" s="61">
        <v>2000.0</v>
      </c>
      <c r="I40" s="68">
        <v>2000.0</v>
      </c>
      <c r="J40" s="102">
        <v>2000.0</v>
      </c>
      <c r="K40" s="64">
        <f t="shared" si="7"/>
        <v>2000</v>
      </c>
      <c r="M40" s="5"/>
      <c r="N40" s="5"/>
    </row>
    <row r="41" ht="15.75" customHeight="1">
      <c r="A41" s="107">
        <v>10.0</v>
      </c>
      <c r="B41" s="108" t="s">
        <v>64</v>
      </c>
      <c r="C41" s="109"/>
      <c r="D41" s="110"/>
      <c r="E41" s="76"/>
      <c r="F41" s="76"/>
      <c r="G41" s="111"/>
      <c r="H41" s="112"/>
      <c r="I41" s="112"/>
      <c r="J41" s="113"/>
      <c r="K41" s="80"/>
      <c r="M41" s="5"/>
      <c r="N41" s="5"/>
    </row>
    <row r="42" ht="15.75" customHeight="1">
      <c r="A42" s="107"/>
      <c r="B42" s="48" t="s">
        <v>65</v>
      </c>
      <c r="C42" s="114" t="s">
        <v>23</v>
      </c>
      <c r="D42" s="58">
        <v>11000.0</v>
      </c>
      <c r="E42" s="59">
        <v>8000.0</v>
      </c>
      <c r="F42" s="59">
        <v>8000.0</v>
      </c>
      <c r="G42" s="59">
        <v>11000.0</v>
      </c>
      <c r="H42" s="61">
        <v>9000.0</v>
      </c>
      <c r="I42" s="68">
        <v>10000.0</v>
      </c>
      <c r="J42" s="53">
        <v>8000.0</v>
      </c>
      <c r="K42" s="64">
        <f t="shared" ref="K42:K43" si="8">AVERAGE(D42:J42)</f>
        <v>9285.714286</v>
      </c>
      <c r="M42" s="5"/>
      <c r="N42" s="5"/>
    </row>
    <row r="43" ht="15.75" customHeight="1">
      <c r="A43" s="115"/>
      <c r="B43" s="48" t="s">
        <v>66</v>
      </c>
      <c r="C43" s="114" t="s">
        <v>23</v>
      </c>
      <c r="D43" s="58">
        <v>9000.0</v>
      </c>
      <c r="E43" s="59">
        <v>10000.0</v>
      </c>
      <c r="F43" s="70" t="s">
        <v>26</v>
      </c>
      <c r="G43" s="59">
        <v>12000.0</v>
      </c>
      <c r="H43" s="61">
        <v>6000.0</v>
      </c>
      <c r="I43" s="67" t="s">
        <v>26</v>
      </c>
      <c r="J43" s="53">
        <v>6000.0</v>
      </c>
      <c r="K43" s="64">
        <f t="shared" si="8"/>
        <v>8600</v>
      </c>
      <c r="M43" s="5"/>
      <c r="N43" s="5"/>
    </row>
    <row r="44" ht="15.75" customHeight="1">
      <c r="A44" s="72">
        <v>11.0</v>
      </c>
      <c r="B44" s="73" t="s">
        <v>67</v>
      </c>
      <c r="C44" s="73"/>
      <c r="D44" s="87"/>
      <c r="E44" s="77"/>
      <c r="F44" s="96"/>
      <c r="G44" s="96"/>
      <c r="H44" s="90"/>
      <c r="I44" s="90"/>
      <c r="J44" s="105"/>
      <c r="K44" s="80"/>
      <c r="M44" s="5"/>
      <c r="N44" s="5"/>
    </row>
    <row r="45" ht="15.75" customHeight="1">
      <c r="A45" s="71"/>
      <c r="B45" s="48" t="s">
        <v>68</v>
      </c>
      <c r="C45" s="49" t="s">
        <v>69</v>
      </c>
      <c r="D45" s="58">
        <v>3000.0</v>
      </c>
      <c r="E45" s="59">
        <v>8000.0</v>
      </c>
      <c r="F45" s="59">
        <v>2500.0</v>
      </c>
      <c r="G45" s="59">
        <v>4000.0</v>
      </c>
      <c r="H45" s="61">
        <v>2500.0</v>
      </c>
      <c r="I45" s="68">
        <v>4000.0</v>
      </c>
      <c r="J45" s="101" t="s">
        <v>26</v>
      </c>
      <c r="K45" s="64">
        <f>AVERAGE(D45:J45)</f>
        <v>4000</v>
      </c>
      <c r="M45" s="5"/>
      <c r="N45" s="5"/>
    </row>
    <row r="46" ht="15.75" customHeight="1">
      <c r="A46" s="72">
        <v>12.0</v>
      </c>
      <c r="B46" s="73" t="s">
        <v>70</v>
      </c>
      <c r="C46" s="109"/>
      <c r="D46" s="116"/>
      <c r="E46" s="106"/>
      <c r="F46" s="117"/>
      <c r="G46" s="118"/>
      <c r="H46" s="120"/>
      <c r="I46" s="120"/>
      <c r="J46" s="122"/>
      <c r="K46" s="80"/>
      <c r="M46" s="5"/>
      <c r="N46" s="5"/>
    </row>
    <row r="47" ht="15.75" customHeight="1">
      <c r="A47" s="71"/>
      <c r="B47" s="124" t="s">
        <v>71</v>
      </c>
      <c r="C47" s="114" t="s">
        <v>23</v>
      </c>
      <c r="D47" s="58">
        <v>10000.0</v>
      </c>
      <c r="E47" s="59">
        <v>10500.0</v>
      </c>
      <c r="F47" s="59">
        <v>12500.0</v>
      </c>
      <c r="G47" s="59">
        <v>12000.0</v>
      </c>
      <c r="H47" s="61">
        <v>11500.0</v>
      </c>
      <c r="I47" s="61">
        <v>11000.0</v>
      </c>
      <c r="J47" s="53">
        <v>7000.0</v>
      </c>
      <c r="K47" s="64">
        <f>AVERAGE(D47:J47)</f>
        <v>10642.85714</v>
      </c>
      <c r="M47" s="5"/>
      <c r="N47" s="5"/>
    </row>
    <row r="48" ht="15.75" customHeight="1">
      <c r="A48" s="72">
        <v>13.0</v>
      </c>
      <c r="B48" s="73" t="s">
        <v>72</v>
      </c>
      <c r="C48" s="73"/>
      <c r="D48" s="87"/>
      <c r="E48" s="77"/>
      <c r="F48" s="96"/>
      <c r="G48" s="89"/>
      <c r="H48" s="90"/>
      <c r="I48" s="90"/>
      <c r="J48" s="105"/>
      <c r="K48" s="80"/>
      <c r="M48" s="5"/>
      <c r="N48" s="5"/>
    </row>
    <row r="49" ht="15.75" customHeight="1">
      <c r="A49" s="24"/>
      <c r="B49" s="48" t="s">
        <v>73</v>
      </c>
      <c r="C49" s="49" t="s">
        <v>23</v>
      </c>
      <c r="D49" s="58">
        <v>15000.0</v>
      </c>
      <c r="E49" s="59">
        <v>16000.0</v>
      </c>
      <c r="F49" s="59">
        <v>16000.0</v>
      </c>
      <c r="G49" s="59">
        <v>18000.0</v>
      </c>
      <c r="H49" s="61">
        <v>11500.0</v>
      </c>
      <c r="I49" s="67">
        <v>17000.0</v>
      </c>
      <c r="J49" s="101" t="s">
        <v>26</v>
      </c>
      <c r="K49" s="64">
        <f t="shared" ref="K49:K52" si="9">AVERAGE(D49:J49)</f>
        <v>15583.33333</v>
      </c>
      <c r="M49" s="5"/>
      <c r="N49" s="5"/>
    </row>
    <row r="50" ht="15.75" customHeight="1">
      <c r="A50" s="24"/>
      <c r="B50" s="48" t="s">
        <v>74</v>
      </c>
      <c r="C50" s="49" t="s">
        <v>23</v>
      </c>
      <c r="D50" s="65">
        <v>12000.0</v>
      </c>
      <c r="E50" s="59">
        <v>14000.0</v>
      </c>
      <c r="F50" s="70" t="s">
        <v>26</v>
      </c>
      <c r="G50" s="125" t="s">
        <v>26</v>
      </c>
      <c r="H50" s="126" t="s">
        <v>26</v>
      </c>
      <c r="I50" s="68" t="s">
        <v>26</v>
      </c>
      <c r="J50" s="101">
        <v>13500.0</v>
      </c>
      <c r="K50" s="64">
        <f t="shared" si="9"/>
        <v>13166.66667</v>
      </c>
      <c r="M50" s="5" t="s">
        <v>75</v>
      </c>
      <c r="N50" s="5"/>
    </row>
    <row r="51" ht="15.75" customHeight="1">
      <c r="A51" s="24"/>
      <c r="B51" s="48" t="s">
        <v>76</v>
      </c>
      <c r="C51" s="49" t="s">
        <v>23</v>
      </c>
      <c r="D51" s="58">
        <v>24000.0</v>
      </c>
      <c r="E51" s="59">
        <v>23000.0</v>
      </c>
      <c r="F51" s="59">
        <v>25000.0</v>
      </c>
      <c r="G51" s="59">
        <v>26000.0</v>
      </c>
      <c r="H51" s="61">
        <v>23000.0</v>
      </c>
      <c r="I51" s="61">
        <v>26000.0</v>
      </c>
      <c r="J51" s="101">
        <v>25000.0</v>
      </c>
      <c r="K51" s="64">
        <f t="shared" si="9"/>
        <v>24571.42857</v>
      </c>
      <c r="M51" s="5"/>
      <c r="N51" s="127"/>
    </row>
    <row r="52" ht="15.75" customHeight="1">
      <c r="A52" s="71"/>
      <c r="B52" s="48" t="s">
        <v>77</v>
      </c>
      <c r="C52" s="49" t="s">
        <v>23</v>
      </c>
      <c r="D52" s="58">
        <v>28000.0</v>
      </c>
      <c r="E52" s="59">
        <v>30000.0</v>
      </c>
      <c r="F52" s="59">
        <v>28000.0</v>
      </c>
      <c r="G52" s="59">
        <v>30000.0</v>
      </c>
      <c r="H52" s="61">
        <v>26000.0</v>
      </c>
      <c r="I52" s="61">
        <v>30000.0</v>
      </c>
      <c r="J52" s="101">
        <v>28000.0</v>
      </c>
      <c r="K52" s="64">
        <f t="shared" si="9"/>
        <v>28571.42857</v>
      </c>
      <c r="M52" s="5"/>
      <c r="N52" s="5"/>
    </row>
    <row r="53" ht="15.75" customHeight="1">
      <c r="A53" s="128">
        <v>14.0</v>
      </c>
      <c r="B53" s="73" t="s">
        <v>78</v>
      </c>
      <c r="C53" s="109"/>
      <c r="D53" s="129"/>
      <c r="E53" s="76"/>
      <c r="F53" s="111"/>
      <c r="G53" s="76"/>
      <c r="H53" s="112"/>
      <c r="I53" s="112"/>
      <c r="J53" s="130"/>
      <c r="K53" s="80"/>
      <c r="M53" s="5"/>
      <c r="N53" s="5"/>
    </row>
    <row r="54" ht="15.75" customHeight="1">
      <c r="A54" s="131"/>
      <c r="B54" s="48" t="s">
        <v>79</v>
      </c>
      <c r="C54" s="114" t="s">
        <v>80</v>
      </c>
      <c r="D54" s="58">
        <v>3000.0</v>
      </c>
      <c r="E54" s="59">
        <v>3200.0</v>
      </c>
      <c r="F54" s="59">
        <v>3000.0</v>
      </c>
      <c r="G54" s="59">
        <v>3200.0</v>
      </c>
      <c r="H54" s="97" t="s">
        <v>26</v>
      </c>
      <c r="I54" s="68">
        <v>3500.0</v>
      </c>
      <c r="J54" s="53">
        <v>2500.0</v>
      </c>
      <c r="K54" s="64">
        <f>AVERAGE(D54:J54)</f>
        <v>3066.666667</v>
      </c>
      <c r="M54" s="5"/>
      <c r="N54" s="5"/>
    </row>
    <row r="55" ht="15.75" customHeight="1">
      <c r="A55" s="72">
        <v>15.0</v>
      </c>
      <c r="B55" s="73" t="s">
        <v>81</v>
      </c>
      <c r="C55" s="73"/>
      <c r="D55" s="87"/>
      <c r="E55" s="77"/>
      <c r="F55" s="96"/>
      <c r="G55" s="96"/>
      <c r="H55" s="90"/>
      <c r="I55" s="90"/>
      <c r="J55" s="105"/>
      <c r="K55" s="80"/>
      <c r="M55" s="5"/>
      <c r="N55" s="5"/>
    </row>
    <row r="56" ht="15.75" customHeight="1">
      <c r="A56" s="24"/>
      <c r="B56" s="48" t="s">
        <v>82</v>
      </c>
      <c r="C56" s="49" t="s">
        <v>23</v>
      </c>
      <c r="D56" s="58">
        <v>30000.0</v>
      </c>
      <c r="E56" s="59">
        <v>30000.0</v>
      </c>
      <c r="F56" s="59">
        <v>25000.0</v>
      </c>
      <c r="G56" s="59">
        <v>35000.0</v>
      </c>
      <c r="H56" s="61">
        <v>20000.0</v>
      </c>
      <c r="I56" s="61">
        <v>40000.0</v>
      </c>
      <c r="J56" s="53">
        <v>25000.0</v>
      </c>
      <c r="K56" s="64">
        <f t="shared" ref="K56:K58" si="10">AVERAGE(D56:J56)</f>
        <v>29285.71429</v>
      </c>
      <c r="M56" s="5"/>
      <c r="N56" s="5"/>
    </row>
    <row r="57" ht="15.75" customHeight="1">
      <c r="A57" s="24"/>
      <c r="B57" s="48" t="s">
        <v>83</v>
      </c>
      <c r="C57" s="49" t="s">
        <v>23</v>
      </c>
      <c r="D57" s="65">
        <v>35000.0</v>
      </c>
      <c r="E57" s="59">
        <v>35000.0</v>
      </c>
      <c r="F57" s="59">
        <v>40000.0</v>
      </c>
      <c r="G57" s="59">
        <v>40000.0</v>
      </c>
      <c r="H57" s="126" t="s">
        <v>26</v>
      </c>
      <c r="I57" s="68" t="s">
        <v>26</v>
      </c>
      <c r="J57" s="101" t="s">
        <v>26</v>
      </c>
      <c r="K57" s="64">
        <f t="shared" si="10"/>
        <v>37500</v>
      </c>
      <c r="M57" s="5"/>
      <c r="N57" s="5"/>
    </row>
    <row r="58" ht="15.75" customHeight="1">
      <c r="A58" s="71"/>
      <c r="B58" s="48" t="s">
        <v>84</v>
      </c>
      <c r="C58" s="49" t="s">
        <v>23</v>
      </c>
      <c r="D58" s="58">
        <v>45000.0</v>
      </c>
      <c r="E58" s="59">
        <v>55000.0</v>
      </c>
      <c r="F58" s="59">
        <v>50000.0</v>
      </c>
      <c r="G58" s="59">
        <v>55000.0</v>
      </c>
      <c r="H58" s="61">
        <v>45000.0</v>
      </c>
      <c r="I58" s="61">
        <v>50000.0</v>
      </c>
      <c r="J58" s="53">
        <v>55000.0</v>
      </c>
      <c r="K58" s="64">
        <f t="shared" si="10"/>
        <v>50714.28571</v>
      </c>
      <c r="M58" s="5"/>
      <c r="N58" s="5"/>
    </row>
    <row r="59" ht="15.75" customHeight="1">
      <c r="A59" s="128">
        <v>16.0</v>
      </c>
      <c r="B59" s="73" t="s">
        <v>85</v>
      </c>
      <c r="C59" s="109"/>
      <c r="D59" s="132"/>
      <c r="E59" s="76"/>
      <c r="F59" s="111"/>
      <c r="G59" s="76"/>
      <c r="H59" s="112"/>
      <c r="I59" s="112"/>
      <c r="J59" s="113"/>
      <c r="K59" s="80"/>
      <c r="M59" s="5"/>
      <c r="N59" s="5"/>
    </row>
    <row r="60" ht="15.75" customHeight="1">
      <c r="A60" s="131"/>
      <c r="B60" s="48" t="s">
        <v>86</v>
      </c>
      <c r="C60" s="49" t="s">
        <v>87</v>
      </c>
      <c r="D60" s="58">
        <v>19000.0</v>
      </c>
      <c r="E60" s="59">
        <v>18000.0</v>
      </c>
      <c r="F60" s="59">
        <v>18000.0</v>
      </c>
      <c r="G60" s="69">
        <v>18000.0</v>
      </c>
      <c r="H60" s="97" t="s">
        <v>26</v>
      </c>
      <c r="I60" s="67">
        <v>18000.0</v>
      </c>
      <c r="J60" s="102">
        <v>18000.0</v>
      </c>
      <c r="K60" s="64">
        <f>AVERAGE(D60:J60)</f>
        <v>18166.66667</v>
      </c>
      <c r="M60" s="5"/>
      <c r="N60" s="5"/>
    </row>
    <row r="61" ht="15.75" customHeight="1">
      <c r="A61" s="72">
        <v>17.0</v>
      </c>
      <c r="B61" s="73" t="s">
        <v>88</v>
      </c>
      <c r="C61" s="73"/>
      <c r="D61" s="87"/>
      <c r="E61" s="77"/>
      <c r="F61" s="89"/>
      <c r="G61" s="89"/>
      <c r="H61" s="90"/>
      <c r="I61" s="90"/>
      <c r="J61" s="92"/>
      <c r="K61" s="80"/>
      <c r="M61" s="5"/>
      <c r="N61" s="5"/>
    </row>
    <row r="62" ht="15.75" customHeight="1">
      <c r="A62" s="24"/>
      <c r="B62" s="48" t="s">
        <v>89</v>
      </c>
      <c r="C62" s="49" t="s">
        <v>23</v>
      </c>
      <c r="D62" s="58">
        <v>28000.0</v>
      </c>
      <c r="E62" s="59">
        <v>28000.0</v>
      </c>
      <c r="F62" s="59">
        <v>30000.0</v>
      </c>
      <c r="G62" s="59">
        <v>30000.0</v>
      </c>
      <c r="H62" s="61">
        <v>27000.0</v>
      </c>
      <c r="I62" s="61">
        <v>30000.0</v>
      </c>
      <c r="J62" s="53">
        <v>30000.0</v>
      </c>
      <c r="K62" s="64">
        <f t="shared" ref="K62:K65" si="11">AVERAGE(D62:J62)</f>
        <v>29000</v>
      </c>
      <c r="M62" s="5"/>
      <c r="N62" s="5"/>
    </row>
    <row r="63" ht="15.75" customHeight="1">
      <c r="A63" s="24"/>
      <c r="B63" s="48" t="s">
        <v>90</v>
      </c>
      <c r="C63" s="49" t="s">
        <v>23</v>
      </c>
      <c r="D63" s="65">
        <v>25000.0</v>
      </c>
      <c r="E63" s="59">
        <v>26000.0</v>
      </c>
      <c r="F63" s="59">
        <v>28000.0</v>
      </c>
      <c r="G63" s="59">
        <v>25000.0</v>
      </c>
      <c r="H63" s="61">
        <v>24000.0</v>
      </c>
      <c r="I63" s="61">
        <v>27000.0</v>
      </c>
      <c r="J63" s="53">
        <v>25000.0</v>
      </c>
      <c r="K63" s="64">
        <f t="shared" si="11"/>
        <v>25714.28571</v>
      </c>
      <c r="M63" s="5"/>
      <c r="N63" s="5"/>
    </row>
    <row r="64" ht="15.75" customHeight="1">
      <c r="A64" s="24"/>
      <c r="B64" s="48" t="s">
        <v>91</v>
      </c>
      <c r="C64" s="49" t="s">
        <v>23</v>
      </c>
      <c r="D64" s="58">
        <v>32000.0</v>
      </c>
      <c r="E64" s="59">
        <v>35000.0</v>
      </c>
      <c r="F64" s="59">
        <v>40000.0</v>
      </c>
      <c r="G64" s="59">
        <v>35000.0</v>
      </c>
      <c r="H64" s="61">
        <v>35000.0</v>
      </c>
      <c r="I64" s="61">
        <v>38000.0</v>
      </c>
      <c r="J64" s="53">
        <v>45000.0</v>
      </c>
      <c r="K64" s="64">
        <f t="shared" si="11"/>
        <v>37142.85714</v>
      </c>
      <c r="M64" s="5"/>
      <c r="N64" s="5"/>
    </row>
    <row r="65" ht="15.75" customHeight="1">
      <c r="A65" s="71"/>
      <c r="B65" s="48" t="s">
        <v>92</v>
      </c>
      <c r="C65" s="49" t="s">
        <v>23</v>
      </c>
      <c r="D65" s="58">
        <v>20000.0</v>
      </c>
      <c r="E65" s="69">
        <v>22000.0</v>
      </c>
      <c r="F65" s="60">
        <v>20000.0</v>
      </c>
      <c r="G65" s="60">
        <v>25000.0</v>
      </c>
      <c r="H65" s="61">
        <v>20000.0</v>
      </c>
      <c r="I65" s="67">
        <v>23000.0</v>
      </c>
      <c r="J65" s="101">
        <v>22000.0</v>
      </c>
      <c r="K65" s="64">
        <f t="shared" si="11"/>
        <v>21714.28571</v>
      </c>
      <c r="M65" s="5"/>
      <c r="N65" s="5"/>
    </row>
    <row r="66" ht="15.75" customHeight="1">
      <c r="A66" s="128">
        <v>18.0</v>
      </c>
      <c r="B66" s="73" t="s">
        <v>93</v>
      </c>
      <c r="C66" s="109"/>
      <c r="D66" s="132"/>
      <c r="E66" s="70"/>
      <c r="F66" s="76"/>
      <c r="G66" s="136"/>
      <c r="H66" s="112"/>
      <c r="I66" s="112"/>
      <c r="J66" s="130"/>
      <c r="K66" s="80"/>
      <c r="M66" s="5"/>
      <c r="N66" s="5"/>
    </row>
    <row r="67" ht="15.75" customHeight="1">
      <c r="A67" s="137"/>
      <c r="B67" s="48" t="s">
        <v>94</v>
      </c>
      <c r="C67" s="114" t="s">
        <v>23</v>
      </c>
      <c r="D67" s="58">
        <v>6000.0</v>
      </c>
      <c r="E67" s="69">
        <v>7000.0</v>
      </c>
      <c r="F67" s="59">
        <v>5000.0</v>
      </c>
      <c r="G67" s="59">
        <v>6000.0</v>
      </c>
      <c r="H67" s="61">
        <v>4000.0</v>
      </c>
      <c r="I67" s="61">
        <v>6000.0</v>
      </c>
      <c r="J67" s="101">
        <v>5000.0</v>
      </c>
      <c r="K67" s="64">
        <f t="shared" ref="K67:K68" si="12">AVERAGE(D67:J67)</f>
        <v>5571.428571</v>
      </c>
      <c r="M67" s="5"/>
      <c r="N67" s="5"/>
    </row>
    <row r="68" ht="15.75" customHeight="1">
      <c r="A68" s="131"/>
      <c r="B68" s="48" t="s">
        <v>95</v>
      </c>
      <c r="C68" s="114" t="s">
        <v>23</v>
      </c>
      <c r="D68" s="65" t="s">
        <v>26</v>
      </c>
      <c r="E68" s="69" t="s">
        <v>26</v>
      </c>
      <c r="F68" s="60">
        <v>5000.0</v>
      </c>
      <c r="G68" s="60">
        <v>6000.0</v>
      </c>
      <c r="H68" s="61">
        <v>5000.0</v>
      </c>
      <c r="I68" s="67">
        <v>6000.0</v>
      </c>
      <c r="J68" s="102">
        <v>6000.0</v>
      </c>
      <c r="K68" s="64">
        <f t="shared" si="12"/>
        <v>5600</v>
      </c>
      <c r="M68" s="5"/>
      <c r="N68" s="5"/>
    </row>
    <row r="69" ht="15.75" customHeight="1">
      <c r="A69" s="128">
        <v>19.0</v>
      </c>
      <c r="B69" s="73" t="s">
        <v>96</v>
      </c>
      <c r="C69" s="109"/>
      <c r="D69" s="110"/>
      <c r="E69" s="76"/>
      <c r="F69" s="76"/>
      <c r="G69" s="111"/>
      <c r="H69" s="112"/>
      <c r="I69" s="112"/>
      <c r="J69" s="113"/>
      <c r="K69" s="80"/>
      <c r="M69" s="5"/>
      <c r="N69" s="5"/>
    </row>
    <row r="70" ht="15.75" customHeight="1">
      <c r="A70" s="137"/>
      <c r="B70" s="48" t="s">
        <v>97</v>
      </c>
      <c r="C70" s="114" t="s">
        <v>23</v>
      </c>
      <c r="D70" s="58">
        <v>10000.0</v>
      </c>
      <c r="E70" s="59">
        <v>13000.0</v>
      </c>
      <c r="F70" s="59">
        <v>10000.0</v>
      </c>
      <c r="G70" s="59">
        <v>8000.0</v>
      </c>
      <c r="H70" s="61">
        <v>11000.0</v>
      </c>
      <c r="I70" s="68">
        <v>10000.0</v>
      </c>
      <c r="J70" s="53">
        <v>10000.0</v>
      </c>
      <c r="K70" s="64">
        <f t="shared" ref="K70:K78" si="13">AVERAGE(D70:J70)</f>
        <v>10285.71429</v>
      </c>
      <c r="M70" s="5"/>
      <c r="N70" s="5"/>
    </row>
    <row r="71" ht="15.75" customHeight="1">
      <c r="A71" s="137"/>
      <c r="B71" s="48" t="s">
        <v>98</v>
      </c>
      <c r="C71" s="114" t="s">
        <v>23</v>
      </c>
      <c r="D71" s="58">
        <v>12000.0</v>
      </c>
      <c r="E71" s="59">
        <v>12000.0</v>
      </c>
      <c r="F71" s="59">
        <v>12000.0</v>
      </c>
      <c r="G71" s="59">
        <v>12000.0</v>
      </c>
      <c r="H71" s="61">
        <v>5000.0</v>
      </c>
      <c r="I71" s="68">
        <v>13000.0</v>
      </c>
      <c r="J71" s="53">
        <v>15000.0</v>
      </c>
      <c r="K71" s="64">
        <f t="shared" si="13"/>
        <v>11571.42857</v>
      </c>
      <c r="M71" s="5"/>
      <c r="N71" s="5"/>
    </row>
    <row r="72" ht="15.75" customHeight="1">
      <c r="A72" s="137"/>
      <c r="B72" s="48" t="s">
        <v>99</v>
      </c>
      <c r="C72" s="114" t="s">
        <v>23</v>
      </c>
      <c r="D72" s="58">
        <v>15000.0</v>
      </c>
      <c r="E72" s="59">
        <v>15000.0</v>
      </c>
      <c r="F72" s="59">
        <v>18000.0</v>
      </c>
      <c r="G72" s="59">
        <v>15000.0</v>
      </c>
      <c r="H72" s="61">
        <v>15000.0</v>
      </c>
      <c r="I72" s="61">
        <v>14000.0</v>
      </c>
      <c r="J72" s="53">
        <v>20000.0</v>
      </c>
      <c r="K72" s="64">
        <f t="shared" si="13"/>
        <v>16000</v>
      </c>
      <c r="M72" s="5"/>
      <c r="N72" s="5"/>
    </row>
    <row r="73" ht="15.75" customHeight="1">
      <c r="A73" s="137"/>
      <c r="B73" s="48" t="s">
        <v>100</v>
      </c>
      <c r="C73" s="114" t="s">
        <v>23</v>
      </c>
      <c r="D73" s="58">
        <v>16000.0</v>
      </c>
      <c r="E73" s="59">
        <v>8000.0</v>
      </c>
      <c r="F73" s="59">
        <v>8000.0</v>
      </c>
      <c r="G73" s="59">
        <v>20000.0</v>
      </c>
      <c r="H73" s="61">
        <v>5000.0</v>
      </c>
      <c r="I73" s="68">
        <v>10000.0</v>
      </c>
      <c r="J73" s="53">
        <v>8000.0</v>
      </c>
      <c r="K73" s="64">
        <f t="shared" si="13"/>
        <v>10714.28571</v>
      </c>
      <c r="M73" s="5"/>
      <c r="N73" s="5"/>
    </row>
    <row r="74" ht="15.75" customHeight="1">
      <c r="A74" s="137"/>
      <c r="B74" s="48" t="s">
        <v>101</v>
      </c>
      <c r="C74" s="114" t="s">
        <v>23</v>
      </c>
      <c r="D74" s="58">
        <v>10000.0</v>
      </c>
      <c r="E74" s="59">
        <v>10000.0</v>
      </c>
      <c r="F74" s="59">
        <v>12000.0</v>
      </c>
      <c r="G74" s="59">
        <v>13000.0</v>
      </c>
      <c r="H74" s="61">
        <v>10000.0</v>
      </c>
      <c r="I74" s="61">
        <v>13000.0</v>
      </c>
      <c r="J74" s="53">
        <v>10000.0</v>
      </c>
      <c r="K74" s="64">
        <f t="shared" si="13"/>
        <v>11142.85714</v>
      </c>
      <c r="M74" s="5"/>
      <c r="N74" s="5"/>
    </row>
    <row r="75" ht="15.75" customHeight="1">
      <c r="A75" s="137"/>
      <c r="B75" s="48" t="s">
        <v>102</v>
      </c>
      <c r="C75" s="114" t="s">
        <v>23</v>
      </c>
      <c r="D75" s="65" t="s">
        <v>26</v>
      </c>
      <c r="E75" s="69">
        <v>12000.0</v>
      </c>
      <c r="F75" s="70" t="s">
        <v>26</v>
      </c>
      <c r="G75" s="60">
        <v>10000.0</v>
      </c>
      <c r="H75" s="138">
        <v>9000.0</v>
      </c>
      <c r="I75" s="139">
        <v>10000.0</v>
      </c>
      <c r="J75" s="140">
        <v>7000.0</v>
      </c>
      <c r="K75" s="64">
        <f t="shared" si="13"/>
        <v>9600</v>
      </c>
      <c r="M75" s="5"/>
      <c r="N75" s="5"/>
    </row>
    <row r="76" ht="15.75" customHeight="1">
      <c r="A76" s="137"/>
      <c r="B76" s="48" t="s">
        <v>103</v>
      </c>
      <c r="C76" s="114" t="s">
        <v>104</v>
      </c>
      <c r="D76" s="65" t="s">
        <v>26</v>
      </c>
      <c r="E76" s="69" t="s">
        <v>26</v>
      </c>
      <c r="F76" s="59">
        <v>1000.0</v>
      </c>
      <c r="G76" s="60">
        <v>2000.0</v>
      </c>
      <c r="H76" s="61">
        <v>1500.0</v>
      </c>
      <c r="I76" s="67">
        <v>2000.0</v>
      </c>
      <c r="J76" s="102">
        <v>1000.0</v>
      </c>
      <c r="K76" s="64">
        <f t="shared" si="13"/>
        <v>1500</v>
      </c>
      <c r="M76" s="5"/>
      <c r="N76" s="5"/>
    </row>
    <row r="77" ht="15.75" customHeight="1">
      <c r="A77" s="137"/>
      <c r="B77" s="48" t="s">
        <v>105</v>
      </c>
      <c r="C77" s="114" t="s">
        <v>104</v>
      </c>
      <c r="D77" s="65" t="s">
        <v>26</v>
      </c>
      <c r="E77" s="69" t="s">
        <v>26</v>
      </c>
      <c r="F77" s="59">
        <v>1000.0</v>
      </c>
      <c r="G77" s="60">
        <v>2000.0</v>
      </c>
      <c r="H77" s="61">
        <v>1500.0</v>
      </c>
      <c r="I77" s="67">
        <v>1500.0</v>
      </c>
      <c r="J77" s="102">
        <v>1000.0</v>
      </c>
      <c r="K77" s="64">
        <f t="shared" si="13"/>
        <v>1400</v>
      </c>
      <c r="M77" s="5"/>
      <c r="N77" s="5"/>
    </row>
    <row r="78" ht="15.75" customHeight="1">
      <c r="A78" s="131"/>
      <c r="B78" s="48" t="s">
        <v>106</v>
      </c>
      <c r="C78" s="114" t="s">
        <v>104</v>
      </c>
      <c r="D78" s="65" t="s">
        <v>26</v>
      </c>
      <c r="E78" s="69" t="s">
        <v>26</v>
      </c>
      <c r="F78" s="59">
        <v>1000.0</v>
      </c>
      <c r="G78" s="60">
        <v>2000.0</v>
      </c>
      <c r="H78" s="61">
        <v>2000.0</v>
      </c>
      <c r="I78" s="67">
        <v>2000.0</v>
      </c>
      <c r="J78" s="102">
        <v>1500.0</v>
      </c>
      <c r="K78" s="64">
        <f t="shared" si="13"/>
        <v>1700</v>
      </c>
      <c r="M78" s="5"/>
      <c r="N78" s="5"/>
    </row>
    <row r="79" ht="15.75" customHeight="1">
      <c r="A79" s="128">
        <v>20.0</v>
      </c>
      <c r="B79" s="73" t="s">
        <v>107</v>
      </c>
      <c r="C79" s="109"/>
      <c r="D79" s="142"/>
      <c r="E79" s="70"/>
      <c r="F79" s="76" t="s">
        <v>108</v>
      </c>
      <c r="G79" s="111"/>
      <c r="H79" s="112"/>
      <c r="I79" s="112"/>
      <c r="J79" s="113"/>
      <c r="K79" s="80"/>
      <c r="M79" s="5"/>
      <c r="N79" s="5"/>
    </row>
    <row r="80" ht="15.75" customHeight="1">
      <c r="A80" s="131"/>
      <c r="B80" s="48" t="s">
        <v>109</v>
      </c>
      <c r="C80" s="114" t="s">
        <v>110</v>
      </c>
      <c r="D80" s="65">
        <v>18000.0</v>
      </c>
      <c r="E80" s="69" t="s">
        <v>26</v>
      </c>
      <c r="F80" s="145" t="s">
        <v>26</v>
      </c>
      <c r="G80" s="60">
        <v>17000.0</v>
      </c>
      <c r="H80" s="97" t="s">
        <v>26</v>
      </c>
      <c r="I80" s="68">
        <v>19000.0</v>
      </c>
      <c r="J80" s="102">
        <v>18000.0</v>
      </c>
      <c r="K80" s="64">
        <f>AVERAGE(D80:J80)</f>
        <v>18000</v>
      </c>
      <c r="M80" s="5"/>
      <c r="N80" s="5"/>
    </row>
    <row r="81" ht="15.75" customHeight="1">
      <c r="D81" s="146"/>
      <c r="E81" s="147"/>
      <c r="J81" s="148"/>
      <c r="M81" s="5"/>
      <c r="N81" s="5"/>
    </row>
    <row r="82" ht="15.75" customHeight="1">
      <c r="B82" s="149"/>
      <c r="D82" s="146"/>
      <c r="J82" s="148"/>
      <c r="M82" s="5"/>
      <c r="N82" s="5"/>
    </row>
    <row r="83" ht="15.75" customHeight="1">
      <c r="D83" s="146"/>
      <c r="J83" s="148"/>
      <c r="M83" s="5"/>
      <c r="N83" s="5"/>
    </row>
    <row r="84" ht="15.75" customHeight="1">
      <c r="A84" s="5"/>
      <c r="B84" s="5"/>
      <c r="C84" s="5"/>
      <c r="D84" s="127"/>
      <c r="E84" s="5"/>
      <c r="F84" s="5"/>
      <c r="G84" s="5"/>
      <c r="H84" s="5"/>
      <c r="I84" s="5"/>
      <c r="J84" s="81"/>
      <c r="K84" s="5"/>
      <c r="L84" s="5"/>
      <c r="M84" s="5"/>
      <c r="N84" s="5"/>
    </row>
    <row r="85" ht="15.75" customHeight="1">
      <c r="D85" s="146"/>
    </row>
    <row r="86" ht="15.75" customHeight="1">
      <c r="D86" s="146"/>
    </row>
    <row r="87" ht="15.75" customHeight="1">
      <c r="D87" s="146"/>
    </row>
    <row r="88" ht="15.75" customHeight="1">
      <c r="D88" s="146"/>
    </row>
    <row r="89" ht="15.75" customHeight="1">
      <c r="D89" s="146"/>
    </row>
    <row r="90" ht="15.75" customHeight="1">
      <c r="D90" s="146"/>
    </row>
    <row r="91" ht="15.75" customHeight="1">
      <c r="D91" s="146"/>
    </row>
    <row r="92" ht="15.75" customHeight="1">
      <c r="D92" s="146"/>
    </row>
    <row r="93" ht="15.75" customHeight="1">
      <c r="D93" s="146"/>
    </row>
    <row r="94" ht="15.75" customHeight="1">
      <c r="D94" s="146"/>
    </row>
    <row r="95" ht="15.75" customHeight="1">
      <c r="D95" s="146"/>
    </row>
    <row r="96" ht="15.75" customHeight="1">
      <c r="D96" s="146"/>
    </row>
    <row r="97" ht="15.75" customHeight="1">
      <c r="D97" s="146"/>
    </row>
    <row r="98" ht="15.75" customHeight="1">
      <c r="D98" s="146"/>
    </row>
    <row r="99" ht="15.75" customHeight="1">
      <c r="D99" s="146"/>
    </row>
    <row r="100" ht="15.75" customHeight="1">
      <c r="D100" s="146"/>
    </row>
    <row r="101" ht="15.75" customHeight="1">
      <c r="D101" s="146"/>
    </row>
    <row r="102" ht="15.75" customHeight="1">
      <c r="D102" s="146"/>
    </row>
    <row r="103" ht="15.75" customHeight="1">
      <c r="D103" s="146"/>
    </row>
    <row r="104" ht="15.75" customHeight="1">
      <c r="D104" s="146"/>
    </row>
    <row r="105" ht="15.75" customHeight="1">
      <c r="D105" s="146"/>
    </row>
    <row r="106" ht="15.75" customHeight="1">
      <c r="D106" s="146"/>
    </row>
    <row r="107" ht="15.75" customHeight="1">
      <c r="D107" s="146"/>
    </row>
    <row r="108" ht="15.75" customHeight="1">
      <c r="D108" s="146"/>
    </row>
    <row r="109" ht="15.75" customHeight="1">
      <c r="D109" s="146"/>
    </row>
    <row r="110" ht="15.75" customHeight="1">
      <c r="D110" s="146"/>
    </row>
    <row r="111" ht="15.75" customHeight="1">
      <c r="D111" s="146"/>
    </row>
    <row r="112" ht="15.75" customHeight="1">
      <c r="D112" s="146"/>
    </row>
    <row r="113" ht="15.75" customHeight="1">
      <c r="D113" s="146"/>
    </row>
    <row r="114" ht="15.75" customHeight="1">
      <c r="D114" s="146"/>
    </row>
    <row r="115" ht="15.75" customHeight="1">
      <c r="D115" s="146"/>
    </row>
    <row r="116" ht="15.75" customHeight="1">
      <c r="D116" s="146"/>
    </row>
    <row r="117" ht="15.75" customHeight="1">
      <c r="D117" s="146"/>
    </row>
    <row r="118" ht="15.75" customHeight="1">
      <c r="D118" s="146"/>
    </row>
    <row r="119" ht="15.75" customHeight="1">
      <c r="D119" s="146"/>
    </row>
    <row r="120" ht="15.75" customHeight="1">
      <c r="D120" s="146"/>
    </row>
    <row r="121" ht="15.75" customHeight="1">
      <c r="D121" s="146"/>
    </row>
    <row r="122" ht="15.75" customHeight="1">
      <c r="D122" s="146"/>
    </row>
    <row r="123" ht="15.75" customHeight="1">
      <c r="D123" s="146"/>
    </row>
    <row r="124" ht="15.75" customHeight="1">
      <c r="D124" s="146"/>
    </row>
    <row r="125" ht="15.75" customHeight="1">
      <c r="D125" s="146"/>
    </row>
    <row r="126" ht="15.75" customHeight="1">
      <c r="D126" s="146"/>
    </row>
    <row r="127" ht="15.75" customHeight="1">
      <c r="D127" s="146"/>
    </row>
    <row r="128" ht="15.75" customHeight="1">
      <c r="D128" s="146"/>
    </row>
    <row r="129" ht="15.75" customHeight="1">
      <c r="D129" s="146"/>
    </row>
    <row r="130" ht="15.75" customHeight="1">
      <c r="D130" s="146"/>
    </row>
    <row r="131" ht="15.75" customHeight="1">
      <c r="D131" s="146"/>
    </row>
    <row r="132" ht="15.75" customHeight="1">
      <c r="D132" s="146"/>
    </row>
    <row r="133" ht="15.75" customHeight="1">
      <c r="D133" s="146"/>
    </row>
    <row r="134" ht="15.75" customHeight="1">
      <c r="D134" s="146"/>
    </row>
    <row r="135" ht="15.75" customHeight="1">
      <c r="D135" s="146"/>
    </row>
    <row r="136" ht="15.75" customHeight="1">
      <c r="D136" s="146"/>
    </row>
    <row r="137" ht="15.75" customHeight="1">
      <c r="D137" s="146"/>
    </row>
    <row r="138" ht="15.75" customHeight="1">
      <c r="D138" s="146"/>
    </row>
    <row r="139" ht="15.75" customHeight="1">
      <c r="D139" s="146"/>
    </row>
    <row r="140" ht="15.75" customHeight="1">
      <c r="D140" s="146"/>
    </row>
    <row r="141" ht="15.75" customHeight="1">
      <c r="D141" s="146"/>
    </row>
    <row r="142" ht="15.75" customHeight="1">
      <c r="D142" s="146"/>
    </row>
    <row r="143" ht="15.75" customHeight="1">
      <c r="D143" s="146"/>
    </row>
    <row r="144" ht="15.75" customHeight="1">
      <c r="D144" s="146"/>
    </row>
    <row r="145" ht="15.75" customHeight="1">
      <c r="D145" s="146"/>
    </row>
    <row r="146" ht="15.75" customHeight="1">
      <c r="D146" s="146"/>
    </row>
    <row r="147" ht="15.75" customHeight="1">
      <c r="D147" s="146"/>
    </row>
    <row r="148" ht="15.75" customHeight="1">
      <c r="D148" s="146"/>
    </row>
    <row r="149" ht="15.75" customHeight="1">
      <c r="D149" s="146"/>
    </row>
    <row r="150" ht="15.75" customHeight="1">
      <c r="D150" s="146"/>
    </row>
    <row r="151" ht="15.75" customHeight="1">
      <c r="D151" s="146"/>
    </row>
    <row r="152" ht="15.75" customHeight="1">
      <c r="D152" s="146"/>
    </row>
    <row r="153" ht="15.75" customHeight="1">
      <c r="D153" s="146"/>
    </row>
    <row r="154" ht="15.75" customHeight="1">
      <c r="D154" s="146"/>
    </row>
    <row r="155" ht="15.75" customHeight="1">
      <c r="D155" s="146"/>
    </row>
    <row r="156" ht="15.75" customHeight="1">
      <c r="D156" s="146"/>
    </row>
    <row r="157" ht="15.75" customHeight="1">
      <c r="D157" s="146"/>
    </row>
    <row r="158" ht="15.75" customHeight="1">
      <c r="D158" s="146"/>
    </row>
    <row r="159" ht="15.75" customHeight="1">
      <c r="D159" s="146"/>
    </row>
    <row r="160" ht="15.75" customHeight="1">
      <c r="D160" s="146"/>
    </row>
    <row r="161" ht="15.75" customHeight="1">
      <c r="D161" s="146"/>
    </row>
    <row r="162" ht="15.75" customHeight="1">
      <c r="D162" s="146"/>
    </row>
    <row r="163" ht="15.75" customHeight="1">
      <c r="D163" s="146"/>
    </row>
    <row r="164" ht="15.75" customHeight="1">
      <c r="D164" s="146"/>
    </row>
    <row r="165" ht="15.75" customHeight="1">
      <c r="D165" s="146"/>
    </row>
    <row r="166" ht="15.75" customHeight="1">
      <c r="D166" s="146"/>
    </row>
    <row r="167" ht="15.75" customHeight="1">
      <c r="D167" s="146"/>
    </row>
    <row r="168" ht="15.75" customHeight="1">
      <c r="D168" s="146"/>
    </row>
    <row r="169" ht="15.75" customHeight="1">
      <c r="D169" s="146"/>
    </row>
    <row r="170" ht="15.75" customHeight="1">
      <c r="D170" s="146"/>
    </row>
    <row r="171" ht="15.75" customHeight="1">
      <c r="D171" s="146"/>
    </row>
    <row r="172" ht="15.75" customHeight="1">
      <c r="D172" s="146"/>
    </row>
    <row r="173" ht="15.75" customHeight="1">
      <c r="D173" s="146"/>
    </row>
    <row r="174" ht="15.75" customHeight="1">
      <c r="D174" s="146"/>
    </row>
    <row r="175" ht="15.75" customHeight="1">
      <c r="D175" s="146"/>
    </row>
    <row r="176" ht="15.75" customHeight="1">
      <c r="D176" s="146"/>
    </row>
    <row r="177" ht="15.75" customHeight="1">
      <c r="D177" s="146"/>
    </row>
    <row r="178" ht="15.75" customHeight="1">
      <c r="D178" s="146"/>
    </row>
    <row r="179" ht="15.75" customHeight="1">
      <c r="D179" s="146"/>
    </row>
    <row r="180" ht="15.75" customHeight="1">
      <c r="D180" s="146"/>
    </row>
    <row r="181" ht="15.75" customHeight="1">
      <c r="D181" s="146"/>
    </row>
    <row r="182" ht="15.75" customHeight="1">
      <c r="D182" s="146"/>
    </row>
    <row r="183" ht="15.75" customHeight="1">
      <c r="D183" s="146"/>
    </row>
    <row r="184" ht="15.75" customHeight="1">
      <c r="D184" s="146"/>
    </row>
    <row r="185" ht="15.75" customHeight="1">
      <c r="D185" s="146"/>
    </row>
    <row r="186" ht="15.75" customHeight="1">
      <c r="D186" s="146"/>
    </row>
    <row r="187" ht="15.75" customHeight="1">
      <c r="D187" s="146"/>
    </row>
    <row r="188" ht="15.75" customHeight="1">
      <c r="D188" s="146"/>
    </row>
    <row r="189" ht="15.75" customHeight="1">
      <c r="D189" s="146"/>
    </row>
    <row r="190" ht="15.75" customHeight="1">
      <c r="D190" s="146"/>
    </row>
    <row r="191" ht="15.75" customHeight="1">
      <c r="D191" s="146"/>
    </row>
    <row r="192" ht="15.75" customHeight="1">
      <c r="D192" s="146"/>
    </row>
    <row r="193" ht="15.75" customHeight="1">
      <c r="D193" s="146"/>
    </row>
    <row r="194" ht="15.75" customHeight="1">
      <c r="D194" s="146"/>
    </row>
    <row r="195" ht="15.75" customHeight="1">
      <c r="D195" s="146"/>
    </row>
    <row r="196" ht="15.75" customHeight="1">
      <c r="D196" s="146"/>
    </row>
    <row r="197" ht="15.75" customHeight="1">
      <c r="D197" s="146"/>
    </row>
    <row r="198" ht="15.75" customHeight="1">
      <c r="D198" s="146"/>
    </row>
    <row r="199" ht="15.75" customHeight="1">
      <c r="D199" s="146"/>
    </row>
    <row r="200" ht="15.75" customHeight="1">
      <c r="D200" s="146"/>
    </row>
    <row r="201" ht="15.75" customHeight="1">
      <c r="D201" s="146"/>
    </row>
    <row r="202" ht="15.75" customHeight="1">
      <c r="D202" s="146"/>
    </row>
    <row r="203" ht="15.75" customHeight="1">
      <c r="D203" s="146"/>
    </row>
    <row r="204" ht="15.75" customHeight="1">
      <c r="D204" s="146"/>
    </row>
    <row r="205" ht="15.75" customHeight="1">
      <c r="D205" s="146"/>
    </row>
    <row r="206" ht="15.75" customHeight="1">
      <c r="D206" s="146"/>
    </row>
    <row r="207" ht="15.75" customHeight="1">
      <c r="D207" s="146"/>
    </row>
    <row r="208" ht="15.75" customHeight="1">
      <c r="D208" s="146"/>
    </row>
    <row r="209" ht="15.75" customHeight="1">
      <c r="D209" s="146"/>
    </row>
    <row r="210" ht="15.75" customHeight="1">
      <c r="D210" s="146"/>
    </row>
    <row r="211" ht="15.75" customHeight="1">
      <c r="D211" s="146"/>
    </row>
    <row r="212" ht="15.75" customHeight="1">
      <c r="D212" s="146"/>
    </row>
    <row r="213" ht="15.75" customHeight="1">
      <c r="D213" s="146"/>
    </row>
    <row r="214" ht="15.75" customHeight="1">
      <c r="D214" s="146"/>
    </row>
    <row r="215" ht="15.75" customHeight="1">
      <c r="D215" s="146"/>
    </row>
    <row r="216" ht="15.75" customHeight="1">
      <c r="D216" s="146"/>
    </row>
    <row r="217" ht="15.75" customHeight="1">
      <c r="D217" s="146"/>
    </row>
    <row r="218" ht="15.75" customHeight="1">
      <c r="D218" s="146"/>
    </row>
    <row r="219" ht="15.75" customHeight="1">
      <c r="D219" s="146"/>
    </row>
    <row r="220" ht="15.75" customHeight="1">
      <c r="D220" s="146"/>
    </row>
    <row r="221" ht="15.75" customHeight="1">
      <c r="D221" s="146"/>
    </row>
    <row r="222" ht="15.75" customHeight="1">
      <c r="D222" s="146"/>
    </row>
    <row r="223" ht="15.75" customHeight="1">
      <c r="D223" s="146"/>
    </row>
    <row r="224" ht="15.75" customHeight="1">
      <c r="D224" s="146"/>
    </row>
    <row r="225" ht="15.75" customHeight="1">
      <c r="D225" s="146"/>
    </row>
    <row r="226" ht="15.75" customHeight="1">
      <c r="D226" s="146"/>
    </row>
    <row r="227" ht="15.75" customHeight="1">
      <c r="D227" s="146"/>
    </row>
    <row r="228" ht="15.75" customHeight="1">
      <c r="D228" s="146"/>
    </row>
    <row r="229" ht="15.75" customHeight="1">
      <c r="D229" s="146"/>
    </row>
    <row r="230" ht="15.75" customHeight="1">
      <c r="D230" s="146"/>
    </row>
    <row r="231" ht="15.75" customHeight="1">
      <c r="D231" s="146"/>
    </row>
    <row r="232" ht="15.75" customHeight="1">
      <c r="D232" s="146"/>
    </row>
    <row r="233" ht="15.75" customHeight="1">
      <c r="D233" s="146"/>
    </row>
    <row r="234" ht="15.75" customHeight="1">
      <c r="D234" s="146"/>
    </row>
    <row r="235" ht="15.75" customHeight="1">
      <c r="D235" s="146"/>
    </row>
    <row r="236" ht="15.75" customHeight="1">
      <c r="D236" s="146"/>
    </row>
    <row r="237" ht="15.75" customHeight="1">
      <c r="D237" s="146"/>
    </row>
    <row r="238" ht="15.75" customHeight="1">
      <c r="D238" s="146"/>
    </row>
    <row r="239" ht="15.75" customHeight="1">
      <c r="D239" s="146"/>
    </row>
    <row r="240" ht="15.75" customHeight="1">
      <c r="D240" s="146"/>
    </row>
    <row r="241" ht="15.75" customHeight="1">
      <c r="D241" s="146"/>
    </row>
    <row r="242" ht="15.75" customHeight="1">
      <c r="D242" s="146"/>
    </row>
    <row r="243" ht="15.75" customHeight="1">
      <c r="D243" s="146"/>
    </row>
    <row r="244" ht="15.75" customHeight="1">
      <c r="D244" s="146"/>
    </row>
    <row r="245" ht="15.75" customHeight="1">
      <c r="D245" s="146"/>
    </row>
    <row r="246" ht="15.75" customHeight="1">
      <c r="D246" s="146"/>
    </row>
    <row r="247" ht="15.75" customHeight="1">
      <c r="D247" s="146"/>
    </row>
    <row r="248" ht="15.75" customHeight="1">
      <c r="D248" s="146"/>
    </row>
    <row r="249" ht="15.75" customHeight="1">
      <c r="D249" s="146"/>
    </row>
    <row r="250" ht="15.75" customHeight="1">
      <c r="D250" s="146"/>
    </row>
    <row r="251" ht="15.75" customHeight="1">
      <c r="D251" s="146"/>
    </row>
    <row r="252" ht="15.75" customHeight="1">
      <c r="D252" s="146"/>
    </row>
    <row r="253" ht="15.75" customHeight="1">
      <c r="D253" s="146"/>
    </row>
    <row r="254" ht="15.75" customHeight="1">
      <c r="D254" s="146"/>
    </row>
    <row r="255" ht="15.75" customHeight="1">
      <c r="D255" s="146"/>
    </row>
    <row r="256" ht="15.75" customHeight="1">
      <c r="D256" s="146"/>
    </row>
    <row r="257" ht="15.75" customHeight="1">
      <c r="D257" s="146"/>
    </row>
    <row r="258" ht="15.75" customHeight="1">
      <c r="D258" s="146"/>
    </row>
    <row r="259" ht="15.75" customHeight="1">
      <c r="D259" s="146"/>
    </row>
    <row r="260" ht="15.75" customHeight="1">
      <c r="D260" s="146"/>
    </row>
    <row r="261" ht="15.75" customHeight="1">
      <c r="D261" s="146"/>
    </row>
    <row r="262" ht="15.75" customHeight="1">
      <c r="D262" s="146"/>
    </row>
    <row r="263" ht="15.75" customHeight="1">
      <c r="D263" s="146"/>
    </row>
    <row r="264" ht="15.75" customHeight="1">
      <c r="D264" s="146"/>
    </row>
    <row r="265" ht="15.75" customHeight="1">
      <c r="D265" s="146"/>
    </row>
    <row r="266" ht="15.75" customHeight="1">
      <c r="D266" s="146"/>
    </row>
    <row r="267" ht="15.75" customHeight="1">
      <c r="D267" s="146"/>
    </row>
    <row r="268" ht="15.75" customHeight="1">
      <c r="D268" s="146"/>
    </row>
    <row r="269" ht="15.75" customHeight="1">
      <c r="D269" s="146"/>
    </row>
    <row r="270" ht="15.75" customHeight="1">
      <c r="D270" s="146"/>
    </row>
    <row r="271" ht="15.75" customHeight="1">
      <c r="D271" s="146"/>
    </row>
    <row r="272" ht="15.75" customHeight="1">
      <c r="D272" s="146"/>
    </row>
    <row r="273" ht="15.75" customHeight="1">
      <c r="D273" s="146"/>
    </row>
    <row r="274" ht="15.75" customHeight="1">
      <c r="D274" s="146"/>
    </row>
    <row r="275" ht="15.75" customHeight="1">
      <c r="D275" s="146"/>
    </row>
    <row r="276" ht="15.75" customHeight="1">
      <c r="D276" s="146"/>
    </row>
    <row r="277" ht="15.75" customHeight="1">
      <c r="D277" s="146"/>
    </row>
    <row r="278" ht="15.75" customHeight="1">
      <c r="D278" s="146"/>
    </row>
    <row r="279" ht="15.75" customHeight="1">
      <c r="D279" s="146"/>
    </row>
    <row r="280" ht="15.75" customHeight="1">
      <c r="D280" s="146"/>
    </row>
    <row r="281" ht="15.75" customHeight="1">
      <c r="D281" s="146"/>
    </row>
    <row r="282" ht="15.75" customHeight="1">
      <c r="D282" s="146"/>
    </row>
    <row r="283" ht="15.75" customHeight="1">
      <c r="D283" s="146"/>
    </row>
    <row r="284" ht="15.75" customHeight="1">
      <c r="D284" s="146"/>
    </row>
    <row r="285" ht="15.75" customHeight="1">
      <c r="D285" s="146"/>
    </row>
    <row r="286" ht="15.75" customHeight="1">
      <c r="D286" s="146"/>
    </row>
    <row r="287" ht="15.75" customHeight="1">
      <c r="D287" s="146"/>
    </row>
    <row r="288" ht="15.75" customHeight="1">
      <c r="D288" s="146"/>
    </row>
    <row r="289" ht="15.75" customHeight="1">
      <c r="D289" s="146"/>
    </row>
    <row r="290" ht="15.75" customHeight="1">
      <c r="D290" s="146"/>
    </row>
    <row r="291" ht="15.75" customHeight="1">
      <c r="D291" s="146"/>
    </row>
    <row r="292" ht="15.75" customHeight="1">
      <c r="D292" s="146"/>
    </row>
    <row r="293" ht="15.75" customHeight="1">
      <c r="D293" s="146"/>
    </row>
    <row r="294" ht="15.75" customHeight="1">
      <c r="D294" s="146"/>
    </row>
    <row r="295" ht="15.75" customHeight="1">
      <c r="D295" s="146"/>
    </row>
    <row r="296" ht="15.75" customHeight="1">
      <c r="D296" s="146"/>
    </row>
    <row r="297" ht="15.75" customHeight="1">
      <c r="D297" s="146"/>
    </row>
    <row r="298" ht="15.75" customHeight="1">
      <c r="D298" s="146"/>
    </row>
    <row r="299" ht="15.75" customHeight="1">
      <c r="D299" s="146"/>
    </row>
    <row r="300" ht="15.75" customHeight="1">
      <c r="D300" s="146"/>
    </row>
    <row r="301" ht="15.75" customHeight="1">
      <c r="D301" s="146"/>
    </row>
    <row r="302" ht="15.75" customHeight="1">
      <c r="D302" s="146"/>
    </row>
    <row r="303" ht="15.75" customHeight="1">
      <c r="D303" s="146"/>
    </row>
    <row r="304" ht="15.75" customHeight="1">
      <c r="D304" s="146"/>
    </row>
    <row r="305" ht="15.75" customHeight="1">
      <c r="D305" s="146"/>
    </row>
    <row r="306" ht="15.75" customHeight="1">
      <c r="D306" s="146"/>
    </row>
    <row r="307" ht="15.75" customHeight="1">
      <c r="D307" s="146"/>
    </row>
    <row r="308" ht="15.75" customHeight="1">
      <c r="D308" s="146"/>
    </row>
    <row r="309" ht="15.75" customHeight="1">
      <c r="D309" s="146"/>
    </row>
    <row r="310" ht="15.75" customHeight="1">
      <c r="D310" s="146"/>
    </row>
    <row r="311" ht="15.75" customHeight="1">
      <c r="D311" s="146"/>
    </row>
    <row r="312" ht="15.75" customHeight="1">
      <c r="D312" s="146"/>
    </row>
    <row r="313" ht="15.75" customHeight="1">
      <c r="D313" s="146"/>
    </row>
    <row r="314" ht="15.75" customHeight="1">
      <c r="D314" s="146"/>
    </row>
    <row r="315" ht="15.75" customHeight="1">
      <c r="D315" s="146"/>
    </row>
    <row r="316" ht="15.75" customHeight="1">
      <c r="D316" s="146"/>
    </row>
    <row r="317" ht="15.75" customHeight="1">
      <c r="D317" s="146"/>
    </row>
    <row r="318" ht="15.75" customHeight="1">
      <c r="D318" s="146"/>
    </row>
    <row r="319" ht="15.75" customHeight="1">
      <c r="D319" s="146"/>
    </row>
    <row r="320" ht="15.75" customHeight="1">
      <c r="D320" s="146"/>
    </row>
    <row r="321" ht="15.75" customHeight="1">
      <c r="D321" s="146"/>
    </row>
    <row r="322" ht="15.75" customHeight="1">
      <c r="D322" s="146"/>
    </row>
    <row r="323" ht="15.75" customHeight="1">
      <c r="D323" s="146"/>
    </row>
    <row r="324" ht="15.75" customHeight="1">
      <c r="D324" s="146"/>
    </row>
    <row r="325" ht="15.75" customHeight="1">
      <c r="D325" s="146"/>
    </row>
    <row r="326" ht="15.75" customHeight="1">
      <c r="D326" s="146"/>
    </row>
    <row r="327" ht="15.75" customHeight="1">
      <c r="D327" s="146"/>
    </row>
    <row r="328" ht="15.75" customHeight="1">
      <c r="D328" s="146"/>
    </row>
    <row r="329" ht="15.75" customHeight="1">
      <c r="D329" s="146"/>
    </row>
    <row r="330" ht="15.75" customHeight="1">
      <c r="D330" s="146"/>
    </row>
    <row r="331" ht="15.75" customHeight="1">
      <c r="D331" s="146"/>
    </row>
    <row r="332" ht="15.75" customHeight="1">
      <c r="D332" s="146"/>
    </row>
    <row r="333" ht="15.75" customHeight="1">
      <c r="D333" s="146"/>
    </row>
    <row r="334" ht="15.75" customHeight="1">
      <c r="D334" s="146"/>
    </row>
    <row r="335" ht="15.75" customHeight="1">
      <c r="D335" s="146"/>
    </row>
    <row r="336" ht="15.75" customHeight="1">
      <c r="D336" s="146"/>
    </row>
    <row r="337" ht="15.75" customHeight="1">
      <c r="D337" s="146"/>
    </row>
    <row r="338" ht="15.75" customHeight="1">
      <c r="D338" s="146"/>
    </row>
    <row r="339" ht="15.75" customHeight="1">
      <c r="D339" s="146"/>
    </row>
    <row r="340" ht="15.75" customHeight="1">
      <c r="D340" s="146"/>
    </row>
    <row r="341" ht="15.75" customHeight="1">
      <c r="D341" s="146"/>
    </row>
    <row r="342" ht="15.75" customHeight="1">
      <c r="D342" s="146"/>
    </row>
    <row r="343" ht="15.75" customHeight="1">
      <c r="D343" s="146"/>
    </row>
    <row r="344" ht="15.75" customHeight="1">
      <c r="D344" s="146"/>
    </row>
    <row r="345" ht="15.75" customHeight="1">
      <c r="D345" s="146"/>
    </row>
    <row r="346" ht="15.75" customHeight="1">
      <c r="D346" s="146"/>
    </row>
    <row r="347" ht="15.75" customHeight="1">
      <c r="D347" s="146"/>
    </row>
    <row r="348" ht="15.75" customHeight="1">
      <c r="D348" s="146"/>
    </row>
    <row r="349" ht="15.75" customHeight="1">
      <c r="D349" s="146"/>
    </row>
    <row r="350" ht="15.75" customHeight="1">
      <c r="D350" s="146"/>
    </row>
    <row r="351" ht="15.75" customHeight="1">
      <c r="D351" s="146"/>
    </row>
    <row r="352" ht="15.75" customHeight="1">
      <c r="D352" s="146"/>
    </row>
    <row r="353" ht="15.75" customHeight="1">
      <c r="D353" s="146"/>
    </row>
    <row r="354" ht="15.75" customHeight="1">
      <c r="D354" s="146"/>
    </row>
    <row r="355" ht="15.75" customHeight="1">
      <c r="D355" s="146"/>
    </row>
    <row r="356" ht="15.75" customHeight="1">
      <c r="D356" s="146"/>
    </row>
    <row r="357" ht="15.75" customHeight="1">
      <c r="D357" s="146"/>
    </row>
    <row r="358" ht="15.75" customHeight="1">
      <c r="D358" s="146"/>
    </row>
    <row r="359" ht="15.75" customHeight="1">
      <c r="D359" s="146"/>
    </row>
    <row r="360" ht="15.75" customHeight="1">
      <c r="D360" s="146"/>
    </row>
    <row r="361" ht="15.75" customHeight="1">
      <c r="D361" s="146"/>
    </row>
    <row r="362" ht="15.75" customHeight="1">
      <c r="D362" s="146"/>
    </row>
    <row r="363" ht="15.75" customHeight="1">
      <c r="D363" s="146"/>
    </row>
    <row r="364" ht="15.75" customHeight="1">
      <c r="D364" s="146"/>
    </row>
    <row r="365" ht="15.75" customHeight="1">
      <c r="D365" s="146"/>
    </row>
    <row r="366" ht="15.75" customHeight="1">
      <c r="D366" s="146"/>
    </row>
    <row r="367" ht="15.75" customHeight="1">
      <c r="D367" s="146"/>
    </row>
    <row r="368" ht="15.75" customHeight="1">
      <c r="D368" s="146"/>
    </row>
    <row r="369" ht="15.75" customHeight="1">
      <c r="D369" s="146"/>
    </row>
    <row r="370" ht="15.75" customHeight="1">
      <c r="D370" s="146"/>
    </row>
    <row r="371" ht="15.75" customHeight="1">
      <c r="D371" s="146"/>
    </row>
    <row r="372" ht="15.75" customHeight="1">
      <c r="D372" s="146"/>
    </row>
    <row r="373" ht="15.75" customHeight="1">
      <c r="D373" s="146"/>
    </row>
    <row r="374" ht="15.75" customHeight="1">
      <c r="D374" s="146"/>
    </row>
    <row r="375" ht="15.75" customHeight="1">
      <c r="D375" s="146"/>
    </row>
    <row r="376" ht="15.75" customHeight="1">
      <c r="D376" s="146"/>
    </row>
    <row r="377" ht="15.75" customHeight="1">
      <c r="D377" s="146"/>
    </row>
    <row r="378" ht="15.75" customHeight="1">
      <c r="D378" s="146"/>
    </row>
    <row r="379" ht="15.75" customHeight="1">
      <c r="D379" s="146"/>
    </row>
    <row r="380" ht="15.75" customHeight="1">
      <c r="D380" s="146"/>
    </row>
    <row r="381" ht="15.75" customHeight="1">
      <c r="D381" s="146"/>
    </row>
    <row r="382" ht="15.75" customHeight="1">
      <c r="D382" s="146"/>
    </row>
    <row r="383" ht="15.75" customHeight="1">
      <c r="D383" s="146"/>
    </row>
    <row r="384" ht="15.75" customHeight="1">
      <c r="D384" s="146"/>
    </row>
    <row r="385" ht="15.75" customHeight="1">
      <c r="D385" s="146"/>
    </row>
    <row r="386" ht="15.75" customHeight="1">
      <c r="D386" s="146"/>
    </row>
    <row r="387" ht="15.75" customHeight="1">
      <c r="D387" s="146"/>
    </row>
    <row r="388" ht="15.75" customHeight="1">
      <c r="D388" s="146"/>
    </row>
    <row r="389" ht="15.75" customHeight="1">
      <c r="D389" s="146"/>
    </row>
    <row r="390" ht="15.75" customHeight="1">
      <c r="D390" s="146"/>
    </row>
    <row r="391" ht="15.75" customHeight="1">
      <c r="D391" s="146"/>
    </row>
    <row r="392" ht="15.75" customHeight="1">
      <c r="D392" s="146"/>
    </row>
    <row r="393" ht="15.75" customHeight="1">
      <c r="D393" s="146"/>
    </row>
    <row r="394" ht="15.75" customHeight="1">
      <c r="D394" s="146"/>
    </row>
    <row r="395" ht="15.75" customHeight="1">
      <c r="D395" s="146"/>
    </row>
    <row r="396" ht="15.75" customHeight="1">
      <c r="D396" s="146"/>
    </row>
    <row r="397" ht="15.75" customHeight="1">
      <c r="D397" s="146"/>
    </row>
    <row r="398" ht="15.75" customHeight="1">
      <c r="D398" s="146"/>
    </row>
    <row r="399" ht="15.75" customHeight="1">
      <c r="D399" s="146"/>
    </row>
    <row r="400" ht="15.75" customHeight="1">
      <c r="D400" s="146"/>
    </row>
    <row r="401" ht="15.75" customHeight="1">
      <c r="D401" s="146"/>
    </row>
    <row r="402" ht="15.75" customHeight="1">
      <c r="D402" s="146"/>
    </row>
    <row r="403" ht="15.75" customHeight="1">
      <c r="D403" s="146"/>
    </row>
    <row r="404" ht="15.75" customHeight="1">
      <c r="D404" s="146"/>
    </row>
    <row r="405" ht="15.75" customHeight="1">
      <c r="D405" s="146"/>
    </row>
    <row r="406" ht="15.75" customHeight="1">
      <c r="D406" s="146"/>
    </row>
    <row r="407" ht="15.75" customHeight="1">
      <c r="D407" s="146"/>
    </row>
    <row r="408" ht="15.75" customHeight="1">
      <c r="D408" s="146"/>
    </row>
    <row r="409" ht="15.75" customHeight="1">
      <c r="D409" s="146"/>
    </row>
    <row r="410" ht="15.75" customHeight="1">
      <c r="D410" s="146"/>
    </row>
    <row r="411" ht="15.75" customHeight="1">
      <c r="D411" s="146"/>
    </row>
    <row r="412" ht="15.75" customHeight="1">
      <c r="D412" s="146"/>
    </row>
    <row r="413" ht="15.75" customHeight="1">
      <c r="D413" s="146"/>
    </row>
    <row r="414" ht="15.75" customHeight="1">
      <c r="D414" s="146"/>
    </row>
    <row r="415" ht="15.75" customHeight="1">
      <c r="D415" s="146"/>
    </row>
    <row r="416" ht="15.75" customHeight="1">
      <c r="D416" s="146"/>
    </row>
    <row r="417" ht="15.75" customHeight="1">
      <c r="D417" s="146"/>
    </row>
    <row r="418" ht="15.75" customHeight="1">
      <c r="D418" s="146"/>
    </row>
    <row r="419" ht="15.75" customHeight="1">
      <c r="D419" s="146"/>
    </row>
    <row r="420" ht="15.75" customHeight="1">
      <c r="D420" s="146"/>
    </row>
    <row r="421" ht="15.75" customHeight="1">
      <c r="D421" s="146"/>
    </row>
    <row r="422" ht="15.75" customHeight="1">
      <c r="D422" s="146"/>
    </row>
    <row r="423" ht="15.75" customHeight="1">
      <c r="D423" s="146"/>
    </row>
    <row r="424" ht="15.75" customHeight="1">
      <c r="D424" s="146"/>
    </row>
    <row r="425" ht="15.75" customHeight="1">
      <c r="D425" s="146"/>
    </row>
    <row r="426" ht="15.75" customHeight="1">
      <c r="D426" s="146"/>
    </row>
    <row r="427" ht="15.75" customHeight="1">
      <c r="D427" s="146"/>
    </row>
    <row r="428" ht="15.75" customHeight="1">
      <c r="D428" s="146"/>
    </row>
    <row r="429" ht="15.75" customHeight="1">
      <c r="D429" s="146"/>
    </row>
    <row r="430" ht="15.75" customHeight="1">
      <c r="D430" s="146"/>
    </row>
    <row r="431" ht="15.75" customHeight="1">
      <c r="D431" s="146"/>
    </row>
    <row r="432" ht="15.75" customHeight="1">
      <c r="D432" s="146"/>
    </row>
    <row r="433" ht="15.75" customHeight="1">
      <c r="D433" s="146"/>
    </row>
    <row r="434" ht="15.75" customHeight="1">
      <c r="D434" s="146"/>
    </row>
    <row r="435" ht="15.75" customHeight="1">
      <c r="D435" s="146"/>
    </row>
    <row r="436" ht="15.75" customHeight="1">
      <c r="D436" s="146"/>
    </row>
    <row r="437" ht="15.75" customHeight="1">
      <c r="D437" s="146"/>
    </row>
    <row r="438" ht="15.75" customHeight="1">
      <c r="D438" s="146"/>
    </row>
    <row r="439" ht="15.75" customHeight="1">
      <c r="D439" s="146"/>
    </row>
    <row r="440" ht="15.75" customHeight="1">
      <c r="D440" s="146"/>
    </row>
    <row r="441" ht="15.75" customHeight="1">
      <c r="D441" s="146"/>
    </row>
    <row r="442" ht="15.75" customHeight="1">
      <c r="D442" s="146"/>
    </row>
    <row r="443" ht="15.75" customHeight="1">
      <c r="D443" s="146"/>
    </row>
    <row r="444" ht="15.75" customHeight="1">
      <c r="D444" s="146"/>
    </row>
    <row r="445" ht="15.75" customHeight="1">
      <c r="D445" s="146"/>
    </row>
    <row r="446" ht="15.75" customHeight="1">
      <c r="D446" s="146"/>
    </row>
    <row r="447" ht="15.75" customHeight="1">
      <c r="D447" s="146"/>
    </row>
    <row r="448" ht="15.75" customHeight="1">
      <c r="D448" s="146"/>
    </row>
    <row r="449" ht="15.75" customHeight="1">
      <c r="D449" s="146"/>
    </row>
    <row r="450" ht="15.75" customHeight="1">
      <c r="D450" s="146"/>
    </row>
    <row r="451" ht="15.75" customHeight="1">
      <c r="D451" s="146"/>
    </row>
    <row r="452" ht="15.75" customHeight="1">
      <c r="D452" s="146"/>
    </row>
    <row r="453" ht="15.75" customHeight="1">
      <c r="D453" s="146"/>
    </row>
    <row r="454" ht="15.75" customHeight="1">
      <c r="D454" s="146"/>
    </row>
    <row r="455" ht="15.75" customHeight="1">
      <c r="D455" s="146"/>
    </row>
    <row r="456" ht="15.75" customHeight="1">
      <c r="D456" s="146"/>
    </row>
    <row r="457" ht="15.75" customHeight="1">
      <c r="D457" s="146"/>
    </row>
    <row r="458" ht="15.75" customHeight="1">
      <c r="D458" s="146"/>
    </row>
    <row r="459" ht="15.75" customHeight="1">
      <c r="D459" s="146"/>
    </row>
    <row r="460" ht="15.75" customHeight="1">
      <c r="D460" s="146"/>
    </row>
    <row r="461" ht="15.75" customHeight="1">
      <c r="D461" s="146"/>
    </row>
    <row r="462" ht="15.75" customHeight="1">
      <c r="D462" s="146"/>
    </row>
    <row r="463" ht="15.75" customHeight="1">
      <c r="D463" s="146"/>
    </row>
    <row r="464" ht="15.75" customHeight="1">
      <c r="D464" s="146"/>
    </row>
    <row r="465" ht="15.75" customHeight="1">
      <c r="D465" s="146"/>
    </row>
    <row r="466" ht="15.75" customHeight="1">
      <c r="D466" s="146"/>
    </row>
    <row r="467" ht="15.75" customHeight="1">
      <c r="D467" s="146"/>
    </row>
    <row r="468" ht="15.75" customHeight="1">
      <c r="D468" s="146"/>
    </row>
    <row r="469" ht="15.75" customHeight="1">
      <c r="D469" s="146"/>
    </row>
    <row r="470" ht="15.75" customHeight="1">
      <c r="D470" s="146"/>
    </row>
    <row r="471" ht="15.75" customHeight="1">
      <c r="D471" s="146"/>
    </row>
    <row r="472" ht="15.75" customHeight="1">
      <c r="D472" s="146"/>
    </row>
    <row r="473" ht="15.75" customHeight="1">
      <c r="D473" s="146"/>
    </row>
    <row r="474" ht="15.75" customHeight="1">
      <c r="D474" s="146"/>
    </row>
    <row r="475" ht="15.75" customHeight="1">
      <c r="D475" s="146"/>
    </row>
    <row r="476" ht="15.75" customHeight="1">
      <c r="D476" s="146"/>
    </row>
    <row r="477" ht="15.75" customHeight="1">
      <c r="D477" s="146"/>
    </row>
    <row r="478" ht="15.75" customHeight="1">
      <c r="D478" s="146"/>
    </row>
    <row r="479" ht="15.75" customHeight="1">
      <c r="D479" s="146"/>
    </row>
    <row r="480" ht="15.75" customHeight="1">
      <c r="D480" s="146"/>
    </row>
    <row r="481" ht="15.75" customHeight="1">
      <c r="D481" s="146"/>
    </row>
    <row r="482" ht="15.75" customHeight="1">
      <c r="D482" s="146"/>
    </row>
    <row r="483" ht="15.75" customHeight="1">
      <c r="D483" s="146"/>
    </row>
    <row r="484" ht="15.75" customHeight="1">
      <c r="D484" s="146"/>
    </row>
    <row r="485" ht="15.75" customHeight="1">
      <c r="D485" s="146"/>
    </row>
    <row r="486" ht="15.75" customHeight="1">
      <c r="D486" s="146"/>
    </row>
    <row r="487" ht="15.75" customHeight="1">
      <c r="D487" s="146"/>
    </row>
    <row r="488" ht="15.75" customHeight="1">
      <c r="D488" s="146"/>
    </row>
    <row r="489" ht="15.75" customHeight="1">
      <c r="D489" s="146"/>
    </row>
    <row r="490" ht="15.75" customHeight="1">
      <c r="D490" s="146"/>
    </row>
    <row r="491" ht="15.75" customHeight="1">
      <c r="D491" s="146"/>
    </row>
    <row r="492" ht="15.75" customHeight="1">
      <c r="D492" s="146"/>
    </row>
    <row r="493" ht="15.75" customHeight="1">
      <c r="D493" s="146"/>
    </row>
    <row r="494" ht="15.75" customHeight="1">
      <c r="D494" s="146"/>
    </row>
    <row r="495" ht="15.75" customHeight="1">
      <c r="D495" s="146"/>
    </row>
    <row r="496" ht="15.75" customHeight="1">
      <c r="D496" s="146"/>
    </row>
    <row r="497" ht="15.75" customHeight="1">
      <c r="D497" s="146"/>
    </row>
    <row r="498" ht="15.75" customHeight="1">
      <c r="D498" s="146"/>
    </row>
    <row r="499" ht="15.75" customHeight="1">
      <c r="D499" s="146"/>
    </row>
    <row r="500" ht="15.75" customHeight="1">
      <c r="D500" s="146"/>
    </row>
    <row r="501" ht="15.75" customHeight="1">
      <c r="D501" s="146"/>
    </row>
    <row r="502" ht="15.75" customHeight="1">
      <c r="D502" s="146"/>
    </row>
    <row r="503" ht="15.75" customHeight="1">
      <c r="D503" s="146"/>
    </row>
    <row r="504" ht="15.75" customHeight="1">
      <c r="D504" s="146"/>
    </row>
    <row r="505" ht="15.75" customHeight="1">
      <c r="D505" s="146"/>
    </row>
    <row r="506" ht="15.75" customHeight="1">
      <c r="D506" s="146"/>
    </row>
    <row r="507" ht="15.75" customHeight="1">
      <c r="D507" s="146"/>
    </row>
    <row r="508" ht="15.75" customHeight="1">
      <c r="D508" s="146"/>
    </row>
    <row r="509" ht="15.75" customHeight="1">
      <c r="D509" s="146"/>
    </row>
    <row r="510" ht="15.75" customHeight="1">
      <c r="D510" s="146"/>
    </row>
    <row r="511" ht="15.75" customHeight="1">
      <c r="D511" s="146"/>
    </row>
    <row r="512" ht="15.75" customHeight="1">
      <c r="D512" s="146"/>
    </row>
    <row r="513" ht="15.75" customHeight="1">
      <c r="D513" s="146"/>
    </row>
    <row r="514" ht="15.75" customHeight="1">
      <c r="D514" s="146"/>
    </row>
    <row r="515" ht="15.75" customHeight="1">
      <c r="D515" s="146"/>
    </row>
    <row r="516" ht="15.75" customHeight="1">
      <c r="D516" s="146"/>
    </row>
    <row r="517" ht="15.75" customHeight="1">
      <c r="D517" s="146"/>
    </row>
    <row r="518" ht="15.75" customHeight="1">
      <c r="D518" s="146"/>
    </row>
    <row r="519" ht="15.75" customHeight="1">
      <c r="D519" s="146"/>
    </row>
    <row r="520" ht="15.75" customHeight="1">
      <c r="D520" s="146"/>
    </row>
    <row r="521" ht="15.75" customHeight="1">
      <c r="D521" s="146"/>
    </row>
    <row r="522" ht="15.75" customHeight="1">
      <c r="D522" s="146"/>
    </row>
    <row r="523" ht="15.75" customHeight="1">
      <c r="D523" s="146"/>
    </row>
    <row r="524" ht="15.75" customHeight="1">
      <c r="D524" s="146"/>
    </row>
    <row r="525" ht="15.75" customHeight="1">
      <c r="D525" s="146"/>
    </row>
    <row r="526" ht="15.75" customHeight="1">
      <c r="D526" s="146"/>
    </row>
    <row r="527" ht="15.75" customHeight="1">
      <c r="D527" s="146"/>
    </row>
    <row r="528" ht="15.75" customHeight="1">
      <c r="D528" s="146"/>
    </row>
    <row r="529" ht="15.75" customHeight="1">
      <c r="D529" s="146"/>
    </row>
    <row r="530" ht="15.75" customHeight="1">
      <c r="D530" s="146"/>
    </row>
    <row r="531" ht="15.75" customHeight="1">
      <c r="D531" s="146"/>
    </row>
    <row r="532" ht="15.75" customHeight="1">
      <c r="D532" s="146"/>
    </row>
    <row r="533" ht="15.75" customHeight="1">
      <c r="D533" s="146"/>
    </row>
    <row r="534" ht="15.75" customHeight="1">
      <c r="D534" s="146"/>
    </row>
    <row r="535" ht="15.75" customHeight="1">
      <c r="D535" s="146"/>
    </row>
    <row r="536" ht="15.75" customHeight="1">
      <c r="D536" s="146"/>
    </row>
    <row r="537" ht="15.75" customHeight="1">
      <c r="D537" s="146"/>
    </row>
    <row r="538" ht="15.75" customHeight="1">
      <c r="D538" s="146"/>
    </row>
    <row r="539" ht="15.75" customHeight="1">
      <c r="D539" s="146"/>
    </row>
    <row r="540" ht="15.75" customHeight="1">
      <c r="D540" s="146"/>
    </row>
    <row r="541" ht="15.75" customHeight="1">
      <c r="D541" s="146"/>
    </row>
    <row r="542" ht="15.75" customHeight="1">
      <c r="D542" s="146"/>
    </row>
    <row r="543" ht="15.75" customHeight="1">
      <c r="D543" s="146"/>
    </row>
    <row r="544" ht="15.75" customHeight="1">
      <c r="D544" s="146"/>
    </row>
    <row r="545" ht="15.75" customHeight="1">
      <c r="D545" s="146"/>
    </row>
    <row r="546" ht="15.75" customHeight="1">
      <c r="D546" s="146"/>
    </row>
    <row r="547" ht="15.75" customHeight="1">
      <c r="D547" s="146"/>
    </row>
    <row r="548" ht="15.75" customHeight="1">
      <c r="D548" s="146"/>
    </row>
    <row r="549" ht="15.75" customHeight="1">
      <c r="D549" s="146"/>
    </row>
    <row r="550" ht="15.75" customHeight="1">
      <c r="D550" s="146"/>
    </row>
    <row r="551" ht="15.75" customHeight="1">
      <c r="D551" s="146"/>
    </row>
    <row r="552" ht="15.75" customHeight="1">
      <c r="D552" s="146"/>
    </row>
    <row r="553" ht="15.75" customHeight="1">
      <c r="D553" s="146"/>
    </row>
    <row r="554" ht="15.75" customHeight="1">
      <c r="D554" s="146"/>
    </row>
    <row r="555" ht="15.75" customHeight="1">
      <c r="D555" s="146"/>
    </row>
    <row r="556" ht="15.75" customHeight="1">
      <c r="D556" s="146"/>
    </row>
    <row r="557" ht="15.75" customHeight="1">
      <c r="D557" s="146"/>
    </row>
    <row r="558" ht="15.75" customHeight="1">
      <c r="D558" s="146"/>
    </row>
    <row r="559" ht="15.75" customHeight="1">
      <c r="D559" s="146"/>
    </row>
    <row r="560" ht="15.75" customHeight="1">
      <c r="D560" s="146"/>
    </row>
    <row r="561" ht="15.75" customHeight="1">
      <c r="D561" s="146"/>
    </row>
    <row r="562" ht="15.75" customHeight="1">
      <c r="D562" s="146"/>
    </row>
    <row r="563" ht="15.75" customHeight="1">
      <c r="D563" s="146"/>
    </row>
    <row r="564" ht="15.75" customHeight="1">
      <c r="D564" s="146"/>
    </row>
    <row r="565" ht="15.75" customHeight="1">
      <c r="D565" s="146"/>
    </row>
    <row r="566" ht="15.75" customHeight="1">
      <c r="D566" s="146"/>
    </row>
    <row r="567" ht="15.75" customHeight="1">
      <c r="D567" s="146"/>
    </row>
    <row r="568" ht="15.75" customHeight="1">
      <c r="D568" s="146"/>
    </row>
    <row r="569" ht="15.75" customHeight="1">
      <c r="D569" s="146"/>
    </row>
    <row r="570" ht="15.75" customHeight="1">
      <c r="D570" s="146"/>
    </row>
    <row r="571" ht="15.75" customHeight="1">
      <c r="D571" s="146"/>
    </row>
    <row r="572" ht="15.75" customHeight="1">
      <c r="D572" s="146"/>
    </row>
    <row r="573" ht="15.75" customHeight="1">
      <c r="D573" s="146"/>
    </row>
    <row r="574" ht="15.75" customHeight="1">
      <c r="D574" s="146"/>
    </row>
    <row r="575" ht="15.75" customHeight="1">
      <c r="D575" s="146"/>
    </row>
    <row r="576" ht="15.75" customHeight="1">
      <c r="D576" s="146"/>
    </row>
    <row r="577" ht="15.75" customHeight="1">
      <c r="D577" s="146"/>
    </row>
    <row r="578" ht="15.75" customHeight="1">
      <c r="D578" s="146"/>
    </row>
    <row r="579" ht="15.75" customHeight="1">
      <c r="D579" s="146"/>
    </row>
    <row r="580" ht="15.75" customHeight="1">
      <c r="D580" s="146"/>
    </row>
    <row r="581" ht="15.75" customHeight="1">
      <c r="D581" s="146"/>
    </row>
    <row r="582" ht="15.75" customHeight="1">
      <c r="D582" s="146"/>
    </row>
    <row r="583" ht="15.75" customHeight="1">
      <c r="D583" s="146"/>
    </row>
    <row r="584" ht="15.75" customHeight="1">
      <c r="D584" s="146"/>
    </row>
    <row r="585" ht="15.75" customHeight="1">
      <c r="D585" s="146"/>
    </row>
    <row r="586" ht="15.75" customHeight="1">
      <c r="D586" s="146"/>
    </row>
    <row r="587" ht="15.75" customHeight="1">
      <c r="D587" s="146"/>
    </row>
    <row r="588" ht="15.75" customHeight="1">
      <c r="D588" s="146"/>
    </row>
    <row r="589" ht="15.75" customHeight="1">
      <c r="D589" s="146"/>
    </row>
    <row r="590" ht="15.75" customHeight="1">
      <c r="D590" s="146"/>
    </row>
    <row r="591" ht="15.75" customHeight="1">
      <c r="D591" s="146"/>
    </row>
    <row r="592" ht="15.75" customHeight="1">
      <c r="D592" s="146"/>
    </row>
    <row r="593" ht="15.75" customHeight="1">
      <c r="D593" s="146"/>
    </row>
    <row r="594" ht="15.75" customHeight="1">
      <c r="D594" s="146"/>
    </row>
    <row r="595" ht="15.75" customHeight="1">
      <c r="D595" s="146"/>
    </row>
    <row r="596" ht="15.75" customHeight="1">
      <c r="D596" s="146"/>
    </row>
    <row r="597" ht="15.75" customHeight="1">
      <c r="D597" s="146"/>
    </row>
    <row r="598" ht="15.75" customHeight="1">
      <c r="D598" s="146"/>
    </row>
    <row r="599" ht="15.75" customHeight="1">
      <c r="D599" s="146"/>
    </row>
    <row r="600" ht="15.75" customHeight="1">
      <c r="D600" s="146"/>
    </row>
    <row r="601" ht="15.75" customHeight="1">
      <c r="D601" s="146"/>
    </row>
    <row r="602" ht="15.75" customHeight="1">
      <c r="D602" s="146"/>
    </row>
    <row r="603" ht="15.75" customHeight="1">
      <c r="D603" s="146"/>
    </row>
    <row r="604" ht="15.75" customHeight="1">
      <c r="D604" s="146"/>
    </row>
    <row r="605" ht="15.75" customHeight="1">
      <c r="D605" s="146"/>
    </row>
    <row r="606" ht="15.75" customHeight="1">
      <c r="D606" s="146"/>
    </row>
    <row r="607" ht="15.75" customHeight="1">
      <c r="D607" s="146"/>
    </row>
    <row r="608" ht="15.75" customHeight="1">
      <c r="D608" s="146"/>
    </row>
    <row r="609" ht="15.75" customHeight="1">
      <c r="D609" s="146"/>
    </row>
    <row r="610" ht="15.75" customHeight="1">
      <c r="D610" s="146"/>
    </row>
    <row r="611" ht="15.75" customHeight="1">
      <c r="D611" s="146"/>
    </row>
    <row r="612" ht="15.75" customHeight="1">
      <c r="D612" s="146"/>
    </row>
    <row r="613" ht="15.75" customHeight="1">
      <c r="D613" s="146"/>
    </row>
    <row r="614" ht="15.75" customHeight="1">
      <c r="D614" s="146"/>
    </row>
    <row r="615" ht="15.75" customHeight="1">
      <c r="D615" s="146"/>
    </row>
    <row r="616" ht="15.75" customHeight="1">
      <c r="D616" s="146"/>
    </row>
    <row r="617" ht="15.75" customHeight="1">
      <c r="D617" s="146"/>
    </row>
    <row r="618" ht="15.75" customHeight="1">
      <c r="D618" s="146"/>
    </row>
    <row r="619" ht="15.75" customHeight="1">
      <c r="D619" s="146"/>
    </row>
    <row r="620" ht="15.75" customHeight="1">
      <c r="D620" s="146"/>
    </row>
    <row r="621" ht="15.75" customHeight="1">
      <c r="D621" s="146"/>
    </row>
    <row r="622" ht="15.75" customHeight="1">
      <c r="D622" s="146"/>
    </row>
    <row r="623" ht="15.75" customHeight="1">
      <c r="D623" s="146"/>
    </row>
    <row r="624" ht="15.75" customHeight="1">
      <c r="D624" s="146"/>
    </row>
    <row r="625" ht="15.75" customHeight="1">
      <c r="D625" s="146"/>
    </row>
    <row r="626" ht="15.75" customHeight="1">
      <c r="D626" s="146"/>
    </row>
    <row r="627" ht="15.75" customHeight="1">
      <c r="D627" s="146"/>
    </row>
    <row r="628" ht="15.75" customHeight="1">
      <c r="D628" s="146"/>
    </row>
    <row r="629" ht="15.75" customHeight="1">
      <c r="D629" s="146"/>
    </row>
    <row r="630" ht="15.75" customHeight="1">
      <c r="D630" s="146"/>
    </row>
    <row r="631" ht="15.75" customHeight="1">
      <c r="D631" s="146"/>
    </row>
    <row r="632" ht="15.75" customHeight="1">
      <c r="D632" s="146"/>
    </row>
    <row r="633" ht="15.75" customHeight="1">
      <c r="D633" s="146"/>
    </row>
    <row r="634" ht="15.75" customHeight="1">
      <c r="D634" s="146"/>
    </row>
    <row r="635" ht="15.75" customHeight="1">
      <c r="D635" s="146"/>
    </row>
    <row r="636" ht="15.75" customHeight="1">
      <c r="D636" s="146"/>
    </row>
    <row r="637" ht="15.75" customHeight="1">
      <c r="D637" s="146"/>
    </row>
    <row r="638" ht="15.75" customHeight="1">
      <c r="D638" s="146"/>
    </row>
    <row r="639" ht="15.75" customHeight="1">
      <c r="D639" s="146"/>
    </row>
    <row r="640" ht="15.75" customHeight="1">
      <c r="D640" s="146"/>
    </row>
    <row r="641" ht="15.75" customHeight="1">
      <c r="D641" s="146"/>
    </row>
    <row r="642" ht="15.75" customHeight="1">
      <c r="D642" s="146"/>
    </row>
    <row r="643" ht="15.75" customHeight="1">
      <c r="D643" s="146"/>
    </row>
    <row r="644" ht="15.75" customHeight="1">
      <c r="D644" s="146"/>
    </row>
    <row r="645" ht="15.75" customHeight="1">
      <c r="D645" s="146"/>
    </row>
    <row r="646" ht="15.75" customHeight="1">
      <c r="D646" s="146"/>
    </row>
    <row r="647" ht="15.75" customHeight="1">
      <c r="D647" s="146"/>
    </row>
    <row r="648" ht="15.75" customHeight="1">
      <c r="D648" s="146"/>
    </row>
    <row r="649" ht="15.75" customHeight="1">
      <c r="D649" s="146"/>
    </row>
    <row r="650" ht="15.75" customHeight="1">
      <c r="D650" s="146"/>
    </row>
    <row r="651" ht="15.75" customHeight="1">
      <c r="D651" s="146"/>
    </row>
    <row r="652" ht="15.75" customHeight="1">
      <c r="D652" s="146"/>
    </row>
    <row r="653" ht="15.75" customHeight="1">
      <c r="D653" s="146"/>
    </row>
    <row r="654" ht="15.75" customHeight="1">
      <c r="D654" s="146"/>
    </row>
    <row r="655" ht="15.75" customHeight="1">
      <c r="D655" s="146"/>
    </row>
    <row r="656" ht="15.75" customHeight="1">
      <c r="D656" s="146"/>
    </row>
    <row r="657" ht="15.75" customHeight="1">
      <c r="D657" s="146"/>
    </row>
    <row r="658" ht="15.75" customHeight="1">
      <c r="D658" s="146"/>
    </row>
    <row r="659" ht="15.75" customHeight="1">
      <c r="D659" s="146"/>
    </row>
    <row r="660" ht="15.75" customHeight="1">
      <c r="D660" s="146"/>
    </row>
    <row r="661" ht="15.75" customHeight="1">
      <c r="D661" s="146"/>
    </row>
    <row r="662" ht="15.75" customHeight="1">
      <c r="D662" s="146"/>
    </row>
    <row r="663" ht="15.75" customHeight="1">
      <c r="D663" s="146"/>
    </row>
    <row r="664" ht="15.75" customHeight="1">
      <c r="D664" s="146"/>
    </row>
    <row r="665" ht="15.75" customHeight="1">
      <c r="D665" s="146"/>
    </row>
    <row r="666" ht="15.75" customHeight="1">
      <c r="D666" s="146"/>
    </row>
    <row r="667" ht="15.75" customHeight="1">
      <c r="D667" s="146"/>
    </row>
    <row r="668" ht="15.75" customHeight="1">
      <c r="D668" s="146"/>
    </row>
    <row r="669" ht="15.75" customHeight="1">
      <c r="D669" s="146"/>
    </row>
    <row r="670" ht="15.75" customHeight="1">
      <c r="D670" s="146"/>
    </row>
    <row r="671" ht="15.75" customHeight="1">
      <c r="D671" s="146"/>
    </row>
    <row r="672" ht="15.75" customHeight="1">
      <c r="D672" s="146"/>
    </row>
    <row r="673" ht="15.75" customHeight="1">
      <c r="D673" s="146"/>
    </row>
    <row r="674" ht="15.75" customHeight="1">
      <c r="D674" s="146"/>
    </row>
    <row r="675" ht="15.75" customHeight="1">
      <c r="D675" s="146"/>
    </row>
    <row r="676" ht="15.75" customHeight="1">
      <c r="D676" s="146"/>
    </row>
    <row r="677" ht="15.75" customHeight="1">
      <c r="D677" s="146"/>
    </row>
    <row r="678" ht="15.75" customHeight="1">
      <c r="D678" s="146"/>
    </row>
    <row r="679" ht="15.75" customHeight="1">
      <c r="D679" s="146"/>
    </row>
    <row r="680" ht="15.75" customHeight="1">
      <c r="D680" s="146"/>
    </row>
    <row r="681" ht="15.75" customHeight="1">
      <c r="D681" s="146"/>
    </row>
    <row r="682" ht="15.75" customHeight="1">
      <c r="D682" s="146"/>
    </row>
    <row r="683" ht="15.75" customHeight="1">
      <c r="D683" s="146"/>
    </row>
    <row r="684" ht="15.75" customHeight="1">
      <c r="D684" s="146"/>
    </row>
    <row r="685" ht="15.75" customHeight="1">
      <c r="D685" s="146"/>
    </row>
    <row r="686" ht="15.75" customHeight="1">
      <c r="D686" s="146"/>
    </row>
    <row r="687" ht="15.75" customHeight="1">
      <c r="D687" s="146"/>
    </row>
    <row r="688" ht="15.75" customHeight="1">
      <c r="D688" s="146"/>
    </row>
    <row r="689" ht="15.75" customHeight="1">
      <c r="D689" s="146"/>
    </row>
    <row r="690" ht="15.75" customHeight="1">
      <c r="D690" s="146"/>
    </row>
    <row r="691" ht="15.75" customHeight="1">
      <c r="D691" s="146"/>
    </row>
    <row r="692" ht="15.75" customHeight="1">
      <c r="D692" s="146"/>
    </row>
    <row r="693" ht="15.75" customHeight="1">
      <c r="D693" s="146"/>
    </row>
    <row r="694" ht="15.75" customHeight="1">
      <c r="D694" s="146"/>
    </row>
    <row r="695" ht="15.75" customHeight="1">
      <c r="D695" s="146"/>
    </row>
    <row r="696" ht="15.75" customHeight="1">
      <c r="D696" s="146"/>
    </row>
    <row r="697" ht="15.75" customHeight="1">
      <c r="D697" s="146"/>
    </row>
    <row r="698" ht="15.75" customHeight="1">
      <c r="D698" s="146"/>
    </row>
    <row r="699" ht="15.75" customHeight="1">
      <c r="D699" s="146"/>
    </row>
    <row r="700" ht="15.75" customHeight="1">
      <c r="D700" s="146"/>
    </row>
    <row r="701" ht="15.75" customHeight="1">
      <c r="D701" s="146"/>
    </row>
    <row r="702" ht="15.75" customHeight="1">
      <c r="D702" s="146"/>
    </row>
    <row r="703" ht="15.75" customHeight="1">
      <c r="D703" s="146"/>
    </row>
    <row r="704" ht="15.75" customHeight="1">
      <c r="D704" s="146"/>
    </row>
    <row r="705" ht="15.75" customHeight="1">
      <c r="D705" s="146"/>
    </row>
    <row r="706" ht="15.75" customHeight="1">
      <c r="D706" s="146"/>
    </row>
    <row r="707" ht="15.75" customHeight="1">
      <c r="D707" s="146"/>
    </row>
    <row r="708" ht="15.75" customHeight="1">
      <c r="D708" s="146"/>
    </row>
    <row r="709" ht="15.75" customHeight="1">
      <c r="D709" s="146"/>
    </row>
    <row r="710" ht="15.75" customHeight="1">
      <c r="D710" s="146"/>
    </row>
    <row r="711" ht="15.75" customHeight="1">
      <c r="D711" s="146"/>
    </row>
    <row r="712" ht="15.75" customHeight="1">
      <c r="D712" s="146"/>
    </row>
    <row r="713" ht="15.75" customHeight="1">
      <c r="D713" s="146"/>
    </row>
    <row r="714" ht="15.75" customHeight="1">
      <c r="D714" s="146"/>
    </row>
    <row r="715" ht="15.75" customHeight="1">
      <c r="D715" s="146"/>
    </row>
    <row r="716" ht="15.75" customHeight="1">
      <c r="D716" s="146"/>
    </row>
    <row r="717" ht="15.75" customHeight="1">
      <c r="D717" s="146"/>
    </row>
    <row r="718" ht="15.75" customHeight="1">
      <c r="D718" s="146"/>
    </row>
    <row r="719" ht="15.75" customHeight="1">
      <c r="D719" s="146"/>
    </row>
    <row r="720" ht="15.75" customHeight="1">
      <c r="D720" s="146"/>
    </row>
    <row r="721" ht="15.75" customHeight="1">
      <c r="D721" s="146"/>
    </row>
    <row r="722" ht="15.75" customHeight="1">
      <c r="D722" s="146"/>
    </row>
    <row r="723" ht="15.75" customHeight="1">
      <c r="D723" s="146"/>
    </row>
    <row r="724" ht="15.75" customHeight="1">
      <c r="D724" s="146"/>
    </row>
    <row r="725" ht="15.75" customHeight="1">
      <c r="D725" s="146"/>
    </row>
    <row r="726" ht="15.75" customHeight="1">
      <c r="D726" s="146"/>
    </row>
    <row r="727" ht="15.75" customHeight="1">
      <c r="D727" s="146"/>
    </row>
    <row r="728" ht="15.75" customHeight="1">
      <c r="D728" s="146"/>
    </row>
    <row r="729" ht="15.75" customHeight="1">
      <c r="D729" s="146"/>
    </row>
    <row r="730" ht="15.75" customHeight="1">
      <c r="D730" s="146"/>
    </row>
    <row r="731" ht="15.75" customHeight="1">
      <c r="D731" s="146"/>
    </row>
    <row r="732" ht="15.75" customHeight="1">
      <c r="D732" s="146"/>
    </row>
    <row r="733" ht="15.75" customHeight="1">
      <c r="D733" s="146"/>
    </row>
    <row r="734" ht="15.75" customHeight="1">
      <c r="D734" s="146"/>
    </row>
    <row r="735" ht="15.75" customHeight="1">
      <c r="D735" s="146"/>
    </row>
    <row r="736" ht="15.75" customHeight="1">
      <c r="D736" s="146"/>
    </row>
    <row r="737" ht="15.75" customHeight="1">
      <c r="D737" s="146"/>
    </row>
    <row r="738" ht="15.75" customHeight="1">
      <c r="D738" s="146"/>
    </row>
    <row r="739" ht="15.75" customHeight="1">
      <c r="D739" s="146"/>
    </row>
    <row r="740" ht="15.75" customHeight="1">
      <c r="D740" s="146"/>
    </row>
    <row r="741" ht="15.75" customHeight="1">
      <c r="D741" s="146"/>
    </row>
    <row r="742" ht="15.75" customHeight="1">
      <c r="D742" s="146"/>
    </row>
    <row r="743" ht="15.75" customHeight="1">
      <c r="D743" s="146"/>
    </row>
    <row r="744" ht="15.75" customHeight="1">
      <c r="D744" s="146"/>
    </row>
    <row r="745" ht="15.75" customHeight="1">
      <c r="D745" s="146"/>
    </row>
    <row r="746" ht="15.75" customHeight="1">
      <c r="D746" s="146"/>
    </row>
    <row r="747" ht="15.75" customHeight="1">
      <c r="D747" s="146"/>
    </row>
    <row r="748" ht="15.75" customHeight="1">
      <c r="D748" s="146"/>
    </row>
    <row r="749" ht="15.75" customHeight="1">
      <c r="D749" s="146"/>
    </row>
    <row r="750" ht="15.75" customHeight="1">
      <c r="D750" s="146"/>
    </row>
    <row r="751" ht="15.75" customHeight="1">
      <c r="D751" s="146"/>
    </row>
    <row r="752" ht="15.75" customHeight="1">
      <c r="D752" s="146"/>
    </row>
    <row r="753" ht="15.75" customHeight="1">
      <c r="D753" s="146"/>
    </row>
    <row r="754" ht="15.75" customHeight="1">
      <c r="D754" s="146"/>
    </row>
    <row r="755" ht="15.75" customHeight="1">
      <c r="D755" s="146"/>
    </row>
    <row r="756" ht="15.75" customHeight="1">
      <c r="D756" s="146"/>
    </row>
    <row r="757" ht="15.75" customHeight="1">
      <c r="D757" s="146"/>
    </row>
    <row r="758" ht="15.75" customHeight="1">
      <c r="D758" s="146"/>
    </row>
    <row r="759" ht="15.75" customHeight="1">
      <c r="D759" s="146"/>
    </row>
    <row r="760" ht="15.75" customHeight="1">
      <c r="D760" s="146"/>
    </row>
    <row r="761" ht="15.75" customHeight="1">
      <c r="D761" s="146"/>
    </row>
    <row r="762" ht="15.75" customHeight="1">
      <c r="D762" s="146"/>
    </row>
    <row r="763" ht="15.75" customHeight="1">
      <c r="D763" s="146"/>
    </row>
    <row r="764" ht="15.75" customHeight="1">
      <c r="D764" s="146"/>
    </row>
    <row r="765" ht="15.75" customHeight="1">
      <c r="D765" s="146"/>
    </row>
    <row r="766" ht="15.75" customHeight="1">
      <c r="D766" s="146"/>
    </row>
    <row r="767" ht="15.75" customHeight="1">
      <c r="D767" s="146"/>
    </row>
    <row r="768" ht="15.75" customHeight="1">
      <c r="D768" s="146"/>
    </row>
    <row r="769" ht="15.75" customHeight="1">
      <c r="D769" s="146"/>
    </row>
    <row r="770" ht="15.75" customHeight="1">
      <c r="D770" s="146"/>
    </row>
    <row r="771" ht="15.75" customHeight="1">
      <c r="D771" s="146"/>
    </row>
    <row r="772" ht="15.75" customHeight="1">
      <c r="D772" s="146"/>
    </row>
    <row r="773" ht="15.75" customHeight="1">
      <c r="D773" s="146"/>
    </row>
    <row r="774" ht="15.75" customHeight="1">
      <c r="D774" s="146"/>
    </row>
    <row r="775" ht="15.75" customHeight="1">
      <c r="D775" s="146"/>
    </row>
    <row r="776" ht="15.75" customHeight="1">
      <c r="D776" s="146"/>
    </row>
    <row r="777" ht="15.75" customHeight="1">
      <c r="D777" s="146"/>
    </row>
    <row r="778" ht="15.75" customHeight="1">
      <c r="D778" s="146"/>
    </row>
    <row r="779" ht="15.75" customHeight="1">
      <c r="D779" s="146"/>
    </row>
    <row r="780" ht="15.75" customHeight="1">
      <c r="D780" s="146"/>
    </row>
    <row r="781" ht="15.75" customHeight="1">
      <c r="D781" s="146"/>
    </row>
    <row r="782" ht="15.75" customHeight="1">
      <c r="D782" s="146"/>
    </row>
    <row r="783" ht="15.75" customHeight="1">
      <c r="D783" s="146"/>
    </row>
    <row r="784" ht="15.75" customHeight="1">
      <c r="D784" s="146"/>
    </row>
    <row r="785" ht="15.75" customHeight="1">
      <c r="D785" s="146"/>
    </row>
    <row r="786" ht="15.75" customHeight="1">
      <c r="D786" s="146"/>
    </row>
    <row r="787" ht="15.75" customHeight="1">
      <c r="D787" s="146"/>
    </row>
    <row r="788" ht="15.75" customHeight="1">
      <c r="D788" s="146"/>
    </row>
    <row r="789" ht="15.75" customHeight="1">
      <c r="D789" s="146"/>
    </row>
    <row r="790" ht="15.75" customHeight="1">
      <c r="D790" s="146"/>
    </row>
    <row r="791" ht="15.75" customHeight="1">
      <c r="D791" s="146"/>
    </row>
    <row r="792" ht="15.75" customHeight="1">
      <c r="D792" s="146"/>
    </row>
    <row r="793" ht="15.75" customHeight="1">
      <c r="D793" s="146"/>
    </row>
    <row r="794" ht="15.75" customHeight="1">
      <c r="D794" s="146"/>
    </row>
    <row r="795" ht="15.75" customHeight="1">
      <c r="D795" s="146"/>
    </row>
    <row r="796" ht="15.75" customHeight="1">
      <c r="D796" s="146"/>
    </row>
    <row r="797" ht="15.75" customHeight="1">
      <c r="D797" s="146"/>
    </row>
    <row r="798" ht="15.75" customHeight="1">
      <c r="D798" s="146"/>
    </row>
    <row r="799" ht="15.75" customHeight="1">
      <c r="D799" s="146"/>
    </row>
    <row r="800" ht="15.75" customHeight="1">
      <c r="D800" s="146"/>
    </row>
    <row r="801" ht="15.75" customHeight="1">
      <c r="D801" s="146"/>
    </row>
    <row r="802" ht="15.75" customHeight="1">
      <c r="D802" s="146"/>
    </row>
    <row r="803" ht="15.75" customHeight="1">
      <c r="D803" s="146"/>
    </row>
    <row r="804" ht="15.75" customHeight="1">
      <c r="D804" s="146"/>
    </row>
    <row r="805" ht="15.75" customHeight="1">
      <c r="D805" s="146"/>
    </row>
    <row r="806" ht="15.75" customHeight="1">
      <c r="D806" s="146"/>
    </row>
    <row r="807" ht="15.75" customHeight="1">
      <c r="D807" s="146"/>
    </row>
    <row r="808" ht="15.75" customHeight="1">
      <c r="D808" s="146"/>
    </row>
    <row r="809" ht="15.75" customHeight="1">
      <c r="D809" s="146"/>
    </row>
    <row r="810" ht="15.75" customHeight="1">
      <c r="D810" s="146"/>
    </row>
    <row r="811" ht="15.75" customHeight="1">
      <c r="D811" s="146"/>
    </row>
    <row r="812" ht="15.75" customHeight="1">
      <c r="D812" s="146"/>
    </row>
    <row r="813" ht="15.75" customHeight="1">
      <c r="D813" s="146"/>
    </row>
    <row r="814" ht="15.75" customHeight="1">
      <c r="D814" s="146"/>
    </row>
    <row r="815" ht="15.75" customHeight="1">
      <c r="D815" s="146"/>
    </row>
    <row r="816" ht="15.75" customHeight="1">
      <c r="D816" s="146"/>
    </row>
    <row r="817" ht="15.75" customHeight="1">
      <c r="D817" s="146"/>
    </row>
    <row r="818" ht="15.75" customHeight="1">
      <c r="D818" s="146"/>
    </row>
    <row r="819" ht="15.75" customHeight="1">
      <c r="D819" s="146"/>
    </row>
    <row r="820" ht="15.75" customHeight="1">
      <c r="D820" s="146"/>
    </row>
    <row r="821" ht="15.75" customHeight="1">
      <c r="D821" s="146"/>
    </row>
    <row r="822" ht="15.75" customHeight="1">
      <c r="D822" s="146"/>
    </row>
    <row r="823" ht="15.75" customHeight="1">
      <c r="D823" s="146"/>
    </row>
    <row r="824" ht="15.75" customHeight="1">
      <c r="D824" s="146"/>
    </row>
    <row r="825" ht="15.75" customHeight="1">
      <c r="D825" s="146"/>
    </row>
    <row r="826" ht="15.75" customHeight="1">
      <c r="D826" s="146"/>
    </row>
    <row r="827" ht="15.75" customHeight="1">
      <c r="D827" s="146"/>
    </row>
    <row r="828" ht="15.75" customHeight="1">
      <c r="D828" s="146"/>
    </row>
    <row r="829" ht="15.75" customHeight="1">
      <c r="D829" s="146"/>
    </row>
    <row r="830" ht="15.75" customHeight="1">
      <c r="D830" s="146"/>
    </row>
    <row r="831" ht="15.75" customHeight="1">
      <c r="D831" s="146"/>
    </row>
    <row r="832" ht="15.75" customHeight="1">
      <c r="D832" s="146"/>
    </row>
    <row r="833" ht="15.75" customHeight="1">
      <c r="D833" s="146"/>
    </row>
    <row r="834" ht="15.75" customHeight="1">
      <c r="D834" s="146"/>
    </row>
    <row r="835" ht="15.75" customHeight="1">
      <c r="D835" s="146"/>
    </row>
    <row r="836" ht="15.75" customHeight="1">
      <c r="D836" s="146"/>
    </row>
    <row r="837" ht="15.75" customHeight="1">
      <c r="D837" s="146"/>
    </row>
    <row r="838" ht="15.75" customHeight="1">
      <c r="D838" s="146"/>
    </row>
    <row r="839" ht="15.75" customHeight="1">
      <c r="D839" s="146"/>
    </row>
    <row r="840" ht="15.75" customHeight="1">
      <c r="D840" s="146"/>
    </row>
    <row r="841" ht="15.75" customHeight="1">
      <c r="D841" s="146"/>
    </row>
    <row r="842" ht="15.75" customHeight="1">
      <c r="D842" s="146"/>
    </row>
    <row r="843" ht="15.75" customHeight="1">
      <c r="D843" s="146"/>
    </row>
    <row r="844" ht="15.75" customHeight="1">
      <c r="D844" s="146"/>
    </row>
    <row r="845" ht="15.75" customHeight="1">
      <c r="D845" s="146"/>
    </row>
    <row r="846" ht="15.75" customHeight="1">
      <c r="D846" s="146"/>
    </row>
    <row r="847" ht="15.75" customHeight="1">
      <c r="D847" s="146"/>
    </row>
    <row r="848" ht="15.75" customHeight="1">
      <c r="D848" s="146"/>
    </row>
    <row r="849" ht="15.75" customHeight="1">
      <c r="D849" s="146"/>
    </row>
    <row r="850" ht="15.75" customHeight="1">
      <c r="D850" s="146"/>
    </row>
    <row r="851" ht="15.75" customHeight="1">
      <c r="D851" s="146"/>
    </row>
    <row r="852" ht="15.75" customHeight="1">
      <c r="D852" s="146"/>
    </row>
    <row r="853" ht="15.75" customHeight="1">
      <c r="D853" s="146"/>
    </row>
    <row r="854" ht="15.75" customHeight="1">
      <c r="D854" s="146"/>
    </row>
    <row r="855" ht="15.75" customHeight="1">
      <c r="D855" s="146"/>
    </row>
    <row r="856" ht="15.75" customHeight="1">
      <c r="D856" s="146"/>
    </row>
    <row r="857" ht="15.75" customHeight="1">
      <c r="D857" s="146"/>
    </row>
    <row r="858" ht="15.75" customHeight="1">
      <c r="D858" s="146"/>
    </row>
    <row r="859" ht="15.75" customHeight="1">
      <c r="D859" s="146"/>
    </row>
    <row r="860" ht="15.75" customHeight="1">
      <c r="D860" s="146"/>
    </row>
    <row r="861" ht="15.75" customHeight="1">
      <c r="D861" s="146"/>
    </row>
    <row r="862" ht="15.75" customHeight="1">
      <c r="D862" s="146"/>
    </row>
    <row r="863" ht="15.75" customHeight="1">
      <c r="D863" s="146"/>
    </row>
    <row r="864" ht="15.75" customHeight="1">
      <c r="D864" s="146"/>
    </row>
    <row r="865" ht="15.75" customHeight="1">
      <c r="D865" s="146"/>
    </row>
    <row r="866" ht="15.75" customHeight="1">
      <c r="D866" s="146"/>
    </row>
    <row r="867" ht="15.75" customHeight="1">
      <c r="D867" s="146"/>
    </row>
    <row r="868" ht="15.75" customHeight="1">
      <c r="D868" s="146"/>
    </row>
    <row r="869" ht="15.75" customHeight="1">
      <c r="D869" s="146"/>
    </row>
    <row r="870" ht="15.75" customHeight="1">
      <c r="D870" s="146"/>
    </row>
    <row r="871" ht="15.75" customHeight="1">
      <c r="D871" s="146"/>
    </row>
    <row r="872" ht="15.75" customHeight="1">
      <c r="D872" s="146"/>
    </row>
    <row r="873" ht="15.75" customHeight="1">
      <c r="D873" s="146"/>
    </row>
    <row r="874" ht="15.75" customHeight="1">
      <c r="D874" s="146"/>
    </row>
    <row r="875" ht="15.75" customHeight="1">
      <c r="D875" s="146"/>
    </row>
    <row r="876" ht="15.75" customHeight="1">
      <c r="D876" s="146"/>
    </row>
    <row r="877" ht="15.75" customHeight="1">
      <c r="D877" s="146"/>
    </row>
    <row r="878" ht="15.75" customHeight="1">
      <c r="D878" s="146"/>
    </row>
    <row r="879" ht="15.75" customHeight="1">
      <c r="D879" s="146"/>
    </row>
    <row r="880" ht="15.75" customHeight="1">
      <c r="D880" s="146"/>
    </row>
    <row r="881" ht="15.75" customHeight="1">
      <c r="D881" s="146"/>
    </row>
    <row r="882" ht="15.75" customHeight="1">
      <c r="D882" s="146"/>
    </row>
    <row r="883" ht="15.75" customHeight="1">
      <c r="D883" s="146"/>
    </row>
    <row r="884" ht="15.75" customHeight="1">
      <c r="D884" s="146"/>
    </row>
    <row r="885" ht="15.75" customHeight="1">
      <c r="D885" s="146"/>
    </row>
    <row r="886" ht="15.75" customHeight="1">
      <c r="D886" s="146"/>
    </row>
    <row r="887" ht="15.75" customHeight="1">
      <c r="D887" s="146"/>
    </row>
    <row r="888" ht="15.75" customHeight="1">
      <c r="D888" s="146"/>
    </row>
    <row r="889" ht="15.75" customHeight="1">
      <c r="D889" s="146"/>
    </row>
    <row r="890" ht="15.75" customHeight="1">
      <c r="D890" s="146"/>
    </row>
    <row r="891" ht="15.75" customHeight="1">
      <c r="D891" s="146"/>
    </row>
    <row r="892" ht="15.75" customHeight="1">
      <c r="D892" s="146"/>
    </row>
    <row r="893" ht="15.75" customHeight="1">
      <c r="D893" s="146"/>
    </row>
    <row r="894" ht="15.75" customHeight="1">
      <c r="D894" s="146"/>
    </row>
    <row r="895" ht="15.75" customHeight="1">
      <c r="D895" s="146"/>
    </row>
    <row r="896" ht="15.75" customHeight="1">
      <c r="D896" s="146"/>
    </row>
    <row r="897" ht="15.75" customHeight="1">
      <c r="D897" s="146"/>
    </row>
    <row r="898" ht="15.75" customHeight="1">
      <c r="D898" s="146"/>
    </row>
    <row r="899" ht="15.75" customHeight="1">
      <c r="D899" s="146"/>
    </row>
    <row r="900" ht="15.75" customHeight="1">
      <c r="D900" s="146"/>
    </row>
    <row r="901" ht="15.75" customHeight="1">
      <c r="D901" s="146"/>
    </row>
    <row r="902" ht="15.75" customHeight="1">
      <c r="D902" s="146"/>
    </row>
    <row r="903" ht="15.75" customHeight="1">
      <c r="D903" s="146"/>
    </row>
    <row r="904" ht="15.75" customHeight="1">
      <c r="D904" s="146"/>
    </row>
    <row r="905" ht="15.75" customHeight="1">
      <c r="D905" s="146"/>
    </row>
    <row r="906" ht="15.75" customHeight="1">
      <c r="D906" s="146"/>
    </row>
    <row r="907" ht="15.75" customHeight="1">
      <c r="D907" s="146"/>
    </row>
    <row r="908" ht="15.75" customHeight="1">
      <c r="D908" s="146"/>
    </row>
    <row r="909" ht="15.75" customHeight="1">
      <c r="D909" s="146"/>
    </row>
    <row r="910" ht="15.75" customHeight="1">
      <c r="D910" s="146"/>
    </row>
    <row r="911" ht="15.75" customHeight="1">
      <c r="D911" s="146"/>
    </row>
    <row r="912" ht="15.75" customHeight="1">
      <c r="D912" s="146"/>
    </row>
    <row r="913" ht="15.75" customHeight="1">
      <c r="D913" s="146"/>
    </row>
    <row r="914" ht="15.75" customHeight="1">
      <c r="D914" s="146"/>
    </row>
    <row r="915" ht="15.75" customHeight="1">
      <c r="D915" s="146"/>
    </row>
    <row r="916" ht="15.75" customHeight="1">
      <c r="D916" s="146"/>
    </row>
    <row r="917" ht="15.75" customHeight="1">
      <c r="D917" s="146"/>
    </row>
    <row r="918" ht="15.75" customHeight="1">
      <c r="D918" s="146"/>
    </row>
    <row r="919" ht="15.75" customHeight="1">
      <c r="D919" s="146"/>
    </row>
    <row r="920" ht="15.75" customHeight="1">
      <c r="D920" s="146"/>
    </row>
    <row r="921" ht="15.75" customHeight="1">
      <c r="D921" s="146"/>
    </row>
    <row r="922" ht="15.75" customHeight="1">
      <c r="D922" s="146"/>
    </row>
    <row r="923" ht="15.75" customHeight="1">
      <c r="D923" s="146"/>
    </row>
    <row r="924" ht="15.75" customHeight="1">
      <c r="D924" s="146"/>
    </row>
    <row r="925" ht="15.75" customHeight="1">
      <c r="D925" s="146"/>
    </row>
    <row r="926" ht="15.75" customHeight="1">
      <c r="D926" s="146"/>
    </row>
    <row r="927" ht="15.75" customHeight="1">
      <c r="D927" s="146"/>
    </row>
    <row r="928" ht="15.75" customHeight="1">
      <c r="D928" s="146"/>
    </row>
    <row r="929" ht="15.75" customHeight="1">
      <c r="D929" s="146"/>
    </row>
    <row r="930" ht="15.75" customHeight="1">
      <c r="D930" s="146"/>
    </row>
    <row r="931" ht="15.75" customHeight="1">
      <c r="D931" s="146"/>
    </row>
    <row r="932" ht="15.75" customHeight="1">
      <c r="D932" s="146"/>
    </row>
    <row r="933" ht="15.75" customHeight="1">
      <c r="D933" s="146"/>
    </row>
    <row r="934" ht="15.75" customHeight="1">
      <c r="D934" s="146"/>
    </row>
    <row r="935" ht="15.75" customHeight="1">
      <c r="D935" s="146"/>
    </row>
    <row r="936" ht="15.75" customHeight="1">
      <c r="D936" s="146"/>
    </row>
    <row r="937" ht="15.75" customHeight="1">
      <c r="D937" s="146"/>
    </row>
    <row r="938" ht="15.75" customHeight="1">
      <c r="D938" s="146"/>
    </row>
    <row r="939" ht="15.75" customHeight="1">
      <c r="D939" s="146"/>
    </row>
    <row r="940" ht="15.75" customHeight="1">
      <c r="D940" s="146"/>
    </row>
    <row r="941" ht="15.75" customHeight="1">
      <c r="D941" s="146"/>
    </row>
    <row r="942" ht="15.75" customHeight="1">
      <c r="D942" s="146"/>
    </row>
    <row r="943" ht="15.75" customHeight="1">
      <c r="D943" s="146"/>
    </row>
    <row r="944" ht="15.75" customHeight="1">
      <c r="D944" s="146"/>
    </row>
    <row r="945" ht="15.75" customHeight="1">
      <c r="D945" s="146"/>
    </row>
    <row r="946" ht="15.75" customHeight="1">
      <c r="D946" s="146"/>
    </row>
    <row r="947" ht="15.75" customHeight="1">
      <c r="D947" s="146"/>
    </row>
    <row r="948" ht="15.75" customHeight="1">
      <c r="D948" s="146"/>
    </row>
    <row r="949" ht="15.75" customHeight="1">
      <c r="D949" s="146"/>
    </row>
    <row r="950" ht="15.75" customHeight="1">
      <c r="D950" s="146"/>
    </row>
    <row r="951" ht="15.75" customHeight="1">
      <c r="D951" s="146"/>
    </row>
    <row r="952" ht="15.75" customHeight="1">
      <c r="D952" s="146"/>
    </row>
    <row r="953" ht="15.75" customHeight="1">
      <c r="D953" s="146"/>
    </row>
    <row r="954" ht="15.75" customHeight="1">
      <c r="D954" s="146"/>
    </row>
    <row r="955" ht="15.75" customHeight="1">
      <c r="D955" s="146"/>
    </row>
    <row r="956" ht="15.75" customHeight="1">
      <c r="D956" s="146"/>
    </row>
    <row r="957" ht="15.75" customHeight="1">
      <c r="D957" s="146"/>
    </row>
    <row r="958" ht="15.75" customHeight="1">
      <c r="D958" s="146"/>
    </row>
    <row r="959" ht="15.75" customHeight="1">
      <c r="D959" s="146"/>
    </row>
    <row r="960" ht="15.75" customHeight="1">
      <c r="D960" s="146"/>
    </row>
    <row r="961" ht="15.75" customHeight="1">
      <c r="D961" s="146"/>
    </row>
    <row r="962" ht="15.75" customHeight="1">
      <c r="D962" s="146"/>
    </row>
    <row r="963" ht="15.75" customHeight="1">
      <c r="D963" s="146"/>
    </row>
    <row r="964" ht="15.75" customHeight="1">
      <c r="D964" s="146"/>
    </row>
    <row r="965" ht="15.75" customHeight="1">
      <c r="D965" s="146"/>
    </row>
    <row r="966" ht="15.75" customHeight="1">
      <c r="D966" s="146"/>
    </row>
    <row r="967" ht="15.75" customHeight="1">
      <c r="D967" s="146"/>
    </row>
    <row r="968" ht="15.75" customHeight="1">
      <c r="D968" s="146"/>
    </row>
    <row r="969" ht="15.75" customHeight="1">
      <c r="D969" s="146"/>
    </row>
    <row r="970" ht="15.75" customHeight="1">
      <c r="D970" s="146"/>
    </row>
    <row r="971" ht="15.75" customHeight="1">
      <c r="D971" s="146"/>
    </row>
    <row r="972" ht="15.75" customHeight="1">
      <c r="D972" s="146"/>
    </row>
    <row r="973" ht="15.75" customHeight="1">
      <c r="D973" s="146"/>
    </row>
    <row r="974" ht="15.75" customHeight="1">
      <c r="D974" s="146"/>
    </row>
    <row r="975" ht="15.75" customHeight="1">
      <c r="D975" s="146"/>
    </row>
    <row r="976" ht="15.75" customHeight="1">
      <c r="D976" s="146"/>
    </row>
    <row r="977" ht="15.75" customHeight="1">
      <c r="D977" s="146"/>
    </row>
    <row r="978" ht="15.75" customHeight="1">
      <c r="D978" s="146"/>
    </row>
    <row r="979" ht="15.75" customHeight="1">
      <c r="D979" s="146"/>
    </row>
    <row r="980" ht="15.75" customHeight="1">
      <c r="D980" s="146"/>
    </row>
    <row r="981" ht="15.75" customHeight="1">
      <c r="D981" s="146"/>
    </row>
    <row r="982" ht="15.75" customHeight="1">
      <c r="D982" s="146"/>
    </row>
    <row r="983" ht="15.75" customHeight="1">
      <c r="D983" s="146"/>
    </row>
    <row r="984" ht="15.75" customHeight="1">
      <c r="D984" s="146"/>
    </row>
    <row r="985" ht="15.75" customHeight="1">
      <c r="D985" s="146"/>
    </row>
    <row r="986" ht="15.75" customHeight="1">
      <c r="D986" s="146"/>
    </row>
    <row r="987" ht="15.75" customHeight="1">
      <c r="D987" s="146"/>
    </row>
    <row r="988" ht="15.75" customHeight="1">
      <c r="D988" s="146"/>
    </row>
    <row r="989" ht="15.75" customHeight="1">
      <c r="D989" s="146"/>
    </row>
    <row r="990" ht="15.75" customHeight="1">
      <c r="D990" s="146"/>
    </row>
    <row r="991" ht="15.75" customHeight="1">
      <c r="D991" s="146"/>
    </row>
    <row r="992" ht="15.75" customHeight="1">
      <c r="D992" s="146"/>
    </row>
    <row r="993" ht="15.75" customHeight="1">
      <c r="D993" s="146"/>
    </row>
    <row r="994" ht="15.75" customHeight="1">
      <c r="D994" s="146"/>
    </row>
    <row r="995" ht="15.75" customHeight="1">
      <c r="D995" s="146"/>
    </row>
    <row r="996" ht="15.75" customHeight="1">
      <c r="D996" s="146"/>
    </row>
    <row r="997" ht="15.75" customHeight="1">
      <c r="D997" s="146"/>
    </row>
    <row r="998" ht="15.75" customHeight="1">
      <c r="D998" s="146"/>
    </row>
    <row r="999" ht="15.75" customHeight="1">
      <c r="D999" s="146"/>
    </row>
    <row r="1000" ht="15.75" customHeight="1">
      <c r="D1000" s="146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8:A19"/>
    <mergeCell ref="A20:A24"/>
    <mergeCell ref="A55:A58"/>
    <mergeCell ref="A61:A65"/>
    <mergeCell ref="A25:A31"/>
    <mergeCell ref="A32:A34"/>
    <mergeCell ref="A35:A37"/>
    <mergeCell ref="A38:A40"/>
    <mergeCell ref="A44:A45"/>
    <mergeCell ref="A46:A47"/>
    <mergeCell ref="A48:A52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2022-08-09T08:09:18Z</dcterms:created>
  <dc:creator>LENOVO</dc:creator>
</cp:coreProperties>
</file>