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19"/>
  <Override ContentType="application/binary" PartName="/xl/commentsmeta15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22"/>
  <Override ContentType="application/binary" PartName="/xl/commentsmeta23"/>
  <Override ContentType="application/binary" PartName="/xl/commentsmeta24"/>
  <Override ContentType="application/binary" PartName="/xl/commentsmeta25"/>
  <Override ContentType="application/binary" PartName="/xl/commentsmeta20"/>
  <Override ContentType="application/binary" PartName="/xl/commentsmeta21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26"/>
  <Override ContentType="application/binary" PartName="/xl/commentsmeta1"/>
  <Override ContentType="application/binary" PartName="/xl/commentsmeta27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ITULASI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  <sheet state="visible" name="22" sheetId="23" r:id="rId26"/>
    <sheet state="visible" name="23" sheetId="24" r:id="rId27"/>
    <sheet state="visible" name="24" sheetId="25" r:id="rId28"/>
    <sheet state="visible" name="25" sheetId="26" r:id="rId29"/>
    <sheet state="visible" name="26" sheetId="27" r:id="rId30"/>
    <sheet state="visible" name="27" sheetId="28" r:id="rId31"/>
    <sheet state="visible" name="28" sheetId="29" r:id="rId32"/>
    <sheet state="visible" name="30" sheetId="30" r:id="rId33"/>
  </sheets>
  <definedNames/>
  <calcPr/>
  <extLst>
    <ext uri="GoogleSheetsCustomDataVersion2">
      <go:sheetsCustomData xmlns:go="http://customooxmlschemas.google.com/" r:id="rId34" roundtripDataChecksum="Nrdx/3QIaSXT7uZ/suW7BN6QIXGOI1JBBnIenY2yV+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6">
      <text>
        <t xml:space="preserve">======
ID#AAACFY2U2W8
Litbang21    (2026-08-09 14:56:00)
Litbang21:</t>
      </text>
    </comment>
  </commentList>
  <extLst>
    <ext uri="GoogleSheetsCustomDataVersion2">
      <go:sheetsCustomData xmlns:go="http://customooxmlschemas.google.com/" r:id="rId1" roundtripDataSignature="AMtx7mgPm2K2bKpgZz2nNYpFzk+0fNo4B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ID#AAACFY2U2UU
AJUDAN-FARAH    (2026-08-09 14:56:00)
ukuran 1kg</t>
      </text>
    </comment>
    <comment authorId="0" ref="F53">
      <text>
        <t xml:space="preserve">======
ID#AAACFY2U2Xc
Litbang3    (2026-08-09 14:56:00)
ukuran 500 gr</t>
      </text>
    </comment>
    <comment authorId="0" ref="G53">
      <text>
        <t xml:space="preserve">======
ID#AAACFY2U2c4
Litbang3    (2026-08-09 14:56:00)
ukuran 500 gr</t>
      </text>
    </comment>
    <comment authorId="0" ref="H53">
      <text>
        <t xml:space="preserve">======
ID#AAACFY2U2WM
Litbang3    (2026-08-09 14:56:00)
ukuran 200 gram</t>
      </text>
    </comment>
    <comment authorId="0" ref="I53">
      <text>
        <t xml:space="preserve">======
ID#AAACFY2U2YE
Litbang3    (2026-08-09 14:56:00)
ukuran 500 gr</t>
      </text>
    </comment>
    <comment authorId="0" ref="J53">
      <text>
        <t xml:space="preserve">======
ID#AAACFY2U2dQ
Litbang3    (2026-08-09 14:56:00)
ukuran 200 gram</t>
      </text>
    </comment>
    <comment authorId="0" ref="G45">
      <text>
        <t xml:space="preserve">======
ID#AAACFY2U2fA
litbang 0    (2026-08-09 14:56:00)
susu Bendera</t>
      </text>
    </comment>
    <comment authorId="0" ref="B86">
      <text>
        <t xml:space="preserve">======
ID#AAACFY2U2Uk
Litbang21    (2026-08-09 14:56:00)
Litbang21:</t>
      </text>
    </comment>
    <comment authorId="0" ref="D53">
      <text>
        <t xml:space="preserve">======
ID#AAACFY2U2cc
Yayuk    (2026-08-09 14:56:00)
ukuran 500gr</t>
      </text>
    </comment>
  </commentList>
  <extLst>
    <ext uri="GoogleSheetsCustomDataVersion2">
      <go:sheetsCustomData xmlns:go="http://customooxmlschemas.google.com/" r:id="rId1" roundtripDataSignature="AMtx7mhY2G2CmDcZiiTJfhEgVGw9f3kXq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ID#AAACFY2U2bE
AJUDAN-FARAH    (2026-08-09 14:56:00)
ukuran 1kg</t>
      </text>
    </comment>
    <comment authorId="0" ref="F53">
      <text>
        <t xml:space="preserve">======
ID#AAACFY2U2Us
Litbang3    (2026-08-09 14:56:00)
ukuran 500 gr</t>
      </text>
    </comment>
    <comment authorId="0" ref="G53">
      <text>
        <t xml:space="preserve">======
ID#AAACFY2U2aM
Litbang3    (2026-08-09 14:56:00)
ukuran 500 gr</t>
      </text>
    </comment>
    <comment authorId="0" ref="H53">
      <text>
        <t xml:space="preserve">======
ID#AAACFY2U2eo
Litbang3    (2026-08-09 14:56:00)
ukuran 200 gram</t>
      </text>
    </comment>
    <comment authorId="0" ref="I53">
      <text>
        <t xml:space="preserve">======
ID#AAACFY2U2TI
Litbang3    (2026-08-09 14:56:00)
ukuran 500 gr</t>
      </text>
    </comment>
    <comment authorId="0" ref="J53">
      <text>
        <t xml:space="preserve">======
ID#AAACFY2U2Xg
Litbang3    (2026-08-09 14:56:00)
ukuran 200 gram</t>
      </text>
    </comment>
    <comment authorId="0" ref="G45">
      <text>
        <t xml:space="preserve">======
ID#AAACFY2U2U4
litbang 0    (2026-08-09 14:56:00)
susu Bendera</t>
      </text>
    </comment>
    <comment authorId="0" ref="B86">
      <text>
        <t xml:space="preserve">======
ID#AAACFY2U2eU
Litbang21    (2026-08-09 14:56:00)
Litbang21:</t>
      </text>
    </comment>
    <comment authorId="0" ref="D53">
      <text>
        <t xml:space="preserve">======
ID#AAACFY2U2ek
Yayuk    (2026-08-09 14:56:00)
ukuran 500gr</t>
      </text>
    </comment>
  </commentList>
  <extLst>
    <ext uri="GoogleSheetsCustomDataVersion2">
      <go:sheetsCustomData xmlns:go="http://customooxmlschemas.google.com/" r:id="rId1" roundtripDataSignature="AMtx7miuL/KSYcZNswZcNyjf42cD6kdfo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ID#AAACFY2U2R4
AJUDAN-FARAH    (2026-08-09 14:56:00)
ukuran 1kg</t>
      </text>
    </comment>
    <comment authorId="0" ref="F53">
      <text>
        <t xml:space="preserve">======
ID#AAACFY2U2S0
Litbang3    (2026-08-09 14:56:00)
ukuran 500 gr</t>
      </text>
    </comment>
    <comment authorId="0" ref="G53">
      <text>
        <t xml:space="preserve">======
ID#AAACFY2U2VA
Litbang3    (2026-08-09 14:56:00)
ukuran 500 gr</t>
      </text>
    </comment>
    <comment authorId="0" ref="H53">
      <text>
        <t xml:space="preserve">======
ID#AAACFY2U2dI
Litbang3    (2026-08-09 14:56:00)
ukuran 200 gram</t>
      </text>
    </comment>
    <comment authorId="0" ref="I53">
      <text>
        <t xml:space="preserve">======
ID#AAACFY2U2Vs
Litbang3    (2026-08-09 14:56:00)
ukuran 500 gr</t>
      </text>
    </comment>
    <comment authorId="0" ref="J53">
      <text>
        <t xml:space="preserve">======
ID#AAACFY2U2To
Litbang3    (2026-08-09 14:56:00)
ukuran 200 gram</t>
      </text>
    </comment>
    <comment authorId="0" ref="G45">
      <text>
        <t xml:space="preserve">======
ID#AAACFY2U2ao
litbang 0    (2026-08-09 14:56:00)
susu Bendera</t>
      </text>
    </comment>
    <comment authorId="0" ref="B86">
      <text>
        <t xml:space="preserve">======
ID#AAACFY2U2Y4
Litbang21    (2026-08-09 14:56:00)
Litbang21:</t>
      </text>
    </comment>
    <comment authorId="0" ref="D53">
      <text>
        <t xml:space="preserve">======
ID#AAACFY2U2ew
Yayuk    (2026-08-09 14:56:00)
ukuran 500gr</t>
      </text>
    </comment>
  </commentList>
  <extLst>
    <ext uri="GoogleSheetsCustomDataVersion2">
      <go:sheetsCustomData xmlns:go="http://customooxmlschemas.google.com/" r:id="rId1" roundtripDataSignature="AMtx7miUJ1suDvGbmZ1QJa4WqpEMkp1Lx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ID#AAACFY2U2b0
AJUDAN-FARAH    (2026-08-09 14:56:00)
ukuran 1kg</t>
      </text>
    </comment>
    <comment authorId="0" ref="F53">
      <text>
        <t xml:space="preserve">======
ID#AAACFY2U2aY
Litbang3    (2026-08-09 14:56:00)
ukuran 500 gr</t>
      </text>
    </comment>
    <comment authorId="0" ref="G53">
      <text>
        <t xml:space="preserve">======
ID#AAACFY2U2Zs
Litbang3    (2026-08-09 14:56:00)
ukuran 500 gr</t>
      </text>
    </comment>
    <comment authorId="0" ref="H53">
      <text>
        <t xml:space="preserve">======
ID#AAACFY2U2WA
Litbang3    (2026-08-09 14:56:00)
ukuran 200 gram</t>
      </text>
    </comment>
    <comment authorId="0" ref="I53">
      <text>
        <t xml:space="preserve">======
ID#AAACFY2U2fI
Litbang3    (2026-08-09 14:56:00)
ukuran 500 gr</t>
      </text>
    </comment>
    <comment authorId="0" ref="J53">
      <text>
        <t xml:space="preserve">======
ID#AAACFY2U2dA
Litbang3    (2026-08-09 14:56:00)
ukuran 200 gram</t>
      </text>
    </comment>
    <comment authorId="0" ref="G45">
      <text>
        <t xml:space="preserve">======
ID#AAACFY2U2a4
litbang 0    (2026-08-09 14:56:00)
susu Bendera</t>
      </text>
    </comment>
    <comment authorId="0" ref="B86">
      <text>
        <t xml:space="preserve">======
ID#AAACFY2U2XI
Litbang21    (2026-08-09 14:56:00)
Litbang21:</t>
      </text>
    </comment>
    <comment authorId="0" ref="D53">
      <text>
        <t xml:space="preserve">======
ID#AAACFY2U2Sc
Yayuk    (2026-08-09 14:56:00)
ukuran 500gr</t>
      </text>
    </comment>
  </commentList>
  <extLst>
    <ext uri="GoogleSheetsCustomDataVersion2">
      <go:sheetsCustomData xmlns:go="http://customooxmlschemas.google.com/" r:id="rId1" roundtripDataSignature="AMtx7mgsQM1tuDuxMC95DRMrwlVXqTp16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ID#AAACFY2U2VM
AJUDAN-FARAH    (2026-08-09 14:56:00)
ukuran 1kg</t>
      </text>
    </comment>
    <comment authorId="0" ref="F53">
      <text>
        <t xml:space="preserve">======
ID#AAACFY2U2UE
Litbang3    (2026-08-09 14:56:00)
ukuran 500 gr</t>
      </text>
    </comment>
    <comment authorId="0" ref="G53">
      <text>
        <t xml:space="preserve">======
ID#AAACFY2U2f4
Litbang3    (2026-08-09 14:56:00)
ukuran 500 gr</t>
      </text>
    </comment>
    <comment authorId="0" ref="H53">
      <text>
        <t xml:space="preserve">======
ID#AAACFY2U2TE
Litbang3    (2026-08-09 14:56:00)
ukuran 200 gram</t>
      </text>
    </comment>
    <comment authorId="0" ref="I53">
      <text>
        <t xml:space="preserve">======
ID#AAACFY2U2bA
Litbang3    (2026-08-09 14:56:00)
ukuran 500 gr</t>
      </text>
    </comment>
    <comment authorId="0" ref="J53">
      <text>
        <t xml:space="preserve">======
ID#AAACFY2U2aw
Litbang3    (2026-08-09 14:56:00)
ukuran 200 gram</t>
      </text>
    </comment>
    <comment authorId="0" ref="G45">
      <text>
        <t xml:space="preserve">======
ID#AAACFY2U2c0
litbang 0    (2026-08-09 14:56:00)
susu Bendera</t>
      </text>
    </comment>
    <comment authorId="0" ref="B86">
      <text>
        <t xml:space="preserve">======
ID#AAACFY2U2YM
Litbang21    (2026-08-09 14:56:00)
Litbang21:</t>
      </text>
    </comment>
    <comment authorId="0" ref="D53">
      <text>
        <t xml:space="preserve">======
ID#AAACFY2U2gA
Yayuk    (2026-08-09 14:56:00)
ukuran 500gr</t>
      </text>
    </comment>
  </commentList>
  <extLst>
    <ext uri="GoogleSheetsCustomDataVersion2">
      <go:sheetsCustomData xmlns:go="http://customooxmlschemas.google.com/" r:id="rId1" roundtripDataSignature="AMtx7mieC8tYp611xv4oQWO+Qq01wNSaG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ID#AAACFY2U2Z8
AJUDAN-FARAH    (2026-08-09 14:56:00)
ukuran 1kg</t>
      </text>
    </comment>
    <comment authorId="0" ref="F53">
      <text>
        <t xml:space="preserve">======
ID#AAACFY2U2do
Litbang3    (2026-08-09 14:56:00)
ukuran 500 gr</t>
      </text>
    </comment>
    <comment authorId="0" ref="G53">
      <text>
        <t xml:space="preserve">======
ID#AAACFY2U2dU
Litbang3    (2026-08-09 14:56:00)
ukuran 500 gr</t>
      </text>
    </comment>
    <comment authorId="0" ref="H53">
      <text>
        <t xml:space="preserve">======
ID#AAACFY2U2V8
Litbang3    (2026-08-09 14:56:00)
ukuran 200 gram</t>
      </text>
    </comment>
    <comment authorId="0" ref="I53">
      <text>
        <t xml:space="preserve">======
ID#AAACFY2U2WU
Litbang3    (2026-08-09 14:56:00)
ukuran 500 gr</t>
      </text>
    </comment>
    <comment authorId="0" ref="J53">
      <text>
        <t xml:space="preserve">======
ID#AAACFY2U2XQ
Litbang3    (2026-08-09 14:56:00)
ukuran 200 gram</t>
      </text>
    </comment>
    <comment authorId="0" ref="G45">
      <text>
        <t xml:space="preserve">======
ID#AAACFY2U2XM
litbang 0    (2026-08-09 14:56:00)
susu Bendera</t>
      </text>
    </comment>
    <comment authorId="0" ref="B86">
      <text>
        <t xml:space="preserve">======
ID#AAACFY2U2co
Litbang21    (2026-08-09 14:56:00)
Litbang21:</t>
      </text>
    </comment>
    <comment authorId="0" ref="D53">
      <text>
        <t xml:space="preserve">======
ID#AAACFY2U2VQ
Yayuk    (2026-08-09 14:56:00)
ukuran 500gr</t>
      </text>
    </comment>
  </commentList>
  <extLst>
    <ext uri="GoogleSheetsCustomDataVersion2">
      <go:sheetsCustomData xmlns:go="http://customooxmlschemas.google.com/" r:id="rId1" roundtripDataSignature="AMtx7mh0ktN5ccj/ZXFer9QfO2e+loJjL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ID#AAACFY2U2dc
AJUDAN-FARAH    (2026-08-09 14:56:00)
ukuran 1kg</t>
      </text>
    </comment>
    <comment authorId="0" ref="F53">
      <text>
        <t xml:space="preserve">======
ID#AAACFY2U2ck
Litbang3    (2026-08-09 14:56:00)
ukuran 500 gr</t>
      </text>
    </comment>
    <comment authorId="0" ref="G53">
      <text>
        <t xml:space="preserve">======
ID#AAACFY2U2Xo
Litbang3    (2026-08-09 14:56:00)
ukuran 500 gr</t>
      </text>
    </comment>
    <comment authorId="0" ref="H53">
      <text>
        <t xml:space="preserve">======
ID#AAACFY2U2dE
Litbang3    (2026-08-09 14:56:00)
ukuran 200 gram</t>
      </text>
    </comment>
    <comment authorId="0" ref="I53">
      <text>
        <t xml:space="preserve">======
ID#AAACFY2U2YQ
Litbang3    (2026-08-09 14:56:00)
ukuran 500 gr</t>
      </text>
    </comment>
    <comment authorId="0" ref="J53">
      <text>
        <t xml:space="preserve">======
ID#AAACFY2U2RM
Litbang3    (2026-08-09 14:55:59)
ukuran 200 gram</t>
      </text>
    </comment>
    <comment authorId="0" ref="G45">
      <text>
        <t xml:space="preserve">======
ID#AAACFY2U2Sg
litbang 0    (2026-08-09 14:56:00)
susu Bendera</t>
      </text>
    </comment>
    <comment authorId="0" ref="B86">
      <text>
        <t xml:space="preserve">======
ID#AAACFY2U2Xs
Litbang21    (2026-08-09 14:56:00)
Litbang21:</t>
      </text>
    </comment>
    <comment authorId="0" ref="D53">
      <text>
        <t xml:space="preserve">======
ID#AAACFY2U2SQ
Yayuk    (2026-08-09 14:56:00)
ukuran 500gr</t>
      </text>
    </comment>
  </commentList>
  <extLst>
    <ext uri="GoogleSheetsCustomDataVersion2">
      <go:sheetsCustomData xmlns:go="http://customooxmlschemas.google.com/" r:id="rId1" roundtripDataSignature="AMtx7mhxx+Vzl7cSLFiOeYjz3JpDUiyRc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ID#AAACFY2U2e0
AJUDAN-FARAH    (2026-08-09 14:56:00)
ukuran 1kg</t>
      </text>
    </comment>
    <comment authorId="0" ref="F53">
      <text>
        <t xml:space="preserve">======
ID#AAACFY2U2ZE
Litbang3    (2026-08-09 14:56:00)
ukuran 500 gr</t>
      </text>
    </comment>
    <comment authorId="0" ref="G53">
      <text>
        <t xml:space="preserve">======
ID#AAACFY2U2V0
Litbang3    (2026-08-09 14:56:00)
ukuran 500 gr</t>
      </text>
    </comment>
    <comment authorId="0" ref="H53">
      <text>
        <t xml:space="preserve">======
ID#AAACFY2U2S8
Litbang3    (2026-08-09 14:56:00)
ukuran 200 gram</t>
      </text>
    </comment>
    <comment authorId="0" ref="I53">
      <text>
        <t xml:space="preserve">======
ID#AAACFY2U2V4
Litbang3    (2026-08-09 14:56:00)
ukuran 500 gr</t>
      </text>
    </comment>
    <comment authorId="0" ref="J53">
      <text>
        <t xml:space="preserve">======
ID#AAACFY2U2So
Litbang3    (2026-08-09 14:56:00)
ukuran 200 gram</t>
      </text>
    </comment>
    <comment authorId="0" ref="G45">
      <text>
        <t xml:space="preserve">======
ID#AAACFY2U2X8
litbang 0    (2026-08-09 14:56:00)
susu Bendera</t>
      </text>
    </comment>
    <comment authorId="0" ref="B86">
      <text>
        <t xml:space="preserve">======
ID#AAACFY2U2Ts
Litbang21    (2026-08-09 14:56:00)
Litbang21:</t>
      </text>
    </comment>
    <comment authorId="0" ref="D53">
      <text>
        <t xml:space="preserve">======
ID#AAACFY2U2UQ
Yayuk    (2026-08-09 14:56:00)
ukuran 500gr</t>
      </text>
    </comment>
  </commentList>
  <extLst>
    <ext uri="GoogleSheetsCustomDataVersion2">
      <go:sheetsCustomData xmlns:go="http://customooxmlschemas.google.com/" r:id="rId1" roundtripDataSignature="AMtx7mhrs7LywHRyBu7YoP8oR4OpiD+66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ID#AAACFY2U2ac
AJUDAN-FARAH    (2026-08-09 14:56:00)
ukuran 1kg</t>
      </text>
    </comment>
    <comment authorId="0" ref="F53">
      <text>
        <t xml:space="preserve">======
ID#AAACFY2U2SM
Litbang3    (2026-08-09 14:56:00)
ukuran 500 gr</t>
      </text>
    </comment>
    <comment authorId="0" ref="G53">
      <text>
        <t xml:space="preserve">======
ID#AAACFY2U2ag
Litbang3    (2026-08-09 14:56:00)
ukuran 500 gr</t>
      </text>
    </comment>
    <comment authorId="0" ref="H53">
      <text>
        <t xml:space="preserve">======
ID#AAACFY2U2Y8
Litbang3    (2026-08-09 14:56:00)
ukuran 200 gram</t>
      </text>
    </comment>
    <comment authorId="0" ref="I53">
      <text>
        <t xml:space="preserve">======
ID#AAACFY2U2XU
Litbang3    (2026-08-09 14:56:00)
ukuran 500 gr</t>
      </text>
    </comment>
    <comment authorId="0" ref="J53">
      <text>
        <t xml:space="preserve">======
ID#AAACFY2U2Uw
Litbang3    (2026-08-09 14:56:00)
ukuran 200 gram</t>
      </text>
    </comment>
    <comment authorId="0" ref="G45">
      <text>
        <t xml:space="preserve">======
ID#AAACFY2U2cQ
litbang 0    (2026-08-09 14:56:00)
susu Bendera</t>
      </text>
    </comment>
    <comment authorId="0" ref="B86">
      <text>
        <t xml:space="preserve">======
ID#AAACFY2U2aA
Litbang21    (2026-08-09 14:56:00)
Litbang21:</t>
      </text>
    </comment>
    <comment authorId="0" ref="D53">
      <text>
        <t xml:space="preserve">======
ID#AAACFY2U2VI
Yayuk    (2026-08-09 14:56:00)
ukuran 500gr</t>
      </text>
    </comment>
  </commentList>
  <extLst>
    <ext uri="GoogleSheetsCustomDataVersion2">
      <go:sheetsCustomData xmlns:go="http://customooxmlschemas.google.com/" r:id="rId1" roundtripDataSignature="AMtx7miJtaFkkpvf+Aj5uM7YUUM5Sg8mSw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ID#AAACFY2U2U0
AJUDAN-FARAH    (2026-08-09 14:56:00)
ukuran 1kg</t>
      </text>
    </comment>
    <comment authorId="0" ref="F53">
      <text>
        <t xml:space="preserve">======
ID#AAACFY2U2es
Litbang3    (2026-08-09 14:56:00)
ukuran 500 gr</t>
      </text>
    </comment>
    <comment authorId="0" ref="G53">
      <text>
        <t xml:space="preserve">======
ID#AAACFY2U2b8
Litbang3    (2026-08-09 14:56:00)
ukuran 500 gr</t>
      </text>
    </comment>
    <comment authorId="0" ref="H53">
      <text>
        <t xml:space="preserve">======
ID#AAACFY2U2as
Litbang3    (2026-08-09 14:56:00)
ukuran 200 gram</t>
      </text>
    </comment>
    <comment authorId="0" ref="I53">
      <text>
        <t xml:space="preserve">======
ID#AAACFY2U2gI
Litbang3    (2026-08-09 14:56:00)
ukuran 500 gr</t>
      </text>
    </comment>
    <comment authorId="0" ref="J53">
      <text>
        <t xml:space="preserve">======
ID#AAACFY2U2Yg
Litbang3    (2026-08-09 14:56:00)
ukuran 200 gram</t>
      </text>
    </comment>
    <comment authorId="0" ref="G45">
      <text>
        <t xml:space="preserve">======
ID#AAACFY2U2Vg
litbang 0    (2026-08-09 14:56:00)
susu Bendera</t>
      </text>
    </comment>
    <comment authorId="0" ref="B86">
      <text>
        <t xml:space="preserve">======
ID#AAACFY2U2UI
Litbang21    (2026-08-09 14:56:00)
Litbang21:</t>
      </text>
    </comment>
    <comment authorId="0" ref="D53">
      <text>
        <t xml:space="preserve">======
ID#AAACFY2U2Ro
Yayuk    (2026-08-09 14:56:00)
ukuran 500gr</t>
      </text>
    </comment>
  </commentList>
  <extLst>
    <ext uri="GoogleSheetsCustomDataVersion2">
      <go:sheetsCustomData xmlns:go="http://customooxmlschemas.google.com/" r:id="rId1" roundtripDataSignature="AMtx7miKIiKE7n0hbTcz/sRiNU1wAlPGn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ID#AAACFY2U2UA
AJUDAN-FARAH    (2026-08-09 14:56:00)
ukuran 1kg</t>
      </text>
    </comment>
    <comment authorId="0" ref="F53">
      <text>
        <t xml:space="preserve">======
ID#AAACFY2U2R8
Litbang3    (2026-08-09 14:56:00)
ukuran 500 gr</t>
      </text>
    </comment>
    <comment authorId="0" ref="G53">
      <text>
        <t xml:space="preserve">======
ID#AAACFY2U2eM
Litbang3    (2026-08-09 14:56:00)
ukuran 500 gr</t>
      </text>
    </comment>
    <comment authorId="0" ref="H53">
      <text>
        <t xml:space="preserve">======
ID#AAACFY2U2SI
Litbang3    (2026-08-09 14:56:00)
ukuran 200 gram</t>
      </text>
    </comment>
    <comment authorId="0" ref="I53">
      <text>
        <t xml:space="preserve">======
ID#AAACFY2U2eI
Litbang3    (2026-08-09 14:56:00)
ukuran 500 gr</t>
      </text>
    </comment>
    <comment authorId="0" ref="J53">
      <text>
        <t xml:space="preserve">======
ID#AAACFY2U2Ys
Litbang3    (2026-08-09 14:56:00)
ukuran 200 gram</t>
      </text>
    </comment>
    <comment authorId="0" ref="G45">
      <text>
        <t xml:space="preserve">======
ID#AAACFY2U2Rg
litbang 0    (2026-08-09 14:56:00)
susu Bendera</t>
      </text>
    </comment>
    <comment authorId="0" ref="B86">
      <text>
        <t xml:space="preserve">======
ID#AAACFY2U2ZQ
Litbang21    (2026-08-09 14:56:00)
Litbang21:</t>
      </text>
    </comment>
    <comment authorId="0" ref="D53">
      <text>
        <t xml:space="preserve">======
ID#AAACFY2U2fw
Yayuk    (2026-08-09 14:56:00)
ukuran 500gr</t>
      </text>
    </comment>
  </commentList>
  <extLst>
    <ext uri="GoogleSheetsCustomDataVersion2">
      <go:sheetsCustomData xmlns:go="http://customooxmlschemas.google.com/" r:id="rId1" roundtripDataSignature="AMtx7mjV2k8mMd/Nl+GGEtNFOX/i685b8w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ID#AAACFY2U2bM
AJUDAN-FARAH    (2026-08-09 14:56:00)
ukuran 1kg</t>
      </text>
    </comment>
    <comment authorId="0" ref="F53">
      <text>
        <t xml:space="preserve">======
ID#AAACFY2U2YU
Litbang3    (2026-08-09 14:56:00)
ukuran 500 gr</t>
      </text>
    </comment>
    <comment authorId="0" ref="G53">
      <text>
        <t xml:space="preserve">======
ID#AAACFY2U2fM
Litbang3    (2026-08-09 14:56:00)
ukuran 500 gr</t>
      </text>
    </comment>
    <comment authorId="0" ref="H53">
      <text>
        <t xml:space="preserve">======
ID#AAACFY2U2YI
Litbang3    (2026-08-09 14:56:00)
ukuran 200 gram</t>
      </text>
    </comment>
    <comment authorId="0" ref="I53">
      <text>
        <t xml:space="preserve">======
ID#AAACFY2U2fQ
Litbang3    (2026-08-09 14:56:00)
ukuran 500 gr</t>
      </text>
    </comment>
    <comment authorId="0" ref="J53">
      <text>
        <t xml:space="preserve">======
ID#AAACFY2U2ec
Litbang3    (2026-08-09 14:56:00)
ukuran 200 gram</t>
      </text>
    </comment>
    <comment authorId="0" ref="G45">
      <text>
        <t xml:space="preserve">======
ID#AAACFY2U2gU
litbang 0    (2026-08-09 14:56:00)
susu Bendera</t>
      </text>
    </comment>
    <comment authorId="0" ref="B86">
      <text>
        <t xml:space="preserve">======
ID#AAACFY2U2WY
Litbang21    (2026-08-09 14:56:00)
Litbang21:</t>
      </text>
    </comment>
    <comment authorId="0" ref="D53">
      <text>
        <t xml:space="preserve">======
ID#AAACFY2U2X0
Yayuk    (2026-08-09 14:56:00)
ukuran 500gr</t>
      </text>
    </comment>
  </commentList>
  <extLst>
    <ext uri="GoogleSheetsCustomDataVersion2">
      <go:sheetsCustomData xmlns:go="http://customooxmlschemas.google.com/" r:id="rId1" roundtripDataSignature="AMtx7miFE1bXhW/YeSekrkBFoj63z+2Vyg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ID#AAACFY2U2bo
AJUDAN-FARAH    (2026-08-09 14:56:00)
ukuran 1kg</t>
      </text>
    </comment>
    <comment authorId="0" ref="F53">
      <text>
        <t xml:space="preserve">======
ID#AAACFY2U2Yo
Litbang3    (2026-08-09 14:56:00)
ukuran 500 gr</t>
      </text>
    </comment>
    <comment authorId="0" ref="G53">
      <text>
        <t xml:space="preserve">======
ID#AAACFY2U2aQ
Litbang3    (2026-08-09 14:56:00)
ukuran 500 gr</t>
      </text>
    </comment>
    <comment authorId="0" ref="H53">
      <text>
        <t xml:space="preserve">======
ID#AAACFY2U2eY
Litbang3    (2026-08-09 14:56:00)
ukuran 200 gram</t>
      </text>
    </comment>
    <comment authorId="0" ref="I53">
      <text>
        <t xml:space="preserve">======
ID#AAACFY2U2TA
Litbang3    (2026-08-09 14:56:00)
ukuran 500 gr</t>
      </text>
    </comment>
    <comment authorId="0" ref="J53">
      <text>
        <t xml:space="preserve">======
ID#AAACFY2U2Wo
Litbang3    (2026-08-09 14:56:00)
ukuran 200 gram</t>
      </text>
    </comment>
    <comment authorId="0" ref="G45">
      <text>
        <t xml:space="preserve">======
ID#AAACFY2U2T4
litbang 0    (2026-08-09 14:56:00)
susu Bendera</t>
      </text>
    </comment>
    <comment authorId="0" ref="B86">
      <text>
        <t xml:space="preserve">======
ID#AAACFY2U2Z4
Litbang21    (2026-08-09 14:56:00)
Litbang21:</t>
      </text>
    </comment>
    <comment authorId="0" ref="D53">
      <text>
        <t xml:space="preserve">======
ID#AAACFY2U2cU
Yayuk    (2026-08-09 14:56:00)
ukuran 500gr</t>
      </text>
    </comment>
  </commentList>
  <extLst>
    <ext uri="GoogleSheetsCustomDataVersion2">
      <go:sheetsCustomData xmlns:go="http://customooxmlschemas.google.com/" r:id="rId1" roundtripDataSignature="AMtx7mjMXRjNXUhSFiDNH9n/i0x9T5hdU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ID#AAACFY2U2f8
AJUDAN-FARAH    (2026-08-09 14:56:00)
ukuran 1kg</t>
      </text>
    </comment>
    <comment authorId="0" ref="F53">
      <text>
        <t xml:space="preserve">======
ID#AAACFY2U2Tk
Litbang3    (2026-08-09 14:56:00)
ukuran 500 gr</t>
      </text>
    </comment>
    <comment authorId="0" ref="G53">
      <text>
        <t xml:space="preserve">======
ID#AAACFY2U2VU
Litbang3    (2026-08-09 14:56:00)
ukuran 500 gr</t>
      </text>
    </comment>
    <comment authorId="0" ref="H53">
      <text>
        <t xml:space="preserve">======
ID#AAACFY2U2UY
Litbang3    (2026-08-09 14:56:00)
ukuran 200 gram</t>
      </text>
    </comment>
    <comment authorId="0" ref="I53">
      <text>
        <t xml:space="preserve">======
ID#AAACFY2U2dM
Litbang3    (2026-08-09 14:56:00)
ukuran 500 gr</t>
      </text>
    </comment>
    <comment authorId="0" ref="J53">
      <text>
        <t xml:space="preserve">======
ID#AAACFY2U2Ww
Litbang3    (2026-08-09 14:56:00)
ukuran 200 gram</t>
      </text>
    </comment>
    <comment authorId="0" ref="G45">
      <text>
        <t xml:space="preserve">======
ID#AAACFY2U2Tg
litbang 0    (2026-08-09 14:56:00)
susu Bendera</t>
      </text>
    </comment>
    <comment authorId="0" ref="B86">
      <text>
        <t xml:space="preserve">======
ID#AAACFY2U2d0
Litbang21    (2026-08-09 14:56:00)
Litbang21:</t>
      </text>
    </comment>
    <comment authorId="0" ref="D53">
      <text>
        <t xml:space="preserve">======
ID#AAACFY2U2dY
Yayuk    (2026-08-09 14:56:00)
ukuran 500gr</t>
      </text>
    </comment>
  </commentList>
  <extLst>
    <ext uri="GoogleSheetsCustomDataVersion2">
      <go:sheetsCustomData xmlns:go="http://customooxmlschemas.google.com/" r:id="rId1" roundtripDataSignature="AMtx7mi6xbOuve+WKHRfWtCFmy8/CNiwUA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ID#AAACFY2U2gM
AJUDAN-FARAH    (2026-08-09 14:56:00)
ukuran 1kg</t>
      </text>
    </comment>
    <comment authorId="0" ref="F53">
      <text>
        <t xml:space="preserve">======
ID#AAACFY2U2aU
Litbang3    (2026-08-09 14:56:00)
ukuran 500 gr</t>
      </text>
    </comment>
    <comment authorId="0" ref="G53">
      <text>
        <t xml:space="preserve">======
ID#AAACFY2U2Sw
Litbang3    (2026-08-09 14:56:00)
ukuran 500 gr</t>
      </text>
    </comment>
    <comment authorId="0" ref="H53">
      <text>
        <t xml:space="preserve">======
ID#AAACFY2U2aE
Litbang3    (2026-08-09 14:56:00)
ukuran 200 gram</t>
      </text>
    </comment>
    <comment authorId="0" ref="I53">
      <text>
        <t xml:space="preserve">======
ID#AAACFY2U2T0
Litbang3    (2026-08-09 14:56:00)
ukuran 500 gr</t>
      </text>
    </comment>
    <comment authorId="0" ref="J53">
      <text>
        <t xml:space="preserve">======
ID#AAACFY2U2UM
Litbang3    (2026-08-09 14:56:00)
ukuran 200 gram</t>
      </text>
    </comment>
    <comment authorId="0" ref="G45">
      <text>
        <t xml:space="preserve">======
ID#AAACFY2U2Vo
litbang 0    (2026-08-09 14:56:00)
susu Bendera</t>
      </text>
    </comment>
    <comment authorId="0" ref="B86">
      <text>
        <t xml:space="preserve">======
ID#AAACFY2U2gE
Litbang21    (2026-08-09 14:56:00)
Litbang21:</t>
      </text>
    </comment>
    <comment authorId="0" ref="D53">
      <text>
        <t xml:space="preserve">======
ID#AAACFY2U2bQ
Yayuk    (2026-08-09 14:56:00)
ukuran 500gr</t>
      </text>
    </comment>
  </commentList>
  <extLst>
    <ext uri="GoogleSheetsCustomDataVersion2">
      <go:sheetsCustomData xmlns:go="http://customooxmlschemas.google.com/" r:id="rId1" roundtripDataSignature="AMtx7mhKRo0F3uBbI1w/R+1V9VrDygKBtg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ID#AAACFY2U2cY
AJUDAN-FARAH    (2026-08-09 14:56:00)
ukuran 1kg</t>
      </text>
    </comment>
    <comment authorId="0" ref="F53">
      <text>
        <t xml:space="preserve">======
ID#AAACFY2U2VE
Litbang3    (2026-08-09 14:56:00)
ukuran 500 gr</t>
      </text>
    </comment>
    <comment authorId="0" ref="G53">
      <text>
        <t xml:space="preserve">======
ID#AAACFY2U2XY
Litbang3    (2026-08-09 14:56:00)
ukuran 500 gr</t>
      </text>
    </comment>
    <comment authorId="0" ref="H53">
      <text>
        <t xml:space="preserve">======
ID#AAACFY2U2Uo
Litbang3    (2026-08-09 14:56:00)
ukuran 200 gram</t>
      </text>
    </comment>
    <comment authorId="0" ref="I53">
      <text>
        <t xml:space="preserve">======
ID#AAACFY2U2Tc
Litbang3    (2026-08-09 14:56:00)
ukuran 500 gr</t>
      </text>
    </comment>
    <comment authorId="0" ref="J53">
      <text>
        <t xml:space="preserve">======
ID#AAACFY2U2TQ
Litbang3    (2026-08-09 14:56:00)
ukuran 200 gram</t>
      </text>
    </comment>
    <comment authorId="0" ref="G45">
      <text>
        <t xml:space="preserve">======
ID#AAACFY2U2Rs
litbang 0    (2026-08-09 14:56:00)
susu Bendera</t>
      </text>
    </comment>
    <comment authorId="0" ref="B86">
      <text>
        <t xml:space="preserve">======
ID#AAACFY2U2RU
Litbang21    (2026-08-09 14:56:00)
Litbang21:</t>
      </text>
    </comment>
    <comment authorId="0" ref="D53">
      <text>
        <t xml:space="preserve">======
ID#AAACFY2U2bc
Yayuk    (2026-08-09 14:56:00)
ukuran 500gr</t>
      </text>
    </comment>
  </commentList>
  <extLst>
    <ext uri="GoogleSheetsCustomDataVersion2">
      <go:sheetsCustomData xmlns:go="http://customooxmlschemas.google.com/" r:id="rId1" roundtripDataSignature="AMtx7mjG8vBoQSDHUVqHPHytZeSmKd/G1w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ID#AAACFY2U2RY
AJUDAN-FARAH    (2026-08-09 14:56:00)
ukuran 1kg</t>
      </text>
    </comment>
    <comment authorId="0" ref="F53">
      <text>
        <t xml:space="preserve">======
ID#AAACFY2U2Zg
Litbang3    (2026-08-09 14:56:00)
ukuran 500 gr</t>
      </text>
    </comment>
    <comment authorId="0" ref="G53">
      <text>
        <t xml:space="preserve">======
ID#AAACFY2U2fo
Litbang3    (2026-08-09 14:56:00)
ukuran 500 gr</t>
      </text>
    </comment>
    <comment authorId="0" ref="H53">
      <text>
        <t xml:space="preserve">======
ID#AAACFY2U2VY
Litbang3    (2026-08-09 14:56:00)
ukuran 200 gram</t>
      </text>
    </comment>
    <comment authorId="0" ref="I53">
      <text>
        <t xml:space="preserve">======
ID#AAACFY2U2ZI
Litbang3    (2026-08-09 14:56:00)
ukuran 500 gr</t>
      </text>
    </comment>
    <comment authorId="0" ref="J53">
      <text>
        <t xml:space="preserve">======
ID#AAACFY2U2bI
Litbang3    (2026-08-09 14:56:00)
ukuran 200 gram</t>
      </text>
    </comment>
    <comment authorId="0" ref="G45">
      <text>
        <t xml:space="preserve">======
ID#AAACFY2U2fg
litbang 0    (2026-08-09 14:56:00)
susu Bendera</t>
      </text>
    </comment>
    <comment authorId="0" ref="B86">
      <text>
        <t xml:space="preserve">======
ID#AAACFY2U2T8
Litbang21    (2026-08-09 14:56:00)
Litbang21:</t>
      </text>
    </comment>
    <comment authorId="0" ref="D53">
      <text>
        <t xml:space="preserve">======
ID#AAACFY2U2ds
Yayuk    (2026-08-09 14:56:00)
ukuran 500gr</t>
      </text>
    </comment>
  </commentList>
  <extLst>
    <ext uri="GoogleSheetsCustomDataVersion2">
      <go:sheetsCustomData xmlns:go="http://customooxmlschemas.google.com/" r:id="rId1" roundtripDataSignature="AMtx7mjOs7jV7xchLiUlRIOUZmJzdLxVuQ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ID#AAACFY2U2Zw
AJUDAN-FARAH    (2026-08-09 14:56:00)
ukuran 1kg</t>
      </text>
    </comment>
    <comment authorId="0" ref="F53">
      <text>
        <t xml:space="preserve">======
ID#AAACFY2U2ZM
Litbang3    (2026-08-09 14:56:00)
ukuran 500 gr</t>
      </text>
    </comment>
    <comment authorId="0" ref="G53">
      <text>
        <t xml:space="preserve">======
ID#AAACFY2U2XA
Litbang3    (2026-08-09 14:56:00)
ukuran 500 gr</t>
      </text>
    </comment>
    <comment authorId="0" ref="H53">
      <text>
        <t xml:space="preserve">======
ID#AAACFY2U2Sk
Litbang3    (2026-08-09 14:56:00)
ukuran 200 gram</t>
      </text>
    </comment>
    <comment authorId="0" ref="I53">
      <text>
        <t xml:space="preserve">======
ID#AAACFY2U2eQ
Litbang3    (2026-08-09 14:56:00)
ukuran 500 gr</t>
      </text>
    </comment>
    <comment authorId="0" ref="J53">
      <text>
        <t xml:space="preserve">======
ID#AAACFY2U2fU
Litbang3    (2026-08-09 14:56:00)
ukuran 200 gram</t>
      </text>
    </comment>
    <comment authorId="0" ref="G45">
      <text>
        <t xml:space="preserve">======
ID#AAACFY2U2RQ
litbang 0    (2026-08-09 14:56:00)
susu Bendera</t>
      </text>
    </comment>
    <comment authorId="0" ref="B86">
      <text>
        <t xml:space="preserve">======
ID#AAACFY2U2WE
Litbang21    (2026-08-09 14:56:00)
Litbang21:</t>
      </text>
    </comment>
    <comment authorId="0" ref="D53">
      <text>
        <t xml:space="preserve">======
ID#AAACFY2U2bw
Yayuk    (2026-08-09 14:56:00)
ukuran 500gr</t>
      </text>
    </comment>
  </commentList>
  <extLst>
    <ext uri="GoogleSheetsCustomDataVersion2">
      <go:sheetsCustomData xmlns:go="http://customooxmlschemas.google.com/" r:id="rId1" roundtripDataSignature="AMtx7mipMMuG1CTzVRBNgPN6cGYGtsnSLg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ID#AAACFY2U2bg
AJUDAN-FARAH    (2026-08-09 14:56:00)
ukuran 1kg</t>
      </text>
    </comment>
    <comment authorId="0" ref="F53">
      <text>
        <t xml:space="preserve">======
ID#AAACFY2U2Zo
Litbang3    (2026-08-09 14:56:00)
ukuran 500 gr</t>
      </text>
    </comment>
    <comment authorId="0" ref="G53">
      <text>
        <t xml:space="preserve">======
ID#AAACFY2U2WQ
Litbang3    (2026-08-09 14:56:00)
ukuran 500 gr</t>
      </text>
    </comment>
    <comment authorId="0" ref="H53">
      <text>
        <t xml:space="preserve">======
ID#AAACFY2U2ZU
Litbang3    (2026-08-09 14:56:00)
ukuran 200 gram</t>
      </text>
    </comment>
    <comment authorId="0" ref="I53">
      <text>
        <t xml:space="preserve">======
ID#AAACFY2U2eE
Litbang3    (2026-08-09 14:56:00)
ukuran 500 gr</t>
      </text>
    </comment>
    <comment authorId="0" ref="J53">
      <text>
        <t xml:space="preserve">======
ID#AAACFY2U2fE
Litbang3    (2026-08-09 14:56:00)
ukuran 200 gram</t>
      </text>
    </comment>
    <comment authorId="0" ref="G45">
      <text>
        <t xml:space="preserve">======
ID#AAACFY2U2R0
litbang 0    (2026-08-09 14:56:00)
susu Bendera</t>
      </text>
    </comment>
    <comment authorId="0" ref="B86">
      <text>
        <t xml:space="preserve">======
ID#AAACFY2U2W0
Litbang21    (2026-08-09 14:56:00)
Litbang21:</t>
      </text>
    </comment>
    <comment authorId="0" ref="D53">
      <text>
        <t xml:space="preserve">======
ID#AAACFY2U2Rw
Yayuk    (2026-08-09 14:56:00)
ukuran 500gr</t>
      </text>
    </comment>
  </commentList>
  <extLst>
    <ext uri="GoogleSheetsCustomDataVersion2">
      <go:sheetsCustomData xmlns:go="http://customooxmlschemas.google.com/" r:id="rId1" roundtripDataSignature="AMtx7miaPE0rJ0wUy1uwz4eGmgX6FhPvUQ=="/>
    </ext>
  </extL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ID#AAACFY2U2Uc
AJUDAN-FARAH    (2026-08-09 14:56:00)
ukuran 1kg</t>
      </text>
    </comment>
    <comment authorId="0" ref="F53">
      <text>
        <t xml:space="preserve">======
ID#AAACFY2U2Tw
Litbang3    (2026-08-09 14:56:00)
ukuran 500 gr</t>
      </text>
    </comment>
    <comment authorId="0" ref="G53">
      <text>
        <t xml:space="preserve">======
ID#AAACFY2U2gQ
Litbang3    (2026-08-09 14:56:00)
ukuran 500 gr</t>
      </text>
    </comment>
    <comment authorId="0" ref="H53">
      <text>
        <t xml:space="preserve">======
ID#AAACFY2U2eg
Litbang3    (2026-08-09 14:56:00)
ukuran 200 gram</t>
      </text>
    </comment>
    <comment authorId="0" ref="I53">
      <text>
        <t xml:space="preserve">======
ID#AAACFY2U2ZA
Litbang3    (2026-08-09 14:56:00)
ukuran 500 gr</t>
      </text>
    </comment>
    <comment authorId="0" ref="J53">
      <text>
        <t xml:space="preserve">======
ID#AAACFY2U2cs
Litbang3    (2026-08-09 14:56:00)
ukuran 200 gram</t>
      </text>
    </comment>
    <comment authorId="0" ref="G45">
      <text>
        <t xml:space="preserve">======
ID#AAACFY2U2Vk
litbang 0    (2026-08-09 14:56:00)
susu Bendera</t>
      </text>
    </comment>
    <comment authorId="0" ref="B86">
      <text>
        <t xml:space="preserve">======
ID#AAACFY2U2a8
Litbang21    (2026-08-09 14:56:00)
Litbang21:</t>
      </text>
    </comment>
    <comment authorId="0" ref="D53">
      <text>
        <t xml:space="preserve">======
ID#AAACFY2U2Ws
Yayuk    (2026-08-09 14:56:00)
ukuran 500gr</t>
      </text>
    </comment>
  </commentList>
  <extLst>
    <ext uri="GoogleSheetsCustomDataVersion2">
      <go:sheetsCustomData xmlns:go="http://customooxmlschemas.google.com/" r:id="rId1" roundtripDataSignature="AMtx7misVWmOE3fepjGwAuezNoF00QvXlA=="/>
    </ext>
  </extL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ID#AAACFY2U2Yk
AJUDAN-FARAH    (2026-08-09 14:56:00)
ukuran 1kg</t>
      </text>
    </comment>
    <comment authorId="0" ref="F53">
      <text>
        <t xml:space="preserve">======
ID#AAACFY2U2dw
Litbang3    (2026-08-09 14:56:00)
ukuran 500 gr</t>
      </text>
    </comment>
    <comment authorId="0" ref="G53">
      <text>
        <t xml:space="preserve">======
ID#AAACFY2U2f0
Litbang3    (2026-08-09 14:56:00)
ukuran 500 gr</t>
      </text>
    </comment>
    <comment authorId="0" ref="H53">
      <text>
        <t xml:space="preserve">======
ID#AAACFY2U2cw
Litbang3    (2026-08-09 14:56:00)
ukuran 200 gram</t>
      </text>
    </comment>
    <comment authorId="0" ref="I53">
      <text>
        <t xml:space="preserve">======
ID#AAACFY2U2Ss
Litbang3    (2026-08-09 14:56:00)
ukuran 500 gr</t>
      </text>
    </comment>
    <comment authorId="0" ref="J53">
      <text>
        <t xml:space="preserve">======
ID#AAACFY2U2d4
Litbang3    (2026-08-09 14:56:00)
ukuran 200 gram</t>
      </text>
    </comment>
    <comment authorId="0" ref="G45">
      <text>
        <t xml:space="preserve">======
ID#AAACFY2U2Xw
litbang 0    (2026-08-09 14:56:00)
susu Bendera</t>
      </text>
    </comment>
    <comment authorId="0" ref="B86">
      <text>
        <t xml:space="preserve">======
ID#AAACFY2U2a0
Litbang21    (2026-08-09 14:56:00)
Litbang21:</t>
      </text>
    </comment>
    <comment authorId="0" ref="D53">
      <text>
        <t xml:space="preserve">======
ID#AAACFY2U2cM
Yayuk    (2026-08-09 14:56:00)
ukuran 500gr</t>
      </text>
    </comment>
  </commentList>
  <extLst>
    <ext uri="GoogleSheetsCustomDataVersion2">
      <go:sheetsCustomData xmlns:go="http://customooxmlschemas.google.com/" r:id="rId1" roundtripDataSignature="AMtx7mgh4mb1rQjE558RhWhx/PO71cUcmg=="/>
    </ext>
  </extL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ID#AAACFY2U2Wc
AJUDAN-FARAH    (2026-08-09 14:56:00)
ukuran 1kg</t>
      </text>
    </comment>
    <comment authorId="0" ref="F53">
      <text>
        <t xml:space="preserve">======
ID#AAACFY2U2Rk
Litbang3    (2026-08-09 14:56:00)
ukuran 500 gr</t>
      </text>
    </comment>
    <comment authorId="0" ref="G53">
      <text>
        <t xml:space="preserve">======
ID#AAACFY2U2aI
Litbang3    (2026-08-09 14:56:00)
ukuran 500 gr</t>
      </text>
    </comment>
    <comment authorId="0" ref="H53">
      <text>
        <t xml:space="preserve">======
ID#AAACFY2U2bk
Litbang3    (2026-08-09 14:56:00)
ukuran 200 gram</t>
      </text>
    </comment>
    <comment authorId="0" ref="I53">
      <text>
        <t xml:space="preserve">======
ID#AAACFY2U2bs
Litbang3    (2026-08-09 14:56:00)
ukuran 500 gr</t>
      </text>
    </comment>
    <comment authorId="0" ref="J53">
      <text>
        <t xml:space="preserve">======
ID#AAACFY2U2fY
Litbang3    (2026-08-09 14:56:00)
ukuran 200 gram</t>
      </text>
    </comment>
    <comment authorId="0" ref="G45">
      <text>
        <t xml:space="preserve">======
ID#AAACFY2U2Vc
litbang 0    (2026-08-09 14:56:00)
susu Bendera</t>
      </text>
    </comment>
    <comment authorId="0" ref="B86">
      <text>
        <t xml:space="preserve">======
ID#AAACFY2U2TM
Litbang21    (2026-08-09 14:56:00)
Litbang21:</t>
      </text>
    </comment>
    <comment authorId="0" ref="D53">
      <text>
        <t xml:space="preserve">======
ID#AAACFY2U2dg
Yayuk    (2026-08-09 14:56:00)
ukuran 500gr</t>
      </text>
    </comment>
  </commentList>
  <extLst>
    <ext uri="GoogleSheetsCustomDataVersion2">
      <go:sheetsCustomData xmlns:go="http://customooxmlschemas.google.com/" r:id="rId1" roundtripDataSignature="AMtx7mhem164SPl40mbT3GwaFlYiqET/+A=="/>
    </ext>
  </extL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ID#AAACFY2U2Vw
AJUDAN-FARAH    (2026-08-09 14:56:00)
ukuran 1kg</t>
      </text>
    </comment>
    <comment authorId="0" ref="F53">
      <text>
        <t xml:space="preserve">======
ID#AAACFY2U2Z0
Litbang3    (2026-08-09 14:56:00)
ukuran 500 gr</t>
      </text>
    </comment>
    <comment authorId="0" ref="G53">
      <text>
        <t xml:space="preserve">======
ID#AAACFY2U2Wg
Litbang3    (2026-08-09 14:56:00)
ukuran 500 gr</t>
      </text>
    </comment>
    <comment authorId="0" ref="H53">
      <text>
        <t xml:space="preserve">======
ID#AAACFY2U2SA
Litbang3    (2026-08-09 14:56:00)
ukuran 200 gram</t>
      </text>
    </comment>
    <comment authorId="0" ref="I53">
      <text>
        <t xml:space="preserve">======
ID#AAACFY2U2X4
Litbang3    (2026-08-09 14:56:00)
ukuran 500 gr</t>
      </text>
    </comment>
    <comment authorId="0" ref="J53">
      <text>
        <t xml:space="preserve">======
ID#AAACFY2U2Zk
Litbang3    (2026-08-09 14:56:00)
ukuran 200 gram</t>
      </text>
    </comment>
    <comment authorId="0" ref="G45">
      <text>
        <t xml:space="preserve">======
ID#AAACFY2U2cI
litbang 0    (2026-08-09 14:56:00)
susu Bendera</t>
      </text>
    </comment>
    <comment authorId="0" ref="B86">
      <text>
        <t xml:space="preserve">======
ID#AAACFY2U2U8
Litbang21    (2026-08-09 14:56:00)
Litbang21:</t>
      </text>
    </comment>
    <comment authorId="0" ref="D53">
      <text>
        <t xml:space="preserve">======
ID#AAACFY2U2e4
Yayuk    (2026-08-09 14:56:00)
ukuran 500gr</t>
      </text>
    </comment>
  </commentList>
  <extLst>
    <ext uri="GoogleSheetsCustomDataVersion2">
      <go:sheetsCustomData xmlns:go="http://customooxmlschemas.google.com/" r:id="rId1" roundtripDataSignature="AMtx7mh96PJBM8Y1a7C26UVC6ioDTopHmA=="/>
    </ext>
  </extL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ID#AAACFY2U2ak
AJUDAN-FARAH    (2026-08-09 14:56:00)
ukuran 1kg</t>
      </text>
    </comment>
    <comment authorId="0" ref="F53">
      <text>
        <t xml:space="preserve">======
ID#AAACFY2U2XE
Litbang3    (2026-08-09 14:56:00)
ukuran 500 gr</t>
      </text>
    </comment>
    <comment authorId="0" ref="G53">
      <text>
        <t xml:space="preserve">======
ID#AAACFY2U2ZY
Litbang3    (2026-08-09 14:56:00)
ukuran 500 gr</t>
      </text>
    </comment>
    <comment authorId="0" ref="H53">
      <text>
        <t xml:space="preserve">======
ID#AAACFY2U2bU
Litbang3    (2026-08-09 14:56:00)
ukuran 200 gram</t>
      </text>
    </comment>
    <comment authorId="0" ref="I53">
      <text>
        <t xml:space="preserve">======
ID#AAACFY2U2Ug
Litbang3    (2026-08-09 14:56:00)
ukuran 500 gr</t>
      </text>
    </comment>
    <comment authorId="0" ref="J53">
      <text>
        <t xml:space="preserve">======
ID#AAACFY2U2W4
Litbang3    (2026-08-09 14:56:00)
ukuran 200 gram</t>
      </text>
    </comment>
    <comment authorId="0" ref="G45">
      <text>
        <t xml:space="preserve">======
ID#AAACFY2U2SY
litbang 0    (2026-08-09 14:56:00)
susu Bendera</t>
      </text>
    </comment>
    <comment authorId="0" ref="B86">
      <text>
        <t xml:space="preserve">======
ID#AAACFY2U2c8
Litbang21    (2026-08-09 14:56:00)
Litbang21:</t>
      </text>
    </comment>
    <comment authorId="0" ref="D53">
      <text>
        <t xml:space="preserve">======
ID#AAACFY2U2b4
Yayuk    (2026-08-09 14:56:00)
ukuran 500gr</t>
      </text>
    </comment>
  </commentList>
  <extLst>
    <ext uri="GoogleSheetsCustomDataVersion2">
      <go:sheetsCustomData xmlns:go="http://customooxmlschemas.google.com/" r:id="rId1" roundtripDataSignature="AMtx7mhpbzM2EvIih14fIbTrnAm6l3Lrgg=="/>
    </ext>
  </extL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ID#AAACFY2U2Yw
AJUDAN-FARAH    (2026-08-09 14:56:00)
ukuran 1kg</t>
      </text>
    </comment>
    <comment authorId="0" ref="F53">
      <text>
        <t xml:space="preserve">======
ID#AAACFY2U2Rc
Litbang3    (2026-08-09 14:56:00)
ukuran 500 gr</t>
      </text>
    </comment>
    <comment authorId="0" ref="G53">
      <text>
        <t xml:space="preserve">======
ID#AAACFY2U2YY
Litbang3    (2026-08-09 14:56:00)
ukuran 500 gr</t>
      </text>
    </comment>
    <comment authorId="0" ref="H53">
      <text>
        <t xml:space="preserve">======
ID#AAACFY2U2fc
Litbang3    (2026-08-09 14:56:00)
ukuran 200 gram</t>
      </text>
    </comment>
    <comment authorId="0" ref="I53">
      <text>
        <t xml:space="preserve">======
ID#AAACFY2U2fs
Litbang3    (2026-08-09 14:56:00)
ukuran 500 gr</t>
      </text>
    </comment>
    <comment authorId="0" ref="J53">
      <text>
        <t xml:space="preserve">======
ID#AAACFY2U2S4
Litbang3    (2026-08-09 14:56:00)
ukuran 200 gram</t>
      </text>
    </comment>
    <comment authorId="0" ref="G45">
      <text>
        <t xml:space="preserve">======
ID#AAACFY2U2fk
litbang 0    (2026-08-09 14:56:00)
susu Bendera</t>
      </text>
    </comment>
    <comment authorId="0" ref="B86">
      <text>
        <t xml:space="preserve">======
ID#AAACFY2U2cE
Litbang21    (2026-08-09 14:56:00)
Litbang21:</t>
      </text>
    </comment>
    <comment authorId="0" ref="D53">
      <text>
        <t xml:space="preserve">======
ID#AAACFY2U2Wk
Yayuk    (2026-08-09 14:56:00)
ukuran 500gr</t>
      </text>
    </comment>
  </commentList>
  <extLst>
    <ext uri="GoogleSheetsCustomDataVersion2">
      <go:sheetsCustomData xmlns:go="http://customooxmlschemas.google.com/" r:id="rId1" roundtripDataSignature="AMtx7mh3cDbt+MMTHsjgjM83qDV75q14ug=="/>
    </ext>
  </extL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ID#AAACFY2U2d8
AJUDAN-FARAH    (2026-08-09 14:56:00)
ukuran 1kg</t>
      </text>
    </comment>
    <comment authorId="0" ref="F53">
      <text>
        <t xml:space="preserve">======
ID#AAACFY2U2e8
Litbang3    (2026-08-09 14:56:00)
ukuran 500 gr</t>
      </text>
    </comment>
    <comment authorId="0" ref="G53">
      <text>
        <t xml:space="preserve">======
ID#AAACFY2U2dk
Litbang3    (2026-08-09 14:56:00)
ukuran 500 gr</t>
      </text>
    </comment>
    <comment authorId="0" ref="H53">
      <text>
        <t xml:space="preserve">======
ID#AAACFY2U2bY
Litbang3    (2026-08-09 14:56:00)
ukuran 200 gram</t>
      </text>
    </comment>
    <comment authorId="0" ref="I53">
      <text>
        <t xml:space="preserve">======
ID#AAACFY2U2eA
Litbang3    (2026-08-09 14:56:00)
ukuran 500 gr</t>
      </text>
    </comment>
    <comment authorId="0" ref="J53">
      <text>
        <t xml:space="preserve">======
ID#AAACFY2U2gY
Litbang3    (2026-08-09 14:56:00)
ukuran 200 gram</t>
      </text>
    </comment>
    <comment authorId="0" ref="G45">
      <text>
        <t xml:space="preserve">======
ID#AAACFY2U2Yc
litbang 0    (2026-08-09 14:56:00)
susu Bendera</t>
      </text>
    </comment>
    <comment authorId="0" ref="B86">
      <text>
        <t xml:space="preserve">======
ID#AAACFY2U2SU
Litbang21    (2026-08-09 14:56:00)
Litbang21:</t>
      </text>
    </comment>
    <comment authorId="0" ref="D53">
      <text>
        <t xml:space="preserve">======
ID#AAACFY2U2WI
Yayuk    (2026-08-09 14:56:00)
ukuran 500gr</t>
      </text>
    </comment>
  </commentList>
  <extLst>
    <ext uri="GoogleSheetsCustomDataVersion2">
      <go:sheetsCustomData xmlns:go="http://customooxmlschemas.google.com/" r:id="rId1" roundtripDataSignature="AMtx7mgVx+3MLrJxotrp5kg3WI8AFSnrAQ=="/>
    </ext>
  </extL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ID#AAACFY2U2TY
AJUDAN-FARAH    (2026-08-09 14:56:00)
ukuran 1kg</t>
      </text>
    </comment>
    <comment authorId="0" ref="F53">
      <text>
        <t xml:space="preserve">======
ID#AAACFY2U2TU
Litbang3    (2026-08-09 14:56:00)
ukuran 500 gr</t>
      </text>
    </comment>
    <comment authorId="0" ref="G53">
      <text>
        <t xml:space="preserve">======
ID#AAACFY2U2cA
Litbang3    (2026-08-09 14:56:00)
ukuran 500 gr</t>
      </text>
    </comment>
    <comment authorId="0" ref="H53">
      <text>
        <t xml:space="preserve">======
ID#AAACFY2U2SE
Litbang3    (2026-08-09 14:56:00)
ukuran 200 gram</t>
      </text>
    </comment>
    <comment authorId="0" ref="I53">
      <text>
        <t xml:space="preserve">======
ID#AAACFY2U2YA
Litbang3    (2026-08-09 14:56:00)
ukuran 500 gr</t>
      </text>
    </comment>
    <comment authorId="0" ref="J53">
      <text>
        <t xml:space="preserve">======
ID#AAACFY2U2Xk
Litbang3    (2026-08-09 14:56:00)
ukuran 200 gram</t>
      </text>
    </comment>
    <comment authorId="0" ref="G45">
      <text>
        <t xml:space="preserve">======
ID#AAACFY2U2Zc
litbang 0    (2026-08-09 14:56:00)
susu Bendera</t>
      </text>
    </comment>
    <comment authorId="0" ref="B86">
      <text>
        <t xml:space="preserve">======
ID#AAACFY2U2cg
Litbang21    (2026-08-09 14:56:00)
Litbang21:</t>
      </text>
    </comment>
    <comment authorId="0" ref="D53">
      <text>
        <t xml:space="preserve">======
ID#AAACFY2U2Y0
Yayuk    (2026-08-09 14:56:00)
ukuran 500gr</t>
      </text>
    </comment>
  </commentList>
  <extLst>
    <ext uri="GoogleSheetsCustomDataVersion2">
      <go:sheetsCustomData xmlns:go="http://customooxmlschemas.google.com/" r:id="rId1" roundtripDataSignature="AMtx7mibYUrsBymoUcH/RaCLy1O5dYSipw=="/>
    </ext>
  </extLst>
</comments>
</file>

<file path=xl/sharedStrings.xml><?xml version="1.0" encoding="utf-8"?>
<sst xmlns="http://schemas.openxmlformats.org/spreadsheetml/2006/main" count="6787" uniqueCount="159">
  <si>
    <t>BAGIAN PEREKONOMIAN DAN SUMBER DAYA ALAM</t>
  </si>
  <si>
    <t xml:space="preserve">HARGA BAHAN-BAHAN POKOK </t>
  </si>
  <si>
    <t>DI PASAR TRADISIONAL KOTA SURABAYA</t>
  </si>
  <si>
    <t>LAPORAN HARGA BAHAN POKOK DI KOTA SURABAYA</t>
  </si>
  <si>
    <t>HARI / TANGGAL :  Jumat  / 02  Juni 2023</t>
  </si>
  <si>
    <t>HARI / TANGGAL :  Sabtu  / 03  Juni 2023</t>
  </si>
  <si>
    <t>HARI / TANGGAL :  Kamis / 01 Juni 2023</t>
  </si>
  <si>
    <t xml:space="preserve"> </t>
  </si>
  <si>
    <t>NAMA BAHAN POKOK DAN PENTING LAINNYA</t>
  </si>
  <si>
    <t>PERIODE JUNI 2023</t>
  </si>
  <si>
    <t>SATUAN</t>
  </si>
  <si>
    <t>Pasar Tambahrejo</t>
  </si>
  <si>
    <t>Pasar Pucang Anom</t>
  </si>
  <si>
    <t>Pasar Wonokromo</t>
  </si>
  <si>
    <t>SAT</t>
  </si>
  <si>
    <t>Pasar Genteng Baru</t>
  </si>
  <si>
    <t>Pasar Pabean</t>
  </si>
  <si>
    <t>Pasar Kembang</t>
  </si>
  <si>
    <t>Pasar Balongsari</t>
  </si>
  <si>
    <t>Rata-Rata</t>
  </si>
  <si>
    <t>BERAS</t>
  </si>
  <si>
    <t>HET/HAPK (Harga Eceran Tertinggi)</t>
  </si>
  <si>
    <t>FLUKTUASI</t>
  </si>
  <si>
    <t>- Beras Premium</t>
  </si>
  <si>
    <t>Kg</t>
  </si>
  <si>
    <t>- Beras Medium Bulog</t>
  </si>
  <si>
    <t>-</t>
  </si>
  <si>
    <t>- Beras Medium</t>
  </si>
  <si>
    <t>- Beras Jagung</t>
  </si>
  <si>
    <t>- Beras Ketan (Jenis Siyem)</t>
  </si>
  <si>
    <t>- Beras   Premium</t>
  </si>
  <si>
    <t>GULA</t>
  </si>
  <si>
    <t>- Gula pasir lokal curah</t>
  </si>
  <si>
    <t>- Gula Jawa/Merah (Bahan Kelapa)</t>
  </si>
  <si>
    <t>MINYAK GORENG</t>
  </si>
  <si>
    <t>- Minyak Goreng Curah (Bening)</t>
  </si>
  <si>
    <t>- Minyak Kita</t>
  </si>
  <si>
    <t>Liter</t>
  </si>
  <si>
    <t>- Beras IR.64 Medium Bulog</t>
  </si>
  <si>
    <t>KG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</si>
  <si>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</si>
  <si>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</si>
  <si>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</si>
  <si>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</si>
  <si>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</si>
  <si>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</si>
  <si>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Beras IR.64 Medium</t>
  </si>
  <si>
    <t>- Daging Ayam Broiler</t>
  </si>
  <si>
    <t>I K A N</t>
  </si>
  <si>
    <t>- Ikan Tongkol Segar (Uk. Sedang)</t>
  </si>
  <si>
    <t>- Ikan Mujair Segar (Uk. Sedang)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</si>
  <si>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</si>
  <si>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</si>
  <si>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</si>
  <si>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</si>
  <si>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</si>
  <si>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</si>
  <si>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</si>
  <si>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- Telur Ayam Broiler</t>
  </si>
  <si>
    <t>- Telur Ayam Kampung</t>
  </si>
  <si>
    <t>Butir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</si>
  <si>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</si>
  <si>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</si>
  <si>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</si>
  <si>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</si>
  <si>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</si>
  <si>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</si>
  <si>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</si>
  <si>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S U S U</t>
  </si>
  <si>
    <t>- Susu Kental Manis "INDOMILK" Putih</t>
  </si>
  <si>
    <t>390 Gr/kaleng</t>
  </si>
  <si>
    <t>- Susu Kental Manis "BENDERA" Putih</t>
  </si>
  <si>
    <t xml:space="preserve">Gula Pasir Lokal Curah 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</si>
  <si>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</si>
  <si>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</si>
  <si>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</si>
  <si>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</si>
  <si>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</si>
  <si>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</si>
  <si>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</si>
  <si>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</si>
  <si>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</si>
  <si>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</si>
  <si>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</si>
  <si>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</si>
  <si>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</si>
  <si>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</si>
  <si>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</si>
  <si>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</si>
  <si>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 xml:space="preserve">             </t>
  </si>
  <si>
    <t>- Kacang Hijau</t>
  </si>
  <si>
    <t>- Kacang Tanah (Jenis Besar)</t>
  </si>
  <si>
    <t>MIE INSTAN</t>
  </si>
  <si>
    <t>- Indomie Goreng</t>
  </si>
  <si>
    <t>86 Gr/Bngks</t>
  </si>
  <si>
    <t>- Minyak KITA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</si>
  <si>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</si>
  <si>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</si>
  <si>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</si>
  <si>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</si>
  <si>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</si>
  <si>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</si>
  <si>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</si>
  <si>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</si>
  <si>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</si>
  <si>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</si>
  <si>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</si>
  <si>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</si>
  <si>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</si>
  <si>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</si>
  <si>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</si>
  <si>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</si>
  <si>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</si>
  <si>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</si>
  <si>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</si>
  <si>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</si>
  <si>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</si>
  <si>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</si>
  <si>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</si>
  <si>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</si>
  <si>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</si>
  <si>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</si>
  <si>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</si>
  <si>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 xml:space="preserve">  </t>
  </si>
  <si>
    <t>- Air Mineral (Aqua Galon)</t>
  </si>
  <si>
    <t>19 Ltr/Galon</t>
  </si>
  <si>
    <t>- Telur Ayam Horn</t>
  </si>
  <si>
    <t>HARI / TANGGAL :  Minggu  / 04  Juni 2023</t>
  </si>
  <si>
    <t>HARI / TANGGAL :  Senin  / 05  Juni 2023</t>
  </si>
  <si>
    <t>- Susu Bubuk "DANCOW" Full Cream</t>
  </si>
  <si>
    <t>400 Gr/Dos</t>
  </si>
  <si>
    <t>HARI / TANGGAL :  Selasa  / 06  Juni 2023</t>
  </si>
  <si>
    <t>HARI / TANGGAL :  Rabu  / 07  Juni 2023</t>
  </si>
  <si>
    <t>HARI / TANGGAL :  Kamis  / 08  Juni 2023</t>
  </si>
  <si>
    <t>keterangan :</t>
  </si>
  <si>
    <t>Sumber dari PD Pasar Surya Surabaya</t>
  </si>
  <si>
    <t>Fluktuasi dalam 1 Bulan</t>
  </si>
  <si>
    <t>HARI / TANGGAL :  Jumat  / 09  Juni 2023</t>
  </si>
  <si>
    <t>HARI / TANGGAL :  Sabtu  / 10  Juni 2023</t>
  </si>
  <si>
    <t>HARI / TANGGAL :  Minggu  / 11  Juni 2023</t>
  </si>
  <si>
    <t>HARI / TANGGAL :  Senin  / 12  Juni 2023</t>
  </si>
  <si>
    <t>HARI / TANGGAL :  Selasa  / 13  Juni 2023</t>
  </si>
  <si>
    <t>HARI / TANGGAL :  Rabu  / 14  Juni 2023</t>
  </si>
  <si>
    <t>HARI / TANGGAL :  Kamis  / 15  Juni 2023</t>
  </si>
  <si>
    <t>HARI / TANGGAL :  Jumat  / 16  Juni 2023</t>
  </si>
  <si>
    <t>HARI / TANGGAL :  Sabtu  / 17  Juni 2023</t>
  </si>
  <si>
    <t>HARI / TANGGAL :  Minggu  / 18  Juni 2023</t>
  </si>
  <si>
    <t>HARI / TANGGAL :  Senin  / 19  Juni 2023</t>
  </si>
  <si>
    <t>HARI / TANGGAL :  Selasa  / 20 Juni 2023</t>
  </si>
  <si>
    <t>HARI / TANGGAL :  Rabu  / 21 Juni 2023</t>
  </si>
  <si>
    <t>HARI / TANGGAL :  Kamis  / 22 Juni 2023</t>
  </si>
  <si>
    <t>HARI / TANGGAL :  Jumat  / 23 Juni 2023</t>
  </si>
  <si>
    <t>HARI / TANGGAL :  Sabtu / 24 Juni 2023</t>
  </si>
  <si>
    <t>HARI / TANGGAL :  Minggu / 25 Juni 2023</t>
  </si>
  <si>
    <t>HARI / TANGGAL :  Senin / 26 Juni 2023</t>
  </si>
  <si>
    <t>HARI / TANGGAL :  Selasa / 27 Juni 2023</t>
  </si>
  <si>
    <t>HARI / TANGGAL :  Rabu / 28 Juni 2023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</si>
  <si>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</si>
  <si>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HARI / TANGGAL :  Jumat  / 30  Juni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</si>
</sst>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28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Tahoma"/>
    </font>
    <font>
      <sz val="12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u/>
      <sz val="14.0"/>
      <color theme="1"/>
      <name val="Calibri"/>
    </font>
    <font>
      <sz val="11.0"/>
      <color theme="1"/>
      <name val="Tahoma"/>
    </font>
    <font>
      <sz val="10.0"/>
      <color theme="1"/>
      <name val="Tahoma"/>
    </font>
    <font>
      <sz val="10.0"/>
      <color theme="1"/>
      <name val="Calibri"/>
    </font>
    <font>
      <b/>
      <sz val="10.0"/>
      <color theme="1"/>
      <name val="Calibri"/>
    </font>
    <font>
      <sz val="11.0"/>
      <color theme="1"/>
      <name val="Arial"/>
    </font>
    <font>
      <b/>
      <sz val="11.0"/>
      <color rgb="FF0C0C0C"/>
      <name val="Tahoma"/>
    </font>
    <font>
      <b/>
      <sz val="11.0"/>
      <color theme="1"/>
      <name val="Arial"/>
    </font>
    <font>
      <b/>
      <sz val="10.0"/>
      <color theme="1"/>
      <name val="Tahoma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Tahoma"/>
    </font>
    <font>
      <b/>
      <sz val="11.0"/>
      <color rgb="FFC55A11"/>
      <name val="Tahoma"/>
    </font>
    <font>
      <color theme="1"/>
      <name val="Calibri"/>
      <scheme val="minor"/>
    </font>
    <font>
      <sz val="11.0"/>
      <color rgb="FFC55A11"/>
      <name val="Tahoma"/>
    </font>
    <font>
      <sz val="11.0"/>
      <color rgb="FF0C0C0C"/>
      <name val="Tahoma"/>
    </font>
    <font>
      <sz val="12.0"/>
      <color rgb="FFFF0000"/>
      <name val="Calibri"/>
    </font>
    <font>
      <sz val="11.0"/>
      <color rgb="FFFF0000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b/>
      <u/>
      <sz val="11.0"/>
      <color theme="1"/>
      <name val="Tahoma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</fills>
  <borders count="5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/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0" fontId="2" numFmtId="0" xfId="0" applyBorder="1" applyFont="1"/>
    <xf borderId="0" fillId="0" fontId="4" numFmtId="0" xfId="0" applyFont="1"/>
    <xf borderId="4" fillId="2" fontId="5" numFmtId="0" xfId="0" applyBorder="1" applyFont="1"/>
    <xf borderId="1" fillId="2" fontId="3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shrinkToFit="0" vertical="center" wrapText="1"/>
    </xf>
    <xf borderId="7" fillId="2" fontId="7" numFmtId="0" xfId="0" applyAlignment="1" applyBorder="1" applyFont="1">
      <alignment horizontal="center"/>
    </xf>
    <xf borderId="8" fillId="0" fontId="2" numFmtId="0" xfId="0" applyBorder="1" applyFont="1"/>
    <xf borderId="9" fillId="3" fontId="3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4" fontId="3" numFmtId="0" xfId="0" applyAlignment="1" applyBorder="1" applyFill="1" applyFont="1">
      <alignment horizontal="center" shrinkToFit="0" vertical="center" wrapText="1"/>
    </xf>
    <xf borderId="12" fillId="5" fontId="3" numFmtId="0" xfId="0" applyAlignment="1" applyBorder="1" applyFill="1" applyFont="1">
      <alignment horizontal="center" shrinkToFit="0" vertical="center" wrapText="1"/>
    </xf>
    <xf borderId="13" fillId="6" fontId="3" numFmtId="0" xfId="0" applyAlignment="1" applyBorder="1" applyFill="1" applyFont="1">
      <alignment horizontal="center" shrinkToFit="0" vertical="center" wrapText="1"/>
    </xf>
    <xf borderId="14" fillId="2" fontId="8" numFmtId="0" xfId="0" applyAlignment="1" applyBorder="1" applyFont="1">
      <alignment horizontal="center" vertical="center"/>
    </xf>
    <xf borderId="6" fillId="7" fontId="3" numFmtId="0" xfId="0" applyAlignment="1" applyBorder="1" applyFill="1" applyFont="1">
      <alignment horizontal="center" shrinkToFit="0" vertical="center" wrapText="1"/>
    </xf>
    <xf borderId="6" fillId="8" fontId="3" numFmtId="0" xfId="0" applyAlignment="1" applyBorder="1" applyFill="1" applyFont="1">
      <alignment horizontal="center" shrinkToFit="0" vertical="center" wrapText="1"/>
    </xf>
    <xf borderId="15" fillId="9" fontId="3" numFmtId="0" xfId="0" applyAlignment="1" applyBorder="1" applyFill="1" applyFont="1">
      <alignment horizontal="center" shrinkToFit="0" vertical="center" wrapText="1"/>
    </xf>
    <xf borderId="16" fillId="2" fontId="3" numFmtId="0" xfId="0" applyAlignment="1" applyBorder="1" applyFont="1">
      <alignment horizontal="center" shrinkToFit="0" vertical="center" wrapText="1"/>
    </xf>
    <xf borderId="14" fillId="2" fontId="9" numFmtId="16" xfId="0" applyAlignment="1" applyBorder="1" applyFont="1" applyNumberForma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6" fillId="0" fontId="8" numFmtId="0" xfId="0" applyAlignment="1" applyBorder="1" applyFont="1">
      <alignment horizontal="center" vertical="top"/>
    </xf>
    <xf borderId="30" fillId="10" fontId="3" numFmtId="0" xfId="0" applyAlignment="1" applyBorder="1" applyFill="1" applyFont="1">
      <alignment vertical="center"/>
    </xf>
    <xf borderId="30" fillId="10" fontId="8" numFmtId="0" xfId="0" applyAlignment="1" applyBorder="1" applyFont="1">
      <alignment vertical="center"/>
    </xf>
    <xf borderId="14" fillId="2" fontId="10" numFmtId="16" xfId="0" applyAlignment="1" applyBorder="1" applyFont="1" applyNumberFormat="1">
      <alignment horizontal="center" shrinkToFit="0" vertical="center" wrapText="1"/>
    </xf>
    <xf borderId="31" fillId="0" fontId="8" numFmtId="0" xfId="0" applyAlignment="1" applyBorder="1" applyFont="1">
      <alignment vertical="center"/>
    </xf>
    <xf borderId="32" fillId="0" fontId="8" numFmtId="0" xfId="0" applyAlignment="1" applyBorder="1" applyFont="1">
      <alignment vertical="center"/>
    </xf>
    <xf borderId="6" fillId="2" fontId="11" numFmtId="0" xfId="0" applyAlignment="1" applyBorder="1" applyFont="1">
      <alignment horizontal="center" shrinkToFit="0" vertical="center" wrapText="1"/>
    </xf>
    <xf borderId="32" fillId="0" fontId="12" numFmtId="0" xfId="0" applyBorder="1" applyFont="1"/>
    <xf borderId="33" fillId="0" fontId="12" numFmtId="0" xfId="0" applyBorder="1" applyFont="1"/>
    <xf borderId="6" fillId="2" fontId="11" numFmtId="16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34" fillId="10" fontId="12" numFmtId="0" xfId="0" applyBorder="1" applyFont="1"/>
    <xf borderId="35" fillId="2" fontId="8" numFmtId="0" xfId="0" applyAlignment="1" applyBorder="1" applyFont="1">
      <alignment horizontal="center" vertical="center"/>
    </xf>
    <xf quotePrefix="1" borderId="36" fillId="0" fontId="8" numFmtId="0" xfId="0" applyAlignment="1" applyBorder="1" applyFont="1">
      <alignment vertical="center"/>
    </xf>
    <xf borderId="36" fillId="0" fontId="8" numFmtId="0" xfId="0" applyAlignment="1" applyBorder="1" applyFont="1">
      <alignment horizontal="center" vertical="center"/>
    </xf>
    <xf borderId="37" fillId="0" fontId="13" numFmtId="164" xfId="0" applyAlignment="1" applyBorder="1" applyFont="1" applyNumberFormat="1">
      <alignment vertical="center"/>
    </xf>
    <xf borderId="35" fillId="2" fontId="9" numFmtId="0" xfId="0" applyAlignment="1" applyBorder="1" applyFont="1">
      <alignment horizontal="center" shrinkToFit="0" vertical="center" wrapText="1"/>
    </xf>
    <xf borderId="38" fillId="0" fontId="13" numFmtId="164" xfId="0" applyAlignment="1" applyBorder="1" applyFont="1" applyNumberFormat="1">
      <alignment vertical="center"/>
    </xf>
    <xf borderId="39" fillId="0" fontId="13" numFmtId="164" xfId="0" applyAlignment="1" applyBorder="1" applyFont="1" applyNumberFormat="1">
      <alignment vertical="center"/>
    </xf>
    <xf borderId="39" fillId="0" fontId="3" numFmtId="164" xfId="0" applyAlignment="1" applyBorder="1" applyFont="1" applyNumberFormat="1">
      <alignment vertical="center"/>
    </xf>
    <xf borderId="35" fillId="2" fontId="10" numFmtId="0" xfId="0" applyAlignment="1" applyBorder="1" applyFont="1">
      <alignment horizontal="center" shrinkToFit="0" vertical="center" wrapText="1"/>
    </xf>
    <xf borderId="40" fillId="0" fontId="14" numFmtId="164" xfId="0" applyAlignment="1" applyBorder="1" applyFont="1" applyNumberFormat="1">
      <alignment vertical="center"/>
    </xf>
    <xf borderId="0" fillId="0" fontId="5" numFmtId="164" xfId="0" applyFont="1" applyNumberFormat="1"/>
    <xf borderId="0" fillId="0" fontId="4" numFmtId="164" xfId="0" applyFont="1" applyNumberFormat="1"/>
    <xf borderId="41" fillId="2" fontId="8" numFmtId="0" xfId="0" applyAlignment="1" applyBorder="1" applyFont="1">
      <alignment horizontal="center" vertical="center"/>
    </xf>
    <xf borderId="37" fillId="0" fontId="13" numFmtId="164" xfId="0" applyAlignment="1" applyBorder="1" applyFont="1" applyNumberFormat="1">
      <alignment horizontal="center" vertical="center"/>
    </xf>
    <xf borderId="38" fillId="0" fontId="13" numFmtId="164" xfId="0" applyAlignment="1" applyBorder="1" applyFont="1" applyNumberFormat="1">
      <alignment horizontal="center" vertical="center"/>
    </xf>
    <xf borderId="38" fillId="0" fontId="3" numFmtId="164" xfId="0" applyAlignment="1" applyBorder="1" applyFont="1" applyNumberFormat="1">
      <alignment horizontal="center" vertical="center"/>
    </xf>
    <xf borderId="41" fillId="2" fontId="9" numFmtId="16" xfId="0" applyAlignment="1" applyBorder="1" applyFont="1" applyNumberFormat="1">
      <alignment horizontal="center" shrinkToFit="0" vertical="center" wrapText="1"/>
    </xf>
    <xf borderId="39" fillId="0" fontId="13" numFmtId="164" xfId="0" applyAlignment="1" applyBorder="1" applyFont="1" applyNumberFormat="1">
      <alignment horizontal="center" vertical="center"/>
    </xf>
    <xf borderId="39" fillId="0" fontId="3" numFmtId="164" xfId="0" applyAlignment="1" applyBorder="1" applyFont="1" applyNumberFormat="1">
      <alignment horizontal="center" vertical="center"/>
    </xf>
    <xf borderId="40" fillId="0" fontId="14" numFmtId="164" xfId="0" applyBorder="1" applyFont="1" applyNumberFormat="1"/>
    <xf borderId="41" fillId="2" fontId="10" numFmtId="16" xfId="0" applyAlignment="1" applyBorder="1" applyFont="1" applyNumberFormat="1">
      <alignment horizontal="center" shrinkToFit="0" vertical="center" wrapText="1"/>
    </xf>
    <xf borderId="6" fillId="2" fontId="9" numFmtId="0" xfId="0" applyAlignment="1" applyBorder="1" applyFont="1">
      <alignment horizontal="center" vertical="top"/>
    </xf>
    <xf borderId="30" fillId="2" fontId="15" numFmtId="0" xfId="0" applyAlignment="1" applyBorder="1" applyFont="1">
      <alignment vertical="center"/>
    </xf>
    <xf borderId="30" fillId="2" fontId="9" numFmtId="0" xfId="0" applyAlignment="1" applyBorder="1" applyFont="1">
      <alignment vertical="center"/>
    </xf>
    <xf borderId="42" fillId="2" fontId="9" numFmtId="0" xfId="0" applyAlignment="1" applyBorder="1" applyFont="1">
      <alignment vertical="center"/>
    </xf>
    <xf borderId="42" fillId="2" fontId="16" numFmtId="0" xfId="0" applyBorder="1" applyFont="1"/>
    <xf borderId="43" fillId="0" fontId="2" numFmtId="0" xfId="0" applyBorder="1" applyFont="1"/>
    <xf borderId="42" fillId="2" fontId="10" numFmtId="0" xfId="0" applyBorder="1" applyFont="1"/>
    <xf borderId="42" fillId="2" fontId="17" numFmtId="0" xfId="0" applyBorder="1" applyFont="1"/>
    <xf quotePrefix="1" borderId="36" fillId="2" fontId="18" numFmtId="0" xfId="0" applyAlignment="1" applyBorder="1" applyFont="1">
      <alignment vertical="center"/>
    </xf>
    <xf borderId="36" fillId="2" fontId="9" numFmtId="0" xfId="0" applyAlignment="1" applyBorder="1" applyFont="1">
      <alignment horizontal="center" vertical="center"/>
    </xf>
    <xf borderId="44" fillId="0" fontId="8" numFmtId="0" xfId="0" applyAlignment="1" applyBorder="1" applyFont="1">
      <alignment horizontal="center" vertical="top"/>
    </xf>
    <xf borderId="36" fillId="10" fontId="3" numFmtId="0" xfId="0" applyAlignment="1" applyBorder="1" applyFont="1">
      <alignment vertical="center"/>
    </xf>
    <xf borderId="36" fillId="10" fontId="8" numFmtId="0" xfId="0" applyAlignment="1" applyBorder="1" applyFont="1">
      <alignment vertical="center"/>
    </xf>
    <xf borderId="37" fillId="0" fontId="8" numFmtId="0" xfId="0" applyAlignment="1" applyBorder="1" applyFont="1">
      <alignment vertical="center"/>
    </xf>
    <xf borderId="38" fillId="0" fontId="8" numFmtId="164" xfId="0" applyAlignment="1" applyBorder="1" applyFont="1" applyNumberFormat="1">
      <alignment vertical="center"/>
    </xf>
    <xf borderId="38" fillId="0" fontId="8" numFmtId="0" xfId="0" applyAlignment="1" applyBorder="1" applyFont="1">
      <alignment vertical="center"/>
    </xf>
    <xf borderId="36" fillId="2" fontId="10" numFmtId="164" xfId="0" applyAlignment="1" applyBorder="1" applyFont="1" applyNumberFormat="1">
      <alignment horizontal="center" vertical="center"/>
    </xf>
    <xf borderId="38" fillId="0" fontId="12" numFmtId="164" xfId="0" applyBorder="1" applyFont="1" applyNumberFormat="1"/>
    <xf borderId="39" fillId="0" fontId="12" numFmtId="164" xfId="0" applyBorder="1" applyFont="1" applyNumberFormat="1"/>
    <xf borderId="45" fillId="10" fontId="14" numFmtId="164" xfId="0" applyBorder="1" applyFont="1" applyNumberFormat="1"/>
    <xf borderId="4" fillId="2" fontId="4" numFmtId="0" xfId="0" applyBorder="1" applyFont="1"/>
    <xf borderId="36" fillId="2" fontId="10" numFmtId="164" xfId="0" applyAlignment="1" applyBorder="1" applyFont="1" applyNumberFormat="1">
      <alignment vertical="center"/>
    </xf>
    <xf borderId="39" fillId="2" fontId="13" numFmtId="164" xfId="0" applyAlignment="1" applyBorder="1" applyFont="1" applyNumberFormat="1">
      <alignment vertical="center"/>
    </xf>
    <xf borderId="38" fillId="0" fontId="3" numFmtId="164" xfId="0" applyAlignment="1" applyBorder="1" applyFont="1" applyNumberFormat="1">
      <alignment vertical="center"/>
    </xf>
    <xf borderId="37" fillId="0" fontId="3" numFmtId="0" xfId="0" applyAlignment="1" applyBorder="1" applyFont="1">
      <alignment vertical="center"/>
    </xf>
    <xf borderId="38" fillId="0" fontId="3" numFmtId="0" xfId="0" applyAlignment="1" applyBorder="1" applyFont="1">
      <alignment horizontal="center" vertical="center"/>
    </xf>
    <xf borderId="38" fillId="0" fontId="3" numFmtId="0" xfId="0" applyAlignment="1" applyBorder="1" applyFont="1">
      <alignment vertical="center"/>
    </xf>
    <xf borderId="39" fillId="0" fontId="3" numFmtId="0" xfId="0" applyAlignment="1" applyBorder="1" applyFont="1">
      <alignment vertical="center"/>
    </xf>
    <xf borderId="39" fillId="2" fontId="3" numFmtId="0" xfId="0" applyAlignment="1" applyBorder="1" applyFont="1">
      <alignment vertical="center"/>
    </xf>
    <xf borderId="36" fillId="2" fontId="17" numFmtId="164" xfId="0" applyAlignment="1" applyBorder="1" applyFont="1" applyNumberFormat="1">
      <alignment vertical="center"/>
    </xf>
    <xf borderId="39" fillId="2" fontId="13" numFmtId="164" xfId="0" applyAlignment="1" applyBorder="1" applyFont="1" applyNumberFormat="1">
      <alignment horizontal="center" vertical="center"/>
    </xf>
    <xf borderId="36" fillId="9" fontId="17" numFmtId="164" xfId="0" applyAlignment="1" applyBorder="1" applyFont="1" applyNumberFormat="1">
      <alignment vertical="center"/>
    </xf>
    <xf borderId="17" fillId="0" fontId="8" numFmtId="0" xfId="0" applyAlignment="1" applyBorder="1" applyFont="1">
      <alignment horizontal="center" vertical="top"/>
    </xf>
    <xf borderId="4" fillId="2" fontId="5" numFmtId="164" xfId="0" applyBorder="1" applyFont="1" applyNumberFormat="1"/>
    <xf borderId="38" fillId="0" fontId="19" numFmtId="0" xfId="0" applyAlignment="1" applyBorder="1" applyFont="1">
      <alignment vertical="center"/>
    </xf>
    <xf borderId="39" fillId="0" fontId="8" numFmtId="164" xfId="0" applyAlignment="1" applyBorder="1" applyFont="1" applyNumberFormat="1">
      <alignment horizontal="center" vertical="center"/>
    </xf>
    <xf borderId="39" fillId="2" fontId="8" numFmtId="164" xfId="0" applyAlignment="1" applyBorder="1" applyFont="1" applyNumberFormat="1">
      <alignment horizontal="center" vertical="center"/>
    </xf>
    <xf borderId="39" fillId="0" fontId="3" numFmtId="0" xfId="0" applyAlignment="1" applyBorder="1" applyFont="1">
      <alignment horizontal="center" vertical="center"/>
    </xf>
    <xf borderId="39" fillId="2" fontId="3" numFmtId="0" xfId="0" applyAlignment="1" applyBorder="1" applyFont="1">
      <alignment horizontal="center" vertical="center"/>
    </xf>
    <xf borderId="36" fillId="11" fontId="17" numFmtId="164" xfId="0" applyAlignment="1" applyBorder="1" applyFill="1" applyFont="1" applyNumberFormat="1">
      <alignment vertical="center"/>
    </xf>
    <xf borderId="39" fillId="2" fontId="3" numFmtId="164" xfId="0" applyAlignment="1" applyBorder="1" applyFont="1" applyNumberFormat="1">
      <alignment horizontal="center" vertical="center"/>
    </xf>
    <xf borderId="0" fillId="0" fontId="20" numFmtId="0" xfId="0" applyFont="1"/>
    <xf borderId="38" fillId="0" fontId="8" numFmtId="164" xfId="0" applyAlignment="1" applyBorder="1" applyFont="1" applyNumberFormat="1">
      <alignment horizontal="center" vertical="center"/>
    </xf>
    <xf borderId="36" fillId="10" fontId="8" numFmtId="0" xfId="0" applyAlignment="1" applyBorder="1" applyFont="1">
      <alignment horizontal="center" vertical="center"/>
    </xf>
    <xf borderId="45" fillId="12" fontId="14" numFmtId="164" xfId="0" applyBorder="1" applyFill="1" applyFont="1" applyNumberFormat="1"/>
    <xf borderId="36" fillId="12" fontId="3" numFmtId="0" xfId="0" applyAlignment="1" applyBorder="1" applyFont="1">
      <alignment vertical="center"/>
    </xf>
    <xf borderId="36" fillId="12" fontId="8" numFmtId="0" xfId="0" applyAlignment="1" applyBorder="1" applyFont="1">
      <alignment horizontal="center" vertical="center"/>
    </xf>
    <xf borderId="44" fillId="2" fontId="9" numFmtId="0" xfId="0" applyAlignment="1" applyBorder="1" applyFont="1">
      <alignment horizontal="center" vertical="top"/>
    </xf>
    <xf borderId="36" fillId="2" fontId="15" numFmtId="0" xfId="0" applyAlignment="1" applyBorder="1" applyFont="1">
      <alignment vertical="center"/>
    </xf>
    <xf borderId="36" fillId="2" fontId="9" numFmtId="0" xfId="0" applyAlignment="1" applyBorder="1" applyFont="1">
      <alignment vertical="center"/>
    </xf>
    <xf borderId="39" fillId="2" fontId="13" numFmtId="0" xfId="0" applyAlignment="1" applyBorder="1" applyFont="1">
      <alignment vertical="center"/>
    </xf>
    <xf borderId="38" fillId="0" fontId="8" numFmtId="0" xfId="0" applyAlignment="1" applyBorder="1" applyFont="1">
      <alignment horizontal="center" vertical="center"/>
    </xf>
    <xf borderId="36" fillId="10" fontId="3" numFmtId="0" xfId="0" applyAlignment="1" applyBorder="1" applyFont="1">
      <alignment horizontal="left" vertical="center"/>
    </xf>
    <xf borderId="37" fillId="0" fontId="8" numFmtId="164" xfId="0" applyAlignment="1" applyBorder="1" applyFont="1" applyNumberFormat="1">
      <alignment vertical="center"/>
    </xf>
    <xf borderId="38" fillId="0" fontId="21" numFmtId="164" xfId="0" applyAlignment="1" applyBorder="1" applyFont="1" applyNumberFormat="1">
      <alignment vertical="center"/>
    </xf>
    <xf borderId="39" fillId="0" fontId="8" numFmtId="164" xfId="0" applyAlignment="1" applyBorder="1" applyFont="1" applyNumberFormat="1">
      <alignment vertical="center"/>
    </xf>
    <xf borderId="39" fillId="2" fontId="8" numFmtId="164" xfId="0" applyAlignment="1" applyBorder="1" applyFont="1" applyNumberFormat="1">
      <alignment vertical="center"/>
    </xf>
    <xf borderId="36" fillId="13" fontId="8" numFmtId="0" xfId="0" applyAlignment="1" applyBorder="1" applyFill="1" applyFont="1">
      <alignment horizontal="center" vertical="center"/>
    </xf>
    <xf quotePrefix="1" borderId="36" fillId="2" fontId="9" numFmtId="0" xfId="0" applyAlignment="1" applyBorder="1" applyFont="1">
      <alignment vertical="center"/>
    </xf>
    <xf borderId="43" fillId="0" fontId="8" numFmtId="0" xfId="0" applyAlignment="1" applyBorder="1" applyFont="1">
      <alignment horizontal="center" vertical="top"/>
    </xf>
    <xf borderId="37" fillId="0" fontId="8" numFmtId="0" xfId="0" applyAlignment="1" applyBorder="1" applyFont="1">
      <alignment horizontal="center" vertical="center"/>
    </xf>
    <xf borderId="38" fillId="0" fontId="21" numFmtId="0" xfId="0" applyAlignment="1" applyBorder="1" applyFont="1">
      <alignment horizontal="center" vertical="center"/>
    </xf>
    <xf borderId="38" fillId="0" fontId="21" numFmtId="0" xfId="0" applyAlignment="1" applyBorder="1" applyFont="1">
      <alignment vertical="center"/>
    </xf>
    <xf borderId="39" fillId="0" fontId="8" numFmtId="0" xfId="0" applyAlignment="1" applyBorder="1" applyFont="1">
      <alignment vertical="center"/>
    </xf>
    <xf borderId="39" fillId="2" fontId="22" numFmtId="0" xfId="0" applyAlignment="1" applyBorder="1" applyFont="1">
      <alignment vertical="center"/>
    </xf>
    <xf quotePrefix="1" borderId="36" fillId="13" fontId="8" numFmtId="0" xfId="0" applyAlignment="1" applyBorder="1" applyFont="1">
      <alignment vertical="center"/>
    </xf>
    <xf borderId="38" fillId="0" fontId="21" numFmtId="164" xfId="0" applyAlignment="1" applyBorder="1" applyFont="1" applyNumberFormat="1">
      <alignment horizontal="center" vertical="center"/>
    </xf>
    <xf borderId="39" fillId="0" fontId="22" numFmtId="164" xfId="0" applyAlignment="1" applyBorder="1" applyFont="1" applyNumberFormat="1">
      <alignment horizontal="center" vertical="center"/>
    </xf>
    <xf borderId="0" fillId="0" fontId="23" numFmtId="0" xfId="0" applyFont="1"/>
    <xf borderId="44" fillId="0" fontId="8" numFmtId="0" xfId="0" applyAlignment="1" applyBorder="1" applyFont="1">
      <alignment horizontal="center" vertical="center"/>
    </xf>
    <xf borderId="37" fillId="0" fontId="19" numFmtId="164" xfId="0" applyAlignment="1" applyBorder="1" applyFont="1" applyNumberFormat="1">
      <alignment vertical="center"/>
    </xf>
    <xf borderId="39" fillId="2" fontId="22" numFmtId="164" xfId="0" applyAlignment="1" applyBorder="1" applyFont="1" applyNumberFormat="1">
      <alignment vertical="center"/>
    </xf>
    <xf borderId="43" fillId="0" fontId="8" numFmtId="0" xfId="0" applyAlignment="1" applyBorder="1" applyFont="1">
      <alignment horizontal="center" vertical="center"/>
    </xf>
    <xf borderId="37" fillId="0" fontId="22" numFmtId="164" xfId="0" applyAlignment="1" applyBorder="1" applyFont="1" applyNumberFormat="1">
      <alignment vertical="center"/>
    </xf>
    <xf borderId="38" fillId="0" fontId="19" numFmtId="164" xfId="0" applyAlignment="1" applyBorder="1" applyFont="1" applyNumberFormat="1">
      <alignment vertical="center"/>
    </xf>
    <xf borderId="17" fillId="0" fontId="8" numFmtId="0" xfId="0" applyAlignment="1" applyBorder="1" applyFont="1">
      <alignment horizontal="center" vertical="center"/>
    </xf>
    <xf borderId="39" fillId="0" fontId="13" numFmtId="164" xfId="0" applyBorder="1" applyFont="1" applyNumberFormat="1"/>
    <xf borderId="39" fillId="0" fontId="3" numFmtId="164" xfId="0" applyAlignment="1" applyBorder="1" applyFont="1" applyNumberFormat="1">
      <alignment horizontal="center"/>
    </xf>
    <xf borderId="39" fillId="2" fontId="13" numFmtId="164" xfId="0" applyAlignment="1" applyBorder="1" applyFont="1" applyNumberFormat="1">
      <alignment horizontal="center"/>
    </xf>
    <xf borderId="37" fillId="0" fontId="21" numFmtId="164" xfId="0" applyAlignment="1" applyBorder="1" applyFont="1" applyNumberFormat="1">
      <alignment vertical="center"/>
    </xf>
    <xf borderId="0" fillId="0" fontId="24" numFmtId="0" xfId="0" applyFont="1"/>
    <xf borderId="4" fillId="14" fontId="5" numFmtId="0" xfId="0" applyBorder="1" applyFill="1" applyFont="1"/>
    <xf borderId="0" fillId="0" fontId="8" numFmtId="0" xfId="0" applyAlignment="1" applyFont="1">
      <alignment vertical="center"/>
    </xf>
    <xf borderId="35" fillId="2" fontId="8" numFmtId="0" xfId="0" applyAlignment="1" applyBorder="1" applyFont="1">
      <alignment horizontal="center" vertical="top"/>
    </xf>
    <xf borderId="36" fillId="2" fontId="3" numFmtId="0" xfId="0" applyAlignment="1" applyBorder="1" applyFont="1">
      <alignment vertical="center"/>
    </xf>
    <xf borderId="36" fillId="2" fontId="8" numFmtId="0" xfId="0" applyAlignment="1" applyBorder="1" applyFont="1">
      <alignment horizontal="center" vertical="center"/>
    </xf>
    <xf quotePrefix="1" borderId="36" fillId="2" fontId="8" numFmtId="0" xfId="0" applyAlignment="1" applyBorder="1" applyFont="1">
      <alignment vertical="center"/>
    </xf>
    <xf borderId="46" fillId="2" fontId="8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shrinkToFit="0" vertical="center" wrapText="1"/>
    </xf>
    <xf borderId="16" fillId="4" fontId="3" numFmtId="0" xfId="0" applyAlignment="1" applyBorder="1" applyFont="1">
      <alignment horizontal="center" shrinkToFit="0" vertical="center" wrapText="1"/>
    </xf>
    <xf borderId="16" fillId="5" fontId="3" numFmtId="0" xfId="0" applyAlignment="1" applyBorder="1" applyFont="1">
      <alignment horizontal="center" shrinkToFit="0" vertical="center" wrapText="1"/>
    </xf>
    <xf borderId="16" fillId="6" fontId="3" numFmtId="0" xfId="0" applyAlignment="1" applyBorder="1" applyFont="1">
      <alignment horizontal="center" shrinkToFit="0" vertical="center" wrapText="1"/>
    </xf>
    <xf borderId="16" fillId="7" fontId="3" numFmtId="0" xfId="0" applyAlignment="1" applyBorder="1" applyFont="1">
      <alignment horizontal="center" shrinkToFit="0" vertical="center" wrapText="1"/>
    </xf>
    <xf borderId="16" fillId="8" fontId="3" numFmtId="0" xfId="0" applyAlignment="1" applyBorder="1" applyFont="1">
      <alignment horizontal="center" shrinkToFit="0" vertical="center" wrapText="1"/>
    </xf>
    <xf borderId="16" fillId="9" fontId="3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vertical="top"/>
    </xf>
    <xf borderId="38" fillId="10" fontId="3" numFmtId="0" xfId="0" applyAlignment="1" applyBorder="1" applyFont="1">
      <alignment vertical="center"/>
    </xf>
    <xf borderId="38" fillId="10" fontId="8" numFmtId="0" xfId="0" applyAlignment="1" applyBorder="1" applyFont="1">
      <alignment vertical="center"/>
    </xf>
    <xf borderId="38" fillId="0" fontId="12" numFmtId="0" xfId="0" applyBorder="1" applyFont="1"/>
    <xf borderId="38" fillId="0" fontId="3" numFmtId="0" xfId="0" applyAlignment="1" applyBorder="1" applyFont="1">
      <alignment horizontal="center" shrinkToFit="0" vertical="center" wrapText="1"/>
    </xf>
    <xf borderId="38" fillId="10" fontId="12" numFmtId="0" xfId="0" applyBorder="1" applyFont="1"/>
    <xf quotePrefix="1" borderId="38" fillId="0" fontId="8" numFmtId="0" xfId="0" applyAlignment="1" applyBorder="1" applyFont="1">
      <alignment vertical="center"/>
    </xf>
    <xf borderId="38" fillId="0" fontId="14" numFmtId="164" xfId="0" applyAlignment="1" applyBorder="1" applyFont="1" applyNumberFormat="1">
      <alignment vertical="center"/>
    </xf>
    <xf borderId="38" fillId="0" fontId="14" numFmtId="164" xfId="0" applyBorder="1" applyFont="1" applyNumberFormat="1"/>
    <xf borderId="38" fillId="10" fontId="14" numFmtId="164" xfId="0" applyBorder="1" applyFont="1" applyNumberFormat="1"/>
    <xf borderId="38" fillId="2" fontId="13" numFmtId="164" xfId="0" applyAlignment="1" applyBorder="1" applyFont="1" applyNumberFormat="1">
      <alignment vertical="center"/>
    </xf>
    <xf borderId="38" fillId="2" fontId="3" numFmtId="0" xfId="0" applyAlignment="1" applyBorder="1" applyFont="1">
      <alignment vertical="center"/>
    </xf>
    <xf borderId="38" fillId="2" fontId="13" numFmtId="164" xfId="0" applyAlignment="1" applyBorder="1" applyFont="1" applyNumberFormat="1">
      <alignment horizontal="center" vertical="center"/>
    </xf>
    <xf borderId="38" fillId="0" fontId="8" numFmtId="0" xfId="0" applyAlignment="1" applyBorder="1" applyFont="1">
      <alignment horizontal="center" vertical="top"/>
    </xf>
    <xf borderId="38" fillId="2" fontId="8" numFmtId="164" xfId="0" applyAlignment="1" applyBorder="1" applyFont="1" applyNumberFormat="1">
      <alignment horizontal="center" vertical="center"/>
    </xf>
    <xf borderId="38" fillId="2" fontId="3" numFmtId="0" xfId="0" applyAlignment="1" applyBorder="1" applyFont="1">
      <alignment horizontal="center" vertical="center"/>
    </xf>
    <xf borderId="38" fillId="2" fontId="3" numFmtId="164" xfId="0" applyAlignment="1" applyBorder="1" applyFont="1" applyNumberFormat="1">
      <alignment horizontal="center" vertical="center"/>
    </xf>
    <xf borderId="38" fillId="10" fontId="8" numFmtId="0" xfId="0" applyAlignment="1" applyBorder="1" applyFont="1">
      <alignment horizontal="center" vertical="center"/>
    </xf>
    <xf borderId="38" fillId="12" fontId="14" numFmtId="164" xfId="0" applyBorder="1" applyFont="1" applyNumberFormat="1"/>
    <xf borderId="38" fillId="12" fontId="3" numFmtId="0" xfId="0" applyAlignment="1" applyBorder="1" applyFont="1">
      <alignment vertical="center"/>
    </xf>
    <xf borderId="38" fillId="12" fontId="8" numFmtId="0" xfId="0" applyAlignment="1" applyBorder="1" applyFont="1">
      <alignment horizontal="center" vertical="center"/>
    </xf>
    <xf borderId="35" fillId="2" fontId="9" numFmtId="0" xfId="0" applyAlignment="1" applyBorder="1" applyFont="1">
      <alignment horizontal="center" vertical="top"/>
    </xf>
    <xf borderId="36" fillId="2" fontId="15" numFmtId="0" xfId="0" applyAlignment="1" applyBorder="1" applyFont="1">
      <alignment horizontal="left" vertical="center"/>
    </xf>
    <xf borderId="38" fillId="2" fontId="13" numFmtId="0" xfId="0" applyAlignment="1" applyBorder="1" applyFont="1">
      <alignment vertical="center"/>
    </xf>
    <xf borderId="46" fillId="2" fontId="9" numFmtId="0" xfId="0" applyAlignment="1" applyBorder="1" applyFont="1">
      <alignment horizontal="center" vertical="top"/>
    </xf>
    <xf borderId="38" fillId="10" fontId="3" numFmtId="0" xfId="0" applyAlignment="1" applyBorder="1" applyFont="1">
      <alignment horizontal="left" vertical="center"/>
    </xf>
    <xf borderId="38" fillId="2" fontId="8" numFmtId="164" xfId="0" applyAlignment="1" applyBorder="1" applyFont="1" applyNumberFormat="1">
      <alignment vertical="center"/>
    </xf>
    <xf borderId="38" fillId="13" fontId="8" numFmtId="0" xfId="0" applyAlignment="1" applyBorder="1" applyFont="1">
      <alignment horizontal="center" vertical="center"/>
    </xf>
    <xf borderId="38" fillId="2" fontId="22" numFmtId="0" xfId="0" applyAlignment="1" applyBorder="1" applyFont="1">
      <alignment vertical="center"/>
    </xf>
    <xf quotePrefix="1" borderId="38" fillId="13" fontId="8" numFmtId="0" xfId="0" applyAlignment="1" applyBorder="1" applyFont="1">
      <alignment vertical="center"/>
    </xf>
    <xf borderId="38" fillId="0" fontId="22" numFmtId="164" xfId="0" applyAlignment="1" applyBorder="1" applyFont="1" applyNumberFormat="1">
      <alignment horizontal="center" vertical="center"/>
    </xf>
    <xf borderId="38" fillId="2" fontId="22" numFmtId="164" xfId="0" applyAlignment="1" applyBorder="1" applyFont="1" applyNumberFormat="1">
      <alignment vertical="center"/>
    </xf>
    <xf borderId="38" fillId="0" fontId="22" numFmtId="164" xfId="0" applyAlignment="1" applyBorder="1" applyFont="1" applyNumberFormat="1">
      <alignment vertical="center"/>
    </xf>
    <xf borderId="38" fillId="0" fontId="13" numFmtId="164" xfId="0" applyBorder="1" applyFont="1" applyNumberFormat="1"/>
    <xf borderId="38" fillId="0" fontId="3" numFmtId="164" xfId="0" applyAlignment="1" applyBorder="1" applyFont="1" applyNumberFormat="1">
      <alignment horizontal="center"/>
    </xf>
    <xf borderId="38" fillId="2" fontId="13" numFmtId="164" xfId="0" applyAlignment="1" applyBorder="1" applyFont="1" applyNumberFormat="1">
      <alignment horizontal="center"/>
    </xf>
    <xf borderId="47" fillId="2" fontId="9" numFmtId="0" xfId="0" applyAlignment="1" applyBorder="1" applyFont="1">
      <alignment horizontal="center" vertical="center"/>
    </xf>
    <xf borderId="46" fillId="2" fontId="9" numFmtId="0" xfId="0" applyAlignment="1" applyBorder="1" applyFont="1">
      <alignment horizontal="center" vertical="center"/>
    </xf>
    <xf borderId="35" fillId="2" fontId="9" numFmtId="0" xfId="0" applyAlignment="1" applyBorder="1" applyFont="1">
      <alignment horizontal="center" vertical="center"/>
    </xf>
    <xf borderId="48" fillId="2" fontId="5" numFmtId="0" xfId="0" applyBorder="1" applyFont="1"/>
    <xf borderId="49" fillId="2" fontId="25" numFmtId="0" xfId="0" applyBorder="1" applyFont="1"/>
    <xf borderId="49" fillId="2" fontId="5" numFmtId="0" xfId="0" applyBorder="1" applyFont="1"/>
    <xf borderId="50" fillId="2" fontId="17" numFmtId="164" xfId="0" applyAlignment="1" applyBorder="1" applyFont="1" applyNumberFormat="1">
      <alignment vertical="center"/>
    </xf>
    <xf borderId="51" fillId="2" fontId="5" numFmtId="0" xfId="0" applyAlignment="1" applyBorder="1" applyFont="1">
      <alignment horizontal="center"/>
    </xf>
    <xf borderId="1" fillId="2" fontId="15" numFmtId="0" xfId="0" applyAlignment="1" applyBorder="1" applyFont="1">
      <alignment horizontal="left" shrinkToFit="0" vertical="top" wrapText="1"/>
    </xf>
    <xf borderId="52" fillId="0" fontId="2" numFmtId="0" xfId="0" applyBorder="1" applyFont="1"/>
    <xf borderId="4" fillId="2" fontId="15" numFmtId="0" xfId="0" applyBorder="1" applyFont="1"/>
    <xf borderId="4" fillId="2" fontId="8" numFmtId="0" xfId="0" applyBorder="1" applyFont="1"/>
    <xf borderId="53" fillId="2" fontId="5" numFmtId="0" xfId="0" applyBorder="1" applyFont="1"/>
    <xf borderId="51" fillId="2" fontId="26" numFmtId="0" xfId="0" applyAlignment="1" applyBorder="1" applyFont="1">
      <alignment horizontal="center"/>
    </xf>
    <xf borderId="4" fillId="2" fontId="27" numFmtId="0" xfId="0" applyBorder="1" applyFont="1"/>
    <xf borderId="54" fillId="2" fontId="5" numFmtId="0" xfId="0" applyBorder="1" applyFont="1"/>
    <xf borderId="55" fillId="2" fontId="8" numFmtId="0" xfId="0" applyBorder="1" applyFont="1"/>
    <xf borderId="55" fillId="2" fontId="5" numFmtId="0" xfId="0" applyBorder="1" applyFont="1"/>
    <xf borderId="34" fillId="2" fontId="5" numFmtId="0" xfId="0" applyBorder="1" applyFont="1"/>
    <xf borderId="31" fillId="15" fontId="8" numFmtId="0" xfId="0" applyAlignment="1" applyBorder="1" applyFill="1" applyFont="1">
      <alignment vertical="center"/>
    </xf>
    <xf borderId="32" fillId="15" fontId="8" numFmtId="0" xfId="0" applyAlignment="1" applyBorder="1" applyFont="1">
      <alignment vertical="center"/>
    </xf>
    <xf borderId="32" fillId="15" fontId="12" numFmtId="0" xfId="0" applyBorder="1" applyFont="1"/>
    <xf borderId="14" fillId="15" fontId="3" numFmtId="0" xfId="0" applyAlignment="1" applyBorder="1" applyFont="1">
      <alignment horizontal="center" shrinkToFit="0" vertical="center" wrapText="1"/>
    </xf>
    <xf borderId="33" fillId="15" fontId="12" numFmtId="0" xfId="0" applyBorder="1" applyFont="1"/>
    <xf borderId="31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vertical="center"/>
    </xf>
    <xf borderId="33" fillId="0" fontId="12" numFmtId="0" xfId="0" applyAlignment="1" applyBorder="1" applyFont="1">
      <alignment horizontal="center" vertical="center"/>
    </xf>
    <xf borderId="34" fillId="10" fontId="12" numFmtId="0" xfId="0" applyAlignment="1" applyBorder="1" applyFont="1">
      <alignment horizontal="center" vertical="center"/>
    </xf>
    <xf borderId="40" fillId="0" fontId="14" numFmtId="164" xfId="0" applyAlignment="1" applyBorder="1" applyFont="1" applyNumberFormat="1">
      <alignment horizontal="center" vertical="center"/>
    </xf>
    <xf borderId="38" fillId="0" fontId="12" numFmtId="164" xfId="0" applyAlignment="1" applyBorder="1" applyFont="1" applyNumberFormat="1">
      <alignment horizontal="center" vertical="center"/>
    </xf>
    <xf borderId="39" fillId="0" fontId="12" numFmtId="164" xfId="0" applyAlignment="1" applyBorder="1" applyFont="1" applyNumberFormat="1">
      <alignment horizontal="center" vertical="center"/>
    </xf>
    <xf borderId="45" fillId="10" fontId="14" numFmtId="164" xfId="0" applyAlignment="1" applyBorder="1" applyFont="1" applyNumberFormat="1">
      <alignment horizontal="center" vertical="center"/>
    </xf>
    <xf borderId="37" fillId="0" fontId="3" numFmtId="0" xfId="0" applyAlignment="1" applyBorder="1" applyFont="1">
      <alignment horizontal="center" vertical="center"/>
    </xf>
    <xf borderId="38" fillId="0" fontId="19" numFmtId="0" xfId="0" applyAlignment="1" applyBorder="1" applyFont="1">
      <alignment horizontal="center" vertical="center"/>
    </xf>
    <xf borderId="45" fillId="12" fontId="14" numFmtId="164" xfId="0" applyAlignment="1" applyBorder="1" applyFont="1" applyNumberFormat="1">
      <alignment horizontal="center" vertical="center"/>
    </xf>
    <xf borderId="38" fillId="0" fontId="12" numFmtId="0" xfId="0" applyAlignment="1" applyBorder="1" applyFont="1">
      <alignment horizontal="center" vertical="center"/>
    </xf>
    <xf borderId="38" fillId="10" fontId="12" numFmtId="0" xfId="0" applyAlignment="1" applyBorder="1" applyFont="1">
      <alignment horizontal="center" vertical="center"/>
    </xf>
    <xf borderId="38" fillId="0" fontId="14" numFmtId="164" xfId="0" applyAlignment="1" applyBorder="1" applyFont="1" applyNumberFormat="1">
      <alignment horizontal="center" vertical="center"/>
    </xf>
    <xf borderId="39" fillId="2" fontId="13" numFmtId="0" xfId="0" applyAlignment="1" applyBorder="1" applyFont="1">
      <alignment horizontal="center" vertical="center"/>
    </xf>
    <xf borderId="38" fillId="10" fontId="14" numFmtId="164" xfId="0" applyAlignment="1" applyBorder="1" applyFont="1" applyNumberFormat="1">
      <alignment horizontal="center" vertical="center"/>
    </xf>
    <xf borderId="37" fillId="0" fontId="8" numFmtId="164" xfId="0" applyAlignment="1" applyBorder="1" applyFont="1" applyNumberFormat="1">
      <alignment horizontal="center" vertical="center"/>
    </xf>
    <xf borderId="39" fillId="0" fontId="8" numFmtId="0" xfId="0" applyAlignment="1" applyBorder="1" applyFont="1">
      <alignment horizontal="center" vertical="center"/>
    </xf>
    <xf borderId="39" fillId="2" fontId="22" numFmtId="0" xfId="0" applyAlignment="1" applyBorder="1" applyFont="1">
      <alignment horizontal="center" vertical="center"/>
    </xf>
    <xf borderId="38" fillId="12" fontId="14" numFmtId="164" xfId="0" applyAlignment="1" applyBorder="1" applyFont="1" applyNumberFormat="1">
      <alignment horizontal="center" vertical="center"/>
    </xf>
    <xf borderId="37" fillId="0" fontId="19" numFmtId="164" xfId="0" applyAlignment="1" applyBorder="1" applyFont="1" applyNumberFormat="1">
      <alignment horizontal="center" vertical="center"/>
    </xf>
    <xf borderId="39" fillId="2" fontId="22" numFmtId="164" xfId="0" applyAlignment="1" applyBorder="1" applyFont="1" applyNumberFormat="1">
      <alignment horizontal="center" vertical="center"/>
    </xf>
    <xf borderId="38" fillId="2" fontId="13" numFmtId="0" xfId="0" applyAlignment="1" applyBorder="1" applyFont="1">
      <alignment horizontal="center" vertical="center"/>
    </xf>
    <xf borderId="37" fillId="0" fontId="22" numFmtId="164" xfId="0" applyAlignment="1" applyBorder="1" applyFont="1" applyNumberFormat="1">
      <alignment horizontal="center" vertical="center"/>
    </xf>
    <xf borderId="38" fillId="2" fontId="22" numFmtId="0" xfId="0" applyAlignment="1" applyBorder="1" applyFont="1">
      <alignment horizontal="center" vertical="center"/>
    </xf>
    <xf borderId="38" fillId="0" fontId="19" numFmtId="164" xfId="0" applyAlignment="1" applyBorder="1" applyFont="1" applyNumberFormat="1">
      <alignment horizontal="center" vertical="center"/>
    </xf>
    <xf borderId="38" fillId="2" fontId="22" numFmtId="164" xfId="0" applyAlignment="1" applyBorder="1" applyFont="1" applyNumberFormat="1">
      <alignment horizontal="center" vertical="center"/>
    </xf>
    <xf borderId="37" fillId="0" fontId="21" numFmtId="164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4" fillId="14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3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21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comments22.xml.rels><?xml version="1.0" encoding="UTF-8" standalone="yes"?><Relationships xmlns="http://schemas.openxmlformats.org/package/2006/relationships"><Relationship Id="rId1" Type="http://customschemas.google.com/relationships/workbookmetadata" Target="commentsmeta20"/></Relationships>
</file>

<file path=xl/_rels/comments23.xml.rels><?xml version="1.0" encoding="UTF-8" standalone="yes"?><Relationships xmlns="http://schemas.openxmlformats.org/package/2006/relationships"><Relationship Id="rId1" Type="http://customschemas.google.com/relationships/workbookmetadata" Target="commentsmeta22"/></Relationships>
</file>

<file path=xl/_rels/comments24.xml.rels><?xml version="1.0" encoding="UTF-8" standalone="yes"?><Relationships xmlns="http://schemas.openxmlformats.org/package/2006/relationships"><Relationship Id="rId1" Type="http://customschemas.google.com/relationships/workbookmetadata" Target="commentsmeta21"/></Relationships>
</file>

<file path=xl/_rels/comments25.xml.rels><?xml version="1.0" encoding="UTF-8" standalone="yes"?><Relationships xmlns="http://schemas.openxmlformats.org/package/2006/relationships"><Relationship Id="rId1" Type="http://customschemas.google.com/relationships/workbookmetadata" Target="commentsmeta25"/></Relationships>
</file>

<file path=xl/_rels/comments26.xml.rels><?xml version="1.0" encoding="UTF-8" standalone="yes"?><Relationships xmlns="http://schemas.openxmlformats.org/package/2006/relationships"><Relationship Id="rId1" Type="http://customschemas.google.com/relationships/workbookmetadata" Target="commentsmeta24"/></Relationships>
</file>

<file path=xl/_rels/comments27.xml.rels><?xml version="1.0" encoding="UTF-8" standalone="yes"?><Relationships xmlns="http://schemas.openxmlformats.org/package/2006/relationships"><Relationship Id="rId1" Type="http://customschemas.google.com/relationships/workbookmetadata" Target="commentsmeta26"/></Relationships>
</file>

<file path=xl/_rels/comments28.xml.rels><?xml version="1.0" encoding="UTF-8" standalone="yes"?><Relationships xmlns="http://schemas.openxmlformats.org/package/2006/relationships"><Relationship Id="rId1" Type="http://customschemas.google.com/relationships/workbookmetadata" Target="commentsmeta27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714375" cy="6572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676275</xdr:colOff>
      <xdr:row>0</xdr:row>
      <xdr:rowOff>47625</xdr:rowOff>
    </xdr:from>
    <xdr:ext cx="2428875" cy="220980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1495425" cy="220980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914400</xdr:colOff>
      <xdr:row>0</xdr:row>
      <xdr:rowOff>247650</xdr:rowOff>
    </xdr:from>
    <xdr:ext cx="2428875" cy="220980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809625</xdr:colOff>
      <xdr:row>0</xdr:row>
      <xdr:rowOff>28575</xdr:rowOff>
    </xdr:from>
    <xdr:ext cx="2428875" cy="220980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762000</xdr:colOff>
      <xdr:row>0</xdr:row>
      <xdr:rowOff>66675</xdr:rowOff>
    </xdr:from>
    <xdr:ext cx="2428875" cy="220980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1247775" cy="771525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1066800" cy="6667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714375</xdr:colOff>
      <xdr:row>0</xdr:row>
      <xdr:rowOff>104775</xdr:rowOff>
    </xdr:from>
    <xdr:ext cx="2324100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714375</xdr:colOff>
      <xdr:row>0</xdr:row>
      <xdr:rowOff>104775</xdr:rowOff>
    </xdr:from>
    <xdr:ext cx="2324100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714375</xdr:colOff>
      <xdr:row>0</xdr:row>
      <xdr:rowOff>104775</xdr:rowOff>
    </xdr:from>
    <xdr:ext cx="2324100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714375</xdr:colOff>
      <xdr:row>0</xdr:row>
      <xdr:rowOff>104775</xdr:rowOff>
    </xdr:from>
    <xdr:ext cx="2324100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3" name="Shape 3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714375</xdr:colOff>
      <xdr:row>0</xdr:row>
      <xdr:rowOff>104775</xdr:rowOff>
    </xdr:from>
    <xdr:ext cx="2324100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333375"/>
    <xdr:sp>
      <xdr:nvSpPr>
        <xdr:cNvPr id="4" name="Shape 4"/>
        <xdr:cNvSpPr txBox="1"/>
      </xdr:nvSpPr>
      <xdr:spPr>
        <a:xfrm>
          <a:off x="5248773" y="3615412"/>
          <a:ext cx="194454" cy="3291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714375</xdr:colOff>
      <xdr:row>0</xdr:row>
      <xdr:rowOff>104775</xdr:rowOff>
    </xdr:from>
    <xdr:ext cx="2324100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333375"/>
    <xdr:sp>
      <xdr:nvSpPr>
        <xdr:cNvPr id="4" name="Shape 4"/>
        <xdr:cNvSpPr txBox="1"/>
      </xdr:nvSpPr>
      <xdr:spPr>
        <a:xfrm>
          <a:off x="5248773" y="3615412"/>
          <a:ext cx="194454" cy="3291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714375</xdr:colOff>
      <xdr:row>0</xdr:row>
      <xdr:rowOff>104775</xdr:rowOff>
    </xdr:from>
    <xdr:ext cx="2324100" cy="1504950"/>
    <xdr:pic>
      <xdr:nvPicPr>
        <xdr:cNvPr descr="Logo PD Pasa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3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4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5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7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43"/>
    <col customWidth="1" min="2" max="2" width="29.71"/>
    <col customWidth="1" min="3" max="31" width="9.0"/>
    <col customWidth="1" min="32" max="32" width="9.57"/>
    <col customWidth="1" min="33" max="34" width="10.29"/>
    <col customWidth="1" min="35" max="36" width="8.14"/>
    <col customWidth="1" min="37" max="38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4"/>
      <c r="AI1" s="6"/>
      <c r="AJ1" s="6"/>
      <c r="AK1" s="6"/>
      <c r="AL1" s="6"/>
    </row>
    <row r="2">
      <c r="A2" s="8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4"/>
      <c r="AI2" s="6"/>
      <c r="AJ2" s="6"/>
      <c r="AK2" s="6"/>
      <c r="AL2" s="6"/>
    </row>
    <row r="3">
      <c r="A3" s="13" t="s">
        <v>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6"/>
      <c r="AI3" s="6"/>
      <c r="AJ3" s="6"/>
      <c r="AK3" s="6"/>
      <c r="AL3" s="6"/>
    </row>
    <row r="4" ht="15.0" customHeight="1">
      <c r="A4" s="11" t="s">
        <v>7</v>
      </c>
      <c r="B4" s="12" t="s">
        <v>8</v>
      </c>
      <c r="C4" s="11" t="s">
        <v>14</v>
      </c>
      <c r="D4" s="20"/>
      <c r="E4" s="20"/>
      <c r="F4" s="20"/>
      <c r="G4" s="20"/>
      <c r="H4" s="20"/>
      <c r="I4" s="20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42"/>
      <c r="AF4" s="42"/>
      <c r="AG4" s="45" t="s">
        <v>21</v>
      </c>
      <c r="AH4" s="48" t="s">
        <v>22</v>
      </c>
      <c r="AI4" s="6"/>
      <c r="AJ4" s="6"/>
      <c r="AK4" s="6"/>
      <c r="AL4" s="6"/>
    </row>
    <row r="5">
      <c r="A5" s="26"/>
      <c r="B5" s="26"/>
      <c r="C5" s="26"/>
      <c r="D5" s="51">
        <v>1.0</v>
      </c>
      <c r="E5" s="51">
        <v>2.0</v>
      </c>
      <c r="F5" s="51">
        <v>3.0</v>
      </c>
      <c r="G5" s="51">
        <v>4.0</v>
      </c>
      <c r="H5" s="51">
        <v>5.0</v>
      </c>
      <c r="I5" s="51">
        <v>6.0</v>
      </c>
      <c r="J5" s="55">
        <v>7.0</v>
      </c>
      <c r="K5" s="55">
        <v>8.0</v>
      </c>
      <c r="L5" s="55">
        <v>9.0</v>
      </c>
      <c r="M5" s="55">
        <v>10.0</v>
      </c>
      <c r="N5" s="55">
        <v>11.0</v>
      </c>
      <c r="O5" s="55">
        <v>12.0</v>
      </c>
      <c r="P5" s="55">
        <v>13.0</v>
      </c>
      <c r="Q5" s="55">
        <v>14.0</v>
      </c>
      <c r="R5" s="55">
        <v>15.0</v>
      </c>
      <c r="S5" s="55">
        <v>16.0</v>
      </c>
      <c r="T5" s="55">
        <v>17.0</v>
      </c>
      <c r="U5" s="55">
        <v>18.0</v>
      </c>
      <c r="V5" s="55">
        <v>19.0</v>
      </c>
      <c r="W5" s="55">
        <v>20.0</v>
      </c>
      <c r="X5" s="55">
        <v>21.0</v>
      </c>
      <c r="Y5" s="55">
        <v>22.0</v>
      </c>
      <c r="Z5" s="55">
        <v>23.0</v>
      </c>
      <c r="AA5" s="55">
        <v>24.0</v>
      </c>
      <c r="AB5" s="55">
        <v>25.0</v>
      </c>
      <c r="AC5" s="55">
        <v>26.0</v>
      </c>
      <c r="AD5" s="55">
        <v>27.0</v>
      </c>
      <c r="AE5" s="59">
        <v>28.0</v>
      </c>
      <c r="AF5" s="59">
        <v>30.0</v>
      </c>
      <c r="AG5" s="26"/>
      <c r="AH5" s="26"/>
      <c r="AI5" s="6"/>
      <c r="AJ5" s="6"/>
      <c r="AK5" s="6"/>
      <c r="AL5" s="6"/>
    </row>
    <row r="6" ht="27.0" customHeight="1">
      <c r="A6" s="32"/>
      <c r="B6" s="32"/>
      <c r="C6" s="32"/>
      <c r="D6" s="63"/>
      <c r="E6" s="63"/>
      <c r="F6" s="63"/>
      <c r="G6" s="63"/>
      <c r="H6" s="63"/>
      <c r="I6" s="63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71"/>
      <c r="AF6" s="71"/>
      <c r="AG6" s="32"/>
      <c r="AH6" s="32"/>
      <c r="AI6" s="6"/>
      <c r="AJ6" s="6"/>
      <c r="AK6" s="6"/>
      <c r="AL6" s="6"/>
    </row>
    <row r="7">
      <c r="A7" s="72">
        <v>1.0</v>
      </c>
      <c r="B7" s="73" t="s">
        <v>20</v>
      </c>
      <c r="C7" s="74"/>
      <c r="D7" s="75"/>
      <c r="E7" s="75"/>
      <c r="F7" s="75"/>
      <c r="G7" s="75"/>
      <c r="H7" s="75"/>
      <c r="I7" s="75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8"/>
      <c r="AF7" s="78"/>
      <c r="AG7" s="79"/>
      <c r="AH7" s="76"/>
      <c r="AI7" s="6"/>
      <c r="AJ7" s="6"/>
      <c r="AK7" s="6"/>
      <c r="AL7" s="6"/>
    </row>
    <row r="8">
      <c r="A8" s="26"/>
      <c r="B8" s="80" t="s">
        <v>30</v>
      </c>
      <c r="C8" s="81" t="s">
        <v>24</v>
      </c>
      <c r="D8" s="88">
        <f>'1'!K8</f>
        <v>13357.14286</v>
      </c>
      <c r="E8" s="88">
        <f>'2'!K8</f>
        <v>13357.14286</v>
      </c>
      <c r="F8" s="88">
        <f>'3'!K8</f>
        <v>13357.14286</v>
      </c>
      <c r="G8" s="88">
        <f>'4'!K8</f>
        <v>13357.14286</v>
      </c>
      <c r="H8" s="88">
        <f>'5'!K8</f>
        <v>13357.14286</v>
      </c>
      <c r="I8" s="88">
        <f>'6'!K8</f>
        <v>13357.14286</v>
      </c>
      <c r="J8" s="93">
        <f>'7'!K8</f>
        <v>13357.14286</v>
      </c>
      <c r="K8" s="93">
        <f>'8'!K8</f>
        <v>13357.14286</v>
      </c>
      <c r="L8" s="93">
        <f>'9'!K8</f>
        <v>13357.14286</v>
      </c>
      <c r="M8" s="93">
        <f>'10'!K8</f>
        <v>13214.28571</v>
      </c>
      <c r="N8" s="93">
        <f>'11'!K8</f>
        <v>13071.42857</v>
      </c>
      <c r="O8" s="93">
        <f>'12'!K8</f>
        <v>13000</v>
      </c>
      <c r="P8" s="93">
        <f>'13'!K8</f>
        <v>13071.42857</v>
      </c>
      <c r="Q8" s="93">
        <f>'14'!K8</f>
        <v>13000</v>
      </c>
      <c r="R8" s="93">
        <f>'15'!K8</f>
        <v>13000</v>
      </c>
      <c r="S8" s="93">
        <f>'14'!K8</f>
        <v>13000</v>
      </c>
      <c r="T8" s="93">
        <f>'17'!K8</f>
        <v>13071.42857</v>
      </c>
      <c r="U8" s="93">
        <f>'18'!K8</f>
        <v>13142.85714</v>
      </c>
      <c r="V8" s="93">
        <f>'19'!K8</f>
        <v>13071.42857</v>
      </c>
      <c r="W8" s="93">
        <f>'20'!K8</f>
        <v>13071.42857</v>
      </c>
      <c r="X8" s="93">
        <f>'21'!K8</f>
        <v>13214.28571</v>
      </c>
      <c r="Y8" s="93">
        <f>'22'!K8</f>
        <v>13214.28571</v>
      </c>
      <c r="Z8" s="93">
        <f>'23'!K8</f>
        <v>13214.28571</v>
      </c>
      <c r="AA8" s="93">
        <f>'24'!K8</f>
        <v>13214.28571</v>
      </c>
      <c r="AB8" s="93">
        <f>'25'!K8</f>
        <v>13214.28571</v>
      </c>
      <c r="AC8" s="93">
        <f>'26'!K8</f>
        <v>13214.28571</v>
      </c>
      <c r="AD8" s="93">
        <f>'27'!K8</f>
        <v>13214.28571</v>
      </c>
      <c r="AE8" s="93">
        <f>'28'!K8</f>
        <v>13214.28571</v>
      </c>
      <c r="AF8" s="93">
        <f>'30'!K8</f>
        <v>13214.28571</v>
      </c>
      <c r="AG8" s="101">
        <v>12800.0</v>
      </c>
      <c r="AH8" s="103">
        <f t="shared" ref="AH8:AH88" si="1">AF8-D8</f>
        <v>-142.8571429</v>
      </c>
      <c r="AI8" s="105">
        <f t="shared" ref="AI8:AI88" si="2">AVERAGE(D8:AF8)</f>
        <v>13201.97044</v>
      </c>
      <c r="AJ8" s="6"/>
      <c r="AK8" s="6"/>
      <c r="AL8" s="6"/>
    </row>
    <row r="9">
      <c r="A9" s="26"/>
      <c r="B9" s="80" t="s">
        <v>38</v>
      </c>
      <c r="C9" s="81" t="s">
        <v>39</v>
      </c>
      <c r="D9" s="88">
        <f>'1'!K9</f>
        <v>9000</v>
      </c>
      <c r="E9" s="88">
        <f>'2'!K9</f>
        <v>9000</v>
      </c>
      <c r="F9" s="88">
        <f>'3'!K9</f>
        <v>9000</v>
      </c>
      <c r="G9" s="88">
        <f>'4'!K9</f>
        <v>9000</v>
      </c>
      <c r="H9" s="88">
        <f>'5'!K9</f>
        <v>9000</v>
      </c>
      <c r="I9" s="88">
        <f>'6'!K9</f>
        <v>9000</v>
      </c>
      <c r="J9" s="93">
        <f>'7'!K9</f>
        <v>9000</v>
      </c>
      <c r="K9" s="93">
        <f>'8'!K9</f>
        <v>9000</v>
      </c>
      <c r="L9" s="93">
        <f>'9'!K9</f>
        <v>9000</v>
      </c>
      <c r="M9" s="93">
        <f>'10'!K9</f>
        <v>9000</v>
      </c>
      <c r="N9" s="93">
        <f>'11'!K9</f>
        <v>9000</v>
      </c>
      <c r="O9" s="93">
        <f>'12'!K9</f>
        <v>9000</v>
      </c>
      <c r="P9" s="93">
        <f>'13'!K9</f>
        <v>9000</v>
      </c>
      <c r="Q9" s="93">
        <f>'14'!K9</f>
        <v>9000</v>
      </c>
      <c r="R9" s="93">
        <f>'15'!K9</f>
        <v>9000</v>
      </c>
      <c r="S9" s="93">
        <f>'14'!K9</f>
        <v>9000</v>
      </c>
      <c r="T9" s="93">
        <f>'17'!K9</f>
        <v>9250</v>
      </c>
      <c r="U9" s="93">
        <f>'18'!K9</f>
        <v>9250</v>
      </c>
      <c r="V9" s="93">
        <f>'19'!K9</f>
        <v>9000</v>
      </c>
      <c r="W9" s="93">
        <f>'20'!K9</f>
        <v>9000</v>
      </c>
      <c r="X9" s="93">
        <f>'21'!K9</f>
        <v>9000</v>
      </c>
      <c r="Y9" s="93">
        <f>'22'!K9</f>
        <v>9000</v>
      </c>
      <c r="Z9" s="93">
        <f>'23'!K9</f>
        <v>9000</v>
      </c>
      <c r="AA9" s="93">
        <f>'24'!K9</f>
        <v>9000</v>
      </c>
      <c r="AB9" s="93">
        <f>'25'!K9</f>
        <v>9250</v>
      </c>
      <c r="AC9" s="93">
        <f>'26'!K9</f>
        <v>9000</v>
      </c>
      <c r="AD9" s="93">
        <f>'27'!K9</f>
        <v>9000</v>
      </c>
      <c r="AE9" s="93">
        <f>'28'!K9</f>
        <v>9125</v>
      </c>
      <c r="AF9" s="93">
        <f>'30'!K9</f>
        <v>9375</v>
      </c>
      <c r="AG9" s="101"/>
      <c r="AH9" s="111">
        <f t="shared" si="1"/>
        <v>375</v>
      </c>
      <c r="AI9" s="105">
        <f t="shared" si="2"/>
        <v>9043.103448</v>
      </c>
      <c r="AJ9" s="6"/>
      <c r="AK9" s="6"/>
      <c r="AL9" s="6"/>
    </row>
    <row r="10">
      <c r="A10" s="26"/>
      <c r="B10" s="80" t="s">
        <v>46</v>
      </c>
      <c r="C10" s="81" t="s">
        <v>24</v>
      </c>
      <c r="D10" s="88">
        <f>'1'!K10</f>
        <v>11833.33333</v>
      </c>
      <c r="E10" s="88">
        <f>'2'!K10</f>
        <v>11833.33333</v>
      </c>
      <c r="F10" s="88">
        <f>'3'!K10</f>
        <v>12000</v>
      </c>
      <c r="G10" s="88">
        <f>'4'!K10</f>
        <v>12000</v>
      </c>
      <c r="H10" s="88">
        <f>'5'!K10</f>
        <v>12000</v>
      </c>
      <c r="I10" s="88">
        <f>'6'!K10</f>
        <v>12000</v>
      </c>
      <c r="J10" s="93">
        <f>'7'!K10</f>
        <v>12000</v>
      </c>
      <c r="K10" s="93">
        <f>'8'!K10</f>
        <v>12000</v>
      </c>
      <c r="L10" s="93">
        <f>'9'!K10</f>
        <v>12166.66667</v>
      </c>
      <c r="M10" s="93">
        <f>'10'!K10</f>
        <v>11833.33333</v>
      </c>
      <c r="N10" s="93">
        <f>'11'!K10</f>
        <v>11166.66667</v>
      </c>
      <c r="O10" s="93">
        <f>'12'!K10</f>
        <v>11500</v>
      </c>
      <c r="P10" s="93">
        <f>'13'!K10</f>
        <v>11083.33333</v>
      </c>
      <c r="Q10" s="93">
        <f>'14'!K10</f>
        <v>10966.66667</v>
      </c>
      <c r="R10" s="93">
        <f>'15'!K10</f>
        <v>11133.33333</v>
      </c>
      <c r="S10" s="93">
        <f>'14'!K10</f>
        <v>10966.66667</v>
      </c>
      <c r="T10" s="93">
        <f>'17'!K10</f>
        <v>10860</v>
      </c>
      <c r="U10" s="93">
        <f>'18'!K10</f>
        <v>10860</v>
      </c>
      <c r="V10" s="93">
        <f>'19'!K10</f>
        <v>11000</v>
      </c>
      <c r="W10" s="93">
        <f>'20'!K10</f>
        <v>10980</v>
      </c>
      <c r="X10" s="93">
        <f>'21'!K10</f>
        <v>10760</v>
      </c>
      <c r="Y10" s="93">
        <f>'22'!K10</f>
        <v>10450</v>
      </c>
      <c r="Z10" s="93">
        <f>'23'!K10</f>
        <v>10560</v>
      </c>
      <c r="AA10" s="93">
        <f>'24'!K10</f>
        <v>10560</v>
      </c>
      <c r="AB10" s="93">
        <f>'25'!K10</f>
        <v>10560</v>
      </c>
      <c r="AC10" s="93">
        <f>'26'!K10</f>
        <v>10360</v>
      </c>
      <c r="AD10" s="93">
        <f>'27'!K10</f>
        <v>10360</v>
      </c>
      <c r="AE10" s="93">
        <f>'28'!K10</f>
        <v>10450</v>
      </c>
      <c r="AF10" s="93">
        <f>'30'!K10</f>
        <v>10450</v>
      </c>
      <c r="AG10" s="101">
        <v>9450.0</v>
      </c>
      <c r="AH10" s="103">
        <f t="shared" si="1"/>
        <v>-1383.333333</v>
      </c>
      <c r="AI10" s="105">
        <f t="shared" si="2"/>
        <v>11196.32184</v>
      </c>
      <c r="AJ10" s="6" t="s">
        <v>7</v>
      </c>
      <c r="AK10" s="6"/>
      <c r="AL10" s="6"/>
    </row>
    <row r="11">
      <c r="A11" s="26"/>
      <c r="B11" s="80" t="s">
        <v>28</v>
      </c>
      <c r="C11" s="81" t="s">
        <v>24</v>
      </c>
      <c r="D11" s="88">
        <f>'1'!K11</f>
        <v>10600</v>
      </c>
      <c r="E11" s="88">
        <f>'2'!K11</f>
        <v>10600</v>
      </c>
      <c r="F11" s="88">
        <f>'3'!K11</f>
        <v>10600</v>
      </c>
      <c r="G11" s="88">
        <f>'4'!K11</f>
        <v>10600</v>
      </c>
      <c r="H11" s="88">
        <f>'5'!K11</f>
        <v>10600</v>
      </c>
      <c r="I11" s="88">
        <f>'6'!K11</f>
        <v>10600</v>
      </c>
      <c r="J11" s="93">
        <f>'7'!K11</f>
        <v>10600</v>
      </c>
      <c r="K11" s="93">
        <f>'8'!K11</f>
        <v>10600</v>
      </c>
      <c r="L11" s="93">
        <f>'9'!K11</f>
        <v>10600</v>
      </c>
      <c r="M11" s="93">
        <f>'10'!K11</f>
        <v>10600</v>
      </c>
      <c r="N11" s="93">
        <f>'11'!K11</f>
        <v>10600</v>
      </c>
      <c r="O11" s="93">
        <f>'12'!K11</f>
        <v>10600</v>
      </c>
      <c r="P11" s="93">
        <f>'13'!K11</f>
        <v>10600</v>
      </c>
      <c r="Q11" s="93">
        <f>'14'!K11</f>
        <v>10600</v>
      </c>
      <c r="R11" s="93">
        <f>'15'!K11</f>
        <v>10600</v>
      </c>
      <c r="S11" s="93">
        <f>'14'!K11</f>
        <v>10600</v>
      </c>
      <c r="T11" s="93">
        <f>'17'!K11</f>
        <v>10600</v>
      </c>
      <c r="U11" s="93">
        <f>'18'!K11</f>
        <v>10600</v>
      </c>
      <c r="V11" s="93">
        <f>'19'!K11</f>
        <v>10200</v>
      </c>
      <c r="W11" s="93">
        <f>'20'!K11</f>
        <v>10200</v>
      </c>
      <c r="X11" s="93">
        <f>'21'!K11</f>
        <v>10200</v>
      </c>
      <c r="Y11" s="93">
        <f>'22'!K11</f>
        <v>10200</v>
      </c>
      <c r="Z11" s="93">
        <f>'23'!K11</f>
        <v>10200</v>
      </c>
      <c r="AA11" s="93">
        <f>'24'!K11</f>
        <v>10200</v>
      </c>
      <c r="AB11" s="93">
        <f>'25'!K11</f>
        <v>10200</v>
      </c>
      <c r="AC11" s="93">
        <f>'26'!K11</f>
        <v>10200</v>
      </c>
      <c r="AD11" s="93">
        <f>'27'!K11</f>
        <v>10200</v>
      </c>
      <c r="AE11" s="93">
        <f>'28'!K11</f>
        <v>10200</v>
      </c>
      <c r="AF11" s="93">
        <f>'30'!K11</f>
        <v>10200</v>
      </c>
      <c r="AG11" s="101"/>
      <c r="AH11" s="103">
        <f t="shared" si="1"/>
        <v>-400</v>
      </c>
      <c r="AI11" s="105">
        <f t="shared" si="2"/>
        <v>10448.27586</v>
      </c>
      <c r="AJ11" s="6"/>
      <c r="AK11" s="6"/>
      <c r="AL11" s="6"/>
    </row>
    <row r="12">
      <c r="A12" s="77"/>
      <c r="B12" s="80" t="s">
        <v>29</v>
      </c>
      <c r="C12" s="81" t="s">
        <v>24</v>
      </c>
      <c r="D12" s="88">
        <f>'1'!K12</f>
        <v>20200</v>
      </c>
      <c r="E12" s="88">
        <f>'2'!K12</f>
        <v>19000</v>
      </c>
      <c r="F12" s="88">
        <f>'3'!K12</f>
        <v>19000</v>
      </c>
      <c r="G12" s="88">
        <f>'4'!K12</f>
        <v>19000</v>
      </c>
      <c r="H12" s="88">
        <f>'5'!K12</f>
        <v>20200</v>
      </c>
      <c r="I12" s="88">
        <f>'6'!K12</f>
        <v>20200</v>
      </c>
      <c r="J12" s="93">
        <f>'7'!K12</f>
        <v>20200</v>
      </c>
      <c r="K12" s="93">
        <f>'8'!K12</f>
        <v>20200</v>
      </c>
      <c r="L12" s="93">
        <f>'9'!K12</f>
        <v>20200</v>
      </c>
      <c r="M12" s="93">
        <f>'10'!K12</f>
        <v>19000</v>
      </c>
      <c r="N12" s="93">
        <f>'11'!K12</f>
        <v>19000</v>
      </c>
      <c r="O12" s="93">
        <f>'12'!K12</f>
        <v>19000</v>
      </c>
      <c r="P12" s="93">
        <f>'13'!K12</f>
        <v>20200</v>
      </c>
      <c r="Q12" s="93">
        <f>'14'!K12</f>
        <v>20200</v>
      </c>
      <c r="R12" s="93">
        <f>'15'!K12</f>
        <v>20200</v>
      </c>
      <c r="S12" s="93">
        <f>'14'!K12</f>
        <v>20200</v>
      </c>
      <c r="T12" s="93">
        <f>'17'!K12</f>
        <v>20200</v>
      </c>
      <c r="U12" s="93">
        <f>'18'!K12</f>
        <v>20200</v>
      </c>
      <c r="V12" s="93">
        <f>'19'!K12</f>
        <v>20200</v>
      </c>
      <c r="W12" s="93">
        <f>'20'!K12</f>
        <v>20200</v>
      </c>
      <c r="X12" s="93">
        <f>'21'!K12</f>
        <v>20200</v>
      </c>
      <c r="Y12" s="93">
        <f>'22'!K12</f>
        <v>19400</v>
      </c>
      <c r="Z12" s="93">
        <f>'23'!K12</f>
        <v>20200</v>
      </c>
      <c r="AA12" s="93">
        <f>'24'!K12</f>
        <v>20200</v>
      </c>
      <c r="AB12" s="93">
        <f>'25'!K12</f>
        <v>18800</v>
      </c>
      <c r="AC12" s="93">
        <f>'26'!K12</f>
        <v>18800</v>
      </c>
      <c r="AD12" s="93">
        <f>'27'!K12</f>
        <v>18800</v>
      </c>
      <c r="AE12" s="93">
        <f>'28'!K12</f>
        <v>18800</v>
      </c>
      <c r="AF12" s="93">
        <f>'30'!K12</f>
        <v>18800</v>
      </c>
      <c r="AG12" s="101"/>
      <c r="AH12" s="103">
        <f t="shared" si="1"/>
        <v>-1400</v>
      </c>
      <c r="AI12" s="105">
        <f t="shared" si="2"/>
        <v>19682.75862</v>
      </c>
      <c r="AJ12" s="6"/>
      <c r="AK12" s="6"/>
      <c r="AL12" s="6"/>
    </row>
    <row r="13">
      <c r="A13" s="119">
        <v>2.0</v>
      </c>
      <c r="B13" s="120" t="s">
        <v>31</v>
      </c>
      <c r="C13" s="121"/>
      <c r="D13" s="88" t="str">
        <f>'1'!K13</f>
        <v/>
      </c>
      <c r="E13" s="88" t="str">
        <f>'2'!K13</f>
        <v/>
      </c>
      <c r="F13" s="88" t="str">
        <f>'3'!K13</f>
        <v/>
      </c>
      <c r="G13" s="88" t="str">
        <f>'4'!K13</f>
        <v/>
      </c>
      <c r="H13" s="88" t="str">
        <f>'5'!K13</f>
        <v/>
      </c>
      <c r="I13" s="88" t="str">
        <f>'6'!K13</f>
        <v/>
      </c>
      <c r="J13" s="93" t="str">
        <f>'7'!K13</f>
        <v/>
      </c>
      <c r="K13" s="93" t="str">
        <f>'8'!K13</f>
        <v/>
      </c>
      <c r="L13" s="93" t="str">
        <f>'9'!K13</f>
        <v/>
      </c>
      <c r="M13" s="93" t="str">
        <f>'10'!K13</f>
        <v/>
      </c>
      <c r="N13" s="93" t="str">
        <f>'11'!K13</f>
        <v/>
      </c>
      <c r="O13" s="93" t="str">
        <f>'12'!K13</f>
        <v/>
      </c>
      <c r="P13" s="93" t="str">
        <f>'13'!K13</f>
        <v/>
      </c>
      <c r="Q13" s="93" t="str">
        <f>'14'!K13</f>
        <v/>
      </c>
      <c r="R13" s="93" t="str">
        <f>'15'!K13</f>
        <v/>
      </c>
      <c r="S13" s="93" t="str">
        <f>'14'!K13</f>
        <v/>
      </c>
      <c r="T13" s="93" t="str">
        <f>'17'!K13</f>
        <v/>
      </c>
      <c r="U13" s="93" t="str">
        <f>'18'!K13</f>
        <v/>
      </c>
      <c r="V13" s="93" t="str">
        <f>'19'!K13</f>
        <v/>
      </c>
      <c r="W13" s="93" t="str">
        <f>'20'!K13</f>
        <v/>
      </c>
      <c r="X13" s="93" t="str">
        <f>'21'!K13</f>
        <v/>
      </c>
      <c r="Y13" s="93" t="str">
        <f>'22'!K13</f>
        <v/>
      </c>
      <c r="Z13" s="93" t="str">
        <f>'23'!K13</f>
        <v/>
      </c>
      <c r="AA13" s="93" t="str">
        <f>'24'!K13</f>
        <v/>
      </c>
      <c r="AB13" s="93" t="str">
        <f>'25'!K13</f>
        <v/>
      </c>
      <c r="AC13" s="93" t="str">
        <f>'26'!K13</f>
        <v/>
      </c>
      <c r="AD13" s="93" t="str">
        <f>'27'!K13</f>
        <v/>
      </c>
      <c r="AE13" s="93" t="str">
        <f>'28'!K13</f>
        <v/>
      </c>
      <c r="AF13" s="93" t="str">
        <f>'30'!K13</f>
        <v/>
      </c>
      <c r="AG13" s="101"/>
      <c r="AH13" s="101">
        <f t="shared" si="1"/>
        <v>0</v>
      </c>
      <c r="AI13" s="105" t="str">
        <f t="shared" si="2"/>
        <v>#DIV/0!</v>
      </c>
      <c r="AJ13" s="6"/>
      <c r="AK13" s="6"/>
      <c r="AL13" s="6"/>
    </row>
    <row r="14">
      <c r="A14" s="26"/>
      <c r="B14" s="121" t="s">
        <v>72</v>
      </c>
      <c r="C14" s="81" t="s">
        <v>24</v>
      </c>
      <c r="D14" s="88">
        <f>'1'!K14</f>
        <v>13571.42857</v>
      </c>
      <c r="E14" s="88">
        <f>'2'!K14</f>
        <v>13500</v>
      </c>
      <c r="F14" s="88">
        <f>'3'!K14</f>
        <v>13500</v>
      </c>
      <c r="G14" s="88">
        <f>'4'!K14</f>
        <v>13428.57143</v>
      </c>
      <c r="H14" s="88">
        <f>'5'!K14</f>
        <v>13500</v>
      </c>
      <c r="I14" s="88">
        <f>'6'!K14</f>
        <v>13500</v>
      </c>
      <c r="J14" s="93">
        <f>'7'!K14</f>
        <v>13500</v>
      </c>
      <c r="K14" s="93">
        <f>'8'!K14</f>
        <v>13500</v>
      </c>
      <c r="L14" s="93">
        <f>'9'!K14</f>
        <v>13500</v>
      </c>
      <c r="M14" s="93">
        <f>'10'!K14</f>
        <v>13428.57143</v>
      </c>
      <c r="N14" s="93">
        <f>'11'!K14</f>
        <v>13428.57143</v>
      </c>
      <c r="O14" s="93">
        <f>'12'!K14</f>
        <v>13428.57143</v>
      </c>
      <c r="P14" s="93">
        <f>'13'!K14</f>
        <v>13357.14286</v>
      </c>
      <c r="Q14" s="93">
        <f>'14'!K14</f>
        <v>13357.14286</v>
      </c>
      <c r="R14" s="93">
        <f>'15'!K14</f>
        <v>13357.14286</v>
      </c>
      <c r="S14" s="93">
        <f>'14'!K14</f>
        <v>13357.14286</v>
      </c>
      <c r="T14" s="93">
        <f>'17'!K14</f>
        <v>13285.71429</v>
      </c>
      <c r="U14" s="93">
        <f>'18'!K14</f>
        <v>13285.71429</v>
      </c>
      <c r="V14" s="93">
        <f>'19'!K14</f>
        <v>13214.28571</v>
      </c>
      <c r="W14" s="93">
        <f>'20'!K14</f>
        <v>13214.28571</v>
      </c>
      <c r="X14" s="93">
        <f>'21'!K14</f>
        <v>13214.28571</v>
      </c>
      <c r="Y14" s="93">
        <f>'22'!K14</f>
        <v>13214.28571</v>
      </c>
      <c r="Z14" s="93">
        <f>'23'!K14</f>
        <v>13214.28571</v>
      </c>
      <c r="AA14" s="93">
        <f>'24'!K14</f>
        <v>13214.28571</v>
      </c>
      <c r="AB14" s="93">
        <f>'25'!K14</f>
        <v>13285.71429</v>
      </c>
      <c r="AC14" s="93">
        <f>'26'!K14</f>
        <v>13285.71429</v>
      </c>
      <c r="AD14" s="93">
        <f>'27'!K14</f>
        <v>13285.71429</v>
      </c>
      <c r="AE14" s="93">
        <f>'28'!K14</f>
        <v>13285.71429</v>
      </c>
      <c r="AF14" s="93">
        <f>'30'!K14</f>
        <v>13285.71429</v>
      </c>
      <c r="AG14" s="101">
        <v>13500.0</v>
      </c>
      <c r="AH14" s="103">
        <f t="shared" si="1"/>
        <v>-285.7142857</v>
      </c>
      <c r="AI14" s="105">
        <f t="shared" si="2"/>
        <v>13362.06897</v>
      </c>
      <c r="AJ14" s="6"/>
      <c r="AK14" s="6"/>
      <c r="AL14" s="6"/>
    </row>
    <row r="15">
      <c r="A15" s="77"/>
      <c r="B15" s="130" t="s">
        <v>33</v>
      </c>
      <c r="C15" s="81" t="s">
        <v>24</v>
      </c>
      <c r="D15" s="88">
        <f>'1'!K15</f>
        <v>15857.14286</v>
      </c>
      <c r="E15" s="88">
        <f>'2'!K15</f>
        <v>17142.85714</v>
      </c>
      <c r="F15" s="88">
        <f>'3'!K15</f>
        <v>17142.85714</v>
      </c>
      <c r="G15" s="88">
        <f>'4'!K15</f>
        <v>16571.42857</v>
      </c>
      <c r="H15" s="88">
        <f>'5'!K15</f>
        <v>15857.14286</v>
      </c>
      <c r="I15" s="88">
        <f>'6'!K15</f>
        <v>15857.14286</v>
      </c>
      <c r="J15" s="93">
        <f>'7'!K15</f>
        <v>15857.14286</v>
      </c>
      <c r="K15" s="93">
        <f>'8'!K15</f>
        <v>15857.14286</v>
      </c>
      <c r="L15" s="93">
        <f>'9'!K15</f>
        <v>15857.14286</v>
      </c>
      <c r="M15" s="93">
        <f>'10'!K15</f>
        <v>15857.14286</v>
      </c>
      <c r="N15" s="93">
        <f>'11'!K15</f>
        <v>15857.14286</v>
      </c>
      <c r="O15" s="93">
        <f>'12'!K15</f>
        <v>15571.42857</v>
      </c>
      <c r="P15" s="93">
        <f>'13'!K15</f>
        <v>15571.42857</v>
      </c>
      <c r="Q15" s="93">
        <f>'14'!K15</f>
        <v>15571.42857</v>
      </c>
      <c r="R15" s="93">
        <f>'15'!K15</f>
        <v>15571.42857</v>
      </c>
      <c r="S15" s="93">
        <f>'14'!K15</f>
        <v>15571.42857</v>
      </c>
      <c r="T15" s="93">
        <f>'17'!K15</f>
        <v>15714.28571</v>
      </c>
      <c r="U15" s="93">
        <f>'18'!K15</f>
        <v>16285.71429</v>
      </c>
      <c r="V15" s="93">
        <f>'19'!K15</f>
        <v>15571.42857</v>
      </c>
      <c r="W15" s="93">
        <f>'20'!K15</f>
        <v>15285.71429</v>
      </c>
      <c r="X15" s="93">
        <f>'21'!K15</f>
        <v>15285.71429</v>
      </c>
      <c r="Y15" s="93">
        <f>'22'!K15</f>
        <v>15285.71429</v>
      </c>
      <c r="Z15" s="93">
        <f>'23'!K15</f>
        <v>15285.71429</v>
      </c>
      <c r="AA15" s="93">
        <f>'24'!K15</f>
        <v>15285.71429</v>
      </c>
      <c r="AB15" s="93">
        <f>'25'!K15</f>
        <v>15428.57143</v>
      </c>
      <c r="AC15" s="93">
        <f>'26'!K15</f>
        <v>15428.57143</v>
      </c>
      <c r="AD15" s="93">
        <f>'27'!K15</f>
        <v>15428.57143</v>
      </c>
      <c r="AE15" s="93">
        <f>'28'!K15</f>
        <v>15428.57143</v>
      </c>
      <c r="AF15" s="93">
        <f>'30'!K15</f>
        <v>15428.57143</v>
      </c>
      <c r="AG15" s="101"/>
      <c r="AH15" s="103">
        <f t="shared" si="1"/>
        <v>-428.5714286</v>
      </c>
      <c r="AI15" s="105">
        <f t="shared" si="2"/>
        <v>15748.76847</v>
      </c>
      <c r="AJ15" s="6"/>
      <c r="AK15" s="6"/>
      <c r="AL15" s="6"/>
    </row>
    <row r="16">
      <c r="A16" s="119"/>
      <c r="B16" s="120" t="s">
        <v>34</v>
      </c>
      <c r="C16" s="120"/>
      <c r="D16" s="88" t="str">
        <f>'1'!K16</f>
        <v/>
      </c>
      <c r="E16" s="88" t="str">
        <f>'2'!K16</f>
        <v/>
      </c>
      <c r="F16" s="88" t="str">
        <f>'3'!K16</f>
        <v/>
      </c>
      <c r="G16" s="88" t="str">
        <f>'4'!K16</f>
        <v/>
      </c>
      <c r="H16" s="88" t="str">
        <f>'5'!K16</f>
        <v/>
      </c>
      <c r="I16" s="88" t="str">
        <f>'6'!K16</f>
        <v/>
      </c>
      <c r="J16" s="93" t="str">
        <f>'7'!K16</f>
        <v/>
      </c>
      <c r="K16" s="93" t="str">
        <f>'8'!K16</f>
        <v/>
      </c>
      <c r="L16" s="93" t="str">
        <f>'9'!K16</f>
        <v/>
      </c>
      <c r="M16" s="93" t="str">
        <f>'10'!K16</f>
        <v/>
      </c>
      <c r="N16" s="93" t="str">
        <f>'11'!K16</f>
        <v/>
      </c>
      <c r="O16" s="93" t="str">
        <f>'12'!K16</f>
        <v/>
      </c>
      <c r="P16" s="93" t="str">
        <f>'13'!K16</f>
        <v/>
      </c>
      <c r="Q16" s="93" t="str">
        <f>'14'!K16</f>
        <v/>
      </c>
      <c r="R16" s="93" t="str">
        <f>'15'!K16</f>
        <v/>
      </c>
      <c r="S16" s="93" t="str">
        <f>'14'!K16</f>
        <v/>
      </c>
      <c r="T16" s="93" t="str">
        <f>'17'!K16</f>
        <v/>
      </c>
      <c r="U16" s="93" t="str">
        <f>'18'!K16</f>
        <v/>
      </c>
      <c r="V16" s="93" t="str">
        <f>'19'!K16</f>
        <v/>
      </c>
      <c r="W16" s="93" t="str">
        <f>'20'!K16</f>
        <v/>
      </c>
      <c r="X16" s="93" t="str">
        <f>'21'!K16</f>
        <v/>
      </c>
      <c r="Y16" s="93" t="str">
        <f>'22'!K16</f>
        <v/>
      </c>
      <c r="Z16" s="93" t="str">
        <f>'23'!K16</f>
        <v/>
      </c>
      <c r="AA16" s="93" t="str">
        <f>'24'!K16</f>
        <v/>
      </c>
      <c r="AB16" s="93" t="str">
        <f>'25'!K16</f>
        <v/>
      </c>
      <c r="AC16" s="93" t="str">
        <f>'26'!K16</f>
        <v/>
      </c>
      <c r="AD16" s="93" t="str">
        <f>'27'!K16</f>
        <v/>
      </c>
      <c r="AE16" s="93" t="str">
        <f>'28'!K16</f>
        <v/>
      </c>
      <c r="AF16" s="93" t="str">
        <f>'30'!K16</f>
        <v/>
      </c>
      <c r="AG16" s="101"/>
      <c r="AH16" s="101">
        <f t="shared" si="1"/>
        <v>0</v>
      </c>
      <c r="AI16" s="105" t="str">
        <f t="shared" si="2"/>
        <v>#DIV/0!</v>
      </c>
      <c r="AJ16" s="6"/>
      <c r="AK16" s="6"/>
      <c r="AL16" s="6"/>
    </row>
    <row r="17">
      <c r="A17" s="26"/>
      <c r="B17" s="130" t="s">
        <v>35</v>
      </c>
      <c r="C17" s="81" t="s">
        <v>24</v>
      </c>
      <c r="D17" s="88">
        <f>'1'!K17</f>
        <v>15571.42857</v>
      </c>
      <c r="E17" s="88">
        <f>'2'!K17</f>
        <v>15571.42857</v>
      </c>
      <c r="F17" s="88">
        <f>'3'!K17</f>
        <v>15571.42857</v>
      </c>
      <c r="G17" s="88">
        <f>'4'!K17</f>
        <v>15571.42857</v>
      </c>
      <c r="H17" s="88">
        <f>'5'!K17</f>
        <v>15571.42857</v>
      </c>
      <c r="I17" s="88">
        <f>'6'!K17</f>
        <v>15571.42857</v>
      </c>
      <c r="J17" s="93">
        <f>'7'!K17</f>
        <v>15571.42857</v>
      </c>
      <c r="K17" s="93">
        <f>'8'!K17</f>
        <v>15571.42857</v>
      </c>
      <c r="L17" s="93">
        <f>'9'!K17</f>
        <v>15500</v>
      </c>
      <c r="M17" s="93">
        <f>'10'!K17</f>
        <v>15285.71429</v>
      </c>
      <c r="N17" s="93">
        <f>'11'!K17</f>
        <v>15071.42857</v>
      </c>
      <c r="O17" s="93">
        <f>'12'!K17</f>
        <v>15214.28571</v>
      </c>
      <c r="P17" s="93">
        <f>'13'!K17</f>
        <v>15214.28571</v>
      </c>
      <c r="Q17" s="93">
        <f>'14'!K17</f>
        <v>15000</v>
      </c>
      <c r="R17" s="93">
        <f>'15'!K17</f>
        <v>15000</v>
      </c>
      <c r="S17" s="93">
        <f>'14'!K17</f>
        <v>15000</v>
      </c>
      <c r="T17" s="93">
        <f>'17'!K17</f>
        <v>15000</v>
      </c>
      <c r="U17" s="93">
        <f>'18'!K17</f>
        <v>15142.85714</v>
      </c>
      <c r="V17" s="93">
        <f>'19'!K17</f>
        <v>15000</v>
      </c>
      <c r="W17" s="93">
        <f>'20'!K17</f>
        <v>15000</v>
      </c>
      <c r="X17" s="93">
        <f>'21'!K17</f>
        <v>15142.85714</v>
      </c>
      <c r="Y17" s="93">
        <f>'22'!K17</f>
        <v>15142.85714</v>
      </c>
      <c r="Z17" s="93">
        <f>'23'!K17</f>
        <v>15142.85714</v>
      </c>
      <c r="AA17" s="93">
        <f>'24'!K17</f>
        <v>15142.85714</v>
      </c>
      <c r="AB17" s="93">
        <f>'25'!K17</f>
        <v>15142.85714</v>
      </c>
      <c r="AC17" s="93">
        <f>'26'!K17</f>
        <v>15142.85714</v>
      </c>
      <c r="AD17" s="93">
        <f>'27'!K17</f>
        <v>15142.85714</v>
      </c>
      <c r="AE17" s="93">
        <f>'28'!K17</f>
        <v>15142.85714</v>
      </c>
      <c r="AF17" s="93">
        <f>'30'!K17</f>
        <v>15142.85714</v>
      </c>
      <c r="AG17" s="101">
        <v>15500.0</v>
      </c>
      <c r="AH17" s="103">
        <f t="shared" si="1"/>
        <v>-428.5714286</v>
      </c>
      <c r="AI17" s="105">
        <f t="shared" si="2"/>
        <v>15251.23153</v>
      </c>
      <c r="AJ17" s="6"/>
      <c r="AK17" s="6"/>
      <c r="AL17" s="6"/>
    </row>
    <row r="18">
      <c r="A18" s="77"/>
      <c r="B18" s="130" t="s">
        <v>95</v>
      </c>
      <c r="C18" s="81" t="s">
        <v>24</v>
      </c>
      <c r="D18" s="88">
        <f>'1'!K18</f>
        <v>14000</v>
      </c>
      <c r="E18" s="88">
        <f>'2'!K18</f>
        <v>14000</v>
      </c>
      <c r="F18" s="88">
        <f>'3'!K18</f>
        <v>14000</v>
      </c>
      <c r="G18" s="88">
        <f>'4'!K18</f>
        <v>14000</v>
      </c>
      <c r="H18" s="88">
        <f>'5'!K18</f>
        <v>14000</v>
      </c>
      <c r="I18" s="88">
        <f>'6'!K18</f>
        <v>14000</v>
      </c>
      <c r="J18" s="93">
        <f>'7'!K18</f>
        <v>14000</v>
      </c>
      <c r="K18" s="93">
        <f>'8'!K18</f>
        <v>14000</v>
      </c>
      <c r="L18" s="93">
        <f>'9'!K18</f>
        <v>14000</v>
      </c>
      <c r="M18" s="93">
        <f>'10'!K18</f>
        <v>14000</v>
      </c>
      <c r="N18" s="93">
        <f>'11'!K18</f>
        <v>14000</v>
      </c>
      <c r="O18" s="93">
        <f>'12'!K18</f>
        <v>14000</v>
      </c>
      <c r="P18" s="93">
        <f>'13'!K18</f>
        <v>14000</v>
      </c>
      <c r="Q18" s="93">
        <f>'14'!K18</f>
        <v>14000</v>
      </c>
      <c r="R18" s="93">
        <f>'15'!K18</f>
        <v>14000</v>
      </c>
      <c r="S18" s="93">
        <f>'14'!K18</f>
        <v>14000</v>
      </c>
      <c r="T18" s="93">
        <f>'17'!K18</f>
        <v>14000</v>
      </c>
      <c r="U18" s="93">
        <f>'18'!K18</f>
        <v>14000</v>
      </c>
      <c r="V18" s="93">
        <f>'19'!K18</f>
        <v>14000</v>
      </c>
      <c r="W18" s="93">
        <f>'20'!K18</f>
        <v>14000</v>
      </c>
      <c r="X18" s="93">
        <f>'21'!K18</f>
        <v>14000</v>
      </c>
      <c r="Y18" s="93">
        <f>'22'!K18</f>
        <v>14000</v>
      </c>
      <c r="Z18" s="93">
        <f>'23'!K18</f>
        <v>14000</v>
      </c>
      <c r="AA18" s="93">
        <f>'24'!K18</f>
        <v>14000</v>
      </c>
      <c r="AB18" s="93">
        <f>'25'!K18</f>
        <v>14000</v>
      </c>
      <c r="AC18" s="93">
        <f>'26'!K18</f>
        <v>14000</v>
      </c>
      <c r="AD18" s="93">
        <f>'27'!K18</f>
        <v>14000</v>
      </c>
      <c r="AE18" s="93">
        <f>'28'!K18</f>
        <v>14000</v>
      </c>
      <c r="AF18" s="93">
        <f>'30'!K18</f>
        <v>14000</v>
      </c>
      <c r="AG18" s="101">
        <v>14000.0</v>
      </c>
      <c r="AH18" s="101">
        <f t="shared" si="1"/>
        <v>0</v>
      </c>
      <c r="AI18" s="105">
        <f t="shared" si="2"/>
        <v>14000</v>
      </c>
      <c r="AJ18" s="6"/>
      <c r="AK18" s="6"/>
      <c r="AL18" s="6"/>
    </row>
    <row r="19">
      <c r="A19" s="119">
        <v>4.0</v>
      </c>
      <c r="B19" s="120" t="s">
        <v>40</v>
      </c>
      <c r="C19" s="120"/>
      <c r="D19" s="88" t="str">
        <f>'1'!K19</f>
        <v/>
      </c>
      <c r="E19" s="88" t="str">
        <f>'2'!K19</f>
        <v/>
      </c>
      <c r="F19" s="88" t="str">
        <f>'3'!K19</f>
        <v/>
      </c>
      <c r="G19" s="88" t="str">
        <f>'4'!K19</f>
        <v/>
      </c>
      <c r="H19" s="88" t="str">
        <f>'5'!K19</f>
        <v/>
      </c>
      <c r="I19" s="88" t="str">
        <f>'6'!K19</f>
        <v/>
      </c>
      <c r="J19" s="93" t="str">
        <f>'7'!K19</f>
        <v/>
      </c>
      <c r="K19" s="93" t="str">
        <f>'8'!K19</f>
        <v/>
      </c>
      <c r="L19" s="93" t="str">
        <f>'9'!K19</f>
        <v/>
      </c>
      <c r="M19" s="93" t="str">
        <f>'10'!K19</f>
        <v/>
      </c>
      <c r="N19" s="93" t="str">
        <f>'11'!K19</f>
        <v/>
      </c>
      <c r="O19" s="93" t="str">
        <f>'12'!K19</f>
        <v/>
      </c>
      <c r="P19" s="93" t="str">
        <f>'13'!K19</f>
        <v/>
      </c>
      <c r="Q19" s="93" t="str">
        <f>'14'!K19</f>
        <v/>
      </c>
      <c r="R19" s="93" t="str">
        <f>'15'!K19</f>
        <v/>
      </c>
      <c r="S19" s="93" t="str">
        <f>'14'!K19</f>
        <v/>
      </c>
      <c r="T19" s="93" t="str">
        <f>'17'!K19</f>
        <v/>
      </c>
      <c r="U19" s="93" t="str">
        <f>'18'!K19</f>
        <v/>
      </c>
      <c r="V19" s="93" t="str">
        <f>'19'!K19</f>
        <v/>
      </c>
      <c r="W19" s="93" t="str">
        <f>'20'!K19</f>
        <v/>
      </c>
      <c r="X19" s="93" t="str">
        <f>'21'!K19</f>
        <v/>
      </c>
      <c r="Y19" s="93" t="str">
        <f>'22'!K19</f>
        <v/>
      </c>
      <c r="Z19" s="93" t="str">
        <f>'23'!K19</f>
        <v/>
      </c>
      <c r="AA19" s="93" t="str">
        <f>'24'!K19</f>
        <v/>
      </c>
      <c r="AB19" s="93" t="str">
        <f>'25'!K19</f>
        <v/>
      </c>
      <c r="AC19" s="93" t="str">
        <f>'26'!K19</f>
        <v/>
      </c>
      <c r="AD19" s="93" t="str">
        <f>'27'!K19</f>
        <v/>
      </c>
      <c r="AE19" s="93" t="str">
        <f>'28'!K19</f>
        <v/>
      </c>
      <c r="AF19" s="93" t="str">
        <f>'30'!K19</f>
        <v/>
      </c>
      <c r="AG19" s="101"/>
      <c r="AH19" s="101">
        <f t="shared" si="1"/>
        <v>0</v>
      </c>
      <c r="AI19" s="105" t="str">
        <f t="shared" si="2"/>
        <v>#DIV/0!</v>
      </c>
      <c r="AJ19" s="6"/>
      <c r="AK19" s="6"/>
      <c r="AL19" s="6"/>
    </row>
    <row r="20">
      <c r="A20" s="77"/>
      <c r="B20" s="130" t="s">
        <v>41</v>
      </c>
      <c r="C20" s="81" t="s">
        <v>24</v>
      </c>
      <c r="D20" s="88">
        <f>'1'!K20</f>
        <v>21250</v>
      </c>
      <c r="E20" s="88">
        <f>'2'!K20</f>
        <v>21250</v>
      </c>
      <c r="F20" s="88">
        <f>'3'!K20</f>
        <v>21250</v>
      </c>
      <c r="G20" s="88">
        <f>'4'!K20</f>
        <v>21250</v>
      </c>
      <c r="H20" s="88">
        <f>'5'!K20</f>
        <v>21250</v>
      </c>
      <c r="I20" s="88">
        <f>'6'!K20</f>
        <v>21250</v>
      </c>
      <c r="J20" s="93">
        <f>'7'!K20</f>
        <v>21250</v>
      </c>
      <c r="K20" s="93">
        <f>'8'!K20</f>
        <v>21250</v>
      </c>
      <c r="L20" s="93">
        <f>'9'!K20</f>
        <v>21250</v>
      </c>
      <c r="M20" s="93">
        <f>'10'!K20</f>
        <v>21250</v>
      </c>
      <c r="N20" s="93">
        <f>'11'!K20</f>
        <v>21250</v>
      </c>
      <c r="O20" s="93">
        <f>'12'!K20</f>
        <v>21250</v>
      </c>
      <c r="P20" s="93">
        <f>'13'!K20</f>
        <v>21250</v>
      </c>
      <c r="Q20" s="93">
        <f>'14'!K20</f>
        <v>21250</v>
      </c>
      <c r="R20" s="93">
        <f>'15'!K20</f>
        <v>21250</v>
      </c>
      <c r="S20" s="93">
        <f>'14'!K20</f>
        <v>21250</v>
      </c>
      <c r="T20" s="93">
        <f>'17'!K20</f>
        <v>21250</v>
      </c>
      <c r="U20" s="93">
        <f>'18'!K20</f>
        <v>21250</v>
      </c>
      <c r="V20" s="93">
        <f>'19'!K20</f>
        <v>21250</v>
      </c>
      <c r="W20" s="93">
        <f>'20'!K20</f>
        <v>21250</v>
      </c>
      <c r="X20" s="93">
        <f>'21'!K20</f>
        <v>21250</v>
      </c>
      <c r="Y20" s="93">
        <f>'22'!K20</f>
        <v>21250</v>
      </c>
      <c r="Z20" s="93">
        <f>'23'!K20</f>
        <v>21250</v>
      </c>
      <c r="AA20" s="93">
        <f>'24'!K20</f>
        <v>21250</v>
      </c>
      <c r="AB20" s="93">
        <f>'25'!K20</f>
        <v>21500</v>
      </c>
      <c r="AC20" s="93">
        <f>'26'!K20</f>
        <v>21500</v>
      </c>
      <c r="AD20" s="93">
        <f>'27'!K20</f>
        <v>21500</v>
      </c>
      <c r="AE20" s="93">
        <f>'28'!K20</f>
        <v>21500</v>
      </c>
      <c r="AF20" s="93">
        <f>'30'!K20</f>
        <v>21500</v>
      </c>
      <c r="AG20" s="101"/>
      <c r="AH20" s="111">
        <f t="shared" si="1"/>
        <v>250</v>
      </c>
      <c r="AI20" s="105">
        <f t="shared" si="2"/>
        <v>21293.10345</v>
      </c>
      <c r="AJ20" s="6"/>
      <c r="AK20" s="6"/>
      <c r="AL20" s="6"/>
    </row>
    <row r="21" ht="15.75" customHeight="1">
      <c r="A21" s="119">
        <v>5.0</v>
      </c>
      <c r="B21" s="120" t="s">
        <v>42</v>
      </c>
      <c r="C21" s="120"/>
      <c r="D21" s="88" t="str">
        <f>'1'!K21</f>
        <v/>
      </c>
      <c r="E21" s="88" t="str">
        <f>'2'!K21</f>
        <v/>
      </c>
      <c r="F21" s="88" t="str">
        <f>'3'!K21</f>
        <v/>
      </c>
      <c r="G21" s="88" t="str">
        <f>'4'!K21</f>
        <v/>
      </c>
      <c r="H21" s="88" t="str">
        <f>'5'!K21</f>
        <v/>
      </c>
      <c r="I21" s="88" t="str">
        <f>'6'!K21</f>
        <v/>
      </c>
      <c r="J21" s="93" t="str">
        <f>'7'!K21</f>
        <v/>
      </c>
      <c r="K21" s="93" t="str">
        <f>'8'!K21</f>
        <v/>
      </c>
      <c r="L21" s="93" t="str">
        <f>'9'!K21</f>
        <v/>
      </c>
      <c r="M21" s="93" t="str">
        <f>'10'!K21</f>
        <v/>
      </c>
      <c r="N21" s="93" t="str">
        <f>'11'!K21</f>
        <v/>
      </c>
      <c r="O21" s="93" t="str">
        <f>'12'!K21</f>
        <v/>
      </c>
      <c r="P21" s="93" t="str">
        <f>'13'!K21</f>
        <v/>
      </c>
      <c r="Q21" s="93" t="str">
        <f>'14'!K21</f>
        <v/>
      </c>
      <c r="R21" s="93" t="str">
        <f>'15'!K21</f>
        <v/>
      </c>
      <c r="S21" s="93" t="str">
        <f>'14'!K21</f>
        <v/>
      </c>
      <c r="T21" s="93" t="str">
        <f>'17'!K21</f>
        <v/>
      </c>
      <c r="U21" s="93" t="str">
        <f>'18'!K21</f>
        <v/>
      </c>
      <c r="V21" s="93" t="str">
        <f>'19'!K21</f>
        <v/>
      </c>
      <c r="W21" s="93" t="str">
        <f>'20'!K21</f>
        <v/>
      </c>
      <c r="X21" s="93" t="str">
        <f>'21'!K21</f>
        <v/>
      </c>
      <c r="Y21" s="93" t="str">
        <f>'22'!K21</f>
        <v/>
      </c>
      <c r="Z21" s="93" t="str">
        <f>'23'!K21</f>
        <v/>
      </c>
      <c r="AA21" s="93" t="str">
        <f>'24'!K21</f>
        <v/>
      </c>
      <c r="AB21" s="93" t="str">
        <f>'25'!K21</f>
        <v/>
      </c>
      <c r="AC21" s="93" t="str">
        <f>'26'!K21</f>
        <v/>
      </c>
      <c r="AD21" s="93" t="str">
        <f>'27'!K21</f>
        <v/>
      </c>
      <c r="AE21" s="93" t="str">
        <f>'28'!K21</f>
        <v/>
      </c>
      <c r="AF21" s="93" t="str">
        <f>'30'!K21</f>
        <v/>
      </c>
      <c r="AG21" s="101"/>
      <c r="AH21" s="101">
        <f t="shared" si="1"/>
        <v>0</v>
      </c>
      <c r="AI21" s="105" t="str">
        <f t="shared" si="2"/>
        <v>#DIV/0!</v>
      </c>
      <c r="AJ21" s="6"/>
      <c r="AK21" s="6"/>
      <c r="AL21" s="6"/>
    </row>
    <row r="22" ht="15.75" customHeight="1">
      <c r="A22" s="26"/>
      <c r="B22" s="130" t="s">
        <v>43</v>
      </c>
      <c r="C22" s="81" t="s">
        <v>24</v>
      </c>
      <c r="D22" s="88">
        <f>'1'!K22</f>
        <v>120000</v>
      </c>
      <c r="E22" s="88">
        <f>'2'!K22</f>
        <v>120000</v>
      </c>
      <c r="F22" s="88">
        <f>'3'!K22</f>
        <v>120000</v>
      </c>
      <c r="G22" s="88">
        <f>'4'!K22</f>
        <v>120000</v>
      </c>
      <c r="H22" s="88">
        <f>'5'!K22</f>
        <v>120000</v>
      </c>
      <c r="I22" s="88">
        <f>'6'!K22</f>
        <v>120000</v>
      </c>
      <c r="J22" s="93">
        <f>'7'!K22</f>
        <v>120000</v>
      </c>
      <c r="K22" s="93">
        <f>'8'!K22</f>
        <v>120000</v>
      </c>
      <c r="L22" s="93">
        <f>'9'!K22</f>
        <v>120000</v>
      </c>
      <c r="M22" s="93">
        <f>'10'!K22</f>
        <v>120000</v>
      </c>
      <c r="N22" s="93">
        <f>'11'!K22</f>
        <v>120000</v>
      </c>
      <c r="O22" s="93">
        <f>'12'!K22</f>
        <v>120000</v>
      </c>
      <c r="P22" s="93">
        <f>'13'!K22</f>
        <v>120000</v>
      </c>
      <c r="Q22" s="93">
        <f>'14'!K22</f>
        <v>120000</v>
      </c>
      <c r="R22" s="93">
        <f>'15'!K22</f>
        <v>120000</v>
      </c>
      <c r="S22" s="93">
        <f>'14'!K22</f>
        <v>120000</v>
      </c>
      <c r="T22" s="93">
        <f>'17'!K22</f>
        <v>120000</v>
      </c>
      <c r="U22" s="93">
        <f>'18'!K22</f>
        <v>120000</v>
      </c>
      <c r="V22" s="93">
        <f>'19'!K22</f>
        <v>120000</v>
      </c>
      <c r="W22" s="93">
        <f>'20'!K22</f>
        <v>120000</v>
      </c>
      <c r="X22" s="93">
        <f>'21'!K22</f>
        <v>120000</v>
      </c>
      <c r="Y22" s="93">
        <f>'22'!K22</f>
        <v>120000</v>
      </c>
      <c r="Z22" s="93">
        <f>'23'!K22</f>
        <v>120000</v>
      </c>
      <c r="AA22" s="93">
        <f>'24'!K22</f>
        <v>120000</v>
      </c>
      <c r="AB22" s="93">
        <f>'25'!K22</f>
        <v>120000</v>
      </c>
      <c r="AC22" s="93">
        <f>'26'!K22</f>
        <v>120000</v>
      </c>
      <c r="AD22" s="93">
        <f>'27'!K22</f>
        <v>120000</v>
      </c>
      <c r="AE22" s="93">
        <f>'28'!K22</f>
        <v>120000</v>
      </c>
      <c r="AF22" s="93">
        <f>'30'!K22</f>
        <v>120000</v>
      </c>
      <c r="AG22" s="101">
        <v>105000.0</v>
      </c>
      <c r="AH22" s="101">
        <f t="shared" si="1"/>
        <v>0</v>
      </c>
      <c r="AI22" s="105">
        <f t="shared" si="2"/>
        <v>120000</v>
      </c>
      <c r="AJ22" s="6"/>
      <c r="AK22" s="6"/>
      <c r="AL22" s="6"/>
    </row>
    <row r="23" ht="15.75" customHeight="1">
      <c r="A23" s="26"/>
      <c r="B23" s="130" t="s">
        <v>44</v>
      </c>
      <c r="C23" s="81" t="s">
        <v>24</v>
      </c>
      <c r="D23" s="88">
        <f>'1'!K23</f>
        <v>112000</v>
      </c>
      <c r="E23" s="88">
        <f>'2'!K23</f>
        <v>112000</v>
      </c>
      <c r="F23" s="88">
        <f>'3'!K23</f>
        <v>112000</v>
      </c>
      <c r="G23" s="88">
        <f>'4'!K23</f>
        <v>112000</v>
      </c>
      <c r="H23" s="88">
        <f>'5'!K23</f>
        <v>112000</v>
      </c>
      <c r="I23" s="88">
        <f>'6'!K23</f>
        <v>112000</v>
      </c>
      <c r="J23" s="93">
        <f>'7'!K23</f>
        <v>112000</v>
      </c>
      <c r="K23" s="93">
        <f>'8'!K23</f>
        <v>112000</v>
      </c>
      <c r="L23" s="93">
        <f>'9'!K23</f>
        <v>112000</v>
      </c>
      <c r="M23" s="93">
        <f>'10'!K23</f>
        <v>112000</v>
      </c>
      <c r="N23" s="93">
        <f>'11'!K23</f>
        <v>112000</v>
      </c>
      <c r="O23" s="93">
        <f>'12'!K23</f>
        <v>112000</v>
      </c>
      <c r="P23" s="93">
        <f>'13'!K23</f>
        <v>112000</v>
      </c>
      <c r="Q23" s="93">
        <f>'14'!K23</f>
        <v>112000</v>
      </c>
      <c r="R23" s="93">
        <f>'15'!K23</f>
        <v>112000</v>
      </c>
      <c r="S23" s="93">
        <f>'14'!K23</f>
        <v>112000</v>
      </c>
      <c r="T23" s="93">
        <f>'17'!K23</f>
        <v>112000</v>
      </c>
      <c r="U23" s="93">
        <f>'18'!K23</f>
        <v>112000</v>
      </c>
      <c r="V23" s="93">
        <f>'19'!K23</f>
        <v>112000</v>
      </c>
      <c r="W23" s="93">
        <f>'20'!K23</f>
        <v>112000</v>
      </c>
      <c r="X23" s="93">
        <f>'21'!K23</f>
        <v>112000</v>
      </c>
      <c r="Y23" s="93">
        <f>'22'!K23</f>
        <v>112000</v>
      </c>
      <c r="Z23" s="93">
        <f>'23'!K23</f>
        <v>112000</v>
      </c>
      <c r="AA23" s="93">
        <f>'24'!K23</f>
        <v>111428.5714</v>
      </c>
      <c r="AB23" s="93">
        <f>'25'!K23</f>
        <v>111428.5714</v>
      </c>
      <c r="AC23" s="93">
        <f>'26'!K23</f>
        <v>111428.5714</v>
      </c>
      <c r="AD23" s="93">
        <f>'27'!K23</f>
        <v>111428.5714</v>
      </c>
      <c r="AE23" s="93">
        <f>'28'!K23</f>
        <v>111428.5714</v>
      </c>
      <c r="AF23" s="93">
        <f>'30'!K23</f>
        <v>111428.5714</v>
      </c>
      <c r="AG23" s="101">
        <v>80000.0</v>
      </c>
      <c r="AH23" s="103">
        <f t="shared" si="1"/>
        <v>-571.4285714</v>
      </c>
      <c r="AI23" s="105">
        <f t="shared" si="2"/>
        <v>111881.7734</v>
      </c>
      <c r="AJ23" s="6"/>
      <c r="AK23" s="6"/>
      <c r="AL23" s="6"/>
    </row>
    <row r="24" ht="15.75" customHeight="1">
      <c r="A24" s="26"/>
      <c r="B24" s="130" t="s">
        <v>45</v>
      </c>
      <c r="C24" s="81" t="s">
        <v>24</v>
      </c>
      <c r="D24" s="88">
        <f>'1'!K24</f>
        <v>102857.1429</v>
      </c>
      <c r="E24" s="88">
        <f>'2'!K24</f>
        <v>102857.1429</v>
      </c>
      <c r="F24" s="88">
        <f>'3'!K24</f>
        <v>102857.1429</v>
      </c>
      <c r="G24" s="88">
        <f>'4'!K24</f>
        <v>102857.1429</v>
      </c>
      <c r="H24" s="88">
        <f>'5'!K24</f>
        <v>102857.1429</v>
      </c>
      <c r="I24" s="88">
        <f>'6'!K24</f>
        <v>102857.1429</v>
      </c>
      <c r="J24" s="93">
        <f>'7'!K24</f>
        <v>102857.1429</v>
      </c>
      <c r="K24" s="93">
        <f>'8'!K24</f>
        <v>102857.1429</v>
      </c>
      <c r="L24" s="93">
        <f>'9'!K24</f>
        <v>102857.1429</v>
      </c>
      <c r="M24" s="93">
        <f>'10'!K24</f>
        <v>102857.1429</v>
      </c>
      <c r="N24" s="93">
        <f>'11'!K24</f>
        <v>102857.1429</v>
      </c>
      <c r="O24" s="93">
        <f>'12'!K24</f>
        <v>102857.1429</v>
      </c>
      <c r="P24" s="93">
        <f>'13'!K24</f>
        <v>102857.1429</v>
      </c>
      <c r="Q24" s="93">
        <f>'14'!K24</f>
        <v>102857.1429</v>
      </c>
      <c r="R24" s="93">
        <f>'15'!K24</f>
        <v>102857.1429</v>
      </c>
      <c r="S24" s="93">
        <f>'14'!K24</f>
        <v>102857.1429</v>
      </c>
      <c r="T24" s="93">
        <f>'17'!K24</f>
        <v>102857.1429</v>
      </c>
      <c r="U24" s="93">
        <f>'18'!K24</f>
        <v>102857.1429</v>
      </c>
      <c r="V24" s="93">
        <f>'19'!K24</f>
        <v>102857.1429</v>
      </c>
      <c r="W24" s="93">
        <f>'20'!K24</f>
        <v>102857.1429</v>
      </c>
      <c r="X24" s="93">
        <f>'21'!K24</f>
        <v>102857.1429</v>
      </c>
      <c r="Y24" s="93">
        <f>'22'!K24</f>
        <v>102857.1429</v>
      </c>
      <c r="Z24" s="93">
        <f>'23'!K24</f>
        <v>102857.1429</v>
      </c>
      <c r="AA24" s="93">
        <f>'24'!K24</f>
        <v>102857.1429</v>
      </c>
      <c r="AB24" s="93">
        <f>'25'!K24</f>
        <v>102857.1429</v>
      </c>
      <c r="AC24" s="93">
        <f>'26'!K24</f>
        <v>102857.1429</v>
      </c>
      <c r="AD24" s="93">
        <f>'27'!K24</f>
        <v>102857.1429</v>
      </c>
      <c r="AE24" s="93">
        <f>'28'!K24</f>
        <v>102857.1429</v>
      </c>
      <c r="AF24" s="93">
        <f>'30'!K24</f>
        <v>102857.1429</v>
      </c>
      <c r="AG24" s="101">
        <v>80000.0</v>
      </c>
      <c r="AH24" s="101">
        <f t="shared" si="1"/>
        <v>0</v>
      </c>
      <c r="AI24" s="105">
        <f t="shared" si="2"/>
        <v>102857.1429</v>
      </c>
      <c r="AJ24" s="6"/>
      <c r="AK24" s="6"/>
      <c r="AL24" s="6"/>
    </row>
    <row r="25" ht="15.75" customHeight="1">
      <c r="A25" s="77"/>
      <c r="B25" s="130" t="s">
        <v>47</v>
      </c>
      <c r="C25" s="81" t="s">
        <v>24</v>
      </c>
      <c r="D25" s="88">
        <f>'1'!K25</f>
        <v>35857.14286</v>
      </c>
      <c r="E25" s="88">
        <f>'2'!K25</f>
        <v>36142.85714</v>
      </c>
      <c r="F25" s="88">
        <f>'3'!K25</f>
        <v>36714.28571</v>
      </c>
      <c r="G25" s="88">
        <f>'4'!K25</f>
        <v>36714.28571</v>
      </c>
      <c r="H25" s="88">
        <f>'5'!K25</f>
        <v>37000</v>
      </c>
      <c r="I25" s="88">
        <f>'6'!K25</f>
        <v>37714.28571</v>
      </c>
      <c r="J25" s="93">
        <f>'7'!K25</f>
        <v>37571.42857</v>
      </c>
      <c r="K25" s="93">
        <f>'8'!K25</f>
        <v>37571.42857</v>
      </c>
      <c r="L25" s="93">
        <f>'9'!K25</f>
        <v>37571.42857</v>
      </c>
      <c r="M25" s="93">
        <f>'10'!K25</f>
        <v>37571.42857</v>
      </c>
      <c r="N25" s="93">
        <f>'11'!K25</f>
        <v>37142.85714</v>
      </c>
      <c r="O25" s="93">
        <f>'12'!K25</f>
        <v>36428.57143</v>
      </c>
      <c r="P25" s="93">
        <f>'13'!K25</f>
        <v>36142.85714</v>
      </c>
      <c r="Q25" s="93">
        <f>'14'!K25</f>
        <v>36285.71429</v>
      </c>
      <c r="R25" s="93">
        <f>'15'!K25</f>
        <v>36571.42857</v>
      </c>
      <c r="S25" s="93">
        <f>'14'!K25</f>
        <v>36285.71429</v>
      </c>
      <c r="T25" s="93">
        <f>'17'!K25</f>
        <v>37285.71429</v>
      </c>
      <c r="U25" s="93">
        <f>'18'!K25</f>
        <v>37285.71429</v>
      </c>
      <c r="V25" s="93">
        <f>'19'!K25</f>
        <v>37714.28571</v>
      </c>
      <c r="W25" s="93">
        <f>'20'!K25</f>
        <v>37714.28571</v>
      </c>
      <c r="X25" s="93">
        <f>'21'!K25</f>
        <v>37714.28571</v>
      </c>
      <c r="Y25" s="93">
        <f>'22'!K25</f>
        <v>37857.14286</v>
      </c>
      <c r="Z25" s="93">
        <f>'23'!K25</f>
        <v>38142.85714</v>
      </c>
      <c r="AA25" s="93">
        <f>'24'!K25</f>
        <v>38142.85714</v>
      </c>
      <c r="AB25" s="93">
        <f>'25'!K25</f>
        <v>37857.14286</v>
      </c>
      <c r="AC25" s="93">
        <f>'26'!K25</f>
        <v>38142.85714</v>
      </c>
      <c r="AD25" s="93">
        <f>'27'!K25</f>
        <v>38571.42857</v>
      </c>
      <c r="AE25" s="93">
        <f>'28'!K25</f>
        <v>38571.42857</v>
      </c>
      <c r="AF25" s="93">
        <f>'30'!K25</f>
        <v>39285.71429</v>
      </c>
      <c r="AG25" s="101">
        <v>36750.0</v>
      </c>
      <c r="AH25" s="111">
        <f t="shared" si="1"/>
        <v>3428.571429</v>
      </c>
      <c r="AI25" s="105">
        <f t="shared" si="2"/>
        <v>37364.53202</v>
      </c>
      <c r="AJ25" s="6"/>
      <c r="AK25" s="6"/>
      <c r="AL25" s="6"/>
    </row>
    <row r="26" ht="15.75" customHeight="1">
      <c r="A26" s="119">
        <v>6.0</v>
      </c>
      <c r="B26" s="120" t="s">
        <v>48</v>
      </c>
      <c r="C26" s="120"/>
      <c r="D26" s="88" t="str">
        <f>'1'!K26</f>
        <v/>
      </c>
      <c r="E26" s="88" t="str">
        <f>'2'!K26</f>
        <v/>
      </c>
      <c r="F26" s="88" t="str">
        <f>'3'!K26</f>
        <v/>
      </c>
      <c r="G26" s="88" t="str">
        <f>'4'!K26</f>
        <v/>
      </c>
      <c r="H26" s="88" t="str">
        <f>'5'!K26</f>
        <v/>
      </c>
      <c r="I26" s="88" t="str">
        <f>'6'!K26</f>
        <v/>
      </c>
      <c r="J26" s="93" t="str">
        <f>'7'!K26</f>
        <v/>
      </c>
      <c r="K26" s="93" t="str">
        <f>'8'!K26</f>
        <v/>
      </c>
      <c r="L26" s="93" t="str">
        <f>'9'!K26</f>
        <v/>
      </c>
      <c r="M26" s="93" t="str">
        <f>'10'!K26</f>
        <v/>
      </c>
      <c r="N26" s="93" t="str">
        <f>'11'!K26</f>
        <v/>
      </c>
      <c r="O26" s="93" t="str">
        <f>'12'!K26</f>
        <v/>
      </c>
      <c r="P26" s="93" t="str">
        <f>'13'!K26</f>
        <v/>
      </c>
      <c r="Q26" s="93" t="str">
        <f>'14'!K26</f>
        <v/>
      </c>
      <c r="R26" s="93" t="str">
        <f>'15'!K26</f>
        <v/>
      </c>
      <c r="S26" s="93" t="str">
        <f>'14'!K26</f>
        <v/>
      </c>
      <c r="T26" s="93" t="str">
        <f>'17'!K26</f>
        <v/>
      </c>
      <c r="U26" s="93" t="str">
        <f>'18'!K26</f>
        <v/>
      </c>
      <c r="V26" s="93" t="str">
        <f>'19'!K26</f>
        <v/>
      </c>
      <c r="W26" s="93" t="str">
        <f>'20'!K26</f>
        <v/>
      </c>
      <c r="X26" s="93" t="str">
        <f>'21'!K26</f>
        <v/>
      </c>
      <c r="Y26" s="93" t="str">
        <f>'22'!K26</f>
        <v/>
      </c>
      <c r="Z26" s="93" t="str">
        <f>'23'!K26</f>
        <v/>
      </c>
      <c r="AA26" s="93" t="str">
        <f>'24'!K26</f>
        <v/>
      </c>
      <c r="AB26" s="93" t="str">
        <f>'25'!K26</f>
        <v/>
      </c>
      <c r="AC26" s="93" t="str">
        <f>'26'!K26</f>
        <v/>
      </c>
      <c r="AD26" s="93" t="str">
        <f>'27'!K26</f>
        <v/>
      </c>
      <c r="AE26" s="93" t="str">
        <f>'28'!K26</f>
        <v/>
      </c>
      <c r="AF26" s="93" t="str">
        <f>'30'!K26</f>
        <v/>
      </c>
      <c r="AG26" s="101"/>
      <c r="AH26" s="101">
        <f t="shared" si="1"/>
        <v>0</v>
      </c>
      <c r="AI26" s="105" t="str">
        <f t="shared" si="2"/>
        <v>#DIV/0!</v>
      </c>
      <c r="AJ26" s="6"/>
      <c r="AK26" s="6"/>
      <c r="AL26" s="6"/>
    </row>
    <row r="27" ht="15.75" customHeight="1">
      <c r="A27" s="26"/>
      <c r="B27" s="130" t="s">
        <v>49</v>
      </c>
      <c r="C27" s="81" t="s">
        <v>24</v>
      </c>
      <c r="D27" s="88">
        <f>'1'!K27</f>
        <v>36666.66667</v>
      </c>
      <c r="E27" s="88">
        <f>'2'!K27</f>
        <v>36666.66667</v>
      </c>
      <c r="F27" s="88">
        <f>'3'!K27</f>
        <v>36666.66667</v>
      </c>
      <c r="G27" s="88">
        <f>'4'!K27</f>
        <v>36666.66667</v>
      </c>
      <c r="H27" s="88">
        <f>'5'!K27</f>
        <v>37500</v>
      </c>
      <c r="I27" s="88">
        <f>'6'!K27</f>
        <v>37500</v>
      </c>
      <c r="J27" s="93">
        <f>'7'!K27</f>
        <v>37500</v>
      </c>
      <c r="K27" s="93">
        <f>'8'!K27</f>
        <v>37500</v>
      </c>
      <c r="L27" s="93">
        <f>'9'!K27</f>
        <v>37500</v>
      </c>
      <c r="M27" s="93">
        <f>'10'!K27</f>
        <v>37500</v>
      </c>
      <c r="N27" s="93">
        <f>'11'!K27</f>
        <v>36666.66667</v>
      </c>
      <c r="O27" s="93">
        <f>'12'!K27</f>
        <v>36666.66667</v>
      </c>
      <c r="P27" s="93">
        <f>'13'!K27</f>
        <v>36666.66667</v>
      </c>
      <c r="Q27" s="93">
        <f>'14'!K27</f>
        <v>35833.33333</v>
      </c>
      <c r="R27" s="93">
        <f>'15'!K27</f>
        <v>35833.33333</v>
      </c>
      <c r="S27" s="93">
        <f>'14'!K27</f>
        <v>35833.33333</v>
      </c>
      <c r="T27" s="93">
        <f>'17'!K27</f>
        <v>35833.33333</v>
      </c>
      <c r="U27" s="93">
        <f>'18'!K27</f>
        <v>35833.33333</v>
      </c>
      <c r="V27" s="93">
        <f>'19'!K27</f>
        <v>38333.33333</v>
      </c>
      <c r="W27" s="93">
        <f>'20'!K27</f>
        <v>38333.33333</v>
      </c>
      <c r="X27" s="93">
        <f>'21'!K27</f>
        <v>38333.33333</v>
      </c>
      <c r="Y27" s="93">
        <f>'22'!K27</f>
        <v>37500</v>
      </c>
      <c r="Z27" s="93">
        <f>'23'!K27</f>
        <v>37000</v>
      </c>
      <c r="AA27" s="93">
        <f>'24'!K27</f>
        <v>35833.33333</v>
      </c>
      <c r="AB27" s="93">
        <f>'25'!K27</f>
        <v>35857.14286</v>
      </c>
      <c r="AC27" s="93">
        <f>'26'!K27</f>
        <v>35857.14286</v>
      </c>
      <c r="AD27" s="93">
        <f>'27'!K27</f>
        <v>35857.14286</v>
      </c>
      <c r="AE27" s="93">
        <f>'28'!K27</f>
        <v>35857.14286</v>
      </c>
      <c r="AF27" s="93">
        <f>'30'!K27</f>
        <v>35833.33333</v>
      </c>
      <c r="AG27" s="101"/>
      <c r="AH27" s="103">
        <f t="shared" si="1"/>
        <v>-833.3333333</v>
      </c>
      <c r="AI27" s="105">
        <f t="shared" si="2"/>
        <v>36738.91626</v>
      </c>
      <c r="AJ27" s="6"/>
      <c r="AK27" s="6"/>
      <c r="AL27" s="6"/>
    </row>
    <row r="28" ht="15.75" customHeight="1">
      <c r="A28" s="26"/>
      <c r="B28" s="130" t="s">
        <v>50</v>
      </c>
      <c r="C28" s="81" t="s">
        <v>24</v>
      </c>
      <c r="D28" s="88">
        <f>'1'!K28</f>
        <v>27714.28571</v>
      </c>
      <c r="E28" s="88">
        <f>'2'!K28</f>
        <v>27428.57143</v>
      </c>
      <c r="F28" s="88">
        <f>'3'!K28</f>
        <v>27714.28571</v>
      </c>
      <c r="G28" s="88">
        <f>'4'!K28</f>
        <v>27714.28571</v>
      </c>
      <c r="H28" s="88">
        <f>'5'!K28</f>
        <v>27428.57143</v>
      </c>
      <c r="I28" s="88">
        <f>'6'!K28</f>
        <v>27428.57143</v>
      </c>
      <c r="J28" s="93">
        <f>'7'!K28</f>
        <v>27428.57143</v>
      </c>
      <c r="K28" s="93">
        <f>'8'!K28</f>
        <v>27428.57143</v>
      </c>
      <c r="L28" s="93">
        <f>'9'!K28</f>
        <v>27714.28571</v>
      </c>
      <c r="M28" s="93">
        <f>'10'!K28</f>
        <v>27714.28571</v>
      </c>
      <c r="N28" s="93">
        <f>'11'!K28</f>
        <v>27571.42857</v>
      </c>
      <c r="O28" s="93">
        <f>'12'!K28</f>
        <v>26000</v>
      </c>
      <c r="P28" s="93">
        <f>'13'!K28</f>
        <v>26571.42857</v>
      </c>
      <c r="Q28" s="93">
        <f>'14'!K28</f>
        <v>26571.42857</v>
      </c>
      <c r="R28" s="93">
        <f>'15'!K28</f>
        <v>26285.71429</v>
      </c>
      <c r="S28" s="93">
        <f>'14'!K28</f>
        <v>26571.42857</v>
      </c>
      <c r="T28" s="93">
        <f>'17'!K28</f>
        <v>26285.71429</v>
      </c>
      <c r="U28" s="93">
        <f>'18'!K28</f>
        <v>26285.71429</v>
      </c>
      <c r="V28" s="93">
        <f>'19'!K28</f>
        <v>26428.57143</v>
      </c>
      <c r="W28" s="93">
        <f>'20'!K28</f>
        <v>26428.57143</v>
      </c>
      <c r="X28" s="93">
        <f>'21'!K28</f>
        <v>26428.57143</v>
      </c>
      <c r="Y28" s="93">
        <f>'22'!K28</f>
        <v>26428.57143</v>
      </c>
      <c r="Z28" s="93">
        <f>'23'!K28</f>
        <v>26428.57143</v>
      </c>
      <c r="AA28" s="93">
        <f>'24'!K28</f>
        <v>26428.57143</v>
      </c>
      <c r="AB28" s="93">
        <f>'25'!K28</f>
        <v>26142.85714</v>
      </c>
      <c r="AC28" s="93">
        <f>'26'!K28</f>
        <v>26285.71429</v>
      </c>
      <c r="AD28" s="93">
        <f>'27'!K28</f>
        <v>26285.71429</v>
      </c>
      <c r="AE28" s="93">
        <f>'28'!K28</f>
        <v>26285.71429</v>
      </c>
      <c r="AF28" s="93">
        <f>'30'!K28</f>
        <v>26285.71429</v>
      </c>
      <c r="AG28" s="101"/>
      <c r="AH28" s="103">
        <f t="shared" si="1"/>
        <v>-1428.571429</v>
      </c>
      <c r="AI28" s="105">
        <f t="shared" si="2"/>
        <v>26817.73399</v>
      </c>
      <c r="AJ28" s="6"/>
      <c r="AK28" s="6"/>
      <c r="AL28" s="6"/>
    </row>
    <row r="29" ht="15.75" customHeight="1">
      <c r="A29" s="26"/>
      <c r="B29" s="130" t="s">
        <v>52</v>
      </c>
      <c r="C29" s="81" t="s">
        <v>24</v>
      </c>
      <c r="D29" s="88">
        <f>'1'!K29</f>
        <v>64714.28571</v>
      </c>
      <c r="E29" s="88">
        <f>'2'!K29</f>
        <v>64000</v>
      </c>
      <c r="F29" s="88">
        <f>'3'!K29</f>
        <v>64000</v>
      </c>
      <c r="G29" s="88">
        <f>'4'!K29</f>
        <v>64000</v>
      </c>
      <c r="H29" s="88">
        <f>'5'!K29</f>
        <v>64000</v>
      </c>
      <c r="I29" s="88">
        <f>'6'!K29</f>
        <v>64000</v>
      </c>
      <c r="J29" s="93">
        <f>'7'!K29</f>
        <v>64000</v>
      </c>
      <c r="K29" s="93">
        <f>'8'!K29</f>
        <v>64000</v>
      </c>
      <c r="L29" s="93">
        <f>'9'!K29</f>
        <v>65428.57143</v>
      </c>
      <c r="M29" s="93">
        <f>'10'!K29</f>
        <v>65428.57143</v>
      </c>
      <c r="N29" s="93">
        <f>'11'!K29</f>
        <v>65428.57143</v>
      </c>
      <c r="O29" s="93">
        <f>'12'!K29</f>
        <v>62571.42857</v>
      </c>
      <c r="P29" s="93">
        <f>'13'!K29</f>
        <v>61142.85714</v>
      </c>
      <c r="Q29" s="93">
        <f>'14'!K29</f>
        <v>61142.85714</v>
      </c>
      <c r="R29" s="93">
        <f>'15'!K29</f>
        <v>61142.85714</v>
      </c>
      <c r="S29" s="93">
        <f>'14'!K29</f>
        <v>61142.85714</v>
      </c>
      <c r="T29" s="93">
        <f>'17'!K29</f>
        <v>61142.85714</v>
      </c>
      <c r="U29" s="93">
        <f>'18'!K29</f>
        <v>61142.85714</v>
      </c>
      <c r="V29" s="93">
        <f>'19'!K29</f>
        <v>61857.14286</v>
      </c>
      <c r="W29" s="93">
        <f>'20'!K29</f>
        <v>61142.85714</v>
      </c>
      <c r="X29" s="93">
        <f>'21'!K29</f>
        <v>61142.85714</v>
      </c>
      <c r="Y29" s="93">
        <f>'22'!K29</f>
        <v>61142.85714</v>
      </c>
      <c r="Z29" s="93">
        <f>'23'!K29</f>
        <v>61142.85714</v>
      </c>
      <c r="AA29" s="93">
        <f>'24'!K29</f>
        <v>61142.85714</v>
      </c>
      <c r="AB29" s="93">
        <f>'25'!K29</f>
        <v>61142.85714</v>
      </c>
      <c r="AC29" s="93">
        <f>'26'!K29</f>
        <v>61142.85714</v>
      </c>
      <c r="AD29" s="93">
        <f>'27'!K29</f>
        <v>61142.85714</v>
      </c>
      <c r="AE29" s="93">
        <f>'28'!K29</f>
        <v>61142.85714</v>
      </c>
      <c r="AF29" s="93">
        <f>'30'!K29</f>
        <v>61142.85714</v>
      </c>
      <c r="AG29" s="101"/>
      <c r="AH29" s="103">
        <f t="shared" si="1"/>
        <v>-3571.428571</v>
      </c>
      <c r="AI29" s="105">
        <f t="shared" si="2"/>
        <v>62472.9064</v>
      </c>
      <c r="AJ29" s="6"/>
      <c r="AK29" s="6"/>
      <c r="AL29" s="6"/>
    </row>
    <row r="30" ht="15.75" customHeight="1">
      <c r="A30" s="26"/>
      <c r="B30" s="130" t="s">
        <v>53</v>
      </c>
      <c r="C30" s="81" t="s">
        <v>24</v>
      </c>
      <c r="D30" s="88">
        <f>'1'!K30</f>
        <v>24600</v>
      </c>
      <c r="E30" s="88">
        <f>'2'!K30</f>
        <v>24600</v>
      </c>
      <c r="F30" s="88">
        <f>'3'!K30</f>
        <v>24600</v>
      </c>
      <c r="G30" s="88">
        <f>'4'!K30</f>
        <v>24600</v>
      </c>
      <c r="H30" s="88">
        <f>'5'!K30</f>
        <v>24600</v>
      </c>
      <c r="I30" s="88">
        <f>'6'!K30</f>
        <v>24600</v>
      </c>
      <c r="J30" s="93">
        <f>'7'!K30</f>
        <v>24600</v>
      </c>
      <c r="K30" s="93">
        <f>'8'!K30</f>
        <v>24600</v>
      </c>
      <c r="L30" s="93">
        <f>'9'!K30</f>
        <v>24600</v>
      </c>
      <c r="M30" s="93">
        <f>'10'!K30</f>
        <v>24600</v>
      </c>
      <c r="N30" s="93">
        <f>'11'!K30</f>
        <v>24600</v>
      </c>
      <c r="O30" s="93">
        <f>'12'!K30</f>
        <v>24600</v>
      </c>
      <c r="P30" s="93">
        <f>'13'!K30</f>
        <v>24600</v>
      </c>
      <c r="Q30" s="93">
        <f>'14'!K30</f>
        <v>24600</v>
      </c>
      <c r="R30" s="93">
        <f>'15'!K30</f>
        <v>24600</v>
      </c>
      <c r="S30" s="93">
        <f>'14'!K30</f>
        <v>24600</v>
      </c>
      <c r="T30" s="93">
        <f>'17'!K30</f>
        <v>24600</v>
      </c>
      <c r="U30" s="93">
        <f>'18'!K30</f>
        <v>24600</v>
      </c>
      <c r="V30" s="93">
        <f>'19'!K30</f>
        <v>24600</v>
      </c>
      <c r="W30" s="93">
        <f>'20'!K30</f>
        <v>24600</v>
      </c>
      <c r="X30" s="93">
        <f>'21'!K30</f>
        <v>24600</v>
      </c>
      <c r="Y30" s="93">
        <f>'22'!K30</f>
        <v>24600</v>
      </c>
      <c r="Z30" s="93">
        <f>'23'!K30</f>
        <v>24600</v>
      </c>
      <c r="AA30" s="93">
        <f>'24'!K30</f>
        <v>24600</v>
      </c>
      <c r="AB30" s="93">
        <f>'25'!K30</f>
        <v>24600</v>
      </c>
      <c r="AC30" s="93">
        <f>'26'!K30</f>
        <v>24600</v>
      </c>
      <c r="AD30" s="93">
        <f>'27'!K30</f>
        <v>24600</v>
      </c>
      <c r="AE30" s="93">
        <f>'28'!K30</f>
        <v>24600</v>
      </c>
      <c r="AF30" s="93">
        <f>'30'!K30</f>
        <v>24600</v>
      </c>
      <c r="AG30" s="101"/>
      <c r="AH30" s="101">
        <f t="shared" si="1"/>
        <v>0</v>
      </c>
      <c r="AI30" s="105">
        <f t="shared" si="2"/>
        <v>24600</v>
      </c>
      <c r="AJ30" s="6"/>
      <c r="AK30" s="6"/>
      <c r="AL30" s="6"/>
    </row>
    <row r="31" ht="15.75" customHeight="1">
      <c r="A31" s="26"/>
      <c r="B31" s="130" t="s">
        <v>54</v>
      </c>
      <c r="C31" s="81" t="s">
        <v>24</v>
      </c>
      <c r="D31" s="88">
        <f>'1'!K31</f>
        <v>37000</v>
      </c>
      <c r="E31" s="88">
        <f>'2'!K31</f>
        <v>36714.28571</v>
      </c>
      <c r="F31" s="88">
        <f>'3'!K31</f>
        <v>37000</v>
      </c>
      <c r="G31" s="88">
        <f>'4'!K31</f>
        <v>37000</v>
      </c>
      <c r="H31" s="88">
        <f>'5'!K31</f>
        <v>36714.28571</v>
      </c>
      <c r="I31" s="88">
        <f>'6'!K31</f>
        <v>36714.28571</v>
      </c>
      <c r="J31" s="93">
        <f>'7'!K31</f>
        <v>36714.28571</v>
      </c>
      <c r="K31" s="93">
        <f>'8'!K31</f>
        <v>36142.85714</v>
      </c>
      <c r="L31" s="93">
        <f>'9'!K31</f>
        <v>36285.71429</v>
      </c>
      <c r="M31" s="93">
        <f>'10'!K31</f>
        <v>36285.71429</v>
      </c>
      <c r="N31" s="93">
        <f>'11'!K31</f>
        <v>34857.14286</v>
      </c>
      <c r="O31" s="93">
        <f>'12'!K31</f>
        <v>35428.57143</v>
      </c>
      <c r="P31" s="93">
        <f>'13'!K31</f>
        <v>36428.57143</v>
      </c>
      <c r="Q31" s="93">
        <f>'14'!K31</f>
        <v>36428.57143</v>
      </c>
      <c r="R31" s="93">
        <f>'15'!K31</f>
        <v>36142.85714</v>
      </c>
      <c r="S31" s="93">
        <f>'14'!K31</f>
        <v>36428.57143</v>
      </c>
      <c r="T31" s="93">
        <f>'17'!K31</f>
        <v>36142.85714</v>
      </c>
      <c r="U31" s="93">
        <f>'18'!K31</f>
        <v>36142.85714</v>
      </c>
      <c r="V31" s="93">
        <f>'19'!K31</f>
        <v>36714.28571</v>
      </c>
      <c r="W31" s="93">
        <f>'20'!K31</f>
        <v>36714.28571</v>
      </c>
      <c r="X31" s="93">
        <f>'21'!K31</f>
        <v>36714.28571</v>
      </c>
      <c r="Y31" s="93">
        <f>'22'!K31</f>
        <v>36714.28571</v>
      </c>
      <c r="Z31" s="93">
        <f>'23'!K31</f>
        <v>36714.28571</v>
      </c>
      <c r="AA31" s="93">
        <f>'24'!K31</f>
        <v>36857.14286</v>
      </c>
      <c r="AB31" s="93">
        <f>'25'!K31</f>
        <v>36857.14286</v>
      </c>
      <c r="AC31" s="93">
        <f>'26'!K31</f>
        <v>36857.14286</v>
      </c>
      <c r="AD31" s="93">
        <f>'27'!K31</f>
        <v>36857.14286</v>
      </c>
      <c r="AE31" s="93">
        <f>'28'!K31</f>
        <v>36857.14286</v>
      </c>
      <c r="AF31" s="93">
        <f>'30'!K31</f>
        <v>36714.28571</v>
      </c>
      <c r="AG31" s="101"/>
      <c r="AH31" s="103">
        <f t="shared" si="1"/>
        <v>-285.7142857</v>
      </c>
      <c r="AI31" s="105">
        <f t="shared" si="2"/>
        <v>36522.16749</v>
      </c>
      <c r="AJ31" s="6"/>
      <c r="AK31" s="6"/>
      <c r="AL31" s="6"/>
    </row>
    <row r="32" ht="15.75" customHeight="1">
      <c r="A32" s="77"/>
      <c r="B32" s="130" t="s">
        <v>55</v>
      </c>
      <c r="C32" s="81" t="s">
        <v>24</v>
      </c>
      <c r="D32" s="88">
        <f>'1'!K32</f>
        <v>96666.66667</v>
      </c>
      <c r="E32" s="88">
        <f>'2'!K32</f>
        <v>96666.66667</v>
      </c>
      <c r="F32" s="88">
        <f>'3'!K32</f>
        <v>96666.66667</v>
      </c>
      <c r="G32" s="88">
        <f>'4'!K32</f>
        <v>96666.66667</v>
      </c>
      <c r="H32" s="88">
        <f>'5'!K32</f>
        <v>96666.66667</v>
      </c>
      <c r="I32" s="88">
        <f>'6'!K32</f>
        <v>96666.66667</v>
      </c>
      <c r="J32" s="93">
        <f>'7'!K32</f>
        <v>96666.66667</v>
      </c>
      <c r="K32" s="93">
        <f>'8'!K32</f>
        <v>96666.66667</v>
      </c>
      <c r="L32" s="93">
        <f>'9'!K32</f>
        <v>96666.66667</v>
      </c>
      <c r="M32" s="93">
        <f>'10'!K32</f>
        <v>91666.66667</v>
      </c>
      <c r="N32" s="93">
        <f>'11'!K32</f>
        <v>91666.66667</v>
      </c>
      <c r="O32" s="93">
        <f>'12'!K32</f>
        <v>91666.66667</v>
      </c>
      <c r="P32" s="93">
        <f>'13'!K32</f>
        <v>96666.66667</v>
      </c>
      <c r="Q32" s="93">
        <f>'14'!K32</f>
        <v>96666.66667</v>
      </c>
      <c r="R32" s="93">
        <f>'15'!K32</f>
        <v>96666.66667</v>
      </c>
      <c r="S32" s="93">
        <f>'14'!K32</f>
        <v>96666.66667</v>
      </c>
      <c r="T32" s="93">
        <f>'17'!K32</f>
        <v>96666.66667</v>
      </c>
      <c r="U32" s="93">
        <f>'18'!K32</f>
        <v>96666.66667</v>
      </c>
      <c r="V32" s="93">
        <f>'19'!K32</f>
        <v>96666.66667</v>
      </c>
      <c r="W32" s="93">
        <f>'20'!K32</f>
        <v>96666.66667</v>
      </c>
      <c r="X32" s="93">
        <f>'21'!K32</f>
        <v>96666.66667</v>
      </c>
      <c r="Y32" s="93">
        <f>'22'!K32</f>
        <v>96666.66667</v>
      </c>
      <c r="Z32" s="93">
        <f>'23'!K32</f>
        <v>96666.66667</v>
      </c>
      <c r="AA32" s="93">
        <f>'24'!K32</f>
        <v>96666.66667</v>
      </c>
      <c r="AB32" s="93">
        <f>'25'!K32</f>
        <v>86666.66667</v>
      </c>
      <c r="AC32" s="93">
        <f>'26'!K32</f>
        <v>86666.66667</v>
      </c>
      <c r="AD32" s="93">
        <f>'27'!K32</f>
        <v>86666.66667</v>
      </c>
      <c r="AE32" s="93">
        <f>'28'!K32</f>
        <v>103333.3333</v>
      </c>
      <c r="AF32" s="93">
        <f>'30'!K32</f>
        <v>93333.33333</v>
      </c>
      <c r="AG32" s="101"/>
      <c r="AH32" s="103">
        <f t="shared" si="1"/>
        <v>-3333.333333</v>
      </c>
      <c r="AI32" s="105">
        <f t="shared" si="2"/>
        <v>95229.88506</v>
      </c>
      <c r="AJ32" s="6"/>
      <c r="AK32" s="6"/>
      <c r="AL32" s="6"/>
    </row>
    <row r="33" ht="15.75" customHeight="1">
      <c r="A33" s="119">
        <v>7.0</v>
      </c>
      <c r="B33" s="120" t="s">
        <v>56</v>
      </c>
      <c r="C33" s="120"/>
      <c r="D33" s="88" t="str">
        <f>'1'!K33</f>
        <v/>
      </c>
      <c r="E33" s="88" t="str">
        <f>'2'!K33</f>
        <v/>
      </c>
      <c r="F33" s="88" t="str">
        <f>'3'!K33</f>
        <v/>
      </c>
      <c r="G33" s="88" t="str">
        <f>'4'!K33</f>
        <v/>
      </c>
      <c r="H33" s="88" t="str">
        <f>'5'!K33</f>
        <v/>
      </c>
      <c r="I33" s="88" t="str">
        <f>'6'!K33</f>
        <v/>
      </c>
      <c r="J33" s="93" t="str">
        <f>'7'!K33</f>
        <v/>
      </c>
      <c r="K33" s="93" t="str">
        <f>'8'!K33</f>
        <v/>
      </c>
      <c r="L33" s="93" t="str">
        <f>'9'!K33</f>
        <v/>
      </c>
      <c r="M33" s="93" t="str">
        <f>'10'!K33</f>
        <v/>
      </c>
      <c r="N33" s="93" t="str">
        <f>'11'!K33</f>
        <v/>
      </c>
      <c r="O33" s="93" t="str">
        <f>'12'!K33</f>
        <v/>
      </c>
      <c r="P33" s="93" t="str">
        <f>'13'!K33</f>
        <v/>
      </c>
      <c r="Q33" s="93" t="str">
        <f>'14'!K33</f>
        <v/>
      </c>
      <c r="R33" s="93" t="str">
        <f>'15'!K33</f>
        <v/>
      </c>
      <c r="S33" s="93" t="str">
        <f>'14'!K33</f>
        <v/>
      </c>
      <c r="T33" s="93" t="str">
        <f>'17'!K33</f>
        <v/>
      </c>
      <c r="U33" s="93" t="str">
        <f>'18'!K33</f>
        <v/>
      </c>
      <c r="V33" s="93" t="str">
        <f>'19'!K33</f>
        <v/>
      </c>
      <c r="W33" s="93" t="str">
        <f>'20'!K33</f>
        <v/>
      </c>
      <c r="X33" s="93" t="str">
        <f>'21'!K33</f>
        <v/>
      </c>
      <c r="Y33" s="93" t="str">
        <f>'22'!K33</f>
        <v/>
      </c>
      <c r="Z33" s="93" t="str">
        <f>'23'!K33</f>
        <v/>
      </c>
      <c r="AA33" s="93" t="str">
        <f>'24'!K33</f>
        <v/>
      </c>
      <c r="AB33" s="93" t="str">
        <f>'25'!K33</f>
        <v/>
      </c>
      <c r="AC33" s="93" t="str">
        <f>'26'!K33</f>
        <v/>
      </c>
      <c r="AD33" s="93" t="str">
        <f>'27'!K33</f>
        <v/>
      </c>
      <c r="AE33" s="93" t="str">
        <f>'28'!K33</f>
        <v/>
      </c>
      <c r="AF33" s="93" t="str">
        <f>'30'!K33</f>
        <v/>
      </c>
      <c r="AG33" s="101"/>
      <c r="AH33" s="101">
        <f t="shared" si="1"/>
        <v>0</v>
      </c>
      <c r="AI33" s="105" t="str">
        <f t="shared" si="2"/>
        <v>#DIV/0!</v>
      </c>
      <c r="AJ33" s="6"/>
      <c r="AK33" s="6"/>
      <c r="AL33" s="6"/>
    </row>
    <row r="34" ht="15.75" customHeight="1">
      <c r="A34" s="26"/>
      <c r="B34" s="130" t="s">
        <v>126</v>
      </c>
      <c r="C34" s="81" t="s">
        <v>24</v>
      </c>
      <c r="D34" s="88">
        <f>'1'!K34</f>
        <v>29785.71429</v>
      </c>
      <c r="E34" s="88">
        <f>'2'!K34</f>
        <v>29571.42857</v>
      </c>
      <c r="F34" s="88">
        <f>'3'!K34</f>
        <v>29142.85714</v>
      </c>
      <c r="G34" s="88">
        <f>'4'!K34</f>
        <v>29142.85714</v>
      </c>
      <c r="H34" s="88">
        <f>'5'!K34</f>
        <v>28928.57143</v>
      </c>
      <c r="I34" s="88">
        <f>'6'!K34</f>
        <v>28785.71429</v>
      </c>
      <c r="J34" s="93">
        <f>'7'!K34</f>
        <v>29571.42857</v>
      </c>
      <c r="K34" s="93">
        <f>'8'!K34</f>
        <v>29642.85714</v>
      </c>
      <c r="L34" s="93">
        <f>'9'!K34</f>
        <v>29857.14286</v>
      </c>
      <c r="M34" s="93">
        <f>'10'!K34</f>
        <v>30142.85714</v>
      </c>
      <c r="N34" s="93">
        <f>'11'!K34</f>
        <v>29857.14286</v>
      </c>
      <c r="O34" s="93">
        <f>'12'!K34</f>
        <v>29857.14286</v>
      </c>
      <c r="P34" s="93">
        <f>'13'!K34</f>
        <v>29857.14286</v>
      </c>
      <c r="Q34" s="93">
        <f>'14'!K34</f>
        <v>29714.28571</v>
      </c>
      <c r="R34" s="93">
        <f>'15'!K34</f>
        <v>29714.28571</v>
      </c>
      <c r="S34" s="93">
        <f>'14'!K34</f>
        <v>29714.28571</v>
      </c>
      <c r="T34" s="93">
        <f>'17'!K34</f>
        <v>29714.28571</v>
      </c>
      <c r="U34" s="93">
        <f>'18'!K34</f>
        <v>29428.57143</v>
      </c>
      <c r="V34" s="93">
        <f>'19'!K34</f>
        <v>28928.57143</v>
      </c>
      <c r="W34" s="93">
        <f>'20'!K34</f>
        <v>28857.14286</v>
      </c>
      <c r="X34" s="93">
        <f>'21'!K34</f>
        <v>29142.85714</v>
      </c>
      <c r="Y34" s="93">
        <f>'22'!K34</f>
        <v>29000</v>
      </c>
      <c r="Z34" s="93">
        <f>'23'!K34</f>
        <v>29357.14286</v>
      </c>
      <c r="AA34" s="93">
        <f>'24'!K34</f>
        <v>29214.28571</v>
      </c>
      <c r="AB34" s="93">
        <f>'25'!K34</f>
        <v>29357.14286</v>
      </c>
      <c r="AC34" s="93">
        <f>'26'!K34</f>
        <v>29857.14286</v>
      </c>
      <c r="AD34" s="93">
        <f>'27'!K34</f>
        <v>29714.28571</v>
      </c>
      <c r="AE34" s="93">
        <f>'28'!K34</f>
        <v>29428.57143</v>
      </c>
      <c r="AF34" s="93">
        <f>'30'!K34</f>
        <v>29714.28571</v>
      </c>
      <c r="AG34" s="101">
        <v>27000.0</v>
      </c>
      <c r="AH34" s="103">
        <f t="shared" si="1"/>
        <v>-71.42857143</v>
      </c>
      <c r="AI34" s="105">
        <f t="shared" si="2"/>
        <v>29482.75862</v>
      </c>
      <c r="AJ34" s="6"/>
      <c r="AK34" s="6"/>
      <c r="AL34" s="6"/>
    </row>
    <row r="35" ht="15.75" customHeight="1">
      <c r="A35" s="77"/>
      <c r="B35" s="130" t="s">
        <v>59</v>
      </c>
      <c r="C35" s="81" t="s">
        <v>60</v>
      </c>
      <c r="D35" s="88">
        <f>'1'!K35</f>
        <v>2414.285714</v>
      </c>
      <c r="E35" s="88">
        <f>'2'!K35</f>
        <v>2414.285714</v>
      </c>
      <c r="F35" s="88">
        <f>'3'!K35</f>
        <v>2414.285714</v>
      </c>
      <c r="G35" s="88">
        <f>'4'!K35</f>
        <v>2414.285714</v>
      </c>
      <c r="H35" s="88">
        <f>'5'!K35</f>
        <v>2414.285714</v>
      </c>
      <c r="I35" s="88">
        <f>'6'!K35</f>
        <v>2414.285714</v>
      </c>
      <c r="J35" s="93">
        <f>'7'!K35</f>
        <v>2457.142857</v>
      </c>
      <c r="K35" s="93">
        <f>'8'!K35</f>
        <v>2457.142857</v>
      </c>
      <c r="L35" s="93">
        <f>'9'!K35</f>
        <v>2457.142857</v>
      </c>
      <c r="M35" s="93">
        <f>'10'!K35</f>
        <v>2528.571429</v>
      </c>
      <c r="N35" s="93">
        <f>'11'!K35</f>
        <v>2528.571429</v>
      </c>
      <c r="O35" s="93">
        <f>'12'!K35</f>
        <v>2528.571429</v>
      </c>
      <c r="P35" s="93">
        <f>'13'!K35</f>
        <v>2457.142857</v>
      </c>
      <c r="Q35" s="93">
        <f>'14'!K35</f>
        <v>2528.571429</v>
      </c>
      <c r="R35" s="93">
        <f>'15'!K35</f>
        <v>2528.571429</v>
      </c>
      <c r="S35" s="93">
        <f>'14'!K35</f>
        <v>2528.571429</v>
      </c>
      <c r="T35" s="93">
        <f>'17'!K35</f>
        <v>2671.428571</v>
      </c>
      <c r="U35" s="93">
        <f>'18'!K35</f>
        <v>2671.428571</v>
      </c>
      <c r="V35" s="93">
        <f>'19'!K35</f>
        <v>2671.428571</v>
      </c>
      <c r="W35" s="93">
        <f>'20'!K35</f>
        <v>2671.428571</v>
      </c>
      <c r="X35" s="93">
        <f>'21'!K35</f>
        <v>2671.428571</v>
      </c>
      <c r="Y35" s="93">
        <f>'22'!K35</f>
        <v>2671.428571</v>
      </c>
      <c r="Z35" s="93">
        <f>'23'!K35</f>
        <v>2671.428571</v>
      </c>
      <c r="AA35" s="93">
        <f>'24'!K35</f>
        <v>2671.428571</v>
      </c>
      <c r="AB35" s="93">
        <f>'25'!K35</f>
        <v>2700</v>
      </c>
      <c r="AC35" s="93">
        <f>'26'!K35</f>
        <v>2700</v>
      </c>
      <c r="AD35" s="93">
        <f>'27'!K35</f>
        <v>2700</v>
      </c>
      <c r="AE35" s="93">
        <f>'28'!K35</f>
        <v>2671.428571</v>
      </c>
      <c r="AF35" s="93">
        <f>'30'!K35</f>
        <v>2671.428571</v>
      </c>
      <c r="AG35" s="101"/>
      <c r="AH35" s="111">
        <f t="shared" si="1"/>
        <v>257.1428571</v>
      </c>
      <c r="AI35" s="105">
        <f t="shared" si="2"/>
        <v>2562.068966</v>
      </c>
      <c r="AJ35" s="6"/>
      <c r="AK35" s="6"/>
      <c r="AL35" s="6"/>
    </row>
    <row r="36" ht="15.75" customHeight="1">
      <c r="A36" s="155">
        <v>8.0</v>
      </c>
      <c r="B36" s="156" t="s">
        <v>61</v>
      </c>
      <c r="C36" s="157"/>
      <c r="D36" s="88" t="str">
        <f>'1'!K36</f>
        <v/>
      </c>
      <c r="E36" s="88" t="str">
        <f>'2'!K36</f>
        <v/>
      </c>
      <c r="F36" s="88" t="str">
        <f>'3'!K36</f>
        <v/>
      </c>
      <c r="G36" s="88" t="str">
        <f>'4'!K36</f>
        <v/>
      </c>
      <c r="H36" s="88" t="str">
        <f>'5'!K36</f>
        <v/>
      </c>
      <c r="I36" s="88" t="str">
        <f>'6'!K36</f>
        <v/>
      </c>
      <c r="J36" s="93" t="str">
        <f>'7'!K36</f>
        <v/>
      </c>
      <c r="K36" s="93" t="str">
        <f>'8'!K36</f>
        <v/>
      </c>
      <c r="L36" s="93" t="str">
        <f>'9'!K36</f>
        <v/>
      </c>
      <c r="M36" s="93" t="str">
        <f>'10'!K36</f>
        <v/>
      </c>
      <c r="N36" s="93" t="str">
        <f>'11'!K36</f>
        <v/>
      </c>
      <c r="O36" s="93" t="str">
        <f>'12'!K36</f>
        <v/>
      </c>
      <c r="P36" s="93" t="str">
        <f>'13'!K36</f>
        <v/>
      </c>
      <c r="Q36" s="93" t="str">
        <f>'14'!K36</f>
        <v/>
      </c>
      <c r="R36" s="93" t="str">
        <f>'15'!K36</f>
        <v/>
      </c>
      <c r="S36" s="93" t="str">
        <f>'14'!K36</f>
        <v/>
      </c>
      <c r="T36" s="93" t="str">
        <f>'17'!K36</f>
        <v/>
      </c>
      <c r="U36" s="93" t="str">
        <f>'18'!K36</f>
        <v/>
      </c>
      <c r="V36" s="93" t="str">
        <f>'19'!K36</f>
        <v/>
      </c>
      <c r="W36" s="93" t="str">
        <f>'20'!K36</f>
        <v/>
      </c>
      <c r="X36" s="93" t="str">
        <f>'21'!K36</f>
        <v/>
      </c>
      <c r="Y36" s="93" t="str">
        <f>'22'!K36</f>
        <v/>
      </c>
      <c r="Z36" s="93" t="str">
        <f>'23'!K36</f>
        <v/>
      </c>
      <c r="AA36" s="93" t="str">
        <f>'24'!K36</f>
        <v/>
      </c>
      <c r="AB36" s="93" t="str">
        <f>'25'!K36</f>
        <v/>
      </c>
      <c r="AC36" s="93" t="str">
        <f>'26'!K36</f>
        <v/>
      </c>
      <c r="AD36" s="93" t="str">
        <f>'27'!K36</f>
        <v/>
      </c>
      <c r="AE36" s="93" t="str">
        <f>'28'!K36</f>
        <v/>
      </c>
      <c r="AF36" s="93" t="str">
        <f>'30'!K36</f>
        <v/>
      </c>
      <c r="AG36" s="101"/>
      <c r="AH36" s="101">
        <f t="shared" si="1"/>
        <v>0</v>
      </c>
      <c r="AI36" s="105" t="str">
        <f t="shared" si="2"/>
        <v>#DIV/0!</v>
      </c>
      <c r="AJ36" s="6"/>
      <c r="AK36" s="6"/>
      <c r="AL36" s="6"/>
    </row>
    <row r="37" ht="15.75" customHeight="1">
      <c r="A37" s="155"/>
      <c r="B37" s="158" t="s">
        <v>62</v>
      </c>
      <c r="C37" s="157" t="s">
        <v>24</v>
      </c>
      <c r="D37" s="88">
        <f>'1'!K37</f>
        <v>10714.28571</v>
      </c>
      <c r="E37" s="88">
        <f>'2'!K37</f>
        <v>10714.28571</v>
      </c>
      <c r="F37" s="88">
        <f>'3'!K37</f>
        <v>10714.28571</v>
      </c>
      <c r="G37" s="88">
        <f>'4'!K37</f>
        <v>10714.28571</v>
      </c>
      <c r="H37" s="88">
        <f>'5'!K37</f>
        <v>10714.28571</v>
      </c>
      <c r="I37" s="88">
        <f>'6'!K37</f>
        <v>10714.28571</v>
      </c>
      <c r="J37" s="93">
        <f>'7'!K37</f>
        <v>10714.28571</v>
      </c>
      <c r="K37" s="93">
        <f>'8'!K37</f>
        <v>10714.28571</v>
      </c>
      <c r="L37" s="93">
        <f>'9'!K37</f>
        <v>10714.28571</v>
      </c>
      <c r="M37" s="93">
        <f>'10'!K37</f>
        <v>10714.28571</v>
      </c>
      <c r="N37" s="93">
        <f>'11'!K37</f>
        <v>10714.28571</v>
      </c>
      <c r="O37" s="93">
        <f>'12'!K37</f>
        <v>10000</v>
      </c>
      <c r="P37" s="93">
        <f>'13'!K37</f>
        <v>10000</v>
      </c>
      <c r="Q37" s="93">
        <f>'14'!K37</f>
        <v>10000</v>
      </c>
      <c r="R37" s="93">
        <f>'15'!K37</f>
        <v>10000</v>
      </c>
      <c r="S37" s="93">
        <f>'14'!K37</f>
        <v>10000</v>
      </c>
      <c r="T37" s="93">
        <f>'17'!K37</f>
        <v>10000</v>
      </c>
      <c r="U37" s="93">
        <f>'18'!K37</f>
        <v>10000</v>
      </c>
      <c r="V37" s="93">
        <f>'19'!K37</f>
        <v>10000</v>
      </c>
      <c r="W37" s="93">
        <f>'20'!K37</f>
        <v>10000</v>
      </c>
      <c r="X37" s="93">
        <f>'21'!K37</f>
        <v>10000</v>
      </c>
      <c r="Y37" s="93">
        <f>'22'!K37</f>
        <v>10000</v>
      </c>
      <c r="Z37" s="93">
        <f>'23'!K37</f>
        <v>10000</v>
      </c>
      <c r="AA37" s="93">
        <f>'24'!K37</f>
        <v>10000</v>
      </c>
      <c r="AB37" s="93">
        <f>'25'!K37</f>
        <v>10000</v>
      </c>
      <c r="AC37" s="93">
        <f>'26'!K37</f>
        <v>10000</v>
      </c>
      <c r="AD37" s="93">
        <f>'27'!K37</f>
        <v>10000</v>
      </c>
      <c r="AE37" s="93">
        <f>'28'!K37</f>
        <v>10000</v>
      </c>
      <c r="AF37" s="93">
        <f>'30'!K37</f>
        <v>10000</v>
      </c>
      <c r="AG37" s="101"/>
      <c r="AH37" s="103">
        <f t="shared" si="1"/>
        <v>-714.2857143</v>
      </c>
      <c r="AI37" s="105">
        <f t="shared" si="2"/>
        <v>10270.93596</v>
      </c>
      <c r="AJ37" s="6"/>
      <c r="AK37" s="6"/>
      <c r="AL37" s="6"/>
    </row>
    <row r="38" ht="15.75" customHeight="1">
      <c r="A38" s="159"/>
      <c r="B38" s="158" t="s">
        <v>63</v>
      </c>
      <c r="C38" s="157" t="s">
        <v>24</v>
      </c>
      <c r="D38" s="88">
        <f>'1'!K38</f>
        <v>12600</v>
      </c>
      <c r="E38" s="88">
        <f>'2'!K38</f>
        <v>12600</v>
      </c>
      <c r="F38" s="88">
        <f>'3'!K38</f>
        <v>12600</v>
      </c>
      <c r="G38" s="88">
        <f>'4'!K38</f>
        <v>12600</v>
      </c>
      <c r="H38" s="88">
        <f>'5'!K38</f>
        <v>12600</v>
      </c>
      <c r="I38" s="88">
        <f>'6'!K38</f>
        <v>12600</v>
      </c>
      <c r="J38" s="93">
        <f>'7'!K38</f>
        <v>12600</v>
      </c>
      <c r="K38" s="93">
        <f>'8'!K38</f>
        <v>12600</v>
      </c>
      <c r="L38" s="93">
        <f>'9'!K38</f>
        <v>12600</v>
      </c>
      <c r="M38" s="93">
        <f>'10'!K38</f>
        <v>12600</v>
      </c>
      <c r="N38" s="93">
        <f>'11'!K38</f>
        <v>12600</v>
      </c>
      <c r="O38" s="93">
        <f>'12'!K38</f>
        <v>12600</v>
      </c>
      <c r="P38" s="93">
        <f>'13'!K38</f>
        <v>12600</v>
      </c>
      <c r="Q38" s="93">
        <f>'14'!K38</f>
        <v>12600</v>
      </c>
      <c r="R38" s="93">
        <f>'15'!K38</f>
        <v>12600</v>
      </c>
      <c r="S38" s="93">
        <f>'14'!K38</f>
        <v>12600</v>
      </c>
      <c r="T38" s="93">
        <f>'17'!K38</f>
        <v>12600</v>
      </c>
      <c r="U38" s="93">
        <f>'18'!K38</f>
        <v>12600</v>
      </c>
      <c r="V38" s="93">
        <f>'19'!K38</f>
        <v>12600</v>
      </c>
      <c r="W38" s="93">
        <f>'20'!K38</f>
        <v>12600</v>
      </c>
      <c r="X38" s="93">
        <f>'21'!K38</f>
        <v>12600</v>
      </c>
      <c r="Y38" s="93">
        <f>'22'!K38</f>
        <v>12600</v>
      </c>
      <c r="Z38" s="93">
        <f>'23'!K38</f>
        <v>12600</v>
      </c>
      <c r="AA38" s="93">
        <f>'24'!K38</f>
        <v>12600</v>
      </c>
      <c r="AB38" s="93">
        <f>'25'!K38</f>
        <v>12600</v>
      </c>
      <c r="AC38" s="93">
        <f>'26'!K38</f>
        <v>12600</v>
      </c>
      <c r="AD38" s="93">
        <f>'27'!K38</f>
        <v>12600</v>
      </c>
      <c r="AE38" s="93">
        <f>'28'!K38</f>
        <v>12600</v>
      </c>
      <c r="AF38" s="93">
        <f>'30'!K38</f>
        <v>12600</v>
      </c>
      <c r="AG38" s="101"/>
      <c r="AH38" s="101">
        <f t="shared" si="1"/>
        <v>0</v>
      </c>
      <c r="AI38" s="105">
        <f t="shared" si="2"/>
        <v>12600</v>
      </c>
      <c r="AJ38" s="6"/>
      <c r="AK38" s="6"/>
      <c r="AL38" s="6"/>
    </row>
    <row r="39" ht="15.75" customHeight="1">
      <c r="A39" s="155">
        <v>9.0</v>
      </c>
      <c r="B39" s="156" t="s">
        <v>64</v>
      </c>
      <c r="C39" s="157"/>
      <c r="D39" s="88" t="str">
        <f>'1'!K39</f>
        <v/>
      </c>
      <c r="E39" s="88" t="str">
        <f>'2'!K39</f>
        <v/>
      </c>
      <c r="F39" s="88" t="str">
        <f>'3'!K39</f>
        <v/>
      </c>
      <c r="G39" s="88" t="str">
        <f>'4'!K39</f>
        <v/>
      </c>
      <c r="H39" s="88" t="str">
        <f>'5'!K39</f>
        <v/>
      </c>
      <c r="I39" s="88" t="str">
        <f>'6'!K39</f>
        <v/>
      </c>
      <c r="J39" s="93" t="str">
        <f>'7'!K39</f>
        <v/>
      </c>
      <c r="K39" s="93" t="str">
        <f>'8'!K39</f>
        <v/>
      </c>
      <c r="L39" s="93" t="str">
        <f>'9'!K39</f>
        <v/>
      </c>
      <c r="M39" s="93" t="str">
        <f>'10'!K39</f>
        <v/>
      </c>
      <c r="N39" s="93" t="str">
        <f>'11'!K39</f>
        <v/>
      </c>
      <c r="O39" s="93" t="str">
        <f>'12'!K39</f>
        <v/>
      </c>
      <c r="P39" s="93" t="str">
        <f>'13'!K39</f>
        <v/>
      </c>
      <c r="Q39" s="93" t="str">
        <f>'14'!K39</f>
        <v/>
      </c>
      <c r="R39" s="93" t="str">
        <f>'15'!K39</f>
        <v/>
      </c>
      <c r="S39" s="93" t="str">
        <f>'14'!K39</f>
        <v/>
      </c>
      <c r="T39" s="93" t="str">
        <f>'17'!K39</f>
        <v/>
      </c>
      <c r="U39" s="93" t="str">
        <f>'18'!K39</f>
        <v/>
      </c>
      <c r="V39" s="93" t="str">
        <f>'19'!K39</f>
        <v/>
      </c>
      <c r="W39" s="93" t="str">
        <f>'20'!K39</f>
        <v/>
      </c>
      <c r="X39" s="93" t="str">
        <f>'21'!K39</f>
        <v/>
      </c>
      <c r="Y39" s="93" t="str">
        <f>'22'!K39</f>
        <v/>
      </c>
      <c r="Z39" s="93" t="str">
        <f>'23'!K39</f>
        <v/>
      </c>
      <c r="AA39" s="93" t="str">
        <f>'24'!K39</f>
        <v/>
      </c>
      <c r="AB39" s="93" t="str">
        <f>'25'!K39</f>
        <v/>
      </c>
      <c r="AC39" s="93" t="str">
        <f>'26'!K39</f>
        <v/>
      </c>
      <c r="AD39" s="93" t="str">
        <f>'27'!K39</f>
        <v/>
      </c>
      <c r="AE39" s="93" t="str">
        <f>'28'!K39</f>
        <v/>
      </c>
      <c r="AF39" s="93" t="str">
        <f>'30'!K39</f>
        <v/>
      </c>
      <c r="AG39" s="101"/>
      <c r="AH39" s="101">
        <f t="shared" si="1"/>
        <v>0</v>
      </c>
      <c r="AI39" s="105" t="str">
        <f t="shared" si="2"/>
        <v>#DIV/0!</v>
      </c>
      <c r="AJ39" s="6"/>
      <c r="AK39" s="6"/>
      <c r="AL39" s="6"/>
    </row>
    <row r="40" ht="15.75" customHeight="1">
      <c r="A40" s="155"/>
      <c r="B40" s="158" t="s">
        <v>65</v>
      </c>
      <c r="C40" s="157" t="s">
        <v>24</v>
      </c>
      <c r="D40" s="88">
        <f>'1'!K40</f>
        <v>15600</v>
      </c>
      <c r="E40" s="88">
        <f>'2'!K40</f>
        <v>15600</v>
      </c>
      <c r="F40" s="88">
        <f>'3'!K40</f>
        <v>15600</v>
      </c>
      <c r="G40" s="88">
        <f>'4'!K40</f>
        <v>15600</v>
      </c>
      <c r="H40" s="88">
        <f>'5'!K40</f>
        <v>15600</v>
      </c>
      <c r="I40" s="88">
        <f>'6'!K40</f>
        <v>15600</v>
      </c>
      <c r="J40" s="93">
        <f>'7'!K40</f>
        <v>15600</v>
      </c>
      <c r="K40" s="93">
        <f>'8'!K40</f>
        <v>15600</v>
      </c>
      <c r="L40" s="93">
        <f>'9'!K40</f>
        <v>15600</v>
      </c>
      <c r="M40" s="93">
        <f>'10'!K40</f>
        <v>15600</v>
      </c>
      <c r="N40" s="93">
        <f>'11'!K40</f>
        <v>15600</v>
      </c>
      <c r="O40" s="93">
        <f>'12'!K40</f>
        <v>14000</v>
      </c>
      <c r="P40" s="93">
        <f>'13'!K40</f>
        <v>14000</v>
      </c>
      <c r="Q40" s="93">
        <f>'14'!K40</f>
        <v>14000</v>
      </c>
      <c r="R40" s="93">
        <f>'15'!K40</f>
        <v>14000</v>
      </c>
      <c r="S40" s="93">
        <f>'14'!K40</f>
        <v>14000</v>
      </c>
      <c r="T40" s="93">
        <f>'17'!K40</f>
        <v>14000</v>
      </c>
      <c r="U40" s="93">
        <f>'18'!K40</f>
        <v>14000</v>
      </c>
      <c r="V40" s="93">
        <f>'19'!K40</f>
        <v>14000</v>
      </c>
      <c r="W40" s="93">
        <f>'20'!K40</f>
        <v>14000</v>
      </c>
      <c r="X40" s="93">
        <f>'21'!K40</f>
        <v>14000</v>
      </c>
      <c r="Y40" s="93">
        <f>'22'!K40</f>
        <v>14000</v>
      </c>
      <c r="Z40" s="93">
        <f>'23'!K40</f>
        <v>14000</v>
      </c>
      <c r="AA40" s="93">
        <f>'24'!K40</f>
        <v>14000</v>
      </c>
      <c r="AB40" s="93">
        <f>'25'!K40</f>
        <v>14000</v>
      </c>
      <c r="AC40" s="93">
        <f>'26'!K40</f>
        <v>14000</v>
      </c>
      <c r="AD40" s="93">
        <f>'27'!K40</f>
        <v>14000</v>
      </c>
      <c r="AE40" s="93">
        <f>'28'!K40</f>
        <v>14000</v>
      </c>
      <c r="AF40" s="93">
        <f>'30'!K40</f>
        <v>14000</v>
      </c>
      <c r="AG40" s="101"/>
      <c r="AH40" s="103">
        <f t="shared" si="1"/>
        <v>-1600</v>
      </c>
      <c r="AI40" s="105">
        <f t="shared" si="2"/>
        <v>14606.89655</v>
      </c>
      <c r="AJ40" s="6"/>
      <c r="AK40" s="6"/>
      <c r="AL40" s="6"/>
    </row>
    <row r="41" ht="15.75" customHeight="1">
      <c r="A41" s="155"/>
      <c r="B41" s="158" t="s">
        <v>66</v>
      </c>
      <c r="C41" s="157" t="s">
        <v>24</v>
      </c>
      <c r="D41" s="88">
        <f>'1'!K41</f>
        <v>6833.333333</v>
      </c>
      <c r="E41" s="88">
        <f>'2'!K41</f>
        <v>6833.333333</v>
      </c>
      <c r="F41" s="88">
        <f>'3'!K41</f>
        <v>6833.333333</v>
      </c>
      <c r="G41" s="88">
        <f>'4'!K41</f>
        <v>6833.333333</v>
      </c>
      <c r="H41" s="88">
        <f>'5'!K41</f>
        <v>6833.333333</v>
      </c>
      <c r="I41" s="88">
        <f>'6'!K41</f>
        <v>6833.333333</v>
      </c>
      <c r="J41" s="93">
        <f>'7'!K41</f>
        <v>6833.333333</v>
      </c>
      <c r="K41" s="93">
        <f>'8'!K41</f>
        <v>6833.333333</v>
      </c>
      <c r="L41" s="93">
        <f>'9'!K41</f>
        <v>6833.333333</v>
      </c>
      <c r="M41" s="93">
        <f>'10'!K41</f>
        <v>6833.333333</v>
      </c>
      <c r="N41" s="93">
        <f>'11'!K41</f>
        <v>6833.333333</v>
      </c>
      <c r="O41" s="93">
        <f>'12'!K41</f>
        <v>6833.333333</v>
      </c>
      <c r="P41" s="93">
        <f>'13'!K41</f>
        <v>6833.333333</v>
      </c>
      <c r="Q41" s="93">
        <f>'14'!K41</f>
        <v>6833.333333</v>
      </c>
      <c r="R41" s="93">
        <f>'15'!K41</f>
        <v>6833.333333</v>
      </c>
      <c r="S41" s="93">
        <f>'14'!K41</f>
        <v>6833.333333</v>
      </c>
      <c r="T41" s="93">
        <f>'17'!K41</f>
        <v>6833.333333</v>
      </c>
      <c r="U41" s="93">
        <f>'18'!K41</f>
        <v>6833.333333</v>
      </c>
      <c r="V41" s="93">
        <f>'19'!K41</f>
        <v>6833.333333</v>
      </c>
      <c r="W41" s="93">
        <f>'20'!K41</f>
        <v>6833.333333</v>
      </c>
      <c r="X41" s="93">
        <f>'21'!K41</f>
        <v>6833.333333</v>
      </c>
      <c r="Y41" s="93">
        <f>'22'!K41</f>
        <v>6833.333333</v>
      </c>
      <c r="Z41" s="93">
        <f>'23'!K41</f>
        <v>6833.333333</v>
      </c>
      <c r="AA41" s="93">
        <f>'24'!K41</f>
        <v>6833.333333</v>
      </c>
      <c r="AB41" s="93">
        <f>'25'!K41</f>
        <v>6833.333333</v>
      </c>
      <c r="AC41" s="93">
        <f>'26'!K41</f>
        <v>6833.333333</v>
      </c>
      <c r="AD41" s="93">
        <f>'27'!K41</f>
        <v>6833.333333</v>
      </c>
      <c r="AE41" s="93">
        <f>'28'!K41</f>
        <v>6833.333333</v>
      </c>
      <c r="AF41" s="93">
        <f>'30'!K41</f>
        <v>6833.333333</v>
      </c>
      <c r="AG41" s="101"/>
      <c r="AH41" s="101">
        <f t="shared" si="1"/>
        <v>0</v>
      </c>
      <c r="AI41" s="105">
        <f t="shared" si="2"/>
        <v>6833.333333</v>
      </c>
      <c r="AJ41" s="6"/>
      <c r="AK41" s="6"/>
      <c r="AL41" s="6"/>
    </row>
    <row r="42" ht="15.75" customHeight="1">
      <c r="A42" s="155"/>
      <c r="B42" s="158" t="s">
        <v>67</v>
      </c>
      <c r="C42" s="157" t="s">
        <v>24</v>
      </c>
      <c r="D42" s="88">
        <f>'1'!K42</f>
        <v>2000</v>
      </c>
      <c r="E42" s="88">
        <f>'2'!K42</f>
        <v>2000</v>
      </c>
      <c r="F42" s="88">
        <f>'3'!K42</f>
        <v>2000</v>
      </c>
      <c r="G42" s="88">
        <f>'4'!K42</f>
        <v>2000</v>
      </c>
      <c r="H42" s="88">
        <f>'5'!K42</f>
        <v>2000</v>
      </c>
      <c r="I42" s="88">
        <f>'6'!K42</f>
        <v>2000</v>
      </c>
      <c r="J42" s="93">
        <f>'7'!K42</f>
        <v>2000</v>
      </c>
      <c r="K42" s="93">
        <f>'8'!K42</f>
        <v>2000</v>
      </c>
      <c r="L42" s="93">
        <f>'9'!K42</f>
        <v>2000</v>
      </c>
      <c r="M42" s="93">
        <f>'10'!K42</f>
        <v>2000</v>
      </c>
      <c r="N42" s="93">
        <f>'11'!K42</f>
        <v>2000</v>
      </c>
      <c r="O42" s="93">
        <f>'12'!K42</f>
        <v>2000</v>
      </c>
      <c r="P42" s="93">
        <f>'13'!K42</f>
        <v>2000</v>
      </c>
      <c r="Q42" s="93">
        <f>'14'!K42</f>
        <v>2000</v>
      </c>
      <c r="R42" s="93">
        <f>'15'!K42</f>
        <v>2000</v>
      </c>
      <c r="S42" s="93">
        <f>'14'!K42</f>
        <v>2000</v>
      </c>
      <c r="T42" s="93">
        <f>'17'!K42</f>
        <v>2000</v>
      </c>
      <c r="U42" s="93">
        <f>'18'!K42</f>
        <v>2000</v>
      </c>
      <c r="V42" s="93">
        <f>'19'!K42</f>
        <v>2000</v>
      </c>
      <c r="W42" s="93">
        <f>'20'!K42</f>
        <v>2000</v>
      </c>
      <c r="X42" s="93">
        <f>'21'!K42</f>
        <v>2000</v>
      </c>
      <c r="Y42" s="93">
        <f>'22'!K42</f>
        <v>2000</v>
      </c>
      <c r="Z42" s="93">
        <f>'23'!K42</f>
        <v>2000</v>
      </c>
      <c r="AA42" s="93">
        <f>'24'!K42</f>
        <v>2000</v>
      </c>
      <c r="AB42" s="93">
        <f>'25'!K42</f>
        <v>2000</v>
      </c>
      <c r="AC42" s="93">
        <f>'26'!K42</f>
        <v>2000</v>
      </c>
      <c r="AD42" s="93">
        <f>'27'!K42</f>
        <v>2000</v>
      </c>
      <c r="AE42" s="93">
        <f>'28'!K42</f>
        <v>2000</v>
      </c>
      <c r="AF42" s="93">
        <f>'30'!K42</f>
        <v>2000</v>
      </c>
      <c r="AG42" s="101"/>
      <c r="AH42" s="101">
        <f t="shared" si="1"/>
        <v>0</v>
      </c>
      <c r="AI42" s="105">
        <f t="shared" si="2"/>
        <v>2000</v>
      </c>
      <c r="AJ42" s="6"/>
      <c r="AK42" s="6"/>
      <c r="AL42" s="6"/>
    </row>
    <row r="43" ht="15.75" customHeight="1">
      <c r="A43" s="119">
        <v>10.0</v>
      </c>
      <c r="B43" s="120" t="s">
        <v>68</v>
      </c>
      <c r="C43" s="120"/>
      <c r="D43" s="88" t="str">
        <f>'1'!K43</f>
        <v/>
      </c>
      <c r="E43" s="88" t="str">
        <f>'2'!K43</f>
        <v/>
      </c>
      <c r="F43" s="88" t="str">
        <f>'3'!K43</f>
        <v/>
      </c>
      <c r="G43" s="88" t="str">
        <f>'4'!K43</f>
        <v/>
      </c>
      <c r="H43" s="88" t="str">
        <f>'5'!K43</f>
        <v/>
      </c>
      <c r="I43" s="88" t="str">
        <f>'6'!K43</f>
        <v/>
      </c>
      <c r="J43" s="93" t="str">
        <f>'7'!K43</f>
        <v/>
      </c>
      <c r="K43" s="93" t="str">
        <f>'8'!K43</f>
        <v/>
      </c>
      <c r="L43" s="93" t="str">
        <f>'9'!K43</f>
        <v/>
      </c>
      <c r="M43" s="93" t="str">
        <f>'10'!K43</f>
        <v/>
      </c>
      <c r="N43" s="93" t="str">
        <f>'11'!K43</f>
        <v/>
      </c>
      <c r="O43" s="93" t="str">
        <f>'12'!K43</f>
        <v/>
      </c>
      <c r="P43" s="93" t="str">
        <f>'13'!K43</f>
        <v/>
      </c>
      <c r="Q43" s="93" t="str">
        <f>'14'!K43</f>
        <v/>
      </c>
      <c r="R43" s="93" t="str">
        <f>'15'!K43</f>
        <v/>
      </c>
      <c r="S43" s="93" t="str">
        <f>'14'!K43</f>
        <v/>
      </c>
      <c r="T43" s="93" t="str">
        <f>'17'!K43</f>
        <v/>
      </c>
      <c r="U43" s="93" t="str">
        <f>'18'!K43</f>
        <v/>
      </c>
      <c r="V43" s="93" t="str">
        <f>'19'!K43</f>
        <v/>
      </c>
      <c r="W43" s="93" t="str">
        <f>'20'!K43</f>
        <v/>
      </c>
      <c r="X43" s="93" t="str">
        <f>'21'!K43</f>
        <v/>
      </c>
      <c r="Y43" s="93" t="str">
        <f>'22'!K43</f>
        <v/>
      </c>
      <c r="Z43" s="93" t="str">
        <f>'23'!K43</f>
        <v/>
      </c>
      <c r="AA43" s="93" t="str">
        <f>'24'!K43</f>
        <v/>
      </c>
      <c r="AB43" s="93" t="str">
        <f>'25'!K43</f>
        <v/>
      </c>
      <c r="AC43" s="93" t="str">
        <f>'26'!K43</f>
        <v/>
      </c>
      <c r="AD43" s="93" t="str">
        <f>'27'!K43</f>
        <v/>
      </c>
      <c r="AE43" s="93" t="str">
        <f>'28'!K43</f>
        <v/>
      </c>
      <c r="AF43" s="93" t="str">
        <f>'30'!K43</f>
        <v/>
      </c>
      <c r="AG43" s="101"/>
      <c r="AH43" s="101">
        <f t="shared" si="1"/>
        <v>0</v>
      </c>
      <c r="AI43" s="105" t="str">
        <f t="shared" si="2"/>
        <v>#DIV/0!</v>
      </c>
      <c r="AJ43" s="6"/>
      <c r="AK43" s="6"/>
      <c r="AL43" s="6"/>
    </row>
    <row r="44" ht="15.75" customHeight="1">
      <c r="A44" s="26"/>
      <c r="B44" s="130" t="s">
        <v>69</v>
      </c>
      <c r="C44" s="81" t="s">
        <v>70</v>
      </c>
      <c r="D44" s="88">
        <f>'1'!K44</f>
        <v>12333.33333</v>
      </c>
      <c r="E44" s="88">
        <f>'2'!K44</f>
        <v>12416.66667</v>
      </c>
      <c r="F44" s="88">
        <f>'3'!K44</f>
        <v>12416.66667</v>
      </c>
      <c r="G44" s="88">
        <f>'4'!K44</f>
        <v>12416.66667</v>
      </c>
      <c r="H44" s="88">
        <f>'5'!K44</f>
        <v>12333.33333</v>
      </c>
      <c r="I44" s="88">
        <f>'6'!K44</f>
        <v>12333.33333</v>
      </c>
      <c r="J44" s="93">
        <f>'7'!K44</f>
        <v>12333.33333</v>
      </c>
      <c r="K44" s="93">
        <f>'8'!K44</f>
        <v>12333.33333</v>
      </c>
      <c r="L44" s="93">
        <f>'9'!K44</f>
        <v>12333.33333</v>
      </c>
      <c r="M44" s="93">
        <f>'10'!K44</f>
        <v>12333.33333</v>
      </c>
      <c r="N44" s="93">
        <f>'11'!K44</f>
        <v>12333.33333</v>
      </c>
      <c r="O44" s="93">
        <f>'12'!K44</f>
        <v>12333.33333</v>
      </c>
      <c r="P44" s="93">
        <f>'13'!K44</f>
        <v>12333.33333</v>
      </c>
      <c r="Q44" s="93">
        <f>'14'!K44</f>
        <v>12333.33333</v>
      </c>
      <c r="R44" s="93">
        <f>'15'!K44</f>
        <v>12333.33333</v>
      </c>
      <c r="S44" s="93">
        <f>'14'!K44</f>
        <v>12333.33333</v>
      </c>
      <c r="T44" s="93">
        <f>'17'!K44</f>
        <v>12333.33333</v>
      </c>
      <c r="U44" s="93">
        <f>'18'!K44</f>
        <v>12416.66667</v>
      </c>
      <c r="V44" s="93">
        <f>'19'!K44</f>
        <v>12333.33333</v>
      </c>
      <c r="W44" s="93">
        <f>'20'!K44</f>
        <v>12416.66667</v>
      </c>
      <c r="X44" s="93">
        <f>'21'!K44</f>
        <v>12416.66667</v>
      </c>
      <c r="Y44" s="93">
        <f>'22'!K44</f>
        <v>12416.66667</v>
      </c>
      <c r="Z44" s="93">
        <f>'23'!K44</f>
        <v>12416.66667</v>
      </c>
      <c r="AA44" s="93">
        <f>'24'!K44</f>
        <v>12416.66667</v>
      </c>
      <c r="AB44" s="93">
        <f>'25'!K44</f>
        <v>12416.66667</v>
      </c>
      <c r="AC44" s="93">
        <f>'26'!K44</f>
        <v>12416.66667</v>
      </c>
      <c r="AD44" s="93">
        <f>'27'!K44</f>
        <v>12416.66667</v>
      </c>
      <c r="AE44" s="93">
        <f>'28'!K44</f>
        <v>12416.66667</v>
      </c>
      <c r="AF44" s="93">
        <f>'30'!K44</f>
        <v>12416.66667</v>
      </c>
      <c r="AG44" s="101"/>
      <c r="AH44" s="111">
        <f t="shared" si="1"/>
        <v>83.33333333</v>
      </c>
      <c r="AI44" s="105">
        <f t="shared" si="2"/>
        <v>12373.56322</v>
      </c>
      <c r="AJ44" s="6"/>
      <c r="AK44" s="6"/>
      <c r="AL44" s="6"/>
    </row>
    <row r="45" ht="15.75" customHeight="1">
      <c r="A45" s="77"/>
      <c r="B45" s="130" t="s">
        <v>129</v>
      </c>
      <c r="C45" s="81" t="s">
        <v>130</v>
      </c>
      <c r="D45" s="88">
        <f>'1'!K45</f>
        <v>12500</v>
      </c>
      <c r="E45" s="88">
        <f>'2'!K45</f>
        <v>12583.33333</v>
      </c>
      <c r="F45" s="88">
        <f>'3'!K45</f>
        <v>12583.33333</v>
      </c>
      <c r="G45" s="88">
        <f>'4'!K45</f>
        <v>12583.33333</v>
      </c>
      <c r="H45" s="88">
        <f>'5'!K45</f>
        <v>12500</v>
      </c>
      <c r="I45" s="88">
        <f>'6'!K45</f>
        <v>12500</v>
      </c>
      <c r="J45" s="93">
        <f>'7'!K45</f>
        <v>12500</v>
      </c>
      <c r="K45" s="93">
        <f>'8'!K45</f>
        <v>12500</v>
      </c>
      <c r="L45" s="93">
        <f>'9'!K45</f>
        <v>12500</v>
      </c>
      <c r="M45" s="93">
        <f>'10'!K45</f>
        <v>12500</v>
      </c>
      <c r="N45" s="93">
        <f>'11'!K45</f>
        <v>12500</v>
      </c>
      <c r="O45" s="93">
        <f>'12'!K45</f>
        <v>12500</v>
      </c>
      <c r="P45" s="93">
        <f>'13'!K45</f>
        <v>12500</v>
      </c>
      <c r="Q45" s="93">
        <f>'14'!K45</f>
        <v>12500</v>
      </c>
      <c r="R45" s="93">
        <f>'15'!K45</f>
        <v>12500</v>
      </c>
      <c r="S45" s="93">
        <f>'14'!K45</f>
        <v>12500</v>
      </c>
      <c r="T45" s="93">
        <f>'17'!K45</f>
        <v>12500</v>
      </c>
      <c r="U45" s="93">
        <f>'18'!K45</f>
        <v>12583.33333</v>
      </c>
      <c r="V45" s="93">
        <f>'19'!K45</f>
        <v>12500</v>
      </c>
      <c r="W45" s="93">
        <f>'20'!K45</f>
        <v>12583.33333</v>
      </c>
      <c r="X45" s="93">
        <f>'21'!K45</f>
        <v>12583.33333</v>
      </c>
      <c r="Y45" s="93">
        <f>'22'!K45</f>
        <v>12583.33333</v>
      </c>
      <c r="Z45" s="93">
        <f>'23'!K45</f>
        <v>12583.33333</v>
      </c>
      <c r="AA45" s="93">
        <f>'24'!K45</f>
        <v>12583.33333</v>
      </c>
      <c r="AB45" s="93">
        <f>'25'!K45</f>
        <v>12583.33333</v>
      </c>
      <c r="AC45" s="93">
        <f>'26'!K45</f>
        <v>12583.33333</v>
      </c>
      <c r="AD45" s="93">
        <f>'27'!K45</f>
        <v>12583.33333</v>
      </c>
      <c r="AE45" s="93">
        <f>'28'!K45</f>
        <v>12583.33333</v>
      </c>
      <c r="AF45" s="93">
        <f>'30'!K45</f>
        <v>12583.33333</v>
      </c>
      <c r="AG45" s="101"/>
      <c r="AH45" s="111">
        <f t="shared" si="1"/>
        <v>83.33333333</v>
      </c>
      <c r="AI45" s="105">
        <f t="shared" si="2"/>
        <v>12540.22989</v>
      </c>
      <c r="AJ45" s="6"/>
      <c r="AK45" s="6"/>
      <c r="AL45" s="6"/>
    </row>
    <row r="46" ht="15.75" customHeight="1">
      <c r="A46" s="119">
        <v>11.0</v>
      </c>
      <c r="B46" s="120" t="s">
        <v>73</v>
      </c>
      <c r="C46" s="120"/>
      <c r="D46" s="88" t="str">
        <f>'1'!K46</f>
        <v/>
      </c>
      <c r="E46" s="88" t="str">
        <f>'2'!K46</f>
        <v/>
      </c>
      <c r="F46" s="88" t="str">
        <f>'3'!K46</f>
        <v/>
      </c>
      <c r="G46" s="88" t="str">
        <f>'4'!K46</f>
        <v/>
      </c>
      <c r="H46" s="88" t="str">
        <f>'5'!K46</f>
        <v/>
      </c>
      <c r="I46" s="88" t="str">
        <f>'6'!K46</f>
        <v/>
      </c>
      <c r="J46" s="93" t="str">
        <f>'7'!K46</f>
        <v/>
      </c>
      <c r="K46" s="93" t="str">
        <f>'8'!K46</f>
        <v/>
      </c>
      <c r="L46" s="93" t="str">
        <f>'9'!K46</f>
        <v/>
      </c>
      <c r="M46" s="93" t="str">
        <f>'10'!K46</f>
        <v/>
      </c>
      <c r="N46" s="93" t="str">
        <f>'11'!K46</f>
        <v/>
      </c>
      <c r="O46" s="93" t="str">
        <f>'12'!K46</f>
        <v/>
      </c>
      <c r="P46" s="93" t="str">
        <f>'13'!K46</f>
        <v/>
      </c>
      <c r="Q46" s="93" t="str">
        <f>'14'!K46</f>
        <v/>
      </c>
      <c r="R46" s="93" t="str">
        <f>'15'!K46</f>
        <v/>
      </c>
      <c r="S46" s="93" t="str">
        <f>'14'!K46</f>
        <v/>
      </c>
      <c r="T46" s="93" t="str">
        <f>'17'!K46</f>
        <v/>
      </c>
      <c r="U46" s="93" t="str">
        <f>'18'!K46</f>
        <v/>
      </c>
      <c r="V46" s="93" t="str">
        <f>'19'!K46</f>
        <v/>
      </c>
      <c r="W46" s="93" t="str">
        <f>'20'!K46</f>
        <v/>
      </c>
      <c r="X46" s="93" t="str">
        <f>'21'!K46</f>
        <v/>
      </c>
      <c r="Y46" s="93" t="str">
        <f>'22'!K46</f>
        <v/>
      </c>
      <c r="Z46" s="93" t="str">
        <f>'23'!K46</f>
        <v/>
      </c>
      <c r="AA46" s="93" t="str">
        <f>'24'!K46</f>
        <v/>
      </c>
      <c r="AB46" s="93" t="str">
        <f>'25'!K46</f>
        <v/>
      </c>
      <c r="AC46" s="93" t="str">
        <f>'26'!K46</f>
        <v/>
      </c>
      <c r="AD46" s="93" t="str">
        <f>'27'!K46</f>
        <v/>
      </c>
      <c r="AE46" s="93" t="str">
        <f>'28'!K46</f>
        <v/>
      </c>
      <c r="AF46" s="93" t="str">
        <f>'30'!K46</f>
        <v/>
      </c>
      <c r="AG46" s="101"/>
      <c r="AH46" s="101">
        <f t="shared" si="1"/>
        <v>0</v>
      </c>
      <c r="AI46" s="105" t="str">
        <f t="shared" si="2"/>
        <v>#DIV/0!</v>
      </c>
      <c r="AJ46" s="6"/>
      <c r="AK46" s="6"/>
      <c r="AL46" s="6"/>
    </row>
    <row r="47" ht="15.75" customHeight="1">
      <c r="A47" s="26"/>
      <c r="B47" s="130" t="s">
        <v>74</v>
      </c>
      <c r="C47" s="81" t="s">
        <v>75</v>
      </c>
      <c r="D47" s="88">
        <f>'1'!K47</f>
        <v>17500</v>
      </c>
      <c r="E47" s="88">
        <f>'2'!K47</f>
        <v>17500</v>
      </c>
      <c r="F47" s="88">
        <f>'3'!K47</f>
        <v>17500</v>
      </c>
      <c r="G47" s="88">
        <f>'4'!K47</f>
        <v>17500</v>
      </c>
      <c r="H47" s="88">
        <f>'5'!K47</f>
        <v>17500</v>
      </c>
      <c r="I47" s="88">
        <f>'6'!K47</f>
        <v>17500</v>
      </c>
      <c r="J47" s="93">
        <f>'7'!K47</f>
        <v>17500</v>
      </c>
      <c r="K47" s="93">
        <f>'8'!K47</f>
        <v>17500</v>
      </c>
      <c r="L47" s="93">
        <f>'9'!K47</f>
        <v>17500</v>
      </c>
      <c r="M47" s="93">
        <f>'10'!K47</f>
        <v>17500</v>
      </c>
      <c r="N47" s="93">
        <f>'11'!K47</f>
        <v>17500</v>
      </c>
      <c r="O47" s="93">
        <f>'12'!K47</f>
        <v>17500</v>
      </c>
      <c r="P47" s="93">
        <f>'13'!K47</f>
        <v>17500</v>
      </c>
      <c r="Q47" s="93">
        <f>'14'!K47</f>
        <v>17500</v>
      </c>
      <c r="R47" s="93">
        <f>'15'!K47</f>
        <v>17500</v>
      </c>
      <c r="S47" s="93">
        <f>'14'!K47</f>
        <v>17500</v>
      </c>
      <c r="T47" s="93">
        <f>'17'!K47</f>
        <v>17500</v>
      </c>
      <c r="U47" s="93">
        <f>'18'!K47</f>
        <v>17500</v>
      </c>
      <c r="V47" s="93">
        <f>'19'!K47</f>
        <v>17500</v>
      </c>
      <c r="W47" s="93">
        <f>'20'!K47</f>
        <v>17500</v>
      </c>
      <c r="X47" s="93">
        <f>'21'!K47</f>
        <v>17500</v>
      </c>
      <c r="Y47" s="93">
        <f>'22'!K47</f>
        <v>17500</v>
      </c>
      <c r="Z47" s="93">
        <f>'23'!K47</f>
        <v>17500</v>
      </c>
      <c r="AA47" s="93">
        <f>'24'!K47</f>
        <v>17500</v>
      </c>
      <c r="AB47" s="93">
        <f>'25'!K47</f>
        <v>17500</v>
      </c>
      <c r="AC47" s="93">
        <f>'26'!K47</f>
        <v>17500</v>
      </c>
      <c r="AD47" s="93">
        <f>'27'!K47</f>
        <v>17500</v>
      </c>
      <c r="AE47" s="93">
        <f>'28'!K47</f>
        <v>17500</v>
      </c>
      <c r="AF47" s="93">
        <f>'30'!K47</f>
        <v>17500</v>
      </c>
      <c r="AG47" s="101"/>
      <c r="AH47" s="101">
        <f t="shared" si="1"/>
        <v>0</v>
      </c>
      <c r="AI47" s="105">
        <f t="shared" si="2"/>
        <v>17500</v>
      </c>
      <c r="AJ47" s="6"/>
      <c r="AK47" s="6"/>
      <c r="AL47" s="6"/>
    </row>
    <row r="48" ht="15.75" customHeight="1">
      <c r="A48" s="77"/>
      <c r="B48" s="130" t="s">
        <v>76</v>
      </c>
      <c r="C48" s="81" t="s">
        <v>77</v>
      </c>
      <c r="D48" s="88">
        <f>'1'!K48</f>
        <v>2000</v>
      </c>
      <c r="E48" s="88">
        <f>'2'!K48</f>
        <v>2000</v>
      </c>
      <c r="F48" s="88">
        <f>'3'!K48</f>
        <v>2000</v>
      </c>
      <c r="G48" s="88">
        <f>'4'!K48</f>
        <v>2000</v>
      </c>
      <c r="H48" s="88">
        <f>'5'!K48</f>
        <v>2000</v>
      </c>
      <c r="I48" s="88">
        <f>'6'!K48</f>
        <v>2000</v>
      </c>
      <c r="J48" s="93">
        <f>'7'!K48</f>
        <v>2000</v>
      </c>
      <c r="K48" s="93">
        <f>'8'!K48</f>
        <v>2000</v>
      </c>
      <c r="L48" s="93">
        <f>'9'!K48</f>
        <v>2000</v>
      </c>
      <c r="M48" s="93">
        <f>'10'!K48</f>
        <v>2000</v>
      </c>
      <c r="N48" s="93">
        <f>'11'!K48</f>
        <v>2000</v>
      </c>
      <c r="O48" s="93">
        <f>'12'!K48</f>
        <v>2000</v>
      </c>
      <c r="P48" s="93">
        <f>'13'!K48</f>
        <v>2000</v>
      </c>
      <c r="Q48" s="93">
        <f>'14'!K48</f>
        <v>2000</v>
      </c>
      <c r="R48" s="93">
        <f>'15'!K48</f>
        <v>2000</v>
      </c>
      <c r="S48" s="93">
        <f>'14'!K48</f>
        <v>2000</v>
      </c>
      <c r="T48" s="93">
        <f>'17'!K48</f>
        <v>2000</v>
      </c>
      <c r="U48" s="93">
        <f>'18'!K48</f>
        <v>2000</v>
      </c>
      <c r="V48" s="93">
        <f>'19'!K48</f>
        <v>2000</v>
      </c>
      <c r="W48" s="93">
        <f>'20'!K48</f>
        <v>2000</v>
      </c>
      <c r="X48" s="93">
        <f>'21'!K48</f>
        <v>2000</v>
      </c>
      <c r="Y48" s="93">
        <f>'22'!K48</f>
        <v>2000</v>
      </c>
      <c r="Z48" s="93">
        <f>'23'!K48</f>
        <v>2000</v>
      </c>
      <c r="AA48" s="93">
        <f>'24'!K48</f>
        <v>2000</v>
      </c>
      <c r="AB48" s="93">
        <f>'25'!K48</f>
        <v>2000</v>
      </c>
      <c r="AC48" s="93">
        <f>'26'!K48</f>
        <v>2000</v>
      </c>
      <c r="AD48" s="93">
        <f>'27'!K48</f>
        <v>2000</v>
      </c>
      <c r="AE48" s="93">
        <f>'28'!K48</f>
        <v>2000</v>
      </c>
      <c r="AF48" s="93">
        <f>'30'!K48</f>
        <v>2000</v>
      </c>
      <c r="AG48" s="101"/>
      <c r="AH48" s="101">
        <f t="shared" si="1"/>
        <v>0</v>
      </c>
      <c r="AI48" s="105">
        <f t="shared" si="2"/>
        <v>2000</v>
      </c>
      <c r="AJ48" s="6"/>
      <c r="AK48" s="6"/>
      <c r="AL48" s="6"/>
    </row>
    <row r="49" ht="15.75" customHeight="1">
      <c r="A49" s="190">
        <v>12.0</v>
      </c>
      <c r="B49" s="191" t="s">
        <v>78</v>
      </c>
      <c r="C49" s="81"/>
      <c r="D49" s="88" t="str">
        <f>'1'!K49</f>
        <v/>
      </c>
      <c r="E49" s="88" t="str">
        <f>'2'!K49</f>
        <v/>
      </c>
      <c r="F49" s="88" t="str">
        <f>'3'!K49</f>
        <v/>
      </c>
      <c r="G49" s="88" t="str">
        <f>'4'!K49</f>
        <v/>
      </c>
      <c r="H49" s="88" t="str">
        <f>'5'!K49</f>
        <v/>
      </c>
      <c r="I49" s="88" t="str">
        <f>'6'!K49</f>
        <v/>
      </c>
      <c r="J49" s="93" t="str">
        <f>'7'!K49</f>
        <v/>
      </c>
      <c r="K49" s="93" t="str">
        <f>'8'!K49</f>
        <v/>
      </c>
      <c r="L49" s="93" t="str">
        <f>'9'!K49</f>
        <v/>
      </c>
      <c r="M49" s="93" t="str">
        <f>'10'!K49</f>
        <v/>
      </c>
      <c r="N49" s="93" t="str">
        <f>'11'!K49</f>
        <v/>
      </c>
      <c r="O49" s="93" t="str">
        <f>'12'!K49</f>
        <v/>
      </c>
      <c r="P49" s="93" t="str">
        <f>'13'!K49</f>
        <v/>
      </c>
      <c r="Q49" s="93" t="str">
        <f>'14'!K49</f>
        <v/>
      </c>
      <c r="R49" s="93" t="str">
        <f>'15'!K49</f>
        <v/>
      </c>
      <c r="S49" s="93" t="str">
        <f>'14'!K49</f>
        <v/>
      </c>
      <c r="T49" s="93" t="str">
        <f>'17'!K49</f>
        <v/>
      </c>
      <c r="U49" s="93" t="str">
        <f>'18'!K49</f>
        <v/>
      </c>
      <c r="V49" s="93" t="str">
        <f>'19'!K49</f>
        <v/>
      </c>
      <c r="W49" s="93" t="str">
        <f>'20'!K49</f>
        <v/>
      </c>
      <c r="X49" s="93" t="str">
        <f>'21'!K49</f>
        <v/>
      </c>
      <c r="Y49" s="93" t="str">
        <f>'22'!K49</f>
        <v/>
      </c>
      <c r="Z49" s="93" t="str">
        <f>'23'!K49</f>
        <v/>
      </c>
      <c r="AA49" s="93" t="str">
        <f>'24'!K49</f>
        <v/>
      </c>
      <c r="AB49" s="93" t="str">
        <f>'25'!K49</f>
        <v/>
      </c>
      <c r="AC49" s="93" t="str">
        <f>'26'!K49</f>
        <v/>
      </c>
      <c r="AD49" s="93" t="str">
        <f>'27'!K49</f>
        <v/>
      </c>
      <c r="AE49" s="93" t="str">
        <f>'28'!K49</f>
        <v/>
      </c>
      <c r="AF49" s="93" t="str">
        <f>'30'!K49</f>
        <v/>
      </c>
      <c r="AG49" s="101"/>
      <c r="AH49" s="101">
        <f t="shared" si="1"/>
        <v>0</v>
      </c>
      <c r="AI49" s="105" t="str">
        <f t="shared" si="2"/>
        <v>#DIV/0!</v>
      </c>
      <c r="AJ49" s="6"/>
      <c r="AK49" s="6"/>
      <c r="AL49" s="6"/>
    </row>
    <row r="50" ht="15.75" customHeight="1">
      <c r="A50" s="190"/>
      <c r="B50" s="130" t="s">
        <v>79</v>
      </c>
      <c r="C50" s="81" t="s">
        <v>24</v>
      </c>
      <c r="D50" s="88">
        <f>'1'!K50</f>
        <v>9285.714286</v>
      </c>
      <c r="E50" s="88">
        <f>'2'!K50</f>
        <v>9285.714286</v>
      </c>
      <c r="F50" s="88">
        <f>'3'!K50</f>
        <v>9285.714286</v>
      </c>
      <c r="G50" s="88">
        <f>'4'!K50</f>
        <v>9285.714286</v>
      </c>
      <c r="H50" s="88">
        <f>'5'!K50</f>
        <v>9285.714286</v>
      </c>
      <c r="I50" s="88">
        <f>'6'!K50</f>
        <v>9285.714286</v>
      </c>
      <c r="J50" s="93">
        <f>'7'!K50</f>
        <v>9285.714286</v>
      </c>
      <c r="K50" s="93">
        <f>'8'!K50</f>
        <v>9285.714286</v>
      </c>
      <c r="L50" s="93">
        <f>'9'!K50</f>
        <v>9285.714286</v>
      </c>
      <c r="M50" s="93">
        <f>'10'!K50</f>
        <v>9285.714286</v>
      </c>
      <c r="N50" s="93">
        <f>'11'!K50</f>
        <v>9285.714286</v>
      </c>
      <c r="O50" s="93">
        <f>'12'!K50</f>
        <v>9285.714286</v>
      </c>
      <c r="P50" s="93">
        <f>'13'!K50</f>
        <v>9285.714286</v>
      </c>
      <c r="Q50" s="93">
        <f>'14'!K50</f>
        <v>9285.714286</v>
      </c>
      <c r="R50" s="93">
        <f>'15'!K50</f>
        <v>9285.714286</v>
      </c>
      <c r="S50" s="93">
        <f>'14'!K50</f>
        <v>9285.714286</v>
      </c>
      <c r="T50" s="93">
        <f>'17'!K50</f>
        <v>9285.714286</v>
      </c>
      <c r="U50" s="93">
        <f>'18'!K50</f>
        <v>9285.714286</v>
      </c>
      <c r="V50" s="93">
        <f>'19'!K50</f>
        <v>9285.714286</v>
      </c>
      <c r="W50" s="93">
        <f>'20'!K50</f>
        <v>9285.714286</v>
      </c>
      <c r="X50" s="93">
        <f>'21'!K50</f>
        <v>9285.714286</v>
      </c>
      <c r="Y50" s="93">
        <f>'22'!K50</f>
        <v>9285.714286</v>
      </c>
      <c r="Z50" s="93">
        <f>'23'!K50</f>
        <v>9285.714286</v>
      </c>
      <c r="AA50" s="93">
        <f>'24'!K50</f>
        <v>9285.714286</v>
      </c>
      <c r="AB50" s="93">
        <f>'25'!K50</f>
        <v>9285.714286</v>
      </c>
      <c r="AC50" s="93">
        <f>'26'!K50</f>
        <v>9285.714286</v>
      </c>
      <c r="AD50" s="93">
        <f>'27'!K50</f>
        <v>9285.714286</v>
      </c>
      <c r="AE50" s="93">
        <f>'28'!K50</f>
        <v>9285.714286</v>
      </c>
      <c r="AF50" s="93">
        <f>'30'!K50</f>
        <v>9285.714286</v>
      </c>
      <c r="AG50" s="101"/>
      <c r="AH50" s="101">
        <f t="shared" si="1"/>
        <v>0</v>
      </c>
      <c r="AI50" s="105">
        <f t="shared" si="2"/>
        <v>9285.714286</v>
      </c>
      <c r="AJ50" s="6"/>
      <c r="AK50" s="6"/>
      <c r="AL50" s="6"/>
    </row>
    <row r="51" ht="15.75" customHeight="1">
      <c r="A51" s="193"/>
      <c r="B51" s="130" t="s">
        <v>80</v>
      </c>
      <c r="C51" s="81" t="s">
        <v>24</v>
      </c>
      <c r="D51" s="88">
        <f>'1'!K51</f>
        <v>8166.666667</v>
      </c>
      <c r="E51" s="88">
        <f>'2'!K51</f>
        <v>8500</v>
      </c>
      <c r="F51" s="88">
        <f>'3'!K51</f>
        <v>8500</v>
      </c>
      <c r="G51" s="88">
        <f>'4'!K51</f>
        <v>8500</v>
      </c>
      <c r="H51" s="88">
        <f>'5'!K51</f>
        <v>8333.333333</v>
      </c>
      <c r="I51" s="88">
        <f>'6'!K51</f>
        <v>8333.333333</v>
      </c>
      <c r="J51" s="93">
        <f>'7'!K51</f>
        <v>8333.333333</v>
      </c>
      <c r="K51" s="93">
        <f>'8'!K51</f>
        <v>8333.333333</v>
      </c>
      <c r="L51" s="93">
        <f>'9'!K51</f>
        <v>8333.333333</v>
      </c>
      <c r="M51" s="93">
        <f>'10'!K51</f>
        <v>8333.333333</v>
      </c>
      <c r="N51" s="93">
        <f>'11'!K51</f>
        <v>8333.333333</v>
      </c>
      <c r="O51" s="93">
        <f>'12'!K51</f>
        <v>8333.333333</v>
      </c>
      <c r="P51" s="93">
        <f>'13'!K51</f>
        <v>8333.333333</v>
      </c>
      <c r="Q51" s="93">
        <f>'14'!K51</f>
        <v>8333.333333</v>
      </c>
      <c r="R51" s="93">
        <f>'15'!K51</f>
        <v>8333.333333</v>
      </c>
      <c r="S51" s="93">
        <f>'14'!K51</f>
        <v>8333.333333</v>
      </c>
      <c r="T51" s="93">
        <f>'17'!K51</f>
        <v>8333.333333</v>
      </c>
      <c r="U51" s="93">
        <f>'18'!K51</f>
        <v>8333.333333</v>
      </c>
      <c r="V51" s="93">
        <f>'19'!K51</f>
        <v>8333.333333</v>
      </c>
      <c r="W51" s="93">
        <f>'20'!K51</f>
        <v>8333.333333</v>
      </c>
      <c r="X51" s="93">
        <f>'21'!K51</f>
        <v>8333.333333</v>
      </c>
      <c r="Y51" s="93">
        <f>'22'!K51</f>
        <v>8333.333333</v>
      </c>
      <c r="Z51" s="93">
        <f>'23'!K51</f>
        <v>8333.333333</v>
      </c>
      <c r="AA51" s="93">
        <f>'24'!K51</f>
        <v>8333.333333</v>
      </c>
      <c r="AB51" s="93">
        <f>'25'!K51</f>
        <v>8333.333333</v>
      </c>
      <c r="AC51" s="93">
        <f>'26'!K51</f>
        <v>8333.333333</v>
      </c>
      <c r="AD51" s="93">
        <f>'27'!K51</f>
        <v>8333.333333</v>
      </c>
      <c r="AE51" s="93">
        <f>'28'!K51</f>
        <v>8333.333333</v>
      </c>
      <c r="AF51" s="93">
        <f>'30'!K51</f>
        <v>8333.333333</v>
      </c>
      <c r="AG51" s="101"/>
      <c r="AH51" s="111">
        <f t="shared" si="1"/>
        <v>166.6666667</v>
      </c>
      <c r="AI51" s="105">
        <f t="shared" si="2"/>
        <v>8344.827586</v>
      </c>
      <c r="AJ51" s="6"/>
      <c r="AK51" s="6"/>
      <c r="AL51" s="6"/>
    </row>
    <row r="52" ht="15.75" customHeight="1">
      <c r="A52" s="119">
        <v>13.0</v>
      </c>
      <c r="B52" s="120" t="s">
        <v>81</v>
      </c>
      <c r="C52" s="120"/>
      <c r="D52" s="88" t="str">
        <f>'1'!K52</f>
        <v/>
      </c>
      <c r="E52" s="88" t="str">
        <f>'2'!K52</f>
        <v/>
      </c>
      <c r="F52" s="88" t="str">
        <f>'3'!K52</f>
        <v/>
      </c>
      <c r="G52" s="88" t="str">
        <f>'4'!K52</f>
        <v/>
      </c>
      <c r="H52" s="88" t="str">
        <f>'5'!K52</f>
        <v/>
      </c>
      <c r="I52" s="88" t="str">
        <f>'6'!K52</f>
        <v/>
      </c>
      <c r="J52" s="93" t="str">
        <f>'7'!K52</f>
        <v/>
      </c>
      <c r="K52" s="93" t="str">
        <f>'8'!K52</f>
        <v/>
      </c>
      <c r="L52" s="93" t="str">
        <f>'9'!K52</f>
        <v/>
      </c>
      <c r="M52" s="93" t="str">
        <f>'10'!K52</f>
        <v/>
      </c>
      <c r="N52" s="93" t="str">
        <f>'11'!K52</f>
        <v/>
      </c>
      <c r="O52" s="93" t="str">
        <f>'12'!K52</f>
        <v/>
      </c>
      <c r="P52" s="93" t="str">
        <f>'13'!K52</f>
        <v/>
      </c>
      <c r="Q52" s="93" t="str">
        <f>'14'!K52</f>
        <v/>
      </c>
      <c r="R52" s="93" t="str">
        <f>'15'!K52</f>
        <v/>
      </c>
      <c r="S52" s="93" t="str">
        <f>'14'!K52</f>
        <v/>
      </c>
      <c r="T52" s="93" t="str">
        <f>'17'!K52</f>
        <v/>
      </c>
      <c r="U52" s="93" t="str">
        <f>'18'!K52</f>
        <v/>
      </c>
      <c r="V52" s="93" t="str">
        <f>'19'!K52</f>
        <v/>
      </c>
      <c r="W52" s="93" t="str">
        <f>'20'!K52</f>
        <v/>
      </c>
      <c r="X52" s="93" t="str">
        <f>'21'!K52</f>
        <v/>
      </c>
      <c r="Y52" s="93" t="str">
        <f>'22'!K52</f>
        <v/>
      </c>
      <c r="Z52" s="93" t="str">
        <f>'23'!K52</f>
        <v/>
      </c>
      <c r="AA52" s="93" t="str">
        <f>'24'!K52</f>
        <v/>
      </c>
      <c r="AB52" s="93" t="str">
        <f>'25'!K52</f>
        <v/>
      </c>
      <c r="AC52" s="93" t="str">
        <f>'26'!K52</f>
        <v/>
      </c>
      <c r="AD52" s="93" t="str">
        <f>'27'!K52</f>
        <v/>
      </c>
      <c r="AE52" s="93" t="str">
        <f>'28'!K52</f>
        <v/>
      </c>
      <c r="AF52" s="93" t="str">
        <f>'30'!K52</f>
        <v/>
      </c>
      <c r="AG52" s="101"/>
      <c r="AH52" s="101">
        <f t="shared" si="1"/>
        <v>0</v>
      </c>
      <c r="AI52" s="105" t="str">
        <f t="shared" si="2"/>
        <v>#DIV/0!</v>
      </c>
      <c r="AJ52" s="6"/>
      <c r="AK52" s="6"/>
      <c r="AL52" s="6"/>
    </row>
    <row r="53" ht="15.75" customHeight="1">
      <c r="A53" s="77"/>
      <c r="B53" s="130" t="s">
        <v>82</v>
      </c>
      <c r="C53" s="81" t="s">
        <v>83</v>
      </c>
      <c r="D53" s="88">
        <f>'1'!K53</f>
        <v>4000</v>
      </c>
      <c r="E53" s="88">
        <f>'2'!K53</f>
        <v>4000</v>
      </c>
      <c r="F53" s="88">
        <f>'3'!K53</f>
        <v>4000</v>
      </c>
      <c r="G53" s="88">
        <f>'4'!K53</f>
        <v>4000</v>
      </c>
      <c r="H53" s="88">
        <f>'5'!K53</f>
        <v>4000</v>
      </c>
      <c r="I53" s="88">
        <f>'6'!K53</f>
        <v>4000</v>
      </c>
      <c r="J53" s="93">
        <f>'7'!K53</f>
        <v>4000</v>
      </c>
      <c r="K53" s="93">
        <f>'8'!K53</f>
        <v>4000</v>
      </c>
      <c r="L53" s="93">
        <f>'9'!K53</f>
        <v>4000</v>
      </c>
      <c r="M53" s="93">
        <f>'10'!K53</f>
        <v>4000</v>
      </c>
      <c r="N53" s="93">
        <f>'11'!K53</f>
        <v>4000</v>
      </c>
      <c r="O53" s="93">
        <f>'12'!K53</f>
        <v>4000</v>
      </c>
      <c r="P53" s="93">
        <f>'13'!K53</f>
        <v>4000</v>
      </c>
      <c r="Q53" s="93">
        <f>'14'!K53</f>
        <v>4000</v>
      </c>
      <c r="R53" s="93">
        <f>'15'!K53</f>
        <v>4000</v>
      </c>
      <c r="S53" s="93">
        <f>'14'!K53</f>
        <v>4000</v>
      </c>
      <c r="T53" s="93">
        <f>'17'!K53</f>
        <v>4000</v>
      </c>
      <c r="U53" s="93">
        <f>'18'!K53</f>
        <v>4000</v>
      </c>
      <c r="V53" s="93">
        <f>'19'!K53</f>
        <v>4000</v>
      </c>
      <c r="W53" s="93">
        <f>'20'!K53</f>
        <v>4000</v>
      </c>
      <c r="X53" s="93">
        <f>'21'!K53</f>
        <v>4000</v>
      </c>
      <c r="Y53" s="93">
        <f>'22'!K53</f>
        <v>4000</v>
      </c>
      <c r="Z53" s="93">
        <f>'23'!K53</f>
        <v>4000</v>
      </c>
      <c r="AA53" s="93">
        <f>'24'!K53</f>
        <v>4000</v>
      </c>
      <c r="AB53" s="93">
        <f>'25'!K53</f>
        <v>4000</v>
      </c>
      <c r="AC53" s="93">
        <f>'26'!K53</f>
        <v>4000</v>
      </c>
      <c r="AD53" s="93">
        <f>'27'!K53</f>
        <v>4000</v>
      </c>
      <c r="AE53" s="93">
        <f>'28'!K53</f>
        <v>4000</v>
      </c>
      <c r="AF53" s="93">
        <f>'30'!K53</f>
        <v>4000</v>
      </c>
      <c r="AG53" s="101"/>
      <c r="AH53" s="101">
        <f t="shared" si="1"/>
        <v>0</v>
      </c>
      <c r="AI53" s="105">
        <f t="shared" si="2"/>
        <v>4000</v>
      </c>
      <c r="AJ53" s="6"/>
      <c r="AK53" s="6"/>
      <c r="AL53" s="6"/>
    </row>
    <row r="54" ht="15.75" customHeight="1">
      <c r="A54" s="119">
        <v>14.0</v>
      </c>
      <c r="B54" s="120" t="s">
        <v>84</v>
      </c>
      <c r="C54" s="81"/>
      <c r="D54" s="88" t="str">
        <f>'1'!K54</f>
        <v/>
      </c>
      <c r="E54" s="88" t="str">
        <f>'2'!K54</f>
        <v/>
      </c>
      <c r="F54" s="88" t="str">
        <f>'3'!K54</f>
        <v/>
      </c>
      <c r="G54" s="88" t="str">
        <f>'4'!K54</f>
        <v/>
      </c>
      <c r="H54" s="88" t="str">
        <f>'5'!K54</f>
        <v/>
      </c>
      <c r="I54" s="88" t="str">
        <f>'6'!K54</f>
        <v/>
      </c>
      <c r="J54" s="93" t="str">
        <f>'7'!K54</f>
        <v/>
      </c>
      <c r="K54" s="93" t="str">
        <f>'8'!K54</f>
        <v/>
      </c>
      <c r="L54" s="93" t="str">
        <f>'9'!K54</f>
        <v/>
      </c>
      <c r="M54" s="93" t="str">
        <f>'10'!K54</f>
        <v/>
      </c>
      <c r="N54" s="93" t="str">
        <f>'11'!K54</f>
        <v/>
      </c>
      <c r="O54" s="93" t="str">
        <f>'12'!K54</f>
        <v/>
      </c>
      <c r="P54" s="93" t="str">
        <f>'13'!K54</f>
        <v/>
      </c>
      <c r="Q54" s="93" t="str">
        <f>'14'!K54</f>
        <v/>
      </c>
      <c r="R54" s="93" t="str">
        <f>'15'!K54</f>
        <v/>
      </c>
      <c r="S54" s="93" t="str">
        <f>'14'!K54</f>
        <v/>
      </c>
      <c r="T54" s="93" t="str">
        <f>'17'!K54</f>
        <v/>
      </c>
      <c r="U54" s="93" t="str">
        <f>'18'!K54</f>
        <v/>
      </c>
      <c r="V54" s="93" t="str">
        <f>'19'!K54</f>
        <v/>
      </c>
      <c r="W54" s="93" t="str">
        <f>'20'!K54</f>
        <v/>
      </c>
      <c r="X54" s="93" t="str">
        <f>'21'!K54</f>
        <v/>
      </c>
      <c r="Y54" s="93" t="str">
        <f>'22'!K54</f>
        <v/>
      </c>
      <c r="Z54" s="93" t="str">
        <f>'23'!K54</f>
        <v/>
      </c>
      <c r="AA54" s="93" t="str">
        <f>'24'!K54</f>
        <v/>
      </c>
      <c r="AB54" s="93" t="str">
        <f>'25'!K54</f>
        <v/>
      </c>
      <c r="AC54" s="93" t="str">
        <f>'26'!K54</f>
        <v/>
      </c>
      <c r="AD54" s="93" t="str">
        <f>'27'!K54</f>
        <v/>
      </c>
      <c r="AE54" s="93" t="str">
        <f>'28'!K54</f>
        <v/>
      </c>
      <c r="AF54" s="93" t="str">
        <f>'30'!K54</f>
        <v/>
      </c>
      <c r="AG54" s="101"/>
      <c r="AH54" s="101">
        <f t="shared" si="1"/>
        <v>0</v>
      </c>
      <c r="AI54" s="105" t="str">
        <f t="shared" si="2"/>
        <v>#DIV/0!</v>
      </c>
      <c r="AJ54" s="6"/>
      <c r="AK54" s="6"/>
      <c r="AL54" s="6"/>
    </row>
    <row r="55" ht="15.75" customHeight="1">
      <c r="A55" s="77"/>
      <c r="B55" s="130" t="s">
        <v>85</v>
      </c>
      <c r="C55" s="81" t="s">
        <v>24</v>
      </c>
      <c r="D55" s="88">
        <f>'1'!K55</f>
        <v>11214.28571</v>
      </c>
      <c r="E55" s="88">
        <f>'2'!K55</f>
        <v>11142.85714</v>
      </c>
      <c r="F55" s="88">
        <f>'3'!K55</f>
        <v>11142.85714</v>
      </c>
      <c r="G55" s="88">
        <f>'4'!K55</f>
        <v>11142.85714</v>
      </c>
      <c r="H55" s="88">
        <f>'5'!K55</f>
        <v>11214.28571</v>
      </c>
      <c r="I55" s="88">
        <f>'6'!K55</f>
        <v>11214.28571</v>
      </c>
      <c r="J55" s="93">
        <f>'7'!K55</f>
        <v>11214.28571</v>
      </c>
      <c r="K55" s="93">
        <f>'8'!K55</f>
        <v>11214.28571</v>
      </c>
      <c r="L55" s="93">
        <f>'9'!K55</f>
        <v>11214.28571</v>
      </c>
      <c r="M55" s="93">
        <f>'10'!K55</f>
        <v>11142.85714</v>
      </c>
      <c r="N55" s="93">
        <f>'11'!K55</f>
        <v>10785.71429</v>
      </c>
      <c r="O55" s="93">
        <f>'12'!K55</f>
        <v>11357.14286</v>
      </c>
      <c r="P55" s="93">
        <f>'13'!K55</f>
        <v>11500</v>
      </c>
      <c r="Q55" s="93">
        <f>'14'!K55</f>
        <v>11500</v>
      </c>
      <c r="R55" s="93">
        <f>'15'!K55</f>
        <v>10642.85714</v>
      </c>
      <c r="S55" s="93">
        <f>'14'!K55</f>
        <v>11500</v>
      </c>
      <c r="T55" s="93">
        <f>'17'!K55</f>
        <v>10642.85714</v>
      </c>
      <c r="U55" s="93">
        <f>'18'!K55</f>
        <v>10642.85714</v>
      </c>
      <c r="V55" s="93">
        <f>'19'!K55</f>
        <v>10642.85714</v>
      </c>
      <c r="W55" s="93">
        <f>'20'!K55</f>
        <v>10642.85714</v>
      </c>
      <c r="X55" s="93">
        <f>'21'!K55</f>
        <v>10642.85714</v>
      </c>
      <c r="Y55" s="93">
        <f>'22'!K55</f>
        <v>10642.85714</v>
      </c>
      <c r="Z55" s="93">
        <f>'23'!K55</f>
        <v>10642.85714</v>
      </c>
      <c r="AA55" s="93">
        <f>'24'!K55</f>
        <v>10785.71429</v>
      </c>
      <c r="AB55" s="93">
        <f>'25'!K55</f>
        <v>10785.71429</v>
      </c>
      <c r="AC55" s="93">
        <f>'26'!K55</f>
        <v>10785.71429</v>
      </c>
      <c r="AD55" s="93">
        <f>'27'!K55</f>
        <v>10785.71429</v>
      </c>
      <c r="AE55" s="93">
        <f>'28'!K55</f>
        <v>10785.71429</v>
      </c>
      <c r="AF55" s="93">
        <f>'30'!K55</f>
        <v>10785.71429</v>
      </c>
      <c r="AG55" s="101"/>
      <c r="AH55" s="103">
        <f t="shared" si="1"/>
        <v>-428.5714286</v>
      </c>
      <c r="AI55" s="105">
        <f t="shared" si="2"/>
        <v>10977.83251</v>
      </c>
      <c r="AJ55" s="6"/>
      <c r="AK55" s="6"/>
      <c r="AL55" s="6"/>
    </row>
    <row r="56" ht="15.75" customHeight="1">
      <c r="A56" s="119">
        <v>15.0</v>
      </c>
      <c r="B56" s="120" t="s">
        <v>86</v>
      </c>
      <c r="C56" s="120"/>
      <c r="D56" s="88" t="str">
        <f>'1'!K56</f>
        <v/>
      </c>
      <c r="E56" s="88" t="str">
        <f>'2'!K56</f>
        <v/>
      </c>
      <c r="F56" s="88" t="str">
        <f>'3'!K56</f>
        <v/>
      </c>
      <c r="G56" s="88" t="str">
        <f>'4'!K56</f>
        <v/>
      </c>
      <c r="H56" s="88" t="str">
        <f>'5'!K56</f>
        <v/>
      </c>
      <c r="I56" s="88" t="str">
        <f>'6'!K56</f>
        <v/>
      </c>
      <c r="J56" s="93" t="str">
        <f>'7'!K56</f>
        <v/>
      </c>
      <c r="K56" s="93" t="str">
        <f>'8'!K56</f>
        <v/>
      </c>
      <c r="L56" s="93" t="str">
        <f>'9'!K56</f>
        <v/>
      </c>
      <c r="M56" s="93" t="str">
        <f>'10'!K56</f>
        <v/>
      </c>
      <c r="N56" s="93" t="str">
        <f>'11'!K56</f>
        <v/>
      </c>
      <c r="O56" s="93" t="str">
        <f>'12'!K56</f>
        <v/>
      </c>
      <c r="P56" s="93" t="str">
        <f>'13'!K56</f>
        <v/>
      </c>
      <c r="Q56" s="93" t="str">
        <f>'14'!K56</f>
        <v/>
      </c>
      <c r="R56" s="93" t="str">
        <f>'15'!K56</f>
        <v/>
      </c>
      <c r="S56" s="93" t="str">
        <f>'14'!K56</f>
        <v/>
      </c>
      <c r="T56" s="93" t="str">
        <f>'17'!K56</f>
        <v/>
      </c>
      <c r="U56" s="93" t="str">
        <f>'18'!K56</f>
        <v/>
      </c>
      <c r="V56" s="93" t="str">
        <f>'19'!K56</f>
        <v/>
      </c>
      <c r="W56" s="93" t="str">
        <f>'20'!K56</f>
        <v/>
      </c>
      <c r="X56" s="93" t="str">
        <f>'21'!K56</f>
        <v/>
      </c>
      <c r="Y56" s="93" t="str">
        <f>'22'!K56</f>
        <v/>
      </c>
      <c r="Z56" s="93" t="str">
        <f>'23'!K56</f>
        <v/>
      </c>
      <c r="AA56" s="93" t="str">
        <f>'24'!K56</f>
        <v/>
      </c>
      <c r="AB56" s="93" t="str">
        <f>'25'!K56</f>
        <v/>
      </c>
      <c r="AC56" s="93" t="str">
        <f>'26'!K56</f>
        <v/>
      </c>
      <c r="AD56" s="93" t="str">
        <f>'27'!K56</f>
        <v/>
      </c>
      <c r="AE56" s="93" t="str">
        <f>'28'!K56</f>
        <v/>
      </c>
      <c r="AF56" s="93" t="str">
        <f>'30'!K56</f>
        <v/>
      </c>
      <c r="AG56" s="101"/>
      <c r="AH56" s="101">
        <f t="shared" si="1"/>
        <v>0</v>
      </c>
      <c r="AI56" s="105" t="str">
        <f t="shared" si="2"/>
        <v>#DIV/0!</v>
      </c>
      <c r="AJ56" s="6"/>
      <c r="AK56" s="6"/>
      <c r="AL56" s="6"/>
    </row>
    <row r="57" ht="15.75" customHeight="1">
      <c r="A57" s="26"/>
      <c r="B57" s="130" t="s">
        <v>87</v>
      </c>
      <c r="C57" s="81" t="s">
        <v>24</v>
      </c>
      <c r="D57" s="88">
        <f>'1'!K57</f>
        <v>15500</v>
      </c>
      <c r="E57" s="88">
        <f>'2'!K57</f>
        <v>15500</v>
      </c>
      <c r="F57" s="88">
        <f>'3'!K57</f>
        <v>15500</v>
      </c>
      <c r="G57" s="88">
        <f>'4'!K57</f>
        <v>15500</v>
      </c>
      <c r="H57" s="88">
        <f>'5'!K57</f>
        <v>15500</v>
      </c>
      <c r="I57" s="88">
        <f>'6'!K57</f>
        <v>15500</v>
      </c>
      <c r="J57" s="93">
        <f>'7'!K57</f>
        <v>15500</v>
      </c>
      <c r="K57" s="93">
        <f>'8'!K57</f>
        <v>15500</v>
      </c>
      <c r="L57" s="93">
        <f>'9'!K57</f>
        <v>15500</v>
      </c>
      <c r="M57" s="93">
        <f>'10'!K57</f>
        <v>15500</v>
      </c>
      <c r="N57" s="93">
        <f>'11'!K57</f>
        <v>15166.66667</v>
      </c>
      <c r="O57" s="93">
        <f>'12'!K57</f>
        <v>14833.33333</v>
      </c>
      <c r="P57" s="93">
        <f>'13'!K57</f>
        <v>14833.33333</v>
      </c>
      <c r="Q57" s="93">
        <f>'14'!K57</f>
        <v>14833.33333</v>
      </c>
      <c r="R57" s="93">
        <f>'15'!K57</f>
        <v>14833.33333</v>
      </c>
      <c r="S57" s="93">
        <f>'14'!K57</f>
        <v>14833.33333</v>
      </c>
      <c r="T57" s="93">
        <f>'17'!K57</f>
        <v>14833.33333</v>
      </c>
      <c r="U57" s="93">
        <f>'18'!K57</f>
        <v>14833.33333</v>
      </c>
      <c r="V57" s="93">
        <f>'19'!K57</f>
        <v>14666.66667</v>
      </c>
      <c r="W57" s="93">
        <f>'20'!K57</f>
        <v>14833.33333</v>
      </c>
      <c r="X57" s="93">
        <f>'21'!K57</f>
        <v>14833.33333</v>
      </c>
      <c r="Y57" s="93">
        <f>'22'!K57</f>
        <v>14833.33333</v>
      </c>
      <c r="Z57" s="93">
        <f>'23'!K57</f>
        <v>14400</v>
      </c>
      <c r="AA57" s="93">
        <f>'24'!K57</f>
        <v>14400</v>
      </c>
      <c r="AB57" s="93">
        <f>'25'!K57</f>
        <v>14400</v>
      </c>
      <c r="AC57" s="93">
        <f>'26'!K57</f>
        <v>14400</v>
      </c>
      <c r="AD57" s="93">
        <f>'27'!K57</f>
        <v>14400</v>
      </c>
      <c r="AE57" s="93">
        <f>'28'!K57</f>
        <v>14400</v>
      </c>
      <c r="AF57" s="93">
        <f>'30'!K57</f>
        <v>14400</v>
      </c>
      <c r="AG57" s="101">
        <v>6800.0</v>
      </c>
      <c r="AH57" s="103">
        <f t="shared" si="1"/>
        <v>-1100</v>
      </c>
      <c r="AI57" s="105">
        <f t="shared" si="2"/>
        <v>14964.36782</v>
      </c>
      <c r="AJ57" s="6"/>
      <c r="AK57" s="6"/>
      <c r="AL57" s="6"/>
    </row>
    <row r="58" ht="15.75" customHeight="1">
      <c r="A58" s="26"/>
      <c r="B58" s="130" t="s">
        <v>88</v>
      </c>
      <c r="C58" s="81" t="s">
        <v>24</v>
      </c>
      <c r="D58" s="88">
        <f>'1'!K58</f>
        <v>14166.66667</v>
      </c>
      <c r="E58" s="88">
        <f>'2'!K58</f>
        <v>14166.66667</v>
      </c>
      <c r="F58" s="88">
        <f>'3'!K58</f>
        <v>14166.66667</v>
      </c>
      <c r="G58" s="88">
        <f>'4'!K58</f>
        <v>14166.66667</v>
      </c>
      <c r="H58" s="88">
        <f>'5'!K58</f>
        <v>14166.66667</v>
      </c>
      <c r="I58" s="88">
        <f>'6'!K58</f>
        <v>14166.66667</v>
      </c>
      <c r="J58" s="93">
        <f>'7'!K58</f>
        <v>14166.66667</v>
      </c>
      <c r="K58" s="93">
        <f>'8'!K58</f>
        <v>14166.66667</v>
      </c>
      <c r="L58" s="93">
        <f>'9'!K58</f>
        <v>14166.66667</v>
      </c>
      <c r="M58" s="93">
        <f>'10'!K58</f>
        <v>14166.66667</v>
      </c>
      <c r="N58" s="93">
        <f>'11'!K58</f>
        <v>14166.66667</v>
      </c>
      <c r="O58" s="93">
        <f>'12'!K58</f>
        <v>14166.66667</v>
      </c>
      <c r="P58" s="93">
        <f>'13'!K58</f>
        <v>14166.66667</v>
      </c>
      <c r="Q58" s="93">
        <f>'14'!K58</f>
        <v>14166.66667</v>
      </c>
      <c r="R58" s="93">
        <f>'15'!K58</f>
        <v>14166.66667</v>
      </c>
      <c r="S58" s="93">
        <f>'14'!K58</f>
        <v>14166.66667</v>
      </c>
      <c r="T58" s="93">
        <f>'17'!K58</f>
        <v>14166.66667</v>
      </c>
      <c r="U58" s="93">
        <f>'18'!K58</f>
        <v>14166.66667</v>
      </c>
      <c r="V58" s="93">
        <f>'19'!K58</f>
        <v>14166.66667</v>
      </c>
      <c r="W58" s="93">
        <f>'20'!K58</f>
        <v>14166.66667</v>
      </c>
      <c r="X58" s="93">
        <f>'21'!K58</f>
        <v>14166.66667</v>
      </c>
      <c r="Y58" s="93">
        <f>'22'!K58</f>
        <v>14166.66667</v>
      </c>
      <c r="Z58" s="93">
        <f>'23'!K58</f>
        <v>14166.66667</v>
      </c>
      <c r="AA58" s="93">
        <f>'24'!K58</f>
        <v>14166.66667</v>
      </c>
      <c r="AB58" s="93">
        <f>'25'!K58</f>
        <v>14166.66667</v>
      </c>
      <c r="AC58" s="93">
        <f>'26'!K58</f>
        <v>14166.66667</v>
      </c>
      <c r="AD58" s="93">
        <f>'27'!K58</f>
        <v>14166.66667</v>
      </c>
      <c r="AE58" s="93">
        <f>'28'!K58</f>
        <v>14166.66667</v>
      </c>
      <c r="AF58" s="93">
        <f>'30'!K58</f>
        <v>14166.66667</v>
      </c>
      <c r="AG58" s="101">
        <v>9200.0</v>
      </c>
      <c r="AH58" s="101">
        <f t="shared" si="1"/>
        <v>0</v>
      </c>
      <c r="AI58" s="105">
        <f t="shared" si="2"/>
        <v>14166.66667</v>
      </c>
      <c r="AJ58" s="6"/>
      <c r="AK58" s="6"/>
      <c r="AL58" s="6"/>
    </row>
    <row r="59" ht="15.75" customHeight="1">
      <c r="A59" s="26"/>
      <c r="B59" s="130" t="s">
        <v>90</v>
      </c>
      <c r="C59" s="81" t="s">
        <v>24</v>
      </c>
      <c r="D59" s="88">
        <f>'1'!K59</f>
        <v>25142.85714</v>
      </c>
      <c r="E59" s="88">
        <f>'2'!K59</f>
        <v>25285.71429</v>
      </c>
      <c r="F59" s="88">
        <f>'3'!K59</f>
        <v>25285.71429</v>
      </c>
      <c r="G59" s="88">
        <f>'4'!K59</f>
        <v>25285.71429</v>
      </c>
      <c r="H59" s="88">
        <f>'5'!K59</f>
        <v>25142.85714</v>
      </c>
      <c r="I59" s="88">
        <f>'6'!K59</f>
        <v>25142.85714</v>
      </c>
      <c r="J59" s="93">
        <f>'7'!K59</f>
        <v>25142.85714</v>
      </c>
      <c r="K59" s="93">
        <f>'8'!K59</f>
        <v>25142.85714</v>
      </c>
      <c r="L59" s="93">
        <f>'9'!K59</f>
        <v>25142.85714</v>
      </c>
      <c r="M59" s="93">
        <f>'10'!K59</f>
        <v>25142.85714</v>
      </c>
      <c r="N59" s="93">
        <f>'11'!K59</f>
        <v>25142.85714</v>
      </c>
      <c r="O59" s="93">
        <f>'12'!K59</f>
        <v>25000</v>
      </c>
      <c r="P59" s="93">
        <f>'13'!K59</f>
        <v>25000</v>
      </c>
      <c r="Q59" s="93">
        <f>'14'!K59</f>
        <v>25000</v>
      </c>
      <c r="R59" s="93">
        <f>'15'!K59</f>
        <v>25000</v>
      </c>
      <c r="S59" s="93">
        <f>'14'!K59</f>
        <v>25000</v>
      </c>
      <c r="T59" s="93">
        <f>'17'!K59</f>
        <v>25000</v>
      </c>
      <c r="U59" s="93">
        <f>'18'!K59</f>
        <v>25000</v>
      </c>
      <c r="V59" s="93">
        <f>'19'!K59</f>
        <v>25000</v>
      </c>
      <c r="W59" s="93">
        <f>'20'!K59</f>
        <v>24714.28571</v>
      </c>
      <c r="X59" s="93">
        <f>'21'!K59</f>
        <v>24714.28571</v>
      </c>
      <c r="Y59" s="93">
        <f>'22'!K59</f>
        <v>24714.28571</v>
      </c>
      <c r="Z59" s="93">
        <f>'23'!K59</f>
        <v>24714.28571</v>
      </c>
      <c r="AA59" s="93">
        <f>'24'!K59</f>
        <v>24714.28571</v>
      </c>
      <c r="AB59" s="93">
        <f>'25'!K59</f>
        <v>24714.28571</v>
      </c>
      <c r="AC59" s="93">
        <f>'26'!K59</f>
        <v>24714.28571</v>
      </c>
      <c r="AD59" s="93">
        <f>'27'!K59</f>
        <v>24714.28571</v>
      </c>
      <c r="AE59" s="93">
        <f>'28'!K59</f>
        <v>24714.28571</v>
      </c>
      <c r="AF59" s="93">
        <f>'30'!K59</f>
        <v>24714.28571</v>
      </c>
      <c r="AG59" s="101"/>
      <c r="AH59" s="103">
        <f t="shared" si="1"/>
        <v>-428.5714286</v>
      </c>
      <c r="AI59" s="105">
        <f t="shared" si="2"/>
        <v>24970.44335</v>
      </c>
      <c r="AJ59" s="6"/>
      <c r="AK59" s="6"/>
      <c r="AL59" s="6"/>
    </row>
    <row r="60" ht="15.75" customHeight="1">
      <c r="A60" s="77"/>
      <c r="B60" s="130" t="s">
        <v>91</v>
      </c>
      <c r="C60" s="81" t="s">
        <v>24</v>
      </c>
      <c r="D60" s="88">
        <f>'1'!K60</f>
        <v>29142.85714</v>
      </c>
      <c r="E60" s="88">
        <f>'2'!K60</f>
        <v>29000</v>
      </c>
      <c r="F60" s="88">
        <f>'3'!K60</f>
        <v>29000</v>
      </c>
      <c r="G60" s="88">
        <f>'4'!K60</f>
        <v>29000</v>
      </c>
      <c r="H60" s="88">
        <f>'5'!K60</f>
        <v>29142.85714</v>
      </c>
      <c r="I60" s="88">
        <f>'6'!K60</f>
        <v>29142.85714</v>
      </c>
      <c r="J60" s="93">
        <f>'7'!K60</f>
        <v>29142.85714</v>
      </c>
      <c r="K60" s="93">
        <f>'8'!K60</f>
        <v>29142.85714</v>
      </c>
      <c r="L60" s="93">
        <f>'9'!K60</f>
        <v>29142.85714</v>
      </c>
      <c r="M60" s="93">
        <f>'10'!K60</f>
        <v>29142.85714</v>
      </c>
      <c r="N60" s="93">
        <f>'11'!K60</f>
        <v>29142.85714</v>
      </c>
      <c r="O60" s="93">
        <f>'12'!K60</f>
        <v>28857.14286</v>
      </c>
      <c r="P60" s="93">
        <f>'13'!K60</f>
        <v>28857.14286</v>
      </c>
      <c r="Q60" s="93">
        <f>'14'!K60</f>
        <v>28857.14286</v>
      </c>
      <c r="R60" s="93">
        <f>'15'!K60</f>
        <v>28857.14286</v>
      </c>
      <c r="S60" s="93">
        <f>'14'!K60</f>
        <v>28857.14286</v>
      </c>
      <c r="T60" s="93">
        <f>'17'!K60</f>
        <v>28857.14286</v>
      </c>
      <c r="U60" s="93">
        <f>'18'!K60</f>
        <v>28857.14286</v>
      </c>
      <c r="V60" s="93">
        <f>'19'!K60</f>
        <v>28857.14286</v>
      </c>
      <c r="W60" s="93">
        <f>'20'!K60</f>
        <v>28857.14286</v>
      </c>
      <c r="X60" s="93">
        <f>'21'!K60</f>
        <v>28857.14286</v>
      </c>
      <c r="Y60" s="93">
        <f>'22'!K60</f>
        <v>28857.14286</v>
      </c>
      <c r="Z60" s="93">
        <f>'23'!K60</f>
        <v>28857.14286</v>
      </c>
      <c r="AA60" s="93">
        <f>'24'!K60</f>
        <v>28857.14286</v>
      </c>
      <c r="AB60" s="93">
        <f>'25'!K60</f>
        <v>28857.14286</v>
      </c>
      <c r="AC60" s="93">
        <f>'26'!K60</f>
        <v>28857.14286</v>
      </c>
      <c r="AD60" s="93">
        <f>'27'!K60</f>
        <v>28857.14286</v>
      </c>
      <c r="AE60" s="93">
        <f>'28'!K60</f>
        <v>28857.14286</v>
      </c>
      <c r="AF60" s="93">
        <f>'30'!K60</f>
        <v>28857.14286</v>
      </c>
      <c r="AG60" s="101"/>
      <c r="AH60" s="103">
        <f t="shared" si="1"/>
        <v>-285.7142857</v>
      </c>
      <c r="AI60" s="105">
        <f t="shared" si="2"/>
        <v>28950.73892</v>
      </c>
      <c r="AJ60" s="6"/>
      <c r="AK60" s="6"/>
      <c r="AL60" s="6"/>
    </row>
    <row r="61" ht="15.75" customHeight="1">
      <c r="A61" s="205">
        <v>16.0</v>
      </c>
      <c r="B61" s="120" t="s">
        <v>92</v>
      </c>
      <c r="C61" s="81"/>
      <c r="D61" s="88" t="str">
        <f>'1'!K61</f>
        <v/>
      </c>
      <c r="E61" s="88" t="str">
        <f>'2'!K61</f>
        <v/>
      </c>
      <c r="F61" s="88" t="str">
        <f>'3'!K61</f>
        <v/>
      </c>
      <c r="G61" s="88" t="str">
        <f>'4'!K61</f>
        <v/>
      </c>
      <c r="H61" s="88" t="str">
        <f>'5'!K61</f>
        <v/>
      </c>
      <c r="I61" s="88" t="str">
        <f>'6'!K61</f>
        <v/>
      </c>
      <c r="J61" s="93" t="str">
        <f>'7'!K61</f>
        <v/>
      </c>
      <c r="K61" s="93" t="str">
        <f>'8'!K61</f>
        <v/>
      </c>
      <c r="L61" s="93" t="str">
        <f>'9'!K61</f>
        <v/>
      </c>
      <c r="M61" s="93" t="str">
        <f>'10'!K61</f>
        <v/>
      </c>
      <c r="N61" s="93" t="str">
        <f>'11'!K61</f>
        <v/>
      </c>
      <c r="O61" s="93" t="str">
        <f>'12'!K61</f>
        <v/>
      </c>
      <c r="P61" s="93" t="str">
        <f>'13'!K61</f>
        <v/>
      </c>
      <c r="Q61" s="93" t="str">
        <f>'14'!K61</f>
        <v/>
      </c>
      <c r="R61" s="93" t="str">
        <f>'15'!K61</f>
        <v/>
      </c>
      <c r="S61" s="93" t="str">
        <f>'14'!K61</f>
        <v/>
      </c>
      <c r="T61" s="93" t="str">
        <f>'17'!K61</f>
        <v/>
      </c>
      <c r="U61" s="93" t="str">
        <f>'18'!K61</f>
        <v/>
      </c>
      <c r="V61" s="93" t="str">
        <f>'19'!K61</f>
        <v/>
      </c>
      <c r="W61" s="93" t="str">
        <f>'20'!K61</f>
        <v/>
      </c>
      <c r="X61" s="93" t="str">
        <f>'21'!K61</f>
        <v/>
      </c>
      <c r="Y61" s="93" t="str">
        <f>'22'!K61</f>
        <v/>
      </c>
      <c r="Z61" s="93" t="str">
        <f>'23'!K61</f>
        <v/>
      </c>
      <c r="AA61" s="93" t="str">
        <f>'24'!K61</f>
        <v/>
      </c>
      <c r="AB61" s="93" t="str">
        <f>'25'!K61</f>
        <v/>
      </c>
      <c r="AC61" s="93" t="str">
        <f>'26'!K61</f>
        <v/>
      </c>
      <c r="AD61" s="93" t="str">
        <f>'27'!K61</f>
        <v/>
      </c>
      <c r="AE61" s="93" t="str">
        <f>'28'!K61</f>
        <v/>
      </c>
      <c r="AF61" s="93" t="str">
        <f>'30'!K61</f>
        <v/>
      </c>
      <c r="AG61" s="101"/>
      <c r="AH61" s="101">
        <f t="shared" si="1"/>
        <v>0</v>
      </c>
      <c r="AI61" s="105" t="str">
        <f t="shared" si="2"/>
        <v>#DIV/0!</v>
      </c>
      <c r="AJ61" s="6"/>
      <c r="AK61" s="6"/>
      <c r="AL61" s="6"/>
    </row>
    <row r="62" ht="15.75" customHeight="1">
      <c r="A62" s="206"/>
      <c r="B62" s="130" t="s">
        <v>93</v>
      </c>
      <c r="C62" s="81" t="s">
        <v>94</v>
      </c>
      <c r="D62" s="88">
        <f>'1'!K62</f>
        <v>3200</v>
      </c>
      <c r="E62" s="88">
        <f>'2'!K62</f>
        <v>3200</v>
      </c>
      <c r="F62" s="88">
        <f>'3'!K62</f>
        <v>3200</v>
      </c>
      <c r="G62" s="88">
        <f>'4'!K62</f>
        <v>3200</v>
      </c>
      <c r="H62" s="88">
        <f>'5'!K62</f>
        <v>3200</v>
      </c>
      <c r="I62" s="88">
        <f>'6'!K62</f>
        <v>3200</v>
      </c>
      <c r="J62" s="93">
        <f>'7'!K62</f>
        <v>3200</v>
      </c>
      <c r="K62" s="93">
        <f>'8'!K62</f>
        <v>3200</v>
      </c>
      <c r="L62" s="93">
        <f>'9'!K62</f>
        <v>3200</v>
      </c>
      <c r="M62" s="93">
        <f>'10'!K62</f>
        <v>3200</v>
      </c>
      <c r="N62" s="93">
        <f>'11'!K62</f>
        <v>3200</v>
      </c>
      <c r="O62" s="93">
        <f>'12'!K62</f>
        <v>3200</v>
      </c>
      <c r="P62" s="93">
        <f>'13'!K62</f>
        <v>3200</v>
      </c>
      <c r="Q62" s="93">
        <f>'14'!K62</f>
        <v>3200</v>
      </c>
      <c r="R62" s="93">
        <f>'15'!K62</f>
        <v>3200</v>
      </c>
      <c r="S62" s="93">
        <f>'14'!K62</f>
        <v>3200</v>
      </c>
      <c r="T62" s="93">
        <f>'17'!K62</f>
        <v>3200</v>
      </c>
      <c r="U62" s="93">
        <f>'18'!K62</f>
        <v>3200</v>
      </c>
      <c r="V62" s="93">
        <f>'19'!K62</f>
        <v>3200</v>
      </c>
      <c r="W62" s="93">
        <f>'20'!K62</f>
        <v>3200</v>
      </c>
      <c r="X62" s="93">
        <f>'21'!K62</f>
        <v>3200</v>
      </c>
      <c r="Y62" s="93">
        <f>'22'!K62</f>
        <v>3200</v>
      </c>
      <c r="Z62" s="93">
        <f>'23'!K62</f>
        <v>3200</v>
      </c>
      <c r="AA62" s="93">
        <f>'24'!K62</f>
        <v>3200</v>
      </c>
      <c r="AB62" s="93">
        <f>'25'!K62</f>
        <v>3200</v>
      </c>
      <c r="AC62" s="93">
        <f>'26'!K62</f>
        <v>3200</v>
      </c>
      <c r="AD62" s="93">
        <f>'27'!K62</f>
        <v>3200</v>
      </c>
      <c r="AE62" s="93">
        <f>'28'!K62</f>
        <v>3200</v>
      </c>
      <c r="AF62" s="93">
        <f>'30'!K62</f>
        <v>3200</v>
      </c>
      <c r="AG62" s="101"/>
      <c r="AH62" s="101">
        <f t="shared" si="1"/>
        <v>0</v>
      </c>
      <c r="AI62" s="105">
        <f t="shared" si="2"/>
        <v>3200</v>
      </c>
      <c r="AJ62" s="6"/>
      <c r="AK62" s="6"/>
      <c r="AL62" s="6"/>
    </row>
    <row r="63" ht="15.75" customHeight="1">
      <c r="A63" s="119">
        <v>17.0</v>
      </c>
      <c r="B63" s="120" t="s">
        <v>96</v>
      </c>
      <c r="C63" s="120"/>
      <c r="D63" s="88" t="str">
        <f>'1'!K63</f>
        <v/>
      </c>
      <c r="E63" s="88" t="str">
        <f>'2'!K63</f>
        <v/>
      </c>
      <c r="F63" s="88" t="str">
        <f>'3'!K63</f>
        <v/>
      </c>
      <c r="G63" s="88" t="str">
        <f>'4'!K63</f>
        <v/>
      </c>
      <c r="H63" s="88" t="str">
        <f>'5'!K63</f>
        <v/>
      </c>
      <c r="I63" s="88" t="str">
        <f>'6'!K63</f>
        <v/>
      </c>
      <c r="J63" s="93" t="str">
        <f>'7'!K63</f>
        <v/>
      </c>
      <c r="K63" s="93" t="str">
        <f>'8'!K63</f>
        <v/>
      </c>
      <c r="L63" s="93" t="str">
        <f>'9'!K63</f>
        <v/>
      </c>
      <c r="M63" s="93" t="str">
        <f>'10'!K63</f>
        <v/>
      </c>
      <c r="N63" s="93" t="str">
        <f>'11'!K63</f>
        <v/>
      </c>
      <c r="O63" s="93" t="str">
        <f>'12'!K63</f>
        <v/>
      </c>
      <c r="P63" s="93" t="str">
        <f>'13'!K63</f>
        <v/>
      </c>
      <c r="Q63" s="93" t="str">
        <f>'14'!K63</f>
        <v/>
      </c>
      <c r="R63" s="93" t="str">
        <f>'15'!K63</f>
        <v/>
      </c>
      <c r="S63" s="93" t="str">
        <f>'14'!K63</f>
        <v/>
      </c>
      <c r="T63" s="93" t="str">
        <f>'17'!K63</f>
        <v/>
      </c>
      <c r="U63" s="93" t="str">
        <f>'18'!K63</f>
        <v/>
      </c>
      <c r="V63" s="93" t="str">
        <f>'19'!K63</f>
        <v/>
      </c>
      <c r="W63" s="93" t="str">
        <f>'20'!K63</f>
        <v/>
      </c>
      <c r="X63" s="93" t="str">
        <f>'21'!K63</f>
        <v/>
      </c>
      <c r="Y63" s="93" t="str">
        <f>'22'!K63</f>
        <v/>
      </c>
      <c r="Z63" s="93" t="str">
        <f>'23'!K63</f>
        <v/>
      </c>
      <c r="AA63" s="93" t="str">
        <f>'24'!K63</f>
        <v/>
      </c>
      <c r="AB63" s="93" t="str">
        <f>'25'!K63</f>
        <v/>
      </c>
      <c r="AC63" s="93" t="str">
        <f>'26'!K63</f>
        <v/>
      </c>
      <c r="AD63" s="93" t="str">
        <f>'27'!K63</f>
        <v/>
      </c>
      <c r="AE63" s="93" t="str">
        <f>'28'!K63</f>
        <v/>
      </c>
      <c r="AF63" s="93" t="str">
        <f>'30'!K63</f>
        <v/>
      </c>
      <c r="AG63" s="101"/>
      <c r="AH63" s="101">
        <f t="shared" si="1"/>
        <v>0</v>
      </c>
      <c r="AI63" s="105" t="str">
        <f t="shared" si="2"/>
        <v>#DIV/0!</v>
      </c>
      <c r="AJ63" s="6"/>
      <c r="AK63" s="6"/>
      <c r="AL63" s="6"/>
    </row>
    <row r="64" ht="15.75" customHeight="1">
      <c r="A64" s="26"/>
      <c r="B64" s="130" t="s">
        <v>97</v>
      </c>
      <c r="C64" s="81" t="s">
        <v>24</v>
      </c>
      <c r="D64" s="88">
        <f>'1'!K64</f>
        <v>31428.57143</v>
      </c>
      <c r="E64" s="88">
        <f>'2'!K64</f>
        <v>32142.85714</v>
      </c>
      <c r="F64" s="88">
        <f>'3'!K64</f>
        <v>32857.14286</v>
      </c>
      <c r="G64" s="88">
        <f>'4'!K64</f>
        <v>30714.28571</v>
      </c>
      <c r="H64" s="88">
        <f>'5'!K64</f>
        <v>33285.71429</v>
      </c>
      <c r="I64" s="88">
        <f>'6'!K64</f>
        <v>33285.71429</v>
      </c>
      <c r="J64" s="93">
        <f>'7'!K64</f>
        <v>30285.71429</v>
      </c>
      <c r="K64" s="93">
        <f>'8'!K64</f>
        <v>30571.42857</v>
      </c>
      <c r="L64" s="93">
        <f>'9'!K64</f>
        <v>30285.71429</v>
      </c>
      <c r="M64" s="93">
        <f>'10'!K64</f>
        <v>29571.42857</v>
      </c>
      <c r="N64" s="93">
        <f>'11'!K64</f>
        <v>30285.71429</v>
      </c>
      <c r="O64" s="93">
        <f>'12'!K64</f>
        <v>30000</v>
      </c>
      <c r="P64" s="93">
        <f>'13'!K64</f>
        <v>29714.28571</v>
      </c>
      <c r="Q64" s="93">
        <f>'14'!K64</f>
        <v>29714.28571</v>
      </c>
      <c r="R64" s="93">
        <f>'15'!K64</f>
        <v>30571.42857</v>
      </c>
      <c r="S64" s="93">
        <f>'14'!K64</f>
        <v>29714.28571</v>
      </c>
      <c r="T64" s="93">
        <f>'17'!K64</f>
        <v>30000</v>
      </c>
      <c r="U64" s="93">
        <f>'18'!K64</f>
        <v>29142.85714</v>
      </c>
      <c r="V64" s="93">
        <f>'19'!K64</f>
        <v>30000</v>
      </c>
      <c r="W64" s="93">
        <f>'20'!K64</f>
        <v>29285.71429</v>
      </c>
      <c r="X64" s="93">
        <f>'21'!K64</f>
        <v>29285.71429</v>
      </c>
      <c r="Y64" s="93">
        <f>'22'!K64</f>
        <v>29000</v>
      </c>
      <c r="Z64" s="93">
        <f>'23'!K64</f>
        <v>29142.85714</v>
      </c>
      <c r="AA64" s="93">
        <f>'24'!K64</f>
        <v>30285.71429</v>
      </c>
      <c r="AB64" s="93">
        <f>'25'!K64</f>
        <v>30285.71429</v>
      </c>
      <c r="AC64" s="93">
        <f>'26'!K64</f>
        <v>32857.14286</v>
      </c>
      <c r="AD64" s="93">
        <f>'27'!K64</f>
        <v>32571.42857</v>
      </c>
      <c r="AE64" s="93">
        <f>'28'!K64</f>
        <v>33714.28571</v>
      </c>
      <c r="AF64" s="93">
        <f>'30'!K64</f>
        <v>34428.57143</v>
      </c>
      <c r="AG64" s="101"/>
      <c r="AH64" s="111">
        <f t="shared" si="1"/>
        <v>3000</v>
      </c>
      <c r="AI64" s="105">
        <f t="shared" si="2"/>
        <v>30842.36453</v>
      </c>
      <c r="AJ64" s="6"/>
      <c r="AK64" s="6"/>
      <c r="AL64" s="6"/>
    </row>
    <row r="65" ht="15.75" customHeight="1">
      <c r="A65" s="26"/>
      <c r="B65" s="130" t="s">
        <v>98</v>
      </c>
      <c r="C65" s="81" t="s">
        <v>24</v>
      </c>
      <c r="D65" s="88">
        <f>'1'!K65</f>
        <v>26000</v>
      </c>
      <c r="E65" s="88">
        <f>'2'!K65</f>
        <v>26000</v>
      </c>
      <c r="F65" s="88">
        <f>'3'!K65</f>
        <v>26000</v>
      </c>
      <c r="G65" s="88">
        <f>'4'!K65</f>
        <v>25800</v>
      </c>
      <c r="H65" s="88">
        <f>'5'!K65</f>
        <v>27000</v>
      </c>
      <c r="I65" s="88">
        <f>'6'!K65</f>
        <v>27000</v>
      </c>
      <c r="J65" s="93">
        <f>'7'!K65</f>
        <v>25400</v>
      </c>
      <c r="K65" s="93">
        <f>'8'!K65</f>
        <v>27000</v>
      </c>
      <c r="L65" s="93">
        <f>'9'!K65</f>
        <v>29000</v>
      </c>
      <c r="M65" s="93">
        <f>'10'!K65</f>
        <v>28000</v>
      </c>
      <c r="N65" s="93">
        <f>'11'!K65</f>
        <v>28000</v>
      </c>
      <c r="O65" s="93">
        <f>'12'!K65</f>
        <v>28000</v>
      </c>
      <c r="P65" s="93">
        <f>'13'!K65</f>
        <v>28000</v>
      </c>
      <c r="Q65" s="93">
        <f>'14'!K65</f>
        <v>27800</v>
      </c>
      <c r="R65" s="93">
        <f>'15'!K65</f>
        <v>28800</v>
      </c>
      <c r="S65" s="93">
        <f>'14'!K65</f>
        <v>27800</v>
      </c>
      <c r="T65" s="93">
        <f>'17'!K65</f>
        <v>28800</v>
      </c>
      <c r="U65" s="93">
        <f>'18'!K65</f>
        <v>27000</v>
      </c>
      <c r="V65" s="93">
        <f>'19'!K65</f>
        <v>27400</v>
      </c>
      <c r="W65" s="93">
        <f>'20'!K65</f>
        <v>28400</v>
      </c>
      <c r="X65" s="93">
        <f>'21'!K65</f>
        <v>28000</v>
      </c>
      <c r="Y65" s="93">
        <f>'22'!K65</f>
        <v>27000</v>
      </c>
      <c r="Z65" s="93">
        <f>'23'!K65</f>
        <v>27000</v>
      </c>
      <c r="AA65" s="93">
        <f>'24'!K65</f>
        <v>28000</v>
      </c>
      <c r="AB65" s="93">
        <f>'25'!K65</f>
        <v>28000</v>
      </c>
      <c r="AC65" s="93">
        <f>'26'!K65</f>
        <v>29000</v>
      </c>
      <c r="AD65" s="93">
        <f>'27'!K65</f>
        <v>31000</v>
      </c>
      <c r="AE65" s="93">
        <f>'28'!K65</f>
        <v>31800</v>
      </c>
      <c r="AF65" s="93">
        <f>'30'!K65</f>
        <v>31000</v>
      </c>
      <c r="AG65" s="101"/>
      <c r="AH65" s="111">
        <f t="shared" si="1"/>
        <v>5000</v>
      </c>
      <c r="AI65" s="105">
        <f t="shared" si="2"/>
        <v>27862.06897</v>
      </c>
      <c r="AJ65" s="6"/>
      <c r="AK65" s="6"/>
      <c r="AL65" s="6"/>
    </row>
    <row r="66" ht="15.75" customHeight="1">
      <c r="A66" s="77"/>
      <c r="B66" s="130" t="s">
        <v>99</v>
      </c>
      <c r="C66" s="81" t="s">
        <v>24</v>
      </c>
      <c r="D66" s="88">
        <f>'1'!K66</f>
        <v>38142.85714</v>
      </c>
      <c r="E66" s="88">
        <f>'2'!K66</f>
        <v>36714.28571</v>
      </c>
      <c r="F66" s="88">
        <f>'3'!K66</f>
        <v>36714.28571</v>
      </c>
      <c r="G66" s="88">
        <f>'4'!K66</f>
        <v>36428.57143</v>
      </c>
      <c r="H66" s="88">
        <f>'5'!K66</f>
        <v>37142.85714</v>
      </c>
      <c r="I66" s="88">
        <f>'6'!K66</f>
        <v>37142.85714</v>
      </c>
      <c r="J66" s="93">
        <f>'7'!K66</f>
        <v>37571.42857</v>
      </c>
      <c r="K66" s="93">
        <f>'8'!K66</f>
        <v>37857.14286</v>
      </c>
      <c r="L66" s="93">
        <f>'9'!K66</f>
        <v>37857.14286</v>
      </c>
      <c r="M66" s="93">
        <f>'10'!K66</f>
        <v>37142.85714</v>
      </c>
      <c r="N66" s="93">
        <f>'11'!K66</f>
        <v>37857.14286</v>
      </c>
      <c r="O66" s="93">
        <f>'12'!K66</f>
        <v>35714.28571</v>
      </c>
      <c r="P66" s="93">
        <f>'13'!K66</f>
        <v>34571.42857</v>
      </c>
      <c r="Q66" s="93">
        <f>'14'!K66</f>
        <v>34571.42857</v>
      </c>
      <c r="R66" s="93">
        <f>'15'!K66</f>
        <v>35428.57143</v>
      </c>
      <c r="S66" s="93">
        <f>'14'!K66</f>
        <v>34571.42857</v>
      </c>
      <c r="T66" s="93">
        <f>'17'!K66</f>
        <v>33714.28571</v>
      </c>
      <c r="U66" s="93">
        <f>'18'!K66</f>
        <v>32714.28571</v>
      </c>
      <c r="V66" s="93">
        <f>'19'!K66</f>
        <v>32857.14286</v>
      </c>
      <c r="W66" s="93">
        <f>'20'!K66</f>
        <v>33571.42857</v>
      </c>
      <c r="X66" s="93">
        <f>'21'!K66</f>
        <v>32571.42857</v>
      </c>
      <c r="Y66" s="93">
        <f>'22'!K66</f>
        <v>33142.85714</v>
      </c>
      <c r="Z66" s="93">
        <f>'23'!K66</f>
        <v>32714.28571</v>
      </c>
      <c r="AA66" s="93">
        <f>'24'!K66</f>
        <v>31000</v>
      </c>
      <c r="AB66" s="93">
        <f>'25'!K66</f>
        <v>31428.57143</v>
      </c>
      <c r="AC66" s="93">
        <f>'26'!K66</f>
        <v>30428.57143</v>
      </c>
      <c r="AD66" s="93">
        <f>'27'!K66</f>
        <v>30428.57143</v>
      </c>
      <c r="AE66" s="93">
        <f>'28'!K66</f>
        <v>29571.42857</v>
      </c>
      <c r="AF66" s="93">
        <f>'30'!K66</f>
        <v>30000</v>
      </c>
      <c r="AG66" s="101"/>
      <c r="AH66" s="103">
        <f t="shared" si="1"/>
        <v>-8142.857143</v>
      </c>
      <c r="AI66" s="105">
        <f t="shared" si="2"/>
        <v>34467.9803</v>
      </c>
      <c r="AJ66" s="6"/>
      <c r="AK66" s="6"/>
      <c r="AL66" s="6"/>
    </row>
    <row r="67" ht="15.75" customHeight="1">
      <c r="A67" s="205">
        <v>18.0</v>
      </c>
      <c r="B67" s="120" t="s">
        <v>100</v>
      </c>
      <c r="C67" s="81"/>
      <c r="D67" s="88" t="str">
        <f>'1'!K67</f>
        <v/>
      </c>
      <c r="E67" s="88" t="str">
        <f>'2'!K67</f>
        <v/>
      </c>
      <c r="F67" s="88" t="str">
        <f>'3'!K67</f>
        <v/>
      </c>
      <c r="G67" s="88" t="str">
        <f>'4'!K67</f>
        <v/>
      </c>
      <c r="H67" s="88" t="str">
        <f>'5'!K67</f>
        <v/>
      </c>
      <c r="I67" s="88" t="str">
        <f>'6'!K67</f>
        <v/>
      </c>
      <c r="J67" s="93" t="str">
        <f>'7'!K67</f>
        <v/>
      </c>
      <c r="K67" s="93" t="str">
        <f>'8'!K67</f>
        <v/>
      </c>
      <c r="L67" s="93" t="str">
        <f>'9'!K67</f>
        <v/>
      </c>
      <c r="M67" s="93" t="str">
        <f>'10'!K67</f>
        <v/>
      </c>
      <c r="N67" s="93" t="str">
        <f>'11'!K67</f>
        <v/>
      </c>
      <c r="O67" s="93" t="str">
        <f>'12'!K67</f>
        <v/>
      </c>
      <c r="P67" s="93" t="str">
        <f>'13'!K67</f>
        <v/>
      </c>
      <c r="Q67" s="93" t="str">
        <f>'14'!K67</f>
        <v/>
      </c>
      <c r="R67" s="93" t="str">
        <f>'15'!K67</f>
        <v/>
      </c>
      <c r="S67" s="93" t="str">
        <f>'14'!K67</f>
        <v/>
      </c>
      <c r="T67" s="93" t="str">
        <f>'17'!K67</f>
        <v/>
      </c>
      <c r="U67" s="93" t="str">
        <f>'18'!K67</f>
        <v/>
      </c>
      <c r="V67" s="93" t="str">
        <f>'19'!K67</f>
        <v/>
      </c>
      <c r="W67" s="93" t="str">
        <f>'20'!K67</f>
        <v/>
      </c>
      <c r="X67" s="93" t="str">
        <f>'21'!K67</f>
        <v/>
      </c>
      <c r="Y67" s="93" t="str">
        <f>'22'!K67</f>
        <v/>
      </c>
      <c r="Z67" s="93" t="str">
        <f>'23'!K67</f>
        <v/>
      </c>
      <c r="AA67" s="93" t="str">
        <f>'24'!K67</f>
        <v/>
      </c>
      <c r="AB67" s="93" t="str">
        <f>'25'!K67</f>
        <v/>
      </c>
      <c r="AC67" s="93" t="str">
        <f>'26'!K67</f>
        <v/>
      </c>
      <c r="AD67" s="93" t="str">
        <f>'27'!K67</f>
        <v/>
      </c>
      <c r="AE67" s="93" t="str">
        <f>'28'!K67</f>
        <v/>
      </c>
      <c r="AF67" s="93" t="str">
        <f>'30'!K67</f>
        <v/>
      </c>
      <c r="AG67" s="101"/>
      <c r="AH67" s="101">
        <f t="shared" si="1"/>
        <v>0</v>
      </c>
      <c r="AI67" s="105" t="str">
        <f t="shared" si="2"/>
        <v>#DIV/0!</v>
      </c>
      <c r="AJ67" s="6"/>
      <c r="AK67" s="6"/>
      <c r="AL67" s="6"/>
    </row>
    <row r="68" ht="15.75" customHeight="1">
      <c r="A68" s="206"/>
      <c r="B68" s="130" t="s">
        <v>101</v>
      </c>
      <c r="C68" s="81" t="s">
        <v>102</v>
      </c>
      <c r="D68" s="88">
        <f>'1'!K68</f>
        <v>18333.33333</v>
      </c>
      <c r="E68" s="88">
        <f>'2'!K68</f>
        <v>18333.33333</v>
      </c>
      <c r="F68" s="88">
        <f>'3'!K68</f>
        <v>18333.33333</v>
      </c>
      <c r="G68" s="88">
        <f>'4'!K68</f>
        <v>18333.33333</v>
      </c>
      <c r="H68" s="88">
        <f>'5'!K68</f>
        <v>18333.33333</v>
      </c>
      <c r="I68" s="88">
        <f>'6'!K68</f>
        <v>18333.33333</v>
      </c>
      <c r="J68" s="93">
        <f>'7'!K68</f>
        <v>18333.33333</v>
      </c>
      <c r="K68" s="93">
        <f>'8'!K68</f>
        <v>18333.33333</v>
      </c>
      <c r="L68" s="93">
        <f>'9'!K68</f>
        <v>18333.33333</v>
      </c>
      <c r="M68" s="93">
        <f>'10'!K68</f>
        <v>18333.33333</v>
      </c>
      <c r="N68" s="93">
        <f>'11'!K68</f>
        <v>18333.33333</v>
      </c>
      <c r="O68" s="93">
        <f>'12'!K68</f>
        <v>18333.33333</v>
      </c>
      <c r="P68" s="93">
        <f>'13'!K68</f>
        <v>18333.33333</v>
      </c>
      <c r="Q68" s="93">
        <f>'14'!K68</f>
        <v>18333.33333</v>
      </c>
      <c r="R68" s="93">
        <f>'15'!K68</f>
        <v>18333.33333</v>
      </c>
      <c r="S68" s="93">
        <f>'14'!K68</f>
        <v>18333.33333</v>
      </c>
      <c r="T68" s="93">
        <f>'17'!K68</f>
        <v>18333.33333</v>
      </c>
      <c r="U68" s="93">
        <f>'18'!K68</f>
        <v>18333.33333</v>
      </c>
      <c r="V68" s="93">
        <f>'19'!K68</f>
        <v>18333.33333</v>
      </c>
      <c r="W68" s="93">
        <f>'20'!K68</f>
        <v>18333.33333</v>
      </c>
      <c r="X68" s="93">
        <f>'21'!K68</f>
        <v>18333.33333</v>
      </c>
      <c r="Y68" s="93">
        <f>'22'!K68</f>
        <v>18333.33333</v>
      </c>
      <c r="Z68" s="93">
        <f>'23'!K68</f>
        <v>18333.33333</v>
      </c>
      <c r="AA68" s="93">
        <f>'24'!K68</f>
        <v>18333.33333</v>
      </c>
      <c r="AB68" s="93">
        <f>'25'!K68</f>
        <v>18333.33333</v>
      </c>
      <c r="AC68" s="93">
        <f>'26'!K68</f>
        <v>18333.33333</v>
      </c>
      <c r="AD68" s="93">
        <f>'27'!K68</f>
        <v>18333.33333</v>
      </c>
      <c r="AE68" s="93">
        <f>'28'!K68</f>
        <v>18333.33333</v>
      </c>
      <c r="AF68" s="93">
        <f>'30'!K68</f>
        <v>18333.33333</v>
      </c>
      <c r="AG68" s="101"/>
      <c r="AH68" s="101">
        <f t="shared" si="1"/>
        <v>0</v>
      </c>
      <c r="AI68" s="105">
        <f t="shared" si="2"/>
        <v>18333.33333</v>
      </c>
      <c r="AJ68" s="6"/>
      <c r="AK68" s="6"/>
      <c r="AL68" s="6"/>
    </row>
    <row r="69" ht="15.75" customHeight="1">
      <c r="A69" s="119">
        <v>19.0</v>
      </c>
      <c r="B69" s="120" t="s">
        <v>103</v>
      </c>
      <c r="C69" s="120"/>
      <c r="D69" s="88" t="str">
        <f>'1'!K69</f>
        <v/>
      </c>
      <c r="E69" s="88" t="str">
        <f>'2'!K69</f>
        <v/>
      </c>
      <c r="F69" s="88" t="str">
        <f>'3'!K69</f>
        <v/>
      </c>
      <c r="G69" s="88" t="str">
        <f>'4'!K69</f>
        <v/>
      </c>
      <c r="H69" s="88" t="str">
        <f>'5'!K69</f>
        <v/>
      </c>
      <c r="I69" s="88" t="str">
        <f>'6'!K69</f>
        <v/>
      </c>
      <c r="J69" s="93" t="str">
        <f>'7'!K69</f>
        <v/>
      </c>
      <c r="K69" s="93" t="str">
        <f>'8'!K69</f>
        <v/>
      </c>
      <c r="L69" s="93" t="str">
        <f>'9'!K69</f>
        <v/>
      </c>
      <c r="M69" s="93" t="str">
        <f>'10'!K69</f>
        <v/>
      </c>
      <c r="N69" s="93" t="str">
        <f>'11'!K69</f>
        <v/>
      </c>
      <c r="O69" s="93" t="str">
        <f>'12'!K69</f>
        <v/>
      </c>
      <c r="P69" s="93" t="str">
        <f>'13'!K69</f>
        <v/>
      </c>
      <c r="Q69" s="93" t="str">
        <f>'14'!K69</f>
        <v/>
      </c>
      <c r="R69" s="93" t="str">
        <f>'15'!K69</f>
        <v/>
      </c>
      <c r="S69" s="93" t="str">
        <f>'14'!K69</f>
        <v/>
      </c>
      <c r="T69" s="93" t="str">
        <f>'17'!K69</f>
        <v/>
      </c>
      <c r="U69" s="93" t="str">
        <f>'18'!K69</f>
        <v/>
      </c>
      <c r="V69" s="93" t="str">
        <f>'19'!K69</f>
        <v/>
      </c>
      <c r="W69" s="93" t="str">
        <f>'20'!K69</f>
        <v/>
      </c>
      <c r="X69" s="93" t="str">
        <f>'21'!K69</f>
        <v/>
      </c>
      <c r="Y69" s="93" t="str">
        <f>'22'!K69</f>
        <v/>
      </c>
      <c r="Z69" s="93" t="str">
        <f>'23'!K69</f>
        <v/>
      </c>
      <c r="AA69" s="93" t="str">
        <f>'24'!K69</f>
        <v/>
      </c>
      <c r="AB69" s="93" t="str">
        <f>'25'!K69</f>
        <v/>
      </c>
      <c r="AC69" s="93" t="str">
        <f>'26'!K69</f>
        <v/>
      </c>
      <c r="AD69" s="93" t="str">
        <f>'27'!K69</f>
        <v/>
      </c>
      <c r="AE69" s="93" t="str">
        <f>'28'!K69</f>
        <v/>
      </c>
      <c r="AF69" s="93" t="str">
        <f>'30'!K69</f>
        <v/>
      </c>
      <c r="AG69" s="101"/>
      <c r="AH69" s="101">
        <f t="shared" si="1"/>
        <v>0</v>
      </c>
      <c r="AI69" s="105" t="str">
        <f t="shared" si="2"/>
        <v>#DIV/0!</v>
      </c>
      <c r="AJ69" s="6"/>
      <c r="AK69" s="6"/>
      <c r="AL69" s="6"/>
    </row>
    <row r="70" ht="15.75" customHeight="1">
      <c r="A70" s="26"/>
      <c r="B70" s="130" t="s">
        <v>104</v>
      </c>
      <c r="C70" s="81" t="s">
        <v>24</v>
      </c>
      <c r="D70" s="88">
        <f>'1'!K70</f>
        <v>36428.57143</v>
      </c>
      <c r="E70" s="88">
        <f>'2'!K70</f>
        <v>36428.57143</v>
      </c>
      <c r="F70" s="88">
        <f>'3'!K70</f>
        <v>36428.57143</v>
      </c>
      <c r="G70" s="88">
        <f>'4'!K70</f>
        <v>36428.57143</v>
      </c>
      <c r="H70" s="88">
        <f>'5'!K70</f>
        <v>36571.42857</v>
      </c>
      <c r="I70" s="88">
        <f>'6'!K70</f>
        <v>38000</v>
      </c>
      <c r="J70" s="93">
        <f>'7'!K70</f>
        <v>35857.14286</v>
      </c>
      <c r="K70" s="93">
        <f>'8'!K70</f>
        <v>35571.42857</v>
      </c>
      <c r="L70" s="93">
        <f>'9'!K70</f>
        <v>35285.71429</v>
      </c>
      <c r="M70" s="93">
        <f>'10'!K70</f>
        <v>35285.71429</v>
      </c>
      <c r="N70" s="93">
        <f>'11'!K70</f>
        <v>34714.28571</v>
      </c>
      <c r="O70" s="93">
        <f>'12'!K70</f>
        <v>34714.28571</v>
      </c>
      <c r="P70" s="93">
        <f>'13'!K70</f>
        <v>34428.57143</v>
      </c>
      <c r="Q70" s="93">
        <f>'14'!K70</f>
        <v>34428.57143</v>
      </c>
      <c r="R70" s="93">
        <f>'15'!K70</f>
        <v>34428.57143</v>
      </c>
      <c r="S70" s="93">
        <f>'14'!K70</f>
        <v>34428.57143</v>
      </c>
      <c r="T70" s="93">
        <f>'17'!K70</f>
        <v>34714.28571</v>
      </c>
      <c r="U70" s="93">
        <f>'18'!K70</f>
        <v>34714.28571</v>
      </c>
      <c r="V70" s="93">
        <f>'19'!K70</f>
        <v>33428.57143</v>
      </c>
      <c r="W70" s="93">
        <f>'20'!K70</f>
        <v>34000</v>
      </c>
      <c r="X70" s="93">
        <f>'21'!K70</f>
        <v>34000</v>
      </c>
      <c r="Y70" s="93">
        <f>'22'!K70</f>
        <v>34000</v>
      </c>
      <c r="Z70" s="93">
        <f>'23'!K70</f>
        <v>34000</v>
      </c>
      <c r="AA70" s="93">
        <f>'24'!K70</f>
        <v>34000</v>
      </c>
      <c r="AB70" s="93">
        <f>'25'!K70</f>
        <v>34000</v>
      </c>
      <c r="AC70" s="93">
        <f>'26'!K70</f>
        <v>33857.14286</v>
      </c>
      <c r="AD70" s="93">
        <f>'27'!K70</f>
        <v>34285.71429</v>
      </c>
      <c r="AE70" s="93">
        <f>'28'!K70</f>
        <v>35000</v>
      </c>
      <c r="AF70" s="93">
        <f>'30'!K70</f>
        <v>35142.85714</v>
      </c>
      <c r="AG70" s="101"/>
      <c r="AH70" s="103">
        <f t="shared" si="1"/>
        <v>-1285.714286</v>
      </c>
      <c r="AI70" s="105">
        <f t="shared" si="2"/>
        <v>34985.22167</v>
      </c>
      <c r="AJ70" s="6"/>
      <c r="AK70" s="6"/>
      <c r="AL70" s="6"/>
    </row>
    <row r="71" ht="15.75" customHeight="1">
      <c r="A71" s="26"/>
      <c r="B71" s="130" t="s">
        <v>105</v>
      </c>
      <c r="C71" s="81" t="s">
        <v>24</v>
      </c>
      <c r="D71" s="88">
        <f>'1'!K71</f>
        <v>33714.28571</v>
      </c>
      <c r="E71" s="88">
        <f>'2'!K71</f>
        <v>33857.14286</v>
      </c>
      <c r="F71" s="88">
        <f>'3'!K71</f>
        <v>33857.14286</v>
      </c>
      <c r="G71" s="88">
        <f>'4'!K71</f>
        <v>34000</v>
      </c>
      <c r="H71" s="88">
        <f>'5'!K71</f>
        <v>33857.14286</v>
      </c>
      <c r="I71" s="88">
        <f>'6'!K71</f>
        <v>34285.71429</v>
      </c>
      <c r="J71" s="93">
        <f>'7'!K71</f>
        <v>32285.71429</v>
      </c>
      <c r="K71" s="93">
        <f>'8'!K71</f>
        <v>32857.14286</v>
      </c>
      <c r="L71" s="93">
        <f>'9'!K71</f>
        <v>32000</v>
      </c>
      <c r="M71" s="93">
        <f>'10'!K71</f>
        <v>32285.71429</v>
      </c>
      <c r="N71" s="93">
        <f>'11'!K71</f>
        <v>31714.28571</v>
      </c>
      <c r="O71" s="93">
        <f>'12'!K71</f>
        <v>31714.28571</v>
      </c>
      <c r="P71" s="93">
        <f>'13'!K71</f>
        <v>31142.85714</v>
      </c>
      <c r="Q71" s="93">
        <f>'14'!K71</f>
        <v>31428.57143</v>
      </c>
      <c r="R71" s="93">
        <f>'15'!K71</f>
        <v>31285.71429</v>
      </c>
      <c r="S71" s="93">
        <f>'14'!K71</f>
        <v>31428.57143</v>
      </c>
      <c r="T71" s="93">
        <f>'17'!K71</f>
        <v>31714.28571</v>
      </c>
      <c r="U71" s="93">
        <f>'18'!K71</f>
        <v>31857.14286</v>
      </c>
      <c r="V71" s="93">
        <f>'19'!K71</f>
        <v>31142.85714</v>
      </c>
      <c r="W71" s="93">
        <f>'20'!K71</f>
        <v>31142.85714</v>
      </c>
      <c r="X71" s="93">
        <f>'21'!K71</f>
        <v>31142.85714</v>
      </c>
      <c r="Y71" s="93">
        <f>'22'!K71</f>
        <v>31142.85714</v>
      </c>
      <c r="Z71" s="93">
        <f>'23'!K71</f>
        <v>31142.85714</v>
      </c>
      <c r="AA71" s="93">
        <f>'24'!K71</f>
        <v>31000</v>
      </c>
      <c r="AB71" s="93">
        <f>'25'!K71</f>
        <v>31000</v>
      </c>
      <c r="AC71" s="93">
        <f>'26'!K71</f>
        <v>31428.57143</v>
      </c>
      <c r="AD71" s="93">
        <f>'27'!K71</f>
        <v>31714.28571</v>
      </c>
      <c r="AE71" s="93">
        <f>'28'!K71</f>
        <v>32000</v>
      </c>
      <c r="AF71" s="93">
        <f>'30'!K71</f>
        <v>31857.14286</v>
      </c>
      <c r="AG71" s="101"/>
      <c r="AH71" s="103">
        <f t="shared" si="1"/>
        <v>-1857.142857</v>
      </c>
      <c r="AI71" s="105">
        <f t="shared" si="2"/>
        <v>32068.96552</v>
      </c>
      <c r="AJ71" s="6"/>
      <c r="AK71" s="6"/>
      <c r="AL71" s="6"/>
    </row>
    <row r="72" ht="15.75" customHeight="1">
      <c r="A72" s="26"/>
      <c r="B72" s="130" t="s">
        <v>106</v>
      </c>
      <c r="C72" s="81" t="s">
        <v>24</v>
      </c>
      <c r="D72" s="88">
        <f>'1'!K72</f>
        <v>35000</v>
      </c>
      <c r="E72" s="88">
        <f>'2'!K72</f>
        <v>35428.57143</v>
      </c>
      <c r="F72" s="88">
        <f>'3'!K72</f>
        <v>35714.28571</v>
      </c>
      <c r="G72" s="88">
        <f>'4'!K72</f>
        <v>36000</v>
      </c>
      <c r="H72" s="88">
        <f>'5'!K72</f>
        <v>36142.85714</v>
      </c>
      <c r="I72" s="88">
        <f>'6'!K72</f>
        <v>36571.42857</v>
      </c>
      <c r="J72" s="93">
        <f>'7'!K72</f>
        <v>35571.42857</v>
      </c>
      <c r="K72" s="93">
        <f>'8'!K72</f>
        <v>36142.85714</v>
      </c>
      <c r="L72" s="93">
        <f>'9'!K72</f>
        <v>35142.85714</v>
      </c>
      <c r="M72" s="93">
        <f>'10'!K72</f>
        <v>35428.57143</v>
      </c>
      <c r="N72" s="93">
        <f>'11'!K72</f>
        <v>35142.85714</v>
      </c>
      <c r="O72" s="93">
        <f>'12'!K72</f>
        <v>35142.85714</v>
      </c>
      <c r="P72" s="93">
        <f>'13'!K72</f>
        <v>34285.71429</v>
      </c>
      <c r="Q72" s="93">
        <f>'14'!K72</f>
        <v>33285.71429</v>
      </c>
      <c r="R72" s="93">
        <f>'15'!K72</f>
        <v>33714.28571</v>
      </c>
      <c r="S72" s="93">
        <f>'14'!K72</f>
        <v>33285.71429</v>
      </c>
      <c r="T72" s="93">
        <f>'17'!K72</f>
        <v>35000</v>
      </c>
      <c r="U72" s="93">
        <f>'18'!K72</f>
        <v>35000</v>
      </c>
      <c r="V72" s="93">
        <f>'19'!K72</f>
        <v>33571.42857</v>
      </c>
      <c r="W72" s="93">
        <f>'20'!K72</f>
        <v>33428.57143</v>
      </c>
      <c r="X72" s="93">
        <f>'21'!K72</f>
        <v>33428.57143</v>
      </c>
      <c r="Y72" s="93">
        <f>'22'!K72</f>
        <v>33285.71429</v>
      </c>
      <c r="Z72" s="93">
        <f>'23'!K72</f>
        <v>32285.71429</v>
      </c>
      <c r="AA72" s="93">
        <f>'24'!K72</f>
        <v>32285.71429</v>
      </c>
      <c r="AB72" s="93">
        <f>'25'!K72</f>
        <v>32285.71429</v>
      </c>
      <c r="AC72" s="93">
        <f>'26'!K72</f>
        <v>28928.57143</v>
      </c>
      <c r="AD72" s="93">
        <f>'27'!K72</f>
        <v>32857.14286</v>
      </c>
      <c r="AE72" s="93">
        <f>'28'!K72</f>
        <v>33714.28571</v>
      </c>
      <c r="AF72" s="93">
        <f>'30'!K72</f>
        <v>34000</v>
      </c>
      <c r="AG72" s="101"/>
      <c r="AH72" s="103">
        <f t="shared" si="1"/>
        <v>-1000</v>
      </c>
      <c r="AI72" s="105">
        <f t="shared" si="2"/>
        <v>34209.35961</v>
      </c>
      <c r="AJ72" s="6"/>
      <c r="AK72" s="6"/>
      <c r="AL72" s="6"/>
    </row>
    <row r="73" ht="15.75" customHeight="1">
      <c r="A73" s="77"/>
      <c r="B73" s="130" t="s">
        <v>107</v>
      </c>
      <c r="C73" s="81" t="s">
        <v>24</v>
      </c>
      <c r="D73" s="88">
        <f>'1'!K73</f>
        <v>42000</v>
      </c>
      <c r="E73" s="88">
        <f>'2'!K73</f>
        <v>41285.71429</v>
      </c>
      <c r="F73" s="88">
        <f>'3'!K73</f>
        <v>41285.71429</v>
      </c>
      <c r="G73" s="88">
        <f>'4'!K73</f>
        <v>41285.71429</v>
      </c>
      <c r="H73" s="88">
        <f>'5'!K73</f>
        <v>41142.85714</v>
      </c>
      <c r="I73" s="88">
        <f>'6'!K73</f>
        <v>41142.85714</v>
      </c>
      <c r="J73" s="93">
        <f>'7'!K73</f>
        <v>41142.85714</v>
      </c>
      <c r="K73" s="93">
        <f>'8'!K73</f>
        <v>41142.85714</v>
      </c>
      <c r="L73" s="93">
        <f>'9'!K73</f>
        <v>41142.85714</v>
      </c>
      <c r="M73" s="93">
        <f>'10'!K73</f>
        <v>41142.85714</v>
      </c>
      <c r="N73" s="93">
        <f>'11'!K73</f>
        <v>41142.85714</v>
      </c>
      <c r="O73" s="93">
        <f>'12'!K73</f>
        <v>39428.57143</v>
      </c>
      <c r="P73" s="93">
        <f>'13'!K73</f>
        <v>39428.57143</v>
      </c>
      <c r="Q73" s="93">
        <f>'14'!K73</f>
        <v>39428.57143</v>
      </c>
      <c r="R73" s="93">
        <f>'15'!K73</f>
        <v>40285.71429</v>
      </c>
      <c r="S73" s="93">
        <f>'14'!K73</f>
        <v>39428.57143</v>
      </c>
      <c r="T73" s="93">
        <f>'17'!K73</f>
        <v>38571.42857</v>
      </c>
      <c r="U73" s="93">
        <f>'18'!K73</f>
        <v>38142.85714</v>
      </c>
      <c r="V73" s="93">
        <f>'19'!K73</f>
        <v>36571.42857</v>
      </c>
      <c r="W73" s="93">
        <f>'20'!K73</f>
        <v>36428.57143</v>
      </c>
      <c r="X73" s="93">
        <f>'21'!K73</f>
        <v>35714.28571</v>
      </c>
      <c r="Y73" s="93">
        <f>'22'!K73</f>
        <v>35714.28571</v>
      </c>
      <c r="Z73" s="93">
        <f>'23'!K73</f>
        <v>34000</v>
      </c>
      <c r="AA73" s="93">
        <f>'24'!K73</f>
        <v>34285.71429</v>
      </c>
      <c r="AB73" s="93">
        <f>'25'!K73</f>
        <v>34285.71429</v>
      </c>
      <c r="AC73" s="93">
        <f>'26'!K73</f>
        <v>34285.71429</v>
      </c>
      <c r="AD73" s="93">
        <f>'27'!K73</f>
        <v>34285.71429</v>
      </c>
      <c r="AE73" s="93">
        <f>'28'!K73</f>
        <v>34285.71429</v>
      </c>
      <c r="AF73" s="93">
        <f>'30'!K73</f>
        <v>34285.71429</v>
      </c>
      <c r="AG73" s="101"/>
      <c r="AH73" s="103">
        <f t="shared" si="1"/>
        <v>-7714.285714</v>
      </c>
      <c r="AI73" s="105">
        <f t="shared" si="2"/>
        <v>38369.45813</v>
      </c>
      <c r="AJ73" s="6"/>
      <c r="AK73" s="6"/>
      <c r="AL73" s="6"/>
    </row>
    <row r="74" ht="15.75" customHeight="1">
      <c r="A74" s="205">
        <v>20.0</v>
      </c>
      <c r="B74" s="120" t="s">
        <v>108</v>
      </c>
      <c r="C74" s="81"/>
      <c r="D74" s="88" t="str">
        <f>'1'!K74</f>
        <v/>
      </c>
      <c r="E74" s="88" t="str">
        <f>'2'!K74</f>
        <v/>
      </c>
      <c r="F74" s="88" t="str">
        <f>'3'!K74</f>
        <v/>
      </c>
      <c r="G74" s="88" t="str">
        <f>'4'!K74</f>
        <v/>
      </c>
      <c r="H74" s="88" t="str">
        <f>'5'!K74</f>
        <v/>
      </c>
      <c r="I74" s="88" t="str">
        <f>'6'!K74</f>
        <v/>
      </c>
      <c r="J74" s="93" t="str">
        <f>'7'!K74</f>
        <v/>
      </c>
      <c r="K74" s="93" t="str">
        <f>'8'!K74</f>
        <v/>
      </c>
      <c r="L74" s="93" t="str">
        <f>'9'!K74</f>
        <v/>
      </c>
      <c r="M74" s="93" t="str">
        <f>'10'!K74</f>
        <v/>
      </c>
      <c r="N74" s="93" t="str">
        <f>'11'!K74</f>
        <v/>
      </c>
      <c r="O74" s="93" t="str">
        <f>'12'!K74</f>
        <v/>
      </c>
      <c r="P74" s="93" t="str">
        <f>'13'!K74</f>
        <v/>
      </c>
      <c r="Q74" s="93" t="str">
        <f>'14'!K74</f>
        <v/>
      </c>
      <c r="R74" s="93" t="str">
        <f>'15'!K74</f>
        <v/>
      </c>
      <c r="S74" s="93" t="str">
        <f>'14'!K74</f>
        <v/>
      </c>
      <c r="T74" s="93" t="str">
        <f>'17'!K74</f>
        <v/>
      </c>
      <c r="U74" s="93" t="str">
        <f>'18'!K74</f>
        <v/>
      </c>
      <c r="V74" s="93" t="str">
        <f>'19'!K74</f>
        <v/>
      </c>
      <c r="W74" s="93" t="str">
        <f>'20'!K74</f>
        <v/>
      </c>
      <c r="X74" s="93" t="str">
        <f>'21'!K74</f>
        <v/>
      </c>
      <c r="Y74" s="93" t="str">
        <f>'22'!K74</f>
        <v/>
      </c>
      <c r="Z74" s="93" t="str">
        <f>'23'!K74</f>
        <v/>
      </c>
      <c r="AA74" s="93" t="str">
        <f>'24'!K74</f>
        <v/>
      </c>
      <c r="AB74" s="93" t="str">
        <f>'25'!K74</f>
        <v/>
      </c>
      <c r="AC74" s="93" t="str">
        <f>'26'!K74</f>
        <v/>
      </c>
      <c r="AD74" s="93" t="str">
        <f>'27'!K74</f>
        <v/>
      </c>
      <c r="AE74" s="93" t="str">
        <f>'28'!K74</f>
        <v/>
      </c>
      <c r="AF74" s="93" t="str">
        <f>'30'!K74</f>
        <v/>
      </c>
      <c r="AG74" s="101"/>
      <c r="AH74" s="101">
        <f t="shared" si="1"/>
        <v>0</v>
      </c>
      <c r="AI74" s="105" t="str">
        <f t="shared" si="2"/>
        <v>#DIV/0!</v>
      </c>
      <c r="AJ74" s="6"/>
      <c r="AK74" s="6"/>
      <c r="AL74" s="6"/>
    </row>
    <row r="75" ht="15.75" customHeight="1">
      <c r="A75" s="207"/>
      <c r="B75" s="130" t="s">
        <v>109</v>
      </c>
      <c r="C75" s="81" t="s">
        <v>24</v>
      </c>
      <c r="D75" s="88">
        <f>'1'!K75</f>
        <v>5714.285714</v>
      </c>
      <c r="E75" s="88">
        <f>'2'!K75</f>
        <v>5714.285714</v>
      </c>
      <c r="F75" s="88">
        <f>'3'!K75</f>
        <v>5714.285714</v>
      </c>
      <c r="G75" s="88">
        <f>'4'!K75</f>
        <v>5714.285714</v>
      </c>
      <c r="H75" s="88">
        <f>'5'!K75</f>
        <v>5714.285714</v>
      </c>
      <c r="I75" s="88">
        <f>'6'!K75</f>
        <v>5714.285714</v>
      </c>
      <c r="J75" s="93">
        <f>'7'!K75</f>
        <v>5714.285714</v>
      </c>
      <c r="K75" s="93">
        <f>'8'!K75</f>
        <v>5714.285714</v>
      </c>
      <c r="L75" s="93">
        <f>'9'!K75</f>
        <v>5714.285714</v>
      </c>
      <c r="M75" s="93">
        <f>'10'!K75</f>
        <v>5714.285714</v>
      </c>
      <c r="N75" s="93">
        <f>'11'!K75</f>
        <v>5714.285714</v>
      </c>
      <c r="O75" s="93">
        <f>'12'!K75</f>
        <v>5428.571429</v>
      </c>
      <c r="P75" s="93">
        <f>'13'!K75</f>
        <v>5428.571429</v>
      </c>
      <c r="Q75" s="93">
        <f>'14'!K75</f>
        <v>5428.571429</v>
      </c>
      <c r="R75" s="93">
        <f>'15'!K75</f>
        <v>5428.571429</v>
      </c>
      <c r="S75" s="93">
        <f>'14'!K75</f>
        <v>5428.571429</v>
      </c>
      <c r="T75" s="93">
        <f>'17'!K75</f>
        <v>5428.571429</v>
      </c>
      <c r="U75" s="93">
        <f>'18'!K75</f>
        <v>5428.571429</v>
      </c>
      <c r="V75" s="93">
        <f>'19'!K75</f>
        <v>5428.571429</v>
      </c>
      <c r="W75" s="93">
        <f>'20'!K75</f>
        <v>5428.571429</v>
      </c>
      <c r="X75" s="93">
        <f>'21'!K75</f>
        <v>5428.571429</v>
      </c>
      <c r="Y75" s="93">
        <f>'22'!K75</f>
        <v>5428.571429</v>
      </c>
      <c r="Z75" s="93">
        <f>'23'!K75</f>
        <v>5428.571429</v>
      </c>
      <c r="AA75" s="93">
        <f>'24'!K75</f>
        <v>5428.571429</v>
      </c>
      <c r="AB75" s="93">
        <f>'25'!K75</f>
        <v>5428.571429</v>
      </c>
      <c r="AC75" s="93">
        <f>'26'!K75</f>
        <v>5428.571429</v>
      </c>
      <c r="AD75" s="93">
        <f>'27'!K75</f>
        <v>5428.571429</v>
      </c>
      <c r="AE75" s="93">
        <f>'28'!K75</f>
        <v>5428.571429</v>
      </c>
      <c r="AF75" s="93">
        <f>'30'!K75</f>
        <v>5428.571429</v>
      </c>
      <c r="AG75" s="101"/>
      <c r="AH75" s="103">
        <f t="shared" si="1"/>
        <v>-285.7142857</v>
      </c>
      <c r="AI75" s="105">
        <f t="shared" si="2"/>
        <v>5536.945813</v>
      </c>
      <c r="AJ75" s="6"/>
      <c r="AK75" s="6"/>
      <c r="AL75" s="6"/>
    </row>
    <row r="76" ht="15.75" customHeight="1">
      <c r="A76" s="206"/>
      <c r="B76" s="130" t="s">
        <v>110</v>
      </c>
      <c r="C76" s="81" t="s">
        <v>24</v>
      </c>
      <c r="D76" s="88">
        <f>'1'!K76</f>
        <v>6000</v>
      </c>
      <c r="E76" s="88">
        <f>'2'!K76</f>
        <v>6000</v>
      </c>
      <c r="F76" s="88">
        <f>'3'!K76</f>
        <v>6000</v>
      </c>
      <c r="G76" s="88">
        <f>'4'!K76</f>
        <v>6000</v>
      </c>
      <c r="H76" s="88">
        <f>'5'!K76</f>
        <v>6000</v>
      </c>
      <c r="I76" s="88">
        <f>'6'!K76</f>
        <v>6000</v>
      </c>
      <c r="J76" s="93">
        <f>'7'!K76</f>
        <v>6000</v>
      </c>
      <c r="K76" s="93">
        <f>'8'!K76</f>
        <v>6000</v>
      </c>
      <c r="L76" s="93">
        <f>'9'!K76</f>
        <v>6000</v>
      </c>
      <c r="M76" s="93">
        <f>'10'!K76</f>
        <v>6000</v>
      </c>
      <c r="N76" s="93">
        <f>'11'!K76</f>
        <v>6000</v>
      </c>
      <c r="O76" s="93">
        <f>'12'!K76</f>
        <v>5666.666667</v>
      </c>
      <c r="P76" s="93">
        <f>'13'!K76</f>
        <v>5666.666667</v>
      </c>
      <c r="Q76" s="93">
        <f>'14'!K76</f>
        <v>5666.666667</v>
      </c>
      <c r="R76" s="93">
        <f>'15'!K76</f>
        <v>5666.666667</v>
      </c>
      <c r="S76" s="93">
        <f>'14'!K76</f>
        <v>5666.666667</v>
      </c>
      <c r="T76" s="93">
        <f>'17'!K76</f>
        <v>5666.666667</v>
      </c>
      <c r="U76" s="93">
        <f>'18'!K76</f>
        <v>5666.666667</v>
      </c>
      <c r="V76" s="93">
        <f>'19'!K76</f>
        <v>5666.666667</v>
      </c>
      <c r="W76" s="93">
        <f>'20'!K76</f>
        <v>5666.666667</v>
      </c>
      <c r="X76" s="93">
        <f>'21'!K76</f>
        <v>5666.666667</v>
      </c>
      <c r="Y76" s="93">
        <f>'22'!K76</f>
        <v>5666.666667</v>
      </c>
      <c r="Z76" s="93">
        <f>'23'!K76</f>
        <v>5666.666667</v>
      </c>
      <c r="AA76" s="93">
        <f>'24'!K76</f>
        <v>5666.666667</v>
      </c>
      <c r="AB76" s="93">
        <f>'25'!K76</f>
        <v>5666.666667</v>
      </c>
      <c r="AC76" s="93">
        <f>'26'!K76</f>
        <v>5666.666667</v>
      </c>
      <c r="AD76" s="93">
        <f>'27'!K76</f>
        <v>5666.666667</v>
      </c>
      <c r="AE76" s="93">
        <f>'28'!K76</f>
        <v>5666.666667</v>
      </c>
      <c r="AF76" s="93">
        <f>'30'!K76</f>
        <v>5666.666667</v>
      </c>
      <c r="AG76" s="101"/>
      <c r="AH76" s="103">
        <f t="shared" si="1"/>
        <v>-333.3333333</v>
      </c>
      <c r="AI76" s="105">
        <f t="shared" si="2"/>
        <v>5793.103448</v>
      </c>
      <c r="AJ76" s="6"/>
      <c r="AK76" s="6"/>
      <c r="AL76" s="6"/>
    </row>
    <row r="77" ht="15.75" customHeight="1">
      <c r="A77" s="205">
        <v>21.0</v>
      </c>
      <c r="B77" s="120" t="s">
        <v>111</v>
      </c>
      <c r="C77" s="81"/>
      <c r="D77" s="88" t="str">
        <f>'1'!K77</f>
        <v/>
      </c>
      <c r="E77" s="88" t="str">
        <f>'2'!K77</f>
        <v/>
      </c>
      <c r="F77" s="88" t="str">
        <f>'3'!K77</f>
        <v/>
      </c>
      <c r="G77" s="88" t="str">
        <f>'4'!K77</f>
        <v/>
      </c>
      <c r="H77" s="88" t="str">
        <f>'5'!K77</f>
        <v/>
      </c>
      <c r="I77" s="88" t="str">
        <f>'6'!K77</f>
        <v/>
      </c>
      <c r="J77" s="93" t="str">
        <f>'7'!K77</f>
        <v/>
      </c>
      <c r="K77" s="93" t="str">
        <f>'8'!K77</f>
        <v/>
      </c>
      <c r="L77" s="93" t="str">
        <f>'9'!K77</f>
        <v/>
      </c>
      <c r="M77" s="93" t="str">
        <f>'10'!K77</f>
        <v/>
      </c>
      <c r="N77" s="93" t="str">
        <f>'11'!K77</f>
        <v/>
      </c>
      <c r="O77" s="93" t="str">
        <f>'12'!K77</f>
        <v/>
      </c>
      <c r="P77" s="93" t="str">
        <f>'13'!K77</f>
        <v/>
      </c>
      <c r="Q77" s="93" t="str">
        <f>'14'!K77</f>
        <v/>
      </c>
      <c r="R77" s="93" t="str">
        <f>'15'!K77</f>
        <v/>
      </c>
      <c r="S77" s="93" t="str">
        <f>'14'!K77</f>
        <v/>
      </c>
      <c r="T77" s="93" t="str">
        <f>'17'!K77</f>
        <v/>
      </c>
      <c r="U77" s="93" t="str">
        <f>'18'!K77</f>
        <v/>
      </c>
      <c r="V77" s="93" t="str">
        <f>'19'!K77</f>
        <v/>
      </c>
      <c r="W77" s="93" t="str">
        <f>'20'!K77</f>
        <v/>
      </c>
      <c r="X77" s="93" t="str">
        <f>'21'!K77</f>
        <v/>
      </c>
      <c r="Y77" s="93" t="str">
        <f>'22'!K77</f>
        <v/>
      </c>
      <c r="Z77" s="93" t="str">
        <f>'23'!K77</f>
        <v/>
      </c>
      <c r="AA77" s="93" t="str">
        <f>'24'!K77</f>
        <v/>
      </c>
      <c r="AB77" s="93" t="str">
        <f>'25'!K77</f>
        <v/>
      </c>
      <c r="AC77" s="93" t="str">
        <f>'26'!K77</f>
        <v/>
      </c>
      <c r="AD77" s="93" t="str">
        <f>'27'!K77</f>
        <v/>
      </c>
      <c r="AE77" s="93" t="str">
        <f>'28'!K77</f>
        <v/>
      </c>
      <c r="AF77" s="93" t="str">
        <f>'30'!K77</f>
        <v/>
      </c>
      <c r="AG77" s="101"/>
      <c r="AH77" s="101">
        <f t="shared" si="1"/>
        <v>0</v>
      </c>
      <c r="AI77" s="105" t="str">
        <f t="shared" si="2"/>
        <v>#DIV/0!</v>
      </c>
      <c r="AJ77" s="6"/>
      <c r="AK77" s="6"/>
      <c r="AL77" s="6"/>
    </row>
    <row r="78" ht="15.75" customHeight="1">
      <c r="A78" s="207"/>
      <c r="B78" s="130" t="s">
        <v>112</v>
      </c>
      <c r="C78" s="81" t="s">
        <v>24</v>
      </c>
      <c r="D78" s="88">
        <f>'1'!K78</f>
        <v>7714.285714</v>
      </c>
      <c r="E78" s="88">
        <f>'2'!K78</f>
        <v>7714.285714</v>
      </c>
      <c r="F78" s="88">
        <f>'3'!K78</f>
        <v>7714.285714</v>
      </c>
      <c r="G78" s="88">
        <f>'4'!K78</f>
        <v>7714.285714</v>
      </c>
      <c r="H78" s="88">
        <f>'5'!K78</f>
        <v>7714.285714</v>
      </c>
      <c r="I78" s="88">
        <f>'6'!K78</f>
        <v>7714.285714</v>
      </c>
      <c r="J78" s="93">
        <f>'7'!K78</f>
        <v>7714.285714</v>
      </c>
      <c r="K78" s="93">
        <f>'8'!K78</f>
        <v>7714.285714</v>
      </c>
      <c r="L78" s="93">
        <f>'9'!K78</f>
        <v>7714.285714</v>
      </c>
      <c r="M78" s="93">
        <f>'10'!K78</f>
        <v>7571.428571</v>
      </c>
      <c r="N78" s="93">
        <f>'11'!K78</f>
        <v>7571.428571</v>
      </c>
      <c r="O78" s="93">
        <f>'12'!K78</f>
        <v>7571.428571</v>
      </c>
      <c r="P78" s="93">
        <f>'13'!K78</f>
        <v>7714.285714</v>
      </c>
      <c r="Q78" s="93">
        <f>'14'!K78</f>
        <v>7714.285714</v>
      </c>
      <c r="R78" s="93">
        <f>'15'!K78</f>
        <v>7714.285714</v>
      </c>
      <c r="S78" s="93">
        <f>'14'!K78</f>
        <v>7714.285714</v>
      </c>
      <c r="T78" s="93">
        <f>'17'!K78</f>
        <v>7857.142857</v>
      </c>
      <c r="U78" s="93">
        <f>'18'!K78</f>
        <v>7571.428571</v>
      </c>
      <c r="V78" s="93">
        <f>'19'!K78</f>
        <v>7714.285714</v>
      </c>
      <c r="W78" s="93">
        <f>'20'!K78</f>
        <v>7714.285714</v>
      </c>
      <c r="X78" s="93">
        <f>'21'!K78</f>
        <v>7714.285714</v>
      </c>
      <c r="Y78" s="93">
        <f>'22'!K78</f>
        <v>7714.285714</v>
      </c>
      <c r="Z78" s="93">
        <f>'23'!K78</f>
        <v>7714.285714</v>
      </c>
      <c r="AA78" s="93">
        <f>'24'!K78</f>
        <v>7714.285714</v>
      </c>
      <c r="AB78" s="93">
        <f>'25'!K78</f>
        <v>7714.285714</v>
      </c>
      <c r="AC78" s="93">
        <f>'26'!K78</f>
        <v>7857.142857</v>
      </c>
      <c r="AD78" s="93">
        <f>'27'!K78</f>
        <v>7857.142857</v>
      </c>
      <c r="AE78" s="93">
        <f>'28'!K78</f>
        <v>7857.142857</v>
      </c>
      <c r="AF78" s="93">
        <f>'30'!K78</f>
        <v>7714.285714</v>
      </c>
      <c r="AG78" s="101"/>
      <c r="AH78" s="101">
        <f t="shared" si="1"/>
        <v>0</v>
      </c>
      <c r="AI78" s="105">
        <f t="shared" si="2"/>
        <v>7714.285714</v>
      </c>
      <c r="AJ78" s="6"/>
      <c r="AK78" s="6"/>
      <c r="AL78" s="6"/>
    </row>
    <row r="79" ht="15.75" customHeight="1">
      <c r="A79" s="207"/>
      <c r="B79" s="130" t="s">
        <v>113</v>
      </c>
      <c r="C79" s="81" t="s">
        <v>24</v>
      </c>
      <c r="D79" s="88">
        <f>'1'!K79</f>
        <v>16000</v>
      </c>
      <c r="E79" s="88">
        <f>'2'!K79</f>
        <v>16000</v>
      </c>
      <c r="F79" s="88">
        <f>'3'!K79</f>
        <v>16000</v>
      </c>
      <c r="G79" s="88">
        <f>'4'!K79</f>
        <v>16000</v>
      </c>
      <c r="H79" s="88">
        <f>'5'!K79</f>
        <v>16000</v>
      </c>
      <c r="I79" s="88">
        <f>'6'!K79</f>
        <v>16285.71429</v>
      </c>
      <c r="J79" s="93">
        <f>'7'!K79</f>
        <v>16000</v>
      </c>
      <c r="K79" s="93">
        <f>'8'!K79</f>
        <v>16000</v>
      </c>
      <c r="L79" s="93">
        <f>'9'!K79</f>
        <v>15285.71429</v>
      </c>
      <c r="M79" s="93">
        <f>'10'!K79</f>
        <v>15285.71429</v>
      </c>
      <c r="N79" s="93">
        <f>'11'!K79</f>
        <v>15285.71429</v>
      </c>
      <c r="O79" s="93">
        <f>'12'!K79</f>
        <v>13857.14286</v>
      </c>
      <c r="P79" s="93">
        <f>'13'!K79</f>
        <v>13714.28571</v>
      </c>
      <c r="Q79" s="93">
        <f>'14'!K79</f>
        <v>13714.28571</v>
      </c>
      <c r="R79" s="93">
        <f>'15'!K79</f>
        <v>13714.28571</v>
      </c>
      <c r="S79" s="93">
        <f>'14'!K79</f>
        <v>13714.28571</v>
      </c>
      <c r="T79" s="93">
        <f>'17'!K79</f>
        <v>13714.28571</v>
      </c>
      <c r="U79" s="93">
        <f>'18'!K79</f>
        <v>13714.28571</v>
      </c>
      <c r="V79" s="93">
        <f>'19'!K79</f>
        <v>14285.71429</v>
      </c>
      <c r="W79" s="93">
        <f>'20'!K79</f>
        <v>14428.57143</v>
      </c>
      <c r="X79" s="93">
        <f>'21'!K79</f>
        <v>14428.57143</v>
      </c>
      <c r="Y79" s="93">
        <f>'22'!K79</f>
        <v>14285.71429</v>
      </c>
      <c r="Z79" s="93">
        <f>'23'!K79</f>
        <v>14428.57143</v>
      </c>
      <c r="AA79" s="93">
        <f>'24'!K79</f>
        <v>14142.85714</v>
      </c>
      <c r="AB79" s="93">
        <f>'25'!K79</f>
        <v>14142.85714</v>
      </c>
      <c r="AC79" s="93">
        <f>'26'!K79</f>
        <v>15000</v>
      </c>
      <c r="AD79" s="93">
        <f>'27'!K79</f>
        <v>15000</v>
      </c>
      <c r="AE79" s="93">
        <f>'28'!K79</f>
        <v>14714.28571</v>
      </c>
      <c r="AF79" s="93">
        <f>'30'!K79</f>
        <v>14714.28571</v>
      </c>
      <c r="AG79" s="101"/>
      <c r="AH79" s="103">
        <f t="shared" si="1"/>
        <v>-1285.714286</v>
      </c>
      <c r="AI79" s="105">
        <f t="shared" si="2"/>
        <v>14822.6601</v>
      </c>
      <c r="AJ79" s="6"/>
      <c r="AK79" s="6"/>
      <c r="AL79" s="6"/>
    </row>
    <row r="80" ht="15.75" customHeight="1">
      <c r="A80" s="207"/>
      <c r="B80" s="130" t="s">
        <v>114</v>
      </c>
      <c r="C80" s="81" t="s">
        <v>24</v>
      </c>
      <c r="D80" s="88">
        <f>'1'!K80</f>
        <v>15000</v>
      </c>
      <c r="E80" s="88">
        <f>'2'!K80</f>
        <v>15142.85714</v>
      </c>
      <c r="F80" s="88">
        <f>'3'!K80</f>
        <v>15142.85714</v>
      </c>
      <c r="G80" s="88">
        <f>'4'!K80</f>
        <v>15142.85714</v>
      </c>
      <c r="H80" s="88">
        <f>'5'!K80</f>
        <v>15428.57143</v>
      </c>
      <c r="I80" s="88">
        <f>'6'!K80</f>
        <v>15142.85714</v>
      </c>
      <c r="J80" s="93">
        <f>'7'!K80</f>
        <v>15142.85714</v>
      </c>
      <c r="K80" s="93">
        <f>'8'!K80</f>
        <v>15285.71429</v>
      </c>
      <c r="L80" s="93">
        <f>'9'!K80</f>
        <v>15142.85714</v>
      </c>
      <c r="M80" s="93">
        <f>'10'!K80</f>
        <v>15000</v>
      </c>
      <c r="N80" s="93">
        <f>'11'!K80</f>
        <v>15000</v>
      </c>
      <c r="O80" s="93">
        <f>'12'!K80</f>
        <v>15000</v>
      </c>
      <c r="P80" s="93">
        <f>'13'!K80</f>
        <v>15285.71429</v>
      </c>
      <c r="Q80" s="93">
        <f>'14'!K80</f>
        <v>15285.71429</v>
      </c>
      <c r="R80" s="93">
        <f>'15'!K80</f>
        <v>15357.14286</v>
      </c>
      <c r="S80" s="93">
        <f>'14'!K80</f>
        <v>15285.71429</v>
      </c>
      <c r="T80" s="93">
        <f>'17'!K80</f>
        <v>15285.71429</v>
      </c>
      <c r="U80" s="93">
        <f>'18'!K80</f>
        <v>15285.71429</v>
      </c>
      <c r="V80" s="93">
        <f>'19'!K80</f>
        <v>15142.85714</v>
      </c>
      <c r="W80" s="93">
        <f>'20'!K80</f>
        <v>14714.28571</v>
      </c>
      <c r="X80" s="93">
        <f>'21'!K80</f>
        <v>14714.28571</v>
      </c>
      <c r="Y80" s="93">
        <f>'22'!K80</f>
        <v>14714.28571</v>
      </c>
      <c r="Z80" s="93">
        <f>'23'!K80</f>
        <v>15000</v>
      </c>
      <c r="AA80" s="93">
        <f>'24'!K80</f>
        <v>15000</v>
      </c>
      <c r="AB80" s="93">
        <f>'25'!K80</f>
        <v>15000</v>
      </c>
      <c r="AC80" s="93">
        <f>'26'!K80</f>
        <v>15285.71429</v>
      </c>
      <c r="AD80" s="93">
        <f>'27'!K80</f>
        <v>15285.71429</v>
      </c>
      <c r="AE80" s="93">
        <f>'28'!K80</f>
        <v>15285.71429</v>
      </c>
      <c r="AF80" s="93">
        <f>'30'!K80</f>
        <v>15142.85714</v>
      </c>
      <c r="AG80" s="101"/>
      <c r="AH80" s="111">
        <f t="shared" si="1"/>
        <v>142.8571429</v>
      </c>
      <c r="AI80" s="105">
        <f t="shared" si="2"/>
        <v>15125.61576</v>
      </c>
      <c r="AJ80" s="6"/>
      <c r="AK80" s="6"/>
      <c r="AL80" s="6"/>
    </row>
    <row r="81" ht="15.75" customHeight="1">
      <c r="A81" s="207"/>
      <c r="B81" s="130" t="s">
        <v>115</v>
      </c>
      <c r="C81" s="81" t="s">
        <v>24</v>
      </c>
      <c r="D81" s="88">
        <f>'1'!K81</f>
        <v>13857.14286</v>
      </c>
      <c r="E81" s="88">
        <f>'2'!K81</f>
        <v>13857.14286</v>
      </c>
      <c r="F81" s="88">
        <f>'3'!K81</f>
        <v>13857.14286</v>
      </c>
      <c r="G81" s="88">
        <f>'4'!K81</f>
        <v>13857.14286</v>
      </c>
      <c r="H81" s="88">
        <f>'5'!K81</f>
        <v>14142.85714</v>
      </c>
      <c r="I81" s="88">
        <f>'6'!K81</f>
        <v>14142.85714</v>
      </c>
      <c r="J81" s="93">
        <f>'7'!K81</f>
        <v>14142.85714</v>
      </c>
      <c r="K81" s="93">
        <f>'8'!K81</f>
        <v>14142.85714</v>
      </c>
      <c r="L81" s="93">
        <f>'9'!K81</f>
        <v>14142.85714</v>
      </c>
      <c r="M81" s="93">
        <f>'10'!K81</f>
        <v>14000</v>
      </c>
      <c r="N81" s="93">
        <f>'11'!K81</f>
        <v>14000</v>
      </c>
      <c r="O81" s="93">
        <f>'12'!K81</f>
        <v>14000</v>
      </c>
      <c r="P81" s="93">
        <f>'13'!K81</f>
        <v>14142.85714</v>
      </c>
      <c r="Q81" s="93">
        <f>'14'!K81</f>
        <v>14142.85714</v>
      </c>
      <c r="R81" s="93">
        <f>'15'!K81</f>
        <v>14142.85714</v>
      </c>
      <c r="S81" s="93">
        <f>'14'!K81</f>
        <v>14142.85714</v>
      </c>
      <c r="T81" s="93">
        <f>'17'!K81</f>
        <v>13142.85714</v>
      </c>
      <c r="U81" s="93">
        <f>'18'!K81</f>
        <v>12571.42857</v>
      </c>
      <c r="V81" s="93">
        <f>'19'!K81</f>
        <v>12428.57143</v>
      </c>
      <c r="W81" s="93">
        <f>'20'!K81</f>
        <v>12142.85714</v>
      </c>
      <c r="X81" s="93">
        <f>'21'!K81</f>
        <v>12285.71429</v>
      </c>
      <c r="Y81" s="93">
        <f>'22'!K81</f>
        <v>11857.14286</v>
      </c>
      <c r="Z81" s="93">
        <f>'23'!K81</f>
        <v>11571.42857</v>
      </c>
      <c r="AA81" s="93">
        <f>'24'!K81</f>
        <v>11285.71429</v>
      </c>
      <c r="AB81" s="93">
        <f>'25'!K81</f>
        <v>11714.28571</v>
      </c>
      <c r="AC81" s="93">
        <f>'26'!K81</f>
        <v>11142.85714</v>
      </c>
      <c r="AD81" s="93">
        <f>'27'!K81</f>
        <v>11142.85714</v>
      </c>
      <c r="AE81" s="93">
        <f>'28'!K81</f>
        <v>11142.85714</v>
      </c>
      <c r="AF81" s="93">
        <f>'30'!K81</f>
        <v>11285.71429</v>
      </c>
      <c r="AG81" s="101"/>
      <c r="AH81" s="103">
        <f t="shared" si="1"/>
        <v>-2571.428571</v>
      </c>
      <c r="AI81" s="105">
        <f t="shared" si="2"/>
        <v>13049.26108</v>
      </c>
      <c r="AJ81" s="6"/>
      <c r="AK81" s="6"/>
      <c r="AL81" s="6"/>
    </row>
    <row r="82" ht="15.75" customHeight="1">
      <c r="A82" s="207"/>
      <c r="B82" s="130" t="s">
        <v>116</v>
      </c>
      <c r="C82" s="81" t="s">
        <v>24</v>
      </c>
      <c r="D82" s="88">
        <f>'1'!K82</f>
        <v>10571.42857</v>
      </c>
      <c r="E82" s="88">
        <f>'2'!K82</f>
        <v>10857.14286</v>
      </c>
      <c r="F82" s="88">
        <f>'3'!K82</f>
        <v>10857.14286</v>
      </c>
      <c r="G82" s="88">
        <f>'4'!K82</f>
        <v>10857.14286</v>
      </c>
      <c r="H82" s="88">
        <f>'5'!K82</f>
        <v>11000</v>
      </c>
      <c r="I82" s="88">
        <f>'6'!K82</f>
        <v>11000</v>
      </c>
      <c r="J82" s="93">
        <f>'7'!K82</f>
        <v>11428.57143</v>
      </c>
      <c r="K82" s="93">
        <f>'8'!K82</f>
        <v>11571.42857</v>
      </c>
      <c r="L82" s="93">
        <f>'9'!K82</f>
        <v>11714.28571</v>
      </c>
      <c r="M82" s="93">
        <f>'10'!K82</f>
        <v>11714.28571</v>
      </c>
      <c r="N82" s="93">
        <f>'11'!K82</f>
        <v>11714.28571</v>
      </c>
      <c r="O82" s="93">
        <f>'12'!K82</f>
        <v>10857.14286</v>
      </c>
      <c r="P82" s="93">
        <f>'13'!K82</f>
        <v>11285.71429</v>
      </c>
      <c r="Q82" s="93">
        <f>'14'!K82</f>
        <v>11285.71429</v>
      </c>
      <c r="R82" s="93">
        <f>'15'!K82</f>
        <v>11285.71429</v>
      </c>
      <c r="S82" s="93">
        <f>'14'!K82</f>
        <v>11285.71429</v>
      </c>
      <c r="T82" s="93">
        <f>'17'!K82</f>
        <v>11285.71429</v>
      </c>
      <c r="U82" s="93">
        <f>'18'!K82</f>
        <v>11571.42857</v>
      </c>
      <c r="V82" s="93">
        <f>'19'!K82</f>
        <v>11000</v>
      </c>
      <c r="W82" s="93">
        <f>'20'!K82</f>
        <v>10571.42857</v>
      </c>
      <c r="X82" s="93">
        <f>'21'!K82</f>
        <v>10571.42857</v>
      </c>
      <c r="Y82" s="93">
        <f>'22'!K82</f>
        <v>10571.42857</v>
      </c>
      <c r="Z82" s="93">
        <f>'23'!K82</f>
        <v>10714.28571</v>
      </c>
      <c r="AA82" s="93">
        <f>'24'!K82</f>
        <v>10714.28571</v>
      </c>
      <c r="AB82" s="93">
        <f>'25'!K82</f>
        <v>10714.28571</v>
      </c>
      <c r="AC82" s="93">
        <f>'26'!K82</f>
        <v>10714.28571</v>
      </c>
      <c r="AD82" s="93">
        <f>'27'!K82</f>
        <v>10714.28571</v>
      </c>
      <c r="AE82" s="93">
        <f>'28'!K82</f>
        <v>10714.28571</v>
      </c>
      <c r="AF82" s="93">
        <f>'30'!K82</f>
        <v>10714.28571</v>
      </c>
      <c r="AG82" s="101"/>
      <c r="AH82" s="111">
        <f t="shared" si="1"/>
        <v>142.8571429</v>
      </c>
      <c r="AI82" s="105">
        <f t="shared" si="2"/>
        <v>11029.55665</v>
      </c>
      <c r="AJ82" s="6"/>
      <c r="AK82" s="6"/>
      <c r="AL82" s="6"/>
    </row>
    <row r="83" ht="15.75" customHeight="1">
      <c r="A83" s="207"/>
      <c r="B83" s="130" t="s">
        <v>117</v>
      </c>
      <c r="C83" s="81" t="s">
        <v>24</v>
      </c>
      <c r="D83" s="88">
        <f>'1'!K83</f>
        <v>9428.571429</v>
      </c>
      <c r="E83" s="88">
        <f>'2'!K83</f>
        <v>9428.571429</v>
      </c>
      <c r="F83" s="88">
        <f>'3'!K83</f>
        <v>9428.571429</v>
      </c>
      <c r="G83" s="88">
        <f>'4'!K83</f>
        <v>9428.571429</v>
      </c>
      <c r="H83" s="88">
        <f>'5'!K83</f>
        <v>9428.571429</v>
      </c>
      <c r="I83" s="88">
        <f>'6'!K83</f>
        <v>9428.571429</v>
      </c>
      <c r="J83" s="93">
        <f>'7'!K83</f>
        <v>9428.571429</v>
      </c>
      <c r="K83" s="93">
        <f>'8'!K83</f>
        <v>9428.571429</v>
      </c>
      <c r="L83" s="93">
        <f>'9'!K83</f>
        <v>9428.571429</v>
      </c>
      <c r="M83" s="93">
        <f>'10'!K83</f>
        <v>9428.571429</v>
      </c>
      <c r="N83" s="93">
        <f>'11'!K83</f>
        <v>9428.571429</v>
      </c>
      <c r="O83" s="93">
        <f>'12'!K83</f>
        <v>9142.857143</v>
      </c>
      <c r="P83" s="93">
        <f>'13'!K83</f>
        <v>9142.857143</v>
      </c>
      <c r="Q83" s="93">
        <f>'14'!K83</f>
        <v>9142.857143</v>
      </c>
      <c r="R83" s="93">
        <f>'15'!K83</f>
        <v>9285.714286</v>
      </c>
      <c r="S83" s="93">
        <f>'14'!K83</f>
        <v>9142.857143</v>
      </c>
      <c r="T83" s="93">
        <f>'17'!K83</f>
        <v>9428.571429</v>
      </c>
      <c r="U83" s="93">
        <f>'18'!K83</f>
        <v>9428.571429</v>
      </c>
      <c r="V83" s="93">
        <f>'19'!K83</f>
        <v>9142.857143</v>
      </c>
      <c r="W83" s="93">
        <f>'20'!K83</f>
        <v>9142.857143</v>
      </c>
      <c r="X83" s="93">
        <f>'21'!K83</f>
        <v>9142.857143</v>
      </c>
      <c r="Y83" s="93">
        <f>'22'!K83</f>
        <v>9142.857143</v>
      </c>
      <c r="Z83" s="93">
        <f>'23'!K83</f>
        <v>9142.857143</v>
      </c>
      <c r="AA83" s="93">
        <f>'24'!K83</f>
        <v>8857.142857</v>
      </c>
      <c r="AB83" s="93">
        <f>'25'!K83</f>
        <v>8857.142857</v>
      </c>
      <c r="AC83" s="93">
        <f>'26'!K83</f>
        <v>8857.142857</v>
      </c>
      <c r="AD83" s="93">
        <f>'27'!K83</f>
        <v>8857.142857</v>
      </c>
      <c r="AE83" s="93">
        <f>'28'!K83</f>
        <v>8857.142857</v>
      </c>
      <c r="AF83" s="93">
        <f>'30'!K83</f>
        <v>8857.142857</v>
      </c>
      <c r="AG83" s="101"/>
      <c r="AH83" s="103">
        <f t="shared" si="1"/>
        <v>-571.4285714</v>
      </c>
      <c r="AI83" s="105">
        <f t="shared" si="2"/>
        <v>9216.748768</v>
      </c>
      <c r="AJ83" s="6"/>
      <c r="AK83" s="6"/>
      <c r="AL83" s="6"/>
    </row>
    <row r="84" ht="15.75" customHeight="1">
      <c r="A84" s="207"/>
      <c r="B84" s="130" t="s">
        <v>118</v>
      </c>
      <c r="C84" s="81" t="s">
        <v>119</v>
      </c>
      <c r="D84" s="88">
        <f>'1'!K84</f>
        <v>1916.666667</v>
      </c>
      <c r="E84" s="88">
        <f>'2'!K84</f>
        <v>1916.666667</v>
      </c>
      <c r="F84" s="88">
        <f>'3'!K84</f>
        <v>1916.666667</v>
      </c>
      <c r="G84" s="88">
        <f>'4'!K84</f>
        <v>1916.666667</v>
      </c>
      <c r="H84" s="88">
        <f>'5'!K84</f>
        <v>1916.666667</v>
      </c>
      <c r="I84" s="88">
        <f>'6'!K84</f>
        <v>1916.666667</v>
      </c>
      <c r="J84" s="93">
        <f>'7'!K84</f>
        <v>1916.666667</v>
      </c>
      <c r="K84" s="93">
        <f>'8'!K84</f>
        <v>1916.666667</v>
      </c>
      <c r="L84" s="93">
        <f>'9'!K84</f>
        <v>1916.666667</v>
      </c>
      <c r="M84" s="93">
        <f>'10'!K84</f>
        <v>1916.666667</v>
      </c>
      <c r="N84" s="93">
        <f>'11'!K84</f>
        <v>1916.666667</v>
      </c>
      <c r="O84" s="93">
        <f>'12'!K84</f>
        <v>1916.666667</v>
      </c>
      <c r="P84" s="93">
        <f>'13'!K84</f>
        <v>1916.666667</v>
      </c>
      <c r="Q84" s="93">
        <f>'14'!K84</f>
        <v>1916.666667</v>
      </c>
      <c r="R84" s="93">
        <f>'15'!K84</f>
        <v>1916.666667</v>
      </c>
      <c r="S84" s="93">
        <f>'14'!K84</f>
        <v>1916.666667</v>
      </c>
      <c r="T84" s="93">
        <f>'17'!K84</f>
        <v>1916.666667</v>
      </c>
      <c r="U84" s="93">
        <f>'18'!K84</f>
        <v>1916.666667</v>
      </c>
      <c r="V84" s="93">
        <f>'19'!K84</f>
        <v>1916.666667</v>
      </c>
      <c r="W84" s="93">
        <f>'20'!K84</f>
        <v>1833.333333</v>
      </c>
      <c r="X84" s="93">
        <f>'21'!K84</f>
        <v>1833.333333</v>
      </c>
      <c r="Y84" s="93">
        <f>'22'!K84</f>
        <v>1833.333333</v>
      </c>
      <c r="Z84" s="93">
        <f>'23'!K84</f>
        <v>1833.333333</v>
      </c>
      <c r="AA84" s="93">
        <f>'24'!K84</f>
        <v>1750</v>
      </c>
      <c r="AB84" s="93">
        <f>'25'!K84</f>
        <v>1750</v>
      </c>
      <c r="AC84" s="93">
        <f>'26'!K84</f>
        <v>1750</v>
      </c>
      <c r="AD84" s="93">
        <f>'27'!K84</f>
        <v>1750</v>
      </c>
      <c r="AE84" s="93">
        <f>'28'!K84</f>
        <v>1750</v>
      </c>
      <c r="AF84" s="93">
        <f>'30'!K84</f>
        <v>1750</v>
      </c>
      <c r="AG84" s="101"/>
      <c r="AH84" s="103">
        <f t="shared" si="1"/>
        <v>-166.6666667</v>
      </c>
      <c r="AI84" s="105">
        <f t="shared" si="2"/>
        <v>1870.689655</v>
      </c>
      <c r="AJ84" s="6"/>
      <c r="AK84" s="6"/>
      <c r="AL84" s="6"/>
    </row>
    <row r="85" ht="15.75" customHeight="1">
      <c r="A85" s="207"/>
      <c r="B85" s="130" t="s">
        <v>120</v>
      </c>
      <c r="C85" s="81" t="s">
        <v>119</v>
      </c>
      <c r="D85" s="88">
        <f>'1'!K85</f>
        <v>1666.666667</v>
      </c>
      <c r="E85" s="88">
        <f>'2'!K85</f>
        <v>1666.666667</v>
      </c>
      <c r="F85" s="88">
        <f>'3'!K85</f>
        <v>1750</v>
      </c>
      <c r="G85" s="88">
        <f>'4'!K85</f>
        <v>1750</v>
      </c>
      <c r="H85" s="88">
        <f>'5'!K85</f>
        <v>1750</v>
      </c>
      <c r="I85" s="88">
        <f>'6'!K85</f>
        <v>1750</v>
      </c>
      <c r="J85" s="93">
        <f>'7'!K85</f>
        <v>1750</v>
      </c>
      <c r="K85" s="93">
        <f>'8'!K85</f>
        <v>1750</v>
      </c>
      <c r="L85" s="93">
        <f>'9'!K85</f>
        <v>1750</v>
      </c>
      <c r="M85" s="93">
        <f>'10'!K85</f>
        <v>1666.666667</v>
      </c>
      <c r="N85" s="93">
        <f>'11'!K85</f>
        <v>1750</v>
      </c>
      <c r="O85" s="93">
        <f>'12'!K85</f>
        <v>1750</v>
      </c>
      <c r="P85" s="93">
        <f>'13'!K85</f>
        <v>1750</v>
      </c>
      <c r="Q85" s="93">
        <f>'14'!K85</f>
        <v>1750</v>
      </c>
      <c r="R85" s="93">
        <f>'15'!K85</f>
        <v>1750</v>
      </c>
      <c r="S85" s="93">
        <f>'14'!K85</f>
        <v>1750</v>
      </c>
      <c r="T85" s="93">
        <f>'17'!K85</f>
        <v>1750</v>
      </c>
      <c r="U85" s="93">
        <f>'18'!K85</f>
        <v>1666.666667</v>
      </c>
      <c r="V85" s="93">
        <f>'19'!K85</f>
        <v>1666.666667</v>
      </c>
      <c r="W85" s="93">
        <f>'20'!K85</f>
        <v>1583.333333</v>
      </c>
      <c r="X85" s="93">
        <f>'21'!K85</f>
        <v>1583.333333</v>
      </c>
      <c r="Y85" s="93">
        <f>'22'!K85</f>
        <v>1583.333333</v>
      </c>
      <c r="Z85" s="93">
        <f>'23'!K85</f>
        <v>1583.333333</v>
      </c>
      <c r="AA85" s="93">
        <f>'24'!K85</f>
        <v>1500</v>
      </c>
      <c r="AB85" s="93">
        <f>'25'!K85</f>
        <v>1500</v>
      </c>
      <c r="AC85" s="93">
        <f>'26'!K85</f>
        <v>1500</v>
      </c>
      <c r="AD85" s="93">
        <f>'27'!K85</f>
        <v>1500</v>
      </c>
      <c r="AE85" s="93">
        <f>'28'!K85</f>
        <v>1500</v>
      </c>
      <c r="AF85" s="93">
        <f>'30'!K85</f>
        <v>1500</v>
      </c>
      <c r="AG85" s="101"/>
      <c r="AH85" s="103">
        <f t="shared" si="1"/>
        <v>-166.6666667</v>
      </c>
      <c r="AI85" s="105">
        <f t="shared" si="2"/>
        <v>1660.91954</v>
      </c>
      <c r="AJ85" s="6"/>
      <c r="AK85" s="6"/>
      <c r="AL85" s="6"/>
    </row>
    <row r="86" ht="15.75" customHeight="1">
      <c r="A86" s="206"/>
      <c r="B86" s="130" t="s">
        <v>121</v>
      </c>
      <c r="C86" s="81" t="s">
        <v>119</v>
      </c>
      <c r="D86" s="88">
        <f>'1'!K86</f>
        <v>2000</v>
      </c>
      <c r="E86" s="88">
        <f>'2'!K86</f>
        <v>2000</v>
      </c>
      <c r="F86" s="88">
        <f>'3'!K86</f>
        <v>2000</v>
      </c>
      <c r="G86" s="88">
        <f>'4'!K86</f>
        <v>2000</v>
      </c>
      <c r="H86" s="88">
        <f>'5'!K86</f>
        <v>2000</v>
      </c>
      <c r="I86" s="88">
        <f>'6'!K86</f>
        <v>2000</v>
      </c>
      <c r="J86" s="93">
        <f>'7'!K86</f>
        <v>2000</v>
      </c>
      <c r="K86" s="93">
        <f>'8'!K86</f>
        <v>2000</v>
      </c>
      <c r="L86" s="93">
        <f>'9'!K86</f>
        <v>2000</v>
      </c>
      <c r="M86" s="93">
        <f>'10'!K86</f>
        <v>2000</v>
      </c>
      <c r="N86" s="93">
        <f>'11'!K86</f>
        <v>2000</v>
      </c>
      <c r="O86" s="93">
        <f>'12'!K86</f>
        <v>2000</v>
      </c>
      <c r="P86" s="93">
        <f>'13'!K86</f>
        <v>2000</v>
      </c>
      <c r="Q86" s="93">
        <f>'14'!K86</f>
        <v>2000</v>
      </c>
      <c r="R86" s="93">
        <f>'15'!K86</f>
        <v>2000</v>
      </c>
      <c r="S86" s="93">
        <f>'14'!K86</f>
        <v>2000</v>
      </c>
      <c r="T86" s="93">
        <f>'17'!K86</f>
        <v>2000</v>
      </c>
      <c r="U86" s="93">
        <f>'18'!K86</f>
        <v>2000</v>
      </c>
      <c r="V86" s="93">
        <f>'19'!K86</f>
        <v>2000</v>
      </c>
      <c r="W86" s="93">
        <f>'20'!K86</f>
        <v>2000</v>
      </c>
      <c r="X86" s="93">
        <f>'21'!K86</f>
        <v>2000</v>
      </c>
      <c r="Y86" s="93">
        <f>'22'!K86</f>
        <v>2000</v>
      </c>
      <c r="Z86" s="93">
        <f>'23'!K86</f>
        <v>2000</v>
      </c>
      <c r="AA86" s="93">
        <f>'24'!K86</f>
        <v>1750</v>
      </c>
      <c r="AB86" s="93">
        <f>'25'!K86</f>
        <v>1750</v>
      </c>
      <c r="AC86" s="93">
        <f>'26'!K86</f>
        <v>1750</v>
      </c>
      <c r="AD86" s="93">
        <f>'27'!K86</f>
        <v>1750</v>
      </c>
      <c r="AE86" s="93">
        <f>'28'!K86</f>
        <v>1750</v>
      </c>
      <c r="AF86" s="93">
        <f>'30'!K86</f>
        <v>1750</v>
      </c>
      <c r="AG86" s="101"/>
      <c r="AH86" s="103">
        <f t="shared" si="1"/>
        <v>-250</v>
      </c>
      <c r="AI86" s="105">
        <f t="shared" si="2"/>
        <v>1948.275862</v>
      </c>
      <c r="AJ86" s="6"/>
      <c r="AK86" s="6"/>
      <c r="AL86" s="6"/>
    </row>
    <row r="87" ht="15.75" customHeight="1">
      <c r="A87" s="205">
        <v>22.0</v>
      </c>
      <c r="B87" s="120" t="s">
        <v>122</v>
      </c>
      <c r="C87" s="81"/>
      <c r="D87" s="88" t="str">
        <f>'1'!K87</f>
        <v/>
      </c>
      <c r="E87" s="88" t="str">
        <f>'2'!K87</f>
        <v/>
      </c>
      <c r="F87" s="88" t="str">
        <f>'3'!K87</f>
        <v/>
      </c>
      <c r="G87" s="88" t="str">
        <f>'4'!K87</f>
        <v/>
      </c>
      <c r="H87" s="88" t="str">
        <f>'5'!K87</f>
        <v/>
      </c>
      <c r="I87" s="88" t="str">
        <f>'6'!K87</f>
        <v/>
      </c>
      <c r="J87" s="93" t="str">
        <f>'7'!K87</f>
        <v/>
      </c>
      <c r="K87" s="93" t="str">
        <f>'8'!K87</f>
        <v/>
      </c>
      <c r="L87" s="93" t="str">
        <f>'9'!K87</f>
        <v/>
      </c>
      <c r="M87" s="93" t="str">
        <f>'10'!K87</f>
        <v/>
      </c>
      <c r="N87" s="93" t="str">
        <f>'11'!K87</f>
        <v/>
      </c>
      <c r="O87" s="93" t="str">
        <f>'12'!K87</f>
        <v/>
      </c>
      <c r="P87" s="93" t="str">
        <f>'13'!K87</f>
        <v/>
      </c>
      <c r="Q87" s="93" t="str">
        <f>'14'!K87</f>
        <v/>
      </c>
      <c r="R87" s="93" t="str">
        <f>'15'!K87</f>
        <v/>
      </c>
      <c r="S87" s="93" t="str">
        <f>'14'!K87</f>
        <v/>
      </c>
      <c r="T87" s="93" t="str">
        <f>'17'!K87</f>
        <v/>
      </c>
      <c r="U87" s="93" t="str">
        <f>'18'!K87</f>
        <v/>
      </c>
      <c r="V87" s="93" t="str">
        <f>'19'!K87</f>
        <v/>
      </c>
      <c r="W87" s="93" t="str">
        <f>'20'!K87</f>
        <v/>
      </c>
      <c r="X87" s="93" t="str">
        <f>'21'!K87</f>
        <v/>
      </c>
      <c r="Y87" s="93" t="str">
        <f>'22'!K87</f>
        <v/>
      </c>
      <c r="Z87" s="93" t="str">
        <f>'23'!K87</f>
        <v/>
      </c>
      <c r="AA87" s="93" t="str">
        <f>'24'!K87</f>
        <v/>
      </c>
      <c r="AB87" s="93" t="str">
        <f>'25'!K87</f>
        <v/>
      </c>
      <c r="AC87" s="93" t="str">
        <f>'26'!K87</f>
        <v/>
      </c>
      <c r="AD87" s="93" t="str">
        <f>'27'!K87</f>
        <v/>
      </c>
      <c r="AE87" s="93" t="str">
        <f>'28'!K87</f>
        <v/>
      </c>
      <c r="AF87" s="93" t="str">
        <f>'30'!K87</f>
        <v/>
      </c>
      <c r="AG87" s="101"/>
      <c r="AH87" s="101">
        <f t="shared" si="1"/>
        <v>0</v>
      </c>
      <c r="AI87" s="105" t="str">
        <f t="shared" si="2"/>
        <v>#DIV/0!</v>
      </c>
      <c r="AJ87" s="6"/>
      <c r="AK87" s="6"/>
      <c r="AL87" s="6"/>
    </row>
    <row r="88" ht="14.25" customHeight="1">
      <c r="A88" s="206"/>
      <c r="B88" s="130" t="s">
        <v>124</v>
      </c>
      <c r="C88" s="81" t="s">
        <v>125</v>
      </c>
      <c r="D88" s="88">
        <f>'1'!K88</f>
        <v>18000</v>
      </c>
      <c r="E88" s="88">
        <f>'2'!K88</f>
        <v>18000</v>
      </c>
      <c r="F88" s="88">
        <f>'3'!K88</f>
        <v>18000</v>
      </c>
      <c r="G88" s="88">
        <f>'4'!K88</f>
        <v>18000</v>
      </c>
      <c r="H88" s="88">
        <f>'5'!K88</f>
        <v>18000</v>
      </c>
      <c r="I88" s="88">
        <f>'6'!K88</f>
        <v>18000</v>
      </c>
      <c r="J88" s="93">
        <f>'7'!K88</f>
        <v>18000</v>
      </c>
      <c r="K88" s="93">
        <f>'8'!K88</f>
        <v>18000</v>
      </c>
      <c r="L88" s="93">
        <f>'9'!K88</f>
        <v>18000</v>
      </c>
      <c r="M88" s="93">
        <f>'10'!K88</f>
        <v>18000</v>
      </c>
      <c r="N88" s="93">
        <f>'11'!K88</f>
        <v>18000</v>
      </c>
      <c r="O88" s="93">
        <f>'12'!K88</f>
        <v>18000</v>
      </c>
      <c r="P88" s="93">
        <f>'13'!K88</f>
        <v>18000</v>
      </c>
      <c r="Q88" s="93">
        <f>'14'!K88</f>
        <v>18000</v>
      </c>
      <c r="R88" s="93">
        <f>'15'!K88</f>
        <v>18000</v>
      </c>
      <c r="S88" s="93">
        <f>'14'!K88</f>
        <v>18000</v>
      </c>
      <c r="T88" s="93">
        <f>'17'!K88</f>
        <v>18000</v>
      </c>
      <c r="U88" s="93">
        <f>'18'!K88</f>
        <v>18000</v>
      </c>
      <c r="V88" s="93">
        <f>'19'!K88</f>
        <v>18000</v>
      </c>
      <c r="W88" s="93">
        <f>'20'!K88</f>
        <v>18000</v>
      </c>
      <c r="X88" s="93">
        <f>'21'!K88</f>
        <v>18000</v>
      </c>
      <c r="Y88" s="93">
        <f>'22'!K88</f>
        <v>18000</v>
      </c>
      <c r="Z88" s="93">
        <f>'23'!K88</f>
        <v>18000</v>
      </c>
      <c r="AA88" s="93">
        <f>'24'!K88</f>
        <v>18000</v>
      </c>
      <c r="AB88" s="93">
        <f>'25'!K88</f>
        <v>18000</v>
      </c>
      <c r="AC88" s="93">
        <f>'26'!K88</f>
        <v>18000</v>
      </c>
      <c r="AD88" s="93">
        <f>'27'!K88</f>
        <v>18000</v>
      </c>
      <c r="AE88" s="93">
        <f>'28'!K88</f>
        <v>18000</v>
      </c>
      <c r="AF88" s="93">
        <f>'30'!K88</f>
        <v>18000</v>
      </c>
      <c r="AG88" s="101"/>
      <c r="AH88" s="101">
        <f t="shared" si="1"/>
        <v>0</v>
      </c>
      <c r="AI88" s="105">
        <f t="shared" si="2"/>
        <v>18000</v>
      </c>
      <c r="AJ88" s="6"/>
      <c r="AK88" s="6"/>
      <c r="AL88" s="6" t="s">
        <v>123</v>
      </c>
    </row>
    <row r="89" ht="14.25" customHeight="1">
      <c r="A89" s="208"/>
      <c r="B89" s="209"/>
      <c r="C89" s="210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/>
      <c r="AG89" s="210"/>
      <c r="AH89" s="211"/>
      <c r="AI89" s="6"/>
      <c r="AJ89" s="6"/>
      <c r="AK89" s="6"/>
      <c r="AL89" s="6"/>
    </row>
    <row r="90" ht="12.75" customHeight="1">
      <c r="A90" s="212"/>
      <c r="B90" s="21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14"/>
      <c r="AI90" s="6"/>
      <c r="AJ90" s="6"/>
      <c r="AK90" s="6"/>
      <c r="AL90" s="6"/>
    </row>
    <row r="91" ht="3.0" customHeight="1">
      <c r="A91" s="212"/>
      <c r="B91" s="215"/>
      <c r="C91" s="216"/>
      <c r="D91" s="216"/>
      <c r="E91" s="216"/>
      <c r="F91" s="216"/>
      <c r="G91" s="216"/>
      <c r="H91" s="216"/>
      <c r="I91" s="21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217"/>
      <c r="AI91" s="6"/>
      <c r="AJ91" s="6"/>
      <c r="AK91" s="6"/>
      <c r="AL91" s="6"/>
    </row>
    <row r="92" ht="14.25" hidden="1" customHeight="1">
      <c r="A92" s="212"/>
      <c r="B92" s="6"/>
      <c r="C92" s="216"/>
      <c r="D92" s="216"/>
      <c r="E92" s="216"/>
      <c r="F92" s="216"/>
      <c r="G92" s="216"/>
      <c r="H92" s="216"/>
      <c r="I92" s="21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17"/>
      <c r="AI92" s="6"/>
      <c r="AJ92" s="6"/>
      <c r="AK92" s="6"/>
      <c r="AL92" s="6"/>
    </row>
    <row r="93" ht="14.25" customHeight="1">
      <c r="A93" s="218" t="s">
        <v>123</v>
      </c>
      <c r="B93" s="219" t="s">
        <v>134</v>
      </c>
      <c r="C93" s="216"/>
      <c r="D93" s="216"/>
      <c r="E93" s="216"/>
      <c r="F93" s="216"/>
      <c r="G93" s="216"/>
      <c r="H93" s="216"/>
      <c r="I93" s="21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17"/>
      <c r="AI93" s="6"/>
      <c r="AJ93" s="6"/>
      <c r="AK93" s="6"/>
      <c r="AL93" s="6"/>
    </row>
    <row r="94" ht="15.75" customHeight="1">
      <c r="A94" s="212"/>
      <c r="B94" s="216" t="s">
        <v>135</v>
      </c>
      <c r="C94" s="216"/>
      <c r="D94" s="216"/>
      <c r="E94" s="216"/>
      <c r="F94" s="216"/>
      <c r="G94" s="216"/>
      <c r="H94" s="216"/>
      <c r="I94" s="21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217"/>
      <c r="AI94" s="6"/>
      <c r="AJ94" s="6"/>
      <c r="AK94" s="6"/>
      <c r="AL94" s="6"/>
    </row>
    <row r="95" ht="15.75" customHeight="1">
      <c r="A95" s="220"/>
      <c r="B95" s="221" t="s">
        <v>136</v>
      </c>
      <c r="C95" s="221"/>
      <c r="D95" s="221"/>
      <c r="E95" s="221"/>
      <c r="F95" s="221"/>
      <c r="G95" s="221"/>
      <c r="H95" s="221"/>
      <c r="I95" s="221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3"/>
      <c r="AI95" s="6"/>
      <c r="AJ95" s="6"/>
      <c r="AK95" s="6"/>
      <c r="A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</sheetData>
  <mergeCells count="23">
    <mergeCell ref="A1:AH1"/>
    <mergeCell ref="A2:AH2"/>
    <mergeCell ref="A3:AH3"/>
    <mergeCell ref="B4:B6"/>
    <mergeCell ref="C4:C6"/>
    <mergeCell ref="AG4:AG6"/>
    <mergeCell ref="AH4:AH6"/>
    <mergeCell ref="A4:A6"/>
    <mergeCell ref="A7:A12"/>
    <mergeCell ref="A13:A15"/>
    <mergeCell ref="A16:A18"/>
    <mergeCell ref="A19:A20"/>
    <mergeCell ref="A21:A25"/>
    <mergeCell ref="A26:A32"/>
    <mergeCell ref="A69:A73"/>
    <mergeCell ref="B90:AH90"/>
    <mergeCell ref="A33:A35"/>
    <mergeCell ref="A43:A45"/>
    <mergeCell ref="A46:A48"/>
    <mergeCell ref="A52:A53"/>
    <mergeCell ref="A54:A55"/>
    <mergeCell ref="A56:A60"/>
    <mergeCell ref="A63:A66"/>
  </mergeCells>
  <printOptions/>
  <pageMargins bottom="0.0" footer="0.0" header="0.0" left="0.7" right="0.2" top="0.0"/>
  <pageSetup paperSize="5" scale="4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7">
        <v>14000.0</v>
      </c>
      <c r="J8" s="58">
        <v>13500.0</v>
      </c>
      <c r="K8" s="60">
        <f t="shared" ref="K8:K12" si="1">AVERAGE(D8:J8)</f>
        <v>13357.14286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11500.0</v>
      </c>
      <c r="F10" s="65">
        <v>12000.0</v>
      </c>
      <c r="G10" s="66">
        <v>11500.0</v>
      </c>
      <c r="H10" s="68" t="s">
        <v>26</v>
      </c>
      <c r="I10" s="68">
        <v>12500.0</v>
      </c>
      <c r="J10" s="69">
        <v>12500.0</v>
      </c>
      <c r="K10" s="70">
        <f t="shared" si="1"/>
        <v>11833.33333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24000.0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20200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14000.0</v>
      </c>
      <c r="G14" s="56">
        <v>13500.0</v>
      </c>
      <c r="H14" s="57">
        <v>13500.0</v>
      </c>
      <c r="I14" s="57">
        <v>13500.0</v>
      </c>
      <c r="J14" s="94">
        <v>14000.0</v>
      </c>
      <c r="K14" s="70">
        <f t="shared" ref="K14:K15" si="2">AVERAGE(D14:J14)</f>
        <v>13571.42857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18000.0</v>
      </c>
      <c r="J15" s="94">
        <v>16000.0</v>
      </c>
      <c r="K15" s="70">
        <f t="shared" si="2"/>
        <v>15857.14286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16000.0</v>
      </c>
      <c r="F17" s="56">
        <v>17000.0</v>
      </c>
      <c r="G17" s="56">
        <v>16000.0</v>
      </c>
      <c r="H17" s="57">
        <v>14000.0</v>
      </c>
      <c r="I17" s="57">
        <v>16000.0</v>
      </c>
      <c r="J17" s="102">
        <v>15500.0</v>
      </c>
      <c r="K17" s="70">
        <f t="shared" ref="K17:K18" si="3">AVERAGE(D17:J17)</f>
        <v>15571.42857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36000.0</v>
      </c>
      <c r="E25" s="56">
        <v>36000.0</v>
      </c>
      <c r="F25" s="56">
        <v>35000.0</v>
      </c>
      <c r="G25" s="56">
        <v>35000.0</v>
      </c>
      <c r="H25" s="94">
        <v>36000.0</v>
      </c>
      <c r="I25" s="68">
        <v>35000.0</v>
      </c>
      <c r="J25" s="94">
        <v>38000.0</v>
      </c>
      <c r="K25" s="70">
        <f t="shared" si="4"/>
        <v>35857.14286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30000.0</v>
      </c>
      <c r="E27" s="56">
        <v>40000.0</v>
      </c>
      <c r="F27" s="65" t="s">
        <v>26</v>
      </c>
      <c r="G27" s="56">
        <v>45000.0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36666.66667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25000.0</v>
      </c>
      <c r="E28" s="65">
        <v>28000.0</v>
      </c>
      <c r="F28" s="56">
        <v>28000.0</v>
      </c>
      <c r="G28" s="66">
        <v>35000.0</v>
      </c>
      <c r="H28" s="68">
        <v>23000.0</v>
      </c>
      <c r="I28" s="68">
        <v>29000.0</v>
      </c>
      <c r="J28" s="112">
        <v>26000.0</v>
      </c>
      <c r="K28" s="70">
        <f t="shared" si="5"/>
        <v>27714.28571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80000.0</v>
      </c>
      <c r="E29" s="65">
        <v>60000.0</v>
      </c>
      <c r="F29" s="66">
        <v>60000.0</v>
      </c>
      <c r="G29" s="66">
        <v>75000.0</v>
      </c>
      <c r="H29" s="57">
        <v>58000.0</v>
      </c>
      <c r="I29" s="68">
        <v>60000.0</v>
      </c>
      <c r="J29" s="112">
        <v>60000.0</v>
      </c>
      <c r="K29" s="70">
        <f t="shared" si="5"/>
        <v>64714.28571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35000.0</v>
      </c>
      <c r="E31" s="56">
        <v>35000.0</v>
      </c>
      <c r="F31" s="56">
        <v>36000.0</v>
      </c>
      <c r="G31" s="56">
        <v>45000.0</v>
      </c>
      <c r="H31" s="57">
        <v>28000.0</v>
      </c>
      <c r="I31" s="68">
        <v>40000.0</v>
      </c>
      <c r="J31" s="94">
        <v>40000.0</v>
      </c>
      <c r="K31" s="70">
        <f t="shared" si="5"/>
        <v>37000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110000.0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29000.0</v>
      </c>
      <c r="E34" s="56">
        <v>30000.0</v>
      </c>
      <c r="F34" s="56">
        <v>30000.0</v>
      </c>
      <c r="G34" s="56">
        <v>31000.0</v>
      </c>
      <c r="H34" s="57">
        <v>29000.0</v>
      </c>
      <c r="I34" s="57">
        <v>29000.0</v>
      </c>
      <c r="J34" s="94">
        <v>30500.0</v>
      </c>
      <c r="K34" s="70">
        <f t="shared" ref="K34:K35" si="6">AVERAGE(D34:J34)</f>
        <v>29785.71429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2000.0</v>
      </c>
      <c r="G35" s="56">
        <v>2200.0</v>
      </c>
      <c r="H35" s="57">
        <v>2000.0</v>
      </c>
      <c r="I35" s="57">
        <v>2500.0</v>
      </c>
      <c r="J35" s="94">
        <v>3000.0</v>
      </c>
      <c r="K35" s="70">
        <f t="shared" si="6"/>
        <v>2414.285714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12000.0</v>
      </c>
      <c r="J37" s="94">
        <v>9000.0</v>
      </c>
      <c r="K37" s="70">
        <f t="shared" ref="K37:K38" si="7">AVERAGE(D37:J37)</f>
        <v>10714.28571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15000.0</v>
      </c>
      <c r="J40" s="94">
        <v>15000.0</v>
      </c>
      <c r="K40" s="70">
        <f t="shared" ref="K40:K42" si="8">AVERAGE(D40:J40)</f>
        <v>15600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9000.0</v>
      </c>
      <c r="H51" s="57">
        <v>6000.0</v>
      </c>
      <c r="I51" s="68" t="s">
        <v>26</v>
      </c>
      <c r="J51" s="94">
        <v>6000.0</v>
      </c>
      <c r="K51" s="70">
        <f t="shared" si="11"/>
        <v>8166.666667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13000.0</v>
      </c>
      <c r="G55" s="56">
        <v>11000.0</v>
      </c>
      <c r="H55" s="57">
        <v>11000.0</v>
      </c>
      <c r="I55" s="57">
        <v>11000.0</v>
      </c>
      <c r="J55" s="94">
        <v>10000.0</v>
      </c>
      <c r="K55" s="70">
        <f>AVERAGE(D55:J55)</f>
        <v>11214.28571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18000.0</v>
      </c>
      <c r="H57" s="57">
        <v>13000.0</v>
      </c>
      <c r="I57" s="68">
        <v>16000.0</v>
      </c>
      <c r="J57" s="102" t="s">
        <v>26</v>
      </c>
      <c r="K57" s="70">
        <f t="shared" ref="K57:K60" si="12">AVERAGE(D57:J57)</f>
        <v>15500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26000.0</v>
      </c>
      <c r="J59" s="102">
        <v>26000.0</v>
      </c>
      <c r="K59" s="70">
        <f t="shared" si="12"/>
        <v>25142.85714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31000.0</v>
      </c>
      <c r="G60" s="56">
        <v>30000.0</v>
      </c>
      <c r="H60" s="57">
        <v>26000.0</v>
      </c>
      <c r="I60" s="57">
        <v>29000.0</v>
      </c>
      <c r="J60" s="102">
        <v>28000.0</v>
      </c>
      <c r="K60" s="70">
        <f t="shared" si="12"/>
        <v>29142.85714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30000.0</v>
      </c>
      <c r="E64" s="56">
        <v>30000.0</v>
      </c>
      <c r="F64" s="56">
        <v>30000.0</v>
      </c>
      <c r="G64" s="56">
        <v>35000.0</v>
      </c>
      <c r="H64" s="57">
        <v>25000.0</v>
      </c>
      <c r="I64" s="57">
        <v>40000.0</v>
      </c>
      <c r="J64" s="94">
        <v>30000.0</v>
      </c>
      <c r="K64" s="70">
        <f t="shared" ref="K64:K66" si="13">AVERAGE(D64:J64)</f>
        <v>31428.57143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20000.0</v>
      </c>
      <c r="E65" s="56">
        <v>25000.0</v>
      </c>
      <c r="F65" s="56">
        <v>25000.0</v>
      </c>
      <c r="G65" s="56">
        <v>35000.0</v>
      </c>
      <c r="H65" s="139" t="s">
        <v>26</v>
      </c>
      <c r="I65" s="69">
        <v>25000.0</v>
      </c>
      <c r="J65" s="102" t="s">
        <v>26</v>
      </c>
      <c r="K65" s="70">
        <f t="shared" si="13"/>
        <v>26000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40000.0</v>
      </c>
      <c r="F66" s="56">
        <v>40000.0</v>
      </c>
      <c r="G66" s="56">
        <v>42000.0</v>
      </c>
      <c r="H66" s="57">
        <v>35000.0</v>
      </c>
      <c r="I66" s="57">
        <v>40000.0</v>
      </c>
      <c r="J66" s="94">
        <v>35000.0</v>
      </c>
      <c r="K66" s="70">
        <f t="shared" si="13"/>
        <v>38142.85714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35000.0</v>
      </c>
      <c r="E70" s="56">
        <v>35000.0</v>
      </c>
      <c r="F70" s="56">
        <v>36000.0</v>
      </c>
      <c r="G70" s="56">
        <v>40000.0</v>
      </c>
      <c r="H70" s="57">
        <v>34000.0</v>
      </c>
      <c r="I70" s="57">
        <v>40000.0</v>
      </c>
      <c r="J70" s="94">
        <v>35000.0</v>
      </c>
      <c r="K70" s="70">
        <f t="shared" ref="K70:K73" si="14">AVERAGE(D70:J70)</f>
        <v>36428.57143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34000.0</v>
      </c>
      <c r="G71" s="56">
        <v>35000.0</v>
      </c>
      <c r="H71" s="57">
        <v>32000.0</v>
      </c>
      <c r="I71" s="57">
        <v>40000.0</v>
      </c>
      <c r="J71" s="94">
        <v>28000.0</v>
      </c>
      <c r="K71" s="70">
        <f t="shared" si="14"/>
        <v>33714.28571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35000.0</v>
      </c>
      <c r="G72" s="56">
        <v>40000.0</v>
      </c>
      <c r="H72" s="57">
        <v>30000.0</v>
      </c>
      <c r="I72" s="57">
        <v>40000.0</v>
      </c>
      <c r="J72" s="94">
        <v>30000.0</v>
      </c>
      <c r="K72" s="70">
        <f t="shared" si="14"/>
        <v>35000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40000.0</v>
      </c>
      <c r="E73" s="65">
        <v>44000.0</v>
      </c>
      <c r="F73" s="66">
        <v>45000.0</v>
      </c>
      <c r="G73" s="66">
        <v>45000.0</v>
      </c>
      <c r="H73" s="57">
        <v>40000.0</v>
      </c>
      <c r="I73" s="68">
        <v>50000.0</v>
      </c>
      <c r="J73" s="102">
        <v>30000.0</v>
      </c>
      <c r="K73" s="70">
        <f t="shared" si="14"/>
        <v>42000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7000.0</v>
      </c>
      <c r="J75" s="102">
        <v>5000.0</v>
      </c>
      <c r="K75" s="70">
        <f t="shared" ref="K75:K76" si="15">AVERAGE(D75:J75)</f>
        <v>5714.285714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7000.0</v>
      </c>
      <c r="J76" s="112">
        <v>6000.0</v>
      </c>
      <c r="K76" s="70">
        <f t="shared" si="15"/>
        <v>6000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8000.0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7714.285714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22000.0</v>
      </c>
      <c r="F79" s="56">
        <v>16000.0</v>
      </c>
      <c r="G79" s="56">
        <v>15000.0</v>
      </c>
      <c r="H79" s="57">
        <v>10000.0</v>
      </c>
      <c r="I79" s="69">
        <v>20000.0</v>
      </c>
      <c r="J79" s="94">
        <v>15000.0</v>
      </c>
      <c r="K79" s="70">
        <f t="shared" si="16"/>
        <v>16000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15000.0</v>
      </c>
      <c r="F80" s="56">
        <v>16000.0</v>
      </c>
      <c r="G80" s="56">
        <v>15000.0</v>
      </c>
      <c r="H80" s="57">
        <v>15000.0</v>
      </c>
      <c r="I80" s="57">
        <v>17000.0</v>
      </c>
      <c r="J80" s="94">
        <v>13000.0</v>
      </c>
      <c r="K80" s="70">
        <f t="shared" si="16"/>
        <v>15000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12000.0</v>
      </c>
      <c r="G81" s="56">
        <v>13000.0</v>
      </c>
      <c r="H81" s="57">
        <v>10000.0</v>
      </c>
      <c r="I81" s="69">
        <v>18000.0</v>
      </c>
      <c r="J81" s="94">
        <v>13000.0</v>
      </c>
      <c r="K81" s="70">
        <f t="shared" si="16"/>
        <v>13857.14286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10000.0</v>
      </c>
      <c r="G82" s="56">
        <v>13000.0</v>
      </c>
      <c r="H82" s="57">
        <v>10000.0</v>
      </c>
      <c r="I82" s="57">
        <v>12000.0</v>
      </c>
      <c r="J82" s="94">
        <v>10000.0</v>
      </c>
      <c r="K82" s="70">
        <f t="shared" si="16"/>
        <v>10571.42857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12000.0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9428.571429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1500.0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1666.666667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7">
        <v>14000.0</v>
      </c>
      <c r="J8" s="58">
        <v>13500.0</v>
      </c>
      <c r="K8" s="60">
        <f t="shared" ref="K8:K12" si="1">AVERAGE(D8:J8)</f>
        <v>13357.14286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11500.0</v>
      </c>
      <c r="F10" s="65">
        <v>12000.0</v>
      </c>
      <c r="G10" s="66">
        <v>11500.0</v>
      </c>
      <c r="H10" s="68" t="s">
        <v>26</v>
      </c>
      <c r="I10" s="68">
        <v>12500.0</v>
      </c>
      <c r="J10" s="69">
        <v>12500.0</v>
      </c>
      <c r="K10" s="70">
        <f t="shared" si="1"/>
        <v>11833.33333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18000.0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19000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14000.0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13500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24000.0</v>
      </c>
      <c r="G15" s="66">
        <v>16000.0</v>
      </c>
      <c r="H15" s="57">
        <v>15000.0</v>
      </c>
      <c r="I15" s="57">
        <v>18000.0</v>
      </c>
      <c r="J15" s="94">
        <v>16000.0</v>
      </c>
      <c r="K15" s="70">
        <f t="shared" si="2"/>
        <v>17142.85714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16000.0</v>
      </c>
      <c r="F17" s="56">
        <v>17000.0</v>
      </c>
      <c r="G17" s="56">
        <v>16000.0</v>
      </c>
      <c r="H17" s="57">
        <v>14000.0</v>
      </c>
      <c r="I17" s="57">
        <v>16000.0</v>
      </c>
      <c r="J17" s="102">
        <v>15500.0</v>
      </c>
      <c r="K17" s="70">
        <f t="shared" ref="K17:K18" si="3">AVERAGE(D17:J17)</f>
        <v>15571.42857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36000.0</v>
      </c>
      <c r="E25" s="56">
        <v>36000.0</v>
      </c>
      <c r="F25" s="56">
        <v>35000.0</v>
      </c>
      <c r="G25" s="56">
        <v>35000.0</v>
      </c>
      <c r="H25" s="94">
        <v>36000.0</v>
      </c>
      <c r="I25" s="68">
        <v>35000.0</v>
      </c>
      <c r="J25" s="94">
        <v>40000.0</v>
      </c>
      <c r="K25" s="70">
        <f t="shared" si="4"/>
        <v>36142.85714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30000.0</v>
      </c>
      <c r="E27" s="56">
        <v>40000.0</v>
      </c>
      <c r="F27" s="65" t="s">
        <v>26</v>
      </c>
      <c r="G27" s="56">
        <v>45000.0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36666.66667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25000.0</v>
      </c>
      <c r="E28" s="65">
        <v>28000.0</v>
      </c>
      <c r="F28" s="56">
        <v>28000.0</v>
      </c>
      <c r="G28" s="66">
        <v>35000.0</v>
      </c>
      <c r="H28" s="68">
        <v>23000.0</v>
      </c>
      <c r="I28" s="68">
        <v>29000.0</v>
      </c>
      <c r="J28" s="112">
        <v>24000.0</v>
      </c>
      <c r="K28" s="70">
        <f t="shared" si="5"/>
        <v>27428.57143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80000.0</v>
      </c>
      <c r="E29" s="65">
        <v>60000.0</v>
      </c>
      <c r="F29" s="66">
        <v>60000.0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64000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35000.0</v>
      </c>
      <c r="E31" s="56">
        <v>35000.0</v>
      </c>
      <c r="F31" s="56">
        <v>36000.0</v>
      </c>
      <c r="G31" s="56">
        <v>45000.0</v>
      </c>
      <c r="H31" s="57">
        <v>28000.0</v>
      </c>
      <c r="I31" s="68">
        <v>40000.0</v>
      </c>
      <c r="J31" s="94">
        <v>38000.0</v>
      </c>
      <c r="K31" s="70">
        <f t="shared" si="5"/>
        <v>36714.28571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110000.0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29000.0</v>
      </c>
      <c r="E34" s="56">
        <v>30000.0</v>
      </c>
      <c r="F34" s="56">
        <v>30000.0</v>
      </c>
      <c r="G34" s="56">
        <v>30000.0</v>
      </c>
      <c r="H34" s="57">
        <v>29000.0</v>
      </c>
      <c r="I34" s="57">
        <v>29000.0</v>
      </c>
      <c r="J34" s="94">
        <v>30000.0</v>
      </c>
      <c r="K34" s="70">
        <f t="shared" ref="K34:K35" si="6">AVERAGE(D34:J34)</f>
        <v>29571.42857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2000.0</v>
      </c>
      <c r="G35" s="56">
        <v>2200.0</v>
      </c>
      <c r="H35" s="57">
        <v>2000.0</v>
      </c>
      <c r="I35" s="57">
        <v>2500.0</v>
      </c>
      <c r="J35" s="94">
        <v>3000.0</v>
      </c>
      <c r="K35" s="70">
        <f t="shared" si="6"/>
        <v>2414.285714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12000.0</v>
      </c>
      <c r="J37" s="94">
        <v>9000.0</v>
      </c>
      <c r="K37" s="70">
        <f t="shared" ref="K37:K38" si="7">AVERAGE(D37:J37)</f>
        <v>10714.28571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15000.0</v>
      </c>
      <c r="J40" s="94">
        <v>15000.0</v>
      </c>
      <c r="K40" s="70">
        <f t="shared" ref="K40:K42" si="8">AVERAGE(D40:J40)</f>
        <v>15600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13000.0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12416.66667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13000.0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12583.33333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10000.0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8500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12500.0</v>
      </c>
      <c r="G55" s="56">
        <v>11000.0</v>
      </c>
      <c r="H55" s="57">
        <v>11000.0</v>
      </c>
      <c r="I55" s="57">
        <v>11000.0</v>
      </c>
      <c r="J55" s="94">
        <v>10000.0</v>
      </c>
      <c r="K55" s="70">
        <f>AVERAGE(D55:J55)</f>
        <v>11142.85714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18000.0</v>
      </c>
      <c r="H57" s="57">
        <v>13000.0</v>
      </c>
      <c r="I57" s="68">
        <v>16000.0</v>
      </c>
      <c r="J57" s="102" t="s">
        <v>26</v>
      </c>
      <c r="K57" s="70">
        <f t="shared" ref="K57:K60" si="12">AVERAGE(D57:J57)</f>
        <v>15500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25000.0</v>
      </c>
      <c r="G59" s="56">
        <v>30000.0</v>
      </c>
      <c r="H59" s="57">
        <v>22000.0</v>
      </c>
      <c r="I59" s="57">
        <v>26000.0</v>
      </c>
      <c r="J59" s="102">
        <v>26000.0</v>
      </c>
      <c r="K59" s="70">
        <f t="shared" si="12"/>
        <v>25285.71429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30000.0</v>
      </c>
      <c r="G60" s="56">
        <v>30000.0</v>
      </c>
      <c r="H60" s="57">
        <v>26000.0</v>
      </c>
      <c r="I60" s="57">
        <v>29000.0</v>
      </c>
      <c r="J60" s="102">
        <v>28000.0</v>
      </c>
      <c r="K60" s="70">
        <f t="shared" si="12"/>
        <v>29000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30000.0</v>
      </c>
      <c r="E64" s="56">
        <v>30000.0</v>
      </c>
      <c r="F64" s="56">
        <v>35000.0</v>
      </c>
      <c r="G64" s="56">
        <v>35000.0</v>
      </c>
      <c r="H64" s="57">
        <v>25000.0</v>
      </c>
      <c r="I64" s="57">
        <v>40000.0</v>
      </c>
      <c r="J64" s="94">
        <v>30000.0</v>
      </c>
      <c r="K64" s="70">
        <f t="shared" ref="K64:K66" si="13">AVERAGE(D64:J64)</f>
        <v>32142.85714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20000.0</v>
      </c>
      <c r="E65" s="56">
        <v>25000.0</v>
      </c>
      <c r="F65" s="56">
        <v>25000.0</v>
      </c>
      <c r="G65" s="56">
        <v>35000.0</v>
      </c>
      <c r="H65" s="139" t="s">
        <v>26</v>
      </c>
      <c r="I65" s="69">
        <v>25000.0</v>
      </c>
      <c r="J65" s="102" t="s">
        <v>26</v>
      </c>
      <c r="K65" s="70">
        <f t="shared" si="13"/>
        <v>26000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35000.0</v>
      </c>
      <c r="F66" s="56">
        <v>35000.0</v>
      </c>
      <c r="G66" s="56">
        <v>42000.0</v>
      </c>
      <c r="H66" s="57">
        <v>35000.0</v>
      </c>
      <c r="I66" s="57">
        <v>40000.0</v>
      </c>
      <c r="J66" s="94">
        <v>35000.0</v>
      </c>
      <c r="K66" s="70">
        <f t="shared" si="13"/>
        <v>36714.28571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35000.0</v>
      </c>
      <c r="E70" s="56">
        <v>35000.0</v>
      </c>
      <c r="F70" s="56">
        <v>36000.0</v>
      </c>
      <c r="G70" s="56">
        <v>40000.0</v>
      </c>
      <c r="H70" s="57">
        <v>34000.0</v>
      </c>
      <c r="I70" s="57">
        <v>40000.0</v>
      </c>
      <c r="J70" s="94">
        <v>35000.0</v>
      </c>
      <c r="K70" s="70">
        <f t="shared" ref="K70:K73" si="14">AVERAGE(D70:J70)</f>
        <v>36428.57143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35000.0</v>
      </c>
      <c r="G71" s="56">
        <v>35000.0</v>
      </c>
      <c r="H71" s="57">
        <v>32000.0</v>
      </c>
      <c r="I71" s="57">
        <v>40000.0</v>
      </c>
      <c r="J71" s="94">
        <v>28000.0</v>
      </c>
      <c r="K71" s="70">
        <f t="shared" si="14"/>
        <v>33857.14286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38000.0</v>
      </c>
      <c r="G72" s="56">
        <v>40000.0</v>
      </c>
      <c r="H72" s="57">
        <v>30000.0</v>
      </c>
      <c r="I72" s="57">
        <v>40000.0</v>
      </c>
      <c r="J72" s="94">
        <v>30000.0</v>
      </c>
      <c r="K72" s="70">
        <f t="shared" si="14"/>
        <v>35428.57143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40000.0</v>
      </c>
      <c r="E73" s="65">
        <v>44000.0</v>
      </c>
      <c r="F73" s="66">
        <v>40000.0</v>
      </c>
      <c r="G73" s="66">
        <v>45000.0</v>
      </c>
      <c r="H73" s="57">
        <v>40000.0</v>
      </c>
      <c r="I73" s="68">
        <v>50000.0</v>
      </c>
      <c r="J73" s="102">
        <v>30000.0</v>
      </c>
      <c r="K73" s="70">
        <f t="shared" si="14"/>
        <v>41285.71429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7000.0</v>
      </c>
      <c r="J75" s="102">
        <v>5000.0</v>
      </c>
      <c r="K75" s="70">
        <f t="shared" ref="K75:K76" si="15">AVERAGE(D75:J75)</f>
        <v>5714.285714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7000.0</v>
      </c>
      <c r="J76" s="112">
        <v>6000.0</v>
      </c>
      <c r="K76" s="70">
        <f t="shared" si="15"/>
        <v>6000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8000.0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7714.285714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22000.0</v>
      </c>
      <c r="F79" s="56">
        <v>16000.0</v>
      </c>
      <c r="G79" s="56">
        <v>15000.0</v>
      </c>
      <c r="H79" s="57">
        <v>10000.0</v>
      </c>
      <c r="I79" s="69">
        <v>20000.0</v>
      </c>
      <c r="J79" s="94">
        <v>15000.0</v>
      </c>
      <c r="K79" s="70">
        <f t="shared" si="16"/>
        <v>16000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15000.0</v>
      </c>
      <c r="F80" s="56">
        <v>16000.0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15142.85714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12000.0</v>
      </c>
      <c r="G81" s="56">
        <v>13000.0</v>
      </c>
      <c r="H81" s="57">
        <v>10000.0</v>
      </c>
      <c r="I81" s="69">
        <v>18000.0</v>
      </c>
      <c r="J81" s="94">
        <v>13000.0</v>
      </c>
      <c r="K81" s="70">
        <f t="shared" si="16"/>
        <v>13857.14286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12000.0</v>
      </c>
      <c r="G82" s="56">
        <v>13000.0</v>
      </c>
      <c r="H82" s="57">
        <v>10000.0</v>
      </c>
      <c r="I82" s="57">
        <v>12000.0</v>
      </c>
      <c r="J82" s="94">
        <v>10000.0</v>
      </c>
      <c r="K82" s="70">
        <f t="shared" si="16"/>
        <v>10857.14286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12000.0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9428.571429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1500.0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1666.666667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7">
        <v>14000.0</v>
      </c>
      <c r="J8" s="58">
        <v>13500.0</v>
      </c>
      <c r="K8" s="60">
        <f t="shared" ref="K8:K12" si="1">AVERAGE(D8:J8)</f>
        <v>13357.14286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11500.0</v>
      </c>
      <c r="F10" s="65">
        <v>13000.0</v>
      </c>
      <c r="G10" s="66">
        <v>11500.0</v>
      </c>
      <c r="H10" s="68" t="s">
        <v>26</v>
      </c>
      <c r="I10" s="68">
        <v>12500.0</v>
      </c>
      <c r="J10" s="69">
        <v>12500.0</v>
      </c>
      <c r="K10" s="70">
        <f t="shared" si="1"/>
        <v>12000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18000.0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19000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14000.0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13500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24000.0</v>
      </c>
      <c r="G15" s="66">
        <v>16000.0</v>
      </c>
      <c r="H15" s="57">
        <v>15000.0</v>
      </c>
      <c r="I15" s="57">
        <v>18000.0</v>
      </c>
      <c r="J15" s="94">
        <v>16000.0</v>
      </c>
      <c r="K15" s="70">
        <f t="shared" si="2"/>
        <v>17142.85714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16000.0</v>
      </c>
      <c r="F17" s="56">
        <v>17000.0</v>
      </c>
      <c r="G17" s="56">
        <v>16000.0</v>
      </c>
      <c r="H17" s="57">
        <v>14000.0</v>
      </c>
      <c r="I17" s="57">
        <v>16000.0</v>
      </c>
      <c r="J17" s="102">
        <v>15500.0</v>
      </c>
      <c r="K17" s="70">
        <f t="shared" ref="K17:K18" si="3">AVERAGE(D17:J17)</f>
        <v>15571.42857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36000.0</v>
      </c>
      <c r="E25" s="56">
        <v>36000.0</v>
      </c>
      <c r="F25" s="56">
        <v>35000.0</v>
      </c>
      <c r="G25" s="56">
        <v>35000.0</v>
      </c>
      <c r="H25" s="94">
        <v>40000.0</v>
      </c>
      <c r="I25" s="68">
        <v>35000.0</v>
      </c>
      <c r="J25" s="94">
        <v>40000.0</v>
      </c>
      <c r="K25" s="70">
        <f t="shared" si="4"/>
        <v>36714.28571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30000.0</v>
      </c>
      <c r="E27" s="56">
        <v>40000.0</v>
      </c>
      <c r="F27" s="65" t="s">
        <v>26</v>
      </c>
      <c r="G27" s="56">
        <v>45000.0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36666.66667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25000.0</v>
      </c>
      <c r="E28" s="65">
        <v>28000.0</v>
      </c>
      <c r="F28" s="56">
        <v>30000.0</v>
      </c>
      <c r="G28" s="66">
        <v>35000.0</v>
      </c>
      <c r="H28" s="68">
        <v>23000.0</v>
      </c>
      <c r="I28" s="68">
        <v>29000.0</v>
      </c>
      <c r="J28" s="112">
        <v>24000.0</v>
      </c>
      <c r="K28" s="70">
        <f t="shared" si="5"/>
        <v>27714.28571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80000.0</v>
      </c>
      <c r="E29" s="65">
        <v>60000.0</v>
      </c>
      <c r="F29" s="66">
        <v>60000.0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64000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35000.0</v>
      </c>
      <c r="E31" s="56">
        <v>35000.0</v>
      </c>
      <c r="F31" s="56">
        <v>38000.0</v>
      </c>
      <c r="G31" s="56">
        <v>45000.0</v>
      </c>
      <c r="H31" s="57">
        <v>28000.0</v>
      </c>
      <c r="I31" s="68">
        <v>40000.0</v>
      </c>
      <c r="J31" s="94">
        <v>38000.0</v>
      </c>
      <c r="K31" s="70">
        <f t="shared" si="5"/>
        <v>37000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110000.0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29000.0</v>
      </c>
      <c r="E34" s="56">
        <v>30000.0</v>
      </c>
      <c r="F34" s="56">
        <v>30000.0</v>
      </c>
      <c r="G34" s="56">
        <v>30000.0</v>
      </c>
      <c r="H34" s="57">
        <v>28000.0</v>
      </c>
      <c r="I34" s="57">
        <v>27000.0</v>
      </c>
      <c r="J34" s="94">
        <v>30000.0</v>
      </c>
      <c r="K34" s="70">
        <f t="shared" ref="K34:K35" si="6">AVERAGE(D34:J34)</f>
        <v>29142.85714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2000.0</v>
      </c>
      <c r="G35" s="56">
        <v>2200.0</v>
      </c>
      <c r="H35" s="57">
        <v>2000.0</v>
      </c>
      <c r="I35" s="57">
        <v>2500.0</v>
      </c>
      <c r="J35" s="94">
        <v>3000.0</v>
      </c>
      <c r="K35" s="70">
        <f t="shared" si="6"/>
        <v>2414.285714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12000.0</v>
      </c>
      <c r="J37" s="94">
        <v>9000.0</v>
      </c>
      <c r="K37" s="70">
        <f t="shared" ref="K37:K38" si="7">AVERAGE(D37:J37)</f>
        <v>10714.28571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15000.0</v>
      </c>
      <c r="J40" s="94">
        <v>15000.0</v>
      </c>
      <c r="K40" s="70">
        <f t="shared" ref="K40:K42" si="8">AVERAGE(D40:J40)</f>
        <v>15600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13000.0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12416.66667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13000.0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12583.33333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10000.0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8500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12500.0</v>
      </c>
      <c r="G55" s="56">
        <v>11000.0</v>
      </c>
      <c r="H55" s="57">
        <v>11000.0</v>
      </c>
      <c r="I55" s="57">
        <v>11000.0</v>
      </c>
      <c r="J55" s="94">
        <v>10000.0</v>
      </c>
      <c r="K55" s="70">
        <f>AVERAGE(D55:J55)</f>
        <v>11142.85714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18000.0</v>
      </c>
      <c r="H57" s="57">
        <v>13000.0</v>
      </c>
      <c r="I57" s="68">
        <v>16000.0</v>
      </c>
      <c r="J57" s="102" t="s">
        <v>26</v>
      </c>
      <c r="K57" s="70">
        <f t="shared" ref="K57:K60" si="12">AVERAGE(D57:J57)</f>
        <v>15500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25000.0</v>
      </c>
      <c r="G59" s="56">
        <v>30000.0</v>
      </c>
      <c r="H59" s="57">
        <v>22000.0</v>
      </c>
      <c r="I59" s="57">
        <v>26000.0</v>
      </c>
      <c r="J59" s="102">
        <v>26000.0</v>
      </c>
      <c r="K59" s="70">
        <f t="shared" si="12"/>
        <v>25285.71429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30000.0</v>
      </c>
      <c r="G60" s="56">
        <v>30000.0</v>
      </c>
      <c r="H60" s="57">
        <v>26000.0</v>
      </c>
      <c r="I60" s="57">
        <v>29000.0</v>
      </c>
      <c r="J60" s="102">
        <v>28000.0</v>
      </c>
      <c r="K60" s="70">
        <f t="shared" si="12"/>
        <v>29000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30000.0</v>
      </c>
      <c r="E64" s="56">
        <v>30000.0</v>
      </c>
      <c r="F64" s="56">
        <v>35000.0</v>
      </c>
      <c r="G64" s="56">
        <v>35000.0</v>
      </c>
      <c r="H64" s="57">
        <v>30000.0</v>
      </c>
      <c r="I64" s="57">
        <v>40000.0</v>
      </c>
      <c r="J64" s="94">
        <v>30000.0</v>
      </c>
      <c r="K64" s="70">
        <f t="shared" ref="K64:K66" si="13">AVERAGE(D64:J64)</f>
        <v>32857.14286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20000.0</v>
      </c>
      <c r="E65" s="56">
        <v>25000.0</v>
      </c>
      <c r="F65" s="56">
        <v>25000.0</v>
      </c>
      <c r="G65" s="56">
        <v>35000.0</v>
      </c>
      <c r="H65" s="139" t="s">
        <v>26</v>
      </c>
      <c r="I65" s="69">
        <v>25000.0</v>
      </c>
      <c r="J65" s="102" t="s">
        <v>26</v>
      </c>
      <c r="K65" s="70">
        <f t="shared" si="13"/>
        <v>26000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35000.0</v>
      </c>
      <c r="F66" s="56">
        <v>35000.0</v>
      </c>
      <c r="G66" s="56">
        <v>42000.0</v>
      </c>
      <c r="H66" s="57">
        <v>35000.0</v>
      </c>
      <c r="I66" s="57">
        <v>40000.0</v>
      </c>
      <c r="J66" s="94">
        <v>35000.0</v>
      </c>
      <c r="K66" s="70">
        <f t="shared" si="13"/>
        <v>36714.28571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35000.0</v>
      </c>
      <c r="E70" s="56">
        <v>35000.0</v>
      </c>
      <c r="F70" s="56">
        <v>36000.0</v>
      </c>
      <c r="G70" s="56">
        <v>40000.0</v>
      </c>
      <c r="H70" s="57">
        <v>34000.0</v>
      </c>
      <c r="I70" s="57">
        <v>40000.0</v>
      </c>
      <c r="J70" s="94">
        <v>35000.0</v>
      </c>
      <c r="K70" s="70">
        <f t="shared" ref="K70:K73" si="14">AVERAGE(D70:J70)</f>
        <v>36428.57143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35000.0</v>
      </c>
      <c r="G71" s="56">
        <v>35000.0</v>
      </c>
      <c r="H71" s="57">
        <v>32000.0</v>
      </c>
      <c r="I71" s="57">
        <v>40000.0</v>
      </c>
      <c r="J71" s="94">
        <v>28000.0</v>
      </c>
      <c r="K71" s="70">
        <f t="shared" si="14"/>
        <v>33857.14286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38000.0</v>
      </c>
      <c r="G72" s="56">
        <v>40000.0</v>
      </c>
      <c r="H72" s="57">
        <v>32000.0</v>
      </c>
      <c r="I72" s="57">
        <v>40000.0</v>
      </c>
      <c r="J72" s="94">
        <v>30000.0</v>
      </c>
      <c r="K72" s="70">
        <f t="shared" si="14"/>
        <v>35714.28571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40000.0</v>
      </c>
      <c r="E73" s="65">
        <v>44000.0</v>
      </c>
      <c r="F73" s="66">
        <v>40000.0</v>
      </c>
      <c r="G73" s="66">
        <v>45000.0</v>
      </c>
      <c r="H73" s="57">
        <v>40000.0</v>
      </c>
      <c r="I73" s="68">
        <v>50000.0</v>
      </c>
      <c r="J73" s="102">
        <v>30000.0</v>
      </c>
      <c r="K73" s="70">
        <f t="shared" si="14"/>
        <v>41285.71429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7000.0</v>
      </c>
      <c r="J75" s="102">
        <v>5000.0</v>
      </c>
      <c r="K75" s="70">
        <f t="shared" ref="K75:K76" si="15">AVERAGE(D75:J75)</f>
        <v>5714.285714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7000.0</v>
      </c>
      <c r="J76" s="112">
        <v>6000.0</v>
      </c>
      <c r="K76" s="70">
        <f t="shared" si="15"/>
        <v>6000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8000.0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7714.285714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22000.0</v>
      </c>
      <c r="F79" s="56">
        <v>16000.0</v>
      </c>
      <c r="G79" s="56">
        <v>15000.0</v>
      </c>
      <c r="H79" s="57">
        <v>10000.0</v>
      </c>
      <c r="I79" s="69">
        <v>20000.0</v>
      </c>
      <c r="J79" s="94">
        <v>15000.0</v>
      </c>
      <c r="K79" s="70">
        <f t="shared" si="16"/>
        <v>16000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15000.0</v>
      </c>
      <c r="F80" s="56">
        <v>16000.0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15142.85714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12000.0</v>
      </c>
      <c r="G81" s="56">
        <v>13000.0</v>
      </c>
      <c r="H81" s="57">
        <v>10000.0</v>
      </c>
      <c r="I81" s="69">
        <v>18000.0</v>
      </c>
      <c r="J81" s="94">
        <v>13000.0</v>
      </c>
      <c r="K81" s="70">
        <f t="shared" si="16"/>
        <v>13857.14286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12000.0</v>
      </c>
      <c r="G82" s="56">
        <v>13000.0</v>
      </c>
      <c r="H82" s="57">
        <v>10000.0</v>
      </c>
      <c r="I82" s="57">
        <v>12000.0</v>
      </c>
      <c r="J82" s="94">
        <v>10000.0</v>
      </c>
      <c r="K82" s="70">
        <f t="shared" si="16"/>
        <v>10857.14286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12000.0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9428.571429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1500.0</v>
      </c>
      <c r="G85" s="66">
        <v>2000.0</v>
      </c>
      <c r="H85" s="57">
        <v>1500.0</v>
      </c>
      <c r="I85" s="68">
        <v>2000.0</v>
      </c>
      <c r="J85" s="112">
        <v>1500.0</v>
      </c>
      <c r="K85" s="70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127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87"/>
      <c r="E7" s="87"/>
      <c r="F7" s="87"/>
      <c r="G7" s="172"/>
      <c r="H7" s="172" t="s">
        <v>7</v>
      </c>
      <c r="I7" s="173"/>
      <c r="J7" s="172"/>
      <c r="K7" s="174"/>
      <c r="M7" s="5"/>
      <c r="N7" s="5"/>
    </row>
    <row r="8">
      <c r="A8" s="29"/>
      <c r="B8" s="175" t="s">
        <v>23</v>
      </c>
      <c r="C8" s="123" t="s">
        <v>24</v>
      </c>
      <c r="D8" s="56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6">
        <v>14000.0</v>
      </c>
      <c r="J8" s="95">
        <v>13500.0</v>
      </c>
      <c r="K8" s="176">
        <f t="shared" ref="K8:K12" si="1">AVERAGE(D8:J8)</f>
        <v>13357.14286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56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177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56">
        <v>11000.0</v>
      </c>
      <c r="E10" s="56">
        <v>11500.0</v>
      </c>
      <c r="F10" s="65">
        <v>13000.0</v>
      </c>
      <c r="G10" s="66">
        <v>11500.0</v>
      </c>
      <c r="H10" s="65" t="s">
        <v>26</v>
      </c>
      <c r="I10" s="65">
        <v>12500.0</v>
      </c>
      <c r="J10" s="66">
        <v>12500.0</v>
      </c>
      <c r="K10" s="177">
        <f t="shared" si="1"/>
        <v>12000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12000.0</v>
      </c>
      <c r="H11" s="65" t="s">
        <v>26</v>
      </c>
      <c r="I11" s="66">
        <v>11000.0</v>
      </c>
      <c r="J11" s="95">
        <v>8000.0</v>
      </c>
      <c r="K11" s="177">
        <f t="shared" si="1"/>
        <v>10600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18000.0</v>
      </c>
      <c r="G12" s="66">
        <v>20000.0</v>
      </c>
      <c r="H12" s="65" t="s">
        <v>26</v>
      </c>
      <c r="I12" s="66">
        <v>18000.0</v>
      </c>
      <c r="J12" s="95">
        <v>17000.0</v>
      </c>
      <c r="K12" s="177">
        <f t="shared" si="1"/>
        <v>19000</v>
      </c>
      <c r="M12" s="5"/>
      <c r="N12" s="5"/>
    </row>
    <row r="13">
      <c r="A13" s="169">
        <v>2.0</v>
      </c>
      <c r="B13" s="170" t="s">
        <v>31</v>
      </c>
      <c r="C13" s="171"/>
      <c r="D13" s="87"/>
      <c r="E13" s="86"/>
      <c r="F13" s="87"/>
      <c r="G13" s="89"/>
      <c r="H13" s="89"/>
      <c r="I13" s="89"/>
      <c r="J13" s="89"/>
      <c r="K13" s="178"/>
      <c r="M13" s="5"/>
      <c r="N13" s="92"/>
    </row>
    <row r="14">
      <c r="A14" s="29"/>
      <c r="B14" s="175" t="s">
        <v>32</v>
      </c>
      <c r="C14" s="123" t="s">
        <v>24</v>
      </c>
      <c r="D14" s="56">
        <v>13000.0</v>
      </c>
      <c r="E14" s="56">
        <v>13500.0</v>
      </c>
      <c r="F14" s="56">
        <v>13500.0</v>
      </c>
      <c r="G14" s="56">
        <v>13500.0</v>
      </c>
      <c r="H14" s="56">
        <v>13500.0</v>
      </c>
      <c r="I14" s="56">
        <v>13500.0</v>
      </c>
      <c r="J14" s="179">
        <v>13500.0</v>
      </c>
      <c r="K14" s="177">
        <f t="shared" ref="K14:K15" si="2">AVERAGE(D14:J14)</f>
        <v>13428.57143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95">
        <v>20000.0</v>
      </c>
      <c r="G15" s="66">
        <v>16000.0</v>
      </c>
      <c r="H15" s="56">
        <v>15000.0</v>
      </c>
      <c r="I15" s="56">
        <v>18000.0</v>
      </c>
      <c r="J15" s="179">
        <v>16000.0</v>
      </c>
      <c r="K15" s="177">
        <f t="shared" si="2"/>
        <v>16571.42857</v>
      </c>
      <c r="M15" s="5"/>
      <c r="N15" s="5"/>
    </row>
    <row r="16">
      <c r="A16" s="169">
        <v>3.0</v>
      </c>
      <c r="B16" s="170" t="s">
        <v>34</v>
      </c>
      <c r="C16" s="170"/>
      <c r="D16" s="98"/>
      <c r="E16" s="97"/>
      <c r="F16" s="98"/>
      <c r="G16" s="98"/>
      <c r="H16" s="98"/>
      <c r="I16" s="98"/>
      <c r="J16" s="180"/>
      <c r="K16" s="178"/>
      <c r="M16" s="5"/>
      <c r="N16" s="5"/>
    </row>
    <row r="17">
      <c r="A17" s="38"/>
      <c r="B17" s="175" t="s">
        <v>35</v>
      </c>
      <c r="C17" s="123" t="s">
        <v>24</v>
      </c>
      <c r="D17" s="56">
        <v>14500.0</v>
      </c>
      <c r="E17" s="65">
        <v>16000.0</v>
      </c>
      <c r="F17" s="56">
        <v>17000.0</v>
      </c>
      <c r="G17" s="56">
        <v>16000.0</v>
      </c>
      <c r="H17" s="56">
        <v>14000.0</v>
      </c>
      <c r="I17" s="56">
        <v>16000.0</v>
      </c>
      <c r="J17" s="181">
        <v>15500.0</v>
      </c>
      <c r="K17" s="177">
        <f t="shared" ref="K17:K18" si="3">AVERAGE(D17:J17)</f>
        <v>15571.42857</v>
      </c>
      <c r="M17" s="5"/>
      <c r="N17" s="5"/>
    </row>
    <row r="18">
      <c r="A18" s="182"/>
      <c r="B18" s="175" t="s">
        <v>36</v>
      </c>
      <c r="C18" s="123" t="s">
        <v>37</v>
      </c>
      <c r="D18" s="56">
        <v>14000.0</v>
      </c>
      <c r="E18" s="65">
        <v>14000.0</v>
      </c>
      <c r="F18" s="65">
        <v>14000.0</v>
      </c>
      <c r="G18" s="56">
        <v>14000.0</v>
      </c>
      <c r="H18" s="65" t="s">
        <v>26</v>
      </c>
      <c r="I18" s="56">
        <v>14000.0</v>
      </c>
      <c r="J18" s="179">
        <v>14000.0</v>
      </c>
      <c r="K18" s="177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8"/>
      <c r="E19" s="97"/>
      <c r="F19" s="98"/>
      <c r="G19" s="106"/>
      <c r="H19" s="98"/>
      <c r="I19" s="98"/>
      <c r="J19" s="180"/>
      <c r="K19" s="178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177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8"/>
      <c r="E21" s="87"/>
      <c r="F21" s="98"/>
      <c r="G21" s="106"/>
      <c r="H21" s="98"/>
      <c r="I21" s="97"/>
      <c r="J21" s="184"/>
      <c r="K21" s="178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56">
        <v>120000.0</v>
      </c>
      <c r="F22" s="56">
        <v>120000.0</v>
      </c>
      <c r="G22" s="56">
        <v>120000.0</v>
      </c>
      <c r="H22" s="56">
        <v>120000.0</v>
      </c>
      <c r="I22" s="66">
        <v>120000.0</v>
      </c>
      <c r="J22" s="181" t="s">
        <v>26</v>
      </c>
      <c r="K22" s="177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56">
        <v>110000.0</v>
      </c>
      <c r="F23" s="56">
        <v>110000.0</v>
      </c>
      <c r="G23" s="56">
        <v>110000.0</v>
      </c>
      <c r="H23" s="56">
        <v>114000.0</v>
      </c>
      <c r="I23" s="65">
        <v>115000.0</v>
      </c>
      <c r="J23" s="179">
        <v>115000.0</v>
      </c>
      <c r="K23" s="177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56">
        <v>95000.0</v>
      </c>
      <c r="F24" s="56">
        <v>105000.0</v>
      </c>
      <c r="G24" s="56">
        <v>105000.0</v>
      </c>
      <c r="H24" s="56">
        <v>100000.0</v>
      </c>
      <c r="I24" s="66">
        <v>110000.0</v>
      </c>
      <c r="J24" s="181">
        <v>105000.0</v>
      </c>
      <c r="K24" s="177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56">
        <v>36000.0</v>
      </c>
      <c r="E25" s="56">
        <v>36000.0</v>
      </c>
      <c r="F25" s="56">
        <v>35000.0</v>
      </c>
      <c r="G25" s="56">
        <v>35000.0</v>
      </c>
      <c r="H25" s="179">
        <v>40000.0</v>
      </c>
      <c r="I25" s="65">
        <v>35000.0</v>
      </c>
      <c r="J25" s="179">
        <v>40000.0</v>
      </c>
      <c r="K25" s="177">
        <f t="shared" si="4"/>
        <v>36714.28571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8"/>
      <c r="E26" s="87"/>
      <c r="F26" s="106"/>
      <c r="G26" s="98"/>
      <c r="H26" s="180"/>
      <c r="I26" s="98"/>
      <c r="J26" s="180"/>
      <c r="K26" s="178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30000.0</v>
      </c>
      <c r="E27" s="56">
        <v>40000.0</v>
      </c>
      <c r="F27" s="65" t="s">
        <v>26</v>
      </c>
      <c r="G27" s="56">
        <v>45000.0</v>
      </c>
      <c r="H27" s="56">
        <v>30000.0</v>
      </c>
      <c r="I27" s="65">
        <v>40000.0</v>
      </c>
      <c r="J27" s="179">
        <v>35000.0</v>
      </c>
      <c r="K27" s="177">
        <f t="shared" ref="K27:K32" si="5">AVERAGE(D27:J27)</f>
        <v>36666.66667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25000.0</v>
      </c>
      <c r="E28" s="65">
        <v>28000.0</v>
      </c>
      <c r="F28" s="56">
        <v>30000.0</v>
      </c>
      <c r="G28" s="66">
        <v>35000.0</v>
      </c>
      <c r="H28" s="65">
        <v>23000.0</v>
      </c>
      <c r="I28" s="65">
        <v>29000.0</v>
      </c>
      <c r="J28" s="185">
        <v>24000.0</v>
      </c>
      <c r="K28" s="177">
        <f t="shared" si="5"/>
        <v>27714.28571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80000.0</v>
      </c>
      <c r="E29" s="65">
        <v>60000.0</v>
      </c>
      <c r="F29" s="66">
        <v>60000.0</v>
      </c>
      <c r="G29" s="66">
        <v>75000.0</v>
      </c>
      <c r="H29" s="56">
        <v>58000.0</v>
      </c>
      <c r="I29" s="65">
        <v>60000.0</v>
      </c>
      <c r="J29" s="185">
        <v>55000.0</v>
      </c>
      <c r="K29" s="177">
        <f t="shared" si="5"/>
        <v>64000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56">
        <v>23000.0</v>
      </c>
      <c r="I30" s="65">
        <v>24000.0</v>
      </c>
      <c r="J30" s="185">
        <v>26000.0</v>
      </c>
      <c r="K30" s="177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35000.0</v>
      </c>
      <c r="E31" s="56">
        <v>35000.0</v>
      </c>
      <c r="F31" s="56">
        <v>38000.0</v>
      </c>
      <c r="G31" s="56">
        <v>45000.0</v>
      </c>
      <c r="H31" s="56">
        <v>28000.0</v>
      </c>
      <c r="I31" s="65">
        <v>40000.0</v>
      </c>
      <c r="J31" s="179">
        <v>38000.0</v>
      </c>
      <c r="K31" s="177">
        <f t="shared" si="5"/>
        <v>37000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56">
        <v>100000.0</v>
      </c>
      <c r="F32" s="56">
        <v>110000.0</v>
      </c>
      <c r="G32" s="65" t="s">
        <v>26</v>
      </c>
      <c r="H32" s="56">
        <v>80000.0</v>
      </c>
      <c r="I32" s="65" t="s">
        <v>26</v>
      </c>
      <c r="J32" s="185" t="s">
        <v>26</v>
      </c>
      <c r="K32" s="177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8"/>
      <c r="E33" s="87"/>
      <c r="F33" s="106"/>
      <c r="G33" s="106"/>
      <c r="H33" s="98"/>
      <c r="I33" s="98"/>
      <c r="J33" s="180" t="s">
        <v>57</v>
      </c>
      <c r="K33" s="178"/>
      <c r="M33" s="5"/>
      <c r="N33" s="5"/>
    </row>
    <row r="34" ht="15.75" customHeight="1">
      <c r="A34" s="29"/>
      <c r="B34" s="175" t="s">
        <v>58</v>
      </c>
      <c r="C34" s="123" t="s">
        <v>24</v>
      </c>
      <c r="D34" s="56">
        <v>29000.0</v>
      </c>
      <c r="E34" s="56">
        <v>30000.0</v>
      </c>
      <c r="F34" s="56">
        <v>30000.0</v>
      </c>
      <c r="G34" s="56">
        <v>30000.0</v>
      </c>
      <c r="H34" s="56">
        <v>28000.0</v>
      </c>
      <c r="I34" s="56">
        <v>27000.0</v>
      </c>
      <c r="J34" s="179">
        <v>30000.0</v>
      </c>
      <c r="K34" s="177">
        <f t="shared" ref="K34:K35" si="6">AVERAGE(D34:J34)</f>
        <v>29142.85714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56">
        <v>3000.0</v>
      </c>
      <c r="E35" s="56">
        <v>2200.0</v>
      </c>
      <c r="F35" s="56">
        <v>2000.0</v>
      </c>
      <c r="G35" s="56">
        <v>2200.0</v>
      </c>
      <c r="H35" s="56">
        <v>2000.0</v>
      </c>
      <c r="I35" s="56">
        <v>2500.0</v>
      </c>
      <c r="J35" s="179">
        <v>3000.0</v>
      </c>
      <c r="K35" s="177">
        <f t="shared" si="6"/>
        <v>2414.285714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56"/>
      <c r="E36" s="56"/>
      <c r="F36" s="56"/>
      <c r="G36" s="56"/>
      <c r="H36" s="56"/>
      <c r="I36" s="56"/>
      <c r="J36" s="179"/>
      <c r="K36" s="187"/>
      <c r="M36" s="5"/>
      <c r="N36" s="5"/>
    </row>
    <row r="37" ht="15.75" customHeight="1">
      <c r="A37" s="182"/>
      <c r="B37" s="175" t="s">
        <v>62</v>
      </c>
      <c r="C37" s="123" t="s">
        <v>24</v>
      </c>
      <c r="D37" s="56">
        <v>10000.0</v>
      </c>
      <c r="E37" s="56">
        <v>10000.0</v>
      </c>
      <c r="F37" s="56">
        <v>9000.0</v>
      </c>
      <c r="G37" s="56">
        <v>9000.0</v>
      </c>
      <c r="H37" s="56">
        <v>16000.0</v>
      </c>
      <c r="I37" s="56">
        <v>12000.0</v>
      </c>
      <c r="J37" s="179">
        <v>9000.0</v>
      </c>
      <c r="K37" s="177">
        <f t="shared" ref="K37:K38" si="7">AVERAGE(D37:J37)</f>
        <v>10714.28571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56">
        <v>7000.0</v>
      </c>
      <c r="F38" s="56">
        <v>12000.0</v>
      </c>
      <c r="G38" s="56">
        <v>17000.0</v>
      </c>
      <c r="H38" s="65" t="s">
        <v>26</v>
      </c>
      <c r="I38" s="65">
        <v>15000.0</v>
      </c>
      <c r="J38" s="179">
        <v>12000.0</v>
      </c>
      <c r="K38" s="177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56"/>
      <c r="F39" s="56"/>
      <c r="G39" s="56"/>
      <c r="H39" s="56"/>
      <c r="I39" s="56"/>
      <c r="J39" s="179"/>
      <c r="K39" s="187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56">
        <v>18000.0</v>
      </c>
      <c r="F40" s="65" t="s">
        <v>26</v>
      </c>
      <c r="G40" s="56">
        <v>16000.0</v>
      </c>
      <c r="H40" s="56">
        <v>14000.0</v>
      </c>
      <c r="I40" s="56">
        <v>15000.0</v>
      </c>
      <c r="J40" s="179">
        <v>15000.0</v>
      </c>
      <c r="K40" s="177">
        <f t="shared" ref="K40:K42" si="8">AVERAGE(D40:J40)</f>
        <v>15600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56">
        <v>2500.0</v>
      </c>
      <c r="E41" s="56">
        <v>12000.0</v>
      </c>
      <c r="F41" s="56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177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56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177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8"/>
      <c r="E43" s="87"/>
      <c r="F43" s="106"/>
      <c r="G43" s="98"/>
      <c r="H43" s="98"/>
      <c r="I43" s="98"/>
      <c r="J43" s="192"/>
      <c r="K43" s="178"/>
      <c r="M43" s="5"/>
      <c r="N43" s="5"/>
    </row>
    <row r="44" ht="15.75" customHeight="1">
      <c r="A44" s="29"/>
      <c r="B44" s="175" t="s">
        <v>69</v>
      </c>
      <c r="C44" s="123" t="s">
        <v>70</v>
      </c>
      <c r="D44" s="56">
        <v>12500.0</v>
      </c>
      <c r="E44" s="65">
        <v>12000.0</v>
      </c>
      <c r="F44" s="56">
        <v>13000.0</v>
      </c>
      <c r="G44" s="56">
        <v>12000.0</v>
      </c>
      <c r="H44" s="114" t="s">
        <v>26</v>
      </c>
      <c r="I44" s="66">
        <v>12500.0</v>
      </c>
      <c r="J44" s="181">
        <v>12500.0</v>
      </c>
      <c r="K44" s="177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13000.0</v>
      </c>
      <c r="G45" s="56">
        <v>12000.0</v>
      </c>
      <c r="H45" s="114" t="s">
        <v>26</v>
      </c>
      <c r="I45" s="66">
        <v>12500.0</v>
      </c>
      <c r="J45" s="185">
        <v>12500.0</v>
      </c>
      <c r="K45" s="177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8"/>
      <c r="E46" s="123"/>
      <c r="F46" s="98"/>
      <c r="G46" s="106"/>
      <c r="H46" s="98"/>
      <c r="I46" s="98"/>
      <c r="J46" s="180"/>
      <c r="K46" s="178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56">
        <v>17500.0</v>
      </c>
      <c r="I47" s="66" t="s">
        <v>26</v>
      </c>
      <c r="J47" s="185" t="s">
        <v>26</v>
      </c>
      <c r="K47" s="177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56">
        <v>2000.0</v>
      </c>
      <c r="I48" s="66" t="s">
        <v>26</v>
      </c>
      <c r="J48" s="185" t="s">
        <v>26</v>
      </c>
      <c r="K48" s="177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86"/>
      <c r="E49" s="86"/>
      <c r="F49" s="86"/>
      <c r="G49" s="126"/>
      <c r="H49" s="86"/>
      <c r="I49" s="86"/>
      <c r="J49" s="195"/>
      <c r="K49" s="178"/>
      <c r="M49" s="5"/>
      <c r="N49" s="5"/>
    </row>
    <row r="50" ht="15.75" customHeight="1">
      <c r="A50" s="182"/>
      <c r="B50" s="175" t="s">
        <v>79</v>
      </c>
      <c r="C50" s="196" t="s">
        <v>24</v>
      </c>
      <c r="D50" s="56">
        <v>10000.0</v>
      </c>
      <c r="E50" s="56">
        <v>8000.0</v>
      </c>
      <c r="F50" s="56">
        <v>10000.0</v>
      </c>
      <c r="G50" s="56">
        <v>10000.0</v>
      </c>
      <c r="H50" s="56">
        <v>9000.0</v>
      </c>
      <c r="I50" s="66">
        <v>10000.0</v>
      </c>
      <c r="J50" s="179">
        <v>8000.0</v>
      </c>
      <c r="K50" s="177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56">
        <v>9000.0</v>
      </c>
      <c r="E51" s="56">
        <v>10000.0</v>
      </c>
      <c r="F51" s="66">
        <v>10000.0</v>
      </c>
      <c r="G51" s="56">
        <v>10000.0</v>
      </c>
      <c r="H51" s="56">
        <v>6000.0</v>
      </c>
      <c r="I51" s="65" t="s">
        <v>26</v>
      </c>
      <c r="J51" s="179">
        <v>6000.0</v>
      </c>
      <c r="K51" s="177">
        <f t="shared" si="11"/>
        <v>8500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8"/>
      <c r="E52" s="87"/>
      <c r="F52" s="106"/>
      <c r="G52" s="106"/>
      <c r="H52" s="98"/>
      <c r="I52" s="98"/>
      <c r="J52" s="192"/>
      <c r="K52" s="178"/>
      <c r="M52" s="5"/>
      <c r="N52" s="5"/>
    </row>
    <row r="53" ht="15.75" customHeight="1">
      <c r="A53" s="38"/>
      <c r="B53" s="175" t="s">
        <v>82</v>
      </c>
      <c r="C53" s="123" t="s">
        <v>83</v>
      </c>
      <c r="D53" s="56">
        <v>3000.0</v>
      </c>
      <c r="E53" s="56">
        <v>8000.0</v>
      </c>
      <c r="F53" s="56">
        <v>5000.0</v>
      </c>
      <c r="G53" s="56">
        <v>5000.0</v>
      </c>
      <c r="H53" s="56">
        <v>2500.0</v>
      </c>
      <c r="I53" s="66">
        <v>2000.0</v>
      </c>
      <c r="J53" s="181">
        <v>2500.0</v>
      </c>
      <c r="K53" s="177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4"/>
      <c r="H54" s="87"/>
      <c r="I54" s="87"/>
      <c r="J54" s="197"/>
      <c r="K54" s="178"/>
      <c r="M54" s="5"/>
      <c r="N54" s="5"/>
    </row>
    <row r="55" ht="15.75" customHeight="1">
      <c r="A55" s="38"/>
      <c r="B55" s="198" t="s">
        <v>85</v>
      </c>
      <c r="C55" s="196" t="s">
        <v>24</v>
      </c>
      <c r="D55" s="56">
        <v>12000.0</v>
      </c>
      <c r="E55" s="56">
        <v>10500.0</v>
      </c>
      <c r="F55" s="56">
        <v>12500.0</v>
      </c>
      <c r="G55" s="56">
        <v>11000.0</v>
      </c>
      <c r="H55" s="56">
        <v>11000.0</v>
      </c>
      <c r="I55" s="56">
        <v>11000.0</v>
      </c>
      <c r="J55" s="179">
        <v>10000.0</v>
      </c>
      <c r="K55" s="177">
        <f>AVERAGE(D55:J55)</f>
        <v>11142.85714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8"/>
      <c r="E56" s="87"/>
      <c r="F56" s="106"/>
      <c r="G56" s="98"/>
      <c r="H56" s="98"/>
      <c r="I56" s="98"/>
      <c r="J56" s="192"/>
      <c r="K56" s="178"/>
      <c r="M56" s="5"/>
      <c r="N56" s="5"/>
    </row>
    <row r="57" ht="15.75" customHeight="1">
      <c r="A57" s="29"/>
      <c r="B57" s="175" t="s">
        <v>87</v>
      </c>
      <c r="C57" s="123" t="s">
        <v>24</v>
      </c>
      <c r="D57" s="56">
        <v>14000.0</v>
      </c>
      <c r="E57" s="56">
        <v>16000.0</v>
      </c>
      <c r="F57" s="56">
        <v>16000.0</v>
      </c>
      <c r="G57" s="56">
        <v>18000.0</v>
      </c>
      <c r="H57" s="56">
        <v>13000.0</v>
      </c>
      <c r="I57" s="65">
        <v>16000.0</v>
      </c>
      <c r="J57" s="181" t="s">
        <v>26</v>
      </c>
      <c r="K57" s="177">
        <f t="shared" ref="K57:K60" si="12">AVERAGE(D57:J57)</f>
        <v>15500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56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177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56">
        <v>25000.0</v>
      </c>
      <c r="E59" s="56">
        <v>23000.0</v>
      </c>
      <c r="F59" s="56">
        <v>25000.0</v>
      </c>
      <c r="G59" s="56">
        <v>30000.0</v>
      </c>
      <c r="H59" s="56">
        <v>22000.0</v>
      </c>
      <c r="I59" s="56">
        <v>26000.0</v>
      </c>
      <c r="J59" s="181">
        <v>26000.0</v>
      </c>
      <c r="K59" s="177">
        <f t="shared" si="12"/>
        <v>25285.71429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56">
        <v>30000.0</v>
      </c>
      <c r="E60" s="56">
        <v>30000.0</v>
      </c>
      <c r="F60" s="56">
        <v>30000.0</v>
      </c>
      <c r="G60" s="56">
        <v>30000.0</v>
      </c>
      <c r="H60" s="56">
        <v>26000.0</v>
      </c>
      <c r="I60" s="56">
        <v>29000.0</v>
      </c>
      <c r="J60" s="181">
        <v>28000.0</v>
      </c>
      <c r="K60" s="177">
        <f t="shared" si="12"/>
        <v>29000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146"/>
      <c r="E61" s="86"/>
      <c r="F61" s="126"/>
      <c r="G61" s="86"/>
      <c r="H61" s="86"/>
      <c r="I61" s="86"/>
      <c r="J61" s="200"/>
      <c r="K61" s="178"/>
      <c r="M61" s="5"/>
      <c r="N61" s="5"/>
    </row>
    <row r="62" ht="15.75" customHeight="1">
      <c r="A62" s="123"/>
      <c r="B62" s="175" t="s">
        <v>93</v>
      </c>
      <c r="C62" s="196" t="s">
        <v>94</v>
      </c>
      <c r="D62" s="56">
        <v>3000.0</v>
      </c>
      <c r="E62" s="56">
        <v>3200.0</v>
      </c>
      <c r="F62" s="56">
        <v>3000.0</v>
      </c>
      <c r="G62" s="56">
        <v>3000.0</v>
      </c>
      <c r="H62" s="114" t="s">
        <v>26</v>
      </c>
      <c r="I62" s="66">
        <v>3500.0</v>
      </c>
      <c r="J62" s="179">
        <v>3500.0</v>
      </c>
      <c r="K62" s="177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8"/>
      <c r="E63" s="87"/>
      <c r="F63" s="106"/>
      <c r="G63" s="106"/>
      <c r="H63" s="98"/>
      <c r="I63" s="98"/>
      <c r="J63" s="192"/>
      <c r="K63" s="178"/>
      <c r="M63" s="5"/>
      <c r="N63" s="5"/>
    </row>
    <row r="64" ht="15.75" customHeight="1">
      <c r="A64" s="29"/>
      <c r="B64" s="175" t="s">
        <v>97</v>
      </c>
      <c r="C64" s="123" t="s">
        <v>24</v>
      </c>
      <c r="D64" s="56">
        <v>30000.0</v>
      </c>
      <c r="E64" s="56">
        <v>30000.0</v>
      </c>
      <c r="F64" s="56">
        <v>25000.0</v>
      </c>
      <c r="G64" s="56">
        <v>30000.0</v>
      </c>
      <c r="H64" s="56">
        <v>30000.0</v>
      </c>
      <c r="I64" s="56">
        <v>40000.0</v>
      </c>
      <c r="J64" s="179">
        <v>30000.0</v>
      </c>
      <c r="K64" s="177">
        <f t="shared" ref="K64:K66" si="13">AVERAGE(D64:J64)</f>
        <v>30714.28571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56">
        <v>25000.0</v>
      </c>
      <c r="F65" s="56">
        <v>24000.0</v>
      </c>
      <c r="G65" s="56">
        <v>30000.0</v>
      </c>
      <c r="H65" s="199" t="s">
        <v>26</v>
      </c>
      <c r="I65" s="66">
        <v>25000.0</v>
      </c>
      <c r="J65" s="181" t="s">
        <v>26</v>
      </c>
      <c r="K65" s="177">
        <f t="shared" si="13"/>
        <v>25800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56">
        <v>35000.0</v>
      </c>
      <c r="E66" s="56">
        <v>35000.0</v>
      </c>
      <c r="F66" s="56">
        <v>35000.0</v>
      </c>
      <c r="G66" s="56">
        <v>40000.0</v>
      </c>
      <c r="H66" s="56">
        <v>35000.0</v>
      </c>
      <c r="I66" s="56">
        <v>40000.0</v>
      </c>
      <c r="J66" s="179">
        <v>35000.0</v>
      </c>
      <c r="K66" s="177">
        <f t="shared" si="13"/>
        <v>36428.57143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201"/>
      <c r="E67" s="86"/>
      <c r="F67" s="126"/>
      <c r="G67" s="86"/>
      <c r="H67" s="86"/>
      <c r="I67" s="86"/>
      <c r="J67" s="195"/>
      <c r="K67" s="178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56">
        <v>20000.0</v>
      </c>
      <c r="E68" s="56">
        <v>18000.0</v>
      </c>
      <c r="F68" s="56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177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8"/>
      <c r="E69" s="87"/>
      <c r="F69" s="98"/>
      <c r="G69" s="98"/>
      <c r="H69" s="98"/>
      <c r="I69" s="98"/>
      <c r="J69" s="180"/>
      <c r="K69" s="178"/>
      <c r="M69" s="5"/>
      <c r="N69" s="5"/>
    </row>
    <row r="70" ht="15.75" customHeight="1">
      <c r="A70" s="29"/>
      <c r="B70" s="175" t="s">
        <v>104</v>
      </c>
      <c r="C70" s="123" t="s">
        <v>24</v>
      </c>
      <c r="D70" s="56">
        <v>35000.0</v>
      </c>
      <c r="E70" s="56">
        <v>35000.0</v>
      </c>
      <c r="F70" s="56">
        <v>36000.0</v>
      </c>
      <c r="G70" s="56">
        <v>40000.0</v>
      </c>
      <c r="H70" s="56">
        <v>34000.0</v>
      </c>
      <c r="I70" s="56">
        <v>40000.0</v>
      </c>
      <c r="J70" s="179">
        <v>35000.0</v>
      </c>
      <c r="K70" s="177">
        <f t="shared" ref="K70:K73" si="14">AVERAGE(D70:J70)</f>
        <v>36428.57143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34000.0</v>
      </c>
      <c r="E71" s="56">
        <v>35000.0</v>
      </c>
      <c r="F71" s="56">
        <v>34000.0</v>
      </c>
      <c r="G71" s="56">
        <v>35000.0</v>
      </c>
      <c r="H71" s="56">
        <v>32000.0</v>
      </c>
      <c r="I71" s="56">
        <v>40000.0</v>
      </c>
      <c r="J71" s="179">
        <v>28000.0</v>
      </c>
      <c r="K71" s="177">
        <f t="shared" si="14"/>
        <v>34000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56">
        <v>35000.0</v>
      </c>
      <c r="E72" s="56">
        <v>35000.0</v>
      </c>
      <c r="F72" s="56">
        <v>40000.0</v>
      </c>
      <c r="G72" s="56">
        <v>40000.0</v>
      </c>
      <c r="H72" s="56">
        <v>32000.0</v>
      </c>
      <c r="I72" s="56">
        <v>40000.0</v>
      </c>
      <c r="J72" s="179">
        <v>30000.0</v>
      </c>
      <c r="K72" s="177">
        <f t="shared" si="14"/>
        <v>36000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56">
        <v>40000.0</v>
      </c>
      <c r="E73" s="65">
        <v>44000.0</v>
      </c>
      <c r="F73" s="66">
        <v>40000.0</v>
      </c>
      <c r="G73" s="66">
        <v>45000.0</v>
      </c>
      <c r="H73" s="56">
        <v>40000.0</v>
      </c>
      <c r="I73" s="65">
        <v>50000.0</v>
      </c>
      <c r="J73" s="181">
        <v>30000.0</v>
      </c>
      <c r="K73" s="177">
        <f t="shared" si="14"/>
        <v>41285.71429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201"/>
      <c r="E74" s="114"/>
      <c r="F74" s="86"/>
      <c r="G74" s="146"/>
      <c r="H74" s="86"/>
      <c r="I74" s="86"/>
      <c r="J74" s="200"/>
      <c r="K74" s="178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56">
        <v>6000.0</v>
      </c>
      <c r="E75" s="65">
        <v>7000.0</v>
      </c>
      <c r="F75" s="56">
        <v>5000.0</v>
      </c>
      <c r="G75" s="56">
        <v>6000.0</v>
      </c>
      <c r="H75" s="56">
        <v>4000.0</v>
      </c>
      <c r="I75" s="56">
        <v>7000.0</v>
      </c>
      <c r="J75" s="181">
        <v>5000.0</v>
      </c>
      <c r="K75" s="177">
        <f t="shared" ref="K75:K76" si="15">AVERAGE(D75:J75)</f>
        <v>5714.285714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56">
        <v>5000.0</v>
      </c>
      <c r="I76" s="65">
        <v>7000.0</v>
      </c>
      <c r="J76" s="185">
        <v>6000.0</v>
      </c>
      <c r="K76" s="177">
        <f t="shared" si="15"/>
        <v>6000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86"/>
      <c r="E77" s="86"/>
      <c r="F77" s="86"/>
      <c r="G77" s="126"/>
      <c r="H77" s="86"/>
      <c r="I77" s="86"/>
      <c r="J77" s="195"/>
      <c r="K77" s="178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56">
        <v>7000.0</v>
      </c>
      <c r="E78" s="56">
        <v>8000.0</v>
      </c>
      <c r="F78" s="56">
        <v>8000.0</v>
      </c>
      <c r="G78" s="56">
        <v>8000.0</v>
      </c>
      <c r="H78" s="56">
        <v>9000.0</v>
      </c>
      <c r="I78" s="66">
        <v>8000.0</v>
      </c>
      <c r="J78" s="179">
        <v>6000.0</v>
      </c>
      <c r="K78" s="177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56">
        <v>14000.0</v>
      </c>
      <c r="E79" s="56">
        <v>22000.0</v>
      </c>
      <c r="F79" s="56">
        <v>16000.0</v>
      </c>
      <c r="G79" s="56">
        <v>15000.0</v>
      </c>
      <c r="H79" s="56">
        <v>10000.0</v>
      </c>
      <c r="I79" s="66">
        <v>20000.0</v>
      </c>
      <c r="J79" s="179">
        <v>15000.0</v>
      </c>
      <c r="K79" s="177">
        <f t="shared" si="16"/>
        <v>16000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56">
        <v>14000.0</v>
      </c>
      <c r="E80" s="56">
        <v>15000.0</v>
      </c>
      <c r="F80" s="56">
        <v>16000.0</v>
      </c>
      <c r="G80" s="56">
        <v>16000.0</v>
      </c>
      <c r="H80" s="56">
        <v>15000.0</v>
      </c>
      <c r="I80" s="56">
        <v>17000.0</v>
      </c>
      <c r="J80" s="179">
        <v>13000.0</v>
      </c>
      <c r="K80" s="177">
        <f t="shared" si="16"/>
        <v>15142.85714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56">
        <v>16000.0</v>
      </c>
      <c r="E81" s="56">
        <v>15000.0</v>
      </c>
      <c r="F81" s="56">
        <v>12000.0</v>
      </c>
      <c r="G81" s="56">
        <v>13000.0</v>
      </c>
      <c r="H81" s="56">
        <v>10000.0</v>
      </c>
      <c r="I81" s="66">
        <v>18000.0</v>
      </c>
      <c r="J81" s="179">
        <v>13000.0</v>
      </c>
      <c r="K81" s="177">
        <f t="shared" si="16"/>
        <v>13857.14286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56">
        <v>9000.0</v>
      </c>
      <c r="E82" s="56">
        <v>10000.0</v>
      </c>
      <c r="F82" s="56">
        <v>12000.0</v>
      </c>
      <c r="G82" s="56">
        <v>13000.0</v>
      </c>
      <c r="H82" s="56">
        <v>10000.0</v>
      </c>
      <c r="I82" s="56">
        <v>12000.0</v>
      </c>
      <c r="J82" s="179">
        <v>10000.0</v>
      </c>
      <c r="K82" s="177">
        <f t="shared" si="16"/>
        <v>10857.14286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9000.0</v>
      </c>
      <c r="E83" s="65">
        <v>12000.0</v>
      </c>
      <c r="F83" s="66">
        <v>8000.0</v>
      </c>
      <c r="G83" s="66">
        <v>10000.0</v>
      </c>
      <c r="H83" s="202">
        <v>9000.0</v>
      </c>
      <c r="I83" s="203">
        <v>10000.0</v>
      </c>
      <c r="J83" s="204">
        <v>8000.0</v>
      </c>
      <c r="K83" s="177">
        <f t="shared" si="16"/>
        <v>9428.571429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56">
        <v>2000.0</v>
      </c>
      <c r="G84" s="66">
        <v>2000.0</v>
      </c>
      <c r="H84" s="56">
        <v>1500.0</v>
      </c>
      <c r="I84" s="65">
        <v>2000.0</v>
      </c>
      <c r="J84" s="185">
        <v>2000.0</v>
      </c>
      <c r="K84" s="177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56">
        <v>1500.0</v>
      </c>
      <c r="G85" s="66">
        <v>2000.0</v>
      </c>
      <c r="H85" s="56">
        <v>1500.0</v>
      </c>
      <c r="I85" s="65">
        <v>2000.0</v>
      </c>
      <c r="J85" s="185">
        <v>1500.0</v>
      </c>
      <c r="K85" s="177">
        <f t="shared" si="16"/>
        <v>1750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56">
        <v>2000.0</v>
      </c>
      <c r="G86" s="66">
        <v>2000.0</v>
      </c>
      <c r="H86" s="56">
        <v>2000.0</v>
      </c>
      <c r="I86" s="65">
        <v>2000.0</v>
      </c>
      <c r="J86" s="185">
        <v>2000.0</v>
      </c>
      <c r="K86" s="177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26"/>
      <c r="E87" s="114"/>
      <c r="F87" s="86" t="s">
        <v>123</v>
      </c>
      <c r="G87" s="126"/>
      <c r="H87" s="86"/>
      <c r="I87" s="86"/>
      <c r="J87" s="195"/>
      <c r="K87" s="178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>
        <v>18000.0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177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128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87"/>
      <c r="E7" s="87"/>
      <c r="F7" s="87"/>
      <c r="G7" s="172"/>
      <c r="H7" s="172" t="s">
        <v>7</v>
      </c>
      <c r="I7" s="173"/>
      <c r="J7" s="172"/>
      <c r="K7" s="174"/>
      <c r="M7" s="5"/>
      <c r="N7" s="5"/>
    </row>
    <row r="8">
      <c r="A8" s="29"/>
      <c r="B8" s="175" t="s">
        <v>23</v>
      </c>
      <c r="C8" s="123" t="s">
        <v>24</v>
      </c>
      <c r="D8" s="56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6">
        <v>14000.0</v>
      </c>
      <c r="J8" s="95">
        <v>13500.0</v>
      </c>
      <c r="K8" s="176">
        <f t="shared" ref="K8:K12" si="1">AVERAGE(D8:J8)</f>
        <v>13357.14286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56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177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56">
        <v>11000.0</v>
      </c>
      <c r="E10" s="56">
        <v>11500.0</v>
      </c>
      <c r="F10" s="65">
        <v>13000.0</v>
      </c>
      <c r="G10" s="66">
        <v>11500.0</v>
      </c>
      <c r="H10" s="65" t="s">
        <v>26</v>
      </c>
      <c r="I10" s="65">
        <v>12500.0</v>
      </c>
      <c r="J10" s="66">
        <v>12500.0</v>
      </c>
      <c r="K10" s="177">
        <f t="shared" si="1"/>
        <v>12000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12000.0</v>
      </c>
      <c r="H11" s="65" t="s">
        <v>26</v>
      </c>
      <c r="I11" s="66">
        <v>11000.0</v>
      </c>
      <c r="J11" s="95">
        <v>8000.0</v>
      </c>
      <c r="K11" s="177">
        <f t="shared" si="1"/>
        <v>10600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95">
        <v>17000.0</v>
      </c>
      <c r="K12" s="177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87"/>
      <c r="E13" s="86"/>
      <c r="F13" s="87"/>
      <c r="G13" s="89"/>
      <c r="H13" s="89"/>
      <c r="I13" s="89"/>
      <c r="J13" s="89"/>
      <c r="K13" s="178"/>
      <c r="M13" s="5"/>
      <c r="N13" s="92"/>
    </row>
    <row r="14">
      <c r="A14" s="29"/>
      <c r="B14" s="175" t="s">
        <v>32</v>
      </c>
      <c r="C14" s="123" t="s">
        <v>24</v>
      </c>
      <c r="D14" s="56">
        <v>13000.0</v>
      </c>
      <c r="E14" s="56">
        <v>13500.0</v>
      </c>
      <c r="F14" s="56">
        <v>14000.0</v>
      </c>
      <c r="G14" s="56">
        <v>13500.0</v>
      </c>
      <c r="H14" s="56">
        <v>13500.0</v>
      </c>
      <c r="I14" s="56">
        <v>13500.0</v>
      </c>
      <c r="J14" s="179">
        <v>13500.0</v>
      </c>
      <c r="K14" s="177">
        <f t="shared" ref="K14:K15" si="2">AVERAGE(D14:J14)</f>
        <v>13500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95">
        <v>15000.0</v>
      </c>
      <c r="G15" s="66">
        <v>16000.0</v>
      </c>
      <c r="H15" s="56">
        <v>15000.0</v>
      </c>
      <c r="I15" s="56">
        <v>18000.0</v>
      </c>
      <c r="J15" s="179">
        <v>16000.0</v>
      </c>
      <c r="K15" s="177">
        <f t="shared" si="2"/>
        <v>15857.14286</v>
      </c>
      <c r="M15" s="5"/>
      <c r="N15" s="5"/>
    </row>
    <row r="16">
      <c r="A16" s="169">
        <v>3.0</v>
      </c>
      <c r="B16" s="170" t="s">
        <v>34</v>
      </c>
      <c r="C16" s="170"/>
      <c r="D16" s="98"/>
      <c r="E16" s="97"/>
      <c r="F16" s="98"/>
      <c r="G16" s="98"/>
      <c r="H16" s="98"/>
      <c r="I16" s="98"/>
      <c r="J16" s="180"/>
      <c r="K16" s="178"/>
      <c r="M16" s="5"/>
      <c r="N16" s="5"/>
    </row>
    <row r="17">
      <c r="A17" s="38"/>
      <c r="B17" s="175" t="s">
        <v>35</v>
      </c>
      <c r="C17" s="123" t="s">
        <v>24</v>
      </c>
      <c r="D17" s="56">
        <v>14500.0</v>
      </c>
      <c r="E17" s="65">
        <v>16000.0</v>
      </c>
      <c r="F17" s="56">
        <v>17000.0</v>
      </c>
      <c r="G17" s="56">
        <v>16000.0</v>
      </c>
      <c r="H17" s="56">
        <v>14000.0</v>
      </c>
      <c r="I17" s="56">
        <v>16000.0</v>
      </c>
      <c r="J17" s="181">
        <v>15500.0</v>
      </c>
      <c r="K17" s="177">
        <f t="shared" ref="K17:K18" si="3">AVERAGE(D17:J17)</f>
        <v>15571.42857</v>
      </c>
      <c r="M17" s="5"/>
      <c r="N17" s="5"/>
    </row>
    <row r="18">
      <c r="A18" s="182"/>
      <c r="B18" s="175" t="s">
        <v>36</v>
      </c>
      <c r="C18" s="123" t="s">
        <v>37</v>
      </c>
      <c r="D18" s="56">
        <v>14000.0</v>
      </c>
      <c r="E18" s="65">
        <v>14000.0</v>
      </c>
      <c r="F18" s="65">
        <v>14000.0</v>
      </c>
      <c r="G18" s="56">
        <v>14000.0</v>
      </c>
      <c r="H18" s="65" t="s">
        <v>26</v>
      </c>
      <c r="I18" s="56">
        <v>14000.0</v>
      </c>
      <c r="J18" s="179">
        <v>14000.0</v>
      </c>
      <c r="K18" s="177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8"/>
      <c r="E19" s="97"/>
      <c r="F19" s="98"/>
      <c r="G19" s="106"/>
      <c r="H19" s="98"/>
      <c r="I19" s="98"/>
      <c r="J19" s="180"/>
      <c r="K19" s="178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177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8"/>
      <c r="E21" s="87"/>
      <c r="F21" s="98"/>
      <c r="G21" s="106"/>
      <c r="H21" s="98"/>
      <c r="I21" s="97"/>
      <c r="J21" s="184"/>
      <c r="K21" s="178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56">
        <v>120000.0</v>
      </c>
      <c r="F22" s="56">
        <v>120000.0</v>
      </c>
      <c r="G22" s="56">
        <v>120000.0</v>
      </c>
      <c r="H22" s="56">
        <v>120000.0</v>
      </c>
      <c r="I22" s="66">
        <v>120000.0</v>
      </c>
      <c r="J22" s="181" t="s">
        <v>26</v>
      </c>
      <c r="K22" s="177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56">
        <v>110000.0</v>
      </c>
      <c r="F23" s="56">
        <v>110000.0</v>
      </c>
      <c r="G23" s="56">
        <v>110000.0</v>
      </c>
      <c r="H23" s="56">
        <v>114000.0</v>
      </c>
      <c r="I23" s="65">
        <v>115000.0</v>
      </c>
      <c r="J23" s="179">
        <v>115000.0</v>
      </c>
      <c r="K23" s="177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56">
        <v>95000.0</v>
      </c>
      <c r="F24" s="56">
        <v>105000.0</v>
      </c>
      <c r="G24" s="56">
        <v>105000.0</v>
      </c>
      <c r="H24" s="56">
        <v>100000.0</v>
      </c>
      <c r="I24" s="66">
        <v>110000.0</v>
      </c>
      <c r="J24" s="181">
        <v>105000.0</v>
      </c>
      <c r="K24" s="177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56">
        <v>36000.0</v>
      </c>
      <c r="E25" s="56">
        <v>36000.0</v>
      </c>
      <c r="F25" s="56">
        <v>36000.0</v>
      </c>
      <c r="G25" s="56">
        <v>36000.0</v>
      </c>
      <c r="H25" s="179">
        <v>40000.0</v>
      </c>
      <c r="I25" s="65">
        <v>35000.0</v>
      </c>
      <c r="J25" s="179">
        <v>40000.0</v>
      </c>
      <c r="K25" s="177">
        <f t="shared" si="4"/>
        <v>37000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8"/>
      <c r="E26" s="87"/>
      <c r="F26" s="106"/>
      <c r="G26" s="98"/>
      <c r="H26" s="180"/>
      <c r="I26" s="98"/>
      <c r="J26" s="180"/>
      <c r="K26" s="178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56">
        <v>40000.0</v>
      </c>
      <c r="F27" s="65" t="s">
        <v>26</v>
      </c>
      <c r="G27" s="56">
        <v>45000.0</v>
      </c>
      <c r="H27" s="56">
        <v>30000.0</v>
      </c>
      <c r="I27" s="65">
        <v>40000.0</v>
      </c>
      <c r="J27" s="179">
        <v>35000.0</v>
      </c>
      <c r="K27" s="177">
        <f t="shared" ref="K27:K32" si="5">AVERAGE(D27:J27)</f>
        <v>37500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25000.0</v>
      </c>
      <c r="E28" s="65">
        <v>28000.0</v>
      </c>
      <c r="F28" s="56">
        <v>28000.0</v>
      </c>
      <c r="G28" s="66">
        <v>35000.0</v>
      </c>
      <c r="H28" s="65">
        <v>23000.0</v>
      </c>
      <c r="I28" s="65">
        <v>29000.0</v>
      </c>
      <c r="J28" s="185">
        <v>24000.0</v>
      </c>
      <c r="K28" s="177">
        <f t="shared" si="5"/>
        <v>27428.57143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80000.0</v>
      </c>
      <c r="E29" s="65">
        <v>60000.0</v>
      </c>
      <c r="F29" s="66">
        <v>60000.0</v>
      </c>
      <c r="G29" s="66">
        <v>75000.0</v>
      </c>
      <c r="H29" s="56">
        <v>58000.0</v>
      </c>
      <c r="I29" s="65">
        <v>60000.0</v>
      </c>
      <c r="J29" s="185">
        <v>55000.0</v>
      </c>
      <c r="K29" s="177">
        <f t="shared" si="5"/>
        <v>64000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56">
        <v>23000.0</v>
      </c>
      <c r="I30" s="65">
        <v>24000.0</v>
      </c>
      <c r="J30" s="185">
        <v>26000.0</v>
      </c>
      <c r="K30" s="177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35000.0</v>
      </c>
      <c r="E31" s="56">
        <v>35000.0</v>
      </c>
      <c r="F31" s="56">
        <v>36000.0</v>
      </c>
      <c r="G31" s="56">
        <v>45000.0</v>
      </c>
      <c r="H31" s="56">
        <v>28000.0</v>
      </c>
      <c r="I31" s="65">
        <v>40000.0</v>
      </c>
      <c r="J31" s="179">
        <v>38000.0</v>
      </c>
      <c r="K31" s="177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56">
        <v>100000.0</v>
      </c>
      <c r="F32" s="56">
        <v>110000.0</v>
      </c>
      <c r="G32" s="65" t="s">
        <v>26</v>
      </c>
      <c r="H32" s="56">
        <v>80000.0</v>
      </c>
      <c r="I32" s="65" t="s">
        <v>26</v>
      </c>
      <c r="J32" s="185" t="s">
        <v>26</v>
      </c>
      <c r="K32" s="177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8"/>
      <c r="E33" s="87"/>
      <c r="F33" s="106"/>
      <c r="G33" s="106"/>
      <c r="H33" s="98"/>
      <c r="I33" s="98"/>
      <c r="J33" s="180" t="s">
        <v>57</v>
      </c>
      <c r="K33" s="178"/>
      <c r="M33" s="5"/>
      <c r="N33" s="5"/>
    </row>
    <row r="34" ht="15.75" customHeight="1">
      <c r="A34" s="29"/>
      <c r="B34" s="175" t="s">
        <v>58</v>
      </c>
      <c r="C34" s="123" t="s">
        <v>24</v>
      </c>
      <c r="D34" s="56">
        <v>29000.0</v>
      </c>
      <c r="E34" s="56">
        <v>30000.0</v>
      </c>
      <c r="F34" s="56">
        <v>30000.0</v>
      </c>
      <c r="G34" s="56">
        <v>30000.0</v>
      </c>
      <c r="H34" s="56">
        <v>28000.0</v>
      </c>
      <c r="I34" s="56">
        <v>27000.0</v>
      </c>
      <c r="J34" s="179">
        <v>28500.0</v>
      </c>
      <c r="K34" s="177">
        <f t="shared" ref="K34:K35" si="6">AVERAGE(D34:J34)</f>
        <v>28928.57143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56">
        <v>3000.0</v>
      </c>
      <c r="E35" s="56">
        <v>2200.0</v>
      </c>
      <c r="F35" s="56">
        <v>2000.0</v>
      </c>
      <c r="G35" s="56">
        <v>2200.0</v>
      </c>
      <c r="H35" s="56">
        <v>2000.0</v>
      </c>
      <c r="I35" s="56">
        <v>2500.0</v>
      </c>
      <c r="J35" s="179">
        <v>3000.0</v>
      </c>
      <c r="K35" s="177">
        <f t="shared" si="6"/>
        <v>2414.285714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56"/>
      <c r="E36" s="56"/>
      <c r="F36" s="56"/>
      <c r="G36" s="56"/>
      <c r="H36" s="56"/>
      <c r="I36" s="56"/>
      <c r="J36" s="179"/>
      <c r="K36" s="187"/>
      <c r="M36" s="5"/>
      <c r="N36" s="5"/>
    </row>
    <row r="37" ht="15.75" customHeight="1">
      <c r="A37" s="182"/>
      <c r="B37" s="175" t="s">
        <v>62</v>
      </c>
      <c r="C37" s="123" t="s">
        <v>24</v>
      </c>
      <c r="D37" s="56">
        <v>10000.0</v>
      </c>
      <c r="E37" s="56">
        <v>10000.0</v>
      </c>
      <c r="F37" s="56">
        <v>9000.0</v>
      </c>
      <c r="G37" s="56">
        <v>9000.0</v>
      </c>
      <c r="H37" s="56">
        <v>16000.0</v>
      </c>
      <c r="I37" s="56">
        <v>12000.0</v>
      </c>
      <c r="J37" s="179">
        <v>9000.0</v>
      </c>
      <c r="K37" s="177">
        <f t="shared" ref="K37:K38" si="7">AVERAGE(D37:J37)</f>
        <v>10714.28571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56">
        <v>7000.0</v>
      </c>
      <c r="F38" s="56">
        <v>12000.0</v>
      </c>
      <c r="G38" s="56">
        <v>17000.0</v>
      </c>
      <c r="H38" s="65" t="s">
        <v>26</v>
      </c>
      <c r="I38" s="65">
        <v>15000.0</v>
      </c>
      <c r="J38" s="179">
        <v>12000.0</v>
      </c>
      <c r="K38" s="177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56"/>
      <c r="F39" s="56"/>
      <c r="G39" s="56"/>
      <c r="H39" s="56"/>
      <c r="I39" s="56"/>
      <c r="J39" s="179"/>
      <c r="K39" s="187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56">
        <v>18000.0</v>
      </c>
      <c r="F40" s="65" t="s">
        <v>26</v>
      </c>
      <c r="G40" s="56">
        <v>16000.0</v>
      </c>
      <c r="H40" s="56">
        <v>14000.0</v>
      </c>
      <c r="I40" s="56">
        <v>15000.0</v>
      </c>
      <c r="J40" s="179">
        <v>15000.0</v>
      </c>
      <c r="K40" s="177">
        <f t="shared" ref="K40:K42" si="8">AVERAGE(D40:J40)</f>
        <v>15600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56">
        <v>2500.0</v>
      </c>
      <c r="E41" s="56">
        <v>12000.0</v>
      </c>
      <c r="F41" s="56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177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56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177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8"/>
      <c r="E43" s="87"/>
      <c r="F43" s="106"/>
      <c r="G43" s="98"/>
      <c r="H43" s="98"/>
      <c r="I43" s="98"/>
      <c r="J43" s="192"/>
      <c r="K43" s="178"/>
      <c r="M43" s="5"/>
      <c r="N43" s="5"/>
    </row>
    <row r="44" ht="15.75" customHeight="1">
      <c r="A44" s="29"/>
      <c r="B44" s="175" t="s">
        <v>69</v>
      </c>
      <c r="C44" s="123" t="s">
        <v>70</v>
      </c>
      <c r="D44" s="56">
        <v>12500.0</v>
      </c>
      <c r="E44" s="65">
        <v>12000.0</v>
      </c>
      <c r="F44" s="56">
        <v>12500.0</v>
      </c>
      <c r="G44" s="56">
        <v>12000.0</v>
      </c>
      <c r="H44" s="114" t="s">
        <v>26</v>
      </c>
      <c r="I44" s="66">
        <v>12500.0</v>
      </c>
      <c r="J44" s="181">
        <v>12500.0</v>
      </c>
      <c r="K44" s="177">
        <f t="shared" ref="K44:K45" si="9">AVERAGE(D44:J44)</f>
        <v>12333.33333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56">
        <v>12000.0</v>
      </c>
      <c r="H45" s="114" t="s">
        <v>26</v>
      </c>
      <c r="I45" s="66">
        <v>12500.0</v>
      </c>
      <c r="J45" s="185">
        <v>12500.0</v>
      </c>
      <c r="K45" s="177">
        <f t="shared" si="9"/>
        <v>12500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8"/>
      <c r="E46" s="123"/>
      <c r="F46" s="98"/>
      <c r="G46" s="106"/>
      <c r="H46" s="98"/>
      <c r="I46" s="98"/>
      <c r="J46" s="180"/>
      <c r="K46" s="178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56">
        <v>17500.0</v>
      </c>
      <c r="I47" s="66" t="s">
        <v>26</v>
      </c>
      <c r="J47" s="185" t="s">
        <v>26</v>
      </c>
      <c r="K47" s="177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56">
        <v>2000.0</v>
      </c>
      <c r="I48" s="66" t="s">
        <v>26</v>
      </c>
      <c r="J48" s="185" t="s">
        <v>26</v>
      </c>
      <c r="K48" s="177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86"/>
      <c r="E49" s="86"/>
      <c r="F49" s="86"/>
      <c r="G49" s="126"/>
      <c r="H49" s="86"/>
      <c r="I49" s="86"/>
      <c r="J49" s="195"/>
      <c r="K49" s="178"/>
      <c r="M49" s="5"/>
      <c r="N49" s="5"/>
    </row>
    <row r="50" ht="15.75" customHeight="1">
      <c r="A50" s="182"/>
      <c r="B50" s="175" t="s">
        <v>79</v>
      </c>
      <c r="C50" s="196" t="s">
        <v>24</v>
      </c>
      <c r="D50" s="56">
        <v>10000.0</v>
      </c>
      <c r="E50" s="56">
        <v>8000.0</v>
      </c>
      <c r="F50" s="56">
        <v>10000.0</v>
      </c>
      <c r="G50" s="56">
        <v>10000.0</v>
      </c>
      <c r="H50" s="56">
        <v>9000.0</v>
      </c>
      <c r="I50" s="66">
        <v>10000.0</v>
      </c>
      <c r="J50" s="179">
        <v>8000.0</v>
      </c>
      <c r="K50" s="177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56">
        <v>9000.0</v>
      </c>
      <c r="E51" s="56">
        <v>10000.0</v>
      </c>
      <c r="F51" s="66">
        <v>9000.0</v>
      </c>
      <c r="G51" s="56">
        <v>10000.0</v>
      </c>
      <c r="H51" s="56">
        <v>6000.0</v>
      </c>
      <c r="I51" s="65" t="s">
        <v>26</v>
      </c>
      <c r="J51" s="179">
        <v>6000.0</v>
      </c>
      <c r="K51" s="177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8"/>
      <c r="E52" s="87"/>
      <c r="F52" s="106"/>
      <c r="G52" s="106"/>
      <c r="H52" s="98"/>
      <c r="I52" s="98"/>
      <c r="J52" s="192"/>
      <c r="K52" s="178"/>
      <c r="M52" s="5"/>
      <c r="N52" s="5"/>
    </row>
    <row r="53" ht="15.75" customHeight="1">
      <c r="A53" s="38"/>
      <c r="B53" s="175" t="s">
        <v>82</v>
      </c>
      <c r="C53" s="123" t="s">
        <v>83</v>
      </c>
      <c r="D53" s="56">
        <v>3000.0</v>
      </c>
      <c r="E53" s="56">
        <v>8000.0</v>
      </c>
      <c r="F53" s="56">
        <v>5000.0</v>
      </c>
      <c r="G53" s="56">
        <v>5000.0</v>
      </c>
      <c r="H53" s="56">
        <v>2500.0</v>
      </c>
      <c r="I53" s="66">
        <v>2000.0</v>
      </c>
      <c r="J53" s="181">
        <v>2500.0</v>
      </c>
      <c r="K53" s="177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4"/>
      <c r="H54" s="87"/>
      <c r="I54" s="87"/>
      <c r="J54" s="197"/>
      <c r="K54" s="178"/>
      <c r="M54" s="5"/>
      <c r="N54" s="5"/>
    </row>
    <row r="55" ht="15.75" customHeight="1">
      <c r="A55" s="38"/>
      <c r="B55" s="198" t="s">
        <v>85</v>
      </c>
      <c r="C55" s="196" t="s">
        <v>24</v>
      </c>
      <c r="D55" s="56">
        <v>12000.0</v>
      </c>
      <c r="E55" s="56">
        <v>10500.0</v>
      </c>
      <c r="F55" s="56">
        <v>13000.0</v>
      </c>
      <c r="G55" s="56">
        <v>11000.0</v>
      </c>
      <c r="H55" s="56">
        <v>11000.0</v>
      </c>
      <c r="I55" s="56">
        <v>11000.0</v>
      </c>
      <c r="J55" s="179">
        <v>10000.0</v>
      </c>
      <c r="K55" s="177">
        <f>AVERAGE(D55:J55)</f>
        <v>11214.28571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8"/>
      <c r="E56" s="87"/>
      <c r="F56" s="106"/>
      <c r="G56" s="98"/>
      <c r="H56" s="98"/>
      <c r="I56" s="98"/>
      <c r="J56" s="192"/>
      <c r="K56" s="178"/>
      <c r="M56" s="5"/>
      <c r="N56" s="5"/>
    </row>
    <row r="57" ht="15.75" customHeight="1">
      <c r="A57" s="29"/>
      <c r="B57" s="175" t="s">
        <v>87</v>
      </c>
      <c r="C57" s="123" t="s">
        <v>24</v>
      </c>
      <c r="D57" s="56">
        <v>14000.0</v>
      </c>
      <c r="E57" s="56">
        <v>16000.0</v>
      </c>
      <c r="F57" s="56">
        <v>16000.0</v>
      </c>
      <c r="G57" s="56">
        <v>18000.0</v>
      </c>
      <c r="H57" s="56">
        <v>13000.0</v>
      </c>
      <c r="I57" s="65">
        <v>16000.0</v>
      </c>
      <c r="J57" s="181" t="s">
        <v>26</v>
      </c>
      <c r="K57" s="177">
        <f t="shared" ref="K57:K60" si="12">AVERAGE(D57:J57)</f>
        <v>15500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56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177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56">
        <v>25000.0</v>
      </c>
      <c r="E59" s="56">
        <v>23000.0</v>
      </c>
      <c r="F59" s="56">
        <v>24000.0</v>
      </c>
      <c r="G59" s="56">
        <v>30000.0</v>
      </c>
      <c r="H59" s="56">
        <v>22000.0</v>
      </c>
      <c r="I59" s="56">
        <v>26000.0</v>
      </c>
      <c r="J59" s="181">
        <v>26000.0</v>
      </c>
      <c r="K59" s="177">
        <f t="shared" si="12"/>
        <v>25142.85714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56">
        <v>30000.0</v>
      </c>
      <c r="E60" s="56">
        <v>30000.0</v>
      </c>
      <c r="F60" s="56">
        <v>31000.0</v>
      </c>
      <c r="G60" s="56">
        <v>30000.0</v>
      </c>
      <c r="H60" s="56">
        <v>26000.0</v>
      </c>
      <c r="I60" s="56">
        <v>29000.0</v>
      </c>
      <c r="J60" s="181">
        <v>28000.0</v>
      </c>
      <c r="K60" s="177">
        <f t="shared" si="12"/>
        <v>29142.85714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146"/>
      <c r="E61" s="86"/>
      <c r="F61" s="126"/>
      <c r="G61" s="86"/>
      <c r="H61" s="86"/>
      <c r="I61" s="86"/>
      <c r="J61" s="200"/>
      <c r="K61" s="178"/>
      <c r="M61" s="5"/>
      <c r="N61" s="5"/>
    </row>
    <row r="62" ht="15.75" customHeight="1">
      <c r="A62" s="123"/>
      <c r="B62" s="175" t="s">
        <v>93</v>
      </c>
      <c r="C62" s="196" t="s">
        <v>94</v>
      </c>
      <c r="D62" s="56">
        <v>3000.0</v>
      </c>
      <c r="E62" s="56">
        <v>3200.0</v>
      </c>
      <c r="F62" s="56">
        <v>3000.0</v>
      </c>
      <c r="G62" s="56">
        <v>3000.0</v>
      </c>
      <c r="H62" s="114" t="s">
        <v>26</v>
      </c>
      <c r="I62" s="66">
        <v>3500.0</v>
      </c>
      <c r="J62" s="179">
        <v>3500.0</v>
      </c>
      <c r="K62" s="177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8"/>
      <c r="E63" s="87"/>
      <c r="F63" s="106"/>
      <c r="G63" s="106"/>
      <c r="H63" s="98"/>
      <c r="I63" s="98"/>
      <c r="J63" s="192"/>
      <c r="K63" s="178"/>
      <c r="M63" s="5"/>
      <c r="N63" s="5"/>
    </row>
    <row r="64" ht="15.75" customHeight="1">
      <c r="A64" s="29"/>
      <c r="B64" s="175" t="s">
        <v>97</v>
      </c>
      <c r="C64" s="123" t="s">
        <v>24</v>
      </c>
      <c r="D64" s="56">
        <v>32000.0</v>
      </c>
      <c r="E64" s="56">
        <v>30000.0</v>
      </c>
      <c r="F64" s="56">
        <v>38000.0</v>
      </c>
      <c r="G64" s="56">
        <v>35000.0</v>
      </c>
      <c r="H64" s="56">
        <v>30000.0</v>
      </c>
      <c r="I64" s="56">
        <v>38000.0</v>
      </c>
      <c r="J64" s="179">
        <v>30000.0</v>
      </c>
      <c r="K64" s="177">
        <f t="shared" ref="K64:K66" si="13">AVERAGE(D64:J64)</f>
        <v>33285.71429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56">
        <v>25000.0</v>
      </c>
      <c r="F65" s="56">
        <v>25000.0</v>
      </c>
      <c r="G65" s="56">
        <v>35000.0</v>
      </c>
      <c r="H65" s="199" t="s">
        <v>26</v>
      </c>
      <c r="I65" s="66">
        <v>25000.0</v>
      </c>
      <c r="J65" s="181" t="s">
        <v>26</v>
      </c>
      <c r="K65" s="177">
        <f t="shared" si="13"/>
        <v>27000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56">
        <v>35000.0</v>
      </c>
      <c r="E66" s="56">
        <v>35000.0</v>
      </c>
      <c r="F66" s="56">
        <v>40000.0</v>
      </c>
      <c r="G66" s="56">
        <v>45000.0</v>
      </c>
      <c r="H66" s="56">
        <v>35000.0</v>
      </c>
      <c r="I66" s="56">
        <v>35000.0</v>
      </c>
      <c r="J66" s="179">
        <v>35000.0</v>
      </c>
      <c r="K66" s="177">
        <f t="shared" si="13"/>
        <v>37142.85714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201"/>
      <c r="E67" s="86"/>
      <c r="F67" s="126"/>
      <c r="G67" s="86"/>
      <c r="H67" s="86"/>
      <c r="I67" s="86"/>
      <c r="J67" s="195"/>
      <c r="K67" s="178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56">
        <v>20000.0</v>
      </c>
      <c r="E68" s="56">
        <v>18000.0</v>
      </c>
      <c r="F68" s="56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177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8"/>
      <c r="E69" s="87"/>
      <c r="F69" s="98"/>
      <c r="G69" s="98"/>
      <c r="H69" s="98"/>
      <c r="I69" s="98"/>
      <c r="J69" s="180"/>
      <c r="K69" s="178"/>
      <c r="M69" s="5"/>
      <c r="N69" s="5"/>
    </row>
    <row r="70" ht="15.75" customHeight="1">
      <c r="A70" s="29"/>
      <c r="B70" s="175" t="s">
        <v>104</v>
      </c>
      <c r="C70" s="123" t="s">
        <v>24</v>
      </c>
      <c r="D70" s="56">
        <v>34000.0</v>
      </c>
      <c r="E70" s="56">
        <v>35000.0</v>
      </c>
      <c r="F70" s="56">
        <v>38000.0</v>
      </c>
      <c r="G70" s="56">
        <v>40000.0</v>
      </c>
      <c r="H70" s="56">
        <v>34000.0</v>
      </c>
      <c r="I70" s="56">
        <v>40000.0</v>
      </c>
      <c r="J70" s="179">
        <v>35000.0</v>
      </c>
      <c r="K70" s="177">
        <f t="shared" ref="K70:K73" si="14">AVERAGE(D70:J70)</f>
        <v>36571.42857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56">
        <v>35000.0</v>
      </c>
      <c r="F71" s="56">
        <v>35000.0</v>
      </c>
      <c r="G71" s="56">
        <v>35000.0</v>
      </c>
      <c r="H71" s="56">
        <v>32000.0</v>
      </c>
      <c r="I71" s="56">
        <v>40000.0</v>
      </c>
      <c r="J71" s="179">
        <v>28000.0</v>
      </c>
      <c r="K71" s="177">
        <f t="shared" si="14"/>
        <v>33857.14286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56">
        <v>36000.0</v>
      </c>
      <c r="E72" s="56">
        <v>35000.0</v>
      </c>
      <c r="F72" s="56">
        <v>40000.0</v>
      </c>
      <c r="G72" s="56">
        <v>40000.0</v>
      </c>
      <c r="H72" s="56">
        <v>32000.0</v>
      </c>
      <c r="I72" s="56">
        <v>40000.0</v>
      </c>
      <c r="J72" s="179">
        <v>30000.0</v>
      </c>
      <c r="K72" s="177">
        <f t="shared" si="14"/>
        <v>36142.85714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56">
        <v>36000.0</v>
      </c>
      <c r="E73" s="65">
        <v>42000.0</v>
      </c>
      <c r="F73" s="66">
        <v>45000.0</v>
      </c>
      <c r="G73" s="66">
        <v>45000.0</v>
      </c>
      <c r="H73" s="56">
        <v>40000.0</v>
      </c>
      <c r="I73" s="65">
        <v>50000.0</v>
      </c>
      <c r="J73" s="181">
        <v>30000.0</v>
      </c>
      <c r="K73" s="177">
        <f t="shared" si="14"/>
        <v>41142.85714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201"/>
      <c r="E74" s="114"/>
      <c r="F74" s="86"/>
      <c r="G74" s="146"/>
      <c r="H74" s="86"/>
      <c r="I74" s="86"/>
      <c r="J74" s="200"/>
      <c r="K74" s="178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56">
        <v>6000.0</v>
      </c>
      <c r="E75" s="65">
        <v>7000.0</v>
      </c>
      <c r="F75" s="56">
        <v>5000.0</v>
      </c>
      <c r="G75" s="56">
        <v>6000.0</v>
      </c>
      <c r="H75" s="56">
        <v>4000.0</v>
      </c>
      <c r="I75" s="56">
        <v>7000.0</v>
      </c>
      <c r="J75" s="181">
        <v>5000.0</v>
      </c>
      <c r="K75" s="177">
        <f t="shared" ref="K75:K76" si="15">AVERAGE(D75:J75)</f>
        <v>5714.285714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56">
        <v>5000.0</v>
      </c>
      <c r="I76" s="65">
        <v>7000.0</v>
      </c>
      <c r="J76" s="185">
        <v>6000.0</v>
      </c>
      <c r="K76" s="177">
        <f t="shared" si="15"/>
        <v>6000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86"/>
      <c r="E77" s="86"/>
      <c r="F77" s="86"/>
      <c r="G77" s="126"/>
      <c r="H77" s="86"/>
      <c r="I77" s="86"/>
      <c r="J77" s="195"/>
      <c r="K77" s="178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56">
        <v>7000.0</v>
      </c>
      <c r="E78" s="56">
        <v>8000.0</v>
      </c>
      <c r="F78" s="56">
        <v>8000.0</v>
      </c>
      <c r="G78" s="56">
        <v>8000.0</v>
      </c>
      <c r="H78" s="56">
        <v>9000.0</v>
      </c>
      <c r="I78" s="66">
        <v>8000.0</v>
      </c>
      <c r="J78" s="179">
        <v>6000.0</v>
      </c>
      <c r="K78" s="177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56">
        <v>14000.0</v>
      </c>
      <c r="E79" s="56">
        <v>22000.0</v>
      </c>
      <c r="F79" s="56">
        <v>16000.0</v>
      </c>
      <c r="G79" s="56">
        <v>15000.0</v>
      </c>
      <c r="H79" s="56">
        <v>10000.0</v>
      </c>
      <c r="I79" s="66">
        <v>20000.0</v>
      </c>
      <c r="J79" s="179">
        <v>15000.0</v>
      </c>
      <c r="K79" s="177">
        <f t="shared" si="16"/>
        <v>16000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56">
        <v>16000.0</v>
      </c>
      <c r="E80" s="56">
        <v>15000.0</v>
      </c>
      <c r="F80" s="56">
        <v>16000.0</v>
      </c>
      <c r="G80" s="56">
        <v>16000.0</v>
      </c>
      <c r="H80" s="56">
        <v>15000.0</v>
      </c>
      <c r="I80" s="56">
        <v>17000.0</v>
      </c>
      <c r="J80" s="179">
        <v>13000.0</v>
      </c>
      <c r="K80" s="177">
        <f t="shared" si="16"/>
        <v>15428.57143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56">
        <v>16000.0</v>
      </c>
      <c r="E81" s="56">
        <v>15000.0</v>
      </c>
      <c r="F81" s="56">
        <v>12000.0</v>
      </c>
      <c r="G81" s="56">
        <v>15000.0</v>
      </c>
      <c r="H81" s="56">
        <v>10000.0</v>
      </c>
      <c r="I81" s="66">
        <v>18000.0</v>
      </c>
      <c r="J81" s="179">
        <v>13000.0</v>
      </c>
      <c r="K81" s="177">
        <f t="shared" si="16"/>
        <v>14142.85714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56">
        <v>9000.0</v>
      </c>
      <c r="E82" s="56">
        <v>10000.0</v>
      </c>
      <c r="F82" s="56">
        <v>13000.0</v>
      </c>
      <c r="G82" s="56">
        <v>13000.0</v>
      </c>
      <c r="H82" s="56">
        <v>10000.0</v>
      </c>
      <c r="I82" s="56">
        <v>12000.0</v>
      </c>
      <c r="J82" s="179">
        <v>10000.0</v>
      </c>
      <c r="K82" s="177">
        <f t="shared" si="16"/>
        <v>11000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9000.0</v>
      </c>
      <c r="E83" s="65">
        <v>12000.0</v>
      </c>
      <c r="F83" s="66">
        <v>8000.0</v>
      </c>
      <c r="G83" s="66">
        <v>10000.0</v>
      </c>
      <c r="H83" s="202">
        <v>9000.0</v>
      </c>
      <c r="I83" s="203">
        <v>10000.0</v>
      </c>
      <c r="J83" s="204">
        <v>8000.0</v>
      </c>
      <c r="K83" s="177">
        <f t="shared" si="16"/>
        <v>9428.571429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56">
        <v>2000.0</v>
      </c>
      <c r="G84" s="66">
        <v>2000.0</v>
      </c>
      <c r="H84" s="56">
        <v>1500.0</v>
      </c>
      <c r="I84" s="65">
        <v>2000.0</v>
      </c>
      <c r="J84" s="185">
        <v>2000.0</v>
      </c>
      <c r="K84" s="177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56">
        <v>1500.0</v>
      </c>
      <c r="G85" s="66">
        <v>2000.0</v>
      </c>
      <c r="H85" s="56">
        <v>1500.0</v>
      </c>
      <c r="I85" s="65">
        <v>2000.0</v>
      </c>
      <c r="J85" s="185">
        <v>1500.0</v>
      </c>
      <c r="K85" s="177">
        <f t="shared" si="16"/>
        <v>1750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56">
        <v>2000.0</v>
      </c>
      <c r="G86" s="66">
        <v>2000.0</v>
      </c>
      <c r="H86" s="56">
        <v>2000.0</v>
      </c>
      <c r="I86" s="65">
        <v>2000.0</v>
      </c>
      <c r="J86" s="185">
        <v>2000.0</v>
      </c>
      <c r="K86" s="177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26"/>
      <c r="E87" s="114"/>
      <c r="F87" s="86" t="s">
        <v>123</v>
      </c>
      <c r="G87" s="126"/>
      <c r="H87" s="86"/>
      <c r="I87" s="86"/>
      <c r="J87" s="195"/>
      <c r="K87" s="178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>
        <v>18000.0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177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131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87"/>
      <c r="E7" s="87"/>
      <c r="F7" s="87"/>
      <c r="G7" s="172"/>
      <c r="H7" s="172" t="s">
        <v>7</v>
      </c>
      <c r="I7" s="173"/>
      <c r="J7" s="172"/>
      <c r="K7" s="174"/>
      <c r="M7" s="5"/>
      <c r="N7" s="5"/>
    </row>
    <row r="8">
      <c r="A8" s="29"/>
      <c r="B8" s="175" t="s">
        <v>23</v>
      </c>
      <c r="C8" s="123" t="s">
        <v>24</v>
      </c>
      <c r="D8" s="56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6">
        <v>14000.0</v>
      </c>
      <c r="J8" s="95">
        <v>13500.0</v>
      </c>
      <c r="K8" s="176">
        <f t="shared" ref="K8:K12" si="1">AVERAGE(D8:J8)</f>
        <v>13357.14286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56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177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56">
        <v>11000.0</v>
      </c>
      <c r="E10" s="56">
        <v>11500.0</v>
      </c>
      <c r="F10" s="65">
        <v>13000.0</v>
      </c>
      <c r="G10" s="66">
        <v>11500.0</v>
      </c>
      <c r="H10" s="65" t="s">
        <v>26</v>
      </c>
      <c r="I10" s="65">
        <v>12500.0</v>
      </c>
      <c r="J10" s="66">
        <v>12500.0</v>
      </c>
      <c r="K10" s="177">
        <f t="shared" si="1"/>
        <v>12000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12000.0</v>
      </c>
      <c r="H11" s="65" t="s">
        <v>26</v>
      </c>
      <c r="I11" s="66">
        <v>11000.0</v>
      </c>
      <c r="J11" s="95">
        <v>8000.0</v>
      </c>
      <c r="K11" s="177">
        <f t="shared" si="1"/>
        <v>10600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95">
        <v>17000.0</v>
      </c>
      <c r="K12" s="177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87"/>
      <c r="E13" s="86"/>
      <c r="F13" s="87"/>
      <c r="G13" s="89"/>
      <c r="H13" s="89"/>
      <c r="I13" s="89"/>
      <c r="J13" s="89"/>
      <c r="K13" s="178"/>
      <c r="M13" s="5"/>
      <c r="N13" s="92"/>
    </row>
    <row r="14">
      <c r="A14" s="29"/>
      <c r="B14" s="175" t="s">
        <v>32</v>
      </c>
      <c r="C14" s="123" t="s">
        <v>24</v>
      </c>
      <c r="D14" s="56">
        <v>13000.0</v>
      </c>
      <c r="E14" s="56">
        <v>13500.0</v>
      </c>
      <c r="F14" s="56">
        <v>14000.0</v>
      </c>
      <c r="G14" s="56">
        <v>13500.0</v>
      </c>
      <c r="H14" s="56">
        <v>13500.0</v>
      </c>
      <c r="I14" s="56">
        <v>13500.0</v>
      </c>
      <c r="J14" s="179">
        <v>13500.0</v>
      </c>
      <c r="K14" s="177">
        <f t="shared" ref="K14:K15" si="2">AVERAGE(D14:J14)</f>
        <v>13500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95">
        <v>15000.0</v>
      </c>
      <c r="G15" s="66">
        <v>16000.0</v>
      </c>
      <c r="H15" s="56">
        <v>15000.0</v>
      </c>
      <c r="I15" s="56">
        <v>18000.0</v>
      </c>
      <c r="J15" s="179">
        <v>16000.0</v>
      </c>
      <c r="K15" s="177">
        <f t="shared" si="2"/>
        <v>15857.14286</v>
      </c>
      <c r="M15" s="5"/>
      <c r="N15" s="5"/>
    </row>
    <row r="16">
      <c r="A16" s="169">
        <v>3.0</v>
      </c>
      <c r="B16" s="170" t="s">
        <v>34</v>
      </c>
      <c r="C16" s="170"/>
      <c r="D16" s="98"/>
      <c r="E16" s="97"/>
      <c r="F16" s="98"/>
      <c r="G16" s="98"/>
      <c r="H16" s="98"/>
      <c r="I16" s="98"/>
      <c r="J16" s="180"/>
      <c r="K16" s="178"/>
      <c r="M16" s="5"/>
      <c r="N16" s="5"/>
    </row>
    <row r="17">
      <c r="A17" s="38"/>
      <c r="B17" s="175" t="s">
        <v>35</v>
      </c>
      <c r="C17" s="123" t="s">
        <v>24</v>
      </c>
      <c r="D17" s="56">
        <v>14500.0</v>
      </c>
      <c r="E17" s="65">
        <v>16000.0</v>
      </c>
      <c r="F17" s="56">
        <v>17000.0</v>
      </c>
      <c r="G17" s="56">
        <v>16000.0</v>
      </c>
      <c r="H17" s="56">
        <v>14000.0</v>
      </c>
      <c r="I17" s="56">
        <v>16000.0</v>
      </c>
      <c r="J17" s="181">
        <v>15500.0</v>
      </c>
      <c r="K17" s="177">
        <f t="shared" ref="K17:K18" si="3">AVERAGE(D17:J17)</f>
        <v>15571.42857</v>
      </c>
      <c r="M17" s="5"/>
      <c r="N17" s="5"/>
    </row>
    <row r="18">
      <c r="A18" s="182"/>
      <c r="B18" s="175" t="s">
        <v>36</v>
      </c>
      <c r="C18" s="123" t="s">
        <v>37</v>
      </c>
      <c r="D18" s="56">
        <v>14000.0</v>
      </c>
      <c r="E18" s="65">
        <v>14000.0</v>
      </c>
      <c r="F18" s="65">
        <v>14000.0</v>
      </c>
      <c r="G18" s="56">
        <v>14000.0</v>
      </c>
      <c r="H18" s="65" t="s">
        <v>26</v>
      </c>
      <c r="I18" s="56">
        <v>14000.0</v>
      </c>
      <c r="J18" s="179">
        <v>14000.0</v>
      </c>
      <c r="K18" s="177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8"/>
      <c r="E19" s="97"/>
      <c r="F19" s="98"/>
      <c r="G19" s="106"/>
      <c r="H19" s="98"/>
      <c r="I19" s="98"/>
      <c r="J19" s="180"/>
      <c r="K19" s="178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177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8"/>
      <c r="E21" s="87"/>
      <c r="F21" s="98"/>
      <c r="G21" s="106"/>
      <c r="H21" s="98"/>
      <c r="I21" s="97"/>
      <c r="J21" s="184"/>
      <c r="K21" s="178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56">
        <v>120000.0</v>
      </c>
      <c r="F22" s="56">
        <v>120000.0</v>
      </c>
      <c r="G22" s="56">
        <v>120000.0</v>
      </c>
      <c r="H22" s="56">
        <v>120000.0</v>
      </c>
      <c r="I22" s="66">
        <v>120000.0</v>
      </c>
      <c r="J22" s="181" t="s">
        <v>26</v>
      </c>
      <c r="K22" s="177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56">
        <v>110000.0</v>
      </c>
      <c r="F23" s="56">
        <v>110000.0</v>
      </c>
      <c r="G23" s="56">
        <v>110000.0</v>
      </c>
      <c r="H23" s="56">
        <v>114000.0</v>
      </c>
      <c r="I23" s="65">
        <v>115000.0</v>
      </c>
      <c r="J23" s="179">
        <v>115000.0</v>
      </c>
      <c r="K23" s="177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56">
        <v>95000.0</v>
      </c>
      <c r="F24" s="56">
        <v>105000.0</v>
      </c>
      <c r="G24" s="56">
        <v>105000.0</v>
      </c>
      <c r="H24" s="56">
        <v>100000.0</v>
      </c>
      <c r="I24" s="66">
        <v>110000.0</v>
      </c>
      <c r="J24" s="181">
        <v>105000.0</v>
      </c>
      <c r="K24" s="177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56">
        <v>36000.0</v>
      </c>
      <c r="E25" s="56">
        <v>36000.0</v>
      </c>
      <c r="F25" s="56">
        <v>37000.0</v>
      </c>
      <c r="G25" s="56">
        <v>37000.0</v>
      </c>
      <c r="H25" s="179">
        <v>40000.0</v>
      </c>
      <c r="I25" s="65">
        <v>38000.0</v>
      </c>
      <c r="J25" s="179">
        <v>40000.0</v>
      </c>
      <c r="K25" s="177">
        <f t="shared" si="4"/>
        <v>37714.28571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8"/>
      <c r="E26" s="87"/>
      <c r="F26" s="106"/>
      <c r="G26" s="98"/>
      <c r="H26" s="180"/>
      <c r="I26" s="98"/>
      <c r="J26" s="180"/>
      <c r="K26" s="178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56">
        <v>40000.0</v>
      </c>
      <c r="F27" s="65" t="s">
        <v>26</v>
      </c>
      <c r="G27" s="56">
        <v>45000.0</v>
      </c>
      <c r="H27" s="56">
        <v>30000.0</v>
      </c>
      <c r="I27" s="65">
        <v>40000.0</v>
      </c>
      <c r="J27" s="179">
        <v>35000.0</v>
      </c>
      <c r="K27" s="177">
        <f t="shared" ref="K27:K32" si="5">AVERAGE(D27:J27)</f>
        <v>37500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25000.0</v>
      </c>
      <c r="E28" s="65">
        <v>28000.0</v>
      </c>
      <c r="F28" s="56">
        <v>28000.0</v>
      </c>
      <c r="G28" s="66">
        <v>35000.0</v>
      </c>
      <c r="H28" s="65">
        <v>23000.0</v>
      </c>
      <c r="I28" s="65">
        <v>29000.0</v>
      </c>
      <c r="J28" s="185">
        <v>24000.0</v>
      </c>
      <c r="K28" s="177">
        <f t="shared" si="5"/>
        <v>27428.57143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80000.0</v>
      </c>
      <c r="E29" s="65">
        <v>60000.0</v>
      </c>
      <c r="F29" s="66">
        <v>60000.0</v>
      </c>
      <c r="G29" s="66">
        <v>75000.0</v>
      </c>
      <c r="H29" s="56">
        <v>58000.0</v>
      </c>
      <c r="I29" s="65">
        <v>60000.0</v>
      </c>
      <c r="J29" s="185">
        <v>55000.0</v>
      </c>
      <c r="K29" s="177">
        <f t="shared" si="5"/>
        <v>64000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56">
        <v>23000.0</v>
      </c>
      <c r="I30" s="65">
        <v>24000.0</v>
      </c>
      <c r="J30" s="185">
        <v>26000.0</v>
      </c>
      <c r="K30" s="177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35000.0</v>
      </c>
      <c r="E31" s="56">
        <v>35000.0</v>
      </c>
      <c r="F31" s="56">
        <v>36000.0</v>
      </c>
      <c r="G31" s="56">
        <v>45000.0</v>
      </c>
      <c r="H31" s="56">
        <v>28000.0</v>
      </c>
      <c r="I31" s="65">
        <v>40000.0</v>
      </c>
      <c r="J31" s="179">
        <v>38000.0</v>
      </c>
      <c r="K31" s="177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56">
        <v>100000.0</v>
      </c>
      <c r="F32" s="56">
        <v>110000.0</v>
      </c>
      <c r="G32" s="65" t="s">
        <v>26</v>
      </c>
      <c r="H32" s="56">
        <v>80000.0</v>
      </c>
      <c r="I32" s="65" t="s">
        <v>26</v>
      </c>
      <c r="J32" s="185" t="s">
        <v>26</v>
      </c>
      <c r="K32" s="177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8"/>
      <c r="E33" s="87"/>
      <c r="F33" s="106"/>
      <c r="G33" s="106"/>
      <c r="H33" s="98"/>
      <c r="I33" s="98"/>
      <c r="J33" s="180" t="s">
        <v>57</v>
      </c>
      <c r="K33" s="178"/>
      <c r="M33" s="5"/>
      <c r="N33" s="5"/>
    </row>
    <row r="34" ht="15.75" customHeight="1">
      <c r="A34" s="29"/>
      <c r="B34" s="175" t="s">
        <v>58</v>
      </c>
      <c r="C34" s="123" t="s">
        <v>24</v>
      </c>
      <c r="D34" s="56">
        <v>29000.0</v>
      </c>
      <c r="E34" s="56">
        <v>30000.0</v>
      </c>
      <c r="F34" s="56">
        <v>29000.0</v>
      </c>
      <c r="G34" s="56">
        <v>30000.0</v>
      </c>
      <c r="H34" s="56">
        <v>28000.0</v>
      </c>
      <c r="I34" s="56">
        <v>27000.0</v>
      </c>
      <c r="J34" s="179">
        <v>28500.0</v>
      </c>
      <c r="K34" s="177">
        <f t="shared" ref="K34:K35" si="6">AVERAGE(D34:J34)</f>
        <v>28785.71429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56">
        <v>3000.0</v>
      </c>
      <c r="E35" s="56">
        <v>2200.0</v>
      </c>
      <c r="F35" s="56">
        <v>2000.0</v>
      </c>
      <c r="G35" s="56">
        <v>2200.0</v>
      </c>
      <c r="H35" s="56">
        <v>2000.0</v>
      </c>
      <c r="I35" s="56">
        <v>2500.0</v>
      </c>
      <c r="J35" s="179">
        <v>3000.0</v>
      </c>
      <c r="K35" s="177">
        <f t="shared" si="6"/>
        <v>2414.285714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56"/>
      <c r="E36" s="56"/>
      <c r="F36" s="56"/>
      <c r="G36" s="56"/>
      <c r="H36" s="56"/>
      <c r="I36" s="56"/>
      <c r="J36" s="179"/>
      <c r="K36" s="187"/>
      <c r="M36" s="5"/>
      <c r="N36" s="5"/>
    </row>
    <row r="37" ht="15.75" customHeight="1">
      <c r="A37" s="182"/>
      <c r="B37" s="175" t="s">
        <v>62</v>
      </c>
      <c r="C37" s="123" t="s">
        <v>24</v>
      </c>
      <c r="D37" s="56">
        <v>10000.0</v>
      </c>
      <c r="E37" s="56">
        <v>10000.0</v>
      </c>
      <c r="F37" s="56">
        <v>9000.0</v>
      </c>
      <c r="G37" s="56">
        <v>9000.0</v>
      </c>
      <c r="H37" s="56">
        <v>16000.0</v>
      </c>
      <c r="I37" s="56">
        <v>12000.0</v>
      </c>
      <c r="J37" s="179">
        <v>9000.0</v>
      </c>
      <c r="K37" s="177">
        <f t="shared" ref="K37:K38" si="7">AVERAGE(D37:J37)</f>
        <v>10714.28571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56">
        <v>7000.0</v>
      </c>
      <c r="F38" s="56">
        <v>12000.0</v>
      </c>
      <c r="G38" s="56">
        <v>17000.0</v>
      </c>
      <c r="H38" s="65" t="s">
        <v>26</v>
      </c>
      <c r="I38" s="65">
        <v>15000.0</v>
      </c>
      <c r="J38" s="179">
        <v>12000.0</v>
      </c>
      <c r="K38" s="177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56"/>
      <c r="F39" s="56"/>
      <c r="G39" s="56"/>
      <c r="H39" s="56"/>
      <c r="I39" s="56"/>
      <c r="J39" s="179"/>
      <c r="K39" s="187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56">
        <v>18000.0</v>
      </c>
      <c r="F40" s="65" t="s">
        <v>26</v>
      </c>
      <c r="G40" s="56">
        <v>16000.0</v>
      </c>
      <c r="H40" s="56">
        <v>14000.0</v>
      </c>
      <c r="I40" s="56">
        <v>15000.0</v>
      </c>
      <c r="J40" s="179">
        <v>15000.0</v>
      </c>
      <c r="K40" s="177">
        <f t="shared" ref="K40:K42" si="8">AVERAGE(D40:J40)</f>
        <v>15600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56">
        <v>2500.0</v>
      </c>
      <c r="E41" s="56">
        <v>12000.0</v>
      </c>
      <c r="F41" s="56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177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56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177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8"/>
      <c r="E43" s="87"/>
      <c r="F43" s="106"/>
      <c r="G43" s="98"/>
      <c r="H43" s="98"/>
      <c r="I43" s="98"/>
      <c r="J43" s="192"/>
      <c r="K43" s="178"/>
      <c r="M43" s="5"/>
      <c r="N43" s="5"/>
    </row>
    <row r="44" ht="15.75" customHeight="1">
      <c r="A44" s="29"/>
      <c r="B44" s="175" t="s">
        <v>69</v>
      </c>
      <c r="C44" s="123" t="s">
        <v>70</v>
      </c>
      <c r="D44" s="56">
        <v>12500.0</v>
      </c>
      <c r="E44" s="65">
        <v>12000.0</v>
      </c>
      <c r="F44" s="56">
        <v>12500.0</v>
      </c>
      <c r="G44" s="56">
        <v>12000.0</v>
      </c>
      <c r="H44" s="114" t="s">
        <v>26</v>
      </c>
      <c r="I44" s="66">
        <v>12500.0</v>
      </c>
      <c r="J44" s="181">
        <v>12500.0</v>
      </c>
      <c r="K44" s="177">
        <f t="shared" ref="K44:K45" si="9">AVERAGE(D44:J44)</f>
        <v>12333.33333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56">
        <v>12000.0</v>
      </c>
      <c r="H45" s="114" t="s">
        <v>26</v>
      </c>
      <c r="I45" s="66">
        <v>12500.0</v>
      </c>
      <c r="J45" s="185">
        <v>12500.0</v>
      </c>
      <c r="K45" s="177">
        <f t="shared" si="9"/>
        <v>12500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8"/>
      <c r="E46" s="123"/>
      <c r="F46" s="98"/>
      <c r="G46" s="106"/>
      <c r="H46" s="98"/>
      <c r="I46" s="98"/>
      <c r="J46" s="180"/>
      <c r="K46" s="178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56">
        <v>17500.0</v>
      </c>
      <c r="I47" s="66" t="s">
        <v>26</v>
      </c>
      <c r="J47" s="185" t="s">
        <v>26</v>
      </c>
      <c r="K47" s="177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56">
        <v>2000.0</v>
      </c>
      <c r="I48" s="66" t="s">
        <v>26</v>
      </c>
      <c r="J48" s="185" t="s">
        <v>26</v>
      </c>
      <c r="K48" s="177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86"/>
      <c r="E49" s="86"/>
      <c r="F49" s="86"/>
      <c r="G49" s="126"/>
      <c r="H49" s="86"/>
      <c r="I49" s="86"/>
      <c r="J49" s="195"/>
      <c r="K49" s="178"/>
      <c r="M49" s="5"/>
      <c r="N49" s="5"/>
    </row>
    <row r="50" ht="15.75" customHeight="1">
      <c r="A50" s="182"/>
      <c r="B50" s="175" t="s">
        <v>79</v>
      </c>
      <c r="C50" s="196" t="s">
        <v>24</v>
      </c>
      <c r="D50" s="56">
        <v>10000.0</v>
      </c>
      <c r="E50" s="56">
        <v>8000.0</v>
      </c>
      <c r="F50" s="56">
        <v>10000.0</v>
      </c>
      <c r="G50" s="56">
        <v>10000.0</v>
      </c>
      <c r="H50" s="56">
        <v>9000.0</v>
      </c>
      <c r="I50" s="66">
        <v>10000.0</v>
      </c>
      <c r="J50" s="179">
        <v>8000.0</v>
      </c>
      <c r="K50" s="177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56">
        <v>9000.0</v>
      </c>
      <c r="E51" s="56">
        <v>10000.0</v>
      </c>
      <c r="F51" s="66">
        <v>9000.0</v>
      </c>
      <c r="G51" s="56">
        <v>10000.0</v>
      </c>
      <c r="H51" s="56">
        <v>6000.0</v>
      </c>
      <c r="I51" s="65" t="s">
        <v>26</v>
      </c>
      <c r="J51" s="179">
        <v>6000.0</v>
      </c>
      <c r="K51" s="177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8"/>
      <c r="E52" s="87"/>
      <c r="F52" s="106"/>
      <c r="G52" s="106"/>
      <c r="H52" s="98"/>
      <c r="I52" s="98"/>
      <c r="J52" s="192"/>
      <c r="K52" s="178"/>
      <c r="M52" s="5"/>
      <c r="N52" s="5"/>
    </row>
    <row r="53" ht="15.75" customHeight="1">
      <c r="A53" s="38"/>
      <c r="B53" s="175" t="s">
        <v>82</v>
      </c>
      <c r="C53" s="123" t="s">
        <v>83</v>
      </c>
      <c r="D53" s="56">
        <v>3000.0</v>
      </c>
      <c r="E53" s="56">
        <v>8000.0</v>
      </c>
      <c r="F53" s="56">
        <v>5000.0</v>
      </c>
      <c r="G53" s="56">
        <v>5000.0</v>
      </c>
      <c r="H53" s="56">
        <v>2500.0</v>
      </c>
      <c r="I53" s="66">
        <v>2000.0</v>
      </c>
      <c r="J53" s="181">
        <v>2500.0</v>
      </c>
      <c r="K53" s="177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4"/>
      <c r="H54" s="87"/>
      <c r="I54" s="87"/>
      <c r="J54" s="197"/>
      <c r="K54" s="178"/>
      <c r="M54" s="5"/>
      <c r="N54" s="5"/>
    </row>
    <row r="55" ht="15.75" customHeight="1">
      <c r="A55" s="38"/>
      <c r="B55" s="198" t="s">
        <v>85</v>
      </c>
      <c r="C55" s="196" t="s">
        <v>24</v>
      </c>
      <c r="D55" s="56">
        <v>12000.0</v>
      </c>
      <c r="E55" s="56">
        <v>10500.0</v>
      </c>
      <c r="F55" s="56">
        <v>13000.0</v>
      </c>
      <c r="G55" s="56">
        <v>11000.0</v>
      </c>
      <c r="H55" s="56">
        <v>11000.0</v>
      </c>
      <c r="I55" s="56">
        <v>11000.0</v>
      </c>
      <c r="J55" s="179">
        <v>10000.0</v>
      </c>
      <c r="K55" s="177">
        <f>AVERAGE(D55:J55)</f>
        <v>11214.28571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8"/>
      <c r="E56" s="87"/>
      <c r="F56" s="106"/>
      <c r="G56" s="98"/>
      <c r="H56" s="98"/>
      <c r="I56" s="98"/>
      <c r="J56" s="192"/>
      <c r="K56" s="178"/>
      <c r="M56" s="5"/>
      <c r="N56" s="5"/>
    </row>
    <row r="57" ht="15.75" customHeight="1">
      <c r="A57" s="29"/>
      <c r="B57" s="175" t="s">
        <v>87</v>
      </c>
      <c r="C57" s="123" t="s">
        <v>24</v>
      </c>
      <c r="D57" s="56">
        <v>14000.0</v>
      </c>
      <c r="E57" s="56">
        <v>16000.0</v>
      </c>
      <c r="F57" s="56">
        <v>16000.0</v>
      </c>
      <c r="G57" s="56">
        <v>18000.0</v>
      </c>
      <c r="H57" s="56">
        <v>13000.0</v>
      </c>
      <c r="I57" s="65">
        <v>16000.0</v>
      </c>
      <c r="J57" s="181" t="s">
        <v>26</v>
      </c>
      <c r="K57" s="177">
        <f t="shared" ref="K57:K60" si="12">AVERAGE(D57:J57)</f>
        <v>15500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56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177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56">
        <v>25000.0</v>
      </c>
      <c r="E59" s="56">
        <v>23000.0</v>
      </c>
      <c r="F59" s="56">
        <v>24000.0</v>
      </c>
      <c r="G59" s="56">
        <v>30000.0</v>
      </c>
      <c r="H59" s="56">
        <v>22000.0</v>
      </c>
      <c r="I59" s="56">
        <v>26000.0</v>
      </c>
      <c r="J59" s="181">
        <v>26000.0</v>
      </c>
      <c r="K59" s="177">
        <f t="shared" si="12"/>
        <v>25142.85714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56">
        <v>30000.0</v>
      </c>
      <c r="E60" s="56">
        <v>30000.0</v>
      </c>
      <c r="F60" s="56">
        <v>31000.0</v>
      </c>
      <c r="G60" s="56">
        <v>30000.0</v>
      </c>
      <c r="H60" s="56">
        <v>26000.0</v>
      </c>
      <c r="I60" s="56">
        <v>29000.0</v>
      </c>
      <c r="J60" s="181">
        <v>28000.0</v>
      </c>
      <c r="K60" s="177">
        <f t="shared" si="12"/>
        <v>29142.85714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146"/>
      <c r="E61" s="86"/>
      <c r="F61" s="126"/>
      <c r="G61" s="86"/>
      <c r="H61" s="86"/>
      <c r="I61" s="86"/>
      <c r="J61" s="200"/>
      <c r="K61" s="178"/>
      <c r="M61" s="5"/>
      <c r="N61" s="5"/>
    </row>
    <row r="62" ht="15.75" customHeight="1">
      <c r="A62" s="123"/>
      <c r="B62" s="175" t="s">
        <v>93</v>
      </c>
      <c r="C62" s="196" t="s">
        <v>94</v>
      </c>
      <c r="D62" s="56">
        <v>3000.0</v>
      </c>
      <c r="E62" s="56">
        <v>3200.0</v>
      </c>
      <c r="F62" s="56">
        <v>3000.0</v>
      </c>
      <c r="G62" s="56">
        <v>3000.0</v>
      </c>
      <c r="H62" s="114" t="s">
        <v>26</v>
      </c>
      <c r="I62" s="66">
        <v>3500.0</v>
      </c>
      <c r="J62" s="179">
        <v>3500.0</v>
      </c>
      <c r="K62" s="177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8"/>
      <c r="E63" s="87"/>
      <c r="F63" s="106"/>
      <c r="G63" s="106"/>
      <c r="H63" s="98"/>
      <c r="I63" s="98"/>
      <c r="J63" s="192"/>
      <c r="K63" s="178"/>
      <c r="M63" s="5"/>
      <c r="N63" s="5"/>
    </row>
    <row r="64" ht="15.75" customHeight="1">
      <c r="A64" s="29"/>
      <c r="B64" s="175" t="s">
        <v>97</v>
      </c>
      <c r="C64" s="123" t="s">
        <v>24</v>
      </c>
      <c r="D64" s="56">
        <v>32000.0</v>
      </c>
      <c r="E64" s="56">
        <v>30000.0</v>
      </c>
      <c r="F64" s="56">
        <v>38000.0</v>
      </c>
      <c r="G64" s="56">
        <v>35000.0</v>
      </c>
      <c r="H64" s="56">
        <v>30000.0</v>
      </c>
      <c r="I64" s="56">
        <v>38000.0</v>
      </c>
      <c r="J64" s="179">
        <v>30000.0</v>
      </c>
      <c r="K64" s="177">
        <f t="shared" ref="K64:K66" si="13">AVERAGE(D64:J64)</f>
        <v>33285.71429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56">
        <v>25000.0</v>
      </c>
      <c r="F65" s="56">
        <v>25000.0</v>
      </c>
      <c r="G65" s="56">
        <v>35000.0</v>
      </c>
      <c r="H65" s="199" t="s">
        <v>26</v>
      </c>
      <c r="I65" s="66">
        <v>25000.0</v>
      </c>
      <c r="J65" s="181" t="s">
        <v>26</v>
      </c>
      <c r="K65" s="177">
        <f t="shared" si="13"/>
        <v>27000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56">
        <v>35000.0</v>
      </c>
      <c r="E66" s="56">
        <v>40000.0</v>
      </c>
      <c r="F66" s="56">
        <v>38000.0</v>
      </c>
      <c r="G66" s="56">
        <v>42000.0</v>
      </c>
      <c r="H66" s="56">
        <v>35000.0</v>
      </c>
      <c r="I66" s="56">
        <v>35000.0</v>
      </c>
      <c r="J66" s="179">
        <v>35000.0</v>
      </c>
      <c r="K66" s="177">
        <f t="shared" si="13"/>
        <v>37142.85714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201"/>
      <c r="E67" s="86"/>
      <c r="F67" s="126"/>
      <c r="G67" s="86"/>
      <c r="H67" s="86"/>
      <c r="I67" s="86"/>
      <c r="J67" s="195"/>
      <c r="K67" s="178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56">
        <v>20000.0</v>
      </c>
      <c r="E68" s="56">
        <v>18000.0</v>
      </c>
      <c r="F68" s="56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177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8"/>
      <c r="E69" s="87"/>
      <c r="F69" s="98"/>
      <c r="G69" s="98"/>
      <c r="H69" s="98"/>
      <c r="I69" s="98"/>
      <c r="J69" s="180"/>
      <c r="K69" s="178"/>
      <c r="M69" s="5"/>
      <c r="N69" s="5"/>
    </row>
    <row r="70" ht="15.75" customHeight="1">
      <c r="A70" s="29"/>
      <c r="B70" s="175" t="s">
        <v>104</v>
      </c>
      <c r="C70" s="123" t="s">
        <v>24</v>
      </c>
      <c r="D70" s="56">
        <v>34000.0</v>
      </c>
      <c r="E70" s="56">
        <v>35000.0</v>
      </c>
      <c r="F70" s="56">
        <v>48000.0</v>
      </c>
      <c r="G70" s="56">
        <v>40000.0</v>
      </c>
      <c r="H70" s="56">
        <v>34000.0</v>
      </c>
      <c r="I70" s="56">
        <v>40000.0</v>
      </c>
      <c r="J70" s="179">
        <v>35000.0</v>
      </c>
      <c r="K70" s="177">
        <f t="shared" ref="K70:K73" si="14">AVERAGE(D70:J70)</f>
        <v>38000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56">
        <v>35000.0</v>
      </c>
      <c r="F71" s="56">
        <v>38000.0</v>
      </c>
      <c r="G71" s="56">
        <v>35000.0</v>
      </c>
      <c r="H71" s="56">
        <v>32000.0</v>
      </c>
      <c r="I71" s="56">
        <v>40000.0</v>
      </c>
      <c r="J71" s="179">
        <v>28000.0</v>
      </c>
      <c r="K71" s="177">
        <f t="shared" si="14"/>
        <v>34285.71429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56">
        <v>36000.0</v>
      </c>
      <c r="E72" s="56">
        <v>35000.0</v>
      </c>
      <c r="F72" s="56">
        <v>40000.0</v>
      </c>
      <c r="G72" s="56">
        <v>40000.0</v>
      </c>
      <c r="H72" s="56">
        <v>32000.0</v>
      </c>
      <c r="I72" s="56">
        <v>40000.0</v>
      </c>
      <c r="J72" s="179">
        <v>33000.0</v>
      </c>
      <c r="K72" s="177">
        <f t="shared" si="14"/>
        <v>36571.42857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56">
        <v>36000.0</v>
      </c>
      <c r="E73" s="65">
        <v>42000.0</v>
      </c>
      <c r="F73" s="66">
        <v>45000.0</v>
      </c>
      <c r="G73" s="66">
        <v>45000.0</v>
      </c>
      <c r="H73" s="56">
        <v>40000.0</v>
      </c>
      <c r="I73" s="65">
        <v>50000.0</v>
      </c>
      <c r="J73" s="181">
        <v>30000.0</v>
      </c>
      <c r="K73" s="177">
        <f t="shared" si="14"/>
        <v>41142.85714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201"/>
      <c r="E74" s="114"/>
      <c r="F74" s="86"/>
      <c r="G74" s="146"/>
      <c r="H74" s="86"/>
      <c r="I74" s="86"/>
      <c r="J74" s="200"/>
      <c r="K74" s="178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56">
        <v>6000.0</v>
      </c>
      <c r="E75" s="65">
        <v>7000.0</v>
      </c>
      <c r="F75" s="56">
        <v>5000.0</v>
      </c>
      <c r="G75" s="56">
        <v>6000.0</v>
      </c>
      <c r="H75" s="56">
        <v>4000.0</v>
      </c>
      <c r="I75" s="56">
        <v>7000.0</v>
      </c>
      <c r="J75" s="181">
        <v>5000.0</v>
      </c>
      <c r="K75" s="177">
        <f t="shared" ref="K75:K76" si="15">AVERAGE(D75:J75)</f>
        <v>5714.285714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56">
        <v>5000.0</v>
      </c>
      <c r="I76" s="65">
        <v>7000.0</v>
      </c>
      <c r="J76" s="185">
        <v>6000.0</v>
      </c>
      <c r="K76" s="177">
        <f t="shared" si="15"/>
        <v>6000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86"/>
      <c r="E77" s="86"/>
      <c r="F77" s="86"/>
      <c r="G77" s="126"/>
      <c r="H77" s="86"/>
      <c r="I77" s="86"/>
      <c r="J77" s="195"/>
      <c r="K77" s="178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56">
        <v>7000.0</v>
      </c>
      <c r="E78" s="56">
        <v>8000.0</v>
      </c>
      <c r="F78" s="56">
        <v>8000.0</v>
      </c>
      <c r="G78" s="56">
        <v>8000.0</v>
      </c>
      <c r="H78" s="56">
        <v>9000.0</v>
      </c>
      <c r="I78" s="66">
        <v>8000.0</v>
      </c>
      <c r="J78" s="179">
        <v>6000.0</v>
      </c>
      <c r="K78" s="177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56">
        <v>14000.0</v>
      </c>
      <c r="E79" s="56">
        <v>22000.0</v>
      </c>
      <c r="F79" s="56">
        <v>18000.0</v>
      </c>
      <c r="G79" s="56">
        <v>15000.0</v>
      </c>
      <c r="H79" s="56">
        <v>10000.0</v>
      </c>
      <c r="I79" s="66">
        <v>20000.0</v>
      </c>
      <c r="J79" s="179">
        <v>15000.0</v>
      </c>
      <c r="K79" s="177">
        <f t="shared" si="16"/>
        <v>16285.71429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56">
        <v>14000.0</v>
      </c>
      <c r="E80" s="56">
        <v>15000.0</v>
      </c>
      <c r="F80" s="56">
        <v>16000.0</v>
      </c>
      <c r="G80" s="56">
        <v>16000.0</v>
      </c>
      <c r="H80" s="56">
        <v>15000.0</v>
      </c>
      <c r="I80" s="56">
        <v>17000.0</v>
      </c>
      <c r="J80" s="179">
        <v>13000.0</v>
      </c>
      <c r="K80" s="177">
        <f t="shared" si="16"/>
        <v>15142.85714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56">
        <v>16000.0</v>
      </c>
      <c r="E81" s="56">
        <v>15000.0</v>
      </c>
      <c r="F81" s="56">
        <v>12000.0</v>
      </c>
      <c r="G81" s="56">
        <v>15000.0</v>
      </c>
      <c r="H81" s="56">
        <v>10000.0</v>
      </c>
      <c r="I81" s="66">
        <v>18000.0</v>
      </c>
      <c r="J81" s="179">
        <v>13000.0</v>
      </c>
      <c r="K81" s="177">
        <f t="shared" si="16"/>
        <v>14142.85714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56">
        <v>9000.0</v>
      </c>
      <c r="E82" s="56">
        <v>10000.0</v>
      </c>
      <c r="F82" s="56">
        <v>13000.0</v>
      </c>
      <c r="G82" s="56">
        <v>13000.0</v>
      </c>
      <c r="H82" s="56">
        <v>10000.0</v>
      </c>
      <c r="I82" s="56">
        <v>12000.0</v>
      </c>
      <c r="J82" s="179">
        <v>10000.0</v>
      </c>
      <c r="K82" s="177">
        <f t="shared" si="16"/>
        <v>11000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9000.0</v>
      </c>
      <c r="E83" s="65">
        <v>12000.0</v>
      </c>
      <c r="F83" s="66">
        <v>8000.0</v>
      </c>
      <c r="G83" s="66">
        <v>10000.0</v>
      </c>
      <c r="H83" s="202">
        <v>9000.0</v>
      </c>
      <c r="I83" s="203">
        <v>10000.0</v>
      </c>
      <c r="J83" s="204">
        <v>8000.0</v>
      </c>
      <c r="K83" s="177">
        <f t="shared" si="16"/>
        <v>9428.571429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56">
        <v>2000.0</v>
      </c>
      <c r="G84" s="66">
        <v>2000.0</v>
      </c>
      <c r="H84" s="56">
        <v>1500.0</v>
      </c>
      <c r="I84" s="65">
        <v>2000.0</v>
      </c>
      <c r="J84" s="185">
        <v>2000.0</v>
      </c>
      <c r="K84" s="177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56">
        <v>1500.0</v>
      </c>
      <c r="G85" s="66">
        <v>2000.0</v>
      </c>
      <c r="H85" s="56">
        <v>1500.0</v>
      </c>
      <c r="I85" s="65">
        <v>2000.0</v>
      </c>
      <c r="J85" s="185">
        <v>1500.0</v>
      </c>
      <c r="K85" s="177">
        <f t="shared" si="16"/>
        <v>1750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56">
        <v>2000.0</v>
      </c>
      <c r="G86" s="66">
        <v>2000.0</v>
      </c>
      <c r="H86" s="56">
        <v>2000.0</v>
      </c>
      <c r="I86" s="65">
        <v>2000.0</v>
      </c>
      <c r="J86" s="185">
        <v>2000.0</v>
      </c>
      <c r="K86" s="177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26"/>
      <c r="E87" s="114"/>
      <c r="F87" s="86" t="s">
        <v>123</v>
      </c>
      <c r="G87" s="126"/>
      <c r="H87" s="86"/>
      <c r="I87" s="86"/>
      <c r="J87" s="195"/>
      <c r="K87" s="178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>
        <v>18000.0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177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132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87"/>
      <c r="E7" s="87"/>
      <c r="F7" s="87"/>
      <c r="G7" s="172"/>
      <c r="H7" s="172" t="s">
        <v>7</v>
      </c>
      <c r="I7" s="173"/>
      <c r="J7" s="172"/>
      <c r="K7" s="174"/>
      <c r="M7" s="5"/>
      <c r="N7" s="5"/>
    </row>
    <row r="8">
      <c r="A8" s="29"/>
      <c r="B8" s="175" t="s">
        <v>23</v>
      </c>
      <c r="C8" s="123" t="s">
        <v>24</v>
      </c>
      <c r="D8" s="56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6">
        <v>14000.0</v>
      </c>
      <c r="J8" s="95">
        <v>13500.0</v>
      </c>
      <c r="K8" s="176">
        <f t="shared" ref="K8:K12" si="1">AVERAGE(D8:J8)</f>
        <v>13357.14286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 t="s">
        <v>26</v>
      </c>
      <c r="G9" s="66">
        <v>9000.0</v>
      </c>
      <c r="H9" s="65" t="s">
        <v>26</v>
      </c>
      <c r="I9" s="65" t="s">
        <v>26</v>
      </c>
      <c r="J9" s="66" t="s">
        <v>26</v>
      </c>
      <c r="K9" s="177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56">
        <v>11000.0</v>
      </c>
      <c r="E10" s="56">
        <v>11500.0</v>
      </c>
      <c r="F10" s="65">
        <v>13000.0</v>
      </c>
      <c r="G10" s="66">
        <v>11500.0</v>
      </c>
      <c r="H10" s="65" t="s">
        <v>26</v>
      </c>
      <c r="I10" s="65">
        <v>12500.0</v>
      </c>
      <c r="J10" s="66">
        <v>12500.0</v>
      </c>
      <c r="K10" s="177">
        <f t="shared" si="1"/>
        <v>12000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12000.0</v>
      </c>
      <c r="H11" s="65" t="s">
        <v>26</v>
      </c>
      <c r="I11" s="66">
        <v>11000.0</v>
      </c>
      <c r="J11" s="95">
        <v>8000.0</v>
      </c>
      <c r="K11" s="177">
        <f t="shared" si="1"/>
        <v>10600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95">
        <v>17000.0</v>
      </c>
      <c r="K12" s="177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87"/>
      <c r="E13" s="86"/>
      <c r="F13" s="87"/>
      <c r="G13" s="89"/>
      <c r="H13" s="89"/>
      <c r="I13" s="89"/>
      <c r="J13" s="89"/>
      <c r="K13" s="178"/>
      <c r="M13" s="5"/>
      <c r="N13" s="92"/>
    </row>
    <row r="14">
      <c r="A14" s="29"/>
      <c r="B14" s="175" t="s">
        <v>32</v>
      </c>
      <c r="C14" s="123" t="s">
        <v>24</v>
      </c>
      <c r="D14" s="56">
        <v>13000.0</v>
      </c>
      <c r="E14" s="56">
        <v>13500.0</v>
      </c>
      <c r="F14" s="56">
        <v>14000.0</v>
      </c>
      <c r="G14" s="56">
        <v>13500.0</v>
      </c>
      <c r="H14" s="56">
        <v>13500.0</v>
      </c>
      <c r="I14" s="56">
        <v>13500.0</v>
      </c>
      <c r="J14" s="179">
        <v>13500.0</v>
      </c>
      <c r="K14" s="177">
        <f t="shared" ref="K14:K15" si="2">AVERAGE(D14:J14)</f>
        <v>13500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95">
        <v>15000.0</v>
      </c>
      <c r="G15" s="66">
        <v>16000.0</v>
      </c>
      <c r="H15" s="56">
        <v>15000.0</v>
      </c>
      <c r="I15" s="56">
        <v>18000.0</v>
      </c>
      <c r="J15" s="179">
        <v>16000.0</v>
      </c>
      <c r="K15" s="177">
        <f t="shared" si="2"/>
        <v>15857.14286</v>
      </c>
      <c r="M15" s="5"/>
      <c r="N15" s="5"/>
    </row>
    <row r="16">
      <c r="A16" s="169">
        <v>3.0</v>
      </c>
      <c r="B16" s="170" t="s">
        <v>34</v>
      </c>
      <c r="C16" s="170"/>
      <c r="D16" s="98"/>
      <c r="E16" s="97"/>
      <c r="F16" s="98"/>
      <c r="G16" s="98"/>
      <c r="H16" s="98"/>
      <c r="I16" s="98"/>
      <c r="J16" s="180"/>
      <c r="K16" s="178"/>
      <c r="M16" s="5"/>
      <c r="N16" s="5"/>
    </row>
    <row r="17">
      <c r="A17" s="38"/>
      <c r="B17" s="175" t="s">
        <v>35</v>
      </c>
      <c r="C17" s="123" t="s">
        <v>24</v>
      </c>
      <c r="D17" s="56">
        <v>14500.0</v>
      </c>
      <c r="E17" s="65">
        <v>16000.0</v>
      </c>
      <c r="F17" s="56">
        <v>17000.0</v>
      </c>
      <c r="G17" s="56">
        <v>16000.0</v>
      </c>
      <c r="H17" s="56">
        <v>14000.0</v>
      </c>
      <c r="I17" s="56">
        <v>16000.0</v>
      </c>
      <c r="J17" s="181">
        <v>15500.0</v>
      </c>
      <c r="K17" s="177">
        <f t="shared" ref="K17:K18" si="3">AVERAGE(D17:J17)</f>
        <v>15571.42857</v>
      </c>
      <c r="M17" s="5"/>
      <c r="N17" s="5"/>
    </row>
    <row r="18">
      <c r="A18" s="182"/>
      <c r="B18" s="175" t="s">
        <v>36</v>
      </c>
      <c r="C18" s="123" t="s">
        <v>37</v>
      </c>
      <c r="D18" s="56">
        <v>14000.0</v>
      </c>
      <c r="E18" s="65">
        <v>14000.0</v>
      </c>
      <c r="F18" s="65">
        <v>14000.0</v>
      </c>
      <c r="G18" s="56">
        <v>14000.0</v>
      </c>
      <c r="H18" s="65" t="s">
        <v>26</v>
      </c>
      <c r="I18" s="56">
        <v>14000.0</v>
      </c>
      <c r="J18" s="179">
        <v>14000.0</v>
      </c>
      <c r="K18" s="177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8"/>
      <c r="E19" s="97"/>
      <c r="F19" s="98"/>
      <c r="G19" s="106"/>
      <c r="H19" s="98"/>
      <c r="I19" s="98"/>
      <c r="J19" s="180"/>
      <c r="K19" s="178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177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8"/>
      <c r="E21" s="87"/>
      <c r="F21" s="98"/>
      <c r="G21" s="106"/>
      <c r="H21" s="98"/>
      <c r="I21" s="97"/>
      <c r="J21" s="184"/>
      <c r="K21" s="178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56">
        <v>120000.0</v>
      </c>
      <c r="F22" s="56">
        <v>120000.0</v>
      </c>
      <c r="G22" s="56">
        <v>120000.0</v>
      </c>
      <c r="H22" s="56">
        <v>120000.0</v>
      </c>
      <c r="I22" s="66">
        <v>120000.0</v>
      </c>
      <c r="J22" s="181" t="s">
        <v>26</v>
      </c>
      <c r="K22" s="177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56">
        <v>110000.0</v>
      </c>
      <c r="F23" s="56">
        <v>110000.0</v>
      </c>
      <c r="G23" s="56">
        <v>110000.0</v>
      </c>
      <c r="H23" s="56">
        <v>114000.0</v>
      </c>
      <c r="I23" s="65">
        <v>115000.0</v>
      </c>
      <c r="J23" s="179">
        <v>115000.0</v>
      </c>
      <c r="K23" s="177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56">
        <v>95000.0</v>
      </c>
      <c r="F24" s="56">
        <v>105000.0</v>
      </c>
      <c r="G24" s="56">
        <v>105000.0</v>
      </c>
      <c r="H24" s="56">
        <v>100000.0</v>
      </c>
      <c r="I24" s="66">
        <v>110000.0</v>
      </c>
      <c r="J24" s="181">
        <v>105000.0</v>
      </c>
      <c r="K24" s="177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56">
        <v>37000.0</v>
      </c>
      <c r="E25" s="56">
        <v>36000.0</v>
      </c>
      <c r="F25" s="56">
        <v>37000.0</v>
      </c>
      <c r="G25" s="56">
        <v>37000.0</v>
      </c>
      <c r="H25" s="179">
        <v>38000.0</v>
      </c>
      <c r="I25" s="65">
        <v>38000.0</v>
      </c>
      <c r="J25" s="179">
        <v>40000.0</v>
      </c>
      <c r="K25" s="177">
        <f t="shared" si="4"/>
        <v>37571.42857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8"/>
      <c r="E26" s="87"/>
      <c r="F26" s="106"/>
      <c r="G26" s="98"/>
      <c r="H26" s="180"/>
      <c r="I26" s="98"/>
      <c r="J26" s="180"/>
      <c r="K26" s="178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56">
        <v>40000.0</v>
      </c>
      <c r="F27" s="65" t="s">
        <v>26</v>
      </c>
      <c r="G27" s="56">
        <v>45000.0</v>
      </c>
      <c r="H27" s="56">
        <v>30000.0</v>
      </c>
      <c r="I27" s="65">
        <v>40000.0</v>
      </c>
      <c r="J27" s="179">
        <v>35000.0</v>
      </c>
      <c r="K27" s="177">
        <f t="shared" ref="K27:K32" si="5">AVERAGE(D27:J27)</f>
        <v>37500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25000.0</v>
      </c>
      <c r="E28" s="65">
        <v>28000.0</v>
      </c>
      <c r="F28" s="56">
        <v>28000.0</v>
      </c>
      <c r="G28" s="66">
        <v>35000.0</v>
      </c>
      <c r="H28" s="65">
        <v>23000.0</v>
      </c>
      <c r="I28" s="65">
        <v>29000.0</v>
      </c>
      <c r="J28" s="185">
        <v>24000.0</v>
      </c>
      <c r="K28" s="177">
        <f t="shared" si="5"/>
        <v>27428.57143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80000.0</v>
      </c>
      <c r="E29" s="65">
        <v>60000.0</v>
      </c>
      <c r="F29" s="66">
        <v>60000.0</v>
      </c>
      <c r="G29" s="66">
        <v>75000.0</v>
      </c>
      <c r="H29" s="56">
        <v>58000.0</v>
      </c>
      <c r="I29" s="65">
        <v>60000.0</v>
      </c>
      <c r="J29" s="185">
        <v>55000.0</v>
      </c>
      <c r="K29" s="177">
        <f t="shared" si="5"/>
        <v>64000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56">
        <v>23000.0</v>
      </c>
      <c r="I30" s="65">
        <v>24000.0</v>
      </c>
      <c r="J30" s="185">
        <v>26000.0</v>
      </c>
      <c r="K30" s="177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35000.0</v>
      </c>
      <c r="E31" s="56">
        <v>35000.0</v>
      </c>
      <c r="F31" s="56">
        <v>36000.0</v>
      </c>
      <c r="G31" s="56">
        <v>45000.0</v>
      </c>
      <c r="H31" s="56">
        <v>28000.0</v>
      </c>
      <c r="I31" s="65">
        <v>40000.0</v>
      </c>
      <c r="J31" s="179">
        <v>38000.0</v>
      </c>
      <c r="K31" s="177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56">
        <v>100000.0</v>
      </c>
      <c r="F32" s="56">
        <v>110000.0</v>
      </c>
      <c r="G32" s="65" t="s">
        <v>26</v>
      </c>
      <c r="H32" s="56">
        <v>80000.0</v>
      </c>
      <c r="I32" s="65" t="s">
        <v>26</v>
      </c>
      <c r="J32" s="185" t="s">
        <v>26</v>
      </c>
      <c r="K32" s="177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8"/>
      <c r="E33" s="87"/>
      <c r="F33" s="106"/>
      <c r="G33" s="106"/>
      <c r="H33" s="98"/>
      <c r="I33" s="98"/>
      <c r="J33" s="180" t="s">
        <v>57</v>
      </c>
      <c r="K33" s="178"/>
      <c r="M33" s="5"/>
      <c r="N33" s="5"/>
    </row>
    <row r="34" ht="15.75" customHeight="1">
      <c r="A34" s="29"/>
      <c r="B34" s="175" t="s">
        <v>58</v>
      </c>
      <c r="C34" s="123" t="s">
        <v>24</v>
      </c>
      <c r="D34" s="56">
        <v>30000.0</v>
      </c>
      <c r="E34" s="56">
        <v>30000.0</v>
      </c>
      <c r="F34" s="56">
        <v>29000.0</v>
      </c>
      <c r="G34" s="56">
        <v>31000.0</v>
      </c>
      <c r="H34" s="56">
        <v>29000.0</v>
      </c>
      <c r="I34" s="56">
        <v>28000.0</v>
      </c>
      <c r="J34" s="179">
        <v>30000.0</v>
      </c>
      <c r="K34" s="177">
        <f t="shared" ref="K34:K35" si="6">AVERAGE(D34:J34)</f>
        <v>29571.42857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56">
        <v>3000.0</v>
      </c>
      <c r="E35" s="56">
        <v>2200.0</v>
      </c>
      <c r="F35" s="56">
        <v>2000.0</v>
      </c>
      <c r="G35" s="56">
        <v>2500.0</v>
      </c>
      <c r="H35" s="56">
        <v>2000.0</v>
      </c>
      <c r="I35" s="56">
        <v>2500.0</v>
      </c>
      <c r="J35" s="179">
        <v>3000.0</v>
      </c>
      <c r="K35" s="177">
        <f t="shared" si="6"/>
        <v>2457.142857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56"/>
      <c r="E36" s="56"/>
      <c r="F36" s="56"/>
      <c r="G36" s="56"/>
      <c r="H36" s="56"/>
      <c r="I36" s="56"/>
      <c r="J36" s="179"/>
      <c r="K36" s="187"/>
      <c r="M36" s="5"/>
      <c r="N36" s="5"/>
    </row>
    <row r="37" ht="15.75" customHeight="1">
      <c r="A37" s="182"/>
      <c r="B37" s="175" t="s">
        <v>62</v>
      </c>
      <c r="C37" s="123" t="s">
        <v>24</v>
      </c>
      <c r="D37" s="56">
        <v>10000.0</v>
      </c>
      <c r="E37" s="56">
        <v>10000.0</v>
      </c>
      <c r="F37" s="56">
        <v>9000.0</v>
      </c>
      <c r="G37" s="56">
        <v>9000.0</v>
      </c>
      <c r="H37" s="56">
        <v>16000.0</v>
      </c>
      <c r="I37" s="56">
        <v>12000.0</v>
      </c>
      <c r="J37" s="179">
        <v>9000.0</v>
      </c>
      <c r="K37" s="177">
        <f t="shared" ref="K37:K38" si="7">AVERAGE(D37:J37)</f>
        <v>10714.28571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56">
        <v>7000.0</v>
      </c>
      <c r="F38" s="56">
        <v>12000.0</v>
      </c>
      <c r="G38" s="56">
        <v>17000.0</v>
      </c>
      <c r="H38" s="65" t="s">
        <v>26</v>
      </c>
      <c r="I38" s="65">
        <v>15000.0</v>
      </c>
      <c r="J38" s="179">
        <v>12000.0</v>
      </c>
      <c r="K38" s="177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56"/>
      <c r="F39" s="56"/>
      <c r="G39" s="56"/>
      <c r="H39" s="56"/>
      <c r="I39" s="56"/>
      <c r="J39" s="179"/>
      <c r="K39" s="187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56">
        <v>18000.0</v>
      </c>
      <c r="F40" s="65" t="s">
        <v>26</v>
      </c>
      <c r="G40" s="56">
        <v>16000.0</v>
      </c>
      <c r="H40" s="56">
        <v>14000.0</v>
      </c>
      <c r="I40" s="56">
        <v>15000.0</v>
      </c>
      <c r="J40" s="179">
        <v>15000.0</v>
      </c>
      <c r="K40" s="177">
        <f t="shared" ref="K40:K42" si="8">AVERAGE(D40:J40)</f>
        <v>15600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56">
        <v>2500.0</v>
      </c>
      <c r="E41" s="56">
        <v>12000.0</v>
      </c>
      <c r="F41" s="56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177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56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177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8"/>
      <c r="E43" s="87"/>
      <c r="F43" s="106"/>
      <c r="G43" s="98"/>
      <c r="H43" s="98"/>
      <c r="I43" s="98"/>
      <c r="J43" s="192"/>
      <c r="K43" s="178"/>
      <c r="M43" s="5"/>
      <c r="N43" s="5"/>
    </row>
    <row r="44" ht="15.75" customHeight="1">
      <c r="A44" s="29"/>
      <c r="B44" s="175" t="s">
        <v>69</v>
      </c>
      <c r="C44" s="123" t="s">
        <v>70</v>
      </c>
      <c r="D44" s="56">
        <v>12500.0</v>
      </c>
      <c r="E44" s="65">
        <v>12000.0</v>
      </c>
      <c r="F44" s="56">
        <v>12500.0</v>
      </c>
      <c r="G44" s="56">
        <v>12000.0</v>
      </c>
      <c r="H44" s="114" t="s">
        <v>26</v>
      </c>
      <c r="I44" s="66">
        <v>12500.0</v>
      </c>
      <c r="J44" s="181">
        <v>12500.0</v>
      </c>
      <c r="K44" s="177">
        <f t="shared" ref="K44:K45" si="9">AVERAGE(D44:J44)</f>
        <v>12333.33333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56">
        <v>12000.0</v>
      </c>
      <c r="H45" s="114" t="s">
        <v>26</v>
      </c>
      <c r="I45" s="66">
        <v>12500.0</v>
      </c>
      <c r="J45" s="185">
        <v>12500.0</v>
      </c>
      <c r="K45" s="177">
        <f t="shared" si="9"/>
        <v>12500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8"/>
      <c r="E46" s="123"/>
      <c r="F46" s="98"/>
      <c r="G46" s="106"/>
      <c r="H46" s="98"/>
      <c r="I46" s="98"/>
      <c r="J46" s="180"/>
      <c r="K46" s="178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56">
        <v>17500.0</v>
      </c>
      <c r="I47" s="66" t="s">
        <v>26</v>
      </c>
      <c r="J47" s="185" t="s">
        <v>26</v>
      </c>
      <c r="K47" s="177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56">
        <v>2000.0</v>
      </c>
      <c r="I48" s="66" t="s">
        <v>26</v>
      </c>
      <c r="J48" s="185" t="s">
        <v>26</v>
      </c>
      <c r="K48" s="177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86"/>
      <c r="E49" s="86"/>
      <c r="F49" s="86"/>
      <c r="G49" s="126"/>
      <c r="H49" s="86"/>
      <c r="I49" s="86"/>
      <c r="J49" s="195"/>
      <c r="K49" s="178"/>
      <c r="M49" s="5"/>
      <c r="N49" s="5"/>
    </row>
    <row r="50" ht="15.75" customHeight="1">
      <c r="A50" s="182"/>
      <c r="B50" s="175" t="s">
        <v>79</v>
      </c>
      <c r="C50" s="196" t="s">
        <v>24</v>
      </c>
      <c r="D50" s="56">
        <v>10000.0</v>
      </c>
      <c r="E50" s="56">
        <v>8000.0</v>
      </c>
      <c r="F50" s="56">
        <v>10000.0</v>
      </c>
      <c r="G50" s="56">
        <v>10000.0</v>
      </c>
      <c r="H50" s="56">
        <v>9000.0</v>
      </c>
      <c r="I50" s="66">
        <v>10000.0</v>
      </c>
      <c r="J50" s="179">
        <v>8000.0</v>
      </c>
      <c r="K50" s="177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56">
        <v>9000.0</v>
      </c>
      <c r="E51" s="56">
        <v>10000.0</v>
      </c>
      <c r="F51" s="66">
        <v>9000.0</v>
      </c>
      <c r="G51" s="56">
        <v>10000.0</v>
      </c>
      <c r="H51" s="56">
        <v>6000.0</v>
      </c>
      <c r="I51" s="65" t="s">
        <v>26</v>
      </c>
      <c r="J51" s="179">
        <v>6000.0</v>
      </c>
      <c r="K51" s="177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8"/>
      <c r="E52" s="87"/>
      <c r="F52" s="106"/>
      <c r="G52" s="106"/>
      <c r="H52" s="98"/>
      <c r="I52" s="98"/>
      <c r="J52" s="192"/>
      <c r="K52" s="178"/>
      <c r="M52" s="5"/>
      <c r="N52" s="5"/>
    </row>
    <row r="53" ht="15.75" customHeight="1">
      <c r="A53" s="38"/>
      <c r="B53" s="175" t="s">
        <v>82</v>
      </c>
      <c r="C53" s="123" t="s">
        <v>83</v>
      </c>
      <c r="D53" s="56">
        <v>3000.0</v>
      </c>
      <c r="E53" s="56">
        <v>8000.0</v>
      </c>
      <c r="F53" s="56">
        <v>5000.0</v>
      </c>
      <c r="G53" s="56">
        <v>5000.0</v>
      </c>
      <c r="H53" s="56">
        <v>2500.0</v>
      </c>
      <c r="I53" s="66">
        <v>2000.0</v>
      </c>
      <c r="J53" s="181">
        <v>2500.0</v>
      </c>
      <c r="K53" s="177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4"/>
      <c r="H54" s="87"/>
      <c r="I54" s="87"/>
      <c r="J54" s="197"/>
      <c r="K54" s="178"/>
      <c r="M54" s="5"/>
      <c r="N54" s="5"/>
    </row>
    <row r="55" ht="15.75" customHeight="1">
      <c r="A55" s="38"/>
      <c r="B55" s="198" t="s">
        <v>85</v>
      </c>
      <c r="C55" s="196" t="s">
        <v>24</v>
      </c>
      <c r="D55" s="56">
        <v>12000.0</v>
      </c>
      <c r="E55" s="56">
        <v>10500.0</v>
      </c>
      <c r="F55" s="56">
        <v>13000.0</v>
      </c>
      <c r="G55" s="56">
        <v>11000.0</v>
      </c>
      <c r="H55" s="56">
        <v>11000.0</v>
      </c>
      <c r="I55" s="56">
        <v>11000.0</v>
      </c>
      <c r="J55" s="179">
        <v>10000.0</v>
      </c>
      <c r="K55" s="177">
        <f>AVERAGE(D55:J55)</f>
        <v>11214.28571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8"/>
      <c r="E56" s="87"/>
      <c r="F56" s="106"/>
      <c r="G56" s="98"/>
      <c r="H56" s="98"/>
      <c r="I56" s="98"/>
      <c r="J56" s="192"/>
      <c r="K56" s="178"/>
      <c r="M56" s="5"/>
      <c r="N56" s="5"/>
    </row>
    <row r="57" ht="15.75" customHeight="1">
      <c r="A57" s="29"/>
      <c r="B57" s="175" t="s">
        <v>87</v>
      </c>
      <c r="C57" s="123" t="s">
        <v>24</v>
      </c>
      <c r="D57" s="56">
        <v>14000.0</v>
      </c>
      <c r="E57" s="56">
        <v>16000.0</v>
      </c>
      <c r="F57" s="56">
        <v>16000.0</v>
      </c>
      <c r="G57" s="56">
        <v>18000.0</v>
      </c>
      <c r="H57" s="56">
        <v>13000.0</v>
      </c>
      <c r="I57" s="65">
        <v>16000.0</v>
      </c>
      <c r="J57" s="181" t="s">
        <v>26</v>
      </c>
      <c r="K57" s="177">
        <f t="shared" ref="K57:K60" si="12">AVERAGE(D57:J57)</f>
        <v>15500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56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177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56">
        <v>25000.0</v>
      </c>
      <c r="E59" s="56">
        <v>23000.0</v>
      </c>
      <c r="F59" s="56">
        <v>24000.0</v>
      </c>
      <c r="G59" s="56">
        <v>30000.0</v>
      </c>
      <c r="H59" s="56">
        <v>22000.0</v>
      </c>
      <c r="I59" s="56">
        <v>26000.0</v>
      </c>
      <c r="J59" s="181">
        <v>26000.0</v>
      </c>
      <c r="K59" s="177">
        <f t="shared" si="12"/>
        <v>25142.85714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56">
        <v>30000.0</v>
      </c>
      <c r="E60" s="56">
        <v>30000.0</v>
      </c>
      <c r="F60" s="56">
        <v>31000.0</v>
      </c>
      <c r="G60" s="56">
        <v>30000.0</v>
      </c>
      <c r="H60" s="56">
        <v>26000.0</v>
      </c>
      <c r="I60" s="56">
        <v>29000.0</v>
      </c>
      <c r="J60" s="181">
        <v>28000.0</v>
      </c>
      <c r="K60" s="177">
        <f t="shared" si="12"/>
        <v>29142.85714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146"/>
      <c r="E61" s="86"/>
      <c r="F61" s="126"/>
      <c r="G61" s="86"/>
      <c r="H61" s="86"/>
      <c r="I61" s="86"/>
      <c r="J61" s="200"/>
      <c r="K61" s="178"/>
      <c r="M61" s="5"/>
      <c r="N61" s="5"/>
    </row>
    <row r="62" ht="15.75" customHeight="1">
      <c r="A62" s="123"/>
      <c r="B62" s="175" t="s">
        <v>93</v>
      </c>
      <c r="C62" s="196" t="s">
        <v>94</v>
      </c>
      <c r="D62" s="56">
        <v>3000.0</v>
      </c>
      <c r="E62" s="56">
        <v>3200.0</v>
      </c>
      <c r="F62" s="56">
        <v>3000.0</v>
      </c>
      <c r="G62" s="56">
        <v>3000.0</v>
      </c>
      <c r="H62" s="114" t="s">
        <v>26</v>
      </c>
      <c r="I62" s="66">
        <v>3500.0</v>
      </c>
      <c r="J62" s="179">
        <v>3500.0</v>
      </c>
      <c r="K62" s="177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8"/>
      <c r="E63" s="87"/>
      <c r="F63" s="106"/>
      <c r="G63" s="106"/>
      <c r="H63" s="98"/>
      <c r="I63" s="98"/>
      <c r="J63" s="192"/>
      <c r="K63" s="178"/>
      <c r="M63" s="5"/>
      <c r="N63" s="5"/>
    </row>
    <row r="64" ht="15.75" customHeight="1">
      <c r="A64" s="29"/>
      <c r="B64" s="175" t="s">
        <v>97</v>
      </c>
      <c r="C64" s="123" t="s">
        <v>24</v>
      </c>
      <c r="D64" s="56">
        <v>32000.0</v>
      </c>
      <c r="E64" s="56">
        <v>30000.0</v>
      </c>
      <c r="F64" s="56">
        <v>35000.0</v>
      </c>
      <c r="G64" s="56">
        <v>30000.0</v>
      </c>
      <c r="H64" s="56">
        <v>25000.0</v>
      </c>
      <c r="I64" s="56">
        <v>30000.0</v>
      </c>
      <c r="J64" s="179">
        <v>30000.0</v>
      </c>
      <c r="K64" s="177">
        <f t="shared" ref="K64:K66" si="13">AVERAGE(D64:J64)</f>
        <v>30285.71429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56">
        <v>25000.0</v>
      </c>
      <c r="F65" s="56">
        <v>22000.0</v>
      </c>
      <c r="G65" s="56">
        <v>30000.0</v>
      </c>
      <c r="H65" s="199" t="s">
        <v>26</v>
      </c>
      <c r="I65" s="66">
        <v>25000.0</v>
      </c>
      <c r="J65" s="181" t="s">
        <v>26</v>
      </c>
      <c r="K65" s="177">
        <f t="shared" si="13"/>
        <v>25400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56">
        <v>35000.0</v>
      </c>
      <c r="E66" s="56">
        <v>40000.0</v>
      </c>
      <c r="F66" s="56">
        <v>38000.0</v>
      </c>
      <c r="G66" s="56">
        <v>40000.0</v>
      </c>
      <c r="H66" s="56">
        <v>35000.0</v>
      </c>
      <c r="I66" s="56">
        <v>40000.0</v>
      </c>
      <c r="J66" s="179">
        <v>35000.0</v>
      </c>
      <c r="K66" s="177">
        <f t="shared" si="13"/>
        <v>37571.42857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201"/>
      <c r="E67" s="86"/>
      <c r="F67" s="126"/>
      <c r="G67" s="86"/>
      <c r="H67" s="86"/>
      <c r="I67" s="86"/>
      <c r="J67" s="195"/>
      <c r="K67" s="178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56">
        <v>20000.0</v>
      </c>
      <c r="E68" s="56">
        <v>18000.0</v>
      </c>
      <c r="F68" s="56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177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8"/>
      <c r="E69" s="87"/>
      <c r="F69" s="98"/>
      <c r="G69" s="98"/>
      <c r="H69" s="98"/>
      <c r="I69" s="98"/>
      <c r="J69" s="180"/>
      <c r="K69" s="178"/>
      <c r="M69" s="5"/>
      <c r="N69" s="5"/>
    </row>
    <row r="70" ht="15.75" customHeight="1">
      <c r="A70" s="29"/>
      <c r="B70" s="175" t="s">
        <v>104</v>
      </c>
      <c r="C70" s="123" t="s">
        <v>24</v>
      </c>
      <c r="D70" s="56">
        <v>34000.0</v>
      </c>
      <c r="E70" s="56">
        <v>35000.0</v>
      </c>
      <c r="F70" s="56">
        <v>35000.0</v>
      </c>
      <c r="G70" s="56">
        <v>40000.0</v>
      </c>
      <c r="H70" s="56">
        <v>34000.0</v>
      </c>
      <c r="I70" s="56">
        <v>38000.0</v>
      </c>
      <c r="J70" s="179">
        <v>35000.0</v>
      </c>
      <c r="K70" s="177">
        <f t="shared" ref="K70:K73" si="14">AVERAGE(D70:J70)</f>
        <v>35857.14286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56">
        <v>35000.0</v>
      </c>
      <c r="F71" s="56">
        <v>32000.0</v>
      </c>
      <c r="G71" s="56">
        <v>30000.0</v>
      </c>
      <c r="H71" s="56">
        <v>32000.0</v>
      </c>
      <c r="I71" s="56">
        <v>37000.0</v>
      </c>
      <c r="J71" s="179">
        <v>28000.0</v>
      </c>
      <c r="K71" s="177">
        <f t="shared" si="14"/>
        <v>32285.71429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56">
        <v>35000.0</v>
      </c>
      <c r="E72" s="56">
        <v>35000.0</v>
      </c>
      <c r="F72" s="56">
        <v>36000.0</v>
      </c>
      <c r="G72" s="56">
        <v>40000.0</v>
      </c>
      <c r="H72" s="56">
        <v>32000.0</v>
      </c>
      <c r="I72" s="56">
        <v>38000.0</v>
      </c>
      <c r="J72" s="179">
        <v>33000.0</v>
      </c>
      <c r="K72" s="177">
        <f t="shared" si="14"/>
        <v>35571.42857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56">
        <v>36000.0</v>
      </c>
      <c r="E73" s="65">
        <v>42000.0</v>
      </c>
      <c r="F73" s="66">
        <v>40000.0</v>
      </c>
      <c r="G73" s="66">
        <v>50000.0</v>
      </c>
      <c r="H73" s="56">
        <v>40000.0</v>
      </c>
      <c r="I73" s="65">
        <v>50000.0</v>
      </c>
      <c r="J73" s="181">
        <v>30000.0</v>
      </c>
      <c r="K73" s="177">
        <f t="shared" si="14"/>
        <v>41142.85714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201"/>
      <c r="E74" s="114"/>
      <c r="F74" s="86"/>
      <c r="G74" s="146"/>
      <c r="H74" s="86"/>
      <c r="I74" s="86"/>
      <c r="J74" s="200"/>
      <c r="K74" s="178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56">
        <v>6000.0</v>
      </c>
      <c r="E75" s="65">
        <v>7000.0</v>
      </c>
      <c r="F75" s="56">
        <v>5000.0</v>
      </c>
      <c r="G75" s="56">
        <v>6000.0</v>
      </c>
      <c r="H75" s="56">
        <v>4000.0</v>
      </c>
      <c r="I75" s="56">
        <v>7000.0</v>
      </c>
      <c r="J75" s="181">
        <v>5000.0</v>
      </c>
      <c r="K75" s="177">
        <f t="shared" ref="K75:K76" si="15">AVERAGE(D75:J75)</f>
        <v>5714.285714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56">
        <v>5000.0</v>
      </c>
      <c r="I76" s="65">
        <v>7000.0</v>
      </c>
      <c r="J76" s="185">
        <v>6000.0</v>
      </c>
      <c r="K76" s="177">
        <f t="shared" si="15"/>
        <v>6000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86"/>
      <c r="E77" s="86"/>
      <c r="F77" s="86"/>
      <c r="G77" s="126"/>
      <c r="H77" s="86"/>
      <c r="I77" s="86"/>
      <c r="J77" s="195"/>
      <c r="K77" s="178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56">
        <v>7000.0</v>
      </c>
      <c r="E78" s="56">
        <v>8000.0</v>
      </c>
      <c r="F78" s="56">
        <v>8000.0</v>
      </c>
      <c r="G78" s="56">
        <v>8000.0</v>
      </c>
      <c r="H78" s="56">
        <v>9000.0</v>
      </c>
      <c r="I78" s="66">
        <v>8000.0</v>
      </c>
      <c r="J78" s="179">
        <v>6000.0</v>
      </c>
      <c r="K78" s="177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56">
        <v>14000.0</v>
      </c>
      <c r="E79" s="56">
        <v>22000.0</v>
      </c>
      <c r="F79" s="56">
        <v>16000.0</v>
      </c>
      <c r="G79" s="56">
        <v>15000.0</v>
      </c>
      <c r="H79" s="56">
        <v>10000.0</v>
      </c>
      <c r="I79" s="66">
        <v>20000.0</v>
      </c>
      <c r="J79" s="179">
        <v>15000.0</v>
      </c>
      <c r="K79" s="177">
        <f t="shared" si="16"/>
        <v>16000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56">
        <v>14000.0</v>
      </c>
      <c r="E80" s="56">
        <v>15000.0</v>
      </c>
      <c r="F80" s="56">
        <v>16000.0</v>
      </c>
      <c r="G80" s="56">
        <v>16000.0</v>
      </c>
      <c r="H80" s="56">
        <v>15000.0</v>
      </c>
      <c r="I80" s="56">
        <v>17000.0</v>
      </c>
      <c r="J80" s="179">
        <v>13000.0</v>
      </c>
      <c r="K80" s="177">
        <f t="shared" si="16"/>
        <v>15142.85714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56">
        <v>16000.0</v>
      </c>
      <c r="E81" s="56">
        <v>15000.0</v>
      </c>
      <c r="F81" s="56">
        <v>12000.0</v>
      </c>
      <c r="G81" s="56">
        <v>15000.0</v>
      </c>
      <c r="H81" s="56">
        <v>10000.0</v>
      </c>
      <c r="I81" s="66">
        <v>18000.0</v>
      </c>
      <c r="J81" s="179">
        <v>13000.0</v>
      </c>
      <c r="K81" s="177">
        <f t="shared" si="16"/>
        <v>14142.85714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56">
        <v>9000.0</v>
      </c>
      <c r="E82" s="56">
        <v>14000.0</v>
      </c>
      <c r="F82" s="56">
        <v>12000.0</v>
      </c>
      <c r="G82" s="56">
        <v>13000.0</v>
      </c>
      <c r="H82" s="56">
        <v>10000.0</v>
      </c>
      <c r="I82" s="56">
        <v>12000.0</v>
      </c>
      <c r="J82" s="179">
        <v>10000.0</v>
      </c>
      <c r="K82" s="177">
        <f t="shared" si="16"/>
        <v>11428.57143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9000.0</v>
      </c>
      <c r="E83" s="65">
        <v>12000.0</v>
      </c>
      <c r="F83" s="66">
        <v>8000.0</v>
      </c>
      <c r="G83" s="66">
        <v>10000.0</v>
      </c>
      <c r="H83" s="202">
        <v>9000.0</v>
      </c>
      <c r="I83" s="203">
        <v>10000.0</v>
      </c>
      <c r="J83" s="204">
        <v>8000.0</v>
      </c>
      <c r="K83" s="177">
        <f t="shared" si="16"/>
        <v>9428.571429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56">
        <v>2000.0</v>
      </c>
      <c r="G84" s="66">
        <v>2000.0</v>
      </c>
      <c r="H84" s="56">
        <v>1500.0</v>
      </c>
      <c r="I84" s="65">
        <v>2000.0</v>
      </c>
      <c r="J84" s="185">
        <v>2000.0</v>
      </c>
      <c r="K84" s="177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56">
        <v>1500.0</v>
      </c>
      <c r="G85" s="66">
        <v>2000.0</v>
      </c>
      <c r="H85" s="56">
        <v>1500.0</v>
      </c>
      <c r="I85" s="65">
        <v>2000.0</v>
      </c>
      <c r="J85" s="185">
        <v>1500.0</v>
      </c>
      <c r="K85" s="177">
        <f t="shared" si="16"/>
        <v>1750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56">
        <v>2000.0</v>
      </c>
      <c r="G86" s="66">
        <v>2000.0</v>
      </c>
      <c r="H86" s="56">
        <v>2000.0</v>
      </c>
      <c r="I86" s="65">
        <v>2000.0</v>
      </c>
      <c r="J86" s="185">
        <v>2000.0</v>
      </c>
      <c r="K86" s="177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26"/>
      <c r="E87" s="114"/>
      <c r="F87" s="86" t="s">
        <v>123</v>
      </c>
      <c r="G87" s="126"/>
      <c r="H87" s="86"/>
      <c r="I87" s="86"/>
      <c r="J87" s="195"/>
      <c r="K87" s="178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>
        <v>18000.0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177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133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87"/>
      <c r="E7" s="87"/>
      <c r="F7" s="87"/>
      <c r="G7" s="172"/>
      <c r="H7" s="172" t="s">
        <v>7</v>
      </c>
      <c r="I7" s="173"/>
      <c r="J7" s="172"/>
      <c r="K7" s="174"/>
      <c r="M7" s="5"/>
      <c r="N7" s="5"/>
    </row>
    <row r="8">
      <c r="A8" s="29"/>
      <c r="B8" s="175" t="s">
        <v>23</v>
      </c>
      <c r="C8" s="123" t="s">
        <v>24</v>
      </c>
      <c r="D8" s="56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6">
        <v>14000.0</v>
      </c>
      <c r="J8" s="95">
        <v>13500.0</v>
      </c>
      <c r="K8" s="176">
        <f t="shared" ref="K8:K12" si="1">AVERAGE(D8:J8)</f>
        <v>13357.14286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177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56">
        <v>11000.0</v>
      </c>
      <c r="E10" s="56">
        <v>11500.0</v>
      </c>
      <c r="F10" s="65">
        <v>13000.0</v>
      </c>
      <c r="G10" s="66">
        <v>11500.0</v>
      </c>
      <c r="H10" s="65" t="s">
        <v>26</v>
      </c>
      <c r="I10" s="65">
        <v>12500.0</v>
      </c>
      <c r="J10" s="66">
        <v>12500.0</v>
      </c>
      <c r="K10" s="177">
        <f t="shared" si="1"/>
        <v>12000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12000.0</v>
      </c>
      <c r="H11" s="65" t="s">
        <v>26</v>
      </c>
      <c r="I11" s="66">
        <v>11000.0</v>
      </c>
      <c r="J11" s="95">
        <v>8000.0</v>
      </c>
      <c r="K11" s="177">
        <f t="shared" si="1"/>
        <v>10600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95">
        <v>17000.0</v>
      </c>
      <c r="K12" s="177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87"/>
      <c r="E13" s="86"/>
      <c r="F13" s="87"/>
      <c r="G13" s="89"/>
      <c r="H13" s="89"/>
      <c r="I13" s="89"/>
      <c r="J13" s="89"/>
      <c r="K13" s="178"/>
      <c r="M13" s="5"/>
      <c r="N13" s="92"/>
    </row>
    <row r="14">
      <c r="A14" s="29"/>
      <c r="B14" s="175" t="s">
        <v>32</v>
      </c>
      <c r="C14" s="123" t="s">
        <v>24</v>
      </c>
      <c r="D14" s="56">
        <v>13000.0</v>
      </c>
      <c r="E14" s="56">
        <v>13500.0</v>
      </c>
      <c r="F14" s="56">
        <v>14000.0</v>
      </c>
      <c r="G14" s="56">
        <v>13500.0</v>
      </c>
      <c r="H14" s="56">
        <v>13500.0</v>
      </c>
      <c r="I14" s="56">
        <v>13500.0</v>
      </c>
      <c r="J14" s="179">
        <v>13500.0</v>
      </c>
      <c r="K14" s="177">
        <f t="shared" ref="K14:K15" si="2">AVERAGE(D14:J14)</f>
        <v>13500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95">
        <v>15000.0</v>
      </c>
      <c r="G15" s="66">
        <v>16000.0</v>
      </c>
      <c r="H15" s="56">
        <v>15000.0</v>
      </c>
      <c r="I15" s="56">
        <v>18000.0</v>
      </c>
      <c r="J15" s="179">
        <v>16000.0</v>
      </c>
      <c r="K15" s="177">
        <f t="shared" si="2"/>
        <v>15857.14286</v>
      </c>
      <c r="M15" s="5"/>
      <c r="N15" s="5"/>
    </row>
    <row r="16">
      <c r="A16" s="169">
        <v>3.0</v>
      </c>
      <c r="B16" s="170" t="s">
        <v>34</v>
      </c>
      <c r="C16" s="170"/>
      <c r="D16" s="98"/>
      <c r="E16" s="97"/>
      <c r="F16" s="98"/>
      <c r="G16" s="98"/>
      <c r="H16" s="98"/>
      <c r="I16" s="98"/>
      <c r="J16" s="180"/>
      <c r="K16" s="178"/>
      <c r="M16" s="5"/>
      <c r="N16" s="5"/>
    </row>
    <row r="17">
      <c r="A17" s="38"/>
      <c r="B17" s="175" t="s">
        <v>35</v>
      </c>
      <c r="C17" s="123" t="s">
        <v>24</v>
      </c>
      <c r="D17" s="56">
        <v>14500.0</v>
      </c>
      <c r="E17" s="65">
        <v>16000.0</v>
      </c>
      <c r="F17" s="56">
        <v>17000.0</v>
      </c>
      <c r="G17" s="56">
        <v>16000.0</v>
      </c>
      <c r="H17" s="56">
        <v>14000.0</v>
      </c>
      <c r="I17" s="56">
        <v>16000.0</v>
      </c>
      <c r="J17" s="181">
        <v>15500.0</v>
      </c>
      <c r="K17" s="177">
        <f t="shared" ref="K17:K18" si="3">AVERAGE(D17:J17)</f>
        <v>15571.42857</v>
      </c>
      <c r="M17" s="5"/>
      <c r="N17" s="5"/>
    </row>
    <row r="18">
      <c r="A18" s="182"/>
      <c r="B18" s="175" t="s">
        <v>36</v>
      </c>
      <c r="C18" s="123" t="s">
        <v>37</v>
      </c>
      <c r="D18" s="56">
        <v>14000.0</v>
      </c>
      <c r="E18" s="65">
        <v>14000.0</v>
      </c>
      <c r="F18" s="65">
        <v>14000.0</v>
      </c>
      <c r="G18" s="56">
        <v>14000.0</v>
      </c>
      <c r="H18" s="65" t="s">
        <v>26</v>
      </c>
      <c r="I18" s="56">
        <v>14000.0</v>
      </c>
      <c r="J18" s="179">
        <v>14000.0</v>
      </c>
      <c r="K18" s="177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8"/>
      <c r="E19" s="97"/>
      <c r="F19" s="98"/>
      <c r="G19" s="106"/>
      <c r="H19" s="98"/>
      <c r="I19" s="98"/>
      <c r="J19" s="180"/>
      <c r="K19" s="178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177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8"/>
      <c r="E21" s="87"/>
      <c r="F21" s="98"/>
      <c r="G21" s="106"/>
      <c r="H21" s="98"/>
      <c r="I21" s="97"/>
      <c r="J21" s="184"/>
      <c r="K21" s="178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56">
        <v>120000.0</v>
      </c>
      <c r="F22" s="56">
        <v>120000.0</v>
      </c>
      <c r="G22" s="56">
        <v>120000.0</v>
      </c>
      <c r="H22" s="56">
        <v>120000.0</v>
      </c>
      <c r="I22" s="66">
        <v>120000.0</v>
      </c>
      <c r="J22" s="181" t="s">
        <v>26</v>
      </c>
      <c r="K22" s="177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56">
        <v>110000.0</v>
      </c>
      <c r="F23" s="56">
        <v>110000.0</v>
      </c>
      <c r="G23" s="56">
        <v>110000.0</v>
      </c>
      <c r="H23" s="56">
        <v>114000.0</v>
      </c>
      <c r="I23" s="65">
        <v>115000.0</v>
      </c>
      <c r="J23" s="179">
        <v>115000.0</v>
      </c>
      <c r="K23" s="177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56">
        <v>95000.0</v>
      </c>
      <c r="F24" s="56">
        <v>105000.0</v>
      </c>
      <c r="G24" s="56">
        <v>105000.0</v>
      </c>
      <c r="H24" s="56">
        <v>100000.0</v>
      </c>
      <c r="I24" s="66">
        <v>110000.0</v>
      </c>
      <c r="J24" s="181">
        <v>105000.0</v>
      </c>
      <c r="K24" s="177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56">
        <v>37000.0</v>
      </c>
      <c r="E25" s="56">
        <v>36000.0</v>
      </c>
      <c r="F25" s="56">
        <v>37000.0</v>
      </c>
      <c r="G25" s="56">
        <v>37000.0</v>
      </c>
      <c r="H25" s="179">
        <v>38000.0</v>
      </c>
      <c r="I25" s="65">
        <v>38000.0</v>
      </c>
      <c r="J25" s="179">
        <v>40000.0</v>
      </c>
      <c r="K25" s="177">
        <f t="shared" si="4"/>
        <v>37571.42857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8"/>
      <c r="E26" s="87"/>
      <c r="F26" s="106"/>
      <c r="G26" s="98"/>
      <c r="H26" s="180"/>
      <c r="I26" s="98"/>
      <c r="J26" s="180"/>
      <c r="K26" s="178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56">
        <v>40000.0</v>
      </c>
      <c r="F27" s="65" t="s">
        <v>26</v>
      </c>
      <c r="G27" s="56">
        <v>45000.0</v>
      </c>
      <c r="H27" s="56">
        <v>30000.0</v>
      </c>
      <c r="I27" s="65">
        <v>40000.0</v>
      </c>
      <c r="J27" s="179">
        <v>35000.0</v>
      </c>
      <c r="K27" s="177">
        <f t="shared" ref="K27:K32" si="5">AVERAGE(D27:J27)</f>
        <v>37500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25000.0</v>
      </c>
      <c r="E28" s="65">
        <v>28000.0</v>
      </c>
      <c r="F28" s="56">
        <v>28000.0</v>
      </c>
      <c r="G28" s="66">
        <v>35000.0</v>
      </c>
      <c r="H28" s="65">
        <v>23000.0</v>
      </c>
      <c r="I28" s="65">
        <v>29000.0</v>
      </c>
      <c r="J28" s="185">
        <v>24000.0</v>
      </c>
      <c r="K28" s="177">
        <f t="shared" si="5"/>
        <v>27428.57143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80000.0</v>
      </c>
      <c r="E29" s="65">
        <v>60000.0</v>
      </c>
      <c r="F29" s="66">
        <v>60000.0</v>
      </c>
      <c r="G29" s="66">
        <v>75000.0</v>
      </c>
      <c r="H29" s="56">
        <v>58000.0</v>
      </c>
      <c r="I29" s="65">
        <v>60000.0</v>
      </c>
      <c r="J29" s="185">
        <v>55000.0</v>
      </c>
      <c r="K29" s="177">
        <f t="shared" si="5"/>
        <v>64000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56">
        <v>23000.0</v>
      </c>
      <c r="I30" s="65">
        <v>24000.0</v>
      </c>
      <c r="J30" s="185">
        <v>26000.0</v>
      </c>
      <c r="K30" s="177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35000.0</v>
      </c>
      <c r="E31" s="56">
        <v>35000.0</v>
      </c>
      <c r="F31" s="56">
        <v>36000.0</v>
      </c>
      <c r="G31" s="56">
        <v>45000.0</v>
      </c>
      <c r="H31" s="56">
        <v>28000.0</v>
      </c>
      <c r="I31" s="65">
        <v>36000.0</v>
      </c>
      <c r="J31" s="179">
        <v>38000.0</v>
      </c>
      <c r="K31" s="177">
        <f t="shared" si="5"/>
        <v>36142.85714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56">
        <v>100000.0</v>
      </c>
      <c r="F32" s="56">
        <v>110000.0</v>
      </c>
      <c r="G32" s="65" t="s">
        <v>26</v>
      </c>
      <c r="H32" s="56">
        <v>80000.0</v>
      </c>
      <c r="I32" s="65" t="s">
        <v>26</v>
      </c>
      <c r="J32" s="185" t="s">
        <v>26</v>
      </c>
      <c r="K32" s="177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8"/>
      <c r="E33" s="87"/>
      <c r="F33" s="106"/>
      <c r="G33" s="106"/>
      <c r="H33" s="98"/>
      <c r="I33" s="98"/>
      <c r="J33" s="180" t="s">
        <v>57</v>
      </c>
      <c r="K33" s="178"/>
      <c r="M33" s="5"/>
      <c r="N33" s="5"/>
    </row>
    <row r="34" ht="15.75" customHeight="1">
      <c r="A34" s="29"/>
      <c r="B34" s="175" t="s">
        <v>58</v>
      </c>
      <c r="C34" s="123" t="s">
        <v>24</v>
      </c>
      <c r="D34" s="56">
        <v>30000.0</v>
      </c>
      <c r="E34" s="56">
        <v>30000.0</v>
      </c>
      <c r="F34" s="56">
        <v>29000.0</v>
      </c>
      <c r="G34" s="56">
        <v>31000.0</v>
      </c>
      <c r="H34" s="56">
        <v>29000.0</v>
      </c>
      <c r="I34" s="56">
        <v>28500.0</v>
      </c>
      <c r="J34" s="179">
        <v>30000.0</v>
      </c>
      <c r="K34" s="177">
        <f t="shared" ref="K34:K35" si="6">AVERAGE(D34:J34)</f>
        <v>29642.85714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56">
        <v>3000.0</v>
      </c>
      <c r="E35" s="56">
        <v>2200.0</v>
      </c>
      <c r="F35" s="56">
        <v>2000.0</v>
      </c>
      <c r="G35" s="56">
        <v>2500.0</v>
      </c>
      <c r="H35" s="56">
        <v>2000.0</v>
      </c>
      <c r="I35" s="56">
        <v>2500.0</v>
      </c>
      <c r="J35" s="179">
        <v>3000.0</v>
      </c>
      <c r="K35" s="177">
        <f t="shared" si="6"/>
        <v>2457.142857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56"/>
      <c r="E36" s="56"/>
      <c r="F36" s="56"/>
      <c r="G36" s="56"/>
      <c r="H36" s="56"/>
      <c r="I36" s="56"/>
      <c r="J36" s="179"/>
      <c r="K36" s="187"/>
      <c r="M36" s="5"/>
      <c r="N36" s="5"/>
    </row>
    <row r="37" ht="15.75" customHeight="1">
      <c r="A37" s="182"/>
      <c r="B37" s="175" t="s">
        <v>62</v>
      </c>
      <c r="C37" s="123" t="s">
        <v>24</v>
      </c>
      <c r="D37" s="56">
        <v>10000.0</v>
      </c>
      <c r="E37" s="56">
        <v>10000.0</v>
      </c>
      <c r="F37" s="56">
        <v>9000.0</v>
      </c>
      <c r="G37" s="56">
        <v>9000.0</v>
      </c>
      <c r="H37" s="56">
        <v>16000.0</v>
      </c>
      <c r="I37" s="56">
        <v>12000.0</v>
      </c>
      <c r="J37" s="179">
        <v>9000.0</v>
      </c>
      <c r="K37" s="177">
        <f t="shared" ref="K37:K38" si="7">AVERAGE(D37:J37)</f>
        <v>10714.28571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56">
        <v>7000.0</v>
      </c>
      <c r="F38" s="56">
        <v>12000.0</v>
      </c>
      <c r="G38" s="56">
        <v>17000.0</v>
      </c>
      <c r="H38" s="65" t="s">
        <v>26</v>
      </c>
      <c r="I38" s="65">
        <v>15000.0</v>
      </c>
      <c r="J38" s="179">
        <v>12000.0</v>
      </c>
      <c r="K38" s="177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56"/>
      <c r="F39" s="56"/>
      <c r="G39" s="56"/>
      <c r="H39" s="56"/>
      <c r="I39" s="56"/>
      <c r="J39" s="179"/>
      <c r="K39" s="187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56">
        <v>18000.0</v>
      </c>
      <c r="F40" s="65" t="s">
        <v>26</v>
      </c>
      <c r="G40" s="56">
        <v>16000.0</v>
      </c>
      <c r="H40" s="56">
        <v>14000.0</v>
      </c>
      <c r="I40" s="56">
        <v>15000.0</v>
      </c>
      <c r="J40" s="179">
        <v>15000.0</v>
      </c>
      <c r="K40" s="177">
        <f t="shared" ref="K40:K42" si="8">AVERAGE(D40:J40)</f>
        <v>15600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56">
        <v>2500.0</v>
      </c>
      <c r="E41" s="56">
        <v>12000.0</v>
      </c>
      <c r="F41" s="56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177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56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177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8"/>
      <c r="E43" s="87"/>
      <c r="F43" s="106"/>
      <c r="G43" s="98"/>
      <c r="H43" s="98"/>
      <c r="I43" s="98"/>
      <c r="J43" s="192"/>
      <c r="K43" s="178"/>
      <c r="M43" s="5"/>
      <c r="N43" s="5"/>
    </row>
    <row r="44" ht="15.75" customHeight="1">
      <c r="A44" s="29"/>
      <c r="B44" s="175" t="s">
        <v>69</v>
      </c>
      <c r="C44" s="123" t="s">
        <v>70</v>
      </c>
      <c r="D44" s="56">
        <v>12500.0</v>
      </c>
      <c r="E44" s="65">
        <v>12000.0</v>
      </c>
      <c r="F44" s="56">
        <v>12500.0</v>
      </c>
      <c r="G44" s="56">
        <v>12000.0</v>
      </c>
      <c r="H44" s="114" t="s">
        <v>26</v>
      </c>
      <c r="I44" s="66">
        <v>12500.0</v>
      </c>
      <c r="J44" s="181">
        <v>12500.0</v>
      </c>
      <c r="K44" s="177">
        <f t="shared" ref="K44:K45" si="9">AVERAGE(D44:J44)</f>
        <v>12333.33333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56">
        <v>12000.0</v>
      </c>
      <c r="H45" s="114" t="s">
        <v>26</v>
      </c>
      <c r="I45" s="66">
        <v>12500.0</v>
      </c>
      <c r="J45" s="185">
        <v>12500.0</v>
      </c>
      <c r="K45" s="177">
        <f t="shared" si="9"/>
        <v>12500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8"/>
      <c r="E46" s="123"/>
      <c r="F46" s="98"/>
      <c r="G46" s="106"/>
      <c r="H46" s="98"/>
      <c r="I46" s="98"/>
      <c r="J46" s="180"/>
      <c r="K46" s="178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56">
        <v>17500.0</v>
      </c>
      <c r="I47" s="66" t="s">
        <v>26</v>
      </c>
      <c r="J47" s="185" t="s">
        <v>26</v>
      </c>
      <c r="K47" s="177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56">
        <v>2000.0</v>
      </c>
      <c r="I48" s="66" t="s">
        <v>26</v>
      </c>
      <c r="J48" s="185" t="s">
        <v>26</v>
      </c>
      <c r="K48" s="177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86"/>
      <c r="E49" s="86"/>
      <c r="F49" s="86"/>
      <c r="G49" s="126"/>
      <c r="H49" s="86"/>
      <c r="I49" s="86"/>
      <c r="J49" s="195"/>
      <c r="K49" s="178"/>
      <c r="M49" s="5"/>
      <c r="N49" s="5"/>
    </row>
    <row r="50" ht="15.75" customHeight="1">
      <c r="A50" s="182"/>
      <c r="B50" s="175" t="s">
        <v>79</v>
      </c>
      <c r="C50" s="196" t="s">
        <v>24</v>
      </c>
      <c r="D50" s="56">
        <v>10000.0</v>
      </c>
      <c r="E50" s="56">
        <v>8000.0</v>
      </c>
      <c r="F50" s="56">
        <v>10000.0</v>
      </c>
      <c r="G50" s="56">
        <v>10000.0</v>
      </c>
      <c r="H50" s="56">
        <v>9000.0</v>
      </c>
      <c r="I50" s="66">
        <v>10000.0</v>
      </c>
      <c r="J50" s="179">
        <v>8000.0</v>
      </c>
      <c r="K50" s="177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56">
        <v>9000.0</v>
      </c>
      <c r="E51" s="56">
        <v>10000.0</v>
      </c>
      <c r="F51" s="66">
        <v>9000.0</v>
      </c>
      <c r="G51" s="56">
        <v>10000.0</v>
      </c>
      <c r="H51" s="56">
        <v>6000.0</v>
      </c>
      <c r="I51" s="65" t="s">
        <v>26</v>
      </c>
      <c r="J51" s="179">
        <v>6000.0</v>
      </c>
      <c r="K51" s="177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8"/>
      <c r="E52" s="87"/>
      <c r="F52" s="106"/>
      <c r="G52" s="106"/>
      <c r="H52" s="98"/>
      <c r="I52" s="98"/>
      <c r="J52" s="192"/>
      <c r="K52" s="178"/>
      <c r="M52" s="5"/>
      <c r="N52" s="5"/>
    </row>
    <row r="53" ht="15.75" customHeight="1">
      <c r="A53" s="38"/>
      <c r="B53" s="175" t="s">
        <v>82</v>
      </c>
      <c r="C53" s="123" t="s">
        <v>83</v>
      </c>
      <c r="D53" s="56">
        <v>3000.0</v>
      </c>
      <c r="E53" s="56">
        <v>8000.0</v>
      </c>
      <c r="F53" s="56">
        <v>5000.0</v>
      </c>
      <c r="G53" s="56">
        <v>5000.0</v>
      </c>
      <c r="H53" s="56">
        <v>2500.0</v>
      </c>
      <c r="I53" s="66">
        <v>2000.0</v>
      </c>
      <c r="J53" s="181">
        <v>2500.0</v>
      </c>
      <c r="K53" s="177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4"/>
      <c r="H54" s="87"/>
      <c r="I54" s="87"/>
      <c r="J54" s="197"/>
      <c r="K54" s="178"/>
      <c r="M54" s="5"/>
      <c r="N54" s="5"/>
    </row>
    <row r="55" ht="15.75" customHeight="1">
      <c r="A55" s="38"/>
      <c r="B55" s="198" t="s">
        <v>85</v>
      </c>
      <c r="C55" s="196" t="s">
        <v>24</v>
      </c>
      <c r="D55" s="56">
        <v>12000.0</v>
      </c>
      <c r="E55" s="56">
        <v>10500.0</v>
      </c>
      <c r="F55" s="56">
        <v>13000.0</v>
      </c>
      <c r="G55" s="56">
        <v>11000.0</v>
      </c>
      <c r="H55" s="56">
        <v>11000.0</v>
      </c>
      <c r="I55" s="56">
        <v>11000.0</v>
      </c>
      <c r="J55" s="179">
        <v>10000.0</v>
      </c>
      <c r="K55" s="177">
        <f>AVERAGE(D55:J55)</f>
        <v>11214.28571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8"/>
      <c r="E56" s="87"/>
      <c r="F56" s="106"/>
      <c r="G56" s="98"/>
      <c r="H56" s="98"/>
      <c r="I56" s="98"/>
      <c r="J56" s="192"/>
      <c r="K56" s="178"/>
      <c r="M56" s="5"/>
      <c r="N56" s="5"/>
    </row>
    <row r="57" ht="15.75" customHeight="1">
      <c r="A57" s="29"/>
      <c r="B57" s="175" t="s">
        <v>87</v>
      </c>
      <c r="C57" s="123" t="s">
        <v>24</v>
      </c>
      <c r="D57" s="56">
        <v>14000.0</v>
      </c>
      <c r="E57" s="56">
        <v>16000.0</v>
      </c>
      <c r="F57" s="56">
        <v>16000.0</v>
      </c>
      <c r="G57" s="56">
        <v>18000.0</v>
      </c>
      <c r="H57" s="56">
        <v>13000.0</v>
      </c>
      <c r="I57" s="65">
        <v>16000.0</v>
      </c>
      <c r="J57" s="181" t="s">
        <v>26</v>
      </c>
      <c r="K57" s="177">
        <f t="shared" ref="K57:K60" si="12">AVERAGE(D57:J57)</f>
        <v>15500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56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177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56">
        <v>25000.0</v>
      </c>
      <c r="E59" s="56">
        <v>23000.0</v>
      </c>
      <c r="F59" s="56">
        <v>24000.0</v>
      </c>
      <c r="G59" s="56">
        <v>30000.0</v>
      </c>
      <c r="H59" s="56">
        <v>22000.0</v>
      </c>
      <c r="I59" s="56">
        <v>26000.0</v>
      </c>
      <c r="J59" s="181">
        <v>26000.0</v>
      </c>
      <c r="K59" s="177">
        <f t="shared" si="12"/>
        <v>25142.85714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56">
        <v>30000.0</v>
      </c>
      <c r="E60" s="56">
        <v>30000.0</v>
      </c>
      <c r="F60" s="56">
        <v>31000.0</v>
      </c>
      <c r="G60" s="56">
        <v>30000.0</v>
      </c>
      <c r="H60" s="56">
        <v>26000.0</v>
      </c>
      <c r="I60" s="56">
        <v>29000.0</v>
      </c>
      <c r="J60" s="181">
        <v>28000.0</v>
      </c>
      <c r="K60" s="177">
        <f t="shared" si="12"/>
        <v>29142.85714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146"/>
      <c r="E61" s="86"/>
      <c r="F61" s="126"/>
      <c r="G61" s="86"/>
      <c r="H61" s="86"/>
      <c r="I61" s="86"/>
      <c r="J61" s="200"/>
      <c r="K61" s="178"/>
      <c r="M61" s="5"/>
      <c r="N61" s="5"/>
    </row>
    <row r="62" ht="15.75" customHeight="1">
      <c r="A62" s="123"/>
      <c r="B62" s="175" t="s">
        <v>93</v>
      </c>
      <c r="C62" s="196" t="s">
        <v>94</v>
      </c>
      <c r="D62" s="56">
        <v>3000.0</v>
      </c>
      <c r="E62" s="56">
        <v>3200.0</v>
      </c>
      <c r="F62" s="56">
        <v>3000.0</v>
      </c>
      <c r="G62" s="56">
        <v>3000.0</v>
      </c>
      <c r="H62" s="114" t="s">
        <v>26</v>
      </c>
      <c r="I62" s="66">
        <v>3500.0</v>
      </c>
      <c r="J62" s="179">
        <v>3500.0</v>
      </c>
      <c r="K62" s="177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8"/>
      <c r="E63" s="87"/>
      <c r="F63" s="106"/>
      <c r="G63" s="106"/>
      <c r="H63" s="98"/>
      <c r="I63" s="98"/>
      <c r="J63" s="192"/>
      <c r="K63" s="178"/>
      <c r="M63" s="5"/>
      <c r="N63" s="5"/>
    </row>
    <row r="64" ht="15.75" customHeight="1">
      <c r="A64" s="29"/>
      <c r="B64" s="175" t="s">
        <v>97</v>
      </c>
      <c r="C64" s="123" t="s">
        <v>24</v>
      </c>
      <c r="D64" s="56">
        <v>32000.0</v>
      </c>
      <c r="E64" s="56">
        <v>30000.0</v>
      </c>
      <c r="F64" s="56">
        <v>32000.0</v>
      </c>
      <c r="G64" s="56">
        <v>35000.0</v>
      </c>
      <c r="H64" s="56">
        <v>25000.0</v>
      </c>
      <c r="I64" s="56">
        <v>30000.0</v>
      </c>
      <c r="J64" s="179">
        <v>30000.0</v>
      </c>
      <c r="K64" s="177">
        <f t="shared" ref="K64:K66" si="13">AVERAGE(D64:J64)</f>
        <v>30571.42857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56">
        <v>25000.0</v>
      </c>
      <c r="F65" s="56">
        <v>25000.0</v>
      </c>
      <c r="G65" s="56">
        <v>35000.0</v>
      </c>
      <c r="H65" s="199" t="s">
        <v>26</v>
      </c>
      <c r="I65" s="66">
        <v>25000.0</v>
      </c>
      <c r="J65" s="181" t="s">
        <v>26</v>
      </c>
      <c r="K65" s="177">
        <f t="shared" si="13"/>
        <v>27000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56">
        <v>35000.0</v>
      </c>
      <c r="E66" s="56">
        <v>40000.0</v>
      </c>
      <c r="F66" s="56">
        <v>40000.0</v>
      </c>
      <c r="G66" s="56">
        <v>40000.0</v>
      </c>
      <c r="H66" s="56">
        <v>35000.0</v>
      </c>
      <c r="I66" s="56">
        <v>40000.0</v>
      </c>
      <c r="J66" s="179">
        <v>35000.0</v>
      </c>
      <c r="K66" s="177">
        <f t="shared" si="13"/>
        <v>37857.14286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201"/>
      <c r="E67" s="86"/>
      <c r="F67" s="126"/>
      <c r="G67" s="86"/>
      <c r="H67" s="86"/>
      <c r="I67" s="86"/>
      <c r="J67" s="195"/>
      <c r="K67" s="178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56">
        <v>20000.0</v>
      </c>
      <c r="E68" s="56">
        <v>18000.0</v>
      </c>
      <c r="F68" s="56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177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8"/>
      <c r="E69" s="87"/>
      <c r="F69" s="98"/>
      <c r="G69" s="98"/>
      <c r="H69" s="98"/>
      <c r="I69" s="98"/>
      <c r="J69" s="180"/>
      <c r="K69" s="178"/>
      <c r="M69" s="5"/>
      <c r="N69" s="5"/>
    </row>
    <row r="70" ht="15.75" customHeight="1">
      <c r="A70" s="29"/>
      <c r="B70" s="175" t="s">
        <v>104</v>
      </c>
      <c r="C70" s="123" t="s">
        <v>24</v>
      </c>
      <c r="D70" s="56">
        <v>34000.0</v>
      </c>
      <c r="E70" s="56">
        <v>35000.0</v>
      </c>
      <c r="F70" s="56">
        <v>38000.0</v>
      </c>
      <c r="G70" s="56">
        <v>35000.0</v>
      </c>
      <c r="H70" s="56">
        <v>34000.0</v>
      </c>
      <c r="I70" s="56">
        <v>38000.0</v>
      </c>
      <c r="J70" s="179">
        <v>35000.0</v>
      </c>
      <c r="K70" s="177">
        <f t="shared" ref="K70:K73" si="14">AVERAGE(D70:J70)</f>
        <v>35571.42857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56">
        <v>35000.0</v>
      </c>
      <c r="F71" s="56">
        <v>36000.0</v>
      </c>
      <c r="G71" s="56">
        <v>30000.0</v>
      </c>
      <c r="H71" s="56">
        <v>32000.0</v>
      </c>
      <c r="I71" s="56">
        <v>37000.0</v>
      </c>
      <c r="J71" s="179">
        <v>28000.0</v>
      </c>
      <c r="K71" s="177">
        <f t="shared" si="14"/>
        <v>32857.14286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56">
        <v>35000.0</v>
      </c>
      <c r="E72" s="56">
        <v>35000.0</v>
      </c>
      <c r="F72" s="56">
        <v>40000.0</v>
      </c>
      <c r="G72" s="56">
        <v>40000.0</v>
      </c>
      <c r="H72" s="56">
        <v>32000.0</v>
      </c>
      <c r="I72" s="56">
        <v>38000.0</v>
      </c>
      <c r="J72" s="179">
        <v>33000.0</v>
      </c>
      <c r="K72" s="177">
        <f t="shared" si="14"/>
        <v>36142.85714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56">
        <v>36000.0</v>
      </c>
      <c r="E73" s="65">
        <v>42000.0</v>
      </c>
      <c r="F73" s="66">
        <v>40000.0</v>
      </c>
      <c r="G73" s="66">
        <v>50000.0</v>
      </c>
      <c r="H73" s="56">
        <v>40000.0</v>
      </c>
      <c r="I73" s="65">
        <v>50000.0</v>
      </c>
      <c r="J73" s="181">
        <v>30000.0</v>
      </c>
      <c r="K73" s="177">
        <f t="shared" si="14"/>
        <v>41142.85714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201"/>
      <c r="E74" s="114"/>
      <c r="F74" s="86"/>
      <c r="G74" s="146"/>
      <c r="H74" s="86"/>
      <c r="I74" s="86"/>
      <c r="J74" s="200"/>
      <c r="K74" s="178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56">
        <v>6000.0</v>
      </c>
      <c r="E75" s="65">
        <v>7000.0</v>
      </c>
      <c r="F75" s="56">
        <v>5000.0</v>
      </c>
      <c r="G75" s="56">
        <v>6000.0</v>
      </c>
      <c r="H75" s="56">
        <v>4000.0</v>
      </c>
      <c r="I75" s="56">
        <v>7000.0</v>
      </c>
      <c r="J75" s="181">
        <v>5000.0</v>
      </c>
      <c r="K75" s="177">
        <f t="shared" ref="K75:K76" si="15">AVERAGE(D75:J75)</f>
        <v>5714.285714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56">
        <v>5000.0</v>
      </c>
      <c r="I76" s="65">
        <v>7000.0</v>
      </c>
      <c r="J76" s="185">
        <v>6000.0</v>
      </c>
      <c r="K76" s="177">
        <f t="shared" si="15"/>
        <v>6000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86"/>
      <c r="E77" s="86"/>
      <c r="F77" s="86"/>
      <c r="G77" s="126"/>
      <c r="H77" s="86"/>
      <c r="I77" s="86"/>
      <c r="J77" s="195"/>
      <c r="K77" s="178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56">
        <v>7000.0</v>
      </c>
      <c r="E78" s="56">
        <v>8000.0</v>
      </c>
      <c r="F78" s="56">
        <v>8000.0</v>
      </c>
      <c r="G78" s="56">
        <v>8000.0</v>
      </c>
      <c r="H78" s="56">
        <v>9000.0</v>
      </c>
      <c r="I78" s="66">
        <v>8000.0</v>
      </c>
      <c r="J78" s="179">
        <v>6000.0</v>
      </c>
      <c r="K78" s="177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56">
        <v>14000.0</v>
      </c>
      <c r="E79" s="56">
        <v>22000.0</v>
      </c>
      <c r="F79" s="56">
        <v>16000.0</v>
      </c>
      <c r="G79" s="56">
        <v>15000.0</v>
      </c>
      <c r="H79" s="56">
        <v>10000.0</v>
      </c>
      <c r="I79" s="66">
        <v>20000.0</v>
      </c>
      <c r="J79" s="179">
        <v>15000.0</v>
      </c>
      <c r="K79" s="177">
        <f t="shared" si="16"/>
        <v>16000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56">
        <v>14000.0</v>
      </c>
      <c r="E80" s="56">
        <v>15000.0</v>
      </c>
      <c r="F80" s="56">
        <v>17000.0</v>
      </c>
      <c r="G80" s="56">
        <v>16000.0</v>
      </c>
      <c r="H80" s="56">
        <v>15000.0</v>
      </c>
      <c r="I80" s="56">
        <v>17000.0</v>
      </c>
      <c r="J80" s="179">
        <v>13000.0</v>
      </c>
      <c r="K80" s="177">
        <f t="shared" si="16"/>
        <v>15285.71429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56">
        <v>16000.0</v>
      </c>
      <c r="E81" s="56">
        <v>15000.0</v>
      </c>
      <c r="F81" s="56">
        <v>12000.0</v>
      </c>
      <c r="G81" s="56">
        <v>15000.0</v>
      </c>
      <c r="H81" s="56">
        <v>10000.0</v>
      </c>
      <c r="I81" s="66">
        <v>18000.0</v>
      </c>
      <c r="J81" s="179">
        <v>13000.0</v>
      </c>
      <c r="K81" s="177">
        <f t="shared" si="16"/>
        <v>14142.85714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56">
        <v>9000.0</v>
      </c>
      <c r="E82" s="56">
        <v>14000.0</v>
      </c>
      <c r="F82" s="56">
        <v>13000.0</v>
      </c>
      <c r="G82" s="56">
        <v>13000.0</v>
      </c>
      <c r="H82" s="56">
        <v>10000.0</v>
      </c>
      <c r="I82" s="56">
        <v>12000.0</v>
      </c>
      <c r="J82" s="179">
        <v>10000.0</v>
      </c>
      <c r="K82" s="177">
        <f t="shared" si="16"/>
        <v>11571.42857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9000.0</v>
      </c>
      <c r="E83" s="65">
        <v>12000.0</v>
      </c>
      <c r="F83" s="66">
        <v>8000.0</v>
      </c>
      <c r="G83" s="66">
        <v>10000.0</v>
      </c>
      <c r="H83" s="202">
        <v>9000.0</v>
      </c>
      <c r="I83" s="203">
        <v>10000.0</v>
      </c>
      <c r="J83" s="204">
        <v>8000.0</v>
      </c>
      <c r="K83" s="177">
        <f t="shared" si="16"/>
        <v>9428.571429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56">
        <v>2000.0</v>
      </c>
      <c r="G84" s="66">
        <v>2000.0</v>
      </c>
      <c r="H84" s="56">
        <v>1500.0</v>
      </c>
      <c r="I84" s="65">
        <v>2000.0</v>
      </c>
      <c r="J84" s="185">
        <v>2000.0</v>
      </c>
      <c r="K84" s="177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56">
        <v>1500.0</v>
      </c>
      <c r="G85" s="66">
        <v>2000.0</v>
      </c>
      <c r="H85" s="56">
        <v>1500.0</v>
      </c>
      <c r="I85" s="65">
        <v>2000.0</v>
      </c>
      <c r="J85" s="185">
        <v>1500.0</v>
      </c>
      <c r="K85" s="177">
        <f t="shared" si="16"/>
        <v>1750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56">
        <v>2000.0</v>
      </c>
      <c r="G86" s="66">
        <v>2000.0</v>
      </c>
      <c r="H86" s="56">
        <v>2000.0</v>
      </c>
      <c r="I86" s="65">
        <v>2000.0</v>
      </c>
      <c r="J86" s="185">
        <v>2000.0</v>
      </c>
      <c r="K86" s="177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26"/>
      <c r="E87" s="114"/>
      <c r="F87" s="86" t="s">
        <v>123</v>
      </c>
      <c r="G87" s="126"/>
      <c r="H87" s="86"/>
      <c r="I87" s="86"/>
      <c r="J87" s="195"/>
      <c r="K87" s="178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>
        <v>18000.0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177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137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87"/>
      <c r="E7" s="87"/>
      <c r="F7" s="87"/>
      <c r="G7" s="172"/>
      <c r="H7" s="172" t="s">
        <v>7</v>
      </c>
      <c r="I7" s="173"/>
      <c r="J7" s="172"/>
      <c r="K7" s="174"/>
      <c r="M7" s="5"/>
      <c r="N7" s="5"/>
    </row>
    <row r="8">
      <c r="A8" s="29"/>
      <c r="B8" s="175" t="s">
        <v>23</v>
      </c>
      <c r="C8" s="123" t="s">
        <v>24</v>
      </c>
      <c r="D8" s="56">
        <v>13000.0</v>
      </c>
      <c r="E8" s="56">
        <v>13500.0</v>
      </c>
      <c r="F8" s="56">
        <v>14000.0</v>
      </c>
      <c r="G8" s="56">
        <v>13500.0</v>
      </c>
      <c r="H8" s="56">
        <v>12000.0</v>
      </c>
      <c r="I8" s="56">
        <v>14000.0</v>
      </c>
      <c r="J8" s="95">
        <v>13500.0</v>
      </c>
      <c r="K8" s="176">
        <f t="shared" ref="K8:K12" si="1">AVERAGE(D8:J8)</f>
        <v>13357.14286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177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56">
        <v>11000.0</v>
      </c>
      <c r="E10" s="56">
        <v>11500.0</v>
      </c>
      <c r="F10" s="65">
        <v>13000.0</v>
      </c>
      <c r="G10" s="66">
        <v>11500.0</v>
      </c>
      <c r="H10" s="65" t="s">
        <v>26</v>
      </c>
      <c r="I10" s="65">
        <v>13500.0</v>
      </c>
      <c r="J10" s="66">
        <v>12500.0</v>
      </c>
      <c r="K10" s="177">
        <f t="shared" si="1"/>
        <v>12166.66667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12000.0</v>
      </c>
      <c r="H11" s="65" t="s">
        <v>26</v>
      </c>
      <c r="I11" s="66">
        <v>11000.0</v>
      </c>
      <c r="J11" s="95">
        <v>8000.0</v>
      </c>
      <c r="K11" s="177">
        <f t="shared" si="1"/>
        <v>10600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95">
        <v>17000.0</v>
      </c>
      <c r="K12" s="177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87"/>
      <c r="E13" s="86"/>
      <c r="F13" s="87"/>
      <c r="G13" s="89"/>
      <c r="H13" s="89"/>
      <c r="I13" s="89"/>
      <c r="J13" s="89"/>
      <c r="K13" s="178"/>
      <c r="M13" s="5"/>
      <c r="N13" s="92"/>
    </row>
    <row r="14">
      <c r="A14" s="29"/>
      <c r="B14" s="175" t="s">
        <v>32</v>
      </c>
      <c r="C14" s="123" t="s">
        <v>24</v>
      </c>
      <c r="D14" s="56">
        <v>13000.0</v>
      </c>
      <c r="E14" s="56">
        <v>13500.0</v>
      </c>
      <c r="F14" s="56">
        <v>14000.0</v>
      </c>
      <c r="G14" s="56">
        <v>13500.0</v>
      </c>
      <c r="H14" s="56">
        <v>13500.0</v>
      </c>
      <c r="I14" s="56">
        <v>13500.0</v>
      </c>
      <c r="J14" s="179">
        <v>13500.0</v>
      </c>
      <c r="K14" s="177">
        <f t="shared" ref="K14:K15" si="2">AVERAGE(D14:J14)</f>
        <v>13500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95">
        <v>15000.0</v>
      </c>
      <c r="G15" s="66">
        <v>16000.0</v>
      </c>
      <c r="H15" s="56">
        <v>15000.0</v>
      </c>
      <c r="I15" s="56">
        <v>18000.0</v>
      </c>
      <c r="J15" s="179">
        <v>16000.0</v>
      </c>
      <c r="K15" s="177">
        <f t="shared" si="2"/>
        <v>15857.14286</v>
      </c>
      <c r="M15" s="5"/>
      <c r="N15" s="5"/>
    </row>
    <row r="16">
      <c r="A16" s="169">
        <v>3.0</v>
      </c>
      <c r="B16" s="170" t="s">
        <v>34</v>
      </c>
      <c r="C16" s="170"/>
      <c r="D16" s="98"/>
      <c r="E16" s="97"/>
      <c r="F16" s="98"/>
      <c r="G16" s="98"/>
      <c r="H16" s="98"/>
      <c r="I16" s="98"/>
      <c r="J16" s="180"/>
      <c r="K16" s="178"/>
      <c r="M16" s="5"/>
      <c r="N16" s="5"/>
    </row>
    <row r="17">
      <c r="A17" s="38"/>
      <c r="B17" s="175" t="s">
        <v>35</v>
      </c>
      <c r="C17" s="123" t="s">
        <v>24</v>
      </c>
      <c r="D17" s="56">
        <v>14500.0</v>
      </c>
      <c r="E17" s="65">
        <v>16000.0</v>
      </c>
      <c r="F17" s="56">
        <v>17000.0</v>
      </c>
      <c r="G17" s="56">
        <v>16000.0</v>
      </c>
      <c r="H17" s="56">
        <v>14000.0</v>
      </c>
      <c r="I17" s="56">
        <v>16000.0</v>
      </c>
      <c r="J17" s="181">
        <v>15000.0</v>
      </c>
      <c r="K17" s="177">
        <f t="shared" ref="K17:K18" si="3">AVERAGE(D17:J17)</f>
        <v>15500</v>
      </c>
      <c r="M17" s="5"/>
      <c r="N17" s="5"/>
    </row>
    <row r="18">
      <c r="A18" s="182"/>
      <c r="B18" s="175" t="s">
        <v>36</v>
      </c>
      <c r="C18" s="123" t="s">
        <v>37</v>
      </c>
      <c r="D18" s="56">
        <v>14000.0</v>
      </c>
      <c r="E18" s="65">
        <v>14000.0</v>
      </c>
      <c r="F18" s="65">
        <v>14000.0</v>
      </c>
      <c r="G18" s="56">
        <v>14000.0</v>
      </c>
      <c r="H18" s="65" t="s">
        <v>26</v>
      </c>
      <c r="I18" s="56">
        <v>14000.0</v>
      </c>
      <c r="J18" s="179">
        <v>14000.0</v>
      </c>
      <c r="K18" s="177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8"/>
      <c r="E19" s="97"/>
      <c r="F19" s="98"/>
      <c r="G19" s="106"/>
      <c r="H19" s="98"/>
      <c r="I19" s="98"/>
      <c r="J19" s="180"/>
      <c r="K19" s="178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177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8"/>
      <c r="E21" s="87"/>
      <c r="F21" s="98"/>
      <c r="G21" s="106"/>
      <c r="H21" s="98"/>
      <c r="I21" s="97"/>
      <c r="J21" s="184"/>
      <c r="K21" s="178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56">
        <v>120000.0</v>
      </c>
      <c r="F22" s="56">
        <v>120000.0</v>
      </c>
      <c r="G22" s="56">
        <v>120000.0</v>
      </c>
      <c r="H22" s="56">
        <v>120000.0</v>
      </c>
      <c r="I22" s="66">
        <v>120000.0</v>
      </c>
      <c r="J22" s="181" t="s">
        <v>26</v>
      </c>
      <c r="K22" s="177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56">
        <v>110000.0</v>
      </c>
      <c r="F23" s="56">
        <v>110000.0</v>
      </c>
      <c r="G23" s="56">
        <v>110000.0</v>
      </c>
      <c r="H23" s="56">
        <v>114000.0</v>
      </c>
      <c r="I23" s="65">
        <v>115000.0</v>
      </c>
      <c r="J23" s="179">
        <v>115000.0</v>
      </c>
      <c r="K23" s="177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56">
        <v>95000.0</v>
      </c>
      <c r="F24" s="56">
        <v>105000.0</v>
      </c>
      <c r="G24" s="56">
        <v>105000.0</v>
      </c>
      <c r="H24" s="56">
        <v>100000.0</v>
      </c>
      <c r="I24" s="66">
        <v>110000.0</v>
      </c>
      <c r="J24" s="181">
        <v>105000.0</v>
      </c>
      <c r="K24" s="177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56">
        <v>37000.0</v>
      </c>
      <c r="E25" s="56">
        <v>36000.0</v>
      </c>
      <c r="F25" s="56">
        <v>37000.0</v>
      </c>
      <c r="G25" s="56">
        <v>37000.0</v>
      </c>
      <c r="H25" s="179">
        <v>38000.0</v>
      </c>
      <c r="I25" s="65">
        <v>38000.0</v>
      </c>
      <c r="J25" s="179">
        <v>40000.0</v>
      </c>
      <c r="K25" s="177">
        <f t="shared" si="4"/>
        <v>37571.42857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8"/>
      <c r="E26" s="87"/>
      <c r="F26" s="106"/>
      <c r="G26" s="98"/>
      <c r="H26" s="180"/>
      <c r="I26" s="98"/>
      <c r="J26" s="180"/>
      <c r="K26" s="178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56">
        <v>40000.0</v>
      </c>
      <c r="F27" s="65" t="s">
        <v>26</v>
      </c>
      <c r="G27" s="56">
        <v>45000.0</v>
      </c>
      <c r="H27" s="56">
        <v>30000.0</v>
      </c>
      <c r="I27" s="65">
        <v>40000.0</v>
      </c>
      <c r="J27" s="179">
        <v>35000.0</v>
      </c>
      <c r="K27" s="177">
        <f t="shared" ref="K27:K32" si="5">AVERAGE(D27:J27)</f>
        <v>37500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25000.0</v>
      </c>
      <c r="E28" s="65">
        <v>28000.0</v>
      </c>
      <c r="F28" s="56">
        <v>30000.0</v>
      </c>
      <c r="G28" s="66">
        <v>35000.0</v>
      </c>
      <c r="H28" s="65">
        <v>23000.0</v>
      </c>
      <c r="I28" s="65">
        <v>29000.0</v>
      </c>
      <c r="J28" s="185">
        <v>24000.0</v>
      </c>
      <c r="K28" s="177">
        <f t="shared" si="5"/>
        <v>27714.28571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80000.0</v>
      </c>
      <c r="E29" s="65">
        <v>60000.0</v>
      </c>
      <c r="F29" s="66">
        <v>70000.0</v>
      </c>
      <c r="G29" s="66">
        <v>75000.0</v>
      </c>
      <c r="H29" s="56">
        <v>58000.0</v>
      </c>
      <c r="I29" s="65">
        <v>60000.0</v>
      </c>
      <c r="J29" s="185">
        <v>55000.0</v>
      </c>
      <c r="K29" s="177">
        <f t="shared" si="5"/>
        <v>65428.57143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56">
        <v>23000.0</v>
      </c>
      <c r="I30" s="65">
        <v>24000.0</v>
      </c>
      <c r="J30" s="185">
        <v>26000.0</v>
      </c>
      <c r="K30" s="177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35000.0</v>
      </c>
      <c r="E31" s="56">
        <v>35000.0</v>
      </c>
      <c r="F31" s="56">
        <v>40000.0</v>
      </c>
      <c r="G31" s="56">
        <v>45000.0</v>
      </c>
      <c r="H31" s="56">
        <v>28000.0</v>
      </c>
      <c r="I31" s="65">
        <v>36000.0</v>
      </c>
      <c r="J31" s="179">
        <v>35000.0</v>
      </c>
      <c r="K31" s="177">
        <f t="shared" si="5"/>
        <v>36285.71429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56">
        <v>100000.0</v>
      </c>
      <c r="F32" s="56">
        <v>110000.0</v>
      </c>
      <c r="G32" s="65" t="s">
        <v>26</v>
      </c>
      <c r="H32" s="56">
        <v>80000.0</v>
      </c>
      <c r="I32" s="65" t="s">
        <v>26</v>
      </c>
      <c r="J32" s="185" t="s">
        <v>26</v>
      </c>
      <c r="K32" s="177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8"/>
      <c r="E33" s="87"/>
      <c r="F33" s="106"/>
      <c r="G33" s="106"/>
      <c r="H33" s="98"/>
      <c r="I33" s="98"/>
      <c r="J33" s="180" t="s">
        <v>57</v>
      </c>
      <c r="K33" s="178"/>
      <c r="M33" s="5"/>
      <c r="N33" s="5"/>
    </row>
    <row r="34" ht="15.75" customHeight="1">
      <c r="A34" s="29"/>
      <c r="B34" s="175" t="s">
        <v>58</v>
      </c>
      <c r="C34" s="123" t="s">
        <v>24</v>
      </c>
      <c r="D34" s="56">
        <v>30000.0</v>
      </c>
      <c r="E34" s="56">
        <v>30000.0</v>
      </c>
      <c r="F34" s="56">
        <v>29000.0</v>
      </c>
      <c r="G34" s="56">
        <v>31000.0</v>
      </c>
      <c r="H34" s="56">
        <v>29000.0</v>
      </c>
      <c r="I34" s="56">
        <v>30000.0</v>
      </c>
      <c r="J34" s="179">
        <v>30000.0</v>
      </c>
      <c r="K34" s="177">
        <f t="shared" ref="K34:K35" si="6">AVERAGE(D34:J34)</f>
        <v>29857.14286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56">
        <v>3000.0</v>
      </c>
      <c r="E35" s="56">
        <v>2200.0</v>
      </c>
      <c r="F35" s="56">
        <v>2000.0</v>
      </c>
      <c r="G35" s="56">
        <v>2500.0</v>
      </c>
      <c r="H35" s="56">
        <v>2000.0</v>
      </c>
      <c r="I35" s="56">
        <v>2500.0</v>
      </c>
      <c r="J35" s="179">
        <v>3000.0</v>
      </c>
      <c r="K35" s="177">
        <f t="shared" si="6"/>
        <v>2457.142857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56"/>
      <c r="E36" s="56"/>
      <c r="F36" s="56"/>
      <c r="G36" s="56"/>
      <c r="H36" s="56"/>
      <c r="I36" s="56"/>
      <c r="J36" s="179"/>
      <c r="K36" s="187"/>
      <c r="M36" s="5"/>
      <c r="N36" s="5"/>
    </row>
    <row r="37" ht="15.75" customHeight="1">
      <c r="A37" s="182"/>
      <c r="B37" s="175" t="s">
        <v>62</v>
      </c>
      <c r="C37" s="123" t="s">
        <v>24</v>
      </c>
      <c r="D37" s="56">
        <v>10000.0</v>
      </c>
      <c r="E37" s="56">
        <v>10000.0</v>
      </c>
      <c r="F37" s="56">
        <v>9000.0</v>
      </c>
      <c r="G37" s="56">
        <v>9000.0</v>
      </c>
      <c r="H37" s="56">
        <v>16000.0</v>
      </c>
      <c r="I37" s="56">
        <v>12000.0</v>
      </c>
      <c r="J37" s="179">
        <v>9000.0</v>
      </c>
      <c r="K37" s="177">
        <f t="shared" ref="K37:K38" si="7">AVERAGE(D37:J37)</f>
        <v>10714.28571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56">
        <v>7000.0</v>
      </c>
      <c r="F38" s="56">
        <v>12000.0</v>
      </c>
      <c r="G38" s="56">
        <v>17000.0</v>
      </c>
      <c r="H38" s="65" t="s">
        <v>26</v>
      </c>
      <c r="I38" s="65">
        <v>15000.0</v>
      </c>
      <c r="J38" s="179">
        <v>12000.0</v>
      </c>
      <c r="K38" s="177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56"/>
      <c r="F39" s="56"/>
      <c r="G39" s="56"/>
      <c r="H39" s="56"/>
      <c r="I39" s="56"/>
      <c r="J39" s="179"/>
      <c r="K39" s="187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56">
        <v>18000.0</v>
      </c>
      <c r="F40" s="65" t="s">
        <v>26</v>
      </c>
      <c r="G40" s="56">
        <v>16000.0</v>
      </c>
      <c r="H40" s="56">
        <v>14000.0</v>
      </c>
      <c r="I40" s="56">
        <v>15000.0</v>
      </c>
      <c r="J40" s="179">
        <v>15000.0</v>
      </c>
      <c r="K40" s="177">
        <f t="shared" ref="K40:K42" si="8">AVERAGE(D40:J40)</f>
        <v>15600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56">
        <v>2500.0</v>
      </c>
      <c r="E41" s="56">
        <v>12000.0</v>
      </c>
      <c r="F41" s="56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177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56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177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8"/>
      <c r="E43" s="87"/>
      <c r="F43" s="106"/>
      <c r="G43" s="98"/>
      <c r="H43" s="98"/>
      <c r="I43" s="98"/>
      <c r="J43" s="192"/>
      <c r="K43" s="178"/>
      <c r="M43" s="5"/>
      <c r="N43" s="5"/>
    </row>
    <row r="44" ht="15.75" customHeight="1">
      <c r="A44" s="29"/>
      <c r="B44" s="175" t="s">
        <v>69</v>
      </c>
      <c r="C44" s="123" t="s">
        <v>70</v>
      </c>
      <c r="D44" s="56">
        <v>12500.0</v>
      </c>
      <c r="E44" s="65">
        <v>12000.0</v>
      </c>
      <c r="F44" s="56">
        <v>12500.0</v>
      </c>
      <c r="G44" s="56">
        <v>12000.0</v>
      </c>
      <c r="H44" s="114" t="s">
        <v>26</v>
      </c>
      <c r="I44" s="66">
        <v>12500.0</v>
      </c>
      <c r="J44" s="181">
        <v>12500.0</v>
      </c>
      <c r="K44" s="177">
        <f t="shared" ref="K44:K45" si="9">AVERAGE(D44:J44)</f>
        <v>12333.33333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56">
        <v>12000.0</v>
      </c>
      <c r="H45" s="114" t="s">
        <v>26</v>
      </c>
      <c r="I45" s="66">
        <v>12500.0</v>
      </c>
      <c r="J45" s="185">
        <v>12500.0</v>
      </c>
      <c r="K45" s="177">
        <f t="shared" si="9"/>
        <v>12500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8"/>
      <c r="E46" s="123"/>
      <c r="F46" s="98"/>
      <c r="G46" s="106"/>
      <c r="H46" s="98"/>
      <c r="I46" s="98"/>
      <c r="J46" s="180"/>
      <c r="K46" s="178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56">
        <v>17500.0</v>
      </c>
      <c r="I47" s="66" t="s">
        <v>26</v>
      </c>
      <c r="J47" s="185" t="s">
        <v>26</v>
      </c>
      <c r="K47" s="177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56">
        <v>2000.0</v>
      </c>
      <c r="I48" s="66" t="s">
        <v>26</v>
      </c>
      <c r="J48" s="185" t="s">
        <v>26</v>
      </c>
      <c r="K48" s="177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86"/>
      <c r="E49" s="86"/>
      <c r="F49" s="86"/>
      <c r="G49" s="126"/>
      <c r="H49" s="86"/>
      <c r="I49" s="86"/>
      <c r="J49" s="195"/>
      <c r="K49" s="178"/>
      <c r="M49" s="5"/>
      <c r="N49" s="5"/>
    </row>
    <row r="50" ht="15.75" customHeight="1">
      <c r="A50" s="182"/>
      <c r="B50" s="175" t="s">
        <v>79</v>
      </c>
      <c r="C50" s="196" t="s">
        <v>24</v>
      </c>
      <c r="D50" s="56">
        <v>10000.0</v>
      </c>
      <c r="E50" s="56">
        <v>8000.0</v>
      </c>
      <c r="F50" s="56">
        <v>10000.0</v>
      </c>
      <c r="G50" s="56">
        <v>10000.0</v>
      </c>
      <c r="H50" s="56">
        <v>9000.0</v>
      </c>
      <c r="I50" s="66">
        <v>10000.0</v>
      </c>
      <c r="J50" s="179">
        <v>8000.0</v>
      </c>
      <c r="K50" s="177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56">
        <v>9000.0</v>
      </c>
      <c r="E51" s="56">
        <v>10000.0</v>
      </c>
      <c r="F51" s="66">
        <v>9000.0</v>
      </c>
      <c r="G51" s="56">
        <v>10000.0</v>
      </c>
      <c r="H51" s="56">
        <v>6000.0</v>
      </c>
      <c r="I51" s="65" t="s">
        <v>26</v>
      </c>
      <c r="J51" s="179">
        <v>6000.0</v>
      </c>
      <c r="K51" s="177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8"/>
      <c r="E52" s="87"/>
      <c r="F52" s="106"/>
      <c r="G52" s="106"/>
      <c r="H52" s="98"/>
      <c r="I52" s="98"/>
      <c r="J52" s="192"/>
      <c r="K52" s="178"/>
      <c r="M52" s="5"/>
      <c r="N52" s="5"/>
    </row>
    <row r="53" ht="15.75" customHeight="1">
      <c r="A53" s="38"/>
      <c r="B53" s="175" t="s">
        <v>82</v>
      </c>
      <c r="C53" s="123" t="s">
        <v>83</v>
      </c>
      <c r="D53" s="56">
        <v>3000.0</v>
      </c>
      <c r="E53" s="56">
        <v>8000.0</v>
      </c>
      <c r="F53" s="56">
        <v>5000.0</v>
      </c>
      <c r="G53" s="56">
        <v>5000.0</v>
      </c>
      <c r="H53" s="56">
        <v>2500.0</v>
      </c>
      <c r="I53" s="66">
        <v>2000.0</v>
      </c>
      <c r="J53" s="181">
        <v>2500.0</v>
      </c>
      <c r="K53" s="177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4"/>
      <c r="H54" s="87"/>
      <c r="I54" s="87"/>
      <c r="J54" s="197"/>
      <c r="K54" s="178"/>
      <c r="M54" s="5"/>
      <c r="N54" s="5"/>
    </row>
    <row r="55" ht="15.75" customHeight="1">
      <c r="A55" s="38"/>
      <c r="B55" s="198" t="s">
        <v>85</v>
      </c>
      <c r="C55" s="196" t="s">
        <v>24</v>
      </c>
      <c r="D55" s="56">
        <v>12000.0</v>
      </c>
      <c r="E55" s="56">
        <v>10500.0</v>
      </c>
      <c r="F55" s="56">
        <v>13000.0</v>
      </c>
      <c r="G55" s="56">
        <v>11000.0</v>
      </c>
      <c r="H55" s="56">
        <v>11000.0</v>
      </c>
      <c r="I55" s="56">
        <v>11000.0</v>
      </c>
      <c r="J55" s="179">
        <v>10000.0</v>
      </c>
      <c r="K55" s="177">
        <f>AVERAGE(D55:J55)</f>
        <v>11214.28571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8"/>
      <c r="E56" s="87"/>
      <c r="F56" s="106"/>
      <c r="G56" s="98"/>
      <c r="H56" s="98"/>
      <c r="I56" s="98"/>
      <c r="J56" s="192"/>
      <c r="K56" s="178"/>
      <c r="M56" s="5"/>
      <c r="N56" s="5"/>
    </row>
    <row r="57" ht="15.75" customHeight="1">
      <c r="A57" s="29"/>
      <c r="B57" s="175" t="s">
        <v>87</v>
      </c>
      <c r="C57" s="123" t="s">
        <v>24</v>
      </c>
      <c r="D57" s="56">
        <v>14000.0</v>
      </c>
      <c r="E57" s="56">
        <v>16000.0</v>
      </c>
      <c r="F57" s="56">
        <v>16000.0</v>
      </c>
      <c r="G57" s="56">
        <v>18000.0</v>
      </c>
      <c r="H57" s="56">
        <v>13000.0</v>
      </c>
      <c r="I57" s="65">
        <v>16000.0</v>
      </c>
      <c r="J57" s="181" t="s">
        <v>26</v>
      </c>
      <c r="K57" s="177">
        <f t="shared" ref="K57:K60" si="12">AVERAGE(D57:J57)</f>
        <v>15500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56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177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56">
        <v>25000.0</v>
      </c>
      <c r="E59" s="56">
        <v>23000.0</v>
      </c>
      <c r="F59" s="56">
        <v>24000.0</v>
      </c>
      <c r="G59" s="56">
        <v>30000.0</v>
      </c>
      <c r="H59" s="56">
        <v>22000.0</v>
      </c>
      <c r="I59" s="56">
        <v>26000.0</v>
      </c>
      <c r="J59" s="181">
        <v>26000.0</v>
      </c>
      <c r="K59" s="177">
        <f t="shared" si="12"/>
        <v>25142.85714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56">
        <v>30000.0</v>
      </c>
      <c r="E60" s="56">
        <v>30000.0</v>
      </c>
      <c r="F60" s="56">
        <v>31000.0</v>
      </c>
      <c r="G60" s="56">
        <v>30000.0</v>
      </c>
      <c r="H60" s="56">
        <v>26000.0</v>
      </c>
      <c r="I60" s="56">
        <v>29000.0</v>
      </c>
      <c r="J60" s="181">
        <v>28000.0</v>
      </c>
      <c r="K60" s="177">
        <f t="shared" si="12"/>
        <v>29142.85714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146"/>
      <c r="E61" s="86"/>
      <c r="F61" s="126"/>
      <c r="G61" s="86"/>
      <c r="H61" s="86"/>
      <c r="I61" s="86"/>
      <c r="J61" s="200"/>
      <c r="K61" s="178"/>
      <c r="M61" s="5"/>
      <c r="N61" s="5"/>
    </row>
    <row r="62" ht="15.75" customHeight="1">
      <c r="A62" s="123"/>
      <c r="B62" s="175" t="s">
        <v>93</v>
      </c>
      <c r="C62" s="196" t="s">
        <v>94</v>
      </c>
      <c r="D62" s="56">
        <v>3000.0</v>
      </c>
      <c r="E62" s="56">
        <v>3200.0</v>
      </c>
      <c r="F62" s="56">
        <v>3000.0</v>
      </c>
      <c r="G62" s="56">
        <v>3000.0</v>
      </c>
      <c r="H62" s="114" t="s">
        <v>26</v>
      </c>
      <c r="I62" s="66">
        <v>3500.0</v>
      </c>
      <c r="J62" s="179">
        <v>3500.0</v>
      </c>
      <c r="K62" s="177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8"/>
      <c r="E63" s="87"/>
      <c r="F63" s="106"/>
      <c r="G63" s="106"/>
      <c r="H63" s="98"/>
      <c r="I63" s="98"/>
      <c r="J63" s="192"/>
      <c r="K63" s="178"/>
      <c r="M63" s="5"/>
      <c r="N63" s="5"/>
    </row>
    <row r="64" ht="15.75" customHeight="1">
      <c r="A64" s="29"/>
      <c r="B64" s="175" t="s">
        <v>97</v>
      </c>
      <c r="C64" s="123" t="s">
        <v>24</v>
      </c>
      <c r="D64" s="56">
        <v>32000.0</v>
      </c>
      <c r="E64" s="56">
        <v>30000.0</v>
      </c>
      <c r="F64" s="56">
        <v>30000.0</v>
      </c>
      <c r="G64" s="56">
        <v>35000.0</v>
      </c>
      <c r="H64" s="56">
        <v>25000.0</v>
      </c>
      <c r="I64" s="56">
        <v>30000.0</v>
      </c>
      <c r="J64" s="179">
        <v>30000.0</v>
      </c>
      <c r="K64" s="177">
        <f t="shared" ref="K64:K66" si="13">AVERAGE(D64:J64)</f>
        <v>30285.71429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56">
        <v>25000.0</v>
      </c>
      <c r="F65" s="56">
        <v>25000.0</v>
      </c>
      <c r="G65" s="56">
        <v>35000.0</v>
      </c>
      <c r="H65" s="199" t="s">
        <v>26</v>
      </c>
      <c r="I65" s="66">
        <v>35000.0</v>
      </c>
      <c r="J65" s="181" t="s">
        <v>26</v>
      </c>
      <c r="K65" s="177">
        <f t="shared" si="13"/>
        <v>29000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56">
        <v>35000.0</v>
      </c>
      <c r="E66" s="56">
        <v>40000.0</v>
      </c>
      <c r="F66" s="56">
        <v>40000.0</v>
      </c>
      <c r="G66" s="56">
        <v>40000.0</v>
      </c>
      <c r="H66" s="56">
        <v>35000.0</v>
      </c>
      <c r="I66" s="56">
        <v>40000.0</v>
      </c>
      <c r="J66" s="179">
        <v>35000.0</v>
      </c>
      <c r="K66" s="177">
        <f t="shared" si="13"/>
        <v>37857.14286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201"/>
      <c r="E67" s="86"/>
      <c r="F67" s="126"/>
      <c r="G67" s="86"/>
      <c r="H67" s="86"/>
      <c r="I67" s="86"/>
      <c r="J67" s="195"/>
      <c r="K67" s="178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56">
        <v>20000.0</v>
      </c>
      <c r="E68" s="56">
        <v>18000.0</v>
      </c>
      <c r="F68" s="56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177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8"/>
      <c r="E69" s="87"/>
      <c r="F69" s="98"/>
      <c r="G69" s="98"/>
      <c r="H69" s="98"/>
      <c r="I69" s="98"/>
      <c r="J69" s="180"/>
      <c r="K69" s="178"/>
      <c r="M69" s="5"/>
      <c r="N69" s="5"/>
    </row>
    <row r="70" ht="15.75" customHeight="1">
      <c r="A70" s="29"/>
      <c r="B70" s="175" t="s">
        <v>104</v>
      </c>
      <c r="C70" s="123" t="s">
        <v>24</v>
      </c>
      <c r="D70" s="56">
        <v>34000.0</v>
      </c>
      <c r="E70" s="56">
        <v>35000.0</v>
      </c>
      <c r="F70" s="56">
        <v>36000.0</v>
      </c>
      <c r="G70" s="56">
        <v>35000.0</v>
      </c>
      <c r="H70" s="56">
        <v>34000.0</v>
      </c>
      <c r="I70" s="56">
        <v>38000.0</v>
      </c>
      <c r="J70" s="179">
        <v>35000.0</v>
      </c>
      <c r="K70" s="177">
        <f t="shared" ref="K70:K73" si="14">AVERAGE(D70:J70)</f>
        <v>35285.71429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56">
        <v>35000.0</v>
      </c>
      <c r="F71" s="56">
        <v>32000.0</v>
      </c>
      <c r="G71" s="56">
        <v>30000.0</v>
      </c>
      <c r="H71" s="56">
        <v>32000.0</v>
      </c>
      <c r="I71" s="56">
        <v>35000.0</v>
      </c>
      <c r="J71" s="179">
        <v>28000.0</v>
      </c>
      <c r="K71" s="177">
        <f t="shared" si="14"/>
        <v>32000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56">
        <v>35000.0</v>
      </c>
      <c r="E72" s="56">
        <v>35000.0</v>
      </c>
      <c r="F72" s="56">
        <v>36000.0</v>
      </c>
      <c r="G72" s="56">
        <v>40000.0</v>
      </c>
      <c r="H72" s="56">
        <v>32000.0</v>
      </c>
      <c r="I72" s="56">
        <v>35000.0</v>
      </c>
      <c r="J72" s="179">
        <v>33000.0</v>
      </c>
      <c r="K72" s="177">
        <f t="shared" si="14"/>
        <v>35142.85714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56">
        <v>36000.0</v>
      </c>
      <c r="E73" s="65">
        <v>42000.0</v>
      </c>
      <c r="F73" s="66">
        <v>40000.0</v>
      </c>
      <c r="G73" s="66">
        <v>50000.0</v>
      </c>
      <c r="H73" s="56">
        <v>40000.0</v>
      </c>
      <c r="I73" s="65">
        <v>50000.0</v>
      </c>
      <c r="J73" s="181">
        <v>30000.0</v>
      </c>
      <c r="K73" s="177">
        <f t="shared" si="14"/>
        <v>41142.85714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201"/>
      <c r="E74" s="114"/>
      <c r="F74" s="86"/>
      <c r="G74" s="146"/>
      <c r="H74" s="86"/>
      <c r="I74" s="86"/>
      <c r="J74" s="200"/>
      <c r="K74" s="178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56">
        <v>6000.0</v>
      </c>
      <c r="E75" s="65">
        <v>7000.0</v>
      </c>
      <c r="F75" s="56">
        <v>5000.0</v>
      </c>
      <c r="G75" s="56">
        <v>6000.0</v>
      </c>
      <c r="H75" s="56">
        <v>4000.0</v>
      </c>
      <c r="I75" s="56">
        <v>7000.0</v>
      </c>
      <c r="J75" s="181">
        <v>5000.0</v>
      </c>
      <c r="K75" s="177">
        <f t="shared" ref="K75:K76" si="15">AVERAGE(D75:J75)</f>
        <v>5714.285714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56">
        <v>5000.0</v>
      </c>
      <c r="I76" s="65">
        <v>7000.0</v>
      </c>
      <c r="J76" s="185">
        <v>6000.0</v>
      </c>
      <c r="K76" s="177">
        <f t="shared" si="15"/>
        <v>6000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86"/>
      <c r="E77" s="86"/>
      <c r="F77" s="86"/>
      <c r="G77" s="126"/>
      <c r="H77" s="86"/>
      <c r="I77" s="86"/>
      <c r="J77" s="195"/>
      <c r="K77" s="178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56">
        <v>7000.0</v>
      </c>
      <c r="E78" s="56">
        <v>8000.0</v>
      </c>
      <c r="F78" s="56">
        <v>8000.0</v>
      </c>
      <c r="G78" s="56">
        <v>8000.0</v>
      </c>
      <c r="H78" s="56">
        <v>9000.0</v>
      </c>
      <c r="I78" s="66">
        <v>8000.0</v>
      </c>
      <c r="J78" s="179">
        <v>6000.0</v>
      </c>
      <c r="K78" s="177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56">
        <v>14000.0</v>
      </c>
      <c r="E79" s="56">
        <v>22000.0</v>
      </c>
      <c r="F79" s="56">
        <v>16000.0</v>
      </c>
      <c r="G79" s="56">
        <v>15000.0</v>
      </c>
      <c r="H79" s="56">
        <v>10000.0</v>
      </c>
      <c r="I79" s="66">
        <v>15000.0</v>
      </c>
      <c r="J79" s="179">
        <v>15000.0</v>
      </c>
      <c r="K79" s="177">
        <f t="shared" si="16"/>
        <v>15285.71429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56">
        <v>14000.0</v>
      </c>
      <c r="E80" s="56">
        <v>15000.0</v>
      </c>
      <c r="F80" s="56">
        <v>16000.0</v>
      </c>
      <c r="G80" s="56">
        <v>16000.0</v>
      </c>
      <c r="H80" s="56">
        <v>15000.0</v>
      </c>
      <c r="I80" s="56">
        <v>17000.0</v>
      </c>
      <c r="J80" s="179">
        <v>13000.0</v>
      </c>
      <c r="K80" s="177">
        <f t="shared" si="16"/>
        <v>15142.85714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56">
        <v>16000.0</v>
      </c>
      <c r="E81" s="56">
        <v>15000.0</v>
      </c>
      <c r="F81" s="56">
        <v>15000.0</v>
      </c>
      <c r="G81" s="56">
        <v>15000.0</v>
      </c>
      <c r="H81" s="56">
        <v>10000.0</v>
      </c>
      <c r="I81" s="66">
        <v>15000.0</v>
      </c>
      <c r="J81" s="179">
        <v>13000.0</v>
      </c>
      <c r="K81" s="177">
        <f t="shared" si="16"/>
        <v>14142.85714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56">
        <v>9000.0</v>
      </c>
      <c r="E82" s="56">
        <v>14000.0</v>
      </c>
      <c r="F82" s="56">
        <v>12000.0</v>
      </c>
      <c r="G82" s="56">
        <v>13000.0</v>
      </c>
      <c r="H82" s="56">
        <v>10000.0</v>
      </c>
      <c r="I82" s="56">
        <v>14000.0</v>
      </c>
      <c r="J82" s="179">
        <v>10000.0</v>
      </c>
      <c r="K82" s="177">
        <f t="shared" si="16"/>
        <v>11714.28571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9000.0</v>
      </c>
      <c r="E83" s="65">
        <v>12000.0</v>
      </c>
      <c r="F83" s="66">
        <v>8000.0</v>
      </c>
      <c r="G83" s="66">
        <v>10000.0</v>
      </c>
      <c r="H83" s="202">
        <v>9000.0</v>
      </c>
      <c r="I83" s="203">
        <v>10000.0</v>
      </c>
      <c r="J83" s="204">
        <v>8000.0</v>
      </c>
      <c r="K83" s="177">
        <f t="shared" si="16"/>
        <v>9428.571429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56">
        <v>2000.0</v>
      </c>
      <c r="G84" s="66">
        <v>2000.0</v>
      </c>
      <c r="H84" s="56">
        <v>1500.0</v>
      </c>
      <c r="I84" s="65">
        <v>2000.0</v>
      </c>
      <c r="J84" s="185">
        <v>2000.0</v>
      </c>
      <c r="K84" s="177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56">
        <v>1500.0</v>
      </c>
      <c r="G85" s="66">
        <v>2000.0</v>
      </c>
      <c r="H85" s="56">
        <v>1500.0</v>
      </c>
      <c r="I85" s="65">
        <v>2000.0</v>
      </c>
      <c r="J85" s="185">
        <v>1500.0</v>
      </c>
      <c r="K85" s="177">
        <f t="shared" si="16"/>
        <v>1750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56">
        <v>2000.0</v>
      </c>
      <c r="G86" s="66">
        <v>2000.0</v>
      </c>
      <c r="H86" s="56">
        <v>2000.0</v>
      </c>
      <c r="I86" s="65">
        <v>2000.0</v>
      </c>
      <c r="J86" s="185">
        <v>2000.0</v>
      </c>
      <c r="K86" s="177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26"/>
      <c r="E87" s="114"/>
      <c r="F87" s="86" t="s">
        <v>123</v>
      </c>
      <c r="G87" s="126"/>
      <c r="H87" s="86"/>
      <c r="I87" s="86"/>
      <c r="J87" s="195"/>
      <c r="K87" s="178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>
        <v>18000.0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177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13500.0</v>
      </c>
      <c r="F8" s="56">
        <v>13000.0</v>
      </c>
      <c r="G8" s="56">
        <v>13500.0</v>
      </c>
      <c r="H8" s="56">
        <v>12000.0</v>
      </c>
      <c r="I8" s="57">
        <v>14000.0</v>
      </c>
      <c r="J8" s="58">
        <v>13500.0</v>
      </c>
      <c r="K8" s="60">
        <f t="shared" ref="K8:K12" si="1">AVERAGE(D8:J8)</f>
        <v>13214.28571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11500.0</v>
      </c>
      <c r="F10" s="65">
        <v>11000.0</v>
      </c>
      <c r="G10" s="66">
        <v>11500.0</v>
      </c>
      <c r="H10" s="68" t="s">
        <v>26</v>
      </c>
      <c r="I10" s="68">
        <v>13500.0</v>
      </c>
      <c r="J10" s="69">
        <v>12500.0</v>
      </c>
      <c r="K10" s="70">
        <f t="shared" si="1"/>
        <v>11833.33333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18000.0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19000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13500.0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13428.57143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18000.0</v>
      </c>
      <c r="J15" s="94">
        <v>16000.0</v>
      </c>
      <c r="K15" s="70">
        <f t="shared" si="2"/>
        <v>15857.14286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16000.0</v>
      </c>
      <c r="F17" s="56">
        <v>15500.0</v>
      </c>
      <c r="G17" s="56">
        <v>16000.0</v>
      </c>
      <c r="H17" s="57">
        <v>14000.0</v>
      </c>
      <c r="I17" s="57">
        <v>16000.0</v>
      </c>
      <c r="J17" s="102">
        <v>15000.0</v>
      </c>
      <c r="K17" s="70">
        <f t="shared" ref="K17:K18" si="3">AVERAGE(D17:J17)</f>
        <v>15285.71429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37000.0</v>
      </c>
      <c r="E25" s="56">
        <v>36000.0</v>
      </c>
      <c r="F25" s="56">
        <v>37000.0</v>
      </c>
      <c r="G25" s="56">
        <v>37000.0</v>
      </c>
      <c r="H25" s="94">
        <v>38000.0</v>
      </c>
      <c r="I25" s="68">
        <v>38000.0</v>
      </c>
      <c r="J25" s="94">
        <v>40000.0</v>
      </c>
      <c r="K25" s="70">
        <f t="shared" si="4"/>
        <v>37571.42857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56">
        <v>40000.0</v>
      </c>
      <c r="F27" s="65" t="s">
        <v>26</v>
      </c>
      <c r="G27" s="56">
        <v>45000.0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37500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25000.0</v>
      </c>
      <c r="E28" s="65">
        <v>28000.0</v>
      </c>
      <c r="F28" s="56">
        <v>30000.0</v>
      </c>
      <c r="G28" s="66">
        <v>35000.0</v>
      </c>
      <c r="H28" s="68">
        <v>23000.0</v>
      </c>
      <c r="I28" s="68">
        <v>29000.0</v>
      </c>
      <c r="J28" s="112">
        <v>24000.0</v>
      </c>
      <c r="K28" s="70">
        <f t="shared" si="5"/>
        <v>27714.28571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80000.0</v>
      </c>
      <c r="E29" s="65">
        <v>60000.0</v>
      </c>
      <c r="F29" s="66">
        <v>70000.0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65428.57143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35000.0</v>
      </c>
      <c r="E31" s="56">
        <v>35000.0</v>
      </c>
      <c r="F31" s="56">
        <v>40000.0</v>
      </c>
      <c r="G31" s="56">
        <v>45000.0</v>
      </c>
      <c r="H31" s="57">
        <v>28000.0</v>
      </c>
      <c r="I31" s="68">
        <v>36000.0</v>
      </c>
      <c r="J31" s="94">
        <v>35000.0</v>
      </c>
      <c r="K31" s="70">
        <f t="shared" si="5"/>
        <v>36285.71429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95000.0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91666.66667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30000.0</v>
      </c>
      <c r="E34" s="56">
        <v>30000.0</v>
      </c>
      <c r="F34" s="56">
        <v>32000.0</v>
      </c>
      <c r="G34" s="56">
        <v>30000.0</v>
      </c>
      <c r="H34" s="57">
        <v>29000.0</v>
      </c>
      <c r="I34" s="57">
        <v>30000.0</v>
      </c>
      <c r="J34" s="94">
        <v>30000.0</v>
      </c>
      <c r="K34" s="70">
        <f t="shared" ref="K34:K35" si="6">AVERAGE(D34:J34)</f>
        <v>30142.85714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2500.0</v>
      </c>
      <c r="G35" s="56">
        <v>2500.0</v>
      </c>
      <c r="H35" s="57">
        <v>2000.0</v>
      </c>
      <c r="I35" s="57">
        <v>2500.0</v>
      </c>
      <c r="J35" s="94">
        <v>3000.0</v>
      </c>
      <c r="K35" s="70">
        <f t="shared" si="6"/>
        <v>2528.571429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12000.0</v>
      </c>
      <c r="J37" s="94">
        <v>9000.0</v>
      </c>
      <c r="K37" s="70">
        <f t="shared" ref="K37:K38" si="7">AVERAGE(D37:J37)</f>
        <v>10714.28571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15000.0</v>
      </c>
      <c r="J40" s="94">
        <v>15000.0</v>
      </c>
      <c r="K40" s="70">
        <f t="shared" ref="K40:K42" si="8">AVERAGE(D40:J40)</f>
        <v>15600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12500.0</v>
      </c>
      <c r="G55" s="56">
        <v>11000.0</v>
      </c>
      <c r="H55" s="57">
        <v>11000.0</v>
      </c>
      <c r="I55" s="57">
        <v>11000.0</v>
      </c>
      <c r="J55" s="94">
        <v>10000.0</v>
      </c>
      <c r="K55" s="70">
        <f>AVERAGE(D55:J55)</f>
        <v>11142.85714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18000.0</v>
      </c>
      <c r="H57" s="57">
        <v>13000.0</v>
      </c>
      <c r="I57" s="68">
        <v>16000.0</v>
      </c>
      <c r="J57" s="102" t="s">
        <v>26</v>
      </c>
      <c r="K57" s="70">
        <f t="shared" ref="K57:K60" si="12">AVERAGE(D57:J57)</f>
        <v>15500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26000.0</v>
      </c>
      <c r="J59" s="102">
        <v>26000.0</v>
      </c>
      <c r="K59" s="70">
        <f t="shared" si="12"/>
        <v>25142.85714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31000.0</v>
      </c>
      <c r="G60" s="56">
        <v>30000.0</v>
      </c>
      <c r="H60" s="57">
        <v>26000.0</v>
      </c>
      <c r="I60" s="57">
        <v>29000.0</v>
      </c>
      <c r="J60" s="102">
        <v>28000.0</v>
      </c>
      <c r="K60" s="70">
        <f t="shared" si="12"/>
        <v>29142.85714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32000.0</v>
      </c>
      <c r="E64" s="56">
        <v>30000.0</v>
      </c>
      <c r="F64" s="56">
        <v>30000.0</v>
      </c>
      <c r="G64" s="56">
        <v>30000.0</v>
      </c>
      <c r="H64" s="57">
        <v>25000.0</v>
      </c>
      <c r="I64" s="57">
        <v>30000.0</v>
      </c>
      <c r="J64" s="94">
        <v>30000.0</v>
      </c>
      <c r="K64" s="70">
        <f t="shared" ref="K64:K66" si="13">AVERAGE(D64:J64)</f>
        <v>29571.42857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25000.0</v>
      </c>
      <c r="E65" s="56">
        <v>25000.0</v>
      </c>
      <c r="F65" s="56">
        <v>25000.0</v>
      </c>
      <c r="G65" s="56">
        <v>30000.0</v>
      </c>
      <c r="H65" s="139" t="s">
        <v>26</v>
      </c>
      <c r="I65" s="69">
        <v>35000.0</v>
      </c>
      <c r="J65" s="102" t="s">
        <v>26</v>
      </c>
      <c r="K65" s="70">
        <f t="shared" si="13"/>
        <v>28000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40000.0</v>
      </c>
      <c r="F66" s="56">
        <v>35000.0</v>
      </c>
      <c r="G66" s="56">
        <v>40000.0</v>
      </c>
      <c r="H66" s="57">
        <v>35000.0</v>
      </c>
      <c r="I66" s="57">
        <v>40000.0</v>
      </c>
      <c r="J66" s="94">
        <v>35000.0</v>
      </c>
      <c r="K66" s="70">
        <f t="shared" si="13"/>
        <v>37142.85714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34000.0</v>
      </c>
      <c r="E70" s="56">
        <v>35000.0</v>
      </c>
      <c r="F70" s="56">
        <v>36000.0</v>
      </c>
      <c r="G70" s="56">
        <v>35000.0</v>
      </c>
      <c r="H70" s="57">
        <v>34000.0</v>
      </c>
      <c r="I70" s="57">
        <v>38000.0</v>
      </c>
      <c r="J70" s="94">
        <v>35000.0</v>
      </c>
      <c r="K70" s="70">
        <f t="shared" ref="K70:K73" si="14">AVERAGE(D70:J70)</f>
        <v>35285.71429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34000.0</v>
      </c>
      <c r="G71" s="56">
        <v>30000.0</v>
      </c>
      <c r="H71" s="57">
        <v>32000.0</v>
      </c>
      <c r="I71" s="57">
        <v>35000.0</v>
      </c>
      <c r="J71" s="94">
        <v>28000.0</v>
      </c>
      <c r="K71" s="70">
        <f t="shared" si="14"/>
        <v>32285.71429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38000.0</v>
      </c>
      <c r="G72" s="56">
        <v>40000.0</v>
      </c>
      <c r="H72" s="57">
        <v>32000.0</v>
      </c>
      <c r="I72" s="57">
        <v>35000.0</v>
      </c>
      <c r="J72" s="94">
        <v>33000.0</v>
      </c>
      <c r="K72" s="70">
        <f t="shared" si="14"/>
        <v>35428.57143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36000.0</v>
      </c>
      <c r="E73" s="65">
        <v>42000.0</v>
      </c>
      <c r="F73" s="66">
        <v>40000.0</v>
      </c>
      <c r="G73" s="66">
        <v>50000.0</v>
      </c>
      <c r="H73" s="57">
        <v>40000.0</v>
      </c>
      <c r="I73" s="68">
        <v>50000.0</v>
      </c>
      <c r="J73" s="102">
        <v>30000.0</v>
      </c>
      <c r="K73" s="70">
        <f t="shared" si="14"/>
        <v>41142.85714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7000.0</v>
      </c>
      <c r="J75" s="102">
        <v>5000.0</v>
      </c>
      <c r="K75" s="70">
        <f t="shared" ref="K75:K76" si="15">AVERAGE(D75:J75)</f>
        <v>5714.285714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7000.0</v>
      </c>
      <c r="J76" s="112">
        <v>6000.0</v>
      </c>
      <c r="K76" s="70">
        <f t="shared" si="15"/>
        <v>6000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7000.0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7571.428571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22000.0</v>
      </c>
      <c r="F79" s="56">
        <v>16000.0</v>
      </c>
      <c r="G79" s="56">
        <v>15000.0</v>
      </c>
      <c r="H79" s="57">
        <v>10000.0</v>
      </c>
      <c r="I79" s="69">
        <v>15000.0</v>
      </c>
      <c r="J79" s="94">
        <v>15000.0</v>
      </c>
      <c r="K79" s="70">
        <f t="shared" si="16"/>
        <v>15285.71429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15000.0</v>
      </c>
      <c r="F80" s="56">
        <v>15000.0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15000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14000.0</v>
      </c>
      <c r="G81" s="56">
        <v>15000.0</v>
      </c>
      <c r="H81" s="57">
        <v>10000.0</v>
      </c>
      <c r="I81" s="69">
        <v>15000.0</v>
      </c>
      <c r="J81" s="94">
        <v>13000.0</v>
      </c>
      <c r="K81" s="70">
        <f t="shared" si="16"/>
        <v>14000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14000.0</v>
      </c>
      <c r="F82" s="56">
        <v>12000.0</v>
      </c>
      <c r="G82" s="56">
        <v>13000.0</v>
      </c>
      <c r="H82" s="57">
        <v>10000.0</v>
      </c>
      <c r="I82" s="57">
        <v>14000.0</v>
      </c>
      <c r="J82" s="94">
        <v>10000.0</v>
      </c>
      <c r="K82" s="70">
        <f t="shared" si="16"/>
        <v>11714.28571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12000.0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9428.571429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1500.0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1666.666667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139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13500.0</v>
      </c>
      <c r="F8" s="56">
        <v>13000.0</v>
      </c>
      <c r="G8" s="56">
        <v>13000.0</v>
      </c>
      <c r="H8" s="56">
        <v>12000.0</v>
      </c>
      <c r="I8" s="57">
        <v>13500.0</v>
      </c>
      <c r="J8" s="58">
        <v>13500.0</v>
      </c>
      <c r="K8" s="60">
        <f t="shared" ref="K8:K12" si="1">AVERAGE(D8:J8)</f>
        <v>13071.42857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11500.0</v>
      </c>
      <c r="F10" s="65">
        <v>11000.0</v>
      </c>
      <c r="G10" s="66">
        <v>11000.0</v>
      </c>
      <c r="H10" s="68" t="s">
        <v>26</v>
      </c>
      <c r="I10" s="68">
        <v>10000.0</v>
      </c>
      <c r="J10" s="69">
        <v>12500.0</v>
      </c>
      <c r="K10" s="70">
        <f t="shared" si="1"/>
        <v>11166.66667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18000.0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19000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13500.0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13428.57143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18000.0</v>
      </c>
      <c r="J15" s="94">
        <v>16000.0</v>
      </c>
      <c r="K15" s="70">
        <f t="shared" si="2"/>
        <v>15857.14286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16000.0</v>
      </c>
      <c r="F17" s="56">
        <v>15000.0</v>
      </c>
      <c r="G17" s="56">
        <v>16000.0</v>
      </c>
      <c r="H17" s="57">
        <v>14000.0</v>
      </c>
      <c r="I17" s="57">
        <v>15000.0</v>
      </c>
      <c r="J17" s="102">
        <v>15000.0</v>
      </c>
      <c r="K17" s="70">
        <f t="shared" ref="K17:K18" si="3">AVERAGE(D17:J17)</f>
        <v>15071.42857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37000.0</v>
      </c>
      <c r="E25" s="56">
        <v>36000.0</v>
      </c>
      <c r="F25" s="56">
        <v>37000.0</v>
      </c>
      <c r="G25" s="56">
        <v>37000.0</v>
      </c>
      <c r="H25" s="94">
        <v>38000.0</v>
      </c>
      <c r="I25" s="68">
        <v>35000.0</v>
      </c>
      <c r="J25" s="94">
        <v>40000.0</v>
      </c>
      <c r="K25" s="70">
        <f t="shared" si="4"/>
        <v>37142.85714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56">
        <v>40000.0</v>
      </c>
      <c r="F27" s="65" t="s">
        <v>26</v>
      </c>
      <c r="G27" s="56">
        <v>40000.0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36666.66667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25000.0</v>
      </c>
      <c r="E28" s="65">
        <v>28000.0</v>
      </c>
      <c r="F28" s="56">
        <v>30000.0</v>
      </c>
      <c r="G28" s="66">
        <v>35000.0</v>
      </c>
      <c r="H28" s="68">
        <v>23000.0</v>
      </c>
      <c r="I28" s="68">
        <v>28000.0</v>
      </c>
      <c r="J28" s="112">
        <v>24000.0</v>
      </c>
      <c r="K28" s="70">
        <f t="shared" si="5"/>
        <v>27571.42857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80000.0</v>
      </c>
      <c r="E29" s="65">
        <v>60000.0</v>
      </c>
      <c r="F29" s="66">
        <v>70000.0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65428.57143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35000.0</v>
      </c>
      <c r="E31" s="56">
        <v>35000.0</v>
      </c>
      <c r="F31" s="56">
        <v>40000.0</v>
      </c>
      <c r="G31" s="56">
        <v>35000.0</v>
      </c>
      <c r="H31" s="57">
        <v>28000.0</v>
      </c>
      <c r="I31" s="68">
        <v>36000.0</v>
      </c>
      <c r="J31" s="94">
        <v>35000.0</v>
      </c>
      <c r="K31" s="70">
        <f t="shared" si="5"/>
        <v>34857.14286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95000.0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91666.66667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30000.0</v>
      </c>
      <c r="E34" s="56">
        <v>30000.0</v>
      </c>
      <c r="F34" s="56">
        <v>32000.0</v>
      </c>
      <c r="G34" s="56">
        <v>30000.0</v>
      </c>
      <c r="H34" s="57">
        <v>29000.0</v>
      </c>
      <c r="I34" s="57">
        <v>28000.0</v>
      </c>
      <c r="J34" s="94">
        <v>30000.0</v>
      </c>
      <c r="K34" s="70">
        <f t="shared" ref="K34:K35" si="6">AVERAGE(D34:J34)</f>
        <v>29857.14286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2500.0</v>
      </c>
      <c r="G35" s="56">
        <v>2500.0</v>
      </c>
      <c r="H35" s="57">
        <v>2000.0</v>
      </c>
      <c r="I35" s="57">
        <v>2500.0</v>
      </c>
      <c r="J35" s="94">
        <v>3000.0</v>
      </c>
      <c r="K35" s="70">
        <f t="shared" si="6"/>
        <v>2528.571429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12000.0</v>
      </c>
      <c r="J37" s="94">
        <v>9000.0</v>
      </c>
      <c r="K37" s="70">
        <f t="shared" ref="K37:K38" si="7">AVERAGE(D37:J37)</f>
        <v>10714.28571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15000.0</v>
      </c>
      <c r="J40" s="94">
        <v>15000.0</v>
      </c>
      <c r="K40" s="70">
        <f t="shared" ref="K40:K42" si="8">AVERAGE(D40:J40)</f>
        <v>15600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10000.0</v>
      </c>
      <c r="G55" s="56">
        <v>11000.0</v>
      </c>
      <c r="H55" s="57">
        <v>11000.0</v>
      </c>
      <c r="I55" s="57">
        <v>11000.0</v>
      </c>
      <c r="J55" s="94">
        <v>10000.0</v>
      </c>
      <c r="K55" s="70">
        <f>AVERAGE(D55:J55)</f>
        <v>10785.71429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16000.0</v>
      </c>
      <c r="H57" s="57">
        <v>13000.0</v>
      </c>
      <c r="I57" s="68">
        <v>16000.0</v>
      </c>
      <c r="J57" s="102" t="s">
        <v>26</v>
      </c>
      <c r="K57" s="70">
        <f t="shared" ref="K57:K60" si="12">AVERAGE(D57:J57)</f>
        <v>15166.66667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26000.0</v>
      </c>
      <c r="J59" s="102">
        <v>26000.0</v>
      </c>
      <c r="K59" s="70">
        <f t="shared" si="12"/>
        <v>25142.85714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31000.0</v>
      </c>
      <c r="G60" s="56">
        <v>30000.0</v>
      </c>
      <c r="H60" s="57">
        <v>26000.0</v>
      </c>
      <c r="I60" s="57">
        <v>29000.0</v>
      </c>
      <c r="J60" s="102">
        <v>28000.0</v>
      </c>
      <c r="K60" s="70">
        <f t="shared" si="12"/>
        <v>29142.85714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32000.0</v>
      </c>
      <c r="E64" s="56">
        <v>30000.0</v>
      </c>
      <c r="F64" s="56">
        <v>30000.0</v>
      </c>
      <c r="G64" s="56">
        <v>30000.0</v>
      </c>
      <c r="H64" s="57">
        <v>25000.0</v>
      </c>
      <c r="I64" s="57">
        <v>35000.0</v>
      </c>
      <c r="J64" s="94">
        <v>30000.0</v>
      </c>
      <c r="K64" s="70">
        <f t="shared" ref="K64:K66" si="13">AVERAGE(D64:J64)</f>
        <v>30285.71429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25000.0</v>
      </c>
      <c r="E65" s="56">
        <v>25000.0</v>
      </c>
      <c r="F65" s="56">
        <v>25000.0</v>
      </c>
      <c r="G65" s="56">
        <v>30000.0</v>
      </c>
      <c r="H65" s="139" t="s">
        <v>26</v>
      </c>
      <c r="I65" s="69">
        <v>35000.0</v>
      </c>
      <c r="J65" s="102" t="s">
        <v>26</v>
      </c>
      <c r="K65" s="70">
        <f t="shared" si="13"/>
        <v>28000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40000.0</v>
      </c>
      <c r="E66" s="56">
        <v>40000.0</v>
      </c>
      <c r="F66" s="56">
        <v>35000.0</v>
      </c>
      <c r="G66" s="56">
        <v>35000.0</v>
      </c>
      <c r="H66" s="57">
        <v>35000.0</v>
      </c>
      <c r="I66" s="57">
        <v>45000.0</v>
      </c>
      <c r="J66" s="94">
        <v>35000.0</v>
      </c>
      <c r="K66" s="70">
        <f t="shared" si="13"/>
        <v>37857.14286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34000.0</v>
      </c>
      <c r="E70" s="56">
        <v>35000.0</v>
      </c>
      <c r="F70" s="56">
        <v>36000.0</v>
      </c>
      <c r="G70" s="56">
        <v>35000.0</v>
      </c>
      <c r="H70" s="57">
        <v>33000.0</v>
      </c>
      <c r="I70" s="57">
        <v>35000.0</v>
      </c>
      <c r="J70" s="94">
        <v>35000.0</v>
      </c>
      <c r="K70" s="70">
        <f t="shared" ref="K70:K73" si="14">AVERAGE(D70:J70)</f>
        <v>34714.28571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34000.0</v>
      </c>
      <c r="G71" s="56">
        <v>30000.0</v>
      </c>
      <c r="H71" s="57">
        <v>33000.0</v>
      </c>
      <c r="I71" s="57">
        <v>30000.0</v>
      </c>
      <c r="J71" s="94">
        <v>28000.0</v>
      </c>
      <c r="K71" s="70">
        <f t="shared" si="14"/>
        <v>31714.28571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38000.0</v>
      </c>
      <c r="G72" s="56">
        <v>40000.0</v>
      </c>
      <c r="H72" s="57">
        <v>30000.0</v>
      </c>
      <c r="I72" s="57">
        <v>35000.0</v>
      </c>
      <c r="J72" s="94">
        <v>33000.0</v>
      </c>
      <c r="K72" s="70">
        <f t="shared" si="14"/>
        <v>35142.85714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36000.0</v>
      </c>
      <c r="E73" s="65">
        <v>42000.0</v>
      </c>
      <c r="F73" s="66">
        <v>40000.0</v>
      </c>
      <c r="G73" s="66">
        <v>50000.0</v>
      </c>
      <c r="H73" s="57">
        <v>40000.0</v>
      </c>
      <c r="I73" s="68">
        <v>50000.0</v>
      </c>
      <c r="J73" s="102">
        <v>30000.0</v>
      </c>
      <c r="K73" s="70">
        <f t="shared" si="14"/>
        <v>41142.85714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7000.0</v>
      </c>
      <c r="J75" s="102">
        <v>5000.0</v>
      </c>
      <c r="K75" s="70">
        <f t="shared" ref="K75:K76" si="15">AVERAGE(D75:J75)</f>
        <v>5714.285714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7000.0</v>
      </c>
      <c r="J76" s="112">
        <v>6000.0</v>
      </c>
      <c r="K76" s="70">
        <f t="shared" si="15"/>
        <v>6000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7000.0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7571.428571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22000.0</v>
      </c>
      <c r="F79" s="56">
        <v>16000.0</v>
      </c>
      <c r="G79" s="56">
        <v>15000.0</v>
      </c>
      <c r="H79" s="57">
        <v>10000.0</v>
      </c>
      <c r="I79" s="69">
        <v>15000.0</v>
      </c>
      <c r="J79" s="94">
        <v>15000.0</v>
      </c>
      <c r="K79" s="70">
        <f t="shared" si="16"/>
        <v>15285.71429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15000.0</v>
      </c>
      <c r="F80" s="56">
        <v>15000.0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15000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14000.0</v>
      </c>
      <c r="G81" s="56">
        <v>15000.0</v>
      </c>
      <c r="H81" s="57">
        <v>10000.0</v>
      </c>
      <c r="I81" s="69">
        <v>15000.0</v>
      </c>
      <c r="J81" s="94">
        <v>13000.0</v>
      </c>
      <c r="K81" s="70">
        <f t="shared" si="16"/>
        <v>14000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14000.0</v>
      </c>
      <c r="F82" s="56">
        <v>12000.0</v>
      </c>
      <c r="G82" s="56">
        <v>13000.0</v>
      </c>
      <c r="H82" s="57">
        <v>10000.0</v>
      </c>
      <c r="I82" s="57">
        <v>14000.0</v>
      </c>
      <c r="J82" s="94">
        <v>10000.0</v>
      </c>
      <c r="K82" s="70">
        <f t="shared" si="16"/>
        <v>11714.28571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12000.0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9428.571429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2000.0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140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224"/>
      <c r="E7" s="225"/>
      <c r="F7" s="44"/>
      <c r="G7" s="226"/>
      <c r="H7" s="47" t="s">
        <v>7</v>
      </c>
      <c r="I7" s="227"/>
      <c r="J7" s="228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13500.0</v>
      </c>
      <c r="F8" s="56">
        <v>13000.0</v>
      </c>
      <c r="G8" s="56">
        <v>13000.0</v>
      </c>
      <c r="H8" s="56">
        <v>12000.0</v>
      </c>
      <c r="I8" s="57">
        <v>13000.0</v>
      </c>
      <c r="J8" s="58">
        <v>13500.0</v>
      </c>
      <c r="K8" s="60">
        <f t="shared" ref="K8:K12" si="1">AVERAGE(D8:J8)</f>
        <v>13000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11500.0</v>
      </c>
      <c r="F10" s="65">
        <v>11000.0</v>
      </c>
      <c r="G10" s="66">
        <v>11000.0</v>
      </c>
      <c r="H10" s="68" t="s">
        <v>26</v>
      </c>
      <c r="I10" s="68">
        <v>12000.0</v>
      </c>
      <c r="J10" s="69">
        <v>12500.0</v>
      </c>
      <c r="K10" s="70">
        <f t="shared" si="1"/>
        <v>11500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18000.0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19000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13500.0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13428.57143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16000.0</v>
      </c>
      <c r="J15" s="94">
        <v>16000.0</v>
      </c>
      <c r="K15" s="70">
        <f t="shared" si="2"/>
        <v>15571.42857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16000.0</v>
      </c>
      <c r="F17" s="56">
        <v>15000.0</v>
      </c>
      <c r="G17" s="56">
        <v>16000.0</v>
      </c>
      <c r="H17" s="57">
        <v>14000.0</v>
      </c>
      <c r="I17" s="57">
        <v>16000.0</v>
      </c>
      <c r="J17" s="102">
        <v>15000.0</v>
      </c>
      <c r="K17" s="70">
        <f t="shared" ref="K17:K18" si="3">AVERAGE(D17:J17)</f>
        <v>15214.28571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36000.0</v>
      </c>
      <c r="E25" s="56">
        <v>36000.0</v>
      </c>
      <c r="F25" s="56">
        <v>37000.0</v>
      </c>
      <c r="G25" s="56">
        <v>37000.0</v>
      </c>
      <c r="H25" s="94">
        <v>36000.0</v>
      </c>
      <c r="I25" s="68">
        <v>35000.0</v>
      </c>
      <c r="J25" s="94">
        <v>38000.0</v>
      </c>
      <c r="K25" s="70">
        <f t="shared" si="4"/>
        <v>36428.57143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56">
        <v>40000.0</v>
      </c>
      <c r="F27" s="65" t="s">
        <v>26</v>
      </c>
      <c r="G27" s="56">
        <v>40000.0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36666.66667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23000.0</v>
      </c>
      <c r="E28" s="65">
        <v>28000.0</v>
      </c>
      <c r="F28" s="56">
        <v>30000.0</v>
      </c>
      <c r="G28" s="66">
        <v>30000.0</v>
      </c>
      <c r="H28" s="68">
        <v>23000.0</v>
      </c>
      <c r="I28" s="68">
        <v>24000.0</v>
      </c>
      <c r="J28" s="112">
        <v>24000.0</v>
      </c>
      <c r="K28" s="70">
        <f t="shared" si="5"/>
        <v>26000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60000.0</v>
      </c>
      <c r="E29" s="65">
        <v>60000.0</v>
      </c>
      <c r="F29" s="66">
        <v>70000.0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62571.42857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40000.0</v>
      </c>
      <c r="E31" s="56">
        <v>35000.0</v>
      </c>
      <c r="F31" s="56">
        <v>40000.0</v>
      </c>
      <c r="G31" s="56">
        <v>35000.0</v>
      </c>
      <c r="H31" s="57">
        <v>28000.0</v>
      </c>
      <c r="I31" s="68">
        <v>35000.0</v>
      </c>
      <c r="J31" s="94">
        <v>35000.0</v>
      </c>
      <c r="K31" s="70">
        <f t="shared" si="5"/>
        <v>35428.57143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95000.0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91666.66667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30000.0</v>
      </c>
      <c r="E34" s="56">
        <v>30000.0</v>
      </c>
      <c r="F34" s="56">
        <v>31000.0</v>
      </c>
      <c r="G34" s="56">
        <v>30000.0</v>
      </c>
      <c r="H34" s="57">
        <v>29000.0</v>
      </c>
      <c r="I34" s="57">
        <v>29000.0</v>
      </c>
      <c r="J34" s="94">
        <v>30000.0</v>
      </c>
      <c r="K34" s="70">
        <f t="shared" ref="K34:K35" si="6">AVERAGE(D34:J34)</f>
        <v>29857.14286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2500.0</v>
      </c>
      <c r="G35" s="56">
        <v>2500.0</v>
      </c>
      <c r="H35" s="57">
        <v>2000.0</v>
      </c>
      <c r="I35" s="57">
        <v>2500.0</v>
      </c>
      <c r="J35" s="94">
        <v>3000.0</v>
      </c>
      <c r="K35" s="70">
        <f t="shared" si="6"/>
        <v>2528.571429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7000.0</v>
      </c>
      <c r="J37" s="94">
        <v>9000.0</v>
      </c>
      <c r="K37" s="70">
        <f t="shared" ref="K37:K38" si="7">AVERAGE(D37:J37)</f>
        <v>10000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7000.0</v>
      </c>
      <c r="J40" s="94">
        <v>15000.0</v>
      </c>
      <c r="K40" s="70">
        <f t="shared" ref="K40:K42" si="8">AVERAGE(D40:J40)</f>
        <v>14000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11000.0</v>
      </c>
      <c r="G55" s="56">
        <v>11000.0</v>
      </c>
      <c r="H55" s="57">
        <v>11000.0</v>
      </c>
      <c r="I55" s="57">
        <v>14000.0</v>
      </c>
      <c r="J55" s="94">
        <v>10000.0</v>
      </c>
      <c r="K55" s="70">
        <f>AVERAGE(D55:J55)</f>
        <v>11357.14286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16000.0</v>
      </c>
      <c r="H57" s="57">
        <v>13000.0</v>
      </c>
      <c r="I57" s="68">
        <v>14000.0</v>
      </c>
      <c r="J57" s="102" t="s">
        <v>26</v>
      </c>
      <c r="K57" s="70">
        <f t="shared" ref="K57:K60" si="12">AVERAGE(D57:J57)</f>
        <v>14833.33333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25000.0</v>
      </c>
      <c r="J59" s="102">
        <v>26000.0</v>
      </c>
      <c r="K59" s="70">
        <f t="shared" si="12"/>
        <v>25000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31000.0</v>
      </c>
      <c r="G60" s="56">
        <v>30000.0</v>
      </c>
      <c r="H60" s="57">
        <v>26000.0</v>
      </c>
      <c r="I60" s="57">
        <v>27000.0</v>
      </c>
      <c r="J60" s="102">
        <v>28000.0</v>
      </c>
      <c r="K60" s="70">
        <f t="shared" si="12"/>
        <v>28857.14286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30000.0</v>
      </c>
      <c r="E64" s="56">
        <v>30000.0</v>
      </c>
      <c r="F64" s="56">
        <v>30000.0</v>
      </c>
      <c r="G64" s="56">
        <v>30000.0</v>
      </c>
      <c r="H64" s="57">
        <v>25000.0</v>
      </c>
      <c r="I64" s="57">
        <v>35000.0</v>
      </c>
      <c r="J64" s="94">
        <v>30000.0</v>
      </c>
      <c r="K64" s="70">
        <f t="shared" ref="K64:K66" si="13">AVERAGE(D64:J64)</f>
        <v>30000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25000.0</v>
      </c>
      <c r="E65" s="56">
        <v>25000.0</v>
      </c>
      <c r="F65" s="56">
        <v>25000.0</v>
      </c>
      <c r="G65" s="56">
        <v>30000.0</v>
      </c>
      <c r="H65" s="139" t="s">
        <v>26</v>
      </c>
      <c r="I65" s="69">
        <v>35000.0</v>
      </c>
      <c r="J65" s="102" t="s">
        <v>26</v>
      </c>
      <c r="K65" s="70">
        <f t="shared" si="13"/>
        <v>28000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40000.0</v>
      </c>
      <c r="F66" s="56">
        <v>35000.0</v>
      </c>
      <c r="G66" s="56">
        <v>35000.0</v>
      </c>
      <c r="H66" s="57">
        <v>30000.0</v>
      </c>
      <c r="I66" s="57">
        <v>40000.0</v>
      </c>
      <c r="J66" s="94">
        <v>35000.0</v>
      </c>
      <c r="K66" s="70">
        <f t="shared" si="13"/>
        <v>35714.28571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34000.0</v>
      </c>
      <c r="E70" s="56">
        <v>35000.0</v>
      </c>
      <c r="F70" s="56">
        <v>36000.0</v>
      </c>
      <c r="G70" s="56">
        <v>35000.0</v>
      </c>
      <c r="H70" s="57">
        <v>33000.0</v>
      </c>
      <c r="I70" s="57">
        <v>35000.0</v>
      </c>
      <c r="J70" s="94">
        <v>35000.0</v>
      </c>
      <c r="K70" s="70">
        <f t="shared" ref="K70:K73" si="14">AVERAGE(D70:J70)</f>
        <v>34714.28571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34000.0</v>
      </c>
      <c r="G71" s="56">
        <v>30000.0</v>
      </c>
      <c r="H71" s="57">
        <v>33000.0</v>
      </c>
      <c r="I71" s="57">
        <v>30000.0</v>
      </c>
      <c r="J71" s="94">
        <v>28000.0</v>
      </c>
      <c r="K71" s="70">
        <f t="shared" si="14"/>
        <v>31714.28571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38000.0</v>
      </c>
      <c r="G72" s="56">
        <v>40000.0</v>
      </c>
      <c r="H72" s="57">
        <v>30000.0</v>
      </c>
      <c r="I72" s="57">
        <v>35000.0</v>
      </c>
      <c r="J72" s="94">
        <v>33000.0</v>
      </c>
      <c r="K72" s="70">
        <f t="shared" si="14"/>
        <v>35142.85714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36000.0</v>
      </c>
      <c r="E73" s="65">
        <v>40000.0</v>
      </c>
      <c r="F73" s="66">
        <v>40000.0</v>
      </c>
      <c r="G73" s="66">
        <v>40000.0</v>
      </c>
      <c r="H73" s="57">
        <v>40000.0</v>
      </c>
      <c r="I73" s="68">
        <v>50000.0</v>
      </c>
      <c r="J73" s="102">
        <v>30000.0</v>
      </c>
      <c r="K73" s="70">
        <f t="shared" si="14"/>
        <v>39428.57143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5000.0</v>
      </c>
      <c r="J75" s="102">
        <v>5000.0</v>
      </c>
      <c r="K75" s="70">
        <f t="shared" ref="K75:K76" si="15">AVERAGE(D75:J75)</f>
        <v>5428.571429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5000.0</v>
      </c>
      <c r="J76" s="112">
        <v>6000.0</v>
      </c>
      <c r="K76" s="70">
        <f t="shared" si="15"/>
        <v>5666.666667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7000.0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7571.428571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12000.0</v>
      </c>
      <c r="F79" s="56">
        <v>16000.0</v>
      </c>
      <c r="G79" s="56">
        <v>15000.0</v>
      </c>
      <c r="H79" s="57">
        <v>10000.0</v>
      </c>
      <c r="I79" s="69">
        <v>15000.0</v>
      </c>
      <c r="J79" s="94">
        <v>15000.0</v>
      </c>
      <c r="K79" s="70">
        <f t="shared" si="16"/>
        <v>13857.14286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16000.0</v>
      </c>
      <c r="F80" s="56">
        <v>15000.0</v>
      </c>
      <c r="G80" s="56">
        <v>16000.0</v>
      </c>
      <c r="H80" s="57">
        <v>15000.0</v>
      </c>
      <c r="I80" s="57">
        <v>16000.0</v>
      </c>
      <c r="J80" s="94">
        <v>13000.0</v>
      </c>
      <c r="K80" s="70">
        <f t="shared" si="16"/>
        <v>15000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14000.0</v>
      </c>
      <c r="G81" s="56">
        <v>15000.0</v>
      </c>
      <c r="H81" s="57">
        <v>10000.0</v>
      </c>
      <c r="I81" s="69">
        <v>15000.0</v>
      </c>
      <c r="J81" s="94">
        <v>13000.0</v>
      </c>
      <c r="K81" s="70">
        <f t="shared" si="16"/>
        <v>14000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12000.0</v>
      </c>
      <c r="G82" s="56">
        <v>13000.0</v>
      </c>
      <c r="H82" s="57">
        <v>10000.0</v>
      </c>
      <c r="I82" s="57">
        <v>12000.0</v>
      </c>
      <c r="J82" s="94">
        <v>10000.0</v>
      </c>
      <c r="K82" s="70">
        <f t="shared" si="16"/>
        <v>10857.14286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10000.0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9142.857143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2000.0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141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13000.0</v>
      </c>
      <c r="F8" s="56">
        <v>13500.0</v>
      </c>
      <c r="G8" s="56">
        <v>13000.0</v>
      </c>
      <c r="H8" s="56">
        <v>12000.0</v>
      </c>
      <c r="I8" s="57">
        <v>13500.0</v>
      </c>
      <c r="J8" s="58">
        <v>13500.0</v>
      </c>
      <c r="K8" s="60">
        <f t="shared" ref="K8:K12" si="1">AVERAGE(D8:J8)</f>
        <v>13071.42857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11000.0</v>
      </c>
      <c r="F10" s="65">
        <v>11000.0</v>
      </c>
      <c r="G10" s="66">
        <v>11000.0</v>
      </c>
      <c r="H10" s="68" t="s">
        <v>26</v>
      </c>
      <c r="I10" s="68">
        <v>10000.0</v>
      </c>
      <c r="J10" s="69">
        <v>12500.0</v>
      </c>
      <c r="K10" s="70">
        <f t="shared" si="1"/>
        <v>11083.33333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24000.0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20200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13000.0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13357.14286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16000.0</v>
      </c>
      <c r="J15" s="94">
        <v>16000.0</v>
      </c>
      <c r="K15" s="70">
        <f t="shared" si="2"/>
        <v>15571.42857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15000.0</v>
      </c>
      <c r="F17" s="56">
        <v>16000.0</v>
      </c>
      <c r="G17" s="56">
        <v>16000.0</v>
      </c>
      <c r="H17" s="57">
        <v>14000.0</v>
      </c>
      <c r="I17" s="57">
        <v>16000.0</v>
      </c>
      <c r="J17" s="102">
        <v>15000.0</v>
      </c>
      <c r="K17" s="70">
        <f t="shared" ref="K17:K18" si="3">AVERAGE(D17:J17)</f>
        <v>15214.28571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36000.0</v>
      </c>
      <c r="E25" s="56">
        <v>36000.0</v>
      </c>
      <c r="F25" s="56">
        <v>35000.0</v>
      </c>
      <c r="G25" s="56">
        <v>37000.0</v>
      </c>
      <c r="H25" s="94">
        <v>36000.0</v>
      </c>
      <c r="I25" s="68">
        <v>35000.0</v>
      </c>
      <c r="J25" s="94">
        <v>38000.0</v>
      </c>
      <c r="K25" s="70">
        <f t="shared" si="4"/>
        <v>36142.85714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56">
        <v>40000.0</v>
      </c>
      <c r="F27" s="65" t="s">
        <v>26</v>
      </c>
      <c r="G27" s="56">
        <v>40000.0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36666.66667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23000.0</v>
      </c>
      <c r="E28" s="65">
        <v>28000.0</v>
      </c>
      <c r="F28" s="56">
        <v>30000.0</v>
      </c>
      <c r="G28" s="66">
        <v>30000.0</v>
      </c>
      <c r="H28" s="68">
        <v>23000.0</v>
      </c>
      <c r="I28" s="68">
        <v>28000.0</v>
      </c>
      <c r="J28" s="112">
        <v>24000.0</v>
      </c>
      <c r="K28" s="70">
        <f t="shared" si="5"/>
        <v>26571.42857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60000.0</v>
      </c>
      <c r="E29" s="65">
        <v>60000.0</v>
      </c>
      <c r="F29" s="66">
        <v>60000.0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61142.85714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40000.0</v>
      </c>
      <c r="E31" s="56">
        <v>35000.0</v>
      </c>
      <c r="F31" s="56">
        <v>40000.0</v>
      </c>
      <c r="G31" s="56">
        <v>35000.0</v>
      </c>
      <c r="H31" s="57">
        <v>28000.0</v>
      </c>
      <c r="I31" s="68">
        <v>42000.0</v>
      </c>
      <c r="J31" s="94">
        <v>35000.0</v>
      </c>
      <c r="K31" s="70">
        <f t="shared" si="5"/>
        <v>36428.57143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110000.0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30000.0</v>
      </c>
      <c r="E34" s="56">
        <v>30000.0</v>
      </c>
      <c r="F34" s="56">
        <v>30000.0</v>
      </c>
      <c r="G34" s="56">
        <v>30000.0</v>
      </c>
      <c r="H34" s="57">
        <v>29000.0</v>
      </c>
      <c r="I34" s="57">
        <v>30000.0</v>
      </c>
      <c r="J34" s="94">
        <v>30000.0</v>
      </c>
      <c r="K34" s="70">
        <f t="shared" ref="K34:K35" si="6">AVERAGE(D34:J34)</f>
        <v>29857.14286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2000.0</v>
      </c>
      <c r="G35" s="56">
        <v>2500.0</v>
      </c>
      <c r="H35" s="57">
        <v>2000.0</v>
      </c>
      <c r="I35" s="57">
        <v>2500.0</v>
      </c>
      <c r="J35" s="94">
        <v>3000.0</v>
      </c>
      <c r="K35" s="70">
        <f t="shared" si="6"/>
        <v>2457.142857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7000.0</v>
      </c>
      <c r="J37" s="94">
        <v>9000.0</v>
      </c>
      <c r="K37" s="70">
        <f t="shared" ref="K37:K38" si="7">AVERAGE(D37:J37)</f>
        <v>10000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7000.0</v>
      </c>
      <c r="J40" s="94">
        <v>15000.0</v>
      </c>
      <c r="K40" s="70">
        <f t="shared" ref="K40:K42" si="8">AVERAGE(D40:J40)</f>
        <v>14000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12000.0</v>
      </c>
      <c r="G55" s="56">
        <v>11000.0</v>
      </c>
      <c r="H55" s="57">
        <v>11000.0</v>
      </c>
      <c r="I55" s="57">
        <v>14000.0</v>
      </c>
      <c r="J55" s="94">
        <v>10000.0</v>
      </c>
      <c r="K55" s="70">
        <f>AVERAGE(D55:J55)</f>
        <v>11500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16000.0</v>
      </c>
      <c r="H57" s="57">
        <v>13000.0</v>
      </c>
      <c r="I57" s="68">
        <v>14000.0</v>
      </c>
      <c r="J57" s="102" t="s">
        <v>26</v>
      </c>
      <c r="K57" s="70">
        <f t="shared" ref="K57:K60" si="12">AVERAGE(D57:J57)</f>
        <v>14833.33333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25000.0</v>
      </c>
      <c r="J59" s="102">
        <v>26000.0</v>
      </c>
      <c r="K59" s="70">
        <f t="shared" si="12"/>
        <v>25000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31000.0</v>
      </c>
      <c r="G60" s="56">
        <v>30000.0</v>
      </c>
      <c r="H60" s="57">
        <v>26000.0</v>
      </c>
      <c r="I60" s="57">
        <v>27000.0</v>
      </c>
      <c r="J60" s="102">
        <v>28000.0</v>
      </c>
      <c r="K60" s="70">
        <f t="shared" si="12"/>
        <v>28857.14286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30000.0</v>
      </c>
      <c r="E64" s="56">
        <v>30000.0</v>
      </c>
      <c r="F64" s="56">
        <v>28000.0</v>
      </c>
      <c r="G64" s="56">
        <v>30000.0</v>
      </c>
      <c r="H64" s="57">
        <v>25000.0</v>
      </c>
      <c r="I64" s="57">
        <v>35000.0</v>
      </c>
      <c r="J64" s="94">
        <v>30000.0</v>
      </c>
      <c r="K64" s="70">
        <f t="shared" ref="K64:K66" si="13">AVERAGE(D64:J64)</f>
        <v>29714.28571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25000.0</v>
      </c>
      <c r="E65" s="56">
        <v>25000.0</v>
      </c>
      <c r="F65" s="56">
        <v>25000.0</v>
      </c>
      <c r="G65" s="56">
        <v>30000.0</v>
      </c>
      <c r="H65" s="139" t="s">
        <v>26</v>
      </c>
      <c r="I65" s="69">
        <v>35000.0</v>
      </c>
      <c r="J65" s="102" t="s">
        <v>26</v>
      </c>
      <c r="K65" s="70">
        <f t="shared" si="13"/>
        <v>28000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35000.0</v>
      </c>
      <c r="F66" s="56">
        <v>32000.0</v>
      </c>
      <c r="G66" s="56">
        <v>35000.0</v>
      </c>
      <c r="H66" s="57">
        <v>30000.0</v>
      </c>
      <c r="I66" s="57">
        <v>40000.0</v>
      </c>
      <c r="J66" s="94">
        <v>35000.0</v>
      </c>
      <c r="K66" s="70">
        <f t="shared" si="13"/>
        <v>34571.42857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34000.0</v>
      </c>
      <c r="E70" s="56">
        <v>35000.0</v>
      </c>
      <c r="F70" s="56">
        <v>34000.0</v>
      </c>
      <c r="G70" s="56">
        <v>35000.0</v>
      </c>
      <c r="H70" s="57">
        <v>33000.0</v>
      </c>
      <c r="I70" s="57">
        <v>35000.0</v>
      </c>
      <c r="J70" s="94">
        <v>35000.0</v>
      </c>
      <c r="K70" s="70">
        <f t="shared" ref="K70:K73" si="14">AVERAGE(D70:J70)</f>
        <v>34428.57143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30000.0</v>
      </c>
      <c r="G71" s="56">
        <v>30000.0</v>
      </c>
      <c r="H71" s="57">
        <v>33000.0</v>
      </c>
      <c r="I71" s="57">
        <v>30000.0</v>
      </c>
      <c r="J71" s="94">
        <v>28000.0</v>
      </c>
      <c r="K71" s="70">
        <f t="shared" si="14"/>
        <v>31142.85714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32000.0</v>
      </c>
      <c r="G72" s="56">
        <v>40000.0</v>
      </c>
      <c r="H72" s="57">
        <v>30000.0</v>
      </c>
      <c r="I72" s="57">
        <v>35000.0</v>
      </c>
      <c r="J72" s="94">
        <v>33000.0</v>
      </c>
      <c r="K72" s="70">
        <f t="shared" si="14"/>
        <v>34285.71429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36000.0</v>
      </c>
      <c r="E73" s="65">
        <v>40000.0</v>
      </c>
      <c r="F73" s="66">
        <v>40000.0</v>
      </c>
      <c r="G73" s="66">
        <v>40000.0</v>
      </c>
      <c r="H73" s="57">
        <v>40000.0</v>
      </c>
      <c r="I73" s="68">
        <v>50000.0</v>
      </c>
      <c r="J73" s="102">
        <v>30000.0</v>
      </c>
      <c r="K73" s="70">
        <f t="shared" si="14"/>
        <v>39428.57143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5000.0</v>
      </c>
      <c r="J75" s="102">
        <v>5000.0</v>
      </c>
      <c r="K75" s="70">
        <f t="shared" ref="K75:K76" si="15">AVERAGE(D75:J75)</f>
        <v>5428.571429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5000.0</v>
      </c>
      <c r="J76" s="112">
        <v>6000.0</v>
      </c>
      <c r="K76" s="70">
        <f t="shared" si="15"/>
        <v>5666.666667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8000.0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7714.285714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12000.0</v>
      </c>
      <c r="F79" s="56">
        <v>15000.0</v>
      </c>
      <c r="G79" s="56">
        <v>15000.0</v>
      </c>
      <c r="H79" s="57">
        <v>10000.0</v>
      </c>
      <c r="I79" s="69">
        <v>15000.0</v>
      </c>
      <c r="J79" s="94">
        <v>15000.0</v>
      </c>
      <c r="K79" s="70">
        <f t="shared" si="16"/>
        <v>13714.28571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16000.0</v>
      </c>
      <c r="F80" s="56">
        <v>16000.0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15285.71429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15000.0</v>
      </c>
      <c r="G81" s="56">
        <v>15000.0</v>
      </c>
      <c r="H81" s="57">
        <v>10000.0</v>
      </c>
      <c r="I81" s="69">
        <v>15000.0</v>
      </c>
      <c r="J81" s="94">
        <v>13000.0</v>
      </c>
      <c r="K81" s="70">
        <f t="shared" si="16"/>
        <v>14142.85714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13000.0</v>
      </c>
      <c r="G82" s="56">
        <v>13000.0</v>
      </c>
      <c r="H82" s="57">
        <v>10000.0</v>
      </c>
      <c r="I82" s="57">
        <v>14000.0</v>
      </c>
      <c r="J82" s="94">
        <v>10000.0</v>
      </c>
      <c r="K82" s="70">
        <f t="shared" si="16"/>
        <v>11285.71429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10000.0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9142.857143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2000.0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142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13000.0</v>
      </c>
      <c r="F8" s="56">
        <v>13000.0</v>
      </c>
      <c r="G8" s="56">
        <v>13000.0</v>
      </c>
      <c r="H8" s="56">
        <v>12000.0</v>
      </c>
      <c r="I8" s="57">
        <v>13500.0</v>
      </c>
      <c r="J8" s="58">
        <v>13500.0</v>
      </c>
      <c r="K8" s="60">
        <f t="shared" ref="K8:K12" si="1">AVERAGE(D8:J8)</f>
        <v>13000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11000.0</v>
      </c>
      <c r="F10" s="65">
        <v>11000.0</v>
      </c>
      <c r="G10" s="66">
        <v>10300.0</v>
      </c>
      <c r="H10" s="68" t="s">
        <v>26</v>
      </c>
      <c r="I10" s="68">
        <v>10000.0</v>
      </c>
      <c r="J10" s="69">
        <v>12500.0</v>
      </c>
      <c r="K10" s="70">
        <f t="shared" si="1"/>
        <v>10966.66667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24000.0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20200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13000.0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13357.14286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16000.0</v>
      </c>
      <c r="J15" s="94">
        <v>16000.0</v>
      </c>
      <c r="K15" s="70">
        <f t="shared" si="2"/>
        <v>15571.42857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15000.0</v>
      </c>
      <c r="F17" s="56">
        <v>16000.0</v>
      </c>
      <c r="G17" s="56">
        <v>15500.0</v>
      </c>
      <c r="H17" s="57">
        <v>14000.0</v>
      </c>
      <c r="I17" s="57">
        <v>15000.0</v>
      </c>
      <c r="J17" s="102">
        <v>15000.0</v>
      </c>
      <c r="K17" s="70">
        <f t="shared" ref="K17:K18" si="3">AVERAGE(D17:J17)</f>
        <v>15000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36000.0</v>
      </c>
      <c r="E25" s="56">
        <v>36000.0</v>
      </c>
      <c r="F25" s="56">
        <v>35000.0</v>
      </c>
      <c r="G25" s="56">
        <v>35000.0</v>
      </c>
      <c r="H25" s="94">
        <v>36000.0</v>
      </c>
      <c r="I25" s="68">
        <v>38000.0</v>
      </c>
      <c r="J25" s="94">
        <v>38000.0</v>
      </c>
      <c r="K25" s="70">
        <f t="shared" si="4"/>
        <v>36285.71429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56">
        <v>40000.0</v>
      </c>
      <c r="F27" s="65" t="s">
        <v>26</v>
      </c>
      <c r="G27" s="56">
        <v>35000.0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35833.33333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23000.0</v>
      </c>
      <c r="E28" s="65">
        <v>28000.0</v>
      </c>
      <c r="F28" s="56">
        <v>30000.0</v>
      </c>
      <c r="G28" s="66">
        <v>30000.0</v>
      </c>
      <c r="H28" s="68">
        <v>23000.0</v>
      </c>
      <c r="I28" s="68">
        <v>28000.0</v>
      </c>
      <c r="J28" s="112">
        <v>24000.0</v>
      </c>
      <c r="K28" s="70">
        <f t="shared" si="5"/>
        <v>26571.42857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60000.0</v>
      </c>
      <c r="E29" s="65">
        <v>60000.0</v>
      </c>
      <c r="F29" s="66">
        <v>60000.0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61142.85714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40000.0</v>
      </c>
      <c r="E31" s="56">
        <v>35000.0</v>
      </c>
      <c r="F31" s="56">
        <v>40000.0</v>
      </c>
      <c r="G31" s="56">
        <v>35000.0</v>
      </c>
      <c r="H31" s="57">
        <v>28000.0</v>
      </c>
      <c r="I31" s="68">
        <v>42000.0</v>
      </c>
      <c r="J31" s="94">
        <v>35000.0</v>
      </c>
      <c r="K31" s="70">
        <f t="shared" si="5"/>
        <v>36428.57143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110000.0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30000.0</v>
      </c>
      <c r="E34" s="56">
        <v>30000.0</v>
      </c>
      <c r="F34" s="56">
        <v>30000.0</v>
      </c>
      <c r="G34" s="56">
        <v>30000.0</v>
      </c>
      <c r="H34" s="57">
        <v>29000.0</v>
      </c>
      <c r="I34" s="57">
        <v>29000.0</v>
      </c>
      <c r="J34" s="94">
        <v>30000.0</v>
      </c>
      <c r="K34" s="70">
        <f t="shared" ref="K34:K35" si="6">AVERAGE(D34:J34)</f>
        <v>29714.28571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2000.0</v>
      </c>
      <c r="G35" s="56">
        <v>2500.0</v>
      </c>
      <c r="H35" s="57">
        <v>2000.0</v>
      </c>
      <c r="I35" s="57">
        <v>3000.0</v>
      </c>
      <c r="J35" s="94">
        <v>3000.0</v>
      </c>
      <c r="K35" s="70">
        <f t="shared" si="6"/>
        <v>2528.571429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7000.0</v>
      </c>
      <c r="J37" s="94">
        <v>9000.0</v>
      </c>
      <c r="K37" s="70">
        <f t="shared" ref="K37:K38" si="7">AVERAGE(D37:J37)</f>
        <v>10000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7000.0</v>
      </c>
      <c r="J40" s="94">
        <v>15000.0</v>
      </c>
      <c r="K40" s="70">
        <f t="shared" ref="K40:K42" si="8">AVERAGE(D40:J40)</f>
        <v>14000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12000.0</v>
      </c>
      <c r="G55" s="56">
        <v>11000.0</v>
      </c>
      <c r="H55" s="57">
        <v>11000.0</v>
      </c>
      <c r="I55" s="57">
        <v>14000.0</v>
      </c>
      <c r="J55" s="94">
        <v>10000.0</v>
      </c>
      <c r="K55" s="70">
        <f>AVERAGE(D55:J55)</f>
        <v>11500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16000.0</v>
      </c>
      <c r="H57" s="57">
        <v>13000.0</v>
      </c>
      <c r="I57" s="68">
        <v>14000.0</v>
      </c>
      <c r="J57" s="102" t="s">
        <v>26</v>
      </c>
      <c r="K57" s="70">
        <f t="shared" ref="K57:K60" si="12">AVERAGE(D57:J57)</f>
        <v>14833.33333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25000.0</v>
      </c>
      <c r="J59" s="102">
        <v>26000.0</v>
      </c>
      <c r="K59" s="70">
        <f t="shared" si="12"/>
        <v>25000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31000.0</v>
      </c>
      <c r="G60" s="56">
        <v>30000.0</v>
      </c>
      <c r="H60" s="57">
        <v>26000.0</v>
      </c>
      <c r="I60" s="57">
        <v>27000.0</v>
      </c>
      <c r="J60" s="102">
        <v>28000.0</v>
      </c>
      <c r="K60" s="70">
        <f t="shared" si="12"/>
        <v>28857.14286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32000.0</v>
      </c>
      <c r="E64" s="56">
        <v>30000.0</v>
      </c>
      <c r="F64" s="56">
        <v>26000.0</v>
      </c>
      <c r="G64" s="56">
        <v>30000.0</v>
      </c>
      <c r="H64" s="57">
        <v>25000.0</v>
      </c>
      <c r="I64" s="57">
        <v>35000.0</v>
      </c>
      <c r="J64" s="94">
        <v>30000.0</v>
      </c>
      <c r="K64" s="70">
        <f t="shared" ref="K64:K66" si="13">AVERAGE(D64:J64)</f>
        <v>29714.28571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24000.0</v>
      </c>
      <c r="E65" s="56">
        <v>25000.0</v>
      </c>
      <c r="F65" s="56">
        <v>25000.0</v>
      </c>
      <c r="G65" s="56">
        <v>30000.0</v>
      </c>
      <c r="H65" s="139" t="s">
        <v>26</v>
      </c>
      <c r="I65" s="69">
        <v>35000.0</v>
      </c>
      <c r="J65" s="102" t="s">
        <v>26</v>
      </c>
      <c r="K65" s="70">
        <f t="shared" si="13"/>
        <v>27800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35000.0</v>
      </c>
      <c r="F66" s="56">
        <v>32000.0</v>
      </c>
      <c r="G66" s="56">
        <v>35000.0</v>
      </c>
      <c r="H66" s="57">
        <v>30000.0</v>
      </c>
      <c r="I66" s="57">
        <v>40000.0</v>
      </c>
      <c r="J66" s="94">
        <v>35000.0</v>
      </c>
      <c r="K66" s="70">
        <f t="shared" si="13"/>
        <v>34571.42857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34000.0</v>
      </c>
      <c r="E70" s="56">
        <v>35000.0</v>
      </c>
      <c r="F70" s="56">
        <v>34000.0</v>
      </c>
      <c r="G70" s="56">
        <v>35000.0</v>
      </c>
      <c r="H70" s="57">
        <v>33000.0</v>
      </c>
      <c r="I70" s="57">
        <v>35000.0</v>
      </c>
      <c r="J70" s="94">
        <v>35000.0</v>
      </c>
      <c r="K70" s="70">
        <f t="shared" ref="K70:K73" si="14">AVERAGE(D70:J70)</f>
        <v>34428.57143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32000.0</v>
      </c>
      <c r="G71" s="56">
        <v>30000.0</v>
      </c>
      <c r="H71" s="57">
        <v>33000.0</v>
      </c>
      <c r="I71" s="57">
        <v>30000.0</v>
      </c>
      <c r="J71" s="94">
        <v>28000.0</v>
      </c>
      <c r="K71" s="70">
        <f t="shared" si="14"/>
        <v>31428.57143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30000.0</v>
      </c>
      <c r="G72" s="56">
        <v>35000.0</v>
      </c>
      <c r="H72" s="57">
        <v>30000.0</v>
      </c>
      <c r="I72" s="57">
        <v>35000.0</v>
      </c>
      <c r="J72" s="94">
        <v>33000.0</v>
      </c>
      <c r="K72" s="70">
        <f t="shared" si="14"/>
        <v>33285.71429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36000.0</v>
      </c>
      <c r="E73" s="65">
        <v>40000.0</v>
      </c>
      <c r="F73" s="66">
        <v>40000.0</v>
      </c>
      <c r="G73" s="66">
        <v>40000.0</v>
      </c>
      <c r="H73" s="57">
        <v>40000.0</v>
      </c>
      <c r="I73" s="68">
        <v>50000.0</v>
      </c>
      <c r="J73" s="102">
        <v>30000.0</v>
      </c>
      <c r="K73" s="70">
        <f t="shared" si="14"/>
        <v>39428.57143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5000.0</v>
      </c>
      <c r="J75" s="102">
        <v>5000.0</v>
      </c>
      <c r="K75" s="70">
        <f t="shared" ref="K75:K76" si="15">AVERAGE(D75:J75)</f>
        <v>5428.571429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5000.0</v>
      </c>
      <c r="J76" s="112">
        <v>6000.0</v>
      </c>
      <c r="K76" s="70">
        <f t="shared" si="15"/>
        <v>5666.666667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8000.0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7714.285714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12000.0</v>
      </c>
      <c r="F79" s="56">
        <v>15000.0</v>
      </c>
      <c r="G79" s="56">
        <v>15000.0</v>
      </c>
      <c r="H79" s="57">
        <v>10000.0</v>
      </c>
      <c r="I79" s="69">
        <v>15000.0</v>
      </c>
      <c r="J79" s="94">
        <v>15000.0</v>
      </c>
      <c r="K79" s="70">
        <f t="shared" si="16"/>
        <v>13714.28571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16000.0</v>
      </c>
      <c r="F80" s="56">
        <v>16000.0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15285.71429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15000.0</v>
      </c>
      <c r="G81" s="56">
        <v>15000.0</v>
      </c>
      <c r="H81" s="57">
        <v>10000.0</v>
      </c>
      <c r="I81" s="69">
        <v>15000.0</v>
      </c>
      <c r="J81" s="94">
        <v>13000.0</v>
      </c>
      <c r="K81" s="70">
        <f t="shared" si="16"/>
        <v>14142.85714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13000.0</v>
      </c>
      <c r="G82" s="56">
        <v>13000.0</v>
      </c>
      <c r="H82" s="57">
        <v>10000.0</v>
      </c>
      <c r="I82" s="57">
        <v>14000.0</v>
      </c>
      <c r="J82" s="94">
        <v>10000.0</v>
      </c>
      <c r="K82" s="70">
        <f t="shared" si="16"/>
        <v>11285.71429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10000.0</v>
      </c>
      <c r="F83" s="66">
        <v>8000.0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9142.857143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2000.0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143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/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13000.0</v>
      </c>
      <c r="F8" s="56">
        <v>13000.0</v>
      </c>
      <c r="G8" s="56">
        <v>13000.0</v>
      </c>
      <c r="H8" s="56">
        <v>12000.0</v>
      </c>
      <c r="I8" s="57">
        <v>13500.0</v>
      </c>
      <c r="J8" s="58">
        <v>13500.0</v>
      </c>
      <c r="K8" s="60">
        <f t="shared" ref="K8:K12" si="1">AVERAGE(D8:J8)</f>
        <v>13000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9000.0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9000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11000.0</v>
      </c>
      <c r="F10" s="65">
        <v>12000.0</v>
      </c>
      <c r="G10" s="66">
        <v>10300.0</v>
      </c>
      <c r="H10" s="68" t="s">
        <v>26</v>
      </c>
      <c r="I10" s="68">
        <v>10000.0</v>
      </c>
      <c r="J10" s="69">
        <v>12500.0</v>
      </c>
      <c r="K10" s="70">
        <f t="shared" si="1"/>
        <v>11133.33333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24000.0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20200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13000.0</v>
      </c>
      <c r="G14" s="56">
        <v>13500.0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13357.14286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16000.0</v>
      </c>
      <c r="J15" s="94">
        <v>16000.0</v>
      </c>
      <c r="K15" s="70">
        <f t="shared" si="2"/>
        <v>15571.42857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15000.0</v>
      </c>
      <c r="F17" s="56">
        <v>16000.0</v>
      </c>
      <c r="G17" s="56">
        <v>15500.0</v>
      </c>
      <c r="H17" s="57">
        <v>14000.0</v>
      </c>
      <c r="I17" s="57">
        <v>15000.0</v>
      </c>
      <c r="J17" s="102">
        <v>15000.0</v>
      </c>
      <c r="K17" s="70">
        <f t="shared" ref="K17:K18" si="3">AVERAGE(D17:J17)</f>
        <v>15000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35000.0</v>
      </c>
      <c r="E25" s="56">
        <v>37000.0</v>
      </c>
      <c r="F25" s="56">
        <v>37000.0</v>
      </c>
      <c r="G25" s="56">
        <v>35000.0</v>
      </c>
      <c r="H25" s="94">
        <v>36000.0</v>
      </c>
      <c r="I25" s="68">
        <v>38000.0</v>
      </c>
      <c r="J25" s="94">
        <v>38000.0</v>
      </c>
      <c r="K25" s="70">
        <f t="shared" si="4"/>
        <v>36571.42857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56">
        <v>40000.0</v>
      </c>
      <c r="F27" s="65" t="s">
        <v>26</v>
      </c>
      <c r="G27" s="56">
        <v>35000.0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35833.33333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23000.0</v>
      </c>
      <c r="E28" s="65">
        <v>28000.0</v>
      </c>
      <c r="F28" s="56">
        <v>30000.0</v>
      </c>
      <c r="G28" s="66">
        <v>30000.0</v>
      </c>
      <c r="H28" s="68">
        <v>23000.0</v>
      </c>
      <c r="I28" s="68">
        <v>26000.0</v>
      </c>
      <c r="J28" s="112">
        <v>24000.0</v>
      </c>
      <c r="K28" s="70">
        <f t="shared" si="5"/>
        <v>26285.71429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60000.0</v>
      </c>
      <c r="E29" s="65">
        <v>60000.0</v>
      </c>
      <c r="F29" s="66">
        <v>60000.0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61142.85714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40000.0</v>
      </c>
      <c r="E31" s="56">
        <v>35000.0</v>
      </c>
      <c r="F31" s="56">
        <v>40000.0</v>
      </c>
      <c r="G31" s="56">
        <v>35000.0</v>
      </c>
      <c r="H31" s="57">
        <v>28000.0</v>
      </c>
      <c r="I31" s="68">
        <v>40000.0</v>
      </c>
      <c r="J31" s="94">
        <v>35000.0</v>
      </c>
      <c r="K31" s="70">
        <f t="shared" si="5"/>
        <v>36142.85714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110000.0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30000.0</v>
      </c>
      <c r="E34" s="56">
        <v>30000.0</v>
      </c>
      <c r="F34" s="56">
        <v>30000.0</v>
      </c>
      <c r="G34" s="56">
        <v>30000.0</v>
      </c>
      <c r="H34" s="57">
        <v>29000.0</v>
      </c>
      <c r="I34" s="57">
        <v>29000.0</v>
      </c>
      <c r="J34" s="94">
        <v>30000.0</v>
      </c>
      <c r="K34" s="70">
        <f t="shared" ref="K34:K35" si="6">AVERAGE(D34:J34)</f>
        <v>29714.28571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2000.0</v>
      </c>
      <c r="G35" s="56">
        <v>2500.0</v>
      </c>
      <c r="H35" s="57">
        <v>2000.0</v>
      </c>
      <c r="I35" s="57">
        <v>3000.0</v>
      </c>
      <c r="J35" s="94">
        <v>3000.0</v>
      </c>
      <c r="K35" s="70">
        <f t="shared" si="6"/>
        <v>2528.571429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7000.0</v>
      </c>
      <c r="J37" s="94">
        <v>9000.0</v>
      </c>
      <c r="K37" s="70">
        <f t="shared" ref="K37:K38" si="7">AVERAGE(D37:J37)</f>
        <v>10000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7000.0</v>
      </c>
      <c r="J40" s="94">
        <v>15000.0</v>
      </c>
      <c r="K40" s="70">
        <f t="shared" ref="K40:K42" si="8">AVERAGE(D40:J40)</f>
        <v>14000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10000.0</v>
      </c>
      <c r="G55" s="56">
        <v>11000.0</v>
      </c>
      <c r="H55" s="57">
        <v>11000.0</v>
      </c>
      <c r="I55" s="57">
        <v>10000.0</v>
      </c>
      <c r="J55" s="94">
        <v>10000.0</v>
      </c>
      <c r="K55" s="70">
        <f>AVERAGE(D55:J55)</f>
        <v>10642.85714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16000.0</v>
      </c>
      <c r="H57" s="57">
        <v>13000.0</v>
      </c>
      <c r="I57" s="68">
        <v>14000.0</v>
      </c>
      <c r="J57" s="102" t="s">
        <v>26</v>
      </c>
      <c r="K57" s="70">
        <f t="shared" ref="K57:K60" si="12">AVERAGE(D57:J57)</f>
        <v>14833.33333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25000.0</v>
      </c>
      <c r="J59" s="102">
        <v>26000.0</v>
      </c>
      <c r="K59" s="70">
        <f t="shared" si="12"/>
        <v>25000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30000.0</v>
      </c>
      <c r="G60" s="56">
        <v>30000.0</v>
      </c>
      <c r="H60" s="57">
        <v>26000.0</v>
      </c>
      <c r="I60" s="57">
        <v>28000.0</v>
      </c>
      <c r="J60" s="102">
        <v>28000.0</v>
      </c>
      <c r="K60" s="70">
        <f t="shared" si="12"/>
        <v>28857.14286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32000.0</v>
      </c>
      <c r="E64" s="56">
        <v>30000.0</v>
      </c>
      <c r="F64" s="56">
        <v>32000.0</v>
      </c>
      <c r="G64" s="56">
        <v>30000.0</v>
      </c>
      <c r="H64" s="57">
        <v>25000.0</v>
      </c>
      <c r="I64" s="57">
        <v>35000.0</v>
      </c>
      <c r="J64" s="94">
        <v>30000.0</v>
      </c>
      <c r="K64" s="70">
        <f t="shared" ref="K64:K66" si="13">AVERAGE(D64:J64)</f>
        <v>30571.42857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24000.0</v>
      </c>
      <c r="E65" s="56">
        <v>25000.0</v>
      </c>
      <c r="F65" s="56">
        <v>30000.0</v>
      </c>
      <c r="G65" s="56">
        <v>30000.0</v>
      </c>
      <c r="H65" s="139" t="s">
        <v>26</v>
      </c>
      <c r="I65" s="69">
        <v>35000.0</v>
      </c>
      <c r="J65" s="102" t="s">
        <v>26</v>
      </c>
      <c r="K65" s="70">
        <f t="shared" si="13"/>
        <v>28800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35000.0</v>
      </c>
      <c r="F66" s="56">
        <v>38000.0</v>
      </c>
      <c r="G66" s="56">
        <v>35000.0</v>
      </c>
      <c r="H66" s="57">
        <v>30000.0</v>
      </c>
      <c r="I66" s="57">
        <v>40000.0</v>
      </c>
      <c r="J66" s="94">
        <v>35000.0</v>
      </c>
      <c r="K66" s="70">
        <f t="shared" si="13"/>
        <v>35428.57143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34000.0</v>
      </c>
      <c r="E70" s="56">
        <v>35000.0</v>
      </c>
      <c r="F70" s="56">
        <v>34000.0</v>
      </c>
      <c r="G70" s="56">
        <v>35000.0</v>
      </c>
      <c r="H70" s="57">
        <v>33000.0</v>
      </c>
      <c r="I70" s="57">
        <v>35000.0</v>
      </c>
      <c r="J70" s="94">
        <v>35000.0</v>
      </c>
      <c r="K70" s="70">
        <f t="shared" ref="K70:K73" si="14">AVERAGE(D70:J70)</f>
        <v>34428.57143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31000.0</v>
      </c>
      <c r="G71" s="56">
        <v>30000.0</v>
      </c>
      <c r="H71" s="57">
        <v>33000.0</v>
      </c>
      <c r="I71" s="57">
        <v>30000.0</v>
      </c>
      <c r="J71" s="94">
        <v>28000.0</v>
      </c>
      <c r="K71" s="70">
        <f t="shared" si="14"/>
        <v>31285.71429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33000.0</v>
      </c>
      <c r="G72" s="56">
        <v>35000.0</v>
      </c>
      <c r="H72" s="57">
        <v>30000.0</v>
      </c>
      <c r="I72" s="57">
        <v>35000.0</v>
      </c>
      <c r="J72" s="94">
        <v>33000.0</v>
      </c>
      <c r="K72" s="70">
        <f t="shared" si="14"/>
        <v>33714.28571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36000.0</v>
      </c>
      <c r="E73" s="65">
        <v>41000.0</v>
      </c>
      <c r="F73" s="66">
        <v>45000.0</v>
      </c>
      <c r="G73" s="66">
        <v>40000.0</v>
      </c>
      <c r="H73" s="57">
        <v>40000.0</v>
      </c>
      <c r="I73" s="68">
        <v>50000.0</v>
      </c>
      <c r="J73" s="102">
        <v>30000.0</v>
      </c>
      <c r="K73" s="70">
        <f t="shared" si="14"/>
        <v>40285.71429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5000.0</v>
      </c>
      <c r="J75" s="102">
        <v>5000.0</v>
      </c>
      <c r="K75" s="70">
        <f t="shared" ref="K75:K76" si="15">AVERAGE(D75:J75)</f>
        <v>5428.571429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5000.0</v>
      </c>
      <c r="J76" s="112">
        <v>6000.0</v>
      </c>
      <c r="K76" s="70">
        <f t="shared" si="15"/>
        <v>5666.666667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8000.0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7714.285714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12000.0</v>
      </c>
      <c r="F79" s="56">
        <v>15000.0</v>
      </c>
      <c r="G79" s="56">
        <v>15000.0</v>
      </c>
      <c r="H79" s="57">
        <v>10000.0</v>
      </c>
      <c r="I79" s="69">
        <v>15000.0</v>
      </c>
      <c r="J79" s="94">
        <v>15000.0</v>
      </c>
      <c r="K79" s="70">
        <f t="shared" si="16"/>
        <v>13714.28571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16000.0</v>
      </c>
      <c r="F80" s="56">
        <v>16500.0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15357.14286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15000.0</v>
      </c>
      <c r="G81" s="56">
        <v>15000.0</v>
      </c>
      <c r="H81" s="57">
        <v>10000.0</v>
      </c>
      <c r="I81" s="69">
        <v>15000.0</v>
      </c>
      <c r="J81" s="94">
        <v>13000.0</v>
      </c>
      <c r="K81" s="70">
        <f t="shared" si="16"/>
        <v>14142.85714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13000.0</v>
      </c>
      <c r="G82" s="56">
        <v>13000.0</v>
      </c>
      <c r="H82" s="57">
        <v>10000.0</v>
      </c>
      <c r="I82" s="57">
        <v>14000.0</v>
      </c>
      <c r="J82" s="94">
        <v>10000.0</v>
      </c>
      <c r="K82" s="70">
        <f t="shared" si="16"/>
        <v>11285.71429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10000.0</v>
      </c>
      <c r="F83" s="66">
        <v>9000.0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9285.714286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2000.0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144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43"/>
      <c r="E7" s="44" t="s">
        <v>123</v>
      </c>
      <c r="F7" s="44"/>
      <c r="G7" s="46"/>
      <c r="H7" s="47" t="s">
        <v>7</v>
      </c>
      <c r="I7" s="49"/>
      <c r="J7" s="47"/>
      <c r="K7" s="50"/>
      <c r="M7" s="5"/>
      <c r="N7" s="5"/>
    </row>
    <row r="8">
      <c r="A8" s="26"/>
      <c r="B8" s="52" t="s">
        <v>23</v>
      </c>
      <c r="C8" s="53" t="s">
        <v>24</v>
      </c>
      <c r="D8" s="54">
        <v>13000.0</v>
      </c>
      <c r="E8" s="56">
        <v>13000.0</v>
      </c>
      <c r="F8" s="56">
        <v>13000.0</v>
      </c>
      <c r="G8" s="56">
        <v>13000.0</v>
      </c>
      <c r="H8" s="56">
        <v>12000.0</v>
      </c>
      <c r="I8" s="57">
        <v>13500.0</v>
      </c>
      <c r="J8" s="58">
        <v>13500.0</v>
      </c>
      <c r="K8" s="60">
        <f t="shared" ref="K8:K12" si="1">AVERAGE(D8:J8)</f>
        <v>13000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56">
        <v>8800.0</v>
      </c>
      <c r="G9" s="66">
        <v>9000.0</v>
      </c>
      <c r="H9" s="68" t="s">
        <v>26</v>
      </c>
      <c r="I9" s="68" t="s">
        <v>26</v>
      </c>
      <c r="J9" s="69" t="s">
        <v>26</v>
      </c>
      <c r="K9" s="70">
        <f t="shared" si="1"/>
        <v>8950</v>
      </c>
      <c r="M9" s="5"/>
      <c r="N9" s="5"/>
    </row>
    <row r="10">
      <c r="A10" s="26"/>
      <c r="B10" s="52" t="s">
        <v>27</v>
      </c>
      <c r="C10" s="53" t="s">
        <v>24</v>
      </c>
      <c r="D10" s="54">
        <v>11000.0</v>
      </c>
      <c r="E10" s="56">
        <v>11000.0</v>
      </c>
      <c r="F10" s="65">
        <v>12000.0</v>
      </c>
      <c r="G10" s="66">
        <v>10300.0</v>
      </c>
      <c r="H10" s="68" t="s">
        <v>26</v>
      </c>
      <c r="I10" s="68">
        <v>10000.0</v>
      </c>
      <c r="J10" s="69" t="s">
        <v>26</v>
      </c>
      <c r="K10" s="70">
        <f t="shared" si="1"/>
        <v>10860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58">
        <v>8000.0</v>
      </c>
      <c r="K11" s="70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24000.0</v>
      </c>
      <c r="G12" s="66">
        <v>20000.0</v>
      </c>
      <c r="H12" s="68" t="s">
        <v>26</v>
      </c>
      <c r="I12" s="69">
        <v>18000.0</v>
      </c>
      <c r="J12" s="58">
        <v>17000.0</v>
      </c>
      <c r="K12" s="70">
        <f t="shared" si="1"/>
        <v>20200</v>
      </c>
      <c r="M12" s="5"/>
      <c r="N12" s="5"/>
    </row>
    <row r="13">
      <c r="A13" s="82">
        <v>2.0</v>
      </c>
      <c r="B13" s="83" t="s">
        <v>31</v>
      </c>
      <c r="C13" s="84"/>
      <c r="D13" s="85"/>
      <c r="E13" s="86"/>
      <c r="F13" s="87"/>
      <c r="G13" s="89"/>
      <c r="H13" s="90"/>
      <c r="I13" s="90"/>
      <c r="J13" s="90"/>
      <c r="K13" s="91"/>
      <c r="M13" s="5"/>
      <c r="N13" s="92"/>
    </row>
    <row r="14">
      <c r="A14" s="26"/>
      <c r="B14" s="52" t="s">
        <v>32</v>
      </c>
      <c r="C14" s="53" t="s">
        <v>24</v>
      </c>
      <c r="D14" s="54">
        <v>13000.0</v>
      </c>
      <c r="E14" s="56">
        <v>13500.0</v>
      </c>
      <c r="F14" s="56">
        <v>13000.0</v>
      </c>
      <c r="G14" s="56">
        <v>13000.0</v>
      </c>
      <c r="H14" s="57">
        <v>13500.0</v>
      </c>
      <c r="I14" s="57">
        <v>13500.0</v>
      </c>
      <c r="J14" s="94">
        <v>13500.0</v>
      </c>
      <c r="K14" s="70">
        <f t="shared" ref="K14:K15" si="2">AVERAGE(D14:J14)</f>
        <v>13285.71429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95">
        <v>15000.0</v>
      </c>
      <c r="G15" s="66">
        <v>16000.0</v>
      </c>
      <c r="H15" s="57">
        <v>15000.0</v>
      </c>
      <c r="I15" s="57">
        <v>16000.0</v>
      </c>
      <c r="J15" s="94">
        <v>16000.0</v>
      </c>
      <c r="K15" s="70">
        <f t="shared" si="2"/>
        <v>15571.42857</v>
      </c>
      <c r="M15" s="5"/>
      <c r="N15" s="5"/>
    </row>
    <row r="16">
      <c r="A16" s="82">
        <v>3.0</v>
      </c>
      <c r="B16" s="83" t="s">
        <v>34</v>
      </c>
      <c r="C16" s="83"/>
      <c r="D16" s="96"/>
      <c r="E16" s="97"/>
      <c r="F16" s="98"/>
      <c r="G16" s="98"/>
      <c r="H16" s="99"/>
      <c r="I16" s="99"/>
      <c r="J16" s="100"/>
      <c r="K16" s="91"/>
      <c r="M16" s="5"/>
      <c r="N16" s="5"/>
    </row>
    <row r="17">
      <c r="A17" s="26"/>
      <c r="B17" s="52" t="s">
        <v>35</v>
      </c>
      <c r="C17" s="53" t="s">
        <v>24</v>
      </c>
      <c r="D17" s="54">
        <v>14500.0</v>
      </c>
      <c r="E17" s="65">
        <v>15000.0</v>
      </c>
      <c r="F17" s="56">
        <v>16000.0</v>
      </c>
      <c r="G17" s="56">
        <v>15500.0</v>
      </c>
      <c r="H17" s="57">
        <v>14000.0</v>
      </c>
      <c r="I17" s="57">
        <v>15000.0</v>
      </c>
      <c r="J17" s="102">
        <v>15000.0</v>
      </c>
      <c r="K17" s="70">
        <f t="shared" ref="K17:K18" si="3">AVERAGE(D17:J17)</f>
        <v>15000</v>
      </c>
      <c r="M17" s="5"/>
      <c r="N17" s="5"/>
    </row>
    <row r="18">
      <c r="A18" s="104"/>
      <c r="B18" s="52" t="s">
        <v>36</v>
      </c>
      <c r="C18" s="53" t="s">
        <v>37</v>
      </c>
      <c r="D18" s="54">
        <v>14000.0</v>
      </c>
      <c r="E18" s="65">
        <v>14000.0</v>
      </c>
      <c r="F18" s="65">
        <v>14000.0</v>
      </c>
      <c r="G18" s="56">
        <v>14000.0</v>
      </c>
      <c r="H18" s="68" t="s">
        <v>26</v>
      </c>
      <c r="I18" s="57">
        <v>14000.0</v>
      </c>
      <c r="J18" s="94">
        <v>14000.0</v>
      </c>
      <c r="K18" s="70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96"/>
      <c r="E19" s="97"/>
      <c r="F19" s="98"/>
      <c r="G19" s="106"/>
      <c r="H19" s="99"/>
      <c r="I19" s="99"/>
      <c r="J19" s="100"/>
      <c r="K19" s="91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70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96"/>
      <c r="E21" s="87"/>
      <c r="F21" s="98"/>
      <c r="G21" s="106"/>
      <c r="H21" s="99"/>
      <c r="I21" s="109"/>
      <c r="J21" s="110"/>
      <c r="K21" s="91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56">
        <v>120000.0</v>
      </c>
      <c r="F22" s="56">
        <v>120000.0</v>
      </c>
      <c r="G22" s="56">
        <v>120000.0</v>
      </c>
      <c r="H22" s="57">
        <v>120000.0</v>
      </c>
      <c r="I22" s="69">
        <v>120000.0</v>
      </c>
      <c r="J22" s="102" t="s">
        <v>26</v>
      </c>
      <c r="K22" s="70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56">
        <v>110000.0</v>
      </c>
      <c r="F23" s="56">
        <v>110000.0</v>
      </c>
      <c r="G23" s="56">
        <v>110000.0</v>
      </c>
      <c r="H23" s="57">
        <v>114000.0</v>
      </c>
      <c r="I23" s="68">
        <v>115000.0</v>
      </c>
      <c r="J23" s="94">
        <v>115000.0</v>
      </c>
      <c r="K23" s="70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56">
        <v>95000.0</v>
      </c>
      <c r="F24" s="56">
        <v>105000.0</v>
      </c>
      <c r="G24" s="56">
        <v>105000.0</v>
      </c>
      <c r="H24" s="57">
        <v>100000.0</v>
      </c>
      <c r="I24" s="69">
        <v>110000.0</v>
      </c>
      <c r="J24" s="102">
        <v>105000.0</v>
      </c>
      <c r="K24" s="70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54">
        <v>35000.0</v>
      </c>
      <c r="E25" s="56">
        <v>37000.0</v>
      </c>
      <c r="F25" s="56">
        <v>37000.0</v>
      </c>
      <c r="G25" s="56">
        <v>36000.0</v>
      </c>
      <c r="H25" s="94">
        <v>36000.0</v>
      </c>
      <c r="I25" s="68">
        <v>38000.0</v>
      </c>
      <c r="J25" s="94">
        <v>38000.0</v>
      </c>
      <c r="K25" s="70">
        <f t="shared" si="4"/>
        <v>36714.28571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96"/>
      <c r="E26" s="87"/>
      <c r="F26" s="106"/>
      <c r="G26" s="98"/>
      <c r="H26" s="100"/>
      <c r="I26" s="99"/>
      <c r="J26" s="100"/>
      <c r="K26" s="91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56">
        <v>40000.0</v>
      </c>
      <c r="F27" s="65" t="s">
        <v>26</v>
      </c>
      <c r="G27" s="56">
        <v>35000.0</v>
      </c>
      <c r="H27" s="57">
        <v>30000.0</v>
      </c>
      <c r="I27" s="68">
        <v>40000.0</v>
      </c>
      <c r="J27" s="94">
        <v>35000.0</v>
      </c>
      <c r="K27" s="70">
        <f t="shared" ref="K27:K32" si="5">AVERAGE(D27:J27)</f>
        <v>35833.33333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23000.0</v>
      </c>
      <c r="E28" s="65">
        <v>28000.0</v>
      </c>
      <c r="F28" s="56">
        <v>30000.0</v>
      </c>
      <c r="G28" s="66">
        <v>30000.0</v>
      </c>
      <c r="H28" s="68">
        <v>23000.0</v>
      </c>
      <c r="I28" s="68">
        <v>26000.0</v>
      </c>
      <c r="J28" s="112">
        <v>24000.0</v>
      </c>
      <c r="K28" s="70">
        <f t="shared" si="5"/>
        <v>26285.71429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60000.0</v>
      </c>
      <c r="E29" s="65">
        <v>60000.0</v>
      </c>
      <c r="F29" s="66">
        <v>60000.0</v>
      </c>
      <c r="G29" s="66">
        <v>75000.0</v>
      </c>
      <c r="H29" s="57">
        <v>58000.0</v>
      </c>
      <c r="I29" s="68">
        <v>60000.0</v>
      </c>
      <c r="J29" s="112">
        <v>55000.0</v>
      </c>
      <c r="K29" s="70">
        <f t="shared" si="5"/>
        <v>61142.85714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57">
        <v>23000.0</v>
      </c>
      <c r="I30" s="68">
        <v>24000.0</v>
      </c>
      <c r="J30" s="112">
        <v>26000.0</v>
      </c>
      <c r="K30" s="70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40000.0</v>
      </c>
      <c r="E31" s="56">
        <v>35000.0</v>
      </c>
      <c r="F31" s="56">
        <v>40000.0</v>
      </c>
      <c r="G31" s="56">
        <v>35000.0</v>
      </c>
      <c r="H31" s="57">
        <v>28000.0</v>
      </c>
      <c r="I31" s="68">
        <v>40000.0</v>
      </c>
      <c r="J31" s="94">
        <v>35000.0</v>
      </c>
      <c r="K31" s="70">
        <f t="shared" si="5"/>
        <v>36142.85714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56">
        <v>100000.0</v>
      </c>
      <c r="F32" s="56">
        <v>110000.0</v>
      </c>
      <c r="G32" s="65" t="s">
        <v>26</v>
      </c>
      <c r="H32" s="57">
        <v>80000.0</v>
      </c>
      <c r="I32" s="68" t="s">
        <v>26</v>
      </c>
      <c r="J32" s="112" t="s">
        <v>26</v>
      </c>
      <c r="K32" s="70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96"/>
      <c r="E33" s="87"/>
      <c r="F33" s="106"/>
      <c r="G33" s="106"/>
      <c r="H33" s="99"/>
      <c r="I33" s="99"/>
      <c r="J33" s="100" t="s">
        <v>57</v>
      </c>
      <c r="K33" s="91"/>
      <c r="M33" s="5"/>
      <c r="N33" s="5"/>
    </row>
    <row r="34" ht="15.75" customHeight="1">
      <c r="A34" s="26"/>
      <c r="B34" s="52" t="s">
        <v>58</v>
      </c>
      <c r="C34" s="53" t="s">
        <v>24</v>
      </c>
      <c r="D34" s="54">
        <v>30000.0</v>
      </c>
      <c r="E34" s="56">
        <v>30000.0</v>
      </c>
      <c r="F34" s="56">
        <v>30000.0</v>
      </c>
      <c r="G34" s="56">
        <v>29500.0</v>
      </c>
      <c r="H34" s="57">
        <v>29000.0</v>
      </c>
      <c r="I34" s="57">
        <v>29000.0</v>
      </c>
      <c r="J34" s="94">
        <v>29500.0</v>
      </c>
      <c r="K34" s="70">
        <f t="shared" ref="K34:K35" si="6">AVERAGE(D34:J34)</f>
        <v>29571.42857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54">
        <v>3000.0</v>
      </c>
      <c r="E35" s="56">
        <v>2200.0</v>
      </c>
      <c r="F35" s="56">
        <v>2000.0</v>
      </c>
      <c r="G35" s="56">
        <v>2500.0</v>
      </c>
      <c r="H35" s="57">
        <v>2000.0</v>
      </c>
      <c r="I35" s="57">
        <v>3000.0</v>
      </c>
      <c r="J35" s="94">
        <v>3000.0</v>
      </c>
      <c r="K35" s="70">
        <f t="shared" si="6"/>
        <v>2528.571429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54"/>
      <c r="E36" s="56"/>
      <c r="F36" s="56"/>
      <c r="G36" s="56"/>
      <c r="H36" s="57"/>
      <c r="I36" s="57"/>
      <c r="J36" s="94"/>
      <c r="K36" s="116"/>
      <c r="M36" s="5"/>
      <c r="N36" s="5"/>
    </row>
    <row r="37" ht="15.75" customHeight="1">
      <c r="A37" s="104"/>
      <c r="B37" s="52" t="s">
        <v>62</v>
      </c>
      <c r="C37" s="53" t="s">
        <v>24</v>
      </c>
      <c r="D37" s="54">
        <v>10000.0</v>
      </c>
      <c r="E37" s="56">
        <v>10000.0</v>
      </c>
      <c r="F37" s="56">
        <v>9000.0</v>
      </c>
      <c r="G37" s="56">
        <v>9000.0</v>
      </c>
      <c r="H37" s="57">
        <v>16000.0</v>
      </c>
      <c r="I37" s="57">
        <v>7000.0</v>
      </c>
      <c r="J37" s="94">
        <v>9000.0</v>
      </c>
      <c r="K37" s="70">
        <f t="shared" ref="K37:K38" si="7">AVERAGE(D37:J37)</f>
        <v>10000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56">
        <v>7000.0</v>
      </c>
      <c r="F38" s="56">
        <v>12000.0</v>
      </c>
      <c r="G38" s="56">
        <v>17000.0</v>
      </c>
      <c r="H38" s="68" t="s">
        <v>26</v>
      </c>
      <c r="I38" s="68">
        <v>15000.0</v>
      </c>
      <c r="J38" s="94">
        <v>12000.0</v>
      </c>
      <c r="K38" s="70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56"/>
      <c r="F39" s="56"/>
      <c r="G39" s="56"/>
      <c r="H39" s="57"/>
      <c r="I39" s="57"/>
      <c r="J39" s="94"/>
      <c r="K39" s="116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56">
        <v>18000.0</v>
      </c>
      <c r="F40" s="65" t="s">
        <v>26</v>
      </c>
      <c r="G40" s="56">
        <v>16000.0</v>
      </c>
      <c r="H40" s="57">
        <v>14000.0</v>
      </c>
      <c r="I40" s="57">
        <v>7000.0</v>
      </c>
      <c r="J40" s="94">
        <v>15000.0</v>
      </c>
      <c r="K40" s="70">
        <f t="shared" ref="K40:K42" si="8">AVERAGE(D40:J40)</f>
        <v>14000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54">
        <v>2500.0</v>
      </c>
      <c r="E41" s="56">
        <v>12000.0</v>
      </c>
      <c r="F41" s="56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70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56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70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96"/>
      <c r="E43" s="87"/>
      <c r="F43" s="106"/>
      <c r="G43" s="98"/>
      <c r="H43" s="99"/>
      <c r="I43" s="99"/>
      <c r="J43" s="122"/>
      <c r="K43" s="91"/>
      <c r="M43" s="5"/>
      <c r="N43" s="5"/>
    </row>
    <row r="44" ht="15.75" customHeight="1">
      <c r="A44" s="26"/>
      <c r="B44" s="52" t="s">
        <v>69</v>
      </c>
      <c r="C44" s="53" t="s">
        <v>70</v>
      </c>
      <c r="D44" s="54">
        <v>12500.0</v>
      </c>
      <c r="E44" s="65">
        <v>12000.0</v>
      </c>
      <c r="F44" s="56">
        <v>12500.0</v>
      </c>
      <c r="G44" s="56">
        <v>12000.0</v>
      </c>
      <c r="H44" s="107" t="s">
        <v>26</v>
      </c>
      <c r="I44" s="69">
        <v>12500.0</v>
      </c>
      <c r="J44" s="102">
        <v>12500.0</v>
      </c>
      <c r="K44" s="70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56">
        <v>12000.0</v>
      </c>
      <c r="H45" s="107" t="s">
        <v>26</v>
      </c>
      <c r="I45" s="69">
        <v>12500.0</v>
      </c>
      <c r="J45" s="112">
        <v>12500.0</v>
      </c>
      <c r="K45" s="70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96"/>
      <c r="E46" s="123"/>
      <c r="F46" s="98"/>
      <c r="G46" s="106"/>
      <c r="H46" s="99"/>
      <c r="I46" s="99"/>
      <c r="J46" s="100"/>
      <c r="K46" s="91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57">
        <v>17500.0</v>
      </c>
      <c r="I47" s="69" t="s">
        <v>26</v>
      </c>
      <c r="J47" s="112" t="s">
        <v>26</v>
      </c>
      <c r="K47" s="70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57">
        <v>2000.0</v>
      </c>
      <c r="I48" s="69" t="s">
        <v>26</v>
      </c>
      <c r="J48" s="112" t="s">
        <v>26</v>
      </c>
      <c r="K48" s="70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125"/>
      <c r="E49" s="86"/>
      <c r="F49" s="86"/>
      <c r="G49" s="126"/>
      <c r="H49" s="127"/>
      <c r="I49" s="127"/>
      <c r="J49" s="128"/>
      <c r="K49" s="91"/>
      <c r="M49" s="5"/>
      <c r="N49" s="5"/>
    </row>
    <row r="50" ht="15.75" customHeight="1">
      <c r="A50" s="104"/>
      <c r="B50" s="52" t="s">
        <v>79</v>
      </c>
      <c r="C50" s="129" t="s">
        <v>24</v>
      </c>
      <c r="D50" s="54">
        <v>10000.0</v>
      </c>
      <c r="E50" s="56">
        <v>8000.0</v>
      </c>
      <c r="F50" s="56">
        <v>10000.0</v>
      </c>
      <c r="G50" s="56">
        <v>10000.0</v>
      </c>
      <c r="H50" s="57">
        <v>9000.0</v>
      </c>
      <c r="I50" s="69">
        <v>10000.0</v>
      </c>
      <c r="J50" s="94">
        <v>8000.0</v>
      </c>
      <c r="K50" s="70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54">
        <v>9000.0</v>
      </c>
      <c r="E51" s="56">
        <v>10000.0</v>
      </c>
      <c r="F51" s="66">
        <v>9000.0</v>
      </c>
      <c r="G51" s="56">
        <v>10000.0</v>
      </c>
      <c r="H51" s="57">
        <v>6000.0</v>
      </c>
      <c r="I51" s="68" t="s">
        <v>26</v>
      </c>
      <c r="J51" s="94">
        <v>6000.0</v>
      </c>
      <c r="K51" s="70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96"/>
      <c r="E52" s="87"/>
      <c r="F52" s="106"/>
      <c r="G52" s="106"/>
      <c r="H52" s="99"/>
      <c r="I52" s="99"/>
      <c r="J52" s="122"/>
      <c r="K52" s="91"/>
      <c r="M52" s="5"/>
      <c r="N52" s="5"/>
    </row>
    <row r="53" ht="15.75" customHeight="1">
      <c r="A53" s="77"/>
      <c r="B53" s="52" t="s">
        <v>82</v>
      </c>
      <c r="C53" s="53" t="s">
        <v>83</v>
      </c>
      <c r="D53" s="54">
        <v>3000.0</v>
      </c>
      <c r="E53" s="56">
        <v>8000.0</v>
      </c>
      <c r="F53" s="56">
        <v>5000.0</v>
      </c>
      <c r="G53" s="56">
        <v>5000.0</v>
      </c>
      <c r="H53" s="57">
        <v>2500.0</v>
      </c>
      <c r="I53" s="69">
        <v>2000.0</v>
      </c>
      <c r="J53" s="102">
        <v>2500.0</v>
      </c>
      <c r="K53" s="70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4"/>
      <c r="H54" s="135"/>
      <c r="I54" s="135"/>
      <c r="J54" s="136"/>
      <c r="K54" s="91"/>
      <c r="M54" s="5"/>
      <c r="N54" s="5"/>
    </row>
    <row r="55" ht="15.75" customHeight="1">
      <c r="A55" s="77"/>
      <c r="B55" s="137" t="s">
        <v>85</v>
      </c>
      <c r="C55" s="129" t="s">
        <v>24</v>
      </c>
      <c r="D55" s="54">
        <v>12000.0</v>
      </c>
      <c r="E55" s="56">
        <v>10500.0</v>
      </c>
      <c r="F55" s="56">
        <v>10000.0</v>
      </c>
      <c r="G55" s="56">
        <v>11000.0</v>
      </c>
      <c r="H55" s="57">
        <v>11000.0</v>
      </c>
      <c r="I55" s="57">
        <v>10000.0</v>
      </c>
      <c r="J55" s="94">
        <v>10000.0</v>
      </c>
      <c r="K55" s="70">
        <f>AVERAGE(D55:J55)</f>
        <v>10642.85714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96"/>
      <c r="E56" s="87"/>
      <c r="F56" s="106"/>
      <c r="G56" s="98"/>
      <c r="H56" s="99"/>
      <c r="I56" s="99"/>
      <c r="J56" s="122"/>
      <c r="K56" s="91"/>
      <c r="M56" s="5"/>
      <c r="N56" s="5"/>
    </row>
    <row r="57" ht="15.75" customHeight="1">
      <c r="A57" s="26"/>
      <c r="B57" s="52" t="s">
        <v>87</v>
      </c>
      <c r="C57" s="53" t="s">
        <v>24</v>
      </c>
      <c r="D57" s="54">
        <v>14000.0</v>
      </c>
      <c r="E57" s="56">
        <v>16000.0</v>
      </c>
      <c r="F57" s="56">
        <v>16000.0</v>
      </c>
      <c r="G57" s="56">
        <v>16000.0</v>
      </c>
      <c r="H57" s="57">
        <v>13000.0</v>
      </c>
      <c r="I57" s="68">
        <v>14000.0</v>
      </c>
      <c r="J57" s="102" t="s">
        <v>26</v>
      </c>
      <c r="K57" s="70">
        <f t="shared" ref="K57:K60" si="12">AVERAGE(D57:J57)</f>
        <v>14833.33333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56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70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54">
        <v>25000.0</v>
      </c>
      <c r="E59" s="56">
        <v>23000.0</v>
      </c>
      <c r="F59" s="56">
        <v>24000.0</v>
      </c>
      <c r="G59" s="56">
        <v>30000.0</v>
      </c>
      <c r="H59" s="57">
        <v>22000.0</v>
      </c>
      <c r="I59" s="57">
        <v>25000.0</v>
      </c>
      <c r="J59" s="102">
        <v>26000.0</v>
      </c>
      <c r="K59" s="70">
        <f t="shared" si="12"/>
        <v>25000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54">
        <v>30000.0</v>
      </c>
      <c r="E60" s="56">
        <v>30000.0</v>
      </c>
      <c r="F60" s="56">
        <v>30000.0</v>
      </c>
      <c r="G60" s="56">
        <v>30000.0</v>
      </c>
      <c r="H60" s="57">
        <v>26000.0</v>
      </c>
      <c r="I60" s="57">
        <v>28000.0</v>
      </c>
      <c r="J60" s="102">
        <v>28000.0</v>
      </c>
      <c r="K60" s="70">
        <f t="shared" si="12"/>
        <v>28857.14286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142"/>
      <c r="E61" s="86"/>
      <c r="F61" s="126"/>
      <c r="G61" s="86"/>
      <c r="H61" s="127"/>
      <c r="I61" s="127"/>
      <c r="J61" s="143"/>
      <c r="K61" s="91"/>
      <c r="M61" s="5"/>
      <c r="N61" s="5"/>
    </row>
    <row r="62" ht="15.75" customHeight="1">
      <c r="A62" s="144"/>
      <c r="B62" s="52" t="s">
        <v>93</v>
      </c>
      <c r="C62" s="129" t="s">
        <v>94</v>
      </c>
      <c r="D62" s="54">
        <v>3000.0</v>
      </c>
      <c r="E62" s="56">
        <v>3200.0</v>
      </c>
      <c r="F62" s="56">
        <v>3000.0</v>
      </c>
      <c r="G62" s="56">
        <v>3000.0</v>
      </c>
      <c r="H62" s="107" t="s">
        <v>26</v>
      </c>
      <c r="I62" s="69">
        <v>3500.0</v>
      </c>
      <c r="J62" s="94">
        <v>3500.0</v>
      </c>
      <c r="K62" s="70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96"/>
      <c r="E63" s="87"/>
      <c r="F63" s="106"/>
      <c r="G63" s="106"/>
      <c r="H63" s="99"/>
      <c r="I63" s="99"/>
      <c r="J63" s="122"/>
      <c r="K63" s="91"/>
      <c r="M63" s="5"/>
      <c r="N63" s="5"/>
    </row>
    <row r="64" ht="15.75" customHeight="1">
      <c r="A64" s="26"/>
      <c r="B64" s="52" t="s">
        <v>97</v>
      </c>
      <c r="C64" s="53" t="s">
        <v>24</v>
      </c>
      <c r="D64" s="54">
        <v>32000.0</v>
      </c>
      <c r="E64" s="56">
        <v>30000.0</v>
      </c>
      <c r="F64" s="56">
        <v>30000.0</v>
      </c>
      <c r="G64" s="56">
        <v>30000.0</v>
      </c>
      <c r="H64" s="57">
        <v>25000.0</v>
      </c>
      <c r="I64" s="57">
        <v>35000.0</v>
      </c>
      <c r="J64" s="94">
        <v>30000.0</v>
      </c>
      <c r="K64" s="70">
        <f t="shared" ref="K64:K66" si="13">AVERAGE(D64:J64)</f>
        <v>30285.71429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24000.0</v>
      </c>
      <c r="E65" s="56">
        <v>25000.0</v>
      </c>
      <c r="F65" s="56">
        <v>24000.0</v>
      </c>
      <c r="G65" s="56">
        <v>30000.0</v>
      </c>
      <c r="H65" s="139" t="s">
        <v>26</v>
      </c>
      <c r="I65" s="69">
        <v>35000.0</v>
      </c>
      <c r="J65" s="102" t="s">
        <v>26</v>
      </c>
      <c r="K65" s="70">
        <f t="shared" si="13"/>
        <v>27600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54">
        <v>35000.0</v>
      </c>
      <c r="E66" s="56">
        <v>35000.0</v>
      </c>
      <c r="F66" s="56">
        <v>30000.0</v>
      </c>
      <c r="G66" s="56">
        <v>35000.0</v>
      </c>
      <c r="H66" s="57">
        <v>30000.0</v>
      </c>
      <c r="I66" s="57">
        <v>40000.0</v>
      </c>
      <c r="J66" s="94">
        <v>35000.0</v>
      </c>
      <c r="K66" s="70">
        <f t="shared" si="13"/>
        <v>34285.71429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145"/>
      <c r="E67" s="86"/>
      <c r="F67" s="126"/>
      <c r="G67" s="86"/>
      <c r="H67" s="127"/>
      <c r="I67" s="127"/>
      <c r="J67" s="128"/>
      <c r="K67" s="91"/>
      <c r="M67" s="5"/>
      <c r="N67" s="5"/>
    </row>
    <row r="68" ht="15.75" customHeight="1">
      <c r="A68" s="144"/>
      <c r="B68" s="52" t="s">
        <v>101</v>
      </c>
      <c r="C68" s="53" t="s">
        <v>102</v>
      </c>
      <c r="D68" s="54">
        <v>20000.0</v>
      </c>
      <c r="E68" s="56">
        <v>18000.0</v>
      </c>
      <c r="F68" s="56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70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96"/>
      <c r="E69" s="87"/>
      <c r="F69" s="98"/>
      <c r="G69" s="98"/>
      <c r="H69" s="99"/>
      <c r="I69" s="99"/>
      <c r="J69" s="100"/>
      <c r="K69" s="91"/>
      <c r="M69" s="5"/>
      <c r="N69" s="5"/>
    </row>
    <row r="70" ht="15.75" customHeight="1">
      <c r="A70" s="26"/>
      <c r="B70" s="52" t="s">
        <v>104</v>
      </c>
      <c r="C70" s="53" t="s">
        <v>24</v>
      </c>
      <c r="D70" s="54">
        <v>34000.0</v>
      </c>
      <c r="E70" s="56">
        <v>35000.0</v>
      </c>
      <c r="F70" s="56">
        <v>35000.0</v>
      </c>
      <c r="G70" s="56">
        <v>35000.0</v>
      </c>
      <c r="H70" s="57">
        <v>33000.0</v>
      </c>
      <c r="I70" s="57">
        <v>35000.0</v>
      </c>
      <c r="J70" s="94">
        <v>35000.0</v>
      </c>
      <c r="K70" s="70">
        <f t="shared" ref="K70:K73" si="14">AVERAGE(D70:J70)</f>
        <v>34571.42857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56">
        <v>35000.0</v>
      </c>
      <c r="F71" s="56">
        <v>32000.0</v>
      </c>
      <c r="G71" s="56">
        <v>30000.0</v>
      </c>
      <c r="H71" s="57">
        <v>33000.0</v>
      </c>
      <c r="I71" s="57">
        <v>30000.0</v>
      </c>
      <c r="J71" s="94">
        <v>28000.0</v>
      </c>
      <c r="K71" s="70">
        <f t="shared" si="14"/>
        <v>31428.57143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54">
        <v>35000.0</v>
      </c>
      <c r="E72" s="56">
        <v>35000.0</v>
      </c>
      <c r="F72" s="56">
        <v>34000.0</v>
      </c>
      <c r="G72" s="56">
        <v>35000.0</v>
      </c>
      <c r="H72" s="57">
        <v>30000.0</v>
      </c>
      <c r="I72" s="57">
        <v>35000.0</v>
      </c>
      <c r="J72" s="94">
        <v>33000.0</v>
      </c>
      <c r="K72" s="70">
        <f t="shared" si="14"/>
        <v>33857.14286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54">
        <v>36000.0</v>
      </c>
      <c r="E73" s="65">
        <v>41000.0</v>
      </c>
      <c r="F73" s="66">
        <v>35000.0</v>
      </c>
      <c r="G73" s="66">
        <v>40000.0</v>
      </c>
      <c r="H73" s="57">
        <v>40000.0</v>
      </c>
      <c r="I73" s="68">
        <v>50000.0</v>
      </c>
      <c r="J73" s="102">
        <v>30000.0</v>
      </c>
      <c r="K73" s="70">
        <f t="shared" si="14"/>
        <v>38857.14286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145"/>
      <c r="E74" s="114"/>
      <c r="F74" s="86"/>
      <c r="G74" s="146"/>
      <c r="H74" s="127"/>
      <c r="I74" s="127"/>
      <c r="J74" s="143"/>
      <c r="K74" s="91"/>
      <c r="M74" s="5"/>
      <c r="N74" s="5"/>
    </row>
    <row r="75" ht="15.75" customHeight="1">
      <c r="A75" s="147"/>
      <c r="B75" s="52" t="s">
        <v>109</v>
      </c>
      <c r="C75" s="129" t="s">
        <v>24</v>
      </c>
      <c r="D75" s="54">
        <v>6000.0</v>
      </c>
      <c r="E75" s="65">
        <v>7000.0</v>
      </c>
      <c r="F75" s="56">
        <v>5000.0</v>
      </c>
      <c r="G75" s="56">
        <v>6000.0</v>
      </c>
      <c r="H75" s="57">
        <v>4000.0</v>
      </c>
      <c r="I75" s="57">
        <v>5000.0</v>
      </c>
      <c r="J75" s="102">
        <v>5000.0</v>
      </c>
      <c r="K75" s="70">
        <f t="shared" ref="K75:K76" si="15">AVERAGE(D75:J75)</f>
        <v>5428.571429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57">
        <v>5000.0</v>
      </c>
      <c r="I76" s="68">
        <v>5000.0</v>
      </c>
      <c r="J76" s="112">
        <v>6000.0</v>
      </c>
      <c r="K76" s="70">
        <f t="shared" si="15"/>
        <v>5666.666667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125"/>
      <c r="E77" s="86"/>
      <c r="F77" s="86"/>
      <c r="G77" s="126"/>
      <c r="H77" s="127"/>
      <c r="I77" s="127"/>
      <c r="J77" s="128"/>
      <c r="K77" s="91"/>
      <c r="M77" s="5"/>
      <c r="N77" s="5"/>
    </row>
    <row r="78" ht="15.75" customHeight="1">
      <c r="A78" s="147"/>
      <c r="B78" s="52" t="s">
        <v>112</v>
      </c>
      <c r="C78" s="129" t="s">
        <v>24</v>
      </c>
      <c r="D78" s="54">
        <v>7000.0</v>
      </c>
      <c r="E78" s="56">
        <v>8000.0</v>
      </c>
      <c r="F78" s="56">
        <v>8000.0</v>
      </c>
      <c r="G78" s="56">
        <v>8000.0</v>
      </c>
      <c r="H78" s="57">
        <v>9000.0</v>
      </c>
      <c r="I78" s="69">
        <v>8000.0</v>
      </c>
      <c r="J78" s="94">
        <v>6000.0</v>
      </c>
      <c r="K78" s="70">
        <f t="shared" ref="K78:K86" si="16">AVERAGE(D78:J78)</f>
        <v>7714.285714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54">
        <v>14000.0</v>
      </c>
      <c r="E79" s="56">
        <v>12000.0</v>
      </c>
      <c r="F79" s="56">
        <v>16000.0</v>
      </c>
      <c r="G79" s="56">
        <v>15000.0</v>
      </c>
      <c r="H79" s="57">
        <v>10000.0</v>
      </c>
      <c r="I79" s="69">
        <v>15000.0</v>
      </c>
      <c r="J79" s="94">
        <v>15000.0</v>
      </c>
      <c r="K79" s="70">
        <f t="shared" si="16"/>
        <v>13857.14286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54">
        <v>14000.0</v>
      </c>
      <c r="E80" s="56">
        <v>16000.0</v>
      </c>
      <c r="F80" s="56">
        <v>16000.0</v>
      </c>
      <c r="G80" s="56">
        <v>16000.0</v>
      </c>
      <c r="H80" s="57">
        <v>15000.0</v>
      </c>
      <c r="I80" s="57">
        <v>17000.0</v>
      </c>
      <c r="J80" s="94">
        <v>13000.0</v>
      </c>
      <c r="K80" s="70">
        <f t="shared" si="16"/>
        <v>15285.71429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54">
        <v>16000.0</v>
      </c>
      <c r="E81" s="56">
        <v>15000.0</v>
      </c>
      <c r="F81" s="56">
        <v>12000.0</v>
      </c>
      <c r="G81" s="56">
        <v>15000.0</v>
      </c>
      <c r="H81" s="57">
        <v>10000.0</v>
      </c>
      <c r="I81" s="69">
        <v>15000.0</v>
      </c>
      <c r="J81" s="94">
        <v>10000.0</v>
      </c>
      <c r="K81" s="70">
        <f t="shared" si="16"/>
        <v>13285.71429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54">
        <v>9000.0</v>
      </c>
      <c r="E82" s="56">
        <v>10000.0</v>
      </c>
      <c r="F82" s="56">
        <v>15000.0</v>
      </c>
      <c r="G82" s="56">
        <v>13000.0</v>
      </c>
      <c r="H82" s="57">
        <v>10000.0</v>
      </c>
      <c r="I82" s="57">
        <v>14000.0</v>
      </c>
      <c r="J82" s="94">
        <v>10000.0</v>
      </c>
      <c r="K82" s="70">
        <f t="shared" si="16"/>
        <v>11571.42857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10000.0</v>
      </c>
      <c r="F83" s="66">
        <v>9000.0</v>
      </c>
      <c r="G83" s="66">
        <v>10000.0</v>
      </c>
      <c r="H83" s="148">
        <v>9000.0</v>
      </c>
      <c r="I83" s="149">
        <v>10000.0</v>
      </c>
      <c r="J83" s="150">
        <v>8000.0</v>
      </c>
      <c r="K83" s="70">
        <f t="shared" si="16"/>
        <v>9285.714286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56">
        <v>2000.0</v>
      </c>
      <c r="G84" s="66">
        <v>2000.0</v>
      </c>
      <c r="H84" s="57">
        <v>1500.0</v>
      </c>
      <c r="I84" s="68">
        <v>2000.0</v>
      </c>
      <c r="J84" s="112">
        <v>2000.0</v>
      </c>
      <c r="K84" s="70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56">
        <v>2000.0</v>
      </c>
      <c r="G85" s="66">
        <v>2000.0</v>
      </c>
      <c r="H85" s="57">
        <v>1500.0</v>
      </c>
      <c r="I85" s="68">
        <v>1500.0</v>
      </c>
      <c r="J85" s="112">
        <v>1500.0</v>
      </c>
      <c r="K85" s="70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56">
        <v>2000.0</v>
      </c>
      <c r="G86" s="66">
        <v>2000.0</v>
      </c>
      <c r="H86" s="57">
        <v>2000.0</v>
      </c>
      <c r="I86" s="68">
        <v>2000.0</v>
      </c>
      <c r="J86" s="112">
        <v>2000.0</v>
      </c>
      <c r="K86" s="70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151"/>
      <c r="E87" s="114"/>
      <c r="F87" s="86" t="s">
        <v>123</v>
      </c>
      <c r="G87" s="126"/>
      <c r="H87" s="127"/>
      <c r="I87" s="127"/>
      <c r="J87" s="128"/>
      <c r="K87" s="91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70">
        <f>AVERAGE(D88:J88)</f>
        <v>18000</v>
      </c>
      <c r="M88" s="5"/>
      <c r="N88" s="5"/>
    </row>
    <row r="89" ht="15.75" customHeight="1">
      <c r="D89" s="152"/>
      <c r="E89" s="153"/>
      <c r="J89" s="6"/>
      <c r="M89" s="5"/>
      <c r="N89" s="5"/>
    </row>
    <row r="90" ht="15.75" customHeight="1">
      <c r="B90" s="154"/>
      <c r="D90" s="152"/>
      <c r="J90" s="6"/>
      <c r="M90" s="5"/>
      <c r="N90" s="5"/>
    </row>
    <row r="91" ht="15.75" customHeight="1">
      <c r="D91" s="152"/>
      <c r="J91" s="6"/>
      <c r="M91" s="5"/>
      <c r="N91" s="5"/>
    </row>
    <row r="92" ht="15.75" customHeight="1">
      <c r="A92" s="5"/>
      <c r="B92" s="5"/>
      <c r="C92" s="5"/>
      <c r="D92" s="140"/>
      <c r="E92" s="5"/>
      <c r="F92" s="5"/>
      <c r="G92" s="5"/>
      <c r="H92" s="5"/>
      <c r="I92" s="5"/>
      <c r="J92" s="92"/>
      <c r="K92" s="5"/>
      <c r="L92" s="5"/>
      <c r="M92" s="5"/>
      <c r="N92" s="5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9" t="s">
        <v>145</v>
      </c>
      <c r="B3" s="10"/>
      <c r="C3" s="10"/>
      <c r="D3" s="10"/>
      <c r="E3" s="10"/>
      <c r="F3" s="10"/>
      <c r="G3" s="10"/>
      <c r="H3" s="10"/>
      <c r="I3" s="10"/>
      <c r="J3" s="10"/>
      <c r="K3" s="10"/>
      <c r="M3" s="5"/>
      <c r="N3" s="5"/>
    </row>
    <row r="4" ht="25.5" customHeight="1">
      <c r="A4" s="11" t="s">
        <v>7</v>
      </c>
      <c r="B4" s="12" t="s">
        <v>8</v>
      </c>
      <c r="C4" s="11" t="s">
        <v>10</v>
      </c>
      <c r="D4" s="15" t="s">
        <v>11</v>
      </c>
      <c r="E4" s="17" t="s">
        <v>12</v>
      </c>
      <c r="F4" s="18" t="s">
        <v>13</v>
      </c>
      <c r="G4" s="19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5"/>
      <c r="N4" s="5"/>
    </row>
    <row r="5" ht="15.0" customHeight="1">
      <c r="A5" s="26"/>
      <c r="B5" s="26"/>
      <c r="C5" s="26"/>
      <c r="D5" s="27"/>
      <c r="E5" s="28"/>
      <c r="F5" s="29"/>
      <c r="G5" s="30"/>
      <c r="H5" s="26"/>
      <c r="I5" s="26"/>
      <c r="J5" s="31"/>
      <c r="K5" s="29"/>
      <c r="M5" s="5"/>
      <c r="N5" s="5"/>
    </row>
    <row r="6">
      <c r="A6" s="32"/>
      <c r="B6" s="32"/>
      <c r="C6" s="32"/>
      <c r="D6" s="33"/>
      <c r="E6" s="34"/>
      <c r="F6" s="35"/>
      <c r="G6" s="36"/>
      <c r="H6" s="32"/>
      <c r="I6" s="32"/>
      <c r="J6" s="37"/>
      <c r="K6" s="38"/>
      <c r="M6" s="5"/>
      <c r="N6" s="5"/>
    </row>
    <row r="7">
      <c r="A7" s="39">
        <v>1.0</v>
      </c>
      <c r="B7" s="40" t="s">
        <v>20</v>
      </c>
      <c r="C7" s="41"/>
      <c r="D7" s="229"/>
      <c r="E7" s="230" t="s">
        <v>123</v>
      </c>
      <c r="F7" s="230"/>
      <c r="G7" s="231"/>
      <c r="H7" s="232" t="s">
        <v>7</v>
      </c>
      <c r="I7" s="49"/>
      <c r="J7" s="232"/>
      <c r="K7" s="233"/>
      <c r="M7" s="5"/>
      <c r="N7" s="5"/>
    </row>
    <row r="8">
      <c r="A8" s="26"/>
      <c r="B8" s="52" t="s">
        <v>23</v>
      </c>
      <c r="C8" s="53" t="s">
        <v>24</v>
      </c>
      <c r="D8" s="64">
        <v>13000.0</v>
      </c>
      <c r="E8" s="65">
        <v>13000.0</v>
      </c>
      <c r="F8" s="65">
        <v>13500.0</v>
      </c>
      <c r="G8" s="65">
        <v>13000.0</v>
      </c>
      <c r="H8" s="65">
        <v>12000.0</v>
      </c>
      <c r="I8" s="68">
        <v>13500.0</v>
      </c>
      <c r="J8" s="69">
        <v>13500.0</v>
      </c>
      <c r="K8" s="234">
        <f t="shared" ref="K8:K12" si="1">AVERAGE(D8:J8)</f>
        <v>13071.42857</v>
      </c>
      <c r="L8" s="61"/>
      <c r="M8" s="62"/>
      <c r="N8" s="5"/>
    </row>
    <row r="9">
      <c r="A9" s="26"/>
      <c r="B9" s="52" t="s">
        <v>25</v>
      </c>
      <c r="C9" s="53" t="s">
        <v>24</v>
      </c>
      <c r="D9" s="64">
        <v>9000.0</v>
      </c>
      <c r="E9" s="65">
        <v>9000.0</v>
      </c>
      <c r="F9" s="65">
        <v>10000.0</v>
      </c>
      <c r="G9" s="66">
        <v>9000.0</v>
      </c>
      <c r="H9" s="68" t="s">
        <v>26</v>
      </c>
      <c r="I9" s="68" t="s">
        <v>26</v>
      </c>
      <c r="J9" s="69" t="s">
        <v>26</v>
      </c>
      <c r="K9" s="234">
        <f t="shared" si="1"/>
        <v>9250</v>
      </c>
      <c r="M9" s="5"/>
      <c r="N9" s="5"/>
    </row>
    <row r="10">
      <c r="A10" s="26"/>
      <c r="B10" s="52" t="s">
        <v>27</v>
      </c>
      <c r="C10" s="53" t="s">
        <v>24</v>
      </c>
      <c r="D10" s="64">
        <v>11000.0</v>
      </c>
      <c r="E10" s="65">
        <v>11000.0</v>
      </c>
      <c r="F10" s="65">
        <v>12000.0</v>
      </c>
      <c r="G10" s="66">
        <v>10300.0</v>
      </c>
      <c r="H10" s="68" t="s">
        <v>26</v>
      </c>
      <c r="I10" s="68">
        <v>10000.0</v>
      </c>
      <c r="J10" s="69" t="s">
        <v>26</v>
      </c>
      <c r="K10" s="234">
        <f t="shared" si="1"/>
        <v>10860</v>
      </c>
      <c r="M10" s="5"/>
      <c r="N10" s="5"/>
    </row>
    <row r="11">
      <c r="A11" s="26"/>
      <c r="B11" s="52" t="s">
        <v>28</v>
      </c>
      <c r="C11" s="53" t="s">
        <v>24</v>
      </c>
      <c r="D11" s="64" t="s">
        <v>26</v>
      </c>
      <c r="E11" s="65">
        <v>10000.0</v>
      </c>
      <c r="F11" s="66">
        <v>12000.0</v>
      </c>
      <c r="G11" s="66">
        <v>12000.0</v>
      </c>
      <c r="H11" s="68" t="s">
        <v>26</v>
      </c>
      <c r="I11" s="69">
        <v>11000.0</v>
      </c>
      <c r="J11" s="69">
        <v>8000.0</v>
      </c>
      <c r="K11" s="234">
        <f t="shared" si="1"/>
        <v>10600</v>
      </c>
      <c r="M11" s="5"/>
      <c r="N11" s="5"/>
    </row>
    <row r="12">
      <c r="A12" s="77"/>
      <c r="B12" s="52" t="s">
        <v>29</v>
      </c>
      <c r="C12" s="53" t="s">
        <v>24</v>
      </c>
      <c r="D12" s="64" t="s">
        <v>26</v>
      </c>
      <c r="E12" s="65">
        <v>22000.0</v>
      </c>
      <c r="F12" s="66">
        <v>24000.0</v>
      </c>
      <c r="G12" s="66">
        <v>20000.0</v>
      </c>
      <c r="H12" s="68" t="s">
        <v>26</v>
      </c>
      <c r="I12" s="69">
        <v>18000.0</v>
      </c>
      <c r="J12" s="69">
        <v>17000.0</v>
      </c>
      <c r="K12" s="234">
        <f t="shared" si="1"/>
        <v>20200</v>
      </c>
      <c r="M12" s="5"/>
      <c r="N12" s="5"/>
    </row>
    <row r="13">
      <c r="A13" s="82">
        <v>2.0</v>
      </c>
      <c r="B13" s="83" t="s">
        <v>31</v>
      </c>
      <c r="C13" s="84"/>
      <c r="D13" s="132"/>
      <c r="E13" s="114"/>
      <c r="F13" s="123"/>
      <c r="G13" s="235"/>
      <c r="H13" s="236"/>
      <c r="I13" s="236"/>
      <c r="J13" s="236"/>
      <c r="K13" s="237"/>
      <c r="M13" s="5"/>
      <c r="N13" s="92"/>
    </row>
    <row r="14">
      <c r="A14" s="26"/>
      <c r="B14" s="52" t="s">
        <v>32</v>
      </c>
      <c r="C14" s="53" t="s">
        <v>24</v>
      </c>
      <c r="D14" s="64">
        <v>13000.0</v>
      </c>
      <c r="E14" s="65">
        <v>13000.0</v>
      </c>
      <c r="F14" s="65">
        <v>13500.0</v>
      </c>
      <c r="G14" s="65">
        <v>13000.0</v>
      </c>
      <c r="H14" s="68">
        <v>13500.0</v>
      </c>
      <c r="I14" s="68">
        <v>13500.0</v>
      </c>
      <c r="J14" s="102">
        <v>13500.0</v>
      </c>
      <c r="K14" s="234">
        <f t="shared" ref="K14:K15" si="2">AVERAGE(D14:J14)</f>
        <v>13285.71429</v>
      </c>
      <c r="M14" s="5"/>
      <c r="N14" s="5"/>
    </row>
    <row r="15">
      <c r="A15" s="77"/>
      <c r="B15" s="52" t="s">
        <v>33</v>
      </c>
      <c r="C15" s="53" t="s">
        <v>24</v>
      </c>
      <c r="D15" s="64">
        <v>15000.0</v>
      </c>
      <c r="E15" s="65">
        <v>16000.0</v>
      </c>
      <c r="F15" s="66">
        <v>16000.0</v>
      </c>
      <c r="G15" s="66">
        <v>16000.0</v>
      </c>
      <c r="H15" s="68">
        <v>15000.0</v>
      </c>
      <c r="I15" s="68">
        <v>16000.0</v>
      </c>
      <c r="J15" s="102">
        <v>16000.0</v>
      </c>
      <c r="K15" s="234">
        <f t="shared" si="2"/>
        <v>15714.28571</v>
      </c>
      <c r="M15" s="5"/>
      <c r="N15" s="5"/>
    </row>
    <row r="16">
      <c r="A16" s="82">
        <v>3.0</v>
      </c>
      <c r="B16" s="83" t="s">
        <v>34</v>
      </c>
      <c r="C16" s="83"/>
      <c r="D16" s="238"/>
      <c r="E16" s="97"/>
      <c r="F16" s="97"/>
      <c r="G16" s="97"/>
      <c r="H16" s="109"/>
      <c r="I16" s="109"/>
      <c r="J16" s="110"/>
      <c r="K16" s="237"/>
      <c r="M16" s="5"/>
      <c r="N16" s="5"/>
    </row>
    <row r="17">
      <c r="A17" s="26"/>
      <c r="B17" s="52" t="s">
        <v>35</v>
      </c>
      <c r="C17" s="53" t="s">
        <v>24</v>
      </c>
      <c r="D17" s="64">
        <v>14500.0</v>
      </c>
      <c r="E17" s="65">
        <v>15000.0</v>
      </c>
      <c r="F17" s="65">
        <v>16000.0</v>
      </c>
      <c r="G17" s="65">
        <v>15500.0</v>
      </c>
      <c r="H17" s="68">
        <v>14000.0</v>
      </c>
      <c r="I17" s="68">
        <v>15000.0</v>
      </c>
      <c r="J17" s="102">
        <v>15000.0</v>
      </c>
      <c r="K17" s="234">
        <f t="shared" ref="K17:K18" si="3">AVERAGE(D17:J17)</f>
        <v>15000</v>
      </c>
      <c r="M17" s="5"/>
      <c r="N17" s="5"/>
    </row>
    <row r="18">
      <c r="A18" s="104"/>
      <c r="B18" s="52" t="s">
        <v>36</v>
      </c>
      <c r="C18" s="53" t="s">
        <v>37</v>
      </c>
      <c r="D18" s="64">
        <v>14000.0</v>
      </c>
      <c r="E18" s="65">
        <v>14000.0</v>
      </c>
      <c r="F18" s="65">
        <v>14000.0</v>
      </c>
      <c r="G18" s="65">
        <v>14000.0</v>
      </c>
      <c r="H18" s="68" t="s">
        <v>26</v>
      </c>
      <c r="I18" s="68">
        <v>14000.0</v>
      </c>
      <c r="J18" s="102">
        <v>14000.0</v>
      </c>
      <c r="K18" s="234">
        <f t="shared" si="3"/>
        <v>14000</v>
      </c>
      <c r="M18" s="5"/>
      <c r="N18" s="5"/>
    </row>
    <row r="19">
      <c r="A19" s="82">
        <v>4.0</v>
      </c>
      <c r="B19" s="83" t="s">
        <v>40</v>
      </c>
      <c r="C19" s="83"/>
      <c r="D19" s="238"/>
      <c r="E19" s="97"/>
      <c r="F19" s="97"/>
      <c r="G19" s="239"/>
      <c r="H19" s="109"/>
      <c r="I19" s="109"/>
      <c r="J19" s="110"/>
      <c r="K19" s="237"/>
      <c r="M19" s="5"/>
      <c r="N19" s="5"/>
    </row>
    <row r="20" ht="17.25" customHeight="1">
      <c r="A20" s="77"/>
      <c r="B20" s="52" t="s">
        <v>41</v>
      </c>
      <c r="C20" s="53" t="s">
        <v>24</v>
      </c>
      <c r="D20" s="64">
        <v>20000.0</v>
      </c>
      <c r="E20" s="65" t="s">
        <v>26</v>
      </c>
      <c r="F20" s="66">
        <v>19000.0</v>
      </c>
      <c r="G20" s="66">
        <v>22000.0</v>
      </c>
      <c r="H20" s="107" t="s">
        <v>26</v>
      </c>
      <c r="I20" s="69">
        <v>24000.0</v>
      </c>
      <c r="J20" s="108" t="s">
        <v>26</v>
      </c>
      <c r="K20" s="234">
        <f>AVERAGE(D20:J20)</f>
        <v>21250</v>
      </c>
      <c r="M20" s="5"/>
      <c r="N20" s="5"/>
    </row>
    <row r="21" ht="15.75" customHeight="1">
      <c r="A21" s="82">
        <v>5.0</v>
      </c>
      <c r="B21" s="83" t="s">
        <v>42</v>
      </c>
      <c r="C21" s="83"/>
      <c r="D21" s="238"/>
      <c r="E21" s="123"/>
      <c r="F21" s="97"/>
      <c r="G21" s="239"/>
      <c r="H21" s="109"/>
      <c r="I21" s="109"/>
      <c r="J21" s="110"/>
      <c r="K21" s="237"/>
      <c r="M21" s="5"/>
      <c r="N21" s="5"/>
    </row>
    <row r="22" ht="15.75" customHeight="1">
      <c r="A22" s="26"/>
      <c r="B22" s="52" t="s">
        <v>43</v>
      </c>
      <c r="C22" s="53" t="s">
        <v>24</v>
      </c>
      <c r="D22" s="64">
        <v>120000.0</v>
      </c>
      <c r="E22" s="65">
        <v>120000.0</v>
      </c>
      <c r="F22" s="65">
        <v>120000.0</v>
      </c>
      <c r="G22" s="65">
        <v>120000.0</v>
      </c>
      <c r="H22" s="68">
        <v>120000.0</v>
      </c>
      <c r="I22" s="69">
        <v>120000.0</v>
      </c>
      <c r="J22" s="102" t="s">
        <v>26</v>
      </c>
      <c r="K22" s="234">
        <f t="shared" ref="K22:K25" si="4">AVERAGE(D22:J22)</f>
        <v>120000</v>
      </c>
      <c r="M22" s="5"/>
      <c r="N22" s="5"/>
    </row>
    <row r="23" ht="15.75" customHeight="1">
      <c r="A23" s="26"/>
      <c r="B23" s="52" t="s">
        <v>44</v>
      </c>
      <c r="C23" s="53" t="s">
        <v>24</v>
      </c>
      <c r="D23" s="64">
        <v>110000.0</v>
      </c>
      <c r="E23" s="65">
        <v>110000.0</v>
      </c>
      <c r="F23" s="65">
        <v>110000.0</v>
      </c>
      <c r="G23" s="65">
        <v>110000.0</v>
      </c>
      <c r="H23" s="68">
        <v>114000.0</v>
      </c>
      <c r="I23" s="68">
        <v>115000.0</v>
      </c>
      <c r="J23" s="102">
        <v>115000.0</v>
      </c>
      <c r="K23" s="234">
        <f t="shared" si="4"/>
        <v>112000</v>
      </c>
      <c r="M23" s="5"/>
      <c r="N23" s="5"/>
    </row>
    <row r="24" ht="15.75" customHeight="1">
      <c r="A24" s="26"/>
      <c r="B24" s="52" t="s">
        <v>45</v>
      </c>
      <c r="C24" s="53" t="s">
        <v>24</v>
      </c>
      <c r="D24" s="64">
        <v>100000.0</v>
      </c>
      <c r="E24" s="65">
        <v>95000.0</v>
      </c>
      <c r="F24" s="65">
        <v>105000.0</v>
      </c>
      <c r="G24" s="65">
        <v>105000.0</v>
      </c>
      <c r="H24" s="68">
        <v>100000.0</v>
      </c>
      <c r="I24" s="69">
        <v>110000.0</v>
      </c>
      <c r="J24" s="102">
        <v>105000.0</v>
      </c>
      <c r="K24" s="234">
        <f t="shared" si="4"/>
        <v>102857.1429</v>
      </c>
      <c r="M24" s="5"/>
      <c r="N24" s="5"/>
    </row>
    <row r="25" ht="15.75" customHeight="1">
      <c r="A25" s="77"/>
      <c r="B25" s="52" t="s">
        <v>47</v>
      </c>
      <c r="C25" s="53" t="s">
        <v>24</v>
      </c>
      <c r="D25" s="64">
        <v>35000.0</v>
      </c>
      <c r="E25" s="65">
        <v>37000.0</v>
      </c>
      <c r="F25" s="65">
        <v>37000.0</v>
      </c>
      <c r="G25" s="65">
        <v>36000.0</v>
      </c>
      <c r="H25" s="102">
        <v>40000.0</v>
      </c>
      <c r="I25" s="68">
        <v>38000.0</v>
      </c>
      <c r="J25" s="102">
        <v>38000.0</v>
      </c>
      <c r="K25" s="234">
        <f t="shared" si="4"/>
        <v>37285.71429</v>
      </c>
      <c r="M25" s="5"/>
      <c r="N25" s="5"/>
    </row>
    <row r="26" ht="15.75" customHeight="1">
      <c r="A26" s="82">
        <v>6.0</v>
      </c>
      <c r="B26" s="83" t="s">
        <v>48</v>
      </c>
      <c r="C26" s="83"/>
      <c r="D26" s="238"/>
      <c r="E26" s="123"/>
      <c r="F26" s="239"/>
      <c r="G26" s="97"/>
      <c r="H26" s="110"/>
      <c r="I26" s="109"/>
      <c r="J26" s="110"/>
      <c r="K26" s="237"/>
      <c r="M26" s="5"/>
      <c r="N26" s="5"/>
    </row>
    <row r="27" ht="15.75" customHeight="1">
      <c r="A27" s="26"/>
      <c r="B27" s="52" t="s">
        <v>49</v>
      </c>
      <c r="C27" s="53" t="s">
        <v>24</v>
      </c>
      <c r="D27" s="64">
        <v>35000.0</v>
      </c>
      <c r="E27" s="65">
        <v>40000.0</v>
      </c>
      <c r="F27" s="65" t="s">
        <v>26</v>
      </c>
      <c r="G27" s="65">
        <v>35000.0</v>
      </c>
      <c r="H27" s="68">
        <v>30000.0</v>
      </c>
      <c r="I27" s="68">
        <v>40000.0</v>
      </c>
      <c r="J27" s="102">
        <v>35000.0</v>
      </c>
      <c r="K27" s="234">
        <f t="shared" ref="K27:K32" si="5">AVERAGE(D27:J27)</f>
        <v>35833.33333</v>
      </c>
      <c r="M27" s="5"/>
      <c r="N27" s="5"/>
    </row>
    <row r="28" ht="15.75" customHeight="1">
      <c r="A28" s="26"/>
      <c r="B28" s="52" t="s">
        <v>50</v>
      </c>
      <c r="C28" s="53" t="s">
        <v>24</v>
      </c>
      <c r="D28" s="64">
        <v>23000.0</v>
      </c>
      <c r="E28" s="65">
        <v>28000.0</v>
      </c>
      <c r="F28" s="65">
        <v>30000.0</v>
      </c>
      <c r="G28" s="66">
        <v>30000.0</v>
      </c>
      <c r="H28" s="68">
        <v>23000.0</v>
      </c>
      <c r="I28" s="68">
        <v>26000.0</v>
      </c>
      <c r="J28" s="112">
        <v>24000.0</v>
      </c>
      <c r="K28" s="234">
        <f t="shared" si="5"/>
        <v>26285.71429</v>
      </c>
      <c r="L28" s="113" t="s">
        <v>51</v>
      </c>
      <c r="M28" s="5"/>
      <c r="N28" s="5"/>
    </row>
    <row r="29" ht="15.75" customHeight="1">
      <c r="A29" s="26"/>
      <c r="B29" s="52" t="s">
        <v>52</v>
      </c>
      <c r="C29" s="53" t="s">
        <v>24</v>
      </c>
      <c r="D29" s="64">
        <v>60000.0</v>
      </c>
      <c r="E29" s="65">
        <v>60000.0</v>
      </c>
      <c r="F29" s="66">
        <v>60000.0</v>
      </c>
      <c r="G29" s="66">
        <v>75000.0</v>
      </c>
      <c r="H29" s="68">
        <v>58000.0</v>
      </c>
      <c r="I29" s="68">
        <v>60000.0</v>
      </c>
      <c r="J29" s="112">
        <v>55000.0</v>
      </c>
      <c r="K29" s="234">
        <f t="shared" si="5"/>
        <v>61142.85714</v>
      </c>
      <c r="M29" s="5"/>
      <c r="N29" s="5"/>
    </row>
    <row r="30" ht="15.75" customHeight="1">
      <c r="A30" s="26"/>
      <c r="B30" s="52" t="s">
        <v>53</v>
      </c>
      <c r="C30" s="53" t="s">
        <v>24</v>
      </c>
      <c r="D30" s="64">
        <v>25000.0</v>
      </c>
      <c r="E30" s="65" t="s">
        <v>26</v>
      </c>
      <c r="F30" s="114" t="s">
        <v>26</v>
      </c>
      <c r="G30" s="66">
        <v>25000.0</v>
      </c>
      <c r="H30" s="68">
        <v>23000.0</v>
      </c>
      <c r="I30" s="68">
        <v>24000.0</v>
      </c>
      <c r="J30" s="112">
        <v>26000.0</v>
      </c>
      <c r="K30" s="234">
        <f t="shared" si="5"/>
        <v>24600</v>
      </c>
      <c r="M30" s="5"/>
      <c r="N30" s="5"/>
    </row>
    <row r="31" ht="15.75" customHeight="1">
      <c r="A31" s="26"/>
      <c r="B31" s="52" t="s">
        <v>54</v>
      </c>
      <c r="C31" s="53" t="s">
        <v>24</v>
      </c>
      <c r="D31" s="64">
        <v>40000.0</v>
      </c>
      <c r="E31" s="65">
        <v>35000.0</v>
      </c>
      <c r="F31" s="65">
        <v>40000.0</v>
      </c>
      <c r="G31" s="65">
        <v>35000.0</v>
      </c>
      <c r="H31" s="68">
        <v>28000.0</v>
      </c>
      <c r="I31" s="68">
        <v>40000.0</v>
      </c>
      <c r="J31" s="102">
        <v>35000.0</v>
      </c>
      <c r="K31" s="234">
        <f t="shared" si="5"/>
        <v>36142.85714</v>
      </c>
      <c r="M31" s="5"/>
      <c r="N31" s="5"/>
    </row>
    <row r="32" ht="15.75" customHeight="1">
      <c r="A32" s="77"/>
      <c r="B32" s="52" t="s">
        <v>55</v>
      </c>
      <c r="C32" s="53" t="s">
        <v>24</v>
      </c>
      <c r="D32" s="64" t="s">
        <v>26</v>
      </c>
      <c r="E32" s="65">
        <v>100000.0</v>
      </c>
      <c r="F32" s="65">
        <v>110000.0</v>
      </c>
      <c r="G32" s="65" t="s">
        <v>26</v>
      </c>
      <c r="H32" s="68">
        <v>80000.0</v>
      </c>
      <c r="I32" s="68" t="s">
        <v>26</v>
      </c>
      <c r="J32" s="112" t="s">
        <v>26</v>
      </c>
      <c r="K32" s="234">
        <f t="shared" si="5"/>
        <v>96666.66667</v>
      </c>
      <c r="M32" s="5"/>
      <c r="N32" s="5"/>
    </row>
    <row r="33" ht="15.75" customHeight="1">
      <c r="A33" s="82">
        <v>7.0</v>
      </c>
      <c r="B33" s="83" t="s">
        <v>56</v>
      </c>
      <c r="C33" s="83"/>
      <c r="D33" s="238"/>
      <c r="E33" s="123"/>
      <c r="F33" s="239"/>
      <c r="G33" s="239"/>
      <c r="H33" s="109"/>
      <c r="I33" s="109"/>
      <c r="J33" s="110" t="s">
        <v>57</v>
      </c>
      <c r="K33" s="237"/>
      <c r="M33" s="5"/>
      <c r="N33" s="5"/>
    </row>
    <row r="34" ht="15.75" customHeight="1">
      <c r="A34" s="26"/>
      <c r="B34" s="52" t="s">
        <v>58</v>
      </c>
      <c r="C34" s="53" t="s">
        <v>24</v>
      </c>
      <c r="D34" s="64">
        <v>30000.0</v>
      </c>
      <c r="E34" s="65">
        <v>30000.0</v>
      </c>
      <c r="F34" s="65">
        <v>31000.0</v>
      </c>
      <c r="G34" s="65">
        <v>29500.0</v>
      </c>
      <c r="H34" s="68">
        <v>29000.0</v>
      </c>
      <c r="I34" s="68">
        <v>29000.0</v>
      </c>
      <c r="J34" s="102">
        <v>29500.0</v>
      </c>
      <c r="K34" s="234">
        <f t="shared" ref="K34:K35" si="6">AVERAGE(D34:J34)</f>
        <v>29714.28571</v>
      </c>
      <c r="M34" s="5"/>
      <c r="N34" s="5"/>
    </row>
    <row r="35" ht="15.75" customHeight="1">
      <c r="A35" s="77"/>
      <c r="B35" s="52" t="s">
        <v>59</v>
      </c>
      <c r="C35" s="53" t="s">
        <v>60</v>
      </c>
      <c r="D35" s="64">
        <v>3000.0</v>
      </c>
      <c r="E35" s="65">
        <v>2200.0</v>
      </c>
      <c r="F35" s="65">
        <v>2500.0</v>
      </c>
      <c r="G35" s="65">
        <v>2500.0</v>
      </c>
      <c r="H35" s="68">
        <v>2500.0</v>
      </c>
      <c r="I35" s="68">
        <v>3000.0</v>
      </c>
      <c r="J35" s="102">
        <v>3000.0</v>
      </c>
      <c r="K35" s="234">
        <f t="shared" si="6"/>
        <v>2671.428571</v>
      </c>
      <c r="M35" s="5"/>
      <c r="N35" s="5"/>
    </row>
    <row r="36" ht="15.75" customHeight="1">
      <c r="A36" s="104">
        <v>8.0</v>
      </c>
      <c r="B36" s="83" t="s">
        <v>61</v>
      </c>
      <c r="C36" s="115"/>
      <c r="D36" s="64"/>
      <c r="E36" s="65"/>
      <c r="F36" s="65"/>
      <c r="G36" s="65"/>
      <c r="H36" s="68"/>
      <c r="I36" s="68"/>
      <c r="J36" s="102"/>
      <c r="K36" s="240"/>
      <c r="M36" s="5"/>
      <c r="N36" s="5"/>
    </row>
    <row r="37" ht="15.75" customHeight="1">
      <c r="A37" s="104"/>
      <c r="B37" s="52" t="s">
        <v>62</v>
      </c>
      <c r="C37" s="53" t="s">
        <v>24</v>
      </c>
      <c r="D37" s="64">
        <v>10000.0</v>
      </c>
      <c r="E37" s="65">
        <v>10000.0</v>
      </c>
      <c r="F37" s="65">
        <v>9000.0</v>
      </c>
      <c r="G37" s="65">
        <v>9000.0</v>
      </c>
      <c r="H37" s="68">
        <v>16000.0</v>
      </c>
      <c r="I37" s="68">
        <v>7000.0</v>
      </c>
      <c r="J37" s="102">
        <v>9000.0</v>
      </c>
      <c r="K37" s="234">
        <f t="shared" ref="K37:K38" si="7">AVERAGE(D37:J37)</f>
        <v>10000</v>
      </c>
      <c r="M37" s="5"/>
      <c r="N37" s="5"/>
    </row>
    <row r="38" ht="15.75" customHeight="1">
      <c r="A38" s="104"/>
      <c r="B38" s="52" t="s">
        <v>63</v>
      </c>
      <c r="C38" s="53" t="s">
        <v>24</v>
      </c>
      <c r="D38" s="64" t="s">
        <v>26</v>
      </c>
      <c r="E38" s="65">
        <v>7000.0</v>
      </c>
      <c r="F38" s="65">
        <v>12000.0</v>
      </c>
      <c r="G38" s="65">
        <v>17000.0</v>
      </c>
      <c r="H38" s="68" t="s">
        <v>26</v>
      </c>
      <c r="I38" s="68">
        <v>15000.0</v>
      </c>
      <c r="J38" s="102">
        <v>12000.0</v>
      </c>
      <c r="K38" s="234">
        <f t="shared" si="7"/>
        <v>12600</v>
      </c>
      <c r="M38" s="5"/>
      <c r="N38" s="5"/>
    </row>
    <row r="39" ht="15.75" customHeight="1">
      <c r="A39" s="104">
        <v>9.0</v>
      </c>
      <c r="B39" s="117" t="s">
        <v>64</v>
      </c>
      <c r="C39" s="118"/>
      <c r="D39" s="64"/>
      <c r="E39" s="65"/>
      <c r="F39" s="65"/>
      <c r="G39" s="65"/>
      <c r="H39" s="68"/>
      <c r="I39" s="68"/>
      <c r="J39" s="102"/>
      <c r="K39" s="240"/>
      <c r="M39" s="5"/>
      <c r="N39" s="5"/>
    </row>
    <row r="40" ht="15.75" customHeight="1">
      <c r="A40" s="104"/>
      <c r="B40" s="52" t="s">
        <v>65</v>
      </c>
      <c r="C40" s="53" t="s">
        <v>24</v>
      </c>
      <c r="D40" s="64" t="s">
        <v>26</v>
      </c>
      <c r="E40" s="65">
        <v>18000.0</v>
      </c>
      <c r="F40" s="65" t="s">
        <v>26</v>
      </c>
      <c r="G40" s="65">
        <v>16000.0</v>
      </c>
      <c r="H40" s="68">
        <v>14000.0</v>
      </c>
      <c r="I40" s="68">
        <v>7000.0</v>
      </c>
      <c r="J40" s="102">
        <v>15000.0</v>
      </c>
      <c r="K40" s="234">
        <f t="shared" ref="K40:K42" si="8">AVERAGE(D40:J40)</f>
        <v>14000</v>
      </c>
      <c r="M40" s="5"/>
      <c r="N40" s="5"/>
    </row>
    <row r="41" ht="15.75" customHeight="1">
      <c r="A41" s="104"/>
      <c r="B41" s="52" t="s">
        <v>66</v>
      </c>
      <c r="C41" s="53" t="s">
        <v>24</v>
      </c>
      <c r="D41" s="64">
        <v>2500.0</v>
      </c>
      <c r="E41" s="65">
        <v>12000.0</v>
      </c>
      <c r="F41" s="65">
        <v>6000.0</v>
      </c>
      <c r="G41" s="65" t="s">
        <v>26</v>
      </c>
      <c r="H41" s="68" t="s">
        <v>26</v>
      </c>
      <c r="I41" s="68" t="s">
        <v>26</v>
      </c>
      <c r="J41" s="102" t="s">
        <v>26</v>
      </c>
      <c r="K41" s="234">
        <f t="shared" si="8"/>
        <v>6833.333333</v>
      </c>
      <c r="M41" s="5"/>
      <c r="N41" s="5"/>
    </row>
    <row r="42" ht="15.75" customHeight="1">
      <c r="A42" s="104"/>
      <c r="B42" s="52" t="s">
        <v>67</v>
      </c>
      <c r="C42" s="53" t="s">
        <v>24</v>
      </c>
      <c r="D42" s="64" t="s">
        <v>26</v>
      </c>
      <c r="E42" s="65">
        <v>2000.0</v>
      </c>
      <c r="F42" s="65" t="s">
        <v>26</v>
      </c>
      <c r="G42" s="65" t="s">
        <v>26</v>
      </c>
      <c r="H42" s="68" t="s">
        <v>26</v>
      </c>
      <c r="I42" s="68" t="s">
        <v>26</v>
      </c>
      <c r="J42" s="102" t="s">
        <v>26</v>
      </c>
      <c r="K42" s="234">
        <f t="shared" si="8"/>
        <v>2000</v>
      </c>
      <c r="M42" s="5"/>
      <c r="N42" s="5"/>
    </row>
    <row r="43" ht="15.75" customHeight="1">
      <c r="A43" s="82">
        <v>10.0</v>
      </c>
      <c r="B43" s="83" t="s">
        <v>68</v>
      </c>
      <c r="C43" s="83"/>
      <c r="D43" s="238"/>
      <c r="E43" s="123"/>
      <c r="F43" s="239"/>
      <c r="G43" s="97"/>
      <c r="H43" s="109"/>
      <c r="I43" s="109"/>
      <c r="J43" s="244"/>
      <c r="K43" s="237"/>
      <c r="M43" s="5"/>
      <c r="N43" s="5"/>
    </row>
    <row r="44" ht="15.75" customHeight="1">
      <c r="A44" s="26"/>
      <c r="B44" s="52" t="s">
        <v>69</v>
      </c>
      <c r="C44" s="53" t="s">
        <v>70</v>
      </c>
      <c r="D44" s="64">
        <v>12500.0</v>
      </c>
      <c r="E44" s="65">
        <v>12000.0</v>
      </c>
      <c r="F44" s="65">
        <v>12500.0</v>
      </c>
      <c r="G44" s="65">
        <v>12000.0</v>
      </c>
      <c r="H44" s="107" t="s">
        <v>26</v>
      </c>
      <c r="I44" s="69">
        <v>12500.0</v>
      </c>
      <c r="J44" s="102">
        <v>12500.0</v>
      </c>
      <c r="K44" s="234">
        <f t="shared" ref="K44:K45" si="9">AVERAGE(D44:J44)</f>
        <v>12333.33333</v>
      </c>
      <c r="M44" s="5"/>
      <c r="N44" s="5"/>
    </row>
    <row r="45" ht="15.75" customHeight="1">
      <c r="A45" s="77"/>
      <c r="B45" s="52" t="s">
        <v>71</v>
      </c>
      <c r="C45" s="53" t="s">
        <v>70</v>
      </c>
      <c r="D45" s="64">
        <v>12500.0</v>
      </c>
      <c r="E45" s="65">
        <v>13000.0</v>
      </c>
      <c r="F45" s="66">
        <v>12500.0</v>
      </c>
      <c r="G45" s="65">
        <v>12000.0</v>
      </c>
      <c r="H45" s="107" t="s">
        <v>26</v>
      </c>
      <c r="I45" s="69">
        <v>12500.0</v>
      </c>
      <c r="J45" s="112">
        <v>12500.0</v>
      </c>
      <c r="K45" s="234">
        <f t="shared" si="9"/>
        <v>12500</v>
      </c>
      <c r="M45" s="5"/>
      <c r="N45" s="5"/>
    </row>
    <row r="46" ht="15.75" customHeight="1">
      <c r="A46" s="82">
        <v>11.0</v>
      </c>
      <c r="B46" s="83" t="s">
        <v>73</v>
      </c>
      <c r="C46" s="83"/>
      <c r="D46" s="238"/>
      <c r="E46" s="123"/>
      <c r="F46" s="97"/>
      <c r="G46" s="239"/>
      <c r="H46" s="109"/>
      <c r="I46" s="109"/>
      <c r="J46" s="110"/>
      <c r="K46" s="237"/>
      <c r="M46" s="5"/>
      <c r="N46" s="5"/>
    </row>
    <row r="47" ht="15.75" customHeight="1">
      <c r="A47" s="26"/>
      <c r="B47" s="52" t="s">
        <v>74</v>
      </c>
      <c r="C47" s="53" t="s">
        <v>75</v>
      </c>
      <c r="D47" s="64" t="s">
        <v>26</v>
      </c>
      <c r="E47" s="65" t="s">
        <v>26</v>
      </c>
      <c r="F47" s="114" t="s">
        <v>26</v>
      </c>
      <c r="G47" s="66" t="s">
        <v>26</v>
      </c>
      <c r="H47" s="68">
        <v>17500.0</v>
      </c>
      <c r="I47" s="69" t="s">
        <v>26</v>
      </c>
      <c r="J47" s="112" t="s">
        <v>26</v>
      </c>
      <c r="K47" s="234">
        <f t="shared" ref="K47:K48" si="10">AVERAGE(D47:J47)</f>
        <v>17500</v>
      </c>
      <c r="M47" s="5"/>
      <c r="N47" s="5"/>
    </row>
    <row r="48" ht="15.75" customHeight="1">
      <c r="A48" s="26"/>
      <c r="B48" s="52" t="s">
        <v>76</v>
      </c>
      <c r="C48" s="53" t="s">
        <v>77</v>
      </c>
      <c r="D48" s="64" t="s">
        <v>26</v>
      </c>
      <c r="E48" s="65" t="s">
        <v>26</v>
      </c>
      <c r="F48" s="114" t="s">
        <v>26</v>
      </c>
      <c r="G48" s="66" t="s">
        <v>26</v>
      </c>
      <c r="H48" s="68">
        <v>2000.0</v>
      </c>
      <c r="I48" s="69" t="s">
        <v>26</v>
      </c>
      <c r="J48" s="112" t="s">
        <v>26</v>
      </c>
      <c r="K48" s="234">
        <f t="shared" si="10"/>
        <v>2000</v>
      </c>
      <c r="M48" s="5"/>
      <c r="N48" s="5"/>
    </row>
    <row r="49" ht="15.75" customHeight="1">
      <c r="A49" s="104">
        <v>12.0</v>
      </c>
      <c r="B49" s="124" t="s">
        <v>78</v>
      </c>
      <c r="C49" s="115"/>
      <c r="D49" s="246"/>
      <c r="E49" s="114"/>
      <c r="F49" s="114"/>
      <c r="G49" s="138"/>
      <c r="H49" s="107"/>
      <c r="I49" s="107"/>
      <c r="J49" s="108"/>
      <c r="K49" s="237"/>
      <c r="M49" s="5"/>
      <c r="N49" s="5"/>
    </row>
    <row r="50" ht="15.75" customHeight="1">
      <c r="A50" s="104"/>
      <c r="B50" s="52" t="s">
        <v>79</v>
      </c>
      <c r="C50" s="129" t="s">
        <v>24</v>
      </c>
      <c r="D50" s="64">
        <v>10000.0</v>
      </c>
      <c r="E50" s="65">
        <v>8000.0</v>
      </c>
      <c r="F50" s="65">
        <v>10000.0</v>
      </c>
      <c r="G50" s="65">
        <v>10000.0</v>
      </c>
      <c r="H50" s="68">
        <v>9000.0</v>
      </c>
      <c r="I50" s="69">
        <v>10000.0</v>
      </c>
      <c r="J50" s="102">
        <v>8000.0</v>
      </c>
      <c r="K50" s="234">
        <f t="shared" ref="K50:K51" si="11">AVERAGE(D50:J50)</f>
        <v>9285.714286</v>
      </c>
      <c r="M50" s="5"/>
      <c r="N50" s="5"/>
    </row>
    <row r="51" ht="15.75" customHeight="1">
      <c r="A51" s="131"/>
      <c r="B51" s="52" t="s">
        <v>80</v>
      </c>
      <c r="C51" s="129" t="s">
        <v>24</v>
      </c>
      <c r="D51" s="64">
        <v>9000.0</v>
      </c>
      <c r="E51" s="65">
        <v>10000.0</v>
      </c>
      <c r="F51" s="66">
        <v>9000.0</v>
      </c>
      <c r="G51" s="65">
        <v>10000.0</v>
      </c>
      <c r="H51" s="68">
        <v>6000.0</v>
      </c>
      <c r="I51" s="68" t="s">
        <v>26</v>
      </c>
      <c r="J51" s="102">
        <v>6000.0</v>
      </c>
      <c r="K51" s="234">
        <f t="shared" si="11"/>
        <v>8333.333333</v>
      </c>
      <c r="M51" s="5"/>
      <c r="N51" s="5"/>
    </row>
    <row r="52" ht="15.75" customHeight="1">
      <c r="A52" s="82">
        <v>13.0</v>
      </c>
      <c r="B52" s="83" t="s">
        <v>81</v>
      </c>
      <c r="C52" s="83"/>
      <c r="D52" s="238"/>
      <c r="E52" s="123"/>
      <c r="F52" s="239"/>
      <c r="G52" s="239"/>
      <c r="H52" s="109"/>
      <c r="I52" s="109"/>
      <c r="J52" s="244"/>
      <c r="K52" s="237"/>
      <c r="M52" s="5"/>
      <c r="N52" s="5"/>
    </row>
    <row r="53" ht="15.75" customHeight="1">
      <c r="A53" s="77"/>
      <c r="B53" s="52" t="s">
        <v>82</v>
      </c>
      <c r="C53" s="53" t="s">
        <v>83</v>
      </c>
      <c r="D53" s="64">
        <v>3000.0</v>
      </c>
      <c r="E53" s="65">
        <v>8000.0</v>
      </c>
      <c r="F53" s="65">
        <v>5000.0</v>
      </c>
      <c r="G53" s="65">
        <v>5000.0</v>
      </c>
      <c r="H53" s="68">
        <v>2500.0</v>
      </c>
      <c r="I53" s="69">
        <v>2000.0</v>
      </c>
      <c r="J53" s="102">
        <v>2500.0</v>
      </c>
      <c r="K53" s="234">
        <f>AVERAGE(D53:J53)</f>
        <v>4000</v>
      </c>
      <c r="M53" s="5"/>
      <c r="N53" s="5"/>
    </row>
    <row r="54" ht="15.75" customHeight="1">
      <c r="A54" s="82">
        <v>14.0</v>
      </c>
      <c r="B54" s="83" t="s">
        <v>84</v>
      </c>
      <c r="C54" s="115"/>
      <c r="D54" s="132"/>
      <c r="E54" s="123"/>
      <c r="F54" s="133"/>
      <c r="G54" s="133"/>
      <c r="H54" s="247"/>
      <c r="I54" s="247"/>
      <c r="J54" s="248"/>
      <c r="K54" s="237"/>
      <c r="M54" s="5"/>
      <c r="N54" s="5"/>
    </row>
    <row r="55" ht="15.75" customHeight="1">
      <c r="A55" s="77"/>
      <c r="B55" s="137" t="s">
        <v>85</v>
      </c>
      <c r="C55" s="129" t="s">
        <v>24</v>
      </c>
      <c r="D55" s="64">
        <v>12000.0</v>
      </c>
      <c r="E55" s="65">
        <v>10500.0</v>
      </c>
      <c r="F55" s="65">
        <v>10000.0</v>
      </c>
      <c r="G55" s="65">
        <v>11000.0</v>
      </c>
      <c r="H55" s="68">
        <v>11000.0</v>
      </c>
      <c r="I55" s="68">
        <v>10000.0</v>
      </c>
      <c r="J55" s="102">
        <v>10000.0</v>
      </c>
      <c r="K55" s="234">
        <f>AVERAGE(D55:J55)</f>
        <v>10642.85714</v>
      </c>
      <c r="M55" s="5"/>
      <c r="N55" s="5"/>
    </row>
    <row r="56" ht="15.75" customHeight="1">
      <c r="A56" s="82">
        <v>15.0</v>
      </c>
      <c r="B56" s="83" t="s">
        <v>86</v>
      </c>
      <c r="C56" s="83"/>
      <c r="D56" s="238"/>
      <c r="E56" s="123"/>
      <c r="F56" s="239"/>
      <c r="G56" s="97"/>
      <c r="H56" s="109"/>
      <c r="I56" s="109"/>
      <c r="J56" s="244"/>
      <c r="K56" s="237"/>
      <c r="M56" s="5"/>
      <c r="N56" s="5"/>
    </row>
    <row r="57" ht="15.75" customHeight="1">
      <c r="A57" s="26"/>
      <c r="B57" s="52" t="s">
        <v>87</v>
      </c>
      <c r="C57" s="53" t="s">
        <v>24</v>
      </c>
      <c r="D57" s="64">
        <v>14000.0</v>
      </c>
      <c r="E57" s="65">
        <v>16000.0</v>
      </c>
      <c r="F57" s="65">
        <v>16000.0</v>
      </c>
      <c r="G57" s="65">
        <v>16000.0</v>
      </c>
      <c r="H57" s="68">
        <v>13000.0</v>
      </c>
      <c r="I57" s="68">
        <v>14000.0</v>
      </c>
      <c r="J57" s="102" t="s">
        <v>26</v>
      </c>
      <c r="K57" s="234">
        <f t="shared" ref="K57:K60" si="12">AVERAGE(D57:J57)</f>
        <v>14833.33333</v>
      </c>
      <c r="M57" s="5"/>
      <c r="N57" s="5"/>
    </row>
    <row r="58" ht="15.75" customHeight="1">
      <c r="A58" s="26"/>
      <c r="B58" s="52" t="s">
        <v>88</v>
      </c>
      <c r="C58" s="53" t="s">
        <v>24</v>
      </c>
      <c r="D58" s="64" t="s">
        <v>26</v>
      </c>
      <c r="E58" s="65">
        <v>14000.0</v>
      </c>
      <c r="F58" s="66">
        <v>15000.0</v>
      </c>
      <c r="G58" s="138" t="s">
        <v>26</v>
      </c>
      <c r="H58" s="139" t="s">
        <v>26</v>
      </c>
      <c r="I58" s="69" t="s">
        <v>26</v>
      </c>
      <c r="J58" s="102">
        <v>13500.0</v>
      </c>
      <c r="K58" s="234">
        <f t="shared" si="12"/>
        <v>14166.66667</v>
      </c>
      <c r="M58" s="5" t="s">
        <v>89</v>
      </c>
      <c r="N58" s="5"/>
    </row>
    <row r="59" ht="15.75" customHeight="1">
      <c r="A59" s="26"/>
      <c r="B59" s="52" t="s">
        <v>90</v>
      </c>
      <c r="C59" s="53" t="s">
        <v>24</v>
      </c>
      <c r="D59" s="64">
        <v>25000.0</v>
      </c>
      <c r="E59" s="65">
        <v>23000.0</v>
      </c>
      <c r="F59" s="65">
        <v>24000.0</v>
      </c>
      <c r="G59" s="65">
        <v>30000.0</v>
      </c>
      <c r="H59" s="68">
        <v>22000.0</v>
      </c>
      <c r="I59" s="68">
        <v>25000.0</v>
      </c>
      <c r="J59" s="102">
        <v>26000.0</v>
      </c>
      <c r="K59" s="234">
        <f t="shared" si="12"/>
        <v>25000</v>
      </c>
      <c r="M59" s="5"/>
      <c r="N59" s="140"/>
    </row>
    <row r="60" ht="15.75" customHeight="1">
      <c r="A60" s="77"/>
      <c r="B60" s="52" t="s">
        <v>91</v>
      </c>
      <c r="C60" s="53" t="s">
        <v>24</v>
      </c>
      <c r="D60" s="64">
        <v>30000.0</v>
      </c>
      <c r="E60" s="65">
        <v>30000.0</v>
      </c>
      <c r="F60" s="65">
        <v>30000.0</v>
      </c>
      <c r="G60" s="65">
        <v>30000.0</v>
      </c>
      <c r="H60" s="68">
        <v>26000.0</v>
      </c>
      <c r="I60" s="68">
        <v>28000.0</v>
      </c>
      <c r="J60" s="102">
        <v>28000.0</v>
      </c>
      <c r="K60" s="234">
        <f t="shared" si="12"/>
        <v>28857.14286</v>
      </c>
      <c r="M60" s="5"/>
      <c r="N60" s="5"/>
    </row>
    <row r="61" ht="15.75" customHeight="1">
      <c r="A61" s="141">
        <v>16.0</v>
      </c>
      <c r="B61" s="83" t="s">
        <v>92</v>
      </c>
      <c r="C61" s="115"/>
      <c r="D61" s="250"/>
      <c r="E61" s="114"/>
      <c r="F61" s="138"/>
      <c r="G61" s="114"/>
      <c r="H61" s="107"/>
      <c r="I61" s="107"/>
      <c r="J61" s="251"/>
      <c r="K61" s="237"/>
      <c r="M61" s="5"/>
      <c r="N61" s="5"/>
    </row>
    <row r="62" ht="15.75" customHeight="1">
      <c r="A62" s="144"/>
      <c r="B62" s="52" t="s">
        <v>93</v>
      </c>
      <c r="C62" s="129" t="s">
        <v>94</v>
      </c>
      <c r="D62" s="64">
        <v>3000.0</v>
      </c>
      <c r="E62" s="65">
        <v>3200.0</v>
      </c>
      <c r="F62" s="65">
        <v>3000.0</v>
      </c>
      <c r="G62" s="65">
        <v>3000.0</v>
      </c>
      <c r="H62" s="107" t="s">
        <v>26</v>
      </c>
      <c r="I62" s="69">
        <v>3500.0</v>
      </c>
      <c r="J62" s="102">
        <v>3500.0</v>
      </c>
      <c r="K62" s="234">
        <f>AVERAGE(D62:J62)</f>
        <v>3200</v>
      </c>
      <c r="M62" s="5"/>
      <c r="N62" s="5"/>
    </row>
    <row r="63" ht="15.75" customHeight="1">
      <c r="A63" s="82">
        <v>17.0</v>
      </c>
      <c r="B63" s="83" t="s">
        <v>96</v>
      </c>
      <c r="C63" s="83"/>
      <c r="D63" s="238"/>
      <c r="E63" s="123"/>
      <c r="F63" s="239"/>
      <c r="G63" s="239"/>
      <c r="H63" s="109"/>
      <c r="I63" s="109"/>
      <c r="J63" s="244"/>
      <c r="K63" s="237"/>
      <c r="M63" s="5"/>
      <c r="N63" s="5"/>
    </row>
    <row r="64" ht="15.75" customHeight="1">
      <c r="A64" s="26"/>
      <c r="B64" s="52" t="s">
        <v>97</v>
      </c>
      <c r="C64" s="53" t="s">
        <v>24</v>
      </c>
      <c r="D64" s="64">
        <v>32000.0</v>
      </c>
      <c r="E64" s="65">
        <v>30000.0</v>
      </c>
      <c r="F64" s="65">
        <v>28000.0</v>
      </c>
      <c r="G64" s="65">
        <v>30000.0</v>
      </c>
      <c r="H64" s="68">
        <v>25000.0</v>
      </c>
      <c r="I64" s="68">
        <v>35000.0</v>
      </c>
      <c r="J64" s="102">
        <v>30000.0</v>
      </c>
      <c r="K64" s="234">
        <f t="shared" ref="K64:K66" si="13">AVERAGE(D64:J64)</f>
        <v>30000</v>
      </c>
      <c r="M64" s="5"/>
      <c r="N64" s="5"/>
    </row>
    <row r="65" ht="15.75" customHeight="1">
      <c r="A65" s="26"/>
      <c r="B65" s="52" t="s">
        <v>98</v>
      </c>
      <c r="C65" s="53" t="s">
        <v>24</v>
      </c>
      <c r="D65" s="64">
        <v>30000.0</v>
      </c>
      <c r="E65" s="65">
        <v>25000.0</v>
      </c>
      <c r="F65" s="65">
        <v>24000.0</v>
      </c>
      <c r="G65" s="65">
        <v>30000.0</v>
      </c>
      <c r="H65" s="139" t="s">
        <v>26</v>
      </c>
      <c r="I65" s="69">
        <v>35000.0</v>
      </c>
      <c r="J65" s="102" t="s">
        <v>26</v>
      </c>
      <c r="K65" s="234">
        <f t="shared" si="13"/>
        <v>28800</v>
      </c>
      <c r="M65" s="5"/>
      <c r="N65" s="5"/>
    </row>
    <row r="66" ht="15.75" customHeight="1">
      <c r="A66" s="77"/>
      <c r="B66" s="52" t="s">
        <v>99</v>
      </c>
      <c r="C66" s="53" t="s">
        <v>24</v>
      </c>
      <c r="D66" s="64">
        <v>35000.0</v>
      </c>
      <c r="E66" s="65">
        <v>35000.0</v>
      </c>
      <c r="F66" s="65">
        <v>28000.0</v>
      </c>
      <c r="G66" s="65">
        <v>35000.0</v>
      </c>
      <c r="H66" s="68">
        <v>28000.0</v>
      </c>
      <c r="I66" s="68">
        <v>40000.0</v>
      </c>
      <c r="J66" s="102">
        <v>35000.0</v>
      </c>
      <c r="K66" s="234">
        <f t="shared" si="13"/>
        <v>33714.28571</v>
      </c>
      <c r="M66" s="5"/>
      <c r="N66" s="5"/>
    </row>
    <row r="67" ht="15.75" customHeight="1">
      <c r="A67" s="141">
        <v>18.0</v>
      </c>
      <c r="B67" s="83" t="s">
        <v>100</v>
      </c>
      <c r="C67" s="115"/>
      <c r="D67" s="253"/>
      <c r="E67" s="114"/>
      <c r="F67" s="138"/>
      <c r="G67" s="114"/>
      <c r="H67" s="107"/>
      <c r="I67" s="107"/>
      <c r="J67" s="108"/>
      <c r="K67" s="237"/>
      <c r="M67" s="5"/>
      <c r="N67" s="5"/>
    </row>
    <row r="68" ht="15.75" customHeight="1">
      <c r="A68" s="144"/>
      <c r="B68" s="52" t="s">
        <v>101</v>
      </c>
      <c r="C68" s="53" t="s">
        <v>102</v>
      </c>
      <c r="D68" s="64">
        <v>20000.0</v>
      </c>
      <c r="E68" s="65">
        <v>18000.0</v>
      </c>
      <c r="F68" s="65">
        <v>18000.0</v>
      </c>
      <c r="G68" s="65">
        <v>18000.0</v>
      </c>
      <c r="H68" s="107" t="s">
        <v>26</v>
      </c>
      <c r="I68" s="68">
        <v>18000.0</v>
      </c>
      <c r="J68" s="112">
        <v>18000.0</v>
      </c>
      <c r="K68" s="234">
        <f>AVERAGE(D68:J68)</f>
        <v>18333.33333</v>
      </c>
      <c r="M68" s="5"/>
      <c r="N68" s="5"/>
    </row>
    <row r="69" ht="15.75" customHeight="1">
      <c r="A69" s="82">
        <v>19.0</v>
      </c>
      <c r="B69" s="83" t="s">
        <v>103</v>
      </c>
      <c r="C69" s="83"/>
      <c r="D69" s="238"/>
      <c r="E69" s="123"/>
      <c r="F69" s="97"/>
      <c r="G69" s="97"/>
      <c r="H69" s="109"/>
      <c r="I69" s="109"/>
      <c r="J69" s="110"/>
      <c r="K69" s="237"/>
      <c r="M69" s="5"/>
      <c r="N69" s="5"/>
    </row>
    <row r="70" ht="15.75" customHeight="1">
      <c r="A70" s="26"/>
      <c r="B70" s="52" t="s">
        <v>104</v>
      </c>
      <c r="C70" s="53" t="s">
        <v>24</v>
      </c>
      <c r="D70" s="64">
        <v>34000.0</v>
      </c>
      <c r="E70" s="65">
        <v>35000.0</v>
      </c>
      <c r="F70" s="65">
        <v>36000.0</v>
      </c>
      <c r="G70" s="65">
        <v>35000.0</v>
      </c>
      <c r="H70" s="68">
        <v>33000.0</v>
      </c>
      <c r="I70" s="68">
        <v>35000.0</v>
      </c>
      <c r="J70" s="102">
        <v>35000.0</v>
      </c>
      <c r="K70" s="234">
        <f t="shared" ref="K70:K73" si="14">AVERAGE(D70:J70)</f>
        <v>34714.28571</v>
      </c>
      <c r="M70" s="5"/>
      <c r="N70" s="5"/>
    </row>
    <row r="71" ht="15.75" customHeight="1">
      <c r="A71" s="26"/>
      <c r="B71" s="52" t="s">
        <v>105</v>
      </c>
      <c r="C71" s="53" t="s">
        <v>24</v>
      </c>
      <c r="D71" s="64">
        <v>32000.0</v>
      </c>
      <c r="E71" s="65">
        <v>35000.0</v>
      </c>
      <c r="F71" s="65">
        <v>34000.0</v>
      </c>
      <c r="G71" s="65">
        <v>30000.0</v>
      </c>
      <c r="H71" s="68">
        <v>33000.0</v>
      </c>
      <c r="I71" s="68">
        <v>30000.0</v>
      </c>
      <c r="J71" s="102">
        <v>28000.0</v>
      </c>
      <c r="K71" s="234">
        <f t="shared" si="14"/>
        <v>31714.28571</v>
      </c>
      <c r="M71" s="5"/>
      <c r="N71" s="5"/>
    </row>
    <row r="72" ht="15.75" customHeight="1">
      <c r="A72" s="26"/>
      <c r="B72" s="52" t="s">
        <v>106</v>
      </c>
      <c r="C72" s="53" t="s">
        <v>24</v>
      </c>
      <c r="D72" s="64">
        <v>35000.0</v>
      </c>
      <c r="E72" s="65">
        <v>35000.0</v>
      </c>
      <c r="F72" s="65">
        <v>40000.0</v>
      </c>
      <c r="G72" s="65">
        <v>35000.0</v>
      </c>
      <c r="H72" s="68">
        <v>32000.0</v>
      </c>
      <c r="I72" s="68">
        <v>35000.0</v>
      </c>
      <c r="J72" s="102">
        <v>33000.0</v>
      </c>
      <c r="K72" s="234">
        <f t="shared" si="14"/>
        <v>35000</v>
      </c>
      <c r="M72" s="5"/>
      <c r="N72" s="5"/>
    </row>
    <row r="73" ht="15.75" customHeight="1">
      <c r="A73" s="77"/>
      <c r="B73" s="52" t="s">
        <v>107</v>
      </c>
      <c r="C73" s="53" t="s">
        <v>24</v>
      </c>
      <c r="D73" s="64">
        <v>36000.0</v>
      </c>
      <c r="E73" s="65">
        <v>41000.0</v>
      </c>
      <c r="F73" s="66">
        <v>38000.0</v>
      </c>
      <c r="G73" s="66">
        <v>35000.0</v>
      </c>
      <c r="H73" s="68">
        <v>40000.0</v>
      </c>
      <c r="I73" s="68">
        <v>50000.0</v>
      </c>
      <c r="J73" s="102">
        <v>30000.0</v>
      </c>
      <c r="K73" s="234">
        <f t="shared" si="14"/>
        <v>38571.42857</v>
      </c>
      <c r="M73" s="5"/>
      <c r="N73" s="5"/>
    </row>
    <row r="74" ht="15.75" customHeight="1">
      <c r="A74" s="141">
        <v>20.0</v>
      </c>
      <c r="B74" s="83" t="s">
        <v>108</v>
      </c>
      <c r="C74" s="115"/>
      <c r="D74" s="253"/>
      <c r="E74" s="114"/>
      <c r="F74" s="114"/>
      <c r="G74" s="255"/>
      <c r="H74" s="107"/>
      <c r="I74" s="107"/>
      <c r="J74" s="251"/>
      <c r="K74" s="237"/>
      <c r="M74" s="5"/>
      <c r="N74" s="5"/>
    </row>
    <row r="75" ht="15.75" customHeight="1">
      <c r="A75" s="147"/>
      <c r="B75" s="52" t="s">
        <v>109</v>
      </c>
      <c r="C75" s="129" t="s">
        <v>24</v>
      </c>
      <c r="D75" s="64">
        <v>6000.0</v>
      </c>
      <c r="E75" s="65">
        <v>7000.0</v>
      </c>
      <c r="F75" s="65">
        <v>5000.0</v>
      </c>
      <c r="G75" s="65">
        <v>6000.0</v>
      </c>
      <c r="H75" s="68">
        <v>4000.0</v>
      </c>
      <c r="I75" s="68">
        <v>5000.0</v>
      </c>
      <c r="J75" s="102">
        <v>5000.0</v>
      </c>
      <c r="K75" s="234">
        <f t="shared" ref="K75:K76" si="15">AVERAGE(D75:J75)</f>
        <v>5428.571429</v>
      </c>
      <c r="M75" s="5"/>
      <c r="N75" s="5"/>
    </row>
    <row r="76" ht="15.75" customHeight="1">
      <c r="A76" s="144"/>
      <c r="B76" s="52" t="s">
        <v>110</v>
      </c>
      <c r="C76" s="129" t="s">
        <v>24</v>
      </c>
      <c r="D76" s="64">
        <v>6000.0</v>
      </c>
      <c r="E76" s="65" t="s">
        <v>26</v>
      </c>
      <c r="F76" s="66">
        <v>6000.0</v>
      </c>
      <c r="G76" s="66">
        <v>6000.0</v>
      </c>
      <c r="H76" s="68">
        <v>5000.0</v>
      </c>
      <c r="I76" s="68">
        <v>5000.0</v>
      </c>
      <c r="J76" s="112">
        <v>6000.0</v>
      </c>
      <c r="K76" s="234">
        <f t="shared" si="15"/>
        <v>5666.666667</v>
      </c>
      <c r="M76" s="5"/>
      <c r="N76" s="5"/>
    </row>
    <row r="77" ht="15.75" customHeight="1">
      <c r="A77" s="141">
        <v>21.0</v>
      </c>
      <c r="B77" s="83" t="s">
        <v>111</v>
      </c>
      <c r="C77" s="115"/>
      <c r="D77" s="246"/>
      <c r="E77" s="114"/>
      <c r="F77" s="114"/>
      <c r="G77" s="138"/>
      <c r="H77" s="107"/>
      <c r="I77" s="107"/>
      <c r="J77" s="108"/>
      <c r="K77" s="237"/>
      <c r="M77" s="5"/>
      <c r="N77" s="5"/>
    </row>
    <row r="78" ht="15.75" customHeight="1">
      <c r="A78" s="147"/>
      <c r="B78" s="52" t="s">
        <v>112</v>
      </c>
      <c r="C78" s="129" t="s">
        <v>24</v>
      </c>
      <c r="D78" s="64">
        <v>7000.0</v>
      </c>
      <c r="E78" s="65">
        <v>8000.0</v>
      </c>
      <c r="F78" s="65">
        <v>9000.0</v>
      </c>
      <c r="G78" s="65">
        <v>8000.0</v>
      </c>
      <c r="H78" s="68">
        <v>9000.0</v>
      </c>
      <c r="I78" s="69">
        <v>8000.0</v>
      </c>
      <c r="J78" s="102">
        <v>6000.0</v>
      </c>
      <c r="K78" s="234">
        <f t="shared" ref="K78:K86" si="16">AVERAGE(D78:J78)</f>
        <v>7857.142857</v>
      </c>
      <c r="M78" s="5"/>
      <c r="N78" s="5"/>
    </row>
    <row r="79" ht="15.75" customHeight="1">
      <c r="A79" s="147"/>
      <c r="B79" s="52" t="s">
        <v>113</v>
      </c>
      <c r="C79" s="129" t="s">
        <v>24</v>
      </c>
      <c r="D79" s="64">
        <v>14000.0</v>
      </c>
      <c r="E79" s="65">
        <v>12000.0</v>
      </c>
      <c r="F79" s="65">
        <v>15000.0</v>
      </c>
      <c r="G79" s="65">
        <v>15000.0</v>
      </c>
      <c r="H79" s="68">
        <v>10000.0</v>
      </c>
      <c r="I79" s="69">
        <v>15000.0</v>
      </c>
      <c r="J79" s="102">
        <v>15000.0</v>
      </c>
      <c r="K79" s="234">
        <f t="shared" si="16"/>
        <v>13714.28571</v>
      </c>
      <c r="M79" s="5"/>
      <c r="N79" s="5"/>
    </row>
    <row r="80" ht="15.75" customHeight="1">
      <c r="A80" s="147"/>
      <c r="B80" s="52" t="s">
        <v>114</v>
      </c>
      <c r="C80" s="129" t="s">
        <v>24</v>
      </c>
      <c r="D80" s="64">
        <v>14000.0</v>
      </c>
      <c r="E80" s="65">
        <v>16000.0</v>
      </c>
      <c r="F80" s="65">
        <v>16000.0</v>
      </c>
      <c r="G80" s="65">
        <v>16000.0</v>
      </c>
      <c r="H80" s="68">
        <v>15000.0</v>
      </c>
      <c r="I80" s="68">
        <v>17000.0</v>
      </c>
      <c r="J80" s="102">
        <v>13000.0</v>
      </c>
      <c r="K80" s="234">
        <f t="shared" si="16"/>
        <v>15285.71429</v>
      </c>
      <c r="M80" s="5"/>
      <c r="N80" s="5"/>
    </row>
    <row r="81" ht="15.75" customHeight="1">
      <c r="A81" s="147"/>
      <c r="B81" s="52" t="s">
        <v>115</v>
      </c>
      <c r="C81" s="129" t="s">
        <v>24</v>
      </c>
      <c r="D81" s="64">
        <v>16000.0</v>
      </c>
      <c r="E81" s="65">
        <v>15000.0</v>
      </c>
      <c r="F81" s="65">
        <v>14000.0</v>
      </c>
      <c r="G81" s="65">
        <v>15000.0</v>
      </c>
      <c r="H81" s="68">
        <v>10000.0</v>
      </c>
      <c r="I81" s="69">
        <v>12000.0</v>
      </c>
      <c r="J81" s="102">
        <v>10000.0</v>
      </c>
      <c r="K81" s="234">
        <f t="shared" si="16"/>
        <v>13142.85714</v>
      </c>
      <c r="M81" s="5"/>
      <c r="N81" s="5"/>
    </row>
    <row r="82" ht="15.75" customHeight="1">
      <c r="A82" s="147"/>
      <c r="B82" s="52" t="s">
        <v>116</v>
      </c>
      <c r="C82" s="129" t="s">
        <v>24</v>
      </c>
      <c r="D82" s="64">
        <v>9000.0</v>
      </c>
      <c r="E82" s="65">
        <v>10000.0</v>
      </c>
      <c r="F82" s="65">
        <v>13000.0</v>
      </c>
      <c r="G82" s="65">
        <v>13000.0</v>
      </c>
      <c r="H82" s="68">
        <v>10000.0</v>
      </c>
      <c r="I82" s="68">
        <v>14000.0</v>
      </c>
      <c r="J82" s="102">
        <v>10000.0</v>
      </c>
      <c r="K82" s="234">
        <f t="shared" si="16"/>
        <v>11285.71429</v>
      </c>
      <c r="M82" s="5"/>
      <c r="N82" s="5"/>
    </row>
    <row r="83" ht="15.75" customHeight="1">
      <c r="A83" s="147"/>
      <c r="B83" s="52" t="s">
        <v>117</v>
      </c>
      <c r="C83" s="129" t="s">
        <v>24</v>
      </c>
      <c r="D83" s="64">
        <v>9000.0</v>
      </c>
      <c r="E83" s="65">
        <v>10000.0</v>
      </c>
      <c r="F83" s="66">
        <v>10000.0</v>
      </c>
      <c r="G83" s="66">
        <v>10000.0</v>
      </c>
      <c r="H83" s="68">
        <v>9000.0</v>
      </c>
      <c r="I83" s="69">
        <v>10000.0</v>
      </c>
      <c r="J83" s="102">
        <v>8000.0</v>
      </c>
      <c r="K83" s="234">
        <f t="shared" si="16"/>
        <v>9428.571429</v>
      </c>
      <c r="M83" s="5"/>
      <c r="N83" s="5"/>
    </row>
    <row r="84" ht="15.75" customHeight="1">
      <c r="A84" s="147"/>
      <c r="B84" s="52" t="s">
        <v>118</v>
      </c>
      <c r="C84" s="129" t="s">
        <v>119</v>
      </c>
      <c r="D84" s="64">
        <v>2000.0</v>
      </c>
      <c r="E84" s="65" t="s">
        <v>26</v>
      </c>
      <c r="F84" s="65">
        <v>2000.0</v>
      </c>
      <c r="G84" s="66">
        <v>2000.0</v>
      </c>
      <c r="H84" s="68">
        <v>1500.0</v>
      </c>
      <c r="I84" s="68">
        <v>2000.0</v>
      </c>
      <c r="J84" s="112">
        <v>2000.0</v>
      </c>
      <c r="K84" s="234">
        <f t="shared" si="16"/>
        <v>1916.666667</v>
      </c>
      <c r="M84" s="5"/>
      <c r="N84" s="5"/>
    </row>
    <row r="85" ht="15.75" customHeight="1">
      <c r="A85" s="147"/>
      <c r="B85" s="52" t="s">
        <v>120</v>
      </c>
      <c r="C85" s="129" t="s">
        <v>119</v>
      </c>
      <c r="D85" s="64">
        <v>2000.0</v>
      </c>
      <c r="E85" s="65" t="s">
        <v>26</v>
      </c>
      <c r="F85" s="65">
        <v>2000.0</v>
      </c>
      <c r="G85" s="66">
        <v>2000.0</v>
      </c>
      <c r="H85" s="68">
        <v>1500.0</v>
      </c>
      <c r="I85" s="68">
        <v>1500.0</v>
      </c>
      <c r="J85" s="112">
        <v>1500.0</v>
      </c>
      <c r="K85" s="234">
        <f t="shared" si="16"/>
        <v>1750</v>
      </c>
      <c r="M85" s="5"/>
      <c r="N85" s="5"/>
    </row>
    <row r="86" ht="15.75" customHeight="1">
      <c r="A86" s="144"/>
      <c r="B86" s="52" t="s">
        <v>121</v>
      </c>
      <c r="C86" s="129" t="s">
        <v>119</v>
      </c>
      <c r="D86" s="64" t="s">
        <v>26</v>
      </c>
      <c r="E86" s="65" t="s">
        <v>26</v>
      </c>
      <c r="F86" s="65" t="s">
        <v>26</v>
      </c>
      <c r="G86" s="66" t="s">
        <v>26</v>
      </c>
      <c r="H86" s="68">
        <v>2000.0</v>
      </c>
      <c r="I86" s="68" t="s">
        <v>26</v>
      </c>
      <c r="J86" s="112">
        <v>2000.0</v>
      </c>
      <c r="K86" s="234">
        <f t="shared" si="16"/>
        <v>2000</v>
      </c>
      <c r="M86" s="5"/>
      <c r="N86" s="5"/>
    </row>
    <row r="87" ht="15.75" customHeight="1">
      <c r="A87" s="141">
        <v>22.0</v>
      </c>
      <c r="B87" s="83" t="s">
        <v>122</v>
      </c>
      <c r="C87" s="115"/>
      <c r="D87" s="257"/>
      <c r="E87" s="114"/>
      <c r="F87" s="114" t="s">
        <v>123</v>
      </c>
      <c r="G87" s="138"/>
      <c r="H87" s="107"/>
      <c r="I87" s="107"/>
      <c r="J87" s="108"/>
      <c r="K87" s="237"/>
      <c r="M87" s="5"/>
      <c r="N87" s="5"/>
    </row>
    <row r="88" ht="15.75" customHeight="1">
      <c r="A88" s="144"/>
      <c r="B88" s="52" t="s">
        <v>124</v>
      </c>
      <c r="C88" s="129" t="s">
        <v>125</v>
      </c>
      <c r="D88" s="64">
        <v>18000.0</v>
      </c>
      <c r="E88" s="65" t="s">
        <v>26</v>
      </c>
      <c r="F88" s="65">
        <v>18000.0</v>
      </c>
      <c r="G88" s="66">
        <v>17000.0</v>
      </c>
      <c r="H88" s="107" t="s">
        <v>26</v>
      </c>
      <c r="I88" s="69">
        <v>19000.0</v>
      </c>
      <c r="J88" s="112">
        <v>18000.0</v>
      </c>
      <c r="K88" s="234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146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14000.0</v>
      </c>
      <c r="G8" s="65">
        <v>13000.0</v>
      </c>
      <c r="H8" s="65">
        <v>12000.0</v>
      </c>
      <c r="I8" s="65">
        <v>13500.0</v>
      </c>
      <c r="J8" s="66">
        <v>13500.0</v>
      </c>
      <c r="K8" s="243">
        <f t="shared" ref="K8:K12" si="1">AVERAGE(D8:J8)</f>
        <v>13142.85714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10000.0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9250</v>
      </c>
      <c r="M9" s="5"/>
      <c r="N9" s="5"/>
    </row>
    <row r="10">
      <c r="A10" s="29"/>
      <c r="B10" s="175" t="s">
        <v>27</v>
      </c>
      <c r="C10" s="123" t="s">
        <v>24</v>
      </c>
      <c r="D10" s="65">
        <v>11000.0</v>
      </c>
      <c r="E10" s="65">
        <v>11000.0</v>
      </c>
      <c r="F10" s="65">
        <v>12000.0</v>
      </c>
      <c r="G10" s="66">
        <v>10300.0</v>
      </c>
      <c r="H10" s="65" t="s">
        <v>26</v>
      </c>
      <c r="I10" s="65">
        <v>10000.0</v>
      </c>
      <c r="J10" s="66" t="s">
        <v>26</v>
      </c>
      <c r="K10" s="243">
        <f t="shared" si="1"/>
        <v>10860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12000.0</v>
      </c>
      <c r="H11" s="65" t="s">
        <v>26</v>
      </c>
      <c r="I11" s="66">
        <v>11000.0</v>
      </c>
      <c r="J11" s="66">
        <v>8000.0</v>
      </c>
      <c r="K11" s="243">
        <f t="shared" si="1"/>
        <v>10600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13500.0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13285.71429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20000.0</v>
      </c>
      <c r="G15" s="66">
        <v>16000.0</v>
      </c>
      <c r="H15" s="65">
        <v>15000.0</v>
      </c>
      <c r="I15" s="65">
        <v>16000.0</v>
      </c>
      <c r="J15" s="181">
        <v>16000.0</v>
      </c>
      <c r="K15" s="243">
        <f t="shared" si="2"/>
        <v>16285.71429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14500.0</v>
      </c>
      <c r="E17" s="65">
        <v>15000.0</v>
      </c>
      <c r="F17" s="65">
        <v>17000.0</v>
      </c>
      <c r="G17" s="65">
        <v>15500.0</v>
      </c>
      <c r="H17" s="65">
        <v>14000.0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114000.0</v>
      </c>
      <c r="I23" s="65">
        <v>115000.0</v>
      </c>
      <c r="J23" s="181">
        <v>115000.0</v>
      </c>
      <c r="K23" s="243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35000.0</v>
      </c>
      <c r="E25" s="65">
        <v>37000.0</v>
      </c>
      <c r="F25" s="65">
        <v>37000.0</v>
      </c>
      <c r="G25" s="65">
        <v>36000.0</v>
      </c>
      <c r="H25" s="181">
        <v>40000.0</v>
      </c>
      <c r="I25" s="65">
        <v>38000.0</v>
      </c>
      <c r="J25" s="181">
        <v>38000.0</v>
      </c>
      <c r="K25" s="243">
        <f t="shared" si="4"/>
        <v>37285.71429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40000.0</v>
      </c>
      <c r="F27" s="65" t="s">
        <v>26</v>
      </c>
      <c r="G27" s="65">
        <v>35000.0</v>
      </c>
      <c r="H27" s="65">
        <v>30000.0</v>
      </c>
      <c r="I27" s="65">
        <v>40000.0</v>
      </c>
      <c r="J27" s="181">
        <v>35000.0</v>
      </c>
      <c r="K27" s="243">
        <f t="shared" ref="K27:K32" si="5">AVERAGE(D27:J27)</f>
        <v>35833.33333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30000.0</v>
      </c>
      <c r="G28" s="66">
        <v>30000.0</v>
      </c>
      <c r="H28" s="65">
        <v>23000.0</v>
      </c>
      <c r="I28" s="65">
        <v>26000.0</v>
      </c>
      <c r="J28" s="185">
        <v>24000.0</v>
      </c>
      <c r="K28" s="243">
        <f t="shared" si="5"/>
        <v>26285.71429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75000.0</v>
      </c>
      <c r="H29" s="65">
        <v>58000.0</v>
      </c>
      <c r="I29" s="65">
        <v>60000.0</v>
      </c>
      <c r="J29" s="185">
        <v>55000.0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28000.0</v>
      </c>
      <c r="I31" s="65">
        <v>40000.0</v>
      </c>
      <c r="J31" s="181">
        <v>35000.0</v>
      </c>
      <c r="K31" s="243">
        <f t="shared" si="5"/>
        <v>36142.85714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110000.0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 t="s">
        <v>57</v>
      </c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30000.0</v>
      </c>
      <c r="E34" s="65">
        <v>30000.0</v>
      </c>
      <c r="F34" s="65">
        <v>31000.0</v>
      </c>
      <c r="G34" s="65">
        <v>29500.0</v>
      </c>
      <c r="H34" s="65">
        <v>29000.0</v>
      </c>
      <c r="I34" s="65">
        <v>27000.0</v>
      </c>
      <c r="J34" s="181">
        <v>29500.0</v>
      </c>
      <c r="K34" s="243">
        <f t="shared" ref="K34:K35" si="6">AVERAGE(D34:J34)</f>
        <v>29428.57143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13000.0</v>
      </c>
      <c r="G44" s="65">
        <v>12000.0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13000.0</v>
      </c>
      <c r="G45" s="65">
        <v>12000.0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11000.0</v>
      </c>
      <c r="I55" s="65">
        <v>10000.0</v>
      </c>
      <c r="J55" s="181">
        <v>10000.0</v>
      </c>
      <c r="K55" s="243">
        <f>AVERAGE(D55:J55)</f>
        <v>10642.85714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>
        <v>16000.0</v>
      </c>
      <c r="H57" s="65">
        <v>13000.0</v>
      </c>
      <c r="I57" s="65">
        <v>14000.0</v>
      </c>
      <c r="J57" s="181" t="s">
        <v>26</v>
      </c>
      <c r="K57" s="243">
        <f t="shared" ref="K57:K60" si="12">AVERAGE(D57:J57)</f>
        <v>14833.33333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30000.0</v>
      </c>
      <c r="H59" s="65">
        <v>22000.0</v>
      </c>
      <c r="I59" s="65">
        <v>25000.0</v>
      </c>
      <c r="J59" s="181">
        <v>26000.0</v>
      </c>
      <c r="K59" s="243">
        <f t="shared" si="12"/>
        <v>25000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32000.0</v>
      </c>
      <c r="E64" s="65">
        <v>30000.0</v>
      </c>
      <c r="F64" s="65">
        <v>25000.0</v>
      </c>
      <c r="G64" s="65">
        <v>30000.0</v>
      </c>
      <c r="H64" s="65">
        <v>25000.0</v>
      </c>
      <c r="I64" s="65">
        <v>32000.0</v>
      </c>
      <c r="J64" s="181">
        <v>30000.0</v>
      </c>
      <c r="K64" s="243">
        <f t="shared" ref="K64:K66" si="13">AVERAGE(D64:J64)</f>
        <v>29142.85714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30000.0</v>
      </c>
      <c r="E65" s="65">
        <v>25000.0</v>
      </c>
      <c r="F65" s="65">
        <v>25000.0</v>
      </c>
      <c r="G65" s="65">
        <v>30000.0</v>
      </c>
      <c r="H65" s="199" t="s">
        <v>26</v>
      </c>
      <c r="I65" s="66">
        <v>25000.0</v>
      </c>
      <c r="J65" s="181" t="s">
        <v>26</v>
      </c>
      <c r="K65" s="243">
        <f t="shared" si="13"/>
        <v>27000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35000.0</v>
      </c>
      <c r="E66" s="65">
        <v>35000.0</v>
      </c>
      <c r="F66" s="65">
        <v>28000.0</v>
      </c>
      <c r="G66" s="65">
        <v>35000.0</v>
      </c>
      <c r="H66" s="65">
        <v>28000.0</v>
      </c>
      <c r="I66" s="65">
        <v>33000.0</v>
      </c>
      <c r="J66" s="181">
        <v>35000.0</v>
      </c>
      <c r="K66" s="243">
        <f t="shared" si="13"/>
        <v>32714.28571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36000.0</v>
      </c>
      <c r="G70" s="65">
        <v>35000.0</v>
      </c>
      <c r="H70" s="65">
        <v>33000.0</v>
      </c>
      <c r="I70" s="65">
        <v>35000.0</v>
      </c>
      <c r="J70" s="181">
        <v>35000.0</v>
      </c>
      <c r="K70" s="243">
        <f t="shared" ref="K70:K73" si="14">AVERAGE(D70:J70)</f>
        <v>34714.28571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35000.0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f t="shared" si="14"/>
        <v>31857.14286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40000.0</v>
      </c>
      <c r="G72" s="65">
        <v>35000.0</v>
      </c>
      <c r="H72" s="65">
        <v>32000.0</v>
      </c>
      <c r="I72" s="65">
        <v>35000.0</v>
      </c>
      <c r="J72" s="181">
        <v>33000.0</v>
      </c>
      <c r="K72" s="243">
        <f t="shared" si="14"/>
        <v>35000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36000.0</v>
      </c>
      <c r="E73" s="65">
        <v>41000.0</v>
      </c>
      <c r="F73" s="66">
        <v>35000.0</v>
      </c>
      <c r="G73" s="66">
        <v>35000.0</v>
      </c>
      <c r="H73" s="65">
        <v>40000.0</v>
      </c>
      <c r="I73" s="65">
        <v>50000.0</v>
      </c>
      <c r="J73" s="181">
        <v>30000.0</v>
      </c>
      <c r="K73" s="243">
        <f t="shared" si="14"/>
        <v>38142.85714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7000.0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f t="shared" ref="K78:K86" si="16">AVERAGE(D78:J78)</f>
        <v>7571.428571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15000.0</v>
      </c>
      <c r="G79" s="65">
        <v>15000.0</v>
      </c>
      <c r="H79" s="65">
        <v>10000.0</v>
      </c>
      <c r="I79" s="66">
        <v>15000.0</v>
      </c>
      <c r="J79" s="181">
        <v>15000.0</v>
      </c>
      <c r="K79" s="243">
        <f t="shared" si="16"/>
        <v>13714.28571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14000.0</v>
      </c>
      <c r="E80" s="65">
        <v>16000.0</v>
      </c>
      <c r="F80" s="65">
        <v>16000.0</v>
      </c>
      <c r="G80" s="65">
        <v>16000.0</v>
      </c>
      <c r="H80" s="65">
        <v>15000.0</v>
      </c>
      <c r="I80" s="65">
        <v>17000.0</v>
      </c>
      <c r="J80" s="181">
        <v>13000.0</v>
      </c>
      <c r="K80" s="243">
        <f t="shared" si="16"/>
        <v>15285.71429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16000.0</v>
      </c>
      <c r="E81" s="65">
        <v>15000.0</v>
      </c>
      <c r="F81" s="65">
        <v>12000.0</v>
      </c>
      <c r="G81" s="65">
        <v>13000.0</v>
      </c>
      <c r="H81" s="65">
        <v>10000.0</v>
      </c>
      <c r="I81" s="66">
        <v>12000.0</v>
      </c>
      <c r="J81" s="181">
        <v>10000.0</v>
      </c>
      <c r="K81" s="243">
        <f t="shared" si="16"/>
        <v>12571.42857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9000.0</v>
      </c>
      <c r="E82" s="65">
        <v>10000.0</v>
      </c>
      <c r="F82" s="65">
        <v>15000.0</v>
      </c>
      <c r="G82" s="65">
        <v>13000.0</v>
      </c>
      <c r="H82" s="65">
        <v>10000.0</v>
      </c>
      <c r="I82" s="65">
        <v>14000.0</v>
      </c>
      <c r="J82" s="181">
        <v>10000.0</v>
      </c>
      <c r="K82" s="243">
        <f t="shared" si="16"/>
        <v>11571.42857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9000.0</v>
      </c>
      <c r="E83" s="65">
        <v>10000.0</v>
      </c>
      <c r="F83" s="66">
        <v>10000.0</v>
      </c>
      <c r="G83" s="66">
        <v>10000.0</v>
      </c>
      <c r="H83" s="65">
        <v>9000.0</v>
      </c>
      <c r="I83" s="66">
        <v>10000.0</v>
      </c>
      <c r="J83" s="181">
        <v>8000.0</v>
      </c>
      <c r="K83" s="243">
        <f t="shared" si="16"/>
        <v>9428.571429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2000.0</v>
      </c>
      <c r="K84" s="243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1500.0</v>
      </c>
      <c r="K85" s="243">
        <f t="shared" si="16"/>
        <v>1666.666667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2000.0</v>
      </c>
      <c r="K86" s="243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147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12000.0</v>
      </c>
      <c r="I8" s="65">
        <v>13500.0</v>
      </c>
      <c r="J8" s="66">
        <v>13500.0</v>
      </c>
      <c r="K8" s="243">
        <f t="shared" ref="K8:K12" si="1">AVERAGE(D8:J8)</f>
        <v>13071.42857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65">
        <v>11000.0</v>
      </c>
      <c r="E10" s="65">
        <v>11000.0</v>
      </c>
      <c r="F10" s="65">
        <v>12000.0</v>
      </c>
      <c r="G10" s="66">
        <v>11000.0</v>
      </c>
      <c r="H10" s="65" t="s">
        <v>26</v>
      </c>
      <c r="I10" s="65">
        <v>10000.0</v>
      </c>
      <c r="J10" s="66" t="s">
        <v>26</v>
      </c>
      <c r="K10" s="243">
        <f t="shared" si="1"/>
        <v>11000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13000.0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13214.28571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15000.0</v>
      </c>
      <c r="G15" s="66">
        <v>16000.0</v>
      </c>
      <c r="H15" s="65">
        <v>15000.0</v>
      </c>
      <c r="I15" s="65">
        <v>16000.0</v>
      </c>
      <c r="J15" s="181">
        <v>16000.0</v>
      </c>
      <c r="K15" s="243">
        <f t="shared" si="2"/>
        <v>15571.42857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14000.0</v>
      </c>
      <c r="I17" s="65">
        <v>15000.0</v>
      </c>
      <c r="J17" s="181">
        <v>15000.0</v>
      </c>
      <c r="K17" s="243">
        <f t="shared" ref="K17:K18" si="3">AVERAGE(D17:J17)</f>
        <v>15000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114000.0</v>
      </c>
      <c r="I23" s="65">
        <v>115000.0</v>
      </c>
      <c r="J23" s="181">
        <v>115000.0</v>
      </c>
      <c r="K23" s="243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37000.0</v>
      </c>
      <c r="E25" s="65">
        <v>37000.0</v>
      </c>
      <c r="F25" s="65">
        <v>37000.0</v>
      </c>
      <c r="G25" s="65">
        <v>37000.0</v>
      </c>
      <c r="H25" s="181">
        <v>40000.0</v>
      </c>
      <c r="I25" s="65">
        <v>38000.0</v>
      </c>
      <c r="J25" s="181">
        <v>38000.0</v>
      </c>
      <c r="K25" s="243">
        <f t="shared" si="4"/>
        <v>37714.28571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40000.0</v>
      </c>
      <c r="F27" s="65" t="s">
        <v>26</v>
      </c>
      <c r="G27" s="65">
        <v>35000.0</v>
      </c>
      <c r="H27" s="65">
        <v>40000.0</v>
      </c>
      <c r="I27" s="65">
        <v>40000.0</v>
      </c>
      <c r="J27" s="181">
        <v>40000.0</v>
      </c>
      <c r="K27" s="243">
        <f t="shared" ref="K27:K32" si="5">AVERAGE(D27:J27)</f>
        <v>38333.33333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30000.0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75000.0</v>
      </c>
      <c r="H29" s="65">
        <v>58000.0</v>
      </c>
      <c r="I29" s="65">
        <v>60000.0</v>
      </c>
      <c r="J29" s="185">
        <v>60000.0</v>
      </c>
      <c r="K29" s="243">
        <f t="shared" si="5"/>
        <v>61857.14286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35000.0</v>
      </c>
      <c r="K31" s="243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110000.0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 t="s">
        <v>57</v>
      </c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29000.0</v>
      </c>
      <c r="G34" s="65">
        <v>29500.0</v>
      </c>
      <c r="H34" s="65">
        <v>28000.0</v>
      </c>
      <c r="I34" s="65">
        <v>29000.0</v>
      </c>
      <c r="J34" s="181">
        <v>29000.0</v>
      </c>
      <c r="K34" s="243">
        <f t="shared" ref="K34:K35" si="6">AVERAGE(D34:J34)</f>
        <v>28928.57143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12000.0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12333.33333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12000.0</v>
      </c>
      <c r="H45" s="114" t="s">
        <v>26</v>
      </c>
      <c r="I45" s="66">
        <v>12500.0</v>
      </c>
      <c r="J45" s="185">
        <v>12500.0</v>
      </c>
      <c r="K45" s="243">
        <f t="shared" si="9"/>
        <v>12500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11000.0</v>
      </c>
      <c r="I55" s="65">
        <v>10000.0</v>
      </c>
      <c r="J55" s="181">
        <v>10000.0</v>
      </c>
      <c r="K55" s="243">
        <f>AVERAGE(D55:J55)</f>
        <v>10642.85714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>
        <v>16000.0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14666.66667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30000.0</v>
      </c>
      <c r="H59" s="65">
        <v>22000.0</v>
      </c>
      <c r="I59" s="65">
        <v>25000.0</v>
      </c>
      <c r="J59" s="181">
        <v>26000.0</v>
      </c>
      <c r="K59" s="243">
        <f t="shared" si="12"/>
        <v>25000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28000.0</v>
      </c>
      <c r="E64" s="65">
        <v>30000.0</v>
      </c>
      <c r="F64" s="65">
        <v>30000.0</v>
      </c>
      <c r="G64" s="65">
        <v>32000.0</v>
      </c>
      <c r="H64" s="65">
        <v>25000.0</v>
      </c>
      <c r="I64" s="65">
        <v>35000.0</v>
      </c>
      <c r="J64" s="181">
        <v>30000.0</v>
      </c>
      <c r="K64" s="243">
        <f t="shared" ref="K64:K66" si="13">AVERAGE(D64:J64)</f>
        <v>30000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22000.0</v>
      </c>
      <c r="G65" s="65">
        <v>30000.0</v>
      </c>
      <c r="H65" s="199" t="s">
        <v>26</v>
      </c>
      <c r="I65" s="66">
        <v>35000.0</v>
      </c>
      <c r="J65" s="181" t="s">
        <v>26</v>
      </c>
      <c r="K65" s="243">
        <f t="shared" si="13"/>
        <v>27400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30000.0</v>
      </c>
      <c r="E66" s="65">
        <v>35000.0</v>
      </c>
      <c r="F66" s="65">
        <v>32000.0</v>
      </c>
      <c r="G66" s="65">
        <v>35000.0</v>
      </c>
      <c r="H66" s="65">
        <v>28000.0</v>
      </c>
      <c r="I66" s="65">
        <v>40000.0</v>
      </c>
      <c r="J66" s="181">
        <v>30000.0</v>
      </c>
      <c r="K66" s="243">
        <f t="shared" si="13"/>
        <v>32857.14286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30000.0</v>
      </c>
      <c r="G70" s="65">
        <v>32000.0</v>
      </c>
      <c r="H70" s="65">
        <v>33000.0</v>
      </c>
      <c r="I70" s="65">
        <v>35000.0</v>
      </c>
      <c r="J70" s="181">
        <v>35000.0</v>
      </c>
      <c r="K70" s="243">
        <f t="shared" ref="K70:K73" si="14">AVERAGE(D70:J70)</f>
        <v>33428.57143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30000.0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f t="shared" si="14"/>
        <v>31142.85714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38000.0</v>
      </c>
      <c r="E72" s="65">
        <v>35000.0</v>
      </c>
      <c r="F72" s="65">
        <v>32000.0</v>
      </c>
      <c r="G72" s="65">
        <v>35000.0</v>
      </c>
      <c r="H72" s="65">
        <v>30000.0</v>
      </c>
      <c r="I72" s="65">
        <v>30000.0</v>
      </c>
      <c r="J72" s="181">
        <v>35000.0</v>
      </c>
      <c r="K72" s="243">
        <f t="shared" si="14"/>
        <v>33571.42857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41000.0</v>
      </c>
      <c r="F73" s="66">
        <v>40000.0</v>
      </c>
      <c r="G73" s="66">
        <v>35000.0</v>
      </c>
      <c r="H73" s="65">
        <v>40000.0</v>
      </c>
      <c r="I73" s="65">
        <v>40000.0</v>
      </c>
      <c r="J73" s="181">
        <v>30000.0</v>
      </c>
      <c r="K73" s="243">
        <f t="shared" si="14"/>
        <v>36571.42857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16000.0</v>
      </c>
      <c r="G79" s="65">
        <v>15000.0</v>
      </c>
      <c r="H79" s="65">
        <v>10000.0</v>
      </c>
      <c r="I79" s="66">
        <v>18000.0</v>
      </c>
      <c r="J79" s="181">
        <v>15000.0</v>
      </c>
      <c r="K79" s="243">
        <f t="shared" si="16"/>
        <v>14285.71429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13000.0</v>
      </c>
      <c r="E80" s="65">
        <v>16000.0</v>
      </c>
      <c r="F80" s="65">
        <v>16000.0</v>
      </c>
      <c r="G80" s="65">
        <v>16000.0</v>
      </c>
      <c r="H80" s="65">
        <v>15000.0</v>
      </c>
      <c r="I80" s="65">
        <v>17000.0</v>
      </c>
      <c r="J80" s="181">
        <v>13000.0</v>
      </c>
      <c r="K80" s="243">
        <f t="shared" si="16"/>
        <v>15142.85714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15000.0</v>
      </c>
      <c r="E81" s="65">
        <v>15000.0</v>
      </c>
      <c r="F81" s="65">
        <v>12000.0</v>
      </c>
      <c r="G81" s="65">
        <v>13000.0</v>
      </c>
      <c r="H81" s="65">
        <v>10000.0</v>
      </c>
      <c r="I81" s="66">
        <v>12000.0</v>
      </c>
      <c r="J81" s="181">
        <v>10000.0</v>
      </c>
      <c r="K81" s="243">
        <f t="shared" si="16"/>
        <v>12428.57143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15000.0</v>
      </c>
      <c r="G82" s="65">
        <v>13000.0</v>
      </c>
      <c r="H82" s="65">
        <v>10000.0</v>
      </c>
      <c r="I82" s="65">
        <v>12000.0</v>
      </c>
      <c r="J82" s="181">
        <v>7000.0</v>
      </c>
      <c r="K82" s="243">
        <f t="shared" si="16"/>
        <v>11000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10000.0</v>
      </c>
      <c r="H83" s="65">
        <v>9000.0</v>
      </c>
      <c r="I83" s="66">
        <v>10000.0</v>
      </c>
      <c r="J83" s="181">
        <v>8000.0</v>
      </c>
      <c r="K83" s="243">
        <f t="shared" si="16"/>
        <v>9142.857143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2000.0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2000.0</v>
      </c>
      <c r="K84" s="243">
        <f t="shared" si="16"/>
        <v>1916.666667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2000.0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1500.0</v>
      </c>
      <c r="K85" s="243">
        <f t="shared" si="16"/>
        <v>1666.666667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2000.0</v>
      </c>
      <c r="K86" s="243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148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12000.0</v>
      </c>
      <c r="I8" s="65">
        <v>13500.0</v>
      </c>
      <c r="J8" s="66">
        <v>13500.0</v>
      </c>
      <c r="K8" s="243">
        <f t="shared" ref="K8:K12" si="1">AVERAGE(D8:J8)</f>
        <v>13071.42857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65">
        <v>11000.0</v>
      </c>
      <c r="E10" s="65">
        <v>11000.0</v>
      </c>
      <c r="F10" s="65">
        <v>12000.0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10980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13000.0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13214.28571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15000.0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15285.71429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14000.0</v>
      </c>
      <c r="I17" s="65">
        <v>15000.0</v>
      </c>
      <c r="J17" s="181">
        <v>15000.0</v>
      </c>
      <c r="K17" s="243">
        <f t="shared" ref="K17:K18" si="3">AVERAGE(D17:J17)</f>
        <v>15000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114000.0</v>
      </c>
      <c r="I23" s="65">
        <v>115000.0</v>
      </c>
      <c r="J23" s="181">
        <v>115000.0</v>
      </c>
      <c r="K23" s="243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37000.0</v>
      </c>
      <c r="E25" s="65">
        <v>37000.0</v>
      </c>
      <c r="F25" s="65">
        <v>37000.0</v>
      </c>
      <c r="G25" s="65">
        <v>37000.0</v>
      </c>
      <c r="H25" s="181">
        <v>40000.0</v>
      </c>
      <c r="I25" s="65">
        <v>38000.0</v>
      </c>
      <c r="J25" s="181">
        <v>38000.0</v>
      </c>
      <c r="K25" s="243">
        <f t="shared" si="4"/>
        <v>37714.28571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40000.0</v>
      </c>
      <c r="F27" s="65" t="s">
        <v>26</v>
      </c>
      <c r="G27" s="65">
        <v>35000.0</v>
      </c>
      <c r="H27" s="65">
        <v>40000.0</v>
      </c>
      <c r="I27" s="65">
        <v>40000.0</v>
      </c>
      <c r="J27" s="181">
        <v>40000.0</v>
      </c>
      <c r="K27" s="243">
        <f t="shared" ref="K27:K32" si="5">AVERAGE(D27:J27)</f>
        <v>38333.33333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30000.0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35000.0</v>
      </c>
      <c r="K31" s="243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110000.0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29000.0</v>
      </c>
      <c r="G34" s="65">
        <v>29000.0</v>
      </c>
      <c r="H34" s="65">
        <v>28000.0</v>
      </c>
      <c r="I34" s="65">
        <v>29000.0</v>
      </c>
      <c r="J34" s="181">
        <v>29000.0</v>
      </c>
      <c r="K34" s="243">
        <f t="shared" ref="K34:K35" si="6">AVERAGE(D34:J34)</f>
        <v>28857.14286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11000.0</v>
      </c>
      <c r="I55" s="65">
        <v>10000.0</v>
      </c>
      <c r="J55" s="181">
        <v>10000.0</v>
      </c>
      <c r="K55" s="243">
        <f>AVERAGE(D55:J55)</f>
        <v>10642.85714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>
        <v>17000.0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14833.33333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28000.0</v>
      </c>
      <c r="E64" s="65">
        <v>30000.0</v>
      </c>
      <c r="F64" s="65">
        <v>35000.0</v>
      </c>
      <c r="G64" s="65">
        <v>25000.0</v>
      </c>
      <c r="H64" s="65">
        <v>22000.0</v>
      </c>
      <c r="I64" s="65">
        <v>35000.0</v>
      </c>
      <c r="J64" s="181">
        <v>30000.0</v>
      </c>
      <c r="K64" s="243">
        <f t="shared" ref="K64:K66" si="13">AVERAGE(D64:J64)</f>
        <v>29285.71429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32000.0</v>
      </c>
      <c r="G65" s="65">
        <v>25000.0</v>
      </c>
      <c r="H65" s="199" t="s">
        <v>26</v>
      </c>
      <c r="I65" s="66">
        <v>35000.0</v>
      </c>
      <c r="J65" s="181" t="s">
        <v>26</v>
      </c>
      <c r="K65" s="243">
        <f t="shared" si="13"/>
        <v>28400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30000.0</v>
      </c>
      <c r="E66" s="65">
        <v>35000.0</v>
      </c>
      <c r="F66" s="65">
        <v>37000.0</v>
      </c>
      <c r="G66" s="65">
        <v>35000.0</v>
      </c>
      <c r="H66" s="65">
        <v>28000.0</v>
      </c>
      <c r="I66" s="65">
        <v>40000.0</v>
      </c>
      <c r="J66" s="181">
        <v>30000.0</v>
      </c>
      <c r="K66" s="243">
        <f t="shared" si="13"/>
        <v>33571.42857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34000.0</v>
      </c>
      <c r="G70" s="65">
        <v>32000.0</v>
      </c>
      <c r="H70" s="65">
        <v>33000.0</v>
      </c>
      <c r="I70" s="65">
        <v>35000.0</v>
      </c>
      <c r="J70" s="181">
        <v>35000.0</v>
      </c>
      <c r="K70" s="243">
        <f t="shared" ref="K70:K73" si="14">AVERAGE(D70:J70)</f>
        <v>34000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30000.0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f t="shared" si="14"/>
        <v>31142.85714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38000.0</v>
      </c>
      <c r="E72" s="65">
        <v>35000.0</v>
      </c>
      <c r="F72" s="65">
        <v>32000.0</v>
      </c>
      <c r="G72" s="65">
        <v>34000.0</v>
      </c>
      <c r="H72" s="65">
        <v>30000.0</v>
      </c>
      <c r="I72" s="65">
        <v>30000.0</v>
      </c>
      <c r="J72" s="181">
        <v>35000.0</v>
      </c>
      <c r="K72" s="243">
        <f t="shared" si="14"/>
        <v>33428.57143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40000.0</v>
      </c>
      <c r="G73" s="66">
        <v>35000.0</v>
      </c>
      <c r="H73" s="65">
        <v>40000.0</v>
      </c>
      <c r="I73" s="65">
        <v>40000.0</v>
      </c>
      <c r="J73" s="181">
        <v>30000.0</v>
      </c>
      <c r="K73" s="243">
        <f t="shared" si="14"/>
        <v>36428.57143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17000.0</v>
      </c>
      <c r="G79" s="65">
        <v>15000.0</v>
      </c>
      <c r="H79" s="65">
        <v>10000.0</v>
      </c>
      <c r="I79" s="66">
        <v>18000.0</v>
      </c>
      <c r="J79" s="181">
        <v>15000.0</v>
      </c>
      <c r="K79" s="243">
        <f t="shared" si="16"/>
        <v>14428.57143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13000.0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13000.0</v>
      </c>
      <c r="K80" s="243">
        <f t="shared" si="16"/>
        <v>14714.28571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15000.0</v>
      </c>
      <c r="E81" s="65">
        <v>15000.0</v>
      </c>
      <c r="F81" s="65">
        <v>12000.0</v>
      </c>
      <c r="G81" s="65">
        <v>13000.0</v>
      </c>
      <c r="H81" s="65">
        <v>8000.0</v>
      </c>
      <c r="I81" s="66">
        <v>12000.0</v>
      </c>
      <c r="J81" s="181">
        <v>10000.0</v>
      </c>
      <c r="K81" s="243">
        <f t="shared" si="16"/>
        <v>12142.85714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13000.0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10571.42857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10000.0</v>
      </c>
      <c r="H83" s="65">
        <v>9000.0</v>
      </c>
      <c r="I83" s="66">
        <v>10000.0</v>
      </c>
      <c r="J83" s="181">
        <v>8000.0</v>
      </c>
      <c r="K83" s="243">
        <f t="shared" si="16"/>
        <v>9142.857143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2000.0</v>
      </c>
      <c r="K84" s="243">
        <f t="shared" si="16"/>
        <v>1833.333333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1500.0</v>
      </c>
      <c r="K85" s="243">
        <f t="shared" si="16"/>
        <v>1583.333333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2000.0</v>
      </c>
      <c r="K86" s="243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149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f t="shared" ref="K8:K12" si="1">AVERAGE(D8:J8)</f>
        <v>13214.28571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>
        <v>12000.0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10760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13000.0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13214.28571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15000.0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15285.71429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114000.0</v>
      </c>
      <c r="I23" s="65">
        <v>115000.0</v>
      </c>
      <c r="J23" s="181">
        <v>115000.0</v>
      </c>
      <c r="K23" s="243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37000.0</v>
      </c>
      <c r="E25" s="65">
        <v>37000.0</v>
      </c>
      <c r="F25" s="65">
        <v>37000.0</v>
      </c>
      <c r="G25" s="65">
        <v>37000.0</v>
      </c>
      <c r="H25" s="181">
        <v>40000.0</v>
      </c>
      <c r="I25" s="65">
        <v>38000.0</v>
      </c>
      <c r="J25" s="181">
        <v>38000.0</v>
      </c>
      <c r="K25" s="243">
        <f t="shared" si="4"/>
        <v>37714.28571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40000.0</v>
      </c>
      <c r="F27" s="65" t="s">
        <v>26</v>
      </c>
      <c r="G27" s="65">
        <v>35000.0</v>
      </c>
      <c r="H27" s="65">
        <v>40000.0</v>
      </c>
      <c r="I27" s="65">
        <v>40000.0</v>
      </c>
      <c r="J27" s="181">
        <v>40000.0</v>
      </c>
      <c r="K27" s="243">
        <f t="shared" ref="K27:K32" si="5">AVERAGE(D27:J27)</f>
        <v>38333.33333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30000.0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35000.0</v>
      </c>
      <c r="K31" s="243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110000.0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30000.0</v>
      </c>
      <c r="G34" s="65">
        <v>29000.0</v>
      </c>
      <c r="H34" s="65">
        <v>29000.0</v>
      </c>
      <c r="I34" s="65">
        <v>29000.0</v>
      </c>
      <c r="J34" s="181">
        <v>29000.0</v>
      </c>
      <c r="K34" s="243">
        <f t="shared" ref="K34:K35" si="6">AVERAGE(D34:J34)</f>
        <v>29142.85714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11000.0</v>
      </c>
      <c r="I55" s="65">
        <v>10000.0</v>
      </c>
      <c r="J55" s="181">
        <v>10000.0</v>
      </c>
      <c r="K55" s="243">
        <f>AVERAGE(D55:J55)</f>
        <v>10642.85714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>
        <v>17000.0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14833.33333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28000.0</v>
      </c>
      <c r="E64" s="65">
        <v>30000.0</v>
      </c>
      <c r="F64" s="65">
        <v>32000.0</v>
      </c>
      <c r="G64" s="65">
        <v>25000.0</v>
      </c>
      <c r="H64" s="65">
        <v>25000.0</v>
      </c>
      <c r="I64" s="65">
        <v>35000.0</v>
      </c>
      <c r="J64" s="181">
        <v>30000.0</v>
      </c>
      <c r="K64" s="243">
        <f t="shared" ref="K64:K66" si="13">AVERAGE(D64:J64)</f>
        <v>29285.71429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30000.0</v>
      </c>
      <c r="G65" s="65">
        <v>25000.0</v>
      </c>
      <c r="H65" s="199" t="s">
        <v>26</v>
      </c>
      <c r="I65" s="66">
        <v>35000.0</v>
      </c>
      <c r="J65" s="181" t="s">
        <v>26</v>
      </c>
      <c r="K65" s="243">
        <f t="shared" si="13"/>
        <v>28000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30000.0</v>
      </c>
      <c r="E66" s="65">
        <v>35000.0</v>
      </c>
      <c r="F66" s="65">
        <v>35000.0</v>
      </c>
      <c r="G66" s="65">
        <v>35000.0</v>
      </c>
      <c r="H66" s="65">
        <v>23000.0</v>
      </c>
      <c r="I66" s="65">
        <v>40000.0</v>
      </c>
      <c r="J66" s="181">
        <v>30000.0</v>
      </c>
      <c r="K66" s="243">
        <f t="shared" si="13"/>
        <v>32571.42857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34000.0</v>
      </c>
      <c r="G70" s="65">
        <v>32000.0</v>
      </c>
      <c r="H70" s="65">
        <v>33000.0</v>
      </c>
      <c r="I70" s="65">
        <v>35000.0</v>
      </c>
      <c r="J70" s="181">
        <v>35000.0</v>
      </c>
      <c r="K70" s="243">
        <f t="shared" ref="K70:K73" si="14">AVERAGE(D70:J70)</f>
        <v>34000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30000.0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f t="shared" si="14"/>
        <v>31142.85714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38000.0</v>
      </c>
      <c r="E72" s="65">
        <v>35000.0</v>
      </c>
      <c r="F72" s="65">
        <v>32000.0</v>
      </c>
      <c r="G72" s="65">
        <v>34000.0</v>
      </c>
      <c r="H72" s="65">
        <v>30000.0</v>
      </c>
      <c r="I72" s="65">
        <v>30000.0</v>
      </c>
      <c r="J72" s="181">
        <v>35000.0</v>
      </c>
      <c r="K72" s="243">
        <f t="shared" si="14"/>
        <v>33428.57143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40000.0</v>
      </c>
      <c r="I73" s="65">
        <v>40000.0</v>
      </c>
      <c r="J73" s="181">
        <v>30000.0</v>
      </c>
      <c r="K73" s="243">
        <f t="shared" si="14"/>
        <v>35714.28571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17000.0</v>
      </c>
      <c r="G79" s="65">
        <v>15000.0</v>
      </c>
      <c r="H79" s="65">
        <v>10000.0</v>
      </c>
      <c r="I79" s="66">
        <v>18000.0</v>
      </c>
      <c r="J79" s="181">
        <v>15000.0</v>
      </c>
      <c r="K79" s="243">
        <f t="shared" si="16"/>
        <v>14428.57143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13000.0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13000.0</v>
      </c>
      <c r="K80" s="243">
        <f t="shared" si="16"/>
        <v>14714.28571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15000.0</v>
      </c>
      <c r="E81" s="65">
        <v>15000.0</v>
      </c>
      <c r="F81" s="65">
        <v>12000.0</v>
      </c>
      <c r="G81" s="65">
        <v>13000.0</v>
      </c>
      <c r="H81" s="65">
        <v>9000.0</v>
      </c>
      <c r="I81" s="66">
        <v>12000.0</v>
      </c>
      <c r="J81" s="181">
        <v>10000.0</v>
      </c>
      <c r="K81" s="243">
        <f t="shared" si="16"/>
        <v>12285.71429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13000.0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10571.42857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10000.0</v>
      </c>
      <c r="H83" s="65">
        <v>9000.0</v>
      </c>
      <c r="I83" s="66">
        <v>10000.0</v>
      </c>
      <c r="J83" s="181">
        <v>8000.0</v>
      </c>
      <c r="K83" s="243">
        <f t="shared" si="16"/>
        <v>9142.857143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2000.0</v>
      </c>
      <c r="K84" s="243">
        <f t="shared" si="16"/>
        <v>1833.333333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1500.0</v>
      </c>
      <c r="K85" s="243">
        <f t="shared" si="16"/>
        <v>1583.333333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2000.0</v>
      </c>
      <c r="K86" s="243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150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f t="shared" ref="K8:K12" si="1">AVERAGE(D8:J8)</f>
        <v>13214.28571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 t="s">
        <v>26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10450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20000.0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19400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13000.0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13214.28571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15000.0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15285.71429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114000.0</v>
      </c>
      <c r="I23" s="65">
        <v>115000.0</v>
      </c>
      <c r="J23" s="181">
        <v>115000.0</v>
      </c>
      <c r="K23" s="243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38000.0</v>
      </c>
      <c r="E25" s="65">
        <v>37000.0</v>
      </c>
      <c r="F25" s="65">
        <v>37000.0</v>
      </c>
      <c r="G25" s="65">
        <v>37000.0</v>
      </c>
      <c r="H25" s="181">
        <v>40000.0</v>
      </c>
      <c r="I25" s="65">
        <v>38000.0</v>
      </c>
      <c r="J25" s="181">
        <v>38000.0</v>
      </c>
      <c r="K25" s="243">
        <f t="shared" si="4"/>
        <v>37857.14286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40000.0</v>
      </c>
      <c r="F27" s="65" t="s">
        <v>26</v>
      </c>
      <c r="G27" s="65">
        <v>35000.0</v>
      </c>
      <c r="H27" s="65">
        <v>35000.0</v>
      </c>
      <c r="I27" s="65">
        <v>40000.0</v>
      </c>
      <c r="J27" s="181">
        <v>40000.0</v>
      </c>
      <c r="K27" s="243">
        <f t="shared" ref="K27:K32" si="5">AVERAGE(D27:J27)</f>
        <v>37500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30000.0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35000.0</v>
      </c>
      <c r="K31" s="243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110000.0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30000.0</v>
      </c>
      <c r="G34" s="65">
        <v>29000.0</v>
      </c>
      <c r="H34" s="65">
        <v>28000.0</v>
      </c>
      <c r="I34" s="65">
        <v>29000.0</v>
      </c>
      <c r="J34" s="181">
        <v>29000.0</v>
      </c>
      <c r="K34" s="243">
        <f t="shared" ref="K34:K35" si="6">AVERAGE(D34:J34)</f>
        <v>29000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11000.0</v>
      </c>
      <c r="I55" s="65">
        <v>10000.0</v>
      </c>
      <c r="J55" s="181">
        <v>10000.0</v>
      </c>
      <c r="K55" s="243">
        <f>AVERAGE(D55:J55)</f>
        <v>10642.85714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>
        <v>17000.0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14833.33333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28000.0</v>
      </c>
      <c r="E64" s="65">
        <v>30000.0</v>
      </c>
      <c r="F64" s="65">
        <v>30000.0</v>
      </c>
      <c r="G64" s="65">
        <v>25000.0</v>
      </c>
      <c r="H64" s="65">
        <v>25000.0</v>
      </c>
      <c r="I64" s="65">
        <v>35000.0</v>
      </c>
      <c r="J64" s="181">
        <v>30000.0</v>
      </c>
      <c r="K64" s="243">
        <f t="shared" ref="K64:K66" si="13">AVERAGE(D64:J64)</f>
        <v>29000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25000.0</v>
      </c>
      <c r="G65" s="65">
        <v>25000.0</v>
      </c>
      <c r="H65" s="199" t="s">
        <v>26</v>
      </c>
      <c r="I65" s="66">
        <v>35000.0</v>
      </c>
      <c r="J65" s="181" t="s">
        <v>26</v>
      </c>
      <c r="K65" s="243">
        <f t="shared" si="13"/>
        <v>27000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32000.0</v>
      </c>
      <c r="E66" s="65">
        <v>35000.0</v>
      </c>
      <c r="F66" s="65">
        <v>33000.0</v>
      </c>
      <c r="G66" s="65">
        <v>35000.0</v>
      </c>
      <c r="H66" s="65">
        <v>27000.0</v>
      </c>
      <c r="I66" s="65">
        <v>40000.0</v>
      </c>
      <c r="J66" s="181">
        <v>30000.0</v>
      </c>
      <c r="K66" s="243">
        <f t="shared" si="13"/>
        <v>33142.85714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34000.0</v>
      </c>
      <c r="G70" s="65">
        <v>32000.0</v>
      </c>
      <c r="H70" s="65">
        <v>33000.0</v>
      </c>
      <c r="I70" s="65">
        <v>35000.0</v>
      </c>
      <c r="J70" s="181">
        <v>35000.0</v>
      </c>
      <c r="K70" s="243">
        <f t="shared" ref="K70:K73" si="14">AVERAGE(D70:J70)</f>
        <v>34000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30000.0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f t="shared" si="14"/>
        <v>31142.85714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34000.0</v>
      </c>
      <c r="G72" s="65">
        <v>34000.0</v>
      </c>
      <c r="H72" s="65">
        <v>30000.0</v>
      </c>
      <c r="I72" s="65">
        <v>30000.0</v>
      </c>
      <c r="J72" s="181">
        <v>35000.0</v>
      </c>
      <c r="K72" s="243">
        <f t="shared" si="14"/>
        <v>33285.71429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40000.0</v>
      </c>
      <c r="I73" s="65">
        <v>40000.0</v>
      </c>
      <c r="J73" s="181">
        <v>30000.0</v>
      </c>
      <c r="K73" s="243">
        <f t="shared" si="14"/>
        <v>35714.28571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16000.0</v>
      </c>
      <c r="G79" s="65">
        <v>15000.0</v>
      </c>
      <c r="H79" s="65">
        <v>10000.0</v>
      </c>
      <c r="I79" s="66">
        <v>18000.0</v>
      </c>
      <c r="J79" s="181">
        <v>15000.0</v>
      </c>
      <c r="K79" s="243">
        <f t="shared" si="16"/>
        <v>14285.71429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13000.0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13000.0</v>
      </c>
      <c r="K80" s="243">
        <f t="shared" si="16"/>
        <v>14714.28571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15000.0</v>
      </c>
      <c r="E81" s="65">
        <v>15000.0</v>
      </c>
      <c r="F81" s="65">
        <v>12000.0</v>
      </c>
      <c r="G81" s="65">
        <v>13000.0</v>
      </c>
      <c r="H81" s="65">
        <v>6000.0</v>
      </c>
      <c r="I81" s="66">
        <v>12000.0</v>
      </c>
      <c r="J81" s="181">
        <v>10000.0</v>
      </c>
      <c r="K81" s="243">
        <f t="shared" si="16"/>
        <v>11857.14286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13000.0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10571.42857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10000.0</v>
      </c>
      <c r="H83" s="65">
        <v>9000.0</v>
      </c>
      <c r="I83" s="66">
        <v>10000.0</v>
      </c>
      <c r="J83" s="181">
        <v>8000.0</v>
      </c>
      <c r="K83" s="243">
        <f t="shared" si="16"/>
        <v>9142.857143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2000.0</v>
      </c>
      <c r="K84" s="243">
        <f t="shared" si="16"/>
        <v>1833.333333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1500.0</v>
      </c>
      <c r="K85" s="243">
        <f t="shared" si="16"/>
        <v>1583.333333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2000.0</v>
      </c>
      <c r="K86" s="243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151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f t="shared" ref="K8:K12" si="1">AVERAGE(D8:J8)</f>
        <v>13214.28571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>
        <v>11000.0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10560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13000.0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13214.28571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15000.0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15285.71429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114000.0</v>
      </c>
      <c r="I23" s="65">
        <v>115000.0</v>
      </c>
      <c r="J23" s="181">
        <v>115000.0</v>
      </c>
      <c r="K23" s="243">
        <f t="shared" si="4"/>
        <v>112000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38000.0</v>
      </c>
      <c r="E25" s="65">
        <v>37000.0</v>
      </c>
      <c r="F25" s="65">
        <v>38000.0</v>
      </c>
      <c r="G25" s="65">
        <v>37000.0</v>
      </c>
      <c r="H25" s="181">
        <v>40000.0</v>
      </c>
      <c r="I25" s="65">
        <v>38000.0</v>
      </c>
      <c r="J25" s="181">
        <v>39000.0</v>
      </c>
      <c r="K25" s="243">
        <f t="shared" si="4"/>
        <v>38142.85714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 t="s">
        <v>26</v>
      </c>
      <c r="F27" s="65" t="s">
        <v>26</v>
      </c>
      <c r="G27" s="65">
        <v>35000.0</v>
      </c>
      <c r="H27" s="65">
        <v>35000.0</v>
      </c>
      <c r="I27" s="65">
        <v>40000.0</v>
      </c>
      <c r="J27" s="181">
        <v>40000.0</v>
      </c>
      <c r="K27" s="243">
        <f t="shared" ref="K27:K32" si="5">AVERAGE(D27:J27)</f>
        <v>37000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30000.0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35000.0</v>
      </c>
      <c r="K31" s="243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110000.0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30000.0</v>
      </c>
      <c r="G34" s="65">
        <v>29000.0</v>
      </c>
      <c r="H34" s="65">
        <v>29000.0</v>
      </c>
      <c r="I34" s="65">
        <v>29000.0</v>
      </c>
      <c r="J34" s="181">
        <v>30500.0</v>
      </c>
      <c r="K34" s="243">
        <f t="shared" ref="K34:K35" si="6">AVERAGE(D34:J34)</f>
        <v>29357.14286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11000.0</v>
      </c>
      <c r="I55" s="65">
        <v>10000.0</v>
      </c>
      <c r="J55" s="181">
        <v>10000.0</v>
      </c>
      <c r="K55" s="243">
        <f>AVERAGE(D55:J55)</f>
        <v>10642.85714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 t="s">
        <v>26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14400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30000.0</v>
      </c>
      <c r="E64" s="65">
        <v>30000.0</v>
      </c>
      <c r="F64" s="65">
        <v>32000.0</v>
      </c>
      <c r="G64" s="65">
        <v>25000.0</v>
      </c>
      <c r="H64" s="65">
        <v>27000.0</v>
      </c>
      <c r="I64" s="65">
        <v>35000.0</v>
      </c>
      <c r="J64" s="181">
        <v>25000.0</v>
      </c>
      <c r="K64" s="243">
        <f t="shared" ref="K64:K66" si="13">AVERAGE(D64:J64)</f>
        <v>29142.85714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25000.0</v>
      </c>
      <c r="G65" s="65">
        <v>25000.0</v>
      </c>
      <c r="H65" s="199" t="s">
        <v>26</v>
      </c>
      <c r="I65" s="66">
        <v>35000.0</v>
      </c>
      <c r="J65" s="181" t="s">
        <v>26</v>
      </c>
      <c r="K65" s="243">
        <f t="shared" si="13"/>
        <v>27000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32000.0</v>
      </c>
      <c r="E66" s="65">
        <v>35000.0</v>
      </c>
      <c r="F66" s="65">
        <v>30000.0</v>
      </c>
      <c r="G66" s="65">
        <v>35000.0</v>
      </c>
      <c r="H66" s="65">
        <v>27000.0</v>
      </c>
      <c r="I66" s="65">
        <v>40000.0</v>
      </c>
      <c r="J66" s="181">
        <v>30000.0</v>
      </c>
      <c r="K66" s="243">
        <f t="shared" si="13"/>
        <v>32714.28571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35000.0</v>
      </c>
      <c r="G70" s="65">
        <v>32000.0</v>
      </c>
      <c r="H70" s="65">
        <v>32000.0</v>
      </c>
      <c r="I70" s="65">
        <v>35000.0</v>
      </c>
      <c r="J70" s="181">
        <v>35000.0</v>
      </c>
      <c r="K70" s="243">
        <f t="shared" ref="K70:K73" si="14">AVERAGE(D70:J70)</f>
        <v>34000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30000.0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f t="shared" si="14"/>
        <v>31142.85714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32000.0</v>
      </c>
      <c r="G72" s="65">
        <v>34000.0</v>
      </c>
      <c r="H72" s="65">
        <v>30000.0</v>
      </c>
      <c r="I72" s="65">
        <v>30000.0</v>
      </c>
      <c r="J72" s="181">
        <v>30000.0</v>
      </c>
      <c r="K72" s="243">
        <f t="shared" si="14"/>
        <v>32285.71429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28000.0</v>
      </c>
      <c r="I73" s="65">
        <v>40000.0</v>
      </c>
      <c r="J73" s="181">
        <v>30000.0</v>
      </c>
      <c r="K73" s="243">
        <f t="shared" si="14"/>
        <v>34000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17000.0</v>
      </c>
      <c r="G79" s="65">
        <v>15000.0</v>
      </c>
      <c r="H79" s="65">
        <v>10000.0</v>
      </c>
      <c r="I79" s="66">
        <v>18000.0</v>
      </c>
      <c r="J79" s="181">
        <v>15000.0</v>
      </c>
      <c r="K79" s="243">
        <f t="shared" si="16"/>
        <v>14428.57143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13000.0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15000.0</v>
      </c>
      <c r="K80" s="243">
        <f t="shared" si="16"/>
        <v>15000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15000.0</v>
      </c>
      <c r="E81" s="65">
        <v>15000.0</v>
      </c>
      <c r="F81" s="65">
        <v>10000.0</v>
      </c>
      <c r="G81" s="65">
        <v>13000.0</v>
      </c>
      <c r="H81" s="65">
        <v>6000.0</v>
      </c>
      <c r="I81" s="66">
        <v>12000.0</v>
      </c>
      <c r="J81" s="181">
        <v>10000.0</v>
      </c>
      <c r="K81" s="243">
        <f t="shared" si="16"/>
        <v>11571.42857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14000.0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10714.28571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10000.0</v>
      </c>
      <c r="H83" s="65">
        <v>9000.0</v>
      </c>
      <c r="I83" s="66">
        <v>10000.0</v>
      </c>
      <c r="J83" s="181">
        <v>8000.0</v>
      </c>
      <c r="K83" s="243">
        <f t="shared" si="16"/>
        <v>9142.857143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2000.0</v>
      </c>
      <c r="K84" s="243">
        <f t="shared" si="16"/>
        <v>1833.333333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1500.0</v>
      </c>
      <c r="K85" s="243">
        <f t="shared" si="16"/>
        <v>1583.333333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2000.0</v>
      </c>
      <c r="K86" s="243">
        <f t="shared" si="16"/>
        <v>2000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152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f t="shared" ref="K8:K12" si="1">AVERAGE(D8:J8)</f>
        <v>13214.28571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>
        <v>11000.0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10560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24000.0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20200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13000.0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13214.28571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15000.0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15285.71429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19000.0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21250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110000.0</v>
      </c>
      <c r="I23" s="65">
        <v>115000.0</v>
      </c>
      <c r="J23" s="181">
        <v>115000.0</v>
      </c>
      <c r="K23" s="243">
        <f t="shared" si="4"/>
        <v>111428.5714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38000.0</v>
      </c>
      <c r="E25" s="65">
        <v>37000.0</v>
      </c>
      <c r="F25" s="65">
        <v>38000.0</v>
      </c>
      <c r="G25" s="65">
        <v>37000.0</v>
      </c>
      <c r="H25" s="181">
        <v>40000.0</v>
      </c>
      <c r="I25" s="65">
        <v>38000.0</v>
      </c>
      <c r="J25" s="181">
        <v>39000.0</v>
      </c>
      <c r="K25" s="243">
        <f t="shared" si="4"/>
        <v>38142.85714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35000.0</v>
      </c>
      <c r="F27" s="65" t="s">
        <v>26</v>
      </c>
      <c r="G27" s="65">
        <v>35000.0</v>
      </c>
      <c r="H27" s="65">
        <v>35000.0</v>
      </c>
      <c r="I27" s="65">
        <v>40000.0</v>
      </c>
      <c r="J27" s="181">
        <v>35000.0</v>
      </c>
      <c r="K27" s="243">
        <f t="shared" ref="K27:K32" si="5">AVERAGE(D27:J27)</f>
        <v>35833.33333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30000.0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26428.57143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36000.0</v>
      </c>
      <c r="K31" s="243">
        <f t="shared" si="5"/>
        <v>36857.14286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110000.0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30000.0</v>
      </c>
      <c r="G34" s="65">
        <v>28000.0</v>
      </c>
      <c r="H34" s="65">
        <v>29000.0</v>
      </c>
      <c r="I34" s="65">
        <v>29000.0</v>
      </c>
      <c r="J34" s="181">
        <v>30500.0</v>
      </c>
      <c r="K34" s="243">
        <f t="shared" ref="K34:K35" si="6">AVERAGE(D34:J34)</f>
        <v>29214.28571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12000.0</v>
      </c>
      <c r="I55" s="65">
        <v>10000.0</v>
      </c>
      <c r="J55" s="181">
        <v>10000.0</v>
      </c>
      <c r="K55" s="243">
        <f>AVERAGE(D55:J55)</f>
        <v>10785.71429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 t="s">
        <v>26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14400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30000.0</v>
      </c>
      <c r="E64" s="65">
        <v>30000.0</v>
      </c>
      <c r="F64" s="65">
        <v>32000.0</v>
      </c>
      <c r="G64" s="65">
        <v>30000.0</v>
      </c>
      <c r="H64" s="65">
        <v>30000.0</v>
      </c>
      <c r="I64" s="65">
        <v>35000.0</v>
      </c>
      <c r="J64" s="181">
        <v>25000.0</v>
      </c>
      <c r="K64" s="243">
        <f t="shared" ref="K64:K66" si="13">AVERAGE(D64:J64)</f>
        <v>30285.71429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25000.0</v>
      </c>
      <c r="G65" s="65">
        <v>30000.0</v>
      </c>
      <c r="H65" s="199" t="s">
        <v>26</v>
      </c>
      <c r="I65" s="66">
        <v>35000.0</v>
      </c>
      <c r="J65" s="181" t="s">
        <v>26</v>
      </c>
      <c r="K65" s="243">
        <f t="shared" si="13"/>
        <v>28000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32000.0</v>
      </c>
      <c r="E66" s="65">
        <v>35000.0</v>
      </c>
      <c r="F66" s="65">
        <v>30000.0</v>
      </c>
      <c r="G66" s="65">
        <v>25000.0</v>
      </c>
      <c r="H66" s="65">
        <v>25000.0</v>
      </c>
      <c r="I66" s="65">
        <v>40000.0</v>
      </c>
      <c r="J66" s="181">
        <v>30000.0</v>
      </c>
      <c r="K66" s="243">
        <f t="shared" si="13"/>
        <v>31000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35000.0</v>
      </c>
      <c r="G70" s="65">
        <v>32000.0</v>
      </c>
      <c r="H70" s="65">
        <v>32000.0</v>
      </c>
      <c r="I70" s="65">
        <v>35000.0</v>
      </c>
      <c r="J70" s="181">
        <v>35000.0</v>
      </c>
      <c r="K70" s="243">
        <f t="shared" ref="K70:K73" si="14">AVERAGE(D70:J70)</f>
        <v>34000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29000.0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f t="shared" si="14"/>
        <v>31000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32000.0</v>
      </c>
      <c r="G72" s="65">
        <v>34000.0</v>
      </c>
      <c r="H72" s="65">
        <v>30000.0</v>
      </c>
      <c r="I72" s="65">
        <v>30000.0</v>
      </c>
      <c r="J72" s="181">
        <v>30000.0</v>
      </c>
      <c r="K72" s="243">
        <f t="shared" si="14"/>
        <v>32285.71429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30000.0</v>
      </c>
      <c r="I73" s="65">
        <v>40000.0</v>
      </c>
      <c r="J73" s="181">
        <v>30000.0</v>
      </c>
      <c r="K73" s="243">
        <f t="shared" si="14"/>
        <v>34285.71429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17000.0</v>
      </c>
      <c r="G79" s="65">
        <v>13000.0</v>
      </c>
      <c r="H79" s="65">
        <v>10000.0</v>
      </c>
      <c r="I79" s="66">
        <v>18000.0</v>
      </c>
      <c r="J79" s="181">
        <v>15000.0</v>
      </c>
      <c r="K79" s="243">
        <f t="shared" si="16"/>
        <v>14142.85714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13000.0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15000.0</v>
      </c>
      <c r="K80" s="243">
        <f t="shared" si="16"/>
        <v>15000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15000.0</v>
      </c>
      <c r="E81" s="65">
        <v>15000.0</v>
      </c>
      <c r="F81" s="65">
        <v>10000.0</v>
      </c>
      <c r="G81" s="65">
        <v>12000.0</v>
      </c>
      <c r="H81" s="65">
        <v>5000.0</v>
      </c>
      <c r="I81" s="66">
        <v>12000.0</v>
      </c>
      <c r="J81" s="181">
        <v>10000.0</v>
      </c>
      <c r="K81" s="243">
        <f t="shared" si="16"/>
        <v>11285.71429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14000.0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10714.28571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8000.0</v>
      </c>
      <c r="H83" s="65">
        <v>9000.0</v>
      </c>
      <c r="I83" s="66">
        <v>10000.0</v>
      </c>
      <c r="J83" s="181">
        <v>8000.0</v>
      </c>
      <c r="K83" s="243">
        <f t="shared" si="16"/>
        <v>8857.142857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1500.0</v>
      </c>
      <c r="K84" s="243">
        <f t="shared" si="16"/>
        <v>1750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1000.0</v>
      </c>
      <c r="K85" s="243">
        <f t="shared" si="16"/>
        <v>1500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1500.0</v>
      </c>
      <c r="K86" s="243">
        <f t="shared" si="16"/>
        <v>1750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8.71"/>
    <col customWidth="1" min="4" max="10" width="11.43"/>
    <col customWidth="1" min="11" max="26" width="8.71"/>
  </cols>
  <sheetData>
    <row r="1">
      <c r="A1" s="3" t="s">
        <v>1</v>
      </c>
      <c r="L1" s="265"/>
      <c r="M1" s="5"/>
      <c r="N1" s="5"/>
      <c r="O1" s="265"/>
      <c r="P1" s="265"/>
      <c r="Q1" s="265"/>
      <c r="R1" s="265"/>
      <c r="S1" s="265"/>
      <c r="T1" s="265"/>
      <c r="U1" s="265"/>
      <c r="V1" s="265"/>
      <c r="W1" s="265"/>
    </row>
    <row r="2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L2" s="265"/>
      <c r="M2" s="5"/>
      <c r="N2" s="5"/>
      <c r="O2" s="265"/>
      <c r="P2" s="265"/>
      <c r="Q2" s="265"/>
      <c r="R2" s="265"/>
      <c r="S2" s="265"/>
      <c r="T2" s="265"/>
      <c r="U2" s="265"/>
      <c r="V2" s="265"/>
      <c r="W2" s="265"/>
    </row>
    <row r="3">
      <c r="A3" s="160" t="s">
        <v>153</v>
      </c>
      <c r="L3" s="265"/>
      <c r="M3" s="5"/>
      <c r="N3" s="5"/>
      <c r="O3" s="265"/>
      <c r="P3" s="265"/>
      <c r="Q3" s="265"/>
      <c r="R3" s="265"/>
      <c r="S3" s="265"/>
      <c r="T3" s="265"/>
      <c r="U3" s="265"/>
      <c r="V3" s="265"/>
      <c r="W3" s="265"/>
    </row>
    <row r="4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L4" s="265"/>
      <c r="M4" s="5"/>
      <c r="N4" s="5"/>
      <c r="O4" s="265"/>
      <c r="P4" s="265"/>
      <c r="Q4" s="265"/>
      <c r="R4" s="265"/>
      <c r="S4" s="265"/>
      <c r="T4" s="265"/>
      <c r="U4" s="265"/>
      <c r="V4" s="265"/>
      <c r="W4" s="265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5"/>
      <c r="M5" s="5"/>
      <c r="N5" s="5"/>
      <c r="O5" s="265"/>
      <c r="P5" s="265"/>
      <c r="Q5" s="265"/>
      <c r="R5" s="265"/>
      <c r="S5" s="265"/>
      <c r="T5" s="265"/>
      <c r="U5" s="265"/>
      <c r="V5" s="265"/>
      <c r="W5" s="26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265"/>
      <c r="M6" s="5"/>
      <c r="N6" s="5"/>
      <c r="O6" s="265"/>
      <c r="P6" s="265"/>
      <c r="Q6" s="265"/>
      <c r="R6" s="265"/>
      <c r="S6" s="265"/>
      <c r="T6" s="265"/>
      <c r="U6" s="265"/>
      <c r="V6" s="265"/>
      <c r="W6" s="26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L7" s="265"/>
      <c r="M7" s="5"/>
      <c r="N7" s="5"/>
      <c r="O7" s="265"/>
      <c r="P7" s="265"/>
      <c r="Q7" s="265"/>
      <c r="R7" s="265"/>
      <c r="S7" s="265"/>
      <c r="T7" s="265"/>
      <c r="U7" s="265"/>
      <c r="V7" s="265"/>
      <c r="W7" s="26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v>13214.285714285714</v>
      </c>
      <c r="L8" s="61"/>
      <c r="M8" s="62"/>
      <c r="N8" s="5"/>
      <c r="O8" s="265"/>
      <c r="P8" s="265"/>
      <c r="Q8" s="265"/>
      <c r="R8" s="265"/>
      <c r="S8" s="265"/>
      <c r="T8" s="265"/>
      <c r="U8" s="265"/>
      <c r="V8" s="265"/>
      <c r="W8" s="26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10000.0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v>9250.0</v>
      </c>
      <c r="L9" s="265"/>
      <c r="M9" s="5"/>
      <c r="N9" s="5"/>
      <c r="O9" s="265"/>
      <c r="P9" s="265"/>
      <c r="Q9" s="265"/>
      <c r="R9" s="265"/>
      <c r="S9" s="265"/>
      <c r="T9" s="265"/>
      <c r="U9" s="265"/>
      <c r="V9" s="265"/>
      <c r="W9" s="26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>
        <v>11000.0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v>10560.0</v>
      </c>
      <c r="L10" s="265"/>
      <c r="M10" s="5"/>
      <c r="N10" s="5"/>
      <c r="O10" s="265"/>
      <c r="P10" s="265"/>
      <c r="Q10" s="265"/>
      <c r="R10" s="265"/>
      <c r="S10" s="265"/>
      <c r="T10" s="265"/>
      <c r="U10" s="265"/>
      <c r="V10" s="265"/>
      <c r="W10" s="26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v>10200.0</v>
      </c>
      <c r="L11" s="265"/>
      <c r="M11" s="5"/>
      <c r="N11" s="5"/>
      <c r="O11" s="265"/>
      <c r="P11" s="265"/>
      <c r="Q11" s="265"/>
      <c r="R11" s="265"/>
      <c r="S11" s="265"/>
      <c r="T11" s="265"/>
      <c r="U11" s="265"/>
      <c r="V11" s="265"/>
      <c r="W11" s="26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17000.0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v>18800.0</v>
      </c>
      <c r="L12" s="265"/>
      <c r="M12" s="5"/>
      <c r="N12" s="5"/>
      <c r="O12" s="265"/>
      <c r="P12" s="265"/>
      <c r="Q12" s="265"/>
      <c r="R12" s="265"/>
      <c r="S12" s="265"/>
      <c r="T12" s="265"/>
      <c r="U12" s="265"/>
      <c r="V12" s="265"/>
      <c r="W12" s="26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L13" s="265"/>
      <c r="M13" s="5"/>
      <c r="N13" s="92"/>
      <c r="O13" s="265"/>
      <c r="P13" s="265"/>
      <c r="Q13" s="265"/>
      <c r="R13" s="265"/>
      <c r="S13" s="265"/>
      <c r="T13" s="265"/>
      <c r="U13" s="265"/>
      <c r="V13" s="265"/>
      <c r="W13" s="265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13500.0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v>13285.714285714286</v>
      </c>
      <c r="L14" s="265"/>
      <c r="M14" s="5"/>
      <c r="N14" s="5"/>
      <c r="O14" s="265"/>
      <c r="P14" s="265"/>
      <c r="Q14" s="265"/>
      <c r="R14" s="265"/>
      <c r="S14" s="265"/>
      <c r="T14" s="265"/>
      <c r="U14" s="265"/>
      <c r="V14" s="265"/>
      <c r="W14" s="26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16000.0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v>15428.57142857143</v>
      </c>
      <c r="L15" s="265"/>
      <c r="M15" s="5"/>
      <c r="N15" s="5"/>
      <c r="O15" s="265"/>
      <c r="P15" s="265"/>
      <c r="Q15" s="265"/>
      <c r="R15" s="265"/>
      <c r="S15" s="265"/>
      <c r="T15" s="265"/>
      <c r="U15" s="265"/>
      <c r="V15" s="265"/>
      <c r="W15" s="26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L16" s="265"/>
      <c r="M16" s="5"/>
      <c r="N16" s="5"/>
      <c r="O16" s="265"/>
      <c r="P16" s="265"/>
      <c r="Q16" s="265"/>
      <c r="R16" s="265"/>
      <c r="S16" s="265"/>
      <c r="T16" s="265"/>
      <c r="U16" s="265"/>
      <c r="V16" s="265"/>
      <c r="W16" s="26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v>15142.857142857143</v>
      </c>
      <c r="L17" s="265"/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v>14000.0</v>
      </c>
      <c r="L18" s="265"/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L19" s="265"/>
      <c r="M19" s="5"/>
      <c r="N19" s="5"/>
    </row>
    <row r="20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20000.0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v>21500.0</v>
      </c>
      <c r="L20" s="265"/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L21" s="26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v>120000.0</v>
      </c>
      <c r="L22" s="265"/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110000.0</v>
      </c>
      <c r="I23" s="65">
        <v>115000.0</v>
      </c>
      <c r="J23" s="181">
        <v>115000.0</v>
      </c>
      <c r="K23" s="243">
        <v>111428.57142857143</v>
      </c>
      <c r="L23" s="265"/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v>102857.14285714286</v>
      </c>
      <c r="L24" s="265"/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38000.0</v>
      </c>
      <c r="E25" s="65">
        <v>37000.0</v>
      </c>
      <c r="F25" s="65">
        <v>38000.0</v>
      </c>
      <c r="G25" s="65">
        <v>37000.0</v>
      </c>
      <c r="H25" s="181">
        <v>38000.0</v>
      </c>
      <c r="I25" s="65">
        <v>38000.0</v>
      </c>
      <c r="J25" s="181">
        <v>39000.0</v>
      </c>
      <c r="K25" s="243">
        <v>37857.142857142855</v>
      </c>
      <c r="L25" s="265"/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L26" s="26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35000.0</v>
      </c>
      <c r="F27" s="65">
        <v>36000.0</v>
      </c>
      <c r="G27" s="65">
        <v>35000.0</v>
      </c>
      <c r="H27" s="65">
        <v>35000.0</v>
      </c>
      <c r="I27" s="65">
        <v>40000.0</v>
      </c>
      <c r="J27" s="181">
        <v>35000.0</v>
      </c>
      <c r="K27" s="243">
        <v>35857.142857142855</v>
      </c>
      <c r="L27" s="265"/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23000.0</v>
      </c>
      <c r="E28" s="65">
        <v>28000.0</v>
      </c>
      <c r="F28" s="65">
        <v>28000.0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v>26142.85714285714</v>
      </c>
      <c r="L28" s="265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v>61142.857142857145</v>
      </c>
      <c r="L29" s="265"/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v>24600.0</v>
      </c>
      <c r="L30" s="265"/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36000.0</v>
      </c>
      <c r="K31" s="243">
        <v>36857.142857142855</v>
      </c>
      <c r="L31" s="265"/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80000.0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v>86666.66666666667</v>
      </c>
      <c r="L32" s="265"/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L33" s="26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31000.0</v>
      </c>
      <c r="G34" s="65">
        <v>28000.0</v>
      </c>
      <c r="H34" s="65">
        <v>29000.0</v>
      </c>
      <c r="I34" s="65">
        <v>29000.0</v>
      </c>
      <c r="J34" s="181">
        <v>30500.0</v>
      </c>
      <c r="K34" s="243">
        <v>29357.14285714286</v>
      </c>
      <c r="L34" s="265"/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2700.0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v>2700.0</v>
      </c>
      <c r="L35" s="265"/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L36" s="265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v>10000.0</v>
      </c>
      <c r="L37" s="265"/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v>12600.0</v>
      </c>
      <c r="L38" s="265"/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L39" s="265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v>14000.0</v>
      </c>
      <c r="L40" s="265"/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v>6833.333333333333</v>
      </c>
      <c r="L41" s="265"/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v>2000.0</v>
      </c>
      <c r="L42" s="265"/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L43" s="26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v>12416.666666666666</v>
      </c>
      <c r="L44" s="265"/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v>12583.333333333334</v>
      </c>
      <c r="L45" s="265"/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L46" s="26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v>17500.0</v>
      </c>
      <c r="L47" s="265"/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v>2000.0</v>
      </c>
      <c r="L48" s="265"/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L49" s="26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v>9285.714285714286</v>
      </c>
      <c r="L50" s="265"/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v>8333.333333333334</v>
      </c>
      <c r="L51" s="265"/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L52" s="26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v>4000.0</v>
      </c>
      <c r="L53" s="265"/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L54" s="26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12000.0</v>
      </c>
      <c r="I55" s="65">
        <v>10000.0</v>
      </c>
      <c r="J55" s="181">
        <v>10000.0</v>
      </c>
      <c r="K55" s="243">
        <v>10785.714285714286</v>
      </c>
      <c r="L55" s="265"/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L56" s="26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 t="s">
        <v>26</v>
      </c>
      <c r="H57" s="65">
        <v>12000.0</v>
      </c>
      <c r="I57" s="65">
        <v>14000.0</v>
      </c>
      <c r="J57" s="181" t="s">
        <v>26</v>
      </c>
      <c r="K57" s="243">
        <v>14400.0</v>
      </c>
      <c r="L57" s="265"/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v>14166.666666666666</v>
      </c>
      <c r="L58" s="265"/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v>24714.285714285714</v>
      </c>
      <c r="L59" s="265"/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v>28857.14285714286</v>
      </c>
      <c r="L60" s="265"/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L61" s="26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v>3200.0</v>
      </c>
      <c r="L62" s="265"/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L63" s="26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30000.0</v>
      </c>
      <c r="E64" s="65">
        <v>30000.0</v>
      </c>
      <c r="F64" s="65">
        <v>32000.0</v>
      </c>
      <c r="G64" s="65">
        <v>30000.0</v>
      </c>
      <c r="H64" s="65">
        <v>30000.0</v>
      </c>
      <c r="I64" s="65">
        <v>35000.0</v>
      </c>
      <c r="J64" s="181">
        <v>25000.0</v>
      </c>
      <c r="K64" s="243">
        <v>30285.714285714286</v>
      </c>
      <c r="L64" s="265"/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25000.0</v>
      </c>
      <c r="G65" s="65">
        <v>30000.0</v>
      </c>
      <c r="H65" s="199" t="s">
        <v>26</v>
      </c>
      <c r="I65" s="66">
        <v>35000.0</v>
      </c>
      <c r="J65" s="181" t="s">
        <v>26</v>
      </c>
      <c r="K65" s="243">
        <v>28000.0</v>
      </c>
      <c r="L65" s="265"/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32000.0</v>
      </c>
      <c r="E66" s="65">
        <v>35000.0</v>
      </c>
      <c r="F66" s="65">
        <v>30000.0</v>
      </c>
      <c r="G66" s="65">
        <v>25000.0</v>
      </c>
      <c r="H66" s="65">
        <v>28000.0</v>
      </c>
      <c r="I66" s="65">
        <v>40000.0</v>
      </c>
      <c r="J66" s="181">
        <v>30000.0</v>
      </c>
      <c r="K66" s="243">
        <v>31428.571428571428</v>
      </c>
      <c r="L66" s="265"/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L67" s="26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v>18333.333333333332</v>
      </c>
      <c r="L68" s="265"/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L69" s="26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35000.0</v>
      </c>
      <c r="G70" s="65">
        <v>32000.0</v>
      </c>
      <c r="H70" s="65">
        <v>32000.0</v>
      </c>
      <c r="I70" s="65">
        <v>35000.0</v>
      </c>
      <c r="J70" s="181">
        <v>35000.0</v>
      </c>
      <c r="K70" s="243">
        <v>34000.0</v>
      </c>
      <c r="L70" s="265"/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29000.0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v>31000.0</v>
      </c>
      <c r="L71" s="265"/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32000.0</v>
      </c>
      <c r="G72" s="65">
        <v>34000.0</v>
      </c>
      <c r="H72" s="65">
        <v>30000.0</v>
      </c>
      <c r="I72" s="65">
        <v>30000.0</v>
      </c>
      <c r="J72" s="181">
        <v>30000.0</v>
      </c>
      <c r="K72" s="243">
        <v>32285.714285714286</v>
      </c>
      <c r="L72" s="265"/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30000.0</v>
      </c>
      <c r="I73" s="65">
        <v>40000.0</v>
      </c>
      <c r="J73" s="181">
        <v>30000.0</v>
      </c>
      <c r="K73" s="243">
        <v>34285.71428571428</v>
      </c>
      <c r="L73" s="265"/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L74" s="26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v>5428.571428571428</v>
      </c>
      <c r="L75" s="265"/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v>5666.666666666667</v>
      </c>
      <c r="L76" s="265"/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L77" s="26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6000.0</v>
      </c>
      <c r="K78" s="243">
        <v>7714.285714285715</v>
      </c>
      <c r="L78" s="265"/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14000.0</v>
      </c>
      <c r="E79" s="65">
        <v>12000.0</v>
      </c>
      <c r="F79" s="65">
        <v>17000.0</v>
      </c>
      <c r="G79" s="65">
        <v>13000.0</v>
      </c>
      <c r="H79" s="65">
        <v>10000.0</v>
      </c>
      <c r="I79" s="66">
        <v>18000.0</v>
      </c>
      <c r="J79" s="181">
        <v>15000.0</v>
      </c>
      <c r="K79" s="243">
        <v>14142.857142857143</v>
      </c>
      <c r="L79" s="265"/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13000.0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15000.0</v>
      </c>
      <c r="K80" s="243">
        <v>15000.0</v>
      </c>
      <c r="L80" s="265"/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15000.0</v>
      </c>
      <c r="E81" s="65">
        <v>15000.0</v>
      </c>
      <c r="F81" s="65">
        <v>10000.0</v>
      </c>
      <c r="G81" s="65">
        <v>12000.0</v>
      </c>
      <c r="H81" s="65">
        <v>8000.0</v>
      </c>
      <c r="I81" s="66">
        <v>12000.0</v>
      </c>
      <c r="J81" s="181">
        <v>10000.0</v>
      </c>
      <c r="K81" s="243">
        <v>11714.285714285714</v>
      </c>
      <c r="L81" s="265"/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14000.0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v>10714.285714285714</v>
      </c>
      <c r="L82" s="265"/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8000.0</v>
      </c>
      <c r="H83" s="65">
        <v>9000.0</v>
      </c>
      <c r="I83" s="66">
        <v>10000.0</v>
      </c>
      <c r="J83" s="181">
        <v>8000.0</v>
      </c>
      <c r="K83" s="243">
        <v>8857.142857142857</v>
      </c>
      <c r="L83" s="265"/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1500.0</v>
      </c>
      <c r="K84" s="243">
        <v>1750.0</v>
      </c>
      <c r="L84" s="265"/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1000.0</v>
      </c>
      <c r="K85" s="243">
        <v>1500.0</v>
      </c>
      <c r="L85" s="265"/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1500.0</v>
      </c>
      <c r="K86" s="243">
        <v>1750.0</v>
      </c>
      <c r="L86" s="265"/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L87" s="26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v>18000.0</v>
      </c>
      <c r="L88" s="265"/>
      <c r="M88" s="5"/>
      <c r="N88" s="5"/>
    </row>
    <row r="89" ht="15.75" customHeight="1">
      <c r="A89" s="265"/>
      <c r="B89" s="265"/>
      <c r="C89" s="265"/>
      <c r="D89" s="265"/>
      <c r="E89" s="259"/>
      <c r="F89" s="260"/>
      <c r="G89" s="260"/>
      <c r="H89" s="260"/>
      <c r="I89" s="260"/>
      <c r="J89" s="261"/>
      <c r="K89" s="260"/>
      <c r="L89" s="265"/>
      <c r="M89" s="5"/>
      <c r="N89" s="5"/>
    </row>
    <row r="90" ht="15.75" customHeight="1">
      <c r="A90" s="265"/>
      <c r="B90" s="154"/>
      <c r="C90" s="265"/>
      <c r="D90" s="265"/>
      <c r="E90" s="260"/>
      <c r="F90" s="260"/>
      <c r="G90" s="260"/>
      <c r="H90" s="260"/>
      <c r="I90" s="260"/>
      <c r="J90" s="261"/>
      <c r="K90" s="260"/>
      <c r="L90" s="265"/>
      <c r="M90" s="5"/>
      <c r="N90" s="5"/>
    </row>
    <row r="91" ht="15.75" customHeight="1">
      <c r="A91" s="265"/>
      <c r="B91" s="265"/>
      <c r="C91" s="265"/>
      <c r="D91" s="265"/>
      <c r="E91" s="260"/>
      <c r="F91" s="260"/>
      <c r="G91" s="260"/>
      <c r="H91" s="260"/>
      <c r="I91" s="260"/>
      <c r="J91" s="261"/>
      <c r="K91" s="260"/>
      <c r="L91" s="265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4.86"/>
    <col customWidth="1" min="3" max="3" width="8.71"/>
    <col customWidth="1" min="4" max="11" width="12.0"/>
    <col customWidth="1" min="12" max="26" width="8.71"/>
  </cols>
  <sheetData>
    <row r="1">
      <c r="A1" s="3" t="s">
        <v>1</v>
      </c>
      <c r="L1" s="265"/>
      <c r="M1" s="5"/>
      <c r="N1" s="5"/>
      <c r="O1" s="265"/>
      <c r="P1" s="265"/>
      <c r="Q1" s="265"/>
      <c r="R1" s="265"/>
      <c r="S1" s="265"/>
      <c r="T1" s="265"/>
      <c r="U1" s="265"/>
      <c r="V1" s="265"/>
      <c r="W1" s="265"/>
    </row>
    <row r="2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L2" s="265"/>
      <c r="M2" s="5"/>
      <c r="N2" s="5"/>
      <c r="O2" s="265"/>
      <c r="P2" s="265"/>
      <c r="Q2" s="265"/>
      <c r="R2" s="265"/>
      <c r="S2" s="265"/>
      <c r="T2" s="265"/>
      <c r="U2" s="265"/>
      <c r="V2" s="265"/>
      <c r="W2" s="265"/>
    </row>
    <row r="3">
      <c r="A3" s="160" t="s">
        <v>154</v>
      </c>
      <c r="L3" s="265"/>
      <c r="M3" s="5"/>
      <c r="N3" s="5"/>
      <c r="O3" s="265"/>
      <c r="P3" s="265"/>
      <c r="Q3" s="265"/>
      <c r="R3" s="265"/>
      <c r="S3" s="265"/>
      <c r="T3" s="265"/>
      <c r="U3" s="265"/>
      <c r="V3" s="265"/>
      <c r="W3" s="265"/>
    </row>
    <row r="4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L4" s="265"/>
      <c r="M4" s="5"/>
      <c r="N4" s="5"/>
      <c r="O4" s="265"/>
      <c r="P4" s="265"/>
      <c r="Q4" s="265"/>
      <c r="R4" s="265"/>
      <c r="S4" s="265"/>
      <c r="T4" s="265"/>
      <c r="U4" s="265"/>
      <c r="V4" s="265"/>
      <c r="W4" s="265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5"/>
      <c r="M5" s="5"/>
      <c r="N5" s="5"/>
      <c r="O5" s="265"/>
      <c r="P5" s="265"/>
      <c r="Q5" s="265"/>
      <c r="R5" s="265"/>
      <c r="S5" s="265"/>
      <c r="T5" s="265"/>
      <c r="U5" s="265"/>
      <c r="V5" s="265"/>
      <c r="W5" s="26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265"/>
      <c r="M6" s="5"/>
      <c r="N6" s="5"/>
      <c r="O6" s="265"/>
      <c r="P6" s="265"/>
      <c r="Q6" s="265"/>
      <c r="R6" s="265"/>
      <c r="S6" s="265"/>
      <c r="T6" s="265"/>
      <c r="U6" s="265"/>
      <c r="V6" s="265"/>
      <c r="W6" s="26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L7" s="265"/>
      <c r="M7" s="5"/>
      <c r="N7" s="5"/>
      <c r="O7" s="265"/>
      <c r="P7" s="265"/>
      <c r="Q7" s="265"/>
      <c r="R7" s="265"/>
      <c r="S7" s="265"/>
      <c r="T7" s="265"/>
      <c r="U7" s="265"/>
      <c r="V7" s="265"/>
      <c r="W7" s="26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v>13214.285714285714</v>
      </c>
      <c r="L8" s="61"/>
      <c r="M8" s="62"/>
      <c r="N8" s="5"/>
      <c r="O8" s="265"/>
      <c r="P8" s="265"/>
      <c r="Q8" s="265"/>
      <c r="R8" s="265"/>
      <c r="S8" s="265"/>
      <c r="T8" s="265"/>
      <c r="U8" s="265"/>
      <c r="V8" s="265"/>
      <c r="W8" s="26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v>9000.0</v>
      </c>
      <c r="L9" s="265"/>
      <c r="M9" s="5"/>
      <c r="N9" s="5"/>
      <c r="O9" s="265"/>
      <c r="P9" s="265"/>
      <c r="Q9" s="265"/>
      <c r="R9" s="265"/>
      <c r="S9" s="265"/>
      <c r="T9" s="265"/>
      <c r="U9" s="265"/>
      <c r="V9" s="265"/>
      <c r="W9" s="26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>
        <v>10000.0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v>10360.0</v>
      </c>
      <c r="L10" s="265"/>
      <c r="M10" s="5"/>
      <c r="N10" s="5"/>
      <c r="O10" s="265"/>
      <c r="P10" s="265"/>
      <c r="Q10" s="265"/>
      <c r="R10" s="265"/>
      <c r="S10" s="265"/>
      <c r="T10" s="265"/>
      <c r="U10" s="265"/>
      <c r="V10" s="265"/>
      <c r="W10" s="26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v>10200.0</v>
      </c>
      <c r="L11" s="265"/>
      <c r="M11" s="5"/>
      <c r="N11" s="5"/>
      <c r="O11" s="265"/>
      <c r="P11" s="265"/>
      <c r="Q11" s="265"/>
      <c r="R11" s="265"/>
      <c r="S11" s="265"/>
      <c r="T11" s="265"/>
      <c r="U11" s="265"/>
      <c r="V11" s="265"/>
      <c r="W11" s="26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17000.0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v>18800.0</v>
      </c>
      <c r="L12" s="265"/>
      <c r="M12" s="5"/>
      <c r="N12" s="5"/>
      <c r="O12" s="265"/>
      <c r="P12" s="265"/>
      <c r="Q12" s="265"/>
      <c r="R12" s="265"/>
      <c r="S12" s="265"/>
      <c r="T12" s="265"/>
      <c r="U12" s="265"/>
      <c r="V12" s="265"/>
      <c r="W12" s="26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L13" s="265"/>
      <c r="M13" s="5"/>
      <c r="N13" s="92"/>
      <c r="O13" s="265"/>
      <c r="P13" s="265"/>
      <c r="Q13" s="265"/>
      <c r="R13" s="265"/>
      <c r="S13" s="265"/>
      <c r="T13" s="265"/>
      <c r="U13" s="265"/>
      <c r="V13" s="265"/>
      <c r="W13" s="265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13500.0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v>13285.714285714286</v>
      </c>
      <c r="L14" s="265"/>
      <c r="M14" s="5"/>
      <c r="N14" s="5"/>
      <c r="O14" s="265"/>
      <c r="P14" s="265"/>
      <c r="Q14" s="265"/>
      <c r="R14" s="265"/>
      <c r="S14" s="265"/>
      <c r="T14" s="265"/>
      <c r="U14" s="265"/>
      <c r="V14" s="265"/>
      <c r="W14" s="26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16000.0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v>15428.57142857143</v>
      </c>
      <c r="L15" s="265"/>
      <c r="M15" s="5"/>
      <c r="N15" s="5"/>
      <c r="O15" s="265"/>
      <c r="P15" s="265"/>
      <c r="Q15" s="265"/>
      <c r="R15" s="265"/>
      <c r="S15" s="265"/>
      <c r="T15" s="265"/>
      <c r="U15" s="265"/>
      <c r="V15" s="265"/>
      <c r="W15" s="26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L16" s="265"/>
      <c r="M16" s="5"/>
      <c r="N16" s="5"/>
      <c r="O16" s="265"/>
      <c r="P16" s="265"/>
      <c r="Q16" s="265"/>
      <c r="R16" s="265"/>
      <c r="S16" s="265"/>
      <c r="T16" s="265"/>
      <c r="U16" s="265"/>
      <c r="V16" s="265"/>
      <c r="W16" s="26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v>15142.857142857143</v>
      </c>
      <c r="L17" s="265"/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v>14000.0</v>
      </c>
      <c r="L18" s="265"/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L19" s="265"/>
      <c r="M19" s="5"/>
      <c r="N19" s="5"/>
    </row>
    <row r="20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20000.0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v>21500.0</v>
      </c>
      <c r="L20" s="265"/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L21" s="26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v>120000.0</v>
      </c>
      <c r="L22" s="265"/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110000.0</v>
      </c>
      <c r="I23" s="65">
        <v>115000.0</v>
      </c>
      <c r="J23" s="181">
        <v>115000.0</v>
      </c>
      <c r="K23" s="243">
        <v>111428.57142857143</v>
      </c>
      <c r="L23" s="265"/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v>102857.14285714286</v>
      </c>
      <c r="L24" s="265"/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38000.0</v>
      </c>
      <c r="E25" s="65">
        <v>37000.0</v>
      </c>
      <c r="F25" s="65">
        <v>38000.0</v>
      </c>
      <c r="G25" s="65">
        <v>37000.0</v>
      </c>
      <c r="H25" s="181">
        <v>40000.0</v>
      </c>
      <c r="I25" s="65">
        <v>38000.0</v>
      </c>
      <c r="J25" s="181">
        <v>39000.0</v>
      </c>
      <c r="K25" s="243">
        <v>38142.857142857145</v>
      </c>
      <c r="L25" s="265"/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L26" s="26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35000.0</v>
      </c>
      <c r="F27" s="65">
        <v>36000.0</v>
      </c>
      <c r="G27" s="65">
        <v>35000.0</v>
      </c>
      <c r="H27" s="65">
        <v>35000.0</v>
      </c>
      <c r="I27" s="65">
        <v>40000.0</v>
      </c>
      <c r="J27" s="181">
        <v>35000.0</v>
      </c>
      <c r="K27" s="243">
        <v>35857.142857142855</v>
      </c>
      <c r="L27" s="265"/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24000.0</v>
      </c>
      <c r="E28" s="65">
        <v>28000.0</v>
      </c>
      <c r="F28" s="65">
        <v>28000.0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v>26285.714285714286</v>
      </c>
      <c r="L28" s="265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v>61142.857142857145</v>
      </c>
      <c r="L29" s="265"/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v>24600.0</v>
      </c>
      <c r="L30" s="265"/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36000.0</v>
      </c>
      <c r="K31" s="243">
        <v>36857.142857142855</v>
      </c>
      <c r="L31" s="265"/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80000.0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v>86666.66666666667</v>
      </c>
      <c r="L32" s="265"/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L33" s="26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31000.0</v>
      </c>
      <c r="G34" s="65">
        <v>30000.0</v>
      </c>
      <c r="H34" s="65">
        <v>29000.0</v>
      </c>
      <c r="I34" s="65">
        <v>31000.0</v>
      </c>
      <c r="J34" s="181">
        <v>30000.0</v>
      </c>
      <c r="K34" s="243">
        <v>29857.14285714286</v>
      </c>
      <c r="L34" s="265"/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2700.0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v>2700.0</v>
      </c>
      <c r="L35" s="265"/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L36" s="265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v>10000.0</v>
      </c>
      <c r="L37" s="265"/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v>12600.0</v>
      </c>
      <c r="L38" s="265"/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L39" s="265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v>14000.0</v>
      </c>
      <c r="L40" s="265"/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v>6833.333333333333</v>
      </c>
      <c r="L41" s="265"/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v>2000.0</v>
      </c>
      <c r="L42" s="265"/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L43" s="26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v>12416.666666666666</v>
      </c>
      <c r="L44" s="265"/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v>12583.333333333334</v>
      </c>
      <c r="L45" s="265"/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L46" s="26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v>17500.0</v>
      </c>
      <c r="L47" s="265"/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v>2000.0</v>
      </c>
      <c r="L48" s="265"/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L49" s="26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v>9285.714285714286</v>
      </c>
      <c r="L50" s="265"/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v>8333.333333333334</v>
      </c>
      <c r="L51" s="265"/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L52" s="26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v>4000.0</v>
      </c>
      <c r="L53" s="265"/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L54" s="26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12000.0</v>
      </c>
      <c r="I55" s="65">
        <v>10000.0</v>
      </c>
      <c r="J55" s="181">
        <v>10000.0</v>
      </c>
      <c r="K55" s="243">
        <v>10785.714285714286</v>
      </c>
      <c r="L55" s="265"/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L56" s="26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 t="s">
        <v>26</v>
      </c>
      <c r="H57" s="65">
        <v>12000.0</v>
      </c>
      <c r="I57" s="65">
        <v>14000.0</v>
      </c>
      <c r="J57" s="181" t="s">
        <v>26</v>
      </c>
      <c r="K57" s="243">
        <v>14400.0</v>
      </c>
      <c r="L57" s="265"/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v>14166.666666666666</v>
      </c>
      <c r="L58" s="265"/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v>24714.285714285714</v>
      </c>
      <c r="L59" s="265"/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v>28857.14285714286</v>
      </c>
      <c r="L60" s="265"/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L61" s="26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v>3200.0</v>
      </c>
      <c r="L62" s="265"/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L63" s="26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36000.0</v>
      </c>
      <c r="E64" s="65">
        <v>30000.0</v>
      </c>
      <c r="F64" s="65">
        <v>34000.0</v>
      </c>
      <c r="G64" s="65">
        <v>30000.0</v>
      </c>
      <c r="H64" s="65">
        <v>35000.0</v>
      </c>
      <c r="I64" s="65">
        <v>35000.0</v>
      </c>
      <c r="J64" s="181">
        <v>30000.0</v>
      </c>
      <c r="K64" s="243">
        <v>32857.142857142855</v>
      </c>
      <c r="L64" s="265"/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25000.0</v>
      </c>
      <c r="E65" s="65">
        <v>25000.0</v>
      </c>
      <c r="F65" s="65">
        <v>30000.0</v>
      </c>
      <c r="G65" s="65">
        <v>30000.0</v>
      </c>
      <c r="H65" s="199" t="s">
        <v>26</v>
      </c>
      <c r="I65" s="66">
        <v>35000.0</v>
      </c>
      <c r="J65" s="181" t="s">
        <v>26</v>
      </c>
      <c r="K65" s="243">
        <v>29000.0</v>
      </c>
      <c r="L65" s="265"/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28000.0</v>
      </c>
      <c r="E66" s="65">
        <v>35000.0</v>
      </c>
      <c r="F66" s="65">
        <v>30000.0</v>
      </c>
      <c r="G66" s="65">
        <v>25000.0</v>
      </c>
      <c r="H66" s="65">
        <v>25000.0</v>
      </c>
      <c r="I66" s="65">
        <v>40000.0</v>
      </c>
      <c r="J66" s="181">
        <v>30000.0</v>
      </c>
      <c r="K66" s="243">
        <v>30428.571428571428</v>
      </c>
      <c r="L66" s="265"/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L67" s="26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v>18333.333333333332</v>
      </c>
      <c r="L68" s="265"/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L69" s="26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34000.0</v>
      </c>
      <c r="G70" s="65">
        <v>32000.0</v>
      </c>
      <c r="H70" s="65">
        <v>32000.0</v>
      </c>
      <c r="I70" s="65">
        <v>35000.0</v>
      </c>
      <c r="J70" s="181">
        <v>35000.0</v>
      </c>
      <c r="K70" s="243">
        <v>33857.142857142855</v>
      </c>
      <c r="L70" s="265"/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32000.0</v>
      </c>
      <c r="G71" s="65">
        <v>30000.0</v>
      </c>
      <c r="H71" s="65">
        <v>33000.0</v>
      </c>
      <c r="I71" s="65">
        <v>30000.0</v>
      </c>
      <c r="J71" s="181">
        <v>28000.0</v>
      </c>
      <c r="K71" s="243">
        <v>31428.571428571428</v>
      </c>
      <c r="L71" s="265"/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34000.0</v>
      </c>
      <c r="G72" s="65">
        <v>34000.0</v>
      </c>
      <c r="H72" s="65">
        <v>31000.0</v>
      </c>
      <c r="I72" s="65">
        <v>30000.0</v>
      </c>
      <c r="J72" s="181">
        <v>3500.0</v>
      </c>
      <c r="K72" s="243">
        <v>28928.571428571428</v>
      </c>
      <c r="L72" s="265"/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30000.0</v>
      </c>
      <c r="I73" s="65">
        <v>40000.0</v>
      </c>
      <c r="J73" s="181">
        <v>30000.0</v>
      </c>
      <c r="K73" s="243">
        <v>34285.71428571428</v>
      </c>
      <c r="L73" s="265"/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L74" s="26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v>5428.571428571428</v>
      </c>
      <c r="L75" s="265"/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v>5666.666666666667</v>
      </c>
      <c r="L76" s="265"/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L77" s="26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7000.0</v>
      </c>
      <c r="K78" s="243">
        <v>7857.142857142857</v>
      </c>
      <c r="L78" s="265"/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20000.0</v>
      </c>
      <c r="E79" s="65">
        <v>12000.0</v>
      </c>
      <c r="F79" s="65">
        <v>17000.0</v>
      </c>
      <c r="G79" s="65">
        <v>13000.0</v>
      </c>
      <c r="H79" s="65">
        <v>10000.0</v>
      </c>
      <c r="I79" s="66">
        <v>18000.0</v>
      </c>
      <c r="J79" s="181">
        <v>15000.0</v>
      </c>
      <c r="K79" s="243">
        <v>15000.0</v>
      </c>
      <c r="L79" s="265"/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15000.0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15000.0</v>
      </c>
      <c r="K80" s="243">
        <v>15285.714285714286</v>
      </c>
      <c r="L80" s="265"/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12000.0</v>
      </c>
      <c r="E81" s="65">
        <v>15000.0</v>
      </c>
      <c r="F81" s="65">
        <v>10000.0</v>
      </c>
      <c r="G81" s="65">
        <v>12000.0</v>
      </c>
      <c r="H81" s="65">
        <v>7000.0</v>
      </c>
      <c r="I81" s="66">
        <v>12000.0</v>
      </c>
      <c r="J81" s="181">
        <v>10000.0</v>
      </c>
      <c r="K81" s="243">
        <v>11142.857142857143</v>
      </c>
      <c r="L81" s="265"/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14000.0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v>10714.285714285714</v>
      </c>
      <c r="L82" s="265"/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8000.0</v>
      </c>
      <c r="H83" s="65">
        <v>9000.0</v>
      </c>
      <c r="I83" s="66">
        <v>10000.0</v>
      </c>
      <c r="J83" s="181">
        <v>8000.0</v>
      </c>
      <c r="K83" s="243">
        <v>8857.142857142857</v>
      </c>
      <c r="L83" s="265"/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1500.0</v>
      </c>
      <c r="K84" s="243">
        <v>1750.0</v>
      </c>
      <c r="L84" s="265"/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1000.0</v>
      </c>
      <c r="K85" s="243">
        <v>1500.0</v>
      </c>
      <c r="L85" s="265"/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1500.0</v>
      </c>
      <c r="K86" s="243">
        <v>1750.0</v>
      </c>
      <c r="L86" s="265"/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L87" s="26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26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v>18000.0</v>
      </c>
      <c r="L88" s="265"/>
      <c r="M88" s="5"/>
      <c r="N88" s="5"/>
    </row>
    <row r="89" ht="15.75" customHeight="1">
      <c r="A89" s="265"/>
      <c r="B89" s="265"/>
      <c r="C89" s="265"/>
      <c r="D89" s="265"/>
      <c r="E89" s="259"/>
      <c r="F89" s="260"/>
      <c r="G89" s="260"/>
      <c r="H89" s="260"/>
      <c r="I89" s="260"/>
      <c r="J89" s="261"/>
      <c r="K89" s="260"/>
      <c r="L89" s="265"/>
      <c r="M89" s="5"/>
      <c r="N89" s="5"/>
    </row>
    <row r="90" ht="15.75" customHeight="1">
      <c r="A90" s="265"/>
      <c r="B90" s="154"/>
      <c r="C90" s="265"/>
      <c r="D90" s="265"/>
      <c r="E90" s="260"/>
      <c r="F90" s="260"/>
      <c r="G90" s="260"/>
      <c r="H90" s="260"/>
      <c r="I90" s="260"/>
      <c r="J90" s="261"/>
      <c r="K90" s="260"/>
      <c r="L90" s="265"/>
      <c r="M90" s="5"/>
      <c r="N90" s="5"/>
    </row>
    <row r="91" ht="15.75" customHeight="1">
      <c r="A91" s="265"/>
      <c r="B91" s="265"/>
      <c r="C91" s="265"/>
      <c r="D91" s="265"/>
      <c r="E91" s="260"/>
      <c r="F91" s="260"/>
      <c r="G91" s="260"/>
      <c r="H91" s="260"/>
      <c r="I91" s="260"/>
      <c r="J91" s="261"/>
      <c r="K91" s="260"/>
      <c r="L91" s="265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155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f t="shared" ref="K8:K12" si="1">AVERAGE(D8:J8)</f>
        <v>13214.28571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9000.0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9000</v>
      </c>
      <c r="M9" s="5"/>
      <c r="N9" s="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>
        <v>10000.0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10360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17000.0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18800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13500.0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13285.71429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16000.0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15428.57143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20000.0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21500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110000.0</v>
      </c>
      <c r="I23" s="65">
        <v>115000.0</v>
      </c>
      <c r="J23" s="181">
        <v>115000.0</v>
      </c>
      <c r="K23" s="243">
        <f t="shared" si="4"/>
        <v>111428.5714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38000.0</v>
      </c>
      <c r="E25" s="65">
        <v>37000.0</v>
      </c>
      <c r="F25" s="65">
        <v>38000.0</v>
      </c>
      <c r="G25" s="65">
        <v>38000.0</v>
      </c>
      <c r="H25" s="181">
        <v>40000.0</v>
      </c>
      <c r="I25" s="65">
        <v>40000.0</v>
      </c>
      <c r="J25" s="181">
        <v>39000.0</v>
      </c>
      <c r="K25" s="243">
        <f t="shared" si="4"/>
        <v>38571.42857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35000.0</v>
      </c>
      <c r="F27" s="65">
        <v>36000.0</v>
      </c>
      <c r="G27" s="65">
        <v>35000.0</v>
      </c>
      <c r="H27" s="65">
        <v>35000.0</v>
      </c>
      <c r="I27" s="65">
        <v>40000.0</v>
      </c>
      <c r="J27" s="181">
        <v>35000.0</v>
      </c>
      <c r="K27" s="243">
        <f t="shared" ref="K27:K32" si="5">AVERAGE(D27:J27)</f>
        <v>35857.14286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24000.0</v>
      </c>
      <c r="E28" s="65">
        <v>28000.0</v>
      </c>
      <c r="F28" s="65">
        <v>28000.0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26285.71429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36000.0</v>
      </c>
      <c r="K31" s="243">
        <f t="shared" si="5"/>
        <v>36857.14286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80000.0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86666.66667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31000.0</v>
      </c>
      <c r="G34" s="65">
        <v>29000.0</v>
      </c>
      <c r="H34" s="65">
        <v>29000.0</v>
      </c>
      <c r="I34" s="65">
        <v>31000.0</v>
      </c>
      <c r="J34" s="181">
        <v>30000.0</v>
      </c>
      <c r="K34" s="243">
        <f t="shared" ref="K34:K35" si="6">AVERAGE(D34:J34)</f>
        <v>29714.28571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2700.0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2700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12000.0</v>
      </c>
      <c r="I55" s="65">
        <v>10000.0</v>
      </c>
      <c r="J55" s="181">
        <v>10000.0</v>
      </c>
      <c r="K55" s="243">
        <f>AVERAGE(D55:J55)</f>
        <v>10785.71429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 t="s">
        <v>26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14400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34000.0</v>
      </c>
      <c r="E64" s="65">
        <v>30000.0</v>
      </c>
      <c r="F64" s="65">
        <v>34000.0</v>
      </c>
      <c r="G64" s="65">
        <v>30000.0</v>
      </c>
      <c r="H64" s="65">
        <v>35000.0</v>
      </c>
      <c r="I64" s="65">
        <v>35000.0</v>
      </c>
      <c r="J64" s="181">
        <v>30000.0</v>
      </c>
      <c r="K64" s="243">
        <f t="shared" ref="K64:K66" si="13">AVERAGE(D64:J64)</f>
        <v>32571.42857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35000.0</v>
      </c>
      <c r="E65" s="65">
        <v>25000.0</v>
      </c>
      <c r="F65" s="65">
        <v>30000.0</v>
      </c>
      <c r="G65" s="65">
        <v>30000.0</v>
      </c>
      <c r="H65" s="199" t="s">
        <v>26</v>
      </c>
      <c r="I65" s="66">
        <v>35000.0</v>
      </c>
      <c r="J65" s="181" t="s">
        <v>26</v>
      </c>
      <c r="K65" s="243">
        <f t="shared" si="13"/>
        <v>31000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28000.0</v>
      </c>
      <c r="E66" s="65">
        <v>35000.0</v>
      </c>
      <c r="F66" s="65">
        <v>30000.0</v>
      </c>
      <c r="G66" s="65">
        <v>25000.0</v>
      </c>
      <c r="H66" s="65">
        <v>25000.0</v>
      </c>
      <c r="I66" s="65">
        <v>40000.0</v>
      </c>
      <c r="J66" s="181">
        <v>30000.0</v>
      </c>
      <c r="K66" s="243">
        <f t="shared" si="13"/>
        <v>30428.57143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34000.0</v>
      </c>
      <c r="G70" s="65">
        <v>34000.0</v>
      </c>
      <c r="H70" s="65">
        <v>33000.0</v>
      </c>
      <c r="I70" s="65">
        <v>35000.0</v>
      </c>
      <c r="J70" s="181">
        <v>35000.0</v>
      </c>
      <c r="K70" s="243">
        <f t="shared" ref="K70:K73" si="14">AVERAGE(D70:J70)</f>
        <v>34285.71429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32000.0</v>
      </c>
      <c r="G71" s="65">
        <v>30000.0</v>
      </c>
      <c r="H71" s="65">
        <v>35000.0</v>
      </c>
      <c r="I71" s="65">
        <v>30000.0</v>
      </c>
      <c r="J71" s="181">
        <v>28000.0</v>
      </c>
      <c r="K71" s="243">
        <f t="shared" si="14"/>
        <v>31714.28571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34000.0</v>
      </c>
      <c r="G72" s="65">
        <v>30000.0</v>
      </c>
      <c r="H72" s="65">
        <v>31000.0</v>
      </c>
      <c r="I72" s="65">
        <v>30000.0</v>
      </c>
      <c r="J72" s="181">
        <v>35000.0</v>
      </c>
      <c r="K72" s="243">
        <f t="shared" si="14"/>
        <v>32857.14286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30000.0</v>
      </c>
      <c r="I73" s="65">
        <v>40000.0</v>
      </c>
      <c r="J73" s="181">
        <v>30000.0</v>
      </c>
      <c r="K73" s="243">
        <f t="shared" si="14"/>
        <v>34285.71429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7000.0</v>
      </c>
      <c r="K78" s="243">
        <f t="shared" ref="K78:K86" si="16">AVERAGE(D78:J78)</f>
        <v>7857.142857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20000.0</v>
      </c>
      <c r="E79" s="65">
        <v>12000.0</v>
      </c>
      <c r="F79" s="65">
        <v>17000.0</v>
      </c>
      <c r="G79" s="65">
        <v>13000.0</v>
      </c>
      <c r="H79" s="65">
        <v>10000.0</v>
      </c>
      <c r="I79" s="66">
        <v>18000.0</v>
      </c>
      <c r="J79" s="181">
        <v>15000.0</v>
      </c>
      <c r="K79" s="243">
        <f t="shared" si="16"/>
        <v>15000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15000.0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15000.0</v>
      </c>
      <c r="K80" s="243">
        <f t="shared" si="16"/>
        <v>15285.71429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12000.0</v>
      </c>
      <c r="E81" s="65">
        <v>15000.0</v>
      </c>
      <c r="F81" s="65">
        <v>10000.0</v>
      </c>
      <c r="G81" s="65">
        <v>12000.0</v>
      </c>
      <c r="H81" s="65">
        <v>7000.0</v>
      </c>
      <c r="I81" s="66">
        <v>12000.0</v>
      </c>
      <c r="J81" s="181">
        <v>10000.0</v>
      </c>
      <c r="K81" s="243">
        <f t="shared" si="16"/>
        <v>11142.85714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14000.0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10714.28571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8000.0</v>
      </c>
      <c r="H83" s="65">
        <v>9000.0</v>
      </c>
      <c r="I83" s="66">
        <v>10000.0</v>
      </c>
      <c r="J83" s="181">
        <v>8000.0</v>
      </c>
      <c r="K83" s="243">
        <f t="shared" si="16"/>
        <v>8857.142857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1500.0</v>
      </c>
      <c r="K84" s="243">
        <f t="shared" si="16"/>
        <v>1750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1000.0</v>
      </c>
      <c r="K85" s="243">
        <f t="shared" si="16"/>
        <v>1500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1500.0</v>
      </c>
      <c r="K86" s="243">
        <f t="shared" si="16"/>
        <v>1750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157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156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f t="shared" ref="K8:K12" si="1">AVERAGE(D8:J8)</f>
        <v>13214.28571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9500.0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9125</v>
      </c>
      <c r="M9" s="5"/>
      <c r="N9" s="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 t="s">
        <v>26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10450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17000.0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18800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13500.0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13285.71429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16000.0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15428.57143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20000.0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21500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110000.0</v>
      </c>
      <c r="I23" s="65">
        <v>115000.0</v>
      </c>
      <c r="J23" s="181">
        <v>115000.0</v>
      </c>
      <c r="K23" s="243">
        <f t="shared" si="4"/>
        <v>111428.5714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38000.0</v>
      </c>
      <c r="E25" s="65">
        <v>37000.0</v>
      </c>
      <c r="F25" s="65">
        <v>38000.0</v>
      </c>
      <c r="G25" s="65">
        <v>38000.0</v>
      </c>
      <c r="H25" s="181">
        <v>40000.0</v>
      </c>
      <c r="I25" s="65">
        <v>40000.0</v>
      </c>
      <c r="J25" s="181">
        <v>39000.0</v>
      </c>
      <c r="K25" s="243">
        <f t="shared" si="4"/>
        <v>38571.42857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35000.0</v>
      </c>
      <c r="F27" s="65">
        <v>36000.0</v>
      </c>
      <c r="G27" s="65">
        <v>35000.0</v>
      </c>
      <c r="H27" s="65">
        <v>35000.0</v>
      </c>
      <c r="I27" s="65">
        <v>40000.0</v>
      </c>
      <c r="J27" s="181">
        <v>35000.0</v>
      </c>
      <c r="K27" s="243">
        <f t="shared" ref="K27:K32" si="5">AVERAGE(D27:J27)</f>
        <v>35857.14286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24000.0</v>
      </c>
      <c r="E28" s="65">
        <v>28000.0</v>
      </c>
      <c r="F28" s="65">
        <v>28000.0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26285.71429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35000.0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36000.0</v>
      </c>
      <c r="K31" s="243">
        <f t="shared" si="5"/>
        <v>36857.14286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130000.0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103333.3333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29000.0</v>
      </c>
      <c r="E34" s="65">
        <v>29000.0</v>
      </c>
      <c r="F34" s="65">
        <v>30000.0</v>
      </c>
      <c r="G34" s="65">
        <v>29000.0</v>
      </c>
      <c r="H34" s="65">
        <v>29000.0</v>
      </c>
      <c r="I34" s="65">
        <v>30000.0</v>
      </c>
      <c r="J34" s="181">
        <v>30000.0</v>
      </c>
      <c r="K34" s="243">
        <f t="shared" ref="K34:K35" si="6">AVERAGE(D34:J34)</f>
        <v>29428.57143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12000.0</v>
      </c>
      <c r="I55" s="65">
        <v>10000.0</v>
      </c>
      <c r="J55" s="181">
        <v>10000.0</v>
      </c>
      <c r="K55" s="243">
        <f>AVERAGE(D55:J55)</f>
        <v>10785.71429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 t="s">
        <v>26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14400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33000.0</v>
      </c>
      <c r="E64" s="65">
        <v>30000.0</v>
      </c>
      <c r="F64" s="65">
        <v>35000.0</v>
      </c>
      <c r="G64" s="65">
        <v>35000.0</v>
      </c>
      <c r="H64" s="65">
        <v>35000.0</v>
      </c>
      <c r="I64" s="65">
        <v>38000.0</v>
      </c>
      <c r="J64" s="181">
        <v>30000.0</v>
      </c>
      <c r="K64" s="243">
        <f t="shared" ref="K64:K66" si="13">AVERAGE(D64:J64)</f>
        <v>33714.28571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32000.0</v>
      </c>
      <c r="E65" s="65">
        <v>25000.0</v>
      </c>
      <c r="F65" s="65">
        <v>32000.0</v>
      </c>
      <c r="G65" s="65">
        <v>35000.0</v>
      </c>
      <c r="H65" s="199" t="s">
        <v>26</v>
      </c>
      <c r="I65" s="66">
        <v>35000.0</v>
      </c>
      <c r="J65" s="181" t="s">
        <v>26</v>
      </c>
      <c r="K65" s="243">
        <f t="shared" si="13"/>
        <v>31800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25000.0</v>
      </c>
      <c r="E66" s="65">
        <v>35000.0</v>
      </c>
      <c r="F66" s="65">
        <v>32000.0</v>
      </c>
      <c r="G66" s="65">
        <v>30000.0</v>
      </c>
      <c r="H66" s="65">
        <v>25000.0</v>
      </c>
      <c r="I66" s="65">
        <v>30000.0</v>
      </c>
      <c r="J66" s="181">
        <v>30000.0</v>
      </c>
      <c r="K66" s="243">
        <f t="shared" si="13"/>
        <v>29571.42857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34000.0</v>
      </c>
      <c r="G70" s="65">
        <v>34000.0</v>
      </c>
      <c r="H70" s="65">
        <v>33000.0</v>
      </c>
      <c r="I70" s="65">
        <v>40000.0</v>
      </c>
      <c r="J70" s="181">
        <v>35000.0</v>
      </c>
      <c r="K70" s="243">
        <f t="shared" ref="K70:K73" si="14">AVERAGE(D70:J70)</f>
        <v>35000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32000.0</v>
      </c>
      <c r="E71" s="65">
        <v>35000.0</v>
      </c>
      <c r="F71" s="65">
        <v>34000.0</v>
      </c>
      <c r="G71" s="65">
        <v>30000.0</v>
      </c>
      <c r="H71" s="65">
        <v>35000.0</v>
      </c>
      <c r="I71" s="65">
        <v>30000.0</v>
      </c>
      <c r="J71" s="181">
        <v>28000.0</v>
      </c>
      <c r="K71" s="243">
        <f t="shared" si="14"/>
        <v>32000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32000.0</v>
      </c>
      <c r="G72" s="65">
        <v>30000.0</v>
      </c>
      <c r="H72" s="65">
        <v>31000.0</v>
      </c>
      <c r="I72" s="65">
        <v>38000.0</v>
      </c>
      <c r="J72" s="181">
        <v>35000.0</v>
      </c>
      <c r="K72" s="243">
        <f t="shared" si="14"/>
        <v>33714.28571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30000.0</v>
      </c>
      <c r="I73" s="65">
        <v>40000.0</v>
      </c>
      <c r="J73" s="181">
        <v>30000.0</v>
      </c>
      <c r="K73" s="243">
        <f t="shared" si="14"/>
        <v>34285.71429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8000.0</v>
      </c>
      <c r="G78" s="65">
        <v>8000.0</v>
      </c>
      <c r="H78" s="65">
        <v>9000.0</v>
      </c>
      <c r="I78" s="66">
        <v>8000.0</v>
      </c>
      <c r="J78" s="181">
        <v>7000.0</v>
      </c>
      <c r="K78" s="243">
        <f t="shared" ref="K78:K86" si="16">AVERAGE(D78:J78)</f>
        <v>7857.142857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20000.0</v>
      </c>
      <c r="E79" s="65">
        <v>12000.0</v>
      </c>
      <c r="F79" s="65">
        <v>15000.0</v>
      </c>
      <c r="G79" s="65">
        <v>13000.0</v>
      </c>
      <c r="H79" s="65">
        <v>10000.0</v>
      </c>
      <c r="I79" s="66">
        <v>18000.0</v>
      </c>
      <c r="J79" s="181">
        <v>15000.0</v>
      </c>
      <c r="K79" s="243">
        <f t="shared" si="16"/>
        <v>14714.28571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15000.0</v>
      </c>
      <c r="E80" s="65">
        <v>16000.0</v>
      </c>
      <c r="F80" s="65">
        <v>16000.0</v>
      </c>
      <c r="G80" s="65">
        <v>13000.0</v>
      </c>
      <c r="H80" s="65">
        <v>15000.0</v>
      </c>
      <c r="I80" s="65">
        <v>17000.0</v>
      </c>
      <c r="J80" s="181">
        <v>15000.0</v>
      </c>
      <c r="K80" s="243">
        <f t="shared" si="16"/>
        <v>15285.71429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12000.0</v>
      </c>
      <c r="E81" s="65">
        <v>15000.0</v>
      </c>
      <c r="F81" s="65">
        <v>10000.0</v>
      </c>
      <c r="G81" s="65">
        <v>12000.0</v>
      </c>
      <c r="H81" s="65">
        <v>7000.0</v>
      </c>
      <c r="I81" s="66">
        <v>12000.0</v>
      </c>
      <c r="J81" s="181">
        <v>10000.0</v>
      </c>
      <c r="K81" s="243">
        <f t="shared" si="16"/>
        <v>11142.85714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14000.0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10714.28571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8000.0</v>
      </c>
      <c r="H83" s="65">
        <v>9000.0</v>
      </c>
      <c r="I83" s="66">
        <v>10000.0</v>
      </c>
      <c r="J83" s="181">
        <v>8000.0</v>
      </c>
      <c r="K83" s="243">
        <f t="shared" si="16"/>
        <v>8857.142857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1500.0</v>
      </c>
      <c r="K84" s="243">
        <f t="shared" si="16"/>
        <v>1750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1000.0</v>
      </c>
      <c r="K85" s="243">
        <f t="shared" si="16"/>
        <v>1500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1500.0</v>
      </c>
      <c r="K86" s="243">
        <f t="shared" si="16"/>
        <v>1750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157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9.14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1</v>
      </c>
      <c r="M1" s="5"/>
      <c r="N1" s="5"/>
    </row>
    <row r="2" ht="27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4"/>
      <c r="M2" s="5"/>
      <c r="N2" s="5"/>
    </row>
    <row r="3" ht="27.75" customHeight="1">
      <c r="A3" s="160" t="s">
        <v>158</v>
      </c>
      <c r="M3" s="5"/>
      <c r="N3" s="5"/>
    </row>
    <row r="4" ht="25.5" customHeight="1">
      <c r="A4" s="161" t="s">
        <v>7</v>
      </c>
      <c r="B4" s="24" t="s">
        <v>8</v>
      </c>
      <c r="C4" s="161" t="s">
        <v>10</v>
      </c>
      <c r="D4" s="162" t="s">
        <v>11</v>
      </c>
      <c r="E4" s="163" t="s">
        <v>12</v>
      </c>
      <c r="F4" s="164" t="s">
        <v>13</v>
      </c>
      <c r="G4" s="165" t="s">
        <v>15</v>
      </c>
      <c r="H4" s="166" t="s">
        <v>16</v>
      </c>
      <c r="I4" s="167" t="s">
        <v>17</v>
      </c>
      <c r="J4" s="168" t="s">
        <v>18</v>
      </c>
      <c r="K4" s="24" t="s">
        <v>19</v>
      </c>
      <c r="M4" s="5"/>
      <c r="N4" s="5"/>
    </row>
    <row r="5" ht="15.0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M5" s="5"/>
      <c r="N5" s="5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M6" s="5"/>
      <c r="N6" s="5"/>
    </row>
    <row r="7">
      <c r="A7" s="169">
        <v>1.0</v>
      </c>
      <c r="B7" s="170" t="s">
        <v>20</v>
      </c>
      <c r="C7" s="171"/>
      <c r="D7" s="123"/>
      <c r="E7" s="123" t="s">
        <v>123</v>
      </c>
      <c r="F7" s="123"/>
      <c r="G7" s="241"/>
      <c r="H7" s="241" t="s">
        <v>7</v>
      </c>
      <c r="I7" s="173"/>
      <c r="J7" s="241"/>
      <c r="K7" s="242"/>
      <c r="M7" s="5"/>
      <c r="N7" s="5"/>
    </row>
    <row r="8">
      <c r="A8" s="29"/>
      <c r="B8" s="175" t="s">
        <v>23</v>
      </c>
      <c r="C8" s="123" t="s">
        <v>24</v>
      </c>
      <c r="D8" s="65">
        <v>13000.0</v>
      </c>
      <c r="E8" s="65">
        <v>13000.0</v>
      </c>
      <c r="F8" s="65">
        <v>13500.0</v>
      </c>
      <c r="G8" s="65">
        <v>13000.0</v>
      </c>
      <c r="H8" s="65">
        <v>13000.0</v>
      </c>
      <c r="I8" s="65">
        <v>13500.0</v>
      </c>
      <c r="J8" s="66">
        <v>13500.0</v>
      </c>
      <c r="K8" s="243">
        <f t="shared" ref="K8:K12" si="1">AVERAGE(D8:J8)</f>
        <v>13214.28571</v>
      </c>
      <c r="L8" s="61"/>
      <c r="M8" s="62"/>
      <c r="N8" s="5"/>
    </row>
    <row r="9">
      <c r="A9" s="29"/>
      <c r="B9" s="175" t="s">
        <v>25</v>
      </c>
      <c r="C9" s="123" t="s">
        <v>24</v>
      </c>
      <c r="D9" s="65">
        <v>9000.0</v>
      </c>
      <c r="E9" s="65">
        <v>9000.0</v>
      </c>
      <c r="F9" s="65">
        <v>10500.0</v>
      </c>
      <c r="G9" s="66">
        <v>9000.0</v>
      </c>
      <c r="H9" s="65" t="s">
        <v>26</v>
      </c>
      <c r="I9" s="65" t="s">
        <v>26</v>
      </c>
      <c r="J9" s="66" t="s">
        <v>26</v>
      </c>
      <c r="K9" s="243">
        <f t="shared" si="1"/>
        <v>9375</v>
      </c>
      <c r="M9" s="5"/>
      <c r="N9" s="5"/>
    </row>
    <row r="10">
      <c r="A10" s="29"/>
      <c r="B10" s="175" t="s">
        <v>27</v>
      </c>
      <c r="C10" s="123" t="s">
        <v>24</v>
      </c>
      <c r="D10" s="65">
        <v>10000.0</v>
      </c>
      <c r="E10" s="65">
        <v>10900.0</v>
      </c>
      <c r="F10" s="65" t="s">
        <v>26</v>
      </c>
      <c r="G10" s="66">
        <v>10900.0</v>
      </c>
      <c r="H10" s="65" t="s">
        <v>26</v>
      </c>
      <c r="I10" s="65">
        <v>10000.0</v>
      </c>
      <c r="J10" s="66" t="s">
        <v>26</v>
      </c>
      <c r="K10" s="243">
        <f t="shared" si="1"/>
        <v>10450</v>
      </c>
      <c r="M10" s="5"/>
      <c r="N10" s="5"/>
    </row>
    <row r="11">
      <c r="A11" s="29"/>
      <c r="B11" s="175" t="s">
        <v>28</v>
      </c>
      <c r="C11" s="123" t="s">
        <v>24</v>
      </c>
      <c r="D11" s="65" t="s">
        <v>26</v>
      </c>
      <c r="E11" s="65">
        <v>10000.0</v>
      </c>
      <c r="F11" s="66">
        <v>12000.0</v>
      </c>
      <c r="G11" s="66">
        <v>10000.0</v>
      </c>
      <c r="H11" s="65" t="s">
        <v>26</v>
      </c>
      <c r="I11" s="66">
        <v>11000.0</v>
      </c>
      <c r="J11" s="66">
        <v>8000.0</v>
      </c>
      <c r="K11" s="243">
        <f t="shared" si="1"/>
        <v>10200</v>
      </c>
      <c r="M11" s="5"/>
      <c r="N11" s="5"/>
    </row>
    <row r="12">
      <c r="A12" s="38"/>
      <c r="B12" s="175" t="s">
        <v>29</v>
      </c>
      <c r="C12" s="123" t="s">
        <v>24</v>
      </c>
      <c r="D12" s="65" t="s">
        <v>26</v>
      </c>
      <c r="E12" s="65">
        <v>22000.0</v>
      </c>
      <c r="F12" s="66">
        <v>17000.0</v>
      </c>
      <c r="G12" s="66">
        <v>20000.0</v>
      </c>
      <c r="H12" s="65" t="s">
        <v>26</v>
      </c>
      <c r="I12" s="66">
        <v>18000.0</v>
      </c>
      <c r="J12" s="66">
        <v>17000.0</v>
      </c>
      <c r="K12" s="243">
        <f t="shared" si="1"/>
        <v>18800</v>
      </c>
      <c r="M12" s="5"/>
      <c r="N12" s="5"/>
    </row>
    <row r="13">
      <c r="A13" s="169">
        <v>2.0</v>
      </c>
      <c r="B13" s="170" t="s">
        <v>31</v>
      </c>
      <c r="C13" s="171"/>
      <c r="D13" s="123"/>
      <c r="E13" s="114"/>
      <c r="F13" s="123"/>
      <c r="G13" s="235"/>
      <c r="H13" s="235"/>
      <c r="I13" s="235"/>
      <c r="J13" s="235"/>
      <c r="K13" s="245"/>
      <c r="M13" s="5"/>
      <c r="N13" s="92"/>
    </row>
    <row r="14">
      <c r="A14" s="29"/>
      <c r="B14" s="175" t="s">
        <v>32</v>
      </c>
      <c r="C14" s="123" t="s">
        <v>24</v>
      </c>
      <c r="D14" s="65">
        <v>13000.0</v>
      </c>
      <c r="E14" s="65">
        <v>13000.0</v>
      </c>
      <c r="F14" s="65">
        <v>13500.0</v>
      </c>
      <c r="G14" s="65">
        <v>13000.0</v>
      </c>
      <c r="H14" s="65">
        <v>13500.0</v>
      </c>
      <c r="I14" s="65">
        <v>13500.0</v>
      </c>
      <c r="J14" s="181">
        <v>13500.0</v>
      </c>
      <c r="K14" s="243">
        <f t="shared" ref="K14:K15" si="2">AVERAGE(D14:J14)</f>
        <v>13285.71429</v>
      </c>
      <c r="M14" s="5"/>
      <c r="N14" s="5"/>
    </row>
    <row r="15">
      <c r="A15" s="38"/>
      <c r="B15" s="175" t="s">
        <v>33</v>
      </c>
      <c r="C15" s="123" t="s">
        <v>24</v>
      </c>
      <c r="D15" s="65">
        <v>15000.0</v>
      </c>
      <c r="E15" s="65">
        <v>16000.0</v>
      </c>
      <c r="F15" s="66">
        <v>16000.0</v>
      </c>
      <c r="G15" s="66">
        <v>14000.0</v>
      </c>
      <c r="H15" s="65">
        <v>15000.0</v>
      </c>
      <c r="I15" s="65">
        <v>16000.0</v>
      </c>
      <c r="J15" s="181">
        <v>16000.0</v>
      </c>
      <c r="K15" s="243">
        <f t="shared" si="2"/>
        <v>15428.57143</v>
      </c>
      <c r="M15" s="5"/>
      <c r="N15" s="5"/>
    </row>
    <row r="16">
      <c r="A16" s="169">
        <v>3.0</v>
      </c>
      <c r="B16" s="170" t="s">
        <v>34</v>
      </c>
      <c r="C16" s="170"/>
      <c r="D16" s="97"/>
      <c r="E16" s="97"/>
      <c r="F16" s="97"/>
      <c r="G16" s="97"/>
      <c r="H16" s="97"/>
      <c r="I16" s="97"/>
      <c r="J16" s="184"/>
      <c r="K16" s="245"/>
      <c r="M16" s="5"/>
      <c r="N16" s="5"/>
    </row>
    <row r="17">
      <c r="A17" s="38"/>
      <c r="B17" s="175" t="s">
        <v>35</v>
      </c>
      <c r="C17" s="123" t="s">
        <v>24</v>
      </c>
      <c r="D17" s="65">
        <v>15000.0</v>
      </c>
      <c r="E17" s="65">
        <v>15000.0</v>
      </c>
      <c r="F17" s="65">
        <v>16000.0</v>
      </c>
      <c r="G17" s="65">
        <v>15000.0</v>
      </c>
      <c r="H17" s="65">
        <v>15000.0</v>
      </c>
      <c r="I17" s="65">
        <v>15000.0</v>
      </c>
      <c r="J17" s="181">
        <v>15000.0</v>
      </c>
      <c r="K17" s="243">
        <f t="shared" ref="K17:K18" si="3">AVERAGE(D17:J17)</f>
        <v>15142.85714</v>
      </c>
      <c r="M17" s="5"/>
      <c r="N17" s="5"/>
    </row>
    <row r="18">
      <c r="A18" s="182"/>
      <c r="B18" s="175" t="s">
        <v>36</v>
      </c>
      <c r="C18" s="123" t="s">
        <v>37</v>
      </c>
      <c r="D18" s="65">
        <v>14000.0</v>
      </c>
      <c r="E18" s="65">
        <v>14000.0</v>
      </c>
      <c r="F18" s="65">
        <v>14000.0</v>
      </c>
      <c r="G18" s="65">
        <v>14000.0</v>
      </c>
      <c r="H18" s="65" t="s">
        <v>26</v>
      </c>
      <c r="I18" s="65">
        <v>14000.0</v>
      </c>
      <c r="J18" s="181">
        <v>14000.0</v>
      </c>
      <c r="K18" s="243">
        <f t="shared" si="3"/>
        <v>14000</v>
      </c>
      <c r="M18" s="5"/>
      <c r="N18" s="5"/>
    </row>
    <row r="19">
      <c r="A19" s="169">
        <v>4.0</v>
      </c>
      <c r="B19" s="170" t="s">
        <v>40</v>
      </c>
      <c r="C19" s="170"/>
      <c r="D19" s="97"/>
      <c r="E19" s="97"/>
      <c r="F19" s="97"/>
      <c r="G19" s="239"/>
      <c r="H19" s="97"/>
      <c r="I19" s="97"/>
      <c r="J19" s="184"/>
      <c r="K19" s="245"/>
      <c r="M19" s="5"/>
      <c r="N19" s="5"/>
    </row>
    <row r="20" ht="17.25" customHeight="1">
      <c r="A20" s="38"/>
      <c r="B20" s="175" t="s">
        <v>41</v>
      </c>
      <c r="C20" s="123" t="s">
        <v>24</v>
      </c>
      <c r="D20" s="65">
        <v>20000.0</v>
      </c>
      <c r="E20" s="65" t="s">
        <v>26</v>
      </c>
      <c r="F20" s="66">
        <v>20000.0</v>
      </c>
      <c r="G20" s="66">
        <v>22000.0</v>
      </c>
      <c r="H20" s="114" t="s">
        <v>26</v>
      </c>
      <c r="I20" s="66">
        <v>24000.0</v>
      </c>
      <c r="J20" s="183" t="s">
        <v>26</v>
      </c>
      <c r="K20" s="243">
        <f>AVERAGE(D20:J20)</f>
        <v>21500</v>
      </c>
      <c r="M20" s="5"/>
      <c r="N20" s="5"/>
    </row>
    <row r="21" ht="15.75" customHeight="1">
      <c r="A21" s="169">
        <v>5.0</v>
      </c>
      <c r="B21" s="170" t="s">
        <v>42</v>
      </c>
      <c r="C21" s="170"/>
      <c r="D21" s="97"/>
      <c r="E21" s="123"/>
      <c r="F21" s="97"/>
      <c r="G21" s="239"/>
      <c r="H21" s="97"/>
      <c r="I21" s="97"/>
      <c r="J21" s="184"/>
      <c r="K21" s="245"/>
      <c r="M21" s="5"/>
      <c r="N21" s="5"/>
    </row>
    <row r="22" ht="15.75" customHeight="1">
      <c r="A22" s="29"/>
      <c r="B22" s="175" t="s">
        <v>43</v>
      </c>
      <c r="C22" s="123" t="s">
        <v>24</v>
      </c>
      <c r="D22" s="65">
        <v>120000.0</v>
      </c>
      <c r="E22" s="65">
        <v>120000.0</v>
      </c>
      <c r="F22" s="65">
        <v>120000.0</v>
      </c>
      <c r="G22" s="65">
        <v>120000.0</v>
      </c>
      <c r="H22" s="65">
        <v>120000.0</v>
      </c>
      <c r="I22" s="66">
        <v>120000.0</v>
      </c>
      <c r="J22" s="181" t="s">
        <v>26</v>
      </c>
      <c r="K22" s="243">
        <f t="shared" ref="K22:K25" si="4">AVERAGE(D22:J22)</f>
        <v>120000</v>
      </c>
      <c r="M22" s="5"/>
      <c r="N22" s="5"/>
    </row>
    <row r="23" ht="15.75" customHeight="1">
      <c r="A23" s="29"/>
      <c r="B23" s="175" t="s">
        <v>44</v>
      </c>
      <c r="C23" s="123" t="s">
        <v>24</v>
      </c>
      <c r="D23" s="65">
        <v>110000.0</v>
      </c>
      <c r="E23" s="65">
        <v>110000.0</v>
      </c>
      <c r="F23" s="65">
        <v>110000.0</v>
      </c>
      <c r="G23" s="65">
        <v>110000.0</v>
      </c>
      <c r="H23" s="65">
        <v>110000.0</v>
      </c>
      <c r="I23" s="65">
        <v>115000.0</v>
      </c>
      <c r="J23" s="181">
        <v>115000.0</v>
      </c>
      <c r="K23" s="243">
        <f t="shared" si="4"/>
        <v>111428.5714</v>
      </c>
      <c r="M23" s="5"/>
      <c r="N23" s="5"/>
    </row>
    <row r="24" ht="15.75" customHeight="1">
      <c r="A24" s="29"/>
      <c r="B24" s="175" t="s">
        <v>45</v>
      </c>
      <c r="C24" s="123" t="s">
        <v>24</v>
      </c>
      <c r="D24" s="65">
        <v>100000.0</v>
      </c>
      <c r="E24" s="65">
        <v>95000.0</v>
      </c>
      <c r="F24" s="65">
        <v>105000.0</v>
      </c>
      <c r="G24" s="65">
        <v>105000.0</v>
      </c>
      <c r="H24" s="65">
        <v>100000.0</v>
      </c>
      <c r="I24" s="66">
        <v>110000.0</v>
      </c>
      <c r="J24" s="181">
        <v>105000.0</v>
      </c>
      <c r="K24" s="243">
        <f t="shared" si="4"/>
        <v>102857.1429</v>
      </c>
      <c r="M24" s="5"/>
      <c r="N24" s="5"/>
    </row>
    <row r="25" ht="15.75" customHeight="1">
      <c r="A25" s="38"/>
      <c r="B25" s="175" t="s">
        <v>47</v>
      </c>
      <c r="C25" s="123" t="s">
        <v>24</v>
      </c>
      <c r="D25" s="65">
        <v>39000.0</v>
      </c>
      <c r="E25" s="65">
        <v>37000.0</v>
      </c>
      <c r="F25" s="65">
        <v>40000.0</v>
      </c>
      <c r="G25" s="65">
        <v>39000.0</v>
      </c>
      <c r="H25" s="181">
        <v>40000.0</v>
      </c>
      <c r="I25" s="65">
        <v>40000.0</v>
      </c>
      <c r="J25" s="181">
        <v>40000.0</v>
      </c>
      <c r="K25" s="243">
        <f t="shared" si="4"/>
        <v>39285.71429</v>
      </c>
      <c r="M25" s="5"/>
      <c r="N25" s="5"/>
    </row>
    <row r="26" ht="15.75" customHeight="1">
      <c r="A26" s="169">
        <v>6.0</v>
      </c>
      <c r="B26" s="170" t="s">
        <v>48</v>
      </c>
      <c r="C26" s="170"/>
      <c r="D26" s="97"/>
      <c r="E26" s="123"/>
      <c r="F26" s="239"/>
      <c r="G26" s="97"/>
      <c r="H26" s="184"/>
      <c r="I26" s="97"/>
      <c r="J26" s="184"/>
      <c r="K26" s="245"/>
      <c r="M26" s="5"/>
      <c r="N26" s="5"/>
    </row>
    <row r="27" ht="15.75" customHeight="1">
      <c r="A27" s="29"/>
      <c r="B27" s="175" t="s">
        <v>49</v>
      </c>
      <c r="C27" s="123" t="s">
        <v>24</v>
      </c>
      <c r="D27" s="65">
        <v>35000.0</v>
      </c>
      <c r="E27" s="65">
        <v>35000.0</v>
      </c>
      <c r="F27" s="65" t="s">
        <v>26</v>
      </c>
      <c r="G27" s="65">
        <v>35000.0</v>
      </c>
      <c r="H27" s="65">
        <v>35000.0</v>
      </c>
      <c r="I27" s="65">
        <v>40000.0</v>
      </c>
      <c r="J27" s="181">
        <v>35000.0</v>
      </c>
      <c r="K27" s="243">
        <f t="shared" ref="K27:K32" si="5">AVERAGE(D27:J27)</f>
        <v>35833.33333</v>
      </c>
      <c r="M27" s="5"/>
      <c r="N27" s="5"/>
    </row>
    <row r="28" ht="15.75" customHeight="1">
      <c r="A28" s="29"/>
      <c r="B28" s="175" t="s">
        <v>50</v>
      </c>
      <c r="C28" s="123" t="s">
        <v>24</v>
      </c>
      <c r="D28" s="65">
        <v>24000.0</v>
      </c>
      <c r="E28" s="65">
        <v>28000.0</v>
      </c>
      <c r="F28" s="65">
        <v>28000.0</v>
      </c>
      <c r="G28" s="66">
        <v>30000.0</v>
      </c>
      <c r="H28" s="65">
        <v>23000.0</v>
      </c>
      <c r="I28" s="65">
        <v>26000.0</v>
      </c>
      <c r="J28" s="185">
        <v>25000.0</v>
      </c>
      <c r="K28" s="243">
        <f t="shared" si="5"/>
        <v>26285.71429</v>
      </c>
      <c r="L28" s="113" t="s">
        <v>51</v>
      </c>
      <c r="M28" s="5"/>
      <c r="N28" s="5"/>
    </row>
    <row r="29" ht="15.75" customHeight="1">
      <c r="A29" s="29"/>
      <c r="B29" s="175" t="s">
        <v>52</v>
      </c>
      <c r="C29" s="123" t="s">
        <v>24</v>
      </c>
      <c r="D29" s="65">
        <v>60000.0</v>
      </c>
      <c r="E29" s="65">
        <v>60000.0</v>
      </c>
      <c r="F29" s="66">
        <v>60000.0</v>
      </c>
      <c r="G29" s="66">
        <v>70000.0</v>
      </c>
      <c r="H29" s="65">
        <v>58000.0</v>
      </c>
      <c r="I29" s="65">
        <v>60000.0</v>
      </c>
      <c r="J29" s="185">
        <v>60000.0</v>
      </c>
      <c r="K29" s="243">
        <f t="shared" si="5"/>
        <v>61142.85714</v>
      </c>
      <c r="M29" s="5"/>
      <c r="N29" s="5"/>
    </row>
    <row r="30" ht="15.75" customHeight="1">
      <c r="A30" s="29"/>
      <c r="B30" s="175" t="s">
        <v>53</v>
      </c>
      <c r="C30" s="123" t="s">
        <v>24</v>
      </c>
      <c r="D30" s="65">
        <v>25000.0</v>
      </c>
      <c r="E30" s="65" t="s">
        <v>26</v>
      </c>
      <c r="F30" s="114" t="s">
        <v>26</v>
      </c>
      <c r="G30" s="66">
        <v>25000.0</v>
      </c>
      <c r="H30" s="65">
        <v>23000.0</v>
      </c>
      <c r="I30" s="65">
        <v>24000.0</v>
      </c>
      <c r="J30" s="185">
        <v>26000.0</v>
      </c>
      <c r="K30" s="243">
        <f t="shared" si="5"/>
        <v>24600</v>
      </c>
      <c r="M30" s="5"/>
      <c r="N30" s="5"/>
    </row>
    <row r="31" ht="15.75" customHeight="1">
      <c r="A31" s="29"/>
      <c r="B31" s="175" t="s">
        <v>54</v>
      </c>
      <c r="C31" s="123" t="s">
        <v>24</v>
      </c>
      <c r="D31" s="65">
        <v>40000.0</v>
      </c>
      <c r="E31" s="65">
        <v>34000.0</v>
      </c>
      <c r="F31" s="65">
        <v>40000.0</v>
      </c>
      <c r="G31" s="65">
        <v>35000.0</v>
      </c>
      <c r="H31" s="65">
        <v>32000.0</v>
      </c>
      <c r="I31" s="65">
        <v>40000.0</v>
      </c>
      <c r="J31" s="181">
        <v>36000.0</v>
      </c>
      <c r="K31" s="243">
        <f t="shared" si="5"/>
        <v>36714.28571</v>
      </c>
      <c r="M31" s="5"/>
      <c r="N31" s="5"/>
    </row>
    <row r="32" ht="15.75" customHeight="1">
      <c r="A32" s="38"/>
      <c r="B32" s="175" t="s">
        <v>55</v>
      </c>
      <c r="C32" s="123" t="s">
        <v>24</v>
      </c>
      <c r="D32" s="65" t="s">
        <v>26</v>
      </c>
      <c r="E32" s="65">
        <v>100000.0</v>
      </c>
      <c r="F32" s="65">
        <v>100000.0</v>
      </c>
      <c r="G32" s="65" t="s">
        <v>26</v>
      </c>
      <c r="H32" s="65">
        <v>80000.0</v>
      </c>
      <c r="I32" s="65" t="s">
        <v>26</v>
      </c>
      <c r="J32" s="185" t="s">
        <v>26</v>
      </c>
      <c r="K32" s="243">
        <f t="shared" si="5"/>
        <v>93333.33333</v>
      </c>
      <c r="M32" s="5"/>
      <c r="N32" s="5"/>
    </row>
    <row r="33" ht="15.75" customHeight="1">
      <c r="A33" s="169">
        <v>7.0</v>
      </c>
      <c r="B33" s="170" t="s">
        <v>56</v>
      </c>
      <c r="C33" s="170"/>
      <c r="D33" s="97"/>
      <c r="E33" s="123"/>
      <c r="F33" s="239"/>
      <c r="G33" s="239"/>
      <c r="H33" s="97"/>
      <c r="I33" s="97"/>
      <c r="J33" s="184"/>
      <c r="K33" s="245"/>
      <c r="M33" s="5"/>
      <c r="N33" s="5"/>
    </row>
    <row r="34" ht="15.75" customHeight="1">
      <c r="A34" s="29"/>
      <c r="B34" s="175" t="s">
        <v>58</v>
      </c>
      <c r="C34" s="123" t="s">
        <v>24</v>
      </c>
      <c r="D34" s="65">
        <v>30000.0</v>
      </c>
      <c r="E34" s="65">
        <v>30000.0</v>
      </c>
      <c r="F34" s="65">
        <v>30000.0</v>
      </c>
      <c r="G34" s="65">
        <v>29000.0</v>
      </c>
      <c r="H34" s="65">
        <v>29000.0</v>
      </c>
      <c r="I34" s="65">
        <v>30000.0</v>
      </c>
      <c r="J34" s="181">
        <v>30000.0</v>
      </c>
      <c r="K34" s="243">
        <f t="shared" ref="K34:K35" si="6">AVERAGE(D34:J34)</f>
        <v>29714.28571</v>
      </c>
      <c r="M34" s="5"/>
      <c r="N34" s="5"/>
    </row>
    <row r="35" ht="15.75" customHeight="1">
      <c r="A35" s="38"/>
      <c r="B35" s="175" t="s">
        <v>59</v>
      </c>
      <c r="C35" s="123" t="s">
        <v>60</v>
      </c>
      <c r="D35" s="65">
        <v>3000.0</v>
      </c>
      <c r="E35" s="65">
        <v>2200.0</v>
      </c>
      <c r="F35" s="65">
        <v>2500.0</v>
      </c>
      <c r="G35" s="65">
        <v>2500.0</v>
      </c>
      <c r="H35" s="65">
        <v>2500.0</v>
      </c>
      <c r="I35" s="65">
        <v>3000.0</v>
      </c>
      <c r="J35" s="181">
        <v>3000.0</v>
      </c>
      <c r="K35" s="243">
        <f t="shared" si="6"/>
        <v>2671.428571</v>
      </c>
      <c r="M35" s="5"/>
      <c r="N35" s="5"/>
    </row>
    <row r="36" ht="15.75" customHeight="1">
      <c r="A36" s="182">
        <v>8.0</v>
      </c>
      <c r="B36" s="170" t="s">
        <v>61</v>
      </c>
      <c r="C36" s="186"/>
      <c r="D36" s="65"/>
      <c r="E36" s="65"/>
      <c r="F36" s="65"/>
      <c r="G36" s="65"/>
      <c r="H36" s="65"/>
      <c r="I36" s="65"/>
      <c r="J36" s="181"/>
      <c r="K36" s="249"/>
      <c r="M36" s="5"/>
      <c r="N36" s="5"/>
    </row>
    <row r="37" ht="15.75" customHeight="1">
      <c r="A37" s="182"/>
      <c r="B37" s="175" t="s">
        <v>62</v>
      </c>
      <c r="C37" s="123" t="s">
        <v>24</v>
      </c>
      <c r="D37" s="65">
        <v>10000.0</v>
      </c>
      <c r="E37" s="65">
        <v>10000.0</v>
      </c>
      <c r="F37" s="65">
        <v>9000.0</v>
      </c>
      <c r="G37" s="65">
        <v>9000.0</v>
      </c>
      <c r="H37" s="65">
        <v>16000.0</v>
      </c>
      <c r="I37" s="65">
        <v>7000.0</v>
      </c>
      <c r="J37" s="181">
        <v>9000.0</v>
      </c>
      <c r="K37" s="243">
        <f t="shared" ref="K37:K38" si="7">AVERAGE(D37:J37)</f>
        <v>10000</v>
      </c>
      <c r="M37" s="5"/>
      <c r="N37" s="5"/>
    </row>
    <row r="38" ht="15.75" customHeight="1">
      <c r="A38" s="182"/>
      <c r="B38" s="175" t="s">
        <v>63</v>
      </c>
      <c r="C38" s="123" t="s">
        <v>24</v>
      </c>
      <c r="D38" s="65" t="s">
        <v>26</v>
      </c>
      <c r="E38" s="65">
        <v>7000.0</v>
      </c>
      <c r="F38" s="65">
        <v>12000.0</v>
      </c>
      <c r="G38" s="65">
        <v>17000.0</v>
      </c>
      <c r="H38" s="65" t="s">
        <v>26</v>
      </c>
      <c r="I38" s="65">
        <v>15000.0</v>
      </c>
      <c r="J38" s="181">
        <v>12000.0</v>
      </c>
      <c r="K38" s="243">
        <f t="shared" si="7"/>
        <v>12600</v>
      </c>
      <c r="M38" s="5"/>
      <c r="N38" s="5"/>
    </row>
    <row r="39" ht="15.75" customHeight="1">
      <c r="A39" s="182">
        <v>9.0</v>
      </c>
      <c r="B39" s="188" t="s">
        <v>64</v>
      </c>
      <c r="C39" s="189"/>
      <c r="D39" s="65"/>
      <c r="E39" s="65"/>
      <c r="F39" s="65"/>
      <c r="G39" s="65"/>
      <c r="H39" s="65"/>
      <c r="I39" s="65"/>
      <c r="J39" s="181"/>
      <c r="K39" s="249"/>
      <c r="M39" s="5"/>
      <c r="N39" s="5"/>
    </row>
    <row r="40" ht="15.75" customHeight="1">
      <c r="A40" s="182"/>
      <c r="B40" s="175" t="s">
        <v>65</v>
      </c>
      <c r="C40" s="123" t="s">
        <v>24</v>
      </c>
      <c r="D40" s="65" t="s">
        <v>26</v>
      </c>
      <c r="E40" s="65">
        <v>18000.0</v>
      </c>
      <c r="F40" s="65" t="s">
        <v>26</v>
      </c>
      <c r="G40" s="65">
        <v>16000.0</v>
      </c>
      <c r="H40" s="65">
        <v>14000.0</v>
      </c>
      <c r="I40" s="65">
        <v>7000.0</v>
      </c>
      <c r="J40" s="181">
        <v>15000.0</v>
      </c>
      <c r="K40" s="243">
        <f t="shared" ref="K40:K42" si="8">AVERAGE(D40:J40)</f>
        <v>14000</v>
      </c>
      <c r="M40" s="5"/>
      <c r="N40" s="5"/>
    </row>
    <row r="41" ht="15.75" customHeight="1">
      <c r="A41" s="182"/>
      <c r="B41" s="175" t="s">
        <v>66</v>
      </c>
      <c r="C41" s="123" t="s">
        <v>24</v>
      </c>
      <c r="D41" s="65">
        <v>2500.0</v>
      </c>
      <c r="E41" s="65">
        <v>12000.0</v>
      </c>
      <c r="F41" s="65">
        <v>6000.0</v>
      </c>
      <c r="G41" s="65" t="s">
        <v>26</v>
      </c>
      <c r="H41" s="65" t="s">
        <v>26</v>
      </c>
      <c r="I41" s="65" t="s">
        <v>26</v>
      </c>
      <c r="J41" s="181" t="s">
        <v>26</v>
      </c>
      <c r="K41" s="243">
        <f t="shared" si="8"/>
        <v>6833.333333</v>
      </c>
      <c r="M41" s="5"/>
      <c r="N41" s="5"/>
    </row>
    <row r="42" ht="15.75" customHeight="1">
      <c r="A42" s="182"/>
      <c r="B42" s="175" t="s">
        <v>67</v>
      </c>
      <c r="C42" s="123" t="s">
        <v>24</v>
      </c>
      <c r="D42" s="65" t="s">
        <v>26</v>
      </c>
      <c r="E42" s="65">
        <v>2000.0</v>
      </c>
      <c r="F42" s="65" t="s">
        <v>26</v>
      </c>
      <c r="G42" s="65" t="s">
        <v>26</v>
      </c>
      <c r="H42" s="65" t="s">
        <v>26</v>
      </c>
      <c r="I42" s="65" t="s">
        <v>26</v>
      </c>
      <c r="J42" s="181" t="s">
        <v>26</v>
      </c>
      <c r="K42" s="243">
        <f t="shared" si="8"/>
        <v>2000</v>
      </c>
      <c r="M42" s="5"/>
      <c r="N42" s="5"/>
    </row>
    <row r="43" ht="15.75" customHeight="1">
      <c r="A43" s="169">
        <v>10.0</v>
      </c>
      <c r="B43" s="170" t="s">
        <v>68</v>
      </c>
      <c r="C43" s="170"/>
      <c r="D43" s="97"/>
      <c r="E43" s="123"/>
      <c r="F43" s="239"/>
      <c r="G43" s="97"/>
      <c r="H43" s="97"/>
      <c r="I43" s="97"/>
      <c r="J43" s="252"/>
      <c r="K43" s="245"/>
      <c r="M43" s="5"/>
      <c r="N43" s="5"/>
    </row>
    <row r="44" ht="15.75" customHeight="1">
      <c r="A44" s="29"/>
      <c r="B44" s="175" t="s">
        <v>69</v>
      </c>
      <c r="C44" s="123" t="s">
        <v>70</v>
      </c>
      <c r="D44" s="65">
        <v>12500.0</v>
      </c>
      <c r="E44" s="65">
        <v>12000.0</v>
      </c>
      <c r="F44" s="65">
        <v>12500.0</v>
      </c>
      <c r="G44" s="65">
        <v>12500.0</v>
      </c>
      <c r="H44" s="114" t="s">
        <v>26</v>
      </c>
      <c r="I44" s="66">
        <v>12500.0</v>
      </c>
      <c r="J44" s="181">
        <v>12500.0</v>
      </c>
      <c r="K44" s="243">
        <f t="shared" ref="K44:K45" si="9">AVERAGE(D44:J44)</f>
        <v>12416.66667</v>
      </c>
      <c r="M44" s="5"/>
      <c r="N44" s="5"/>
    </row>
    <row r="45" ht="15.75" customHeight="1">
      <c r="A45" s="38"/>
      <c r="B45" s="175" t="s">
        <v>71</v>
      </c>
      <c r="C45" s="123" t="s">
        <v>70</v>
      </c>
      <c r="D45" s="65">
        <v>12500.0</v>
      </c>
      <c r="E45" s="65">
        <v>13000.0</v>
      </c>
      <c r="F45" s="66">
        <v>12500.0</v>
      </c>
      <c r="G45" s="65">
        <v>12500.0</v>
      </c>
      <c r="H45" s="114" t="s">
        <v>26</v>
      </c>
      <c r="I45" s="66">
        <v>12500.0</v>
      </c>
      <c r="J45" s="185">
        <v>12500.0</v>
      </c>
      <c r="K45" s="243">
        <f t="shared" si="9"/>
        <v>12583.33333</v>
      </c>
      <c r="M45" s="5"/>
      <c r="N45" s="5"/>
    </row>
    <row r="46" ht="15.75" customHeight="1">
      <c r="A46" s="169">
        <v>11.0</v>
      </c>
      <c r="B46" s="170" t="s">
        <v>73</v>
      </c>
      <c r="C46" s="170"/>
      <c r="D46" s="97"/>
      <c r="E46" s="123"/>
      <c r="F46" s="97"/>
      <c r="G46" s="239"/>
      <c r="H46" s="97"/>
      <c r="I46" s="97"/>
      <c r="J46" s="184"/>
      <c r="K46" s="245"/>
      <c r="M46" s="5"/>
      <c r="N46" s="5"/>
    </row>
    <row r="47" ht="15.75" customHeight="1">
      <c r="A47" s="29"/>
      <c r="B47" s="175" t="s">
        <v>74</v>
      </c>
      <c r="C47" s="123" t="s">
        <v>75</v>
      </c>
      <c r="D47" s="65" t="s">
        <v>26</v>
      </c>
      <c r="E47" s="65" t="s">
        <v>26</v>
      </c>
      <c r="F47" s="114" t="s">
        <v>26</v>
      </c>
      <c r="G47" s="66" t="s">
        <v>26</v>
      </c>
      <c r="H47" s="65">
        <v>17500.0</v>
      </c>
      <c r="I47" s="66" t="s">
        <v>26</v>
      </c>
      <c r="J47" s="185" t="s">
        <v>26</v>
      </c>
      <c r="K47" s="243">
        <f t="shared" ref="K47:K48" si="10">AVERAGE(D47:J47)</f>
        <v>17500</v>
      </c>
      <c r="M47" s="5"/>
      <c r="N47" s="5"/>
    </row>
    <row r="48" ht="15.75" customHeight="1">
      <c r="A48" s="38"/>
      <c r="B48" s="175" t="s">
        <v>76</v>
      </c>
      <c r="C48" s="123" t="s">
        <v>77</v>
      </c>
      <c r="D48" s="65" t="s">
        <v>26</v>
      </c>
      <c r="E48" s="65" t="s">
        <v>26</v>
      </c>
      <c r="F48" s="114" t="s">
        <v>26</v>
      </c>
      <c r="G48" s="66" t="s">
        <v>26</v>
      </c>
      <c r="H48" s="65">
        <v>2000.0</v>
      </c>
      <c r="I48" s="66" t="s">
        <v>26</v>
      </c>
      <c r="J48" s="185" t="s">
        <v>26</v>
      </c>
      <c r="K48" s="243">
        <f t="shared" si="10"/>
        <v>2000</v>
      </c>
      <c r="M48" s="5"/>
      <c r="N48" s="5"/>
    </row>
    <row r="49" ht="15.75" customHeight="1">
      <c r="A49" s="182">
        <v>12.0</v>
      </c>
      <c r="B49" s="194" t="s">
        <v>78</v>
      </c>
      <c r="C49" s="186"/>
      <c r="D49" s="114"/>
      <c r="E49" s="114"/>
      <c r="F49" s="114"/>
      <c r="G49" s="138"/>
      <c r="H49" s="114"/>
      <c r="I49" s="114"/>
      <c r="J49" s="183"/>
      <c r="K49" s="245"/>
      <c r="M49" s="5"/>
      <c r="N49" s="5"/>
    </row>
    <row r="50" ht="15.75" customHeight="1">
      <c r="A50" s="182"/>
      <c r="B50" s="175" t="s">
        <v>79</v>
      </c>
      <c r="C50" s="196" t="s">
        <v>24</v>
      </c>
      <c r="D50" s="65">
        <v>10000.0</v>
      </c>
      <c r="E50" s="65">
        <v>8000.0</v>
      </c>
      <c r="F50" s="65">
        <v>10000.0</v>
      </c>
      <c r="G50" s="65">
        <v>10000.0</v>
      </c>
      <c r="H50" s="65">
        <v>9000.0</v>
      </c>
      <c r="I50" s="66">
        <v>10000.0</v>
      </c>
      <c r="J50" s="181">
        <v>8000.0</v>
      </c>
      <c r="K50" s="243">
        <f t="shared" ref="K50:K51" si="11">AVERAGE(D50:J50)</f>
        <v>9285.714286</v>
      </c>
      <c r="M50" s="5"/>
      <c r="N50" s="5"/>
    </row>
    <row r="51" ht="15.75" customHeight="1">
      <c r="A51" s="182"/>
      <c r="B51" s="175" t="s">
        <v>80</v>
      </c>
      <c r="C51" s="196" t="s">
        <v>24</v>
      </c>
      <c r="D51" s="65">
        <v>9000.0</v>
      </c>
      <c r="E51" s="65">
        <v>10000.0</v>
      </c>
      <c r="F51" s="66">
        <v>9000.0</v>
      </c>
      <c r="G51" s="65">
        <v>10000.0</v>
      </c>
      <c r="H51" s="65">
        <v>6000.0</v>
      </c>
      <c r="I51" s="65" t="s">
        <v>26</v>
      </c>
      <c r="J51" s="181">
        <v>6000.0</v>
      </c>
      <c r="K51" s="243">
        <f t="shared" si="11"/>
        <v>8333.333333</v>
      </c>
      <c r="M51" s="5"/>
      <c r="N51" s="5"/>
    </row>
    <row r="52" ht="15.75" customHeight="1">
      <c r="A52" s="169">
        <v>13.0</v>
      </c>
      <c r="B52" s="170" t="s">
        <v>81</v>
      </c>
      <c r="C52" s="170"/>
      <c r="D52" s="97"/>
      <c r="E52" s="123"/>
      <c r="F52" s="239"/>
      <c r="G52" s="239"/>
      <c r="H52" s="97"/>
      <c r="I52" s="97"/>
      <c r="J52" s="252"/>
      <c r="K52" s="245"/>
      <c r="M52" s="5"/>
      <c r="N52" s="5"/>
    </row>
    <row r="53" ht="15.75" customHeight="1">
      <c r="A53" s="38"/>
      <c r="B53" s="175" t="s">
        <v>82</v>
      </c>
      <c r="C53" s="123" t="s">
        <v>83</v>
      </c>
      <c r="D53" s="65">
        <v>3000.0</v>
      </c>
      <c r="E53" s="65">
        <v>8000.0</v>
      </c>
      <c r="F53" s="65">
        <v>5000.0</v>
      </c>
      <c r="G53" s="65">
        <v>5000.0</v>
      </c>
      <c r="H53" s="65">
        <v>2500.0</v>
      </c>
      <c r="I53" s="66">
        <v>2000.0</v>
      </c>
      <c r="J53" s="181">
        <v>2500.0</v>
      </c>
      <c r="K53" s="243">
        <f>AVERAGE(D53:J53)</f>
        <v>4000</v>
      </c>
      <c r="M53" s="5"/>
      <c r="N53" s="5"/>
    </row>
    <row r="54" ht="15.75" customHeight="1">
      <c r="A54" s="169">
        <v>14.0</v>
      </c>
      <c r="B54" s="170" t="s">
        <v>84</v>
      </c>
      <c r="C54" s="186"/>
      <c r="D54" s="123"/>
      <c r="E54" s="123"/>
      <c r="F54" s="133"/>
      <c r="G54" s="133"/>
      <c r="H54" s="123"/>
      <c r="I54" s="123"/>
      <c r="J54" s="254"/>
      <c r="K54" s="245"/>
      <c r="M54" s="5"/>
      <c r="N54" s="5"/>
    </row>
    <row r="55" ht="15.75" customHeight="1">
      <c r="A55" s="38"/>
      <c r="B55" s="198" t="s">
        <v>85</v>
      </c>
      <c r="C55" s="196" t="s">
        <v>24</v>
      </c>
      <c r="D55" s="65">
        <v>12000.0</v>
      </c>
      <c r="E55" s="65">
        <v>10500.0</v>
      </c>
      <c r="F55" s="65">
        <v>10000.0</v>
      </c>
      <c r="G55" s="65">
        <v>11000.0</v>
      </c>
      <c r="H55" s="65">
        <v>12000.0</v>
      </c>
      <c r="I55" s="65">
        <v>10000.0</v>
      </c>
      <c r="J55" s="181">
        <v>10000.0</v>
      </c>
      <c r="K55" s="243">
        <f>AVERAGE(D55:J55)</f>
        <v>10785.71429</v>
      </c>
      <c r="M55" s="5"/>
      <c r="N55" s="5"/>
    </row>
    <row r="56" ht="15.75" customHeight="1">
      <c r="A56" s="169">
        <v>15.0</v>
      </c>
      <c r="B56" s="170" t="s">
        <v>86</v>
      </c>
      <c r="C56" s="170"/>
      <c r="D56" s="97"/>
      <c r="E56" s="123"/>
      <c r="F56" s="239"/>
      <c r="G56" s="97"/>
      <c r="H56" s="97"/>
      <c r="I56" s="97"/>
      <c r="J56" s="252"/>
      <c r="K56" s="245"/>
      <c r="M56" s="5"/>
      <c r="N56" s="5"/>
    </row>
    <row r="57" ht="15.75" customHeight="1">
      <c r="A57" s="29"/>
      <c r="B57" s="175" t="s">
        <v>87</v>
      </c>
      <c r="C57" s="123" t="s">
        <v>24</v>
      </c>
      <c r="D57" s="65">
        <v>14000.0</v>
      </c>
      <c r="E57" s="65">
        <v>16000.0</v>
      </c>
      <c r="F57" s="65">
        <v>16000.0</v>
      </c>
      <c r="G57" s="65" t="s">
        <v>26</v>
      </c>
      <c r="H57" s="65">
        <v>12000.0</v>
      </c>
      <c r="I57" s="65">
        <v>14000.0</v>
      </c>
      <c r="J57" s="181" t="s">
        <v>26</v>
      </c>
      <c r="K57" s="243">
        <f t="shared" ref="K57:K60" si="12">AVERAGE(D57:J57)</f>
        <v>14400</v>
      </c>
      <c r="M57" s="5"/>
      <c r="N57" s="5"/>
    </row>
    <row r="58" ht="15.75" customHeight="1">
      <c r="A58" s="29"/>
      <c r="B58" s="175" t="s">
        <v>88</v>
      </c>
      <c r="C58" s="123" t="s">
        <v>24</v>
      </c>
      <c r="D58" s="65" t="s">
        <v>26</v>
      </c>
      <c r="E58" s="65">
        <v>14000.0</v>
      </c>
      <c r="F58" s="66">
        <v>15000.0</v>
      </c>
      <c r="G58" s="138" t="s">
        <v>26</v>
      </c>
      <c r="H58" s="199" t="s">
        <v>26</v>
      </c>
      <c r="I58" s="66" t="s">
        <v>26</v>
      </c>
      <c r="J58" s="181">
        <v>13500.0</v>
      </c>
      <c r="K58" s="243">
        <f t="shared" si="12"/>
        <v>14166.66667</v>
      </c>
      <c r="M58" s="5" t="s">
        <v>89</v>
      </c>
      <c r="N58" s="5"/>
    </row>
    <row r="59" ht="15.75" customHeight="1">
      <c r="A59" s="29"/>
      <c r="B59" s="175" t="s">
        <v>90</v>
      </c>
      <c r="C59" s="123" t="s">
        <v>24</v>
      </c>
      <c r="D59" s="65">
        <v>25000.0</v>
      </c>
      <c r="E59" s="65">
        <v>23000.0</v>
      </c>
      <c r="F59" s="65">
        <v>24000.0</v>
      </c>
      <c r="G59" s="65">
        <v>28000.0</v>
      </c>
      <c r="H59" s="65">
        <v>22000.0</v>
      </c>
      <c r="I59" s="65">
        <v>25000.0</v>
      </c>
      <c r="J59" s="181">
        <v>26000.0</v>
      </c>
      <c r="K59" s="243">
        <f t="shared" si="12"/>
        <v>24714.28571</v>
      </c>
      <c r="M59" s="5"/>
      <c r="N59" s="140"/>
    </row>
    <row r="60" ht="15.75" customHeight="1">
      <c r="A60" s="38"/>
      <c r="B60" s="175" t="s">
        <v>91</v>
      </c>
      <c r="C60" s="123" t="s">
        <v>24</v>
      </c>
      <c r="D60" s="65">
        <v>30000.0</v>
      </c>
      <c r="E60" s="65">
        <v>30000.0</v>
      </c>
      <c r="F60" s="65">
        <v>30000.0</v>
      </c>
      <c r="G60" s="65">
        <v>30000.0</v>
      </c>
      <c r="H60" s="65">
        <v>26000.0</v>
      </c>
      <c r="I60" s="65">
        <v>28000.0</v>
      </c>
      <c r="J60" s="181">
        <v>28000.0</v>
      </c>
      <c r="K60" s="243">
        <f t="shared" si="12"/>
        <v>28857.14286</v>
      </c>
      <c r="M60" s="5"/>
      <c r="N60" s="5"/>
    </row>
    <row r="61" ht="15.75" customHeight="1">
      <c r="A61" s="123">
        <v>16.0</v>
      </c>
      <c r="B61" s="170" t="s">
        <v>92</v>
      </c>
      <c r="C61" s="186"/>
      <c r="D61" s="255"/>
      <c r="E61" s="114"/>
      <c r="F61" s="138"/>
      <c r="G61" s="114"/>
      <c r="H61" s="114"/>
      <c r="I61" s="114"/>
      <c r="J61" s="256"/>
      <c r="K61" s="245"/>
      <c r="M61" s="5"/>
      <c r="N61" s="5"/>
    </row>
    <row r="62" ht="15.75" customHeight="1">
      <c r="A62" s="123"/>
      <c r="B62" s="175" t="s">
        <v>93</v>
      </c>
      <c r="C62" s="196" t="s">
        <v>94</v>
      </c>
      <c r="D62" s="65">
        <v>3000.0</v>
      </c>
      <c r="E62" s="65">
        <v>3200.0</v>
      </c>
      <c r="F62" s="65">
        <v>3000.0</v>
      </c>
      <c r="G62" s="65">
        <v>3000.0</v>
      </c>
      <c r="H62" s="114" t="s">
        <v>26</v>
      </c>
      <c r="I62" s="66">
        <v>3500.0</v>
      </c>
      <c r="J62" s="181">
        <v>3500.0</v>
      </c>
      <c r="K62" s="243">
        <f>AVERAGE(D62:J62)</f>
        <v>3200</v>
      </c>
      <c r="M62" s="5"/>
      <c r="N62" s="5"/>
    </row>
    <row r="63" ht="15.75" customHeight="1">
      <c r="A63" s="169">
        <v>17.0</v>
      </c>
      <c r="B63" s="170" t="s">
        <v>96</v>
      </c>
      <c r="C63" s="170"/>
      <c r="D63" s="97"/>
      <c r="E63" s="123"/>
      <c r="F63" s="239"/>
      <c r="G63" s="239"/>
      <c r="H63" s="97"/>
      <c r="I63" s="97"/>
      <c r="J63" s="252"/>
      <c r="K63" s="245"/>
      <c r="M63" s="5"/>
      <c r="N63" s="5"/>
    </row>
    <row r="64" ht="15.75" customHeight="1">
      <c r="A64" s="29"/>
      <c r="B64" s="175" t="s">
        <v>97</v>
      </c>
      <c r="C64" s="123" t="s">
        <v>24</v>
      </c>
      <c r="D64" s="65">
        <v>33000.0</v>
      </c>
      <c r="E64" s="65">
        <v>30000.0</v>
      </c>
      <c r="F64" s="65">
        <v>35000.0</v>
      </c>
      <c r="G64" s="65">
        <v>35000.0</v>
      </c>
      <c r="H64" s="65">
        <v>35000.0</v>
      </c>
      <c r="I64" s="65">
        <v>38000.0</v>
      </c>
      <c r="J64" s="181">
        <v>35000.0</v>
      </c>
      <c r="K64" s="243">
        <f t="shared" ref="K64:K66" si="13">AVERAGE(D64:J64)</f>
        <v>34428.57143</v>
      </c>
      <c r="M64" s="5"/>
      <c r="N64" s="5"/>
    </row>
    <row r="65" ht="15.75" customHeight="1">
      <c r="A65" s="29"/>
      <c r="B65" s="175" t="s">
        <v>98</v>
      </c>
      <c r="C65" s="123" t="s">
        <v>24</v>
      </c>
      <c r="D65" s="65">
        <v>30000.0</v>
      </c>
      <c r="E65" s="65">
        <v>25000.0</v>
      </c>
      <c r="F65" s="65">
        <v>30000.0</v>
      </c>
      <c r="G65" s="65">
        <v>35000.0</v>
      </c>
      <c r="H65" s="199" t="s">
        <v>26</v>
      </c>
      <c r="I65" s="66">
        <v>35000.0</v>
      </c>
      <c r="J65" s="181" t="s">
        <v>26</v>
      </c>
      <c r="K65" s="243">
        <f t="shared" si="13"/>
        <v>31000</v>
      </c>
      <c r="M65" s="5"/>
      <c r="N65" s="5"/>
    </row>
    <row r="66" ht="15.75" customHeight="1">
      <c r="A66" s="38"/>
      <c r="B66" s="175" t="s">
        <v>99</v>
      </c>
      <c r="C66" s="123" t="s">
        <v>24</v>
      </c>
      <c r="D66" s="65">
        <v>32000.0</v>
      </c>
      <c r="E66" s="65">
        <v>35000.0</v>
      </c>
      <c r="F66" s="65">
        <v>30000.0</v>
      </c>
      <c r="G66" s="65">
        <v>30000.0</v>
      </c>
      <c r="H66" s="65">
        <v>25000.0</v>
      </c>
      <c r="I66" s="65">
        <v>30000.0</v>
      </c>
      <c r="J66" s="181">
        <v>28000.0</v>
      </c>
      <c r="K66" s="243">
        <f t="shared" si="13"/>
        <v>30000</v>
      </c>
      <c r="M66" s="5"/>
      <c r="N66" s="5"/>
    </row>
    <row r="67" ht="15.75" customHeight="1">
      <c r="A67" s="123">
        <v>18.0</v>
      </c>
      <c r="B67" s="170" t="s">
        <v>100</v>
      </c>
      <c r="C67" s="186"/>
      <c r="D67" s="199"/>
      <c r="E67" s="114"/>
      <c r="F67" s="138"/>
      <c r="G67" s="114"/>
      <c r="H67" s="114"/>
      <c r="I67" s="114"/>
      <c r="J67" s="183"/>
      <c r="K67" s="245"/>
      <c r="M67" s="5"/>
      <c r="N67" s="5"/>
    </row>
    <row r="68" ht="15.75" customHeight="1">
      <c r="A68" s="123"/>
      <c r="B68" s="175" t="s">
        <v>101</v>
      </c>
      <c r="C68" s="123" t="s">
        <v>102</v>
      </c>
      <c r="D68" s="65">
        <v>20000.0</v>
      </c>
      <c r="E68" s="65">
        <v>18000.0</v>
      </c>
      <c r="F68" s="65">
        <v>18000.0</v>
      </c>
      <c r="G68" s="65">
        <v>18000.0</v>
      </c>
      <c r="H68" s="114" t="s">
        <v>26</v>
      </c>
      <c r="I68" s="65">
        <v>18000.0</v>
      </c>
      <c r="J68" s="185">
        <v>18000.0</v>
      </c>
      <c r="K68" s="243">
        <f>AVERAGE(D68:J68)</f>
        <v>18333.33333</v>
      </c>
      <c r="M68" s="5"/>
      <c r="N68" s="5"/>
    </row>
    <row r="69" ht="15.75" customHeight="1">
      <c r="A69" s="169">
        <v>19.0</v>
      </c>
      <c r="B69" s="170" t="s">
        <v>103</v>
      </c>
      <c r="C69" s="170"/>
      <c r="D69" s="97"/>
      <c r="E69" s="123"/>
      <c r="F69" s="97"/>
      <c r="G69" s="97"/>
      <c r="H69" s="97"/>
      <c r="I69" s="97"/>
      <c r="J69" s="184"/>
      <c r="K69" s="245"/>
      <c r="M69" s="5"/>
      <c r="N69" s="5"/>
    </row>
    <row r="70" ht="15.75" customHeight="1">
      <c r="A70" s="29"/>
      <c r="B70" s="175" t="s">
        <v>104</v>
      </c>
      <c r="C70" s="123" t="s">
        <v>24</v>
      </c>
      <c r="D70" s="65">
        <v>34000.0</v>
      </c>
      <c r="E70" s="65">
        <v>35000.0</v>
      </c>
      <c r="F70" s="65">
        <v>35000.0</v>
      </c>
      <c r="G70" s="65">
        <v>34000.0</v>
      </c>
      <c r="H70" s="65">
        <v>33000.0</v>
      </c>
      <c r="I70" s="65">
        <v>40000.0</v>
      </c>
      <c r="J70" s="181">
        <v>35000.0</v>
      </c>
      <c r="K70" s="243">
        <f t="shared" ref="K70:K73" si="14">AVERAGE(D70:J70)</f>
        <v>35142.85714</v>
      </c>
      <c r="M70" s="5"/>
      <c r="N70" s="5"/>
    </row>
    <row r="71" ht="15.75" customHeight="1">
      <c r="A71" s="29"/>
      <c r="B71" s="175" t="s">
        <v>105</v>
      </c>
      <c r="C71" s="123" t="s">
        <v>24</v>
      </c>
      <c r="D71" s="65">
        <v>33000.0</v>
      </c>
      <c r="E71" s="65">
        <v>35000.0</v>
      </c>
      <c r="F71" s="65">
        <v>32000.0</v>
      </c>
      <c r="G71" s="65">
        <v>30000.0</v>
      </c>
      <c r="H71" s="65">
        <v>35000.0</v>
      </c>
      <c r="I71" s="65">
        <v>30000.0</v>
      </c>
      <c r="J71" s="181">
        <v>28000.0</v>
      </c>
      <c r="K71" s="243">
        <f t="shared" si="14"/>
        <v>31857.14286</v>
      </c>
      <c r="M71" s="5"/>
      <c r="N71" s="5"/>
    </row>
    <row r="72" ht="15.75" customHeight="1">
      <c r="A72" s="29"/>
      <c r="B72" s="175" t="s">
        <v>106</v>
      </c>
      <c r="C72" s="123" t="s">
        <v>24</v>
      </c>
      <c r="D72" s="65">
        <v>35000.0</v>
      </c>
      <c r="E72" s="65">
        <v>35000.0</v>
      </c>
      <c r="F72" s="65">
        <v>35000.0</v>
      </c>
      <c r="G72" s="65">
        <v>30000.0</v>
      </c>
      <c r="H72" s="65">
        <v>30000.0</v>
      </c>
      <c r="I72" s="65">
        <v>38000.0</v>
      </c>
      <c r="J72" s="181">
        <v>35000.0</v>
      </c>
      <c r="K72" s="243">
        <f t="shared" si="14"/>
        <v>34000</v>
      </c>
      <c r="M72" s="5"/>
      <c r="N72" s="5"/>
    </row>
    <row r="73" ht="15.75" customHeight="1">
      <c r="A73" s="38"/>
      <c r="B73" s="175" t="s">
        <v>107</v>
      </c>
      <c r="C73" s="123" t="s">
        <v>24</v>
      </c>
      <c r="D73" s="65">
        <v>30000.0</v>
      </c>
      <c r="E73" s="65">
        <v>40000.0</v>
      </c>
      <c r="F73" s="66">
        <v>35000.0</v>
      </c>
      <c r="G73" s="66">
        <v>35000.0</v>
      </c>
      <c r="H73" s="65">
        <v>30000.0</v>
      </c>
      <c r="I73" s="65">
        <v>40000.0</v>
      </c>
      <c r="J73" s="181">
        <v>30000.0</v>
      </c>
      <c r="K73" s="243">
        <f t="shared" si="14"/>
        <v>34285.71429</v>
      </c>
      <c r="M73" s="5"/>
      <c r="N73" s="5"/>
    </row>
    <row r="74" ht="15.75" customHeight="1">
      <c r="A74" s="123">
        <v>20.0</v>
      </c>
      <c r="B74" s="170" t="s">
        <v>108</v>
      </c>
      <c r="C74" s="186"/>
      <c r="D74" s="199"/>
      <c r="E74" s="114"/>
      <c r="F74" s="114"/>
      <c r="G74" s="255"/>
      <c r="H74" s="114"/>
      <c r="I74" s="114"/>
      <c r="J74" s="256"/>
      <c r="K74" s="245"/>
      <c r="M74" s="5"/>
      <c r="N74" s="5"/>
    </row>
    <row r="75" ht="15.75" customHeight="1">
      <c r="A75" s="123"/>
      <c r="B75" s="175" t="s">
        <v>109</v>
      </c>
      <c r="C75" s="196" t="s">
        <v>24</v>
      </c>
      <c r="D75" s="65">
        <v>6000.0</v>
      </c>
      <c r="E75" s="65">
        <v>7000.0</v>
      </c>
      <c r="F75" s="65">
        <v>5000.0</v>
      </c>
      <c r="G75" s="65">
        <v>6000.0</v>
      </c>
      <c r="H75" s="65">
        <v>4000.0</v>
      </c>
      <c r="I75" s="65">
        <v>5000.0</v>
      </c>
      <c r="J75" s="181">
        <v>5000.0</v>
      </c>
      <c r="K75" s="243">
        <f t="shared" ref="K75:K76" si="15">AVERAGE(D75:J75)</f>
        <v>5428.571429</v>
      </c>
      <c r="M75" s="5"/>
      <c r="N75" s="5"/>
    </row>
    <row r="76" ht="15.75" customHeight="1">
      <c r="A76" s="123"/>
      <c r="B76" s="175" t="s">
        <v>110</v>
      </c>
      <c r="C76" s="196" t="s">
        <v>24</v>
      </c>
      <c r="D76" s="65">
        <v>6000.0</v>
      </c>
      <c r="E76" s="65" t="s">
        <v>26</v>
      </c>
      <c r="F76" s="66">
        <v>6000.0</v>
      </c>
      <c r="G76" s="66">
        <v>6000.0</v>
      </c>
      <c r="H76" s="65">
        <v>5000.0</v>
      </c>
      <c r="I76" s="65">
        <v>5000.0</v>
      </c>
      <c r="J76" s="185">
        <v>6000.0</v>
      </c>
      <c r="K76" s="243">
        <f t="shared" si="15"/>
        <v>5666.666667</v>
      </c>
      <c r="M76" s="5"/>
      <c r="N76" s="5"/>
    </row>
    <row r="77" ht="15.75" customHeight="1">
      <c r="A77" s="123">
        <v>21.0</v>
      </c>
      <c r="B77" s="170" t="s">
        <v>111</v>
      </c>
      <c r="C77" s="186"/>
      <c r="D77" s="114"/>
      <c r="E77" s="114"/>
      <c r="F77" s="114"/>
      <c r="G77" s="138"/>
      <c r="H77" s="114"/>
      <c r="I77" s="114"/>
      <c r="J77" s="183"/>
      <c r="K77" s="245"/>
      <c r="M77" s="5"/>
      <c r="N77" s="5"/>
    </row>
    <row r="78" ht="15.75" customHeight="1">
      <c r="A78" s="123"/>
      <c r="B78" s="175" t="s">
        <v>112</v>
      </c>
      <c r="C78" s="196" t="s">
        <v>24</v>
      </c>
      <c r="D78" s="65">
        <v>7000.0</v>
      </c>
      <c r="E78" s="65">
        <v>8000.0</v>
      </c>
      <c r="F78" s="65">
        <v>7000.0</v>
      </c>
      <c r="G78" s="65">
        <v>8000.0</v>
      </c>
      <c r="H78" s="65">
        <v>9000.0</v>
      </c>
      <c r="I78" s="66">
        <v>8000.0</v>
      </c>
      <c r="J78" s="181">
        <v>7000.0</v>
      </c>
      <c r="K78" s="243">
        <f t="shared" ref="K78:K86" si="16">AVERAGE(D78:J78)</f>
        <v>7714.285714</v>
      </c>
      <c r="M78" s="5"/>
      <c r="N78" s="5"/>
    </row>
    <row r="79" ht="15.75" customHeight="1">
      <c r="A79" s="123"/>
      <c r="B79" s="175" t="s">
        <v>113</v>
      </c>
      <c r="C79" s="196" t="s">
        <v>24</v>
      </c>
      <c r="D79" s="65">
        <v>20000.0</v>
      </c>
      <c r="E79" s="65">
        <v>12000.0</v>
      </c>
      <c r="F79" s="65">
        <v>15000.0</v>
      </c>
      <c r="G79" s="65">
        <v>13000.0</v>
      </c>
      <c r="H79" s="65">
        <v>10000.0</v>
      </c>
      <c r="I79" s="66">
        <v>18000.0</v>
      </c>
      <c r="J79" s="181">
        <v>15000.0</v>
      </c>
      <c r="K79" s="243">
        <f t="shared" si="16"/>
        <v>14714.28571</v>
      </c>
      <c r="M79" s="5"/>
      <c r="N79" s="5"/>
    </row>
    <row r="80" ht="15.75" customHeight="1">
      <c r="A80" s="123"/>
      <c r="B80" s="175" t="s">
        <v>114</v>
      </c>
      <c r="C80" s="196" t="s">
        <v>24</v>
      </c>
      <c r="D80" s="65">
        <v>15000.0</v>
      </c>
      <c r="E80" s="65">
        <v>16000.0</v>
      </c>
      <c r="F80" s="65">
        <v>15000.0</v>
      </c>
      <c r="G80" s="65">
        <v>13000.0</v>
      </c>
      <c r="H80" s="65">
        <v>15000.0</v>
      </c>
      <c r="I80" s="65">
        <v>17000.0</v>
      </c>
      <c r="J80" s="181">
        <v>15000.0</v>
      </c>
      <c r="K80" s="243">
        <f t="shared" si="16"/>
        <v>15142.85714</v>
      </c>
      <c r="M80" s="5"/>
      <c r="N80" s="5"/>
    </row>
    <row r="81" ht="15.75" customHeight="1">
      <c r="A81" s="123"/>
      <c r="B81" s="175" t="s">
        <v>115</v>
      </c>
      <c r="C81" s="196" t="s">
        <v>24</v>
      </c>
      <c r="D81" s="65">
        <v>12000.0</v>
      </c>
      <c r="E81" s="65">
        <v>15000.0</v>
      </c>
      <c r="F81" s="65">
        <v>8000.0</v>
      </c>
      <c r="G81" s="65">
        <v>12000.0</v>
      </c>
      <c r="H81" s="65">
        <v>10000.0</v>
      </c>
      <c r="I81" s="66">
        <v>12000.0</v>
      </c>
      <c r="J81" s="181">
        <v>10000.0</v>
      </c>
      <c r="K81" s="243">
        <f t="shared" si="16"/>
        <v>11285.71429</v>
      </c>
      <c r="M81" s="5"/>
      <c r="N81" s="5"/>
    </row>
    <row r="82" ht="15.75" customHeight="1">
      <c r="A82" s="123"/>
      <c r="B82" s="175" t="s">
        <v>116</v>
      </c>
      <c r="C82" s="196" t="s">
        <v>24</v>
      </c>
      <c r="D82" s="65">
        <v>10000.0</v>
      </c>
      <c r="E82" s="65">
        <v>10000.0</v>
      </c>
      <c r="F82" s="65">
        <v>14000.0</v>
      </c>
      <c r="G82" s="65">
        <v>12000.0</v>
      </c>
      <c r="H82" s="65">
        <v>10000.0</v>
      </c>
      <c r="I82" s="65">
        <v>12000.0</v>
      </c>
      <c r="J82" s="181">
        <v>7000.0</v>
      </c>
      <c r="K82" s="243">
        <f t="shared" si="16"/>
        <v>10714.28571</v>
      </c>
      <c r="M82" s="5"/>
      <c r="N82" s="5"/>
    </row>
    <row r="83" ht="15.75" customHeight="1">
      <c r="A83" s="123"/>
      <c r="B83" s="175" t="s">
        <v>117</v>
      </c>
      <c r="C83" s="196" t="s">
        <v>24</v>
      </c>
      <c r="D83" s="65">
        <v>8000.0</v>
      </c>
      <c r="E83" s="65">
        <v>10000.0</v>
      </c>
      <c r="F83" s="66">
        <v>9000.0</v>
      </c>
      <c r="G83" s="66">
        <v>8000.0</v>
      </c>
      <c r="H83" s="65">
        <v>9000.0</v>
      </c>
      <c r="I83" s="66">
        <v>10000.0</v>
      </c>
      <c r="J83" s="181">
        <v>8000.0</v>
      </c>
      <c r="K83" s="243">
        <f t="shared" si="16"/>
        <v>8857.142857</v>
      </c>
      <c r="M83" s="5"/>
      <c r="N83" s="5"/>
    </row>
    <row r="84" ht="15.75" customHeight="1">
      <c r="A84" s="123"/>
      <c r="B84" s="175" t="s">
        <v>118</v>
      </c>
      <c r="C84" s="196" t="s">
        <v>119</v>
      </c>
      <c r="D84" s="65">
        <v>1500.0</v>
      </c>
      <c r="E84" s="65" t="s">
        <v>26</v>
      </c>
      <c r="F84" s="65">
        <v>2000.0</v>
      </c>
      <c r="G84" s="66">
        <v>2000.0</v>
      </c>
      <c r="H84" s="65">
        <v>1500.0</v>
      </c>
      <c r="I84" s="65">
        <v>2000.0</v>
      </c>
      <c r="J84" s="185">
        <v>1500.0</v>
      </c>
      <c r="K84" s="243">
        <f t="shared" si="16"/>
        <v>1750</v>
      </c>
      <c r="M84" s="5"/>
      <c r="N84" s="5"/>
    </row>
    <row r="85" ht="15.75" customHeight="1">
      <c r="A85" s="123"/>
      <c r="B85" s="175" t="s">
        <v>120</v>
      </c>
      <c r="C85" s="196" t="s">
        <v>119</v>
      </c>
      <c r="D85" s="65">
        <v>1500.0</v>
      </c>
      <c r="E85" s="65" t="s">
        <v>26</v>
      </c>
      <c r="F85" s="65">
        <v>1500.0</v>
      </c>
      <c r="G85" s="66">
        <v>2000.0</v>
      </c>
      <c r="H85" s="65">
        <v>1500.0</v>
      </c>
      <c r="I85" s="65">
        <v>1500.0</v>
      </c>
      <c r="J85" s="185">
        <v>1000.0</v>
      </c>
      <c r="K85" s="243">
        <f t="shared" si="16"/>
        <v>1500</v>
      </c>
      <c r="M85" s="5"/>
      <c r="N85" s="5"/>
    </row>
    <row r="86" ht="15.75" customHeight="1">
      <c r="A86" s="123"/>
      <c r="B86" s="175" t="s">
        <v>121</v>
      </c>
      <c r="C86" s="196" t="s">
        <v>119</v>
      </c>
      <c r="D86" s="65" t="s">
        <v>26</v>
      </c>
      <c r="E86" s="65" t="s">
        <v>26</v>
      </c>
      <c r="F86" s="65" t="s">
        <v>26</v>
      </c>
      <c r="G86" s="66" t="s">
        <v>26</v>
      </c>
      <c r="H86" s="65">
        <v>2000.0</v>
      </c>
      <c r="I86" s="65" t="s">
        <v>26</v>
      </c>
      <c r="J86" s="185">
        <v>1500.0</v>
      </c>
      <c r="K86" s="243">
        <f t="shared" si="16"/>
        <v>1750</v>
      </c>
      <c r="M86" s="5"/>
      <c r="N86" s="5"/>
    </row>
    <row r="87" ht="15.75" customHeight="1">
      <c r="A87" s="123">
        <v>22.0</v>
      </c>
      <c r="B87" s="170" t="s">
        <v>122</v>
      </c>
      <c r="C87" s="186"/>
      <c r="D87" s="138"/>
      <c r="E87" s="114"/>
      <c r="F87" s="114" t="s">
        <v>123</v>
      </c>
      <c r="G87" s="138"/>
      <c r="H87" s="114"/>
      <c r="I87" s="114"/>
      <c r="J87" s="183"/>
      <c r="K87" s="245"/>
      <c r="M87" s="5"/>
      <c r="N87" s="5"/>
    </row>
    <row r="88" ht="15.75" customHeight="1">
      <c r="A88" s="123"/>
      <c r="B88" s="175" t="s">
        <v>124</v>
      </c>
      <c r="C88" s="196" t="s">
        <v>125</v>
      </c>
      <c r="D88" s="65" t="s">
        <v>157</v>
      </c>
      <c r="E88" s="65" t="s">
        <v>26</v>
      </c>
      <c r="F88" s="65">
        <v>18000.0</v>
      </c>
      <c r="G88" s="66">
        <v>17000.0</v>
      </c>
      <c r="H88" s="114" t="s">
        <v>26</v>
      </c>
      <c r="I88" s="66">
        <v>19000.0</v>
      </c>
      <c r="J88" s="185">
        <v>18000.0</v>
      </c>
      <c r="K88" s="243">
        <f>AVERAGE(D88:J88)</f>
        <v>18000</v>
      </c>
      <c r="M88" s="5"/>
      <c r="N88" s="5"/>
    </row>
    <row r="89" ht="15.75" customHeight="1">
      <c r="D89" s="258"/>
      <c r="E89" s="259"/>
      <c r="F89" s="260"/>
      <c r="G89" s="260"/>
      <c r="H89" s="260"/>
      <c r="I89" s="260"/>
      <c r="J89" s="261"/>
      <c r="K89" s="260"/>
      <c r="M89" s="5"/>
      <c r="N89" s="5"/>
    </row>
    <row r="90" ht="15.75" customHeight="1">
      <c r="B90" s="154"/>
      <c r="D90" s="258"/>
      <c r="E90" s="260"/>
      <c r="F90" s="260"/>
      <c r="G90" s="260"/>
      <c r="H90" s="260"/>
      <c r="I90" s="260"/>
      <c r="J90" s="261"/>
      <c r="K90" s="260"/>
      <c r="M90" s="5"/>
      <c r="N90" s="5"/>
    </row>
    <row r="91" ht="15.75" customHeight="1">
      <c r="D91" s="258"/>
      <c r="E91" s="260"/>
      <c r="F91" s="260"/>
      <c r="G91" s="260"/>
      <c r="H91" s="260"/>
      <c r="I91" s="260"/>
      <c r="J91" s="261"/>
      <c r="K91" s="260"/>
      <c r="M91" s="5"/>
      <c r="N91" s="5"/>
    </row>
    <row r="92" ht="15.75" customHeight="1">
      <c r="A92" s="5"/>
      <c r="B92" s="5"/>
      <c r="C92" s="5"/>
      <c r="D92" s="262"/>
      <c r="E92" s="263"/>
      <c r="F92" s="263"/>
      <c r="G92" s="263"/>
      <c r="H92" s="263"/>
      <c r="I92" s="263"/>
      <c r="J92" s="264"/>
      <c r="K92" s="263"/>
      <c r="L92" s="5"/>
      <c r="M92" s="5"/>
      <c r="N92" s="5"/>
    </row>
    <row r="93" ht="15.75" customHeight="1">
      <c r="D93" s="258"/>
      <c r="E93" s="260"/>
      <c r="F93" s="260"/>
      <c r="G93" s="260"/>
      <c r="H93" s="260"/>
      <c r="I93" s="260"/>
      <c r="J93" s="260"/>
      <c r="K93" s="260"/>
    </row>
    <row r="94" ht="15.75" customHeight="1">
      <c r="D94" s="258"/>
      <c r="E94" s="260"/>
      <c r="F94" s="260"/>
      <c r="G94" s="260"/>
      <c r="H94" s="260"/>
      <c r="I94" s="260"/>
      <c r="J94" s="260"/>
      <c r="K94" s="260"/>
    </row>
    <row r="95" ht="15.75" customHeight="1">
      <c r="D95" s="258"/>
      <c r="E95" s="260"/>
      <c r="F95" s="260"/>
      <c r="G95" s="260"/>
      <c r="H95" s="260"/>
      <c r="I95" s="260"/>
      <c r="J95" s="260"/>
      <c r="K95" s="260"/>
    </row>
    <row r="96" ht="15.75" customHeight="1">
      <c r="D96" s="258"/>
      <c r="E96" s="260"/>
      <c r="F96" s="260"/>
      <c r="G96" s="260"/>
      <c r="H96" s="260"/>
      <c r="I96" s="260"/>
      <c r="J96" s="260"/>
      <c r="K96" s="260"/>
    </row>
    <row r="97" ht="15.75" customHeight="1">
      <c r="D97" s="258"/>
      <c r="E97" s="260"/>
      <c r="F97" s="260"/>
      <c r="G97" s="260"/>
      <c r="H97" s="260"/>
      <c r="I97" s="260"/>
      <c r="J97" s="260"/>
      <c r="K97" s="260"/>
    </row>
    <row r="98" ht="15.75" customHeight="1">
      <c r="D98" s="258"/>
      <c r="E98" s="260"/>
      <c r="F98" s="260"/>
      <c r="G98" s="260"/>
      <c r="H98" s="260"/>
      <c r="I98" s="260"/>
      <c r="J98" s="260"/>
      <c r="K98" s="260"/>
    </row>
    <row r="99" ht="15.75" customHeight="1">
      <c r="D99" s="258"/>
      <c r="E99" s="260"/>
      <c r="F99" s="260"/>
      <c r="G99" s="260"/>
      <c r="H99" s="260"/>
      <c r="I99" s="260"/>
      <c r="J99" s="260"/>
      <c r="K99" s="260"/>
    </row>
    <row r="100" ht="15.75" customHeight="1">
      <c r="D100" s="258"/>
      <c r="E100" s="260"/>
      <c r="F100" s="260"/>
      <c r="G100" s="260"/>
      <c r="H100" s="260"/>
      <c r="I100" s="260"/>
      <c r="J100" s="260"/>
      <c r="K100" s="260"/>
    </row>
    <row r="101" ht="15.75" customHeight="1">
      <c r="D101" s="258"/>
      <c r="E101" s="260"/>
      <c r="F101" s="260"/>
      <c r="G101" s="260"/>
      <c r="H101" s="260"/>
      <c r="I101" s="260"/>
      <c r="J101" s="260"/>
      <c r="K101" s="260"/>
    </row>
    <row r="102" ht="15.75" customHeight="1">
      <c r="D102" s="258"/>
      <c r="E102" s="260"/>
      <c r="F102" s="260"/>
      <c r="G102" s="260"/>
      <c r="H102" s="260"/>
      <c r="I102" s="260"/>
      <c r="J102" s="260"/>
      <c r="K102" s="260"/>
    </row>
    <row r="103" ht="15.75" customHeight="1">
      <c r="D103" s="258"/>
      <c r="E103" s="260"/>
      <c r="F103" s="260"/>
      <c r="G103" s="260"/>
      <c r="H103" s="260"/>
      <c r="I103" s="260"/>
      <c r="J103" s="260"/>
      <c r="K103" s="260"/>
    </row>
    <row r="104" ht="15.75" customHeight="1">
      <c r="D104" s="258"/>
      <c r="E104" s="260"/>
      <c r="F104" s="260"/>
      <c r="G104" s="260"/>
      <c r="H104" s="260"/>
      <c r="I104" s="260"/>
      <c r="J104" s="260"/>
      <c r="K104" s="260"/>
    </row>
    <row r="105" ht="15.75" customHeight="1">
      <c r="D105" s="258"/>
      <c r="E105" s="260"/>
      <c r="F105" s="260"/>
      <c r="G105" s="260"/>
      <c r="H105" s="260"/>
      <c r="I105" s="260"/>
      <c r="J105" s="260"/>
      <c r="K105" s="260"/>
    </row>
    <row r="106" ht="15.75" customHeight="1">
      <c r="D106" s="258"/>
      <c r="E106" s="260"/>
      <c r="F106" s="260"/>
      <c r="G106" s="260"/>
      <c r="H106" s="260"/>
      <c r="I106" s="260"/>
      <c r="J106" s="260"/>
      <c r="K106" s="260"/>
    </row>
    <row r="107" ht="15.75" customHeight="1">
      <c r="D107" s="258"/>
      <c r="E107" s="260"/>
      <c r="F107" s="260"/>
      <c r="G107" s="260"/>
      <c r="H107" s="260"/>
      <c r="I107" s="260"/>
      <c r="J107" s="260"/>
      <c r="K107" s="260"/>
    </row>
    <row r="108" ht="15.75" customHeight="1">
      <c r="D108" s="258"/>
      <c r="E108" s="260"/>
      <c r="F108" s="260"/>
      <c r="G108" s="260"/>
      <c r="H108" s="260"/>
      <c r="I108" s="260"/>
      <c r="J108" s="260"/>
      <c r="K108" s="260"/>
    </row>
    <row r="109" ht="15.75" customHeight="1">
      <c r="D109" s="258"/>
      <c r="E109" s="260"/>
      <c r="F109" s="260"/>
      <c r="G109" s="260"/>
      <c r="H109" s="260"/>
      <c r="I109" s="260"/>
      <c r="J109" s="260"/>
      <c r="K109" s="260"/>
    </row>
    <row r="110" ht="15.75" customHeight="1">
      <c r="D110" s="258"/>
      <c r="E110" s="260"/>
      <c r="F110" s="260"/>
      <c r="G110" s="260"/>
      <c r="H110" s="260"/>
      <c r="I110" s="260"/>
      <c r="J110" s="260"/>
      <c r="K110" s="260"/>
    </row>
    <row r="111" ht="15.75" customHeight="1">
      <c r="D111" s="258"/>
      <c r="E111" s="260"/>
      <c r="F111" s="260"/>
      <c r="G111" s="260"/>
      <c r="H111" s="260"/>
      <c r="I111" s="260"/>
      <c r="J111" s="260"/>
      <c r="K111" s="260"/>
    </row>
    <row r="112" ht="15.75" customHeight="1">
      <c r="D112" s="258"/>
      <c r="E112" s="260"/>
      <c r="F112" s="260"/>
      <c r="G112" s="260"/>
      <c r="H112" s="260"/>
      <c r="I112" s="260"/>
      <c r="J112" s="260"/>
      <c r="K112" s="260"/>
    </row>
    <row r="113" ht="15.75" customHeight="1">
      <c r="D113" s="258"/>
      <c r="E113" s="260"/>
      <c r="F113" s="260"/>
      <c r="G113" s="260"/>
      <c r="H113" s="260"/>
      <c r="I113" s="260"/>
      <c r="J113" s="260"/>
      <c r="K113" s="260"/>
    </row>
    <row r="114" ht="15.75" customHeight="1">
      <c r="D114" s="258"/>
      <c r="E114" s="260"/>
      <c r="F114" s="260"/>
      <c r="G114" s="260"/>
      <c r="H114" s="260"/>
      <c r="I114" s="260"/>
      <c r="J114" s="260"/>
      <c r="K114" s="260"/>
    </row>
    <row r="115" ht="15.75" customHeight="1">
      <c r="D115" s="258"/>
      <c r="E115" s="260"/>
      <c r="F115" s="260"/>
      <c r="G115" s="260"/>
      <c r="H115" s="260"/>
      <c r="I115" s="260"/>
      <c r="J115" s="260"/>
      <c r="K115" s="260"/>
    </row>
    <row r="116" ht="15.75" customHeight="1">
      <c r="D116" s="258"/>
      <c r="E116" s="260"/>
      <c r="F116" s="260"/>
      <c r="G116" s="260"/>
      <c r="H116" s="260"/>
      <c r="I116" s="260"/>
      <c r="J116" s="260"/>
      <c r="K116" s="260"/>
    </row>
    <row r="117" ht="15.75" customHeight="1">
      <c r="D117" s="258"/>
      <c r="E117" s="260"/>
      <c r="F117" s="260"/>
      <c r="G117" s="260"/>
      <c r="H117" s="260"/>
      <c r="I117" s="260"/>
      <c r="J117" s="260"/>
      <c r="K117" s="260"/>
    </row>
    <row r="118" ht="15.75" customHeight="1">
      <c r="D118" s="258"/>
      <c r="E118" s="260"/>
      <c r="F118" s="260"/>
      <c r="G118" s="260"/>
      <c r="H118" s="260"/>
      <c r="I118" s="260"/>
      <c r="J118" s="260"/>
      <c r="K118" s="260"/>
    </row>
    <row r="119" ht="15.75" customHeight="1">
      <c r="D119" s="258"/>
      <c r="E119" s="260"/>
      <c r="F119" s="260"/>
      <c r="G119" s="260"/>
      <c r="H119" s="260"/>
      <c r="I119" s="260"/>
      <c r="J119" s="260"/>
      <c r="K119" s="260"/>
    </row>
    <row r="120" ht="15.75" customHeight="1">
      <c r="D120" s="258"/>
      <c r="E120" s="260"/>
      <c r="F120" s="260"/>
      <c r="G120" s="260"/>
      <c r="H120" s="260"/>
      <c r="I120" s="260"/>
      <c r="J120" s="260"/>
      <c r="K120" s="260"/>
    </row>
    <row r="121" ht="15.75" customHeight="1">
      <c r="D121" s="258"/>
      <c r="E121" s="260"/>
      <c r="F121" s="260"/>
      <c r="G121" s="260"/>
      <c r="H121" s="260"/>
      <c r="I121" s="260"/>
      <c r="J121" s="260"/>
      <c r="K121" s="260"/>
    </row>
    <row r="122" ht="15.75" customHeight="1">
      <c r="D122" s="258"/>
      <c r="E122" s="260"/>
      <c r="F122" s="260"/>
      <c r="G122" s="260"/>
      <c r="H122" s="260"/>
      <c r="I122" s="260"/>
      <c r="J122" s="260"/>
      <c r="K122" s="260"/>
    </row>
    <row r="123" ht="15.75" customHeight="1">
      <c r="D123" s="258"/>
      <c r="E123" s="260"/>
      <c r="F123" s="260"/>
      <c r="G123" s="260"/>
      <c r="H123" s="260"/>
      <c r="I123" s="260"/>
      <c r="J123" s="260"/>
      <c r="K123" s="260"/>
    </row>
    <row r="124" ht="15.75" customHeight="1">
      <c r="D124" s="258"/>
      <c r="E124" s="260"/>
      <c r="F124" s="260"/>
      <c r="G124" s="260"/>
      <c r="H124" s="260"/>
      <c r="I124" s="260"/>
      <c r="J124" s="260"/>
      <c r="K124" s="260"/>
    </row>
    <row r="125" ht="15.75" customHeight="1">
      <c r="D125" s="258"/>
      <c r="E125" s="260"/>
      <c r="F125" s="260"/>
      <c r="G125" s="260"/>
      <c r="H125" s="260"/>
      <c r="I125" s="260"/>
      <c r="J125" s="260"/>
      <c r="K125" s="260"/>
    </row>
    <row r="126" ht="15.75" customHeight="1">
      <c r="D126" s="258"/>
      <c r="E126" s="260"/>
      <c r="F126" s="260"/>
      <c r="G126" s="260"/>
      <c r="H126" s="260"/>
      <c r="I126" s="260"/>
      <c r="J126" s="260"/>
      <c r="K126" s="260"/>
    </row>
    <row r="127" ht="15.75" customHeight="1">
      <c r="D127" s="258"/>
      <c r="E127" s="260"/>
      <c r="F127" s="260"/>
      <c r="G127" s="260"/>
      <c r="H127" s="260"/>
      <c r="I127" s="260"/>
      <c r="J127" s="260"/>
      <c r="K127" s="260"/>
    </row>
    <row r="128" ht="15.75" customHeight="1">
      <c r="D128" s="258"/>
      <c r="E128" s="260"/>
      <c r="F128" s="260"/>
      <c r="G128" s="260"/>
      <c r="H128" s="260"/>
      <c r="I128" s="260"/>
      <c r="J128" s="260"/>
      <c r="K128" s="260"/>
    </row>
    <row r="129" ht="15.75" customHeight="1">
      <c r="D129" s="258"/>
      <c r="E129" s="260"/>
      <c r="F129" s="260"/>
      <c r="G129" s="260"/>
      <c r="H129" s="260"/>
      <c r="I129" s="260"/>
      <c r="J129" s="260"/>
      <c r="K129" s="260"/>
    </row>
    <row r="130" ht="15.75" customHeight="1">
      <c r="D130" s="258"/>
      <c r="E130" s="260"/>
      <c r="F130" s="260"/>
      <c r="G130" s="260"/>
      <c r="H130" s="260"/>
      <c r="I130" s="260"/>
      <c r="J130" s="260"/>
      <c r="K130" s="260"/>
    </row>
    <row r="131" ht="15.75" customHeight="1">
      <c r="D131" s="258"/>
      <c r="E131" s="260"/>
      <c r="F131" s="260"/>
      <c r="G131" s="260"/>
      <c r="H131" s="260"/>
      <c r="I131" s="260"/>
      <c r="J131" s="260"/>
      <c r="K131" s="260"/>
    </row>
    <row r="132" ht="15.75" customHeight="1">
      <c r="D132" s="258"/>
      <c r="E132" s="260"/>
      <c r="F132" s="260"/>
      <c r="G132" s="260"/>
      <c r="H132" s="260"/>
      <c r="I132" s="260"/>
      <c r="J132" s="260"/>
      <c r="K132" s="260"/>
    </row>
    <row r="133" ht="15.75" customHeight="1">
      <c r="D133" s="258"/>
      <c r="E133" s="260"/>
      <c r="F133" s="260"/>
      <c r="G133" s="260"/>
      <c r="H133" s="260"/>
      <c r="I133" s="260"/>
      <c r="J133" s="260"/>
      <c r="K133" s="260"/>
    </row>
    <row r="134" ht="15.75" customHeight="1">
      <c r="D134" s="258"/>
      <c r="E134" s="260"/>
      <c r="F134" s="260"/>
      <c r="G134" s="260"/>
      <c r="H134" s="260"/>
      <c r="I134" s="260"/>
      <c r="J134" s="260"/>
      <c r="K134" s="260"/>
    </row>
    <row r="135" ht="15.75" customHeight="1">
      <c r="D135" s="258"/>
      <c r="E135" s="260"/>
      <c r="F135" s="260"/>
      <c r="G135" s="260"/>
      <c r="H135" s="260"/>
      <c r="I135" s="260"/>
      <c r="J135" s="260"/>
      <c r="K135" s="260"/>
    </row>
    <row r="136" ht="15.75" customHeight="1">
      <c r="D136" s="258"/>
      <c r="E136" s="260"/>
      <c r="F136" s="260"/>
      <c r="G136" s="260"/>
      <c r="H136" s="260"/>
      <c r="I136" s="260"/>
      <c r="J136" s="260"/>
      <c r="K136" s="260"/>
    </row>
    <row r="137" ht="15.75" customHeight="1">
      <c r="D137" s="258"/>
      <c r="E137" s="260"/>
      <c r="F137" s="260"/>
      <c r="G137" s="260"/>
      <c r="H137" s="260"/>
      <c r="I137" s="260"/>
      <c r="J137" s="260"/>
      <c r="K137" s="260"/>
    </row>
    <row r="138" ht="15.75" customHeight="1">
      <c r="D138" s="258"/>
      <c r="E138" s="260"/>
      <c r="F138" s="260"/>
      <c r="G138" s="260"/>
      <c r="H138" s="260"/>
      <c r="I138" s="260"/>
      <c r="J138" s="260"/>
      <c r="K138" s="260"/>
    </row>
    <row r="139" ht="15.75" customHeight="1">
      <c r="D139" s="258"/>
      <c r="E139" s="260"/>
      <c r="F139" s="260"/>
      <c r="G139" s="260"/>
      <c r="H139" s="260"/>
      <c r="I139" s="260"/>
      <c r="J139" s="260"/>
      <c r="K139" s="260"/>
    </row>
    <row r="140" ht="15.75" customHeight="1">
      <c r="D140" s="258"/>
      <c r="E140" s="260"/>
      <c r="F140" s="260"/>
      <c r="G140" s="260"/>
      <c r="H140" s="260"/>
      <c r="I140" s="260"/>
      <c r="J140" s="260"/>
      <c r="K140" s="260"/>
    </row>
    <row r="141" ht="15.75" customHeight="1">
      <c r="D141" s="258"/>
      <c r="E141" s="260"/>
      <c r="F141" s="260"/>
      <c r="G141" s="260"/>
      <c r="H141" s="260"/>
      <c r="I141" s="260"/>
      <c r="J141" s="260"/>
      <c r="K141" s="260"/>
    </row>
    <row r="142" ht="15.75" customHeight="1">
      <c r="D142" s="258"/>
      <c r="E142" s="260"/>
      <c r="F142" s="260"/>
      <c r="G142" s="260"/>
      <c r="H142" s="260"/>
      <c r="I142" s="260"/>
      <c r="J142" s="260"/>
      <c r="K142" s="260"/>
    </row>
    <row r="143" ht="15.75" customHeight="1">
      <c r="D143" s="258"/>
      <c r="E143" s="260"/>
      <c r="F143" s="260"/>
      <c r="G143" s="260"/>
      <c r="H143" s="260"/>
      <c r="I143" s="260"/>
      <c r="J143" s="260"/>
      <c r="K143" s="260"/>
    </row>
    <row r="144" ht="15.75" customHeight="1">
      <c r="D144" s="258"/>
      <c r="E144" s="260"/>
      <c r="F144" s="260"/>
      <c r="G144" s="260"/>
      <c r="H144" s="260"/>
      <c r="I144" s="260"/>
      <c r="J144" s="260"/>
      <c r="K144" s="260"/>
    </row>
    <row r="145" ht="15.75" customHeight="1">
      <c r="D145" s="258"/>
      <c r="E145" s="260"/>
      <c r="F145" s="260"/>
      <c r="G145" s="260"/>
      <c r="H145" s="260"/>
      <c r="I145" s="260"/>
      <c r="J145" s="260"/>
      <c r="K145" s="260"/>
    </row>
    <row r="146" ht="15.75" customHeight="1">
      <c r="D146" s="258"/>
      <c r="E146" s="260"/>
      <c r="F146" s="260"/>
      <c r="G146" s="260"/>
      <c r="H146" s="260"/>
      <c r="I146" s="260"/>
      <c r="J146" s="260"/>
      <c r="K146" s="260"/>
    </row>
    <row r="147" ht="15.75" customHeight="1">
      <c r="D147" s="258"/>
      <c r="E147" s="260"/>
      <c r="F147" s="260"/>
      <c r="G147" s="260"/>
      <c r="H147" s="260"/>
      <c r="I147" s="260"/>
      <c r="J147" s="260"/>
      <c r="K147" s="260"/>
    </row>
    <row r="148" ht="15.75" customHeight="1">
      <c r="D148" s="258"/>
      <c r="E148" s="260"/>
      <c r="F148" s="260"/>
      <c r="G148" s="260"/>
      <c r="H148" s="260"/>
      <c r="I148" s="260"/>
      <c r="J148" s="260"/>
      <c r="K148" s="260"/>
    </row>
    <row r="149" ht="15.75" customHeight="1">
      <c r="D149" s="258"/>
      <c r="E149" s="260"/>
      <c r="F149" s="260"/>
      <c r="G149" s="260"/>
      <c r="H149" s="260"/>
      <c r="I149" s="260"/>
      <c r="J149" s="260"/>
      <c r="K149" s="260"/>
    </row>
    <row r="150" ht="15.75" customHeight="1">
      <c r="D150" s="258"/>
      <c r="E150" s="260"/>
      <c r="F150" s="260"/>
      <c r="G150" s="260"/>
      <c r="H150" s="260"/>
      <c r="I150" s="260"/>
      <c r="J150" s="260"/>
      <c r="K150" s="260"/>
    </row>
    <row r="151" ht="15.75" customHeight="1">
      <c r="D151" s="258"/>
      <c r="E151" s="260"/>
      <c r="F151" s="260"/>
      <c r="G151" s="260"/>
      <c r="H151" s="260"/>
      <c r="I151" s="260"/>
      <c r="J151" s="260"/>
      <c r="K151" s="260"/>
    </row>
    <row r="152" ht="15.75" customHeight="1">
      <c r="D152" s="258"/>
      <c r="E152" s="260"/>
      <c r="F152" s="260"/>
      <c r="G152" s="260"/>
      <c r="H152" s="260"/>
      <c r="I152" s="260"/>
      <c r="J152" s="260"/>
      <c r="K152" s="260"/>
    </row>
    <row r="153" ht="15.75" customHeight="1">
      <c r="D153" s="258"/>
      <c r="E153" s="260"/>
      <c r="F153" s="260"/>
      <c r="G153" s="260"/>
      <c r="H153" s="260"/>
      <c r="I153" s="260"/>
      <c r="J153" s="260"/>
      <c r="K153" s="260"/>
    </row>
    <row r="154" ht="15.75" customHeight="1">
      <c r="D154" s="258"/>
      <c r="E154" s="260"/>
      <c r="F154" s="260"/>
      <c r="G154" s="260"/>
      <c r="H154" s="260"/>
      <c r="I154" s="260"/>
      <c r="J154" s="260"/>
      <c r="K154" s="260"/>
    </row>
    <row r="155" ht="15.75" customHeight="1">
      <c r="D155" s="258"/>
      <c r="E155" s="260"/>
      <c r="F155" s="260"/>
      <c r="G155" s="260"/>
      <c r="H155" s="260"/>
      <c r="I155" s="260"/>
      <c r="J155" s="260"/>
      <c r="K155" s="260"/>
    </row>
    <row r="156" ht="15.75" customHeight="1">
      <c r="D156" s="258"/>
      <c r="E156" s="260"/>
      <c r="F156" s="260"/>
      <c r="G156" s="260"/>
      <c r="H156" s="260"/>
      <c r="I156" s="260"/>
      <c r="J156" s="260"/>
      <c r="K156" s="260"/>
    </row>
    <row r="157" ht="15.75" customHeight="1">
      <c r="D157" s="258"/>
      <c r="E157" s="260"/>
      <c r="F157" s="260"/>
      <c r="G157" s="260"/>
      <c r="H157" s="260"/>
      <c r="I157" s="260"/>
      <c r="J157" s="260"/>
      <c r="K157" s="260"/>
    </row>
    <row r="158" ht="15.75" customHeight="1">
      <c r="D158" s="258"/>
      <c r="E158" s="260"/>
      <c r="F158" s="260"/>
      <c r="G158" s="260"/>
      <c r="H158" s="260"/>
      <c r="I158" s="260"/>
      <c r="J158" s="260"/>
      <c r="K158" s="260"/>
    </row>
    <row r="159" ht="15.75" customHeight="1">
      <c r="D159" s="258"/>
      <c r="E159" s="260"/>
      <c r="F159" s="260"/>
      <c r="G159" s="260"/>
      <c r="H159" s="260"/>
      <c r="I159" s="260"/>
      <c r="J159" s="260"/>
      <c r="K159" s="260"/>
    </row>
    <row r="160" ht="15.75" customHeight="1">
      <c r="D160" s="258"/>
      <c r="E160" s="260"/>
      <c r="F160" s="260"/>
      <c r="G160" s="260"/>
      <c r="H160" s="260"/>
      <c r="I160" s="260"/>
      <c r="J160" s="260"/>
      <c r="K160" s="260"/>
    </row>
    <row r="161" ht="15.75" customHeight="1">
      <c r="D161" s="258"/>
      <c r="E161" s="260"/>
      <c r="F161" s="260"/>
      <c r="G161" s="260"/>
      <c r="H161" s="260"/>
      <c r="I161" s="260"/>
      <c r="J161" s="260"/>
      <c r="K161" s="260"/>
    </row>
    <row r="162" ht="15.75" customHeight="1">
      <c r="D162" s="258"/>
      <c r="E162" s="260"/>
      <c r="F162" s="260"/>
      <c r="G162" s="260"/>
      <c r="H162" s="260"/>
      <c r="I162" s="260"/>
      <c r="J162" s="260"/>
      <c r="K162" s="260"/>
    </row>
    <row r="163" ht="15.75" customHeight="1">
      <c r="D163" s="258"/>
      <c r="E163" s="260"/>
      <c r="F163" s="260"/>
      <c r="G163" s="260"/>
      <c r="H163" s="260"/>
      <c r="I163" s="260"/>
      <c r="J163" s="260"/>
      <c r="K163" s="260"/>
    </row>
    <row r="164" ht="15.75" customHeight="1">
      <c r="D164" s="258"/>
      <c r="E164" s="260"/>
      <c r="F164" s="260"/>
      <c r="G164" s="260"/>
      <c r="H164" s="260"/>
      <c r="I164" s="260"/>
      <c r="J164" s="260"/>
      <c r="K164" s="260"/>
    </row>
    <row r="165" ht="15.75" customHeight="1">
      <c r="D165" s="258"/>
      <c r="E165" s="260"/>
      <c r="F165" s="260"/>
      <c r="G165" s="260"/>
      <c r="H165" s="260"/>
      <c r="I165" s="260"/>
      <c r="J165" s="260"/>
      <c r="K165" s="260"/>
    </row>
    <row r="166" ht="15.75" customHeight="1">
      <c r="D166" s="258"/>
      <c r="E166" s="260"/>
      <c r="F166" s="260"/>
      <c r="G166" s="260"/>
      <c r="H166" s="260"/>
      <c r="I166" s="260"/>
      <c r="J166" s="260"/>
      <c r="K166" s="260"/>
    </row>
    <row r="167" ht="15.75" customHeight="1">
      <c r="D167" s="258"/>
      <c r="E167" s="260"/>
      <c r="F167" s="260"/>
      <c r="G167" s="260"/>
      <c r="H167" s="260"/>
      <c r="I167" s="260"/>
      <c r="J167" s="260"/>
      <c r="K167" s="260"/>
    </row>
    <row r="168" ht="15.75" customHeight="1">
      <c r="D168" s="258"/>
      <c r="E168" s="260"/>
      <c r="F168" s="260"/>
      <c r="G168" s="260"/>
      <c r="H168" s="260"/>
      <c r="I168" s="260"/>
      <c r="J168" s="260"/>
      <c r="K168" s="260"/>
    </row>
    <row r="169" ht="15.75" customHeight="1">
      <c r="D169" s="258"/>
      <c r="E169" s="260"/>
      <c r="F169" s="260"/>
      <c r="G169" s="260"/>
      <c r="H169" s="260"/>
      <c r="I169" s="260"/>
      <c r="J169" s="260"/>
      <c r="K169" s="260"/>
    </row>
    <row r="170" ht="15.75" customHeight="1">
      <c r="D170" s="258"/>
      <c r="E170" s="260"/>
      <c r="F170" s="260"/>
      <c r="G170" s="260"/>
      <c r="H170" s="260"/>
      <c r="I170" s="260"/>
      <c r="J170" s="260"/>
      <c r="K170" s="260"/>
    </row>
    <row r="171" ht="15.75" customHeight="1">
      <c r="D171" s="258"/>
      <c r="E171" s="260"/>
      <c r="F171" s="260"/>
      <c r="G171" s="260"/>
      <c r="H171" s="260"/>
      <c r="I171" s="260"/>
      <c r="J171" s="260"/>
      <c r="K171" s="260"/>
    </row>
    <row r="172" ht="15.75" customHeight="1">
      <c r="D172" s="258"/>
      <c r="E172" s="260"/>
      <c r="F172" s="260"/>
      <c r="G172" s="260"/>
      <c r="H172" s="260"/>
      <c r="I172" s="260"/>
      <c r="J172" s="260"/>
      <c r="K172" s="260"/>
    </row>
    <row r="173" ht="15.75" customHeight="1">
      <c r="D173" s="258"/>
      <c r="E173" s="260"/>
      <c r="F173" s="260"/>
      <c r="G173" s="260"/>
      <c r="H173" s="260"/>
      <c r="I173" s="260"/>
      <c r="J173" s="260"/>
      <c r="K173" s="260"/>
    </row>
    <row r="174" ht="15.75" customHeight="1">
      <c r="D174" s="258"/>
      <c r="E174" s="260"/>
      <c r="F174" s="260"/>
      <c r="G174" s="260"/>
      <c r="H174" s="260"/>
      <c r="I174" s="260"/>
      <c r="J174" s="260"/>
      <c r="K174" s="260"/>
    </row>
    <row r="175" ht="15.75" customHeight="1">
      <c r="D175" s="258"/>
      <c r="E175" s="260"/>
      <c r="F175" s="260"/>
      <c r="G175" s="260"/>
      <c r="H175" s="260"/>
      <c r="I175" s="260"/>
      <c r="J175" s="260"/>
      <c r="K175" s="260"/>
    </row>
    <row r="176" ht="15.75" customHeight="1">
      <c r="D176" s="258"/>
      <c r="E176" s="260"/>
      <c r="F176" s="260"/>
      <c r="G176" s="260"/>
      <c r="H176" s="260"/>
      <c r="I176" s="260"/>
      <c r="J176" s="260"/>
      <c r="K176" s="260"/>
    </row>
    <row r="177" ht="15.75" customHeight="1">
      <c r="D177" s="258"/>
      <c r="E177" s="260"/>
      <c r="F177" s="260"/>
      <c r="G177" s="260"/>
      <c r="H177" s="260"/>
      <c r="I177" s="260"/>
      <c r="J177" s="260"/>
      <c r="K177" s="260"/>
    </row>
    <row r="178" ht="15.75" customHeight="1">
      <c r="D178" s="258"/>
      <c r="E178" s="260"/>
      <c r="F178" s="260"/>
      <c r="G178" s="260"/>
      <c r="H178" s="260"/>
      <c r="I178" s="260"/>
      <c r="J178" s="260"/>
      <c r="K178" s="260"/>
    </row>
    <row r="179" ht="15.75" customHeight="1">
      <c r="D179" s="258"/>
      <c r="E179" s="260"/>
      <c r="F179" s="260"/>
      <c r="G179" s="260"/>
      <c r="H179" s="260"/>
      <c r="I179" s="260"/>
      <c r="J179" s="260"/>
      <c r="K179" s="260"/>
    </row>
    <row r="180" ht="15.75" customHeight="1">
      <c r="D180" s="258"/>
      <c r="E180" s="260"/>
      <c r="F180" s="260"/>
      <c r="G180" s="260"/>
      <c r="H180" s="260"/>
      <c r="I180" s="260"/>
      <c r="J180" s="260"/>
      <c r="K180" s="260"/>
    </row>
    <row r="181" ht="15.75" customHeight="1">
      <c r="D181" s="258"/>
      <c r="E181" s="260"/>
      <c r="F181" s="260"/>
      <c r="G181" s="260"/>
      <c r="H181" s="260"/>
      <c r="I181" s="260"/>
      <c r="J181" s="260"/>
      <c r="K181" s="260"/>
    </row>
    <row r="182" ht="15.75" customHeight="1">
      <c r="D182" s="258"/>
      <c r="E182" s="260"/>
      <c r="F182" s="260"/>
      <c r="G182" s="260"/>
      <c r="H182" s="260"/>
      <c r="I182" s="260"/>
      <c r="J182" s="260"/>
      <c r="K182" s="260"/>
    </row>
    <row r="183" ht="15.75" customHeight="1">
      <c r="D183" s="258"/>
      <c r="E183" s="260"/>
      <c r="F183" s="260"/>
      <c r="G183" s="260"/>
      <c r="H183" s="260"/>
      <c r="I183" s="260"/>
      <c r="J183" s="260"/>
      <c r="K183" s="260"/>
    </row>
    <row r="184" ht="15.75" customHeight="1">
      <c r="D184" s="258"/>
      <c r="E184" s="260"/>
      <c r="F184" s="260"/>
      <c r="G184" s="260"/>
      <c r="H184" s="260"/>
      <c r="I184" s="260"/>
      <c r="J184" s="260"/>
      <c r="K184" s="260"/>
    </row>
    <row r="185" ht="15.75" customHeight="1">
      <c r="D185" s="258"/>
      <c r="E185" s="260"/>
      <c r="F185" s="260"/>
      <c r="G185" s="260"/>
      <c r="H185" s="260"/>
      <c r="I185" s="260"/>
      <c r="J185" s="260"/>
      <c r="K185" s="260"/>
    </row>
    <row r="186" ht="15.75" customHeight="1">
      <c r="D186" s="258"/>
      <c r="E186" s="260"/>
      <c r="F186" s="260"/>
      <c r="G186" s="260"/>
      <c r="H186" s="260"/>
      <c r="I186" s="260"/>
      <c r="J186" s="260"/>
      <c r="K186" s="260"/>
    </row>
    <row r="187" ht="15.75" customHeight="1">
      <c r="D187" s="258"/>
      <c r="E187" s="260"/>
      <c r="F187" s="260"/>
      <c r="G187" s="260"/>
      <c r="H187" s="260"/>
      <c r="I187" s="260"/>
      <c r="J187" s="260"/>
      <c r="K187" s="260"/>
    </row>
    <row r="188" ht="15.75" customHeight="1">
      <c r="D188" s="258"/>
      <c r="E188" s="260"/>
      <c r="F188" s="260"/>
      <c r="G188" s="260"/>
      <c r="H188" s="260"/>
      <c r="I188" s="260"/>
      <c r="J188" s="260"/>
      <c r="K188" s="260"/>
    </row>
    <row r="189" ht="15.75" customHeight="1">
      <c r="D189" s="258"/>
      <c r="E189" s="260"/>
      <c r="F189" s="260"/>
      <c r="G189" s="260"/>
      <c r="H189" s="260"/>
      <c r="I189" s="260"/>
      <c r="J189" s="260"/>
      <c r="K189" s="260"/>
    </row>
    <row r="190" ht="15.75" customHeight="1">
      <c r="D190" s="258"/>
      <c r="E190" s="260"/>
      <c r="F190" s="260"/>
      <c r="G190" s="260"/>
      <c r="H190" s="260"/>
      <c r="I190" s="260"/>
      <c r="J190" s="260"/>
      <c r="K190" s="260"/>
    </row>
    <row r="191" ht="15.75" customHeight="1">
      <c r="D191" s="258"/>
      <c r="E191" s="260"/>
      <c r="F191" s="260"/>
      <c r="G191" s="260"/>
      <c r="H191" s="260"/>
      <c r="I191" s="260"/>
      <c r="J191" s="260"/>
      <c r="K191" s="260"/>
    </row>
    <row r="192" ht="15.75" customHeight="1">
      <c r="D192" s="258"/>
      <c r="E192" s="260"/>
      <c r="F192" s="260"/>
      <c r="G192" s="260"/>
      <c r="H192" s="260"/>
      <c r="I192" s="260"/>
      <c r="J192" s="260"/>
      <c r="K192" s="260"/>
    </row>
    <row r="193" ht="15.75" customHeight="1">
      <c r="D193" s="258"/>
      <c r="E193" s="260"/>
      <c r="F193" s="260"/>
      <c r="G193" s="260"/>
      <c r="H193" s="260"/>
      <c r="I193" s="260"/>
      <c r="J193" s="260"/>
      <c r="K193" s="260"/>
    </row>
    <row r="194" ht="15.75" customHeight="1">
      <c r="D194" s="258"/>
      <c r="E194" s="260"/>
      <c r="F194" s="260"/>
      <c r="G194" s="260"/>
      <c r="H194" s="260"/>
      <c r="I194" s="260"/>
      <c r="J194" s="260"/>
      <c r="K194" s="260"/>
    </row>
    <row r="195" ht="15.75" customHeight="1">
      <c r="D195" s="258"/>
      <c r="E195" s="260"/>
      <c r="F195" s="260"/>
      <c r="G195" s="260"/>
      <c r="H195" s="260"/>
      <c r="I195" s="260"/>
      <c r="J195" s="260"/>
      <c r="K195" s="260"/>
    </row>
    <row r="196" ht="15.75" customHeight="1">
      <c r="D196" s="258"/>
      <c r="E196" s="260"/>
      <c r="F196" s="260"/>
      <c r="G196" s="260"/>
      <c r="H196" s="260"/>
      <c r="I196" s="260"/>
      <c r="J196" s="260"/>
      <c r="K196" s="260"/>
    </row>
    <row r="197" ht="15.75" customHeight="1">
      <c r="D197" s="258"/>
      <c r="E197" s="260"/>
      <c r="F197" s="260"/>
      <c r="G197" s="260"/>
      <c r="H197" s="260"/>
      <c r="I197" s="260"/>
      <c r="J197" s="260"/>
      <c r="K197" s="260"/>
    </row>
    <row r="198" ht="15.75" customHeight="1">
      <c r="D198" s="258"/>
      <c r="E198" s="260"/>
      <c r="F198" s="260"/>
      <c r="G198" s="260"/>
      <c r="H198" s="260"/>
      <c r="I198" s="260"/>
      <c r="J198" s="260"/>
      <c r="K198" s="260"/>
    </row>
    <row r="199" ht="15.75" customHeight="1">
      <c r="D199" s="258"/>
      <c r="E199" s="260"/>
      <c r="F199" s="260"/>
      <c r="G199" s="260"/>
      <c r="H199" s="260"/>
      <c r="I199" s="260"/>
      <c r="J199" s="260"/>
      <c r="K199" s="260"/>
    </row>
    <row r="200" ht="15.75" customHeight="1">
      <c r="D200" s="258"/>
      <c r="E200" s="260"/>
      <c r="F200" s="260"/>
      <c r="G200" s="260"/>
      <c r="H200" s="260"/>
      <c r="I200" s="260"/>
      <c r="J200" s="260"/>
      <c r="K200" s="260"/>
    </row>
    <row r="201" ht="15.75" customHeight="1">
      <c r="D201" s="258"/>
      <c r="E201" s="260"/>
      <c r="F201" s="260"/>
      <c r="G201" s="260"/>
      <c r="H201" s="260"/>
      <c r="I201" s="260"/>
      <c r="J201" s="260"/>
      <c r="K201" s="260"/>
    </row>
    <row r="202" ht="15.75" customHeight="1">
      <c r="D202" s="258"/>
      <c r="E202" s="260"/>
      <c r="F202" s="260"/>
      <c r="G202" s="260"/>
      <c r="H202" s="260"/>
      <c r="I202" s="260"/>
      <c r="J202" s="260"/>
      <c r="K202" s="260"/>
    </row>
    <row r="203" ht="15.75" customHeight="1">
      <c r="D203" s="258"/>
      <c r="E203" s="260"/>
      <c r="F203" s="260"/>
      <c r="G203" s="260"/>
      <c r="H203" s="260"/>
      <c r="I203" s="260"/>
      <c r="J203" s="260"/>
      <c r="K203" s="260"/>
    </row>
    <row r="204" ht="15.75" customHeight="1">
      <c r="D204" s="258"/>
      <c r="E204" s="260"/>
      <c r="F204" s="260"/>
      <c r="G204" s="260"/>
      <c r="H204" s="260"/>
      <c r="I204" s="260"/>
      <c r="J204" s="260"/>
      <c r="K204" s="260"/>
    </row>
    <row r="205" ht="15.75" customHeight="1">
      <c r="D205" s="258"/>
      <c r="E205" s="260"/>
      <c r="F205" s="260"/>
      <c r="G205" s="260"/>
      <c r="H205" s="260"/>
      <c r="I205" s="260"/>
      <c r="J205" s="260"/>
      <c r="K205" s="260"/>
    </row>
    <row r="206" ht="15.75" customHeight="1">
      <c r="D206" s="258"/>
      <c r="E206" s="260"/>
      <c r="F206" s="260"/>
      <c r="G206" s="260"/>
      <c r="H206" s="260"/>
      <c r="I206" s="260"/>
      <c r="J206" s="260"/>
      <c r="K206" s="260"/>
    </row>
    <row r="207" ht="15.75" customHeight="1">
      <c r="D207" s="258"/>
      <c r="E207" s="260"/>
      <c r="F207" s="260"/>
      <c r="G207" s="260"/>
      <c r="H207" s="260"/>
      <c r="I207" s="260"/>
      <c r="J207" s="260"/>
      <c r="K207" s="260"/>
    </row>
    <row r="208" ht="15.75" customHeight="1">
      <c r="D208" s="258"/>
      <c r="E208" s="260"/>
      <c r="F208" s="260"/>
      <c r="G208" s="260"/>
      <c r="H208" s="260"/>
      <c r="I208" s="260"/>
      <c r="J208" s="260"/>
      <c r="K208" s="260"/>
    </row>
    <row r="209" ht="15.75" customHeight="1">
      <c r="D209" s="258"/>
      <c r="E209" s="260"/>
      <c r="F209" s="260"/>
      <c r="G209" s="260"/>
      <c r="H209" s="260"/>
      <c r="I209" s="260"/>
      <c r="J209" s="260"/>
      <c r="K209" s="260"/>
    </row>
    <row r="210" ht="15.75" customHeight="1">
      <c r="D210" s="258"/>
      <c r="E210" s="260"/>
      <c r="F210" s="260"/>
      <c r="G210" s="260"/>
      <c r="H210" s="260"/>
      <c r="I210" s="260"/>
      <c r="J210" s="260"/>
      <c r="K210" s="260"/>
    </row>
    <row r="211" ht="15.75" customHeight="1">
      <c r="D211" s="258"/>
      <c r="E211" s="260"/>
      <c r="F211" s="260"/>
      <c r="G211" s="260"/>
      <c r="H211" s="260"/>
      <c r="I211" s="260"/>
      <c r="J211" s="260"/>
      <c r="K211" s="260"/>
    </row>
    <row r="212" ht="15.75" customHeight="1">
      <c r="D212" s="258"/>
      <c r="E212" s="260"/>
      <c r="F212" s="260"/>
      <c r="G212" s="260"/>
      <c r="H212" s="260"/>
      <c r="I212" s="260"/>
      <c r="J212" s="260"/>
      <c r="K212" s="260"/>
    </row>
    <row r="213" ht="15.75" customHeight="1">
      <c r="D213" s="258"/>
      <c r="E213" s="260"/>
      <c r="F213" s="260"/>
      <c r="G213" s="260"/>
      <c r="H213" s="260"/>
      <c r="I213" s="260"/>
      <c r="J213" s="260"/>
      <c r="K213" s="260"/>
    </row>
    <row r="214" ht="15.75" customHeight="1">
      <c r="D214" s="258"/>
      <c r="E214" s="260"/>
      <c r="F214" s="260"/>
      <c r="G214" s="260"/>
      <c r="H214" s="260"/>
      <c r="I214" s="260"/>
      <c r="J214" s="260"/>
      <c r="K214" s="260"/>
    </row>
    <row r="215" ht="15.75" customHeight="1">
      <c r="D215" s="258"/>
      <c r="E215" s="260"/>
      <c r="F215" s="260"/>
      <c r="G215" s="260"/>
      <c r="H215" s="260"/>
      <c r="I215" s="260"/>
      <c r="J215" s="260"/>
      <c r="K215" s="260"/>
    </row>
    <row r="216" ht="15.75" customHeight="1">
      <c r="D216" s="258"/>
      <c r="E216" s="260"/>
      <c r="F216" s="260"/>
      <c r="G216" s="260"/>
      <c r="H216" s="260"/>
      <c r="I216" s="260"/>
      <c r="J216" s="260"/>
      <c r="K216" s="260"/>
    </row>
    <row r="217" ht="15.75" customHeight="1">
      <c r="D217" s="258"/>
      <c r="E217" s="260"/>
      <c r="F217" s="260"/>
      <c r="G217" s="260"/>
      <c r="H217" s="260"/>
      <c r="I217" s="260"/>
      <c r="J217" s="260"/>
      <c r="K217" s="260"/>
    </row>
    <row r="218" ht="15.75" customHeight="1">
      <c r="D218" s="258"/>
      <c r="E218" s="260"/>
      <c r="F218" s="260"/>
      <c r="G218" s="260"/>
      <c r="H218" s="260"/>
      <c r="I218" s="260"/>
      <c r="J218" s="260"/>
      <c r="K218" s="260"/>
    </row>
    <row r="219" ht="15.75" customHeight="1">
      <c r="D219" s="258"/>
      <c r="E219" s="260"/>
      <c r="F219" s="260"/>
      <c r="G219" s="260"/>
      <c r="H219" s="260"/>
      <c r="I219" s="260"/>
      <c r="J219" s="260"/>
      <c r="K219" s="260"/>
    </row>
    <row r="220" ht="15.75" customHeight="1">
      <c r="D220" s="258"/>
      <c r="E220" s="260"/>
      <c r="F220" s="260"/>
      <c r="G220" s="260"/>
      <c r="H220" s="260"/>
      <c r="I220" s="260"/>
      <c r="J220" s="260"/>
      <c r="K220" s="260"/>
    </row>
    <row r="221" ht="15.75" customHeight="1">
      <c r="D221" s="258"/>
      <c r="E221" s="260"/>
      <c r="F221" s="260"/>
      <c r="G221" s="260"/>
      <c r="H221" s="260"/>
      <c r="I221" s="260"/>
      <c r="J221" s="260"/>
      <c r="K221" s="260"/>
    </row>
    <row r="222" ht="15.75" customHeight="1">
      <c r="D222" s="258"/>
      <c r="E222" s="260"/>
      <c r="F222" s="260"/>
      <c r="G222" s="260"/>
      <c r="H222" s="260"/>
      <c r="I222" s="260"/>
      <c r="J222" s="260"/>
      <c r="K222" s="260"/>
    </row>
    <row r="223" ht="15.75" customHeight="1">
      <c r="D223" s="258"/>
      <c r="E223" s="260"/>
      <c r="F223" s="260"/>
      <c r="G223" s="260"/>
      <c r="H223" s="260"/>
      <c r="I223" s="260"/>
      <c r="J223" s="260"/>
      <c r="K223" s="260"/>
    </row>
    <row r="224" ht="15.75" customHeight="1">
      <c r="D224" s="258"/>
      <c r="E224" s="260"/>
      <c r="F224" s="260"/>
      <c r="G224" s="260"/>
      <c r="H224" s="260"/>
      <c r="I224" s="260"/>
      <c r="J224" s="260"/>
      <c r="K224" s="260"/>
    </row>
    <row r="225" ht="15.75" customHeight="1">
      <c r="D225" s="258"/>
      <c r="E225" s="260"/>
      <c r="F225" s="260"/>
      <c r="G225" s="260"/>
      <c r="H225" s="260"/>
      <c r="I225" s="260"/>
      <c r="J225" s="260"/>
      <c r="K225" s="260"/>
    </row>
    <row r="226" ht="15.75" customHeight="1">
      <c r="D226" s="258"/>
      <c r="E226" s="260"/>
      <c r="F226" s="260"/>
      <c r="G226" s="260"/>
      <c r="H226" s="260"/>
      <c r="I226" s="260"/>
      <c r="J226" s="260"/>
      <c r="K226" s="260"/>
    </row>
    <row r="227" ht="15.75" customHeight="1">
      <c r="D227" s="258"/>
      <c r="E227" s="260"/>
      <c r="F227" s="260"/>
      <c r="G227" s="260"/>
      <c r="H227" s="260"/>
      <c r="I227" s="260"/>
      <c r="J227" s="260"/>
      <c r="K227" s="260"/>
    </row>
    <row r="228" ht="15.75" customHeight="1">
      <c r="D228" s="258"/>
      <c r="E228" s="260"/>
      <c r="F228" s="260"/>
      <c r="G228" s="260"/>
      <c r="H228" s="260"/>
      <c r="I228" s="260"/>
      <c r="J228" s="260"/>
      <c r="K228" s="260"/>
    </row>
    <row r="229" ht="15.75" customHeight="1">
      <c r="D229" s="258"/>
      <c r="E229" s="260"/>
      <c r="F229" s="260"/>
      <c r="G229" s="260"/>
      <c r="H229" s="260"/>
      <c r="I229" s="260"/>
      <c r="J229" s="260"/>
      <c r="K229" s="260"/>
    </row>
    <row r="230" ht="15.75" customHeight="1">
      <c r="D230" s="258"/>
      <c r="E230" s="260"/>
      <c r="F230" s="260"/>
      <c r="G230" s="260"/>
      <c r="H230" s="260"/>
      <c r="I230" s="260"/>
      <c r="J230" s="260"/>
      <c r="K230" s="260"/>
    </row>
    <row r="231" ht="15.75" customHeight="1">
      <c r="D231" s="258"/>
      <c r="E231" s="260"/>
      <c r="F231" s="260"/>
      <c r="G231" s="260"/>
      <c r="H231" s="260"/>
      <c r="I231" s="260"/>
      <c r="J231" s="260"/>
      <c r="K231" s="260"/>
    </row>
    <row r="232" ht="15.75" customHeight="1">
      <c r="D232" s="258"/>
      <c r="E232" s="260"/>
      <c r="F232" s="260"/>
      <c r="G232" s="260"/>
      <c r="H232" s="260"/>
      <c r="I232" s="260"/>
      <c r="J232" s="260"/>
      <c r="K232" s="260"/>
    </row>
    <row r="233" ht="15.75" customHeight="1">
      <c r="D233" s="258"/>
      <c r="E233" s="260"/>
      <c r="F233" s="260"/>
      <c r="G233" s="260"/>
      <c r="H233" s="260"/>
      <c r="I233" s="260"/>
      <c r="J233" s="260"/>
      <c r="K233" s="260"/>
    </row>
    <row r="234" ht="15.75" customHeight="1">
      <c r="D234" s="258"/>
      <c r="E234" s="260"/>
      <c r="F234" s="260"/>
      <c r="G234" s="260"/>
      <c r="H234" s="260"/>
      <c r="I234" s="260"/>
      <c r="J234" s="260"/>
      <c r="K234" s="260"/>
    </row>
    <row r="235" ht="15.75" customHeight="1">
      <c r="D235" s="258"/>
      <c r="E235" s="260"/>
      <c r="F235" s="260"/>
      <c r="G235" s="260"/>
      <c r="H235" s="260"/>
      <c r="I235" s="260"/>
      <c r="J235" s="260"/>
      <c r="K235" s="260"/>
    </row>
    <row r="236" ht="15.75" customHeight="1">
      <c r="D236" s="258"/>
      <c r="E236" s="260"/>
      <c r="F236" s="260"/>
      <c r="G236" s="260"/>
      <c r="H236" s="260"/>
      <c r="I236" s="260"/>
      <c r="J236" s="260"/>
      <c r="K236" s="260"/>
    </row>
    <row r="237" ht="15.75" customHeight="1">
      <c r="D237" s="258"/>
      <c r="E237" s="260"/>
      <c r="F237" s="260"/>
      <c r="G237" s="260"/>
      <c r="H237" s="260"/>
      <c r="I237" s="260"/>
      <c r="J237" s="260"/>
      <c r="K237" s="260"/>
    </row>
    <row r="238" ht="15.75" customHeight="1">
      <c r="D238" s="258"/>
      <c r="E238" s="260"/>
      <c r="F238" s="260"/>
      <c r="G238" s="260"/>
      <c r="H238" s="260"/>
      <c r="I238" s="260"/>
      <c r="J238" s="260"/>
      <c r="K238" s="260"/>
    </row>
    <row r="239" ht="15.75" customHeight="1">
      <c r="D239" s="258"/>
      <c r="E239" s="260"/>
      <c r="F239" s="260"/>
      <c r="G239" s="260"/>
      <c r="H239" s="260"/>
      <c r="I239" s="260"/>
      <c r="J239" s="260"/>
      <c r="K239" s="260"/>
    </row>
    <row r="240" ht="15.75" customHeight="1">
      <c r="D240" s="258"/>
      <c r="E240" s="260"/>
      <c r="F240" s="260"/>
      <c r="G240" s="260"/>
      <c r="H240" s="260"/>
      <c r="I240" s="260"/>
      <c r="J240" s="260"/>
      <c r="K240" s="260"/>
    </row>
    <row r="241" ht="15.75" customHeight="1">
      <c r="D241" s="258"/>
      <c r="E241" s="260"/>
      <c r="F241" s="260"/>
      <c r="G241" s="260"/>
      <c r="H241" s="260"/>
      <c r="I241" s="260"/>
      <c r="J241" s="260"/>
      <c r="K241" s="260"/>
    </row>
    <row r="242" ht="15.75" customHeight="1">
      <c r="D242" s="258"/>
      <c r="E242" s="260"/>
      <c r="F242" s="260"/>
      <c r="G242" s="260"/>
      <c r="H242" s="260"/>
      <c r="I242" s="260"/>
      <c r="J242" s="260"/>
      <c r="K242" s="260"/>
    </row>
    <row r="243" ht="15.75" customHeight="1">
      <c r="D243" s="258"/>
      <c r="E243" s="260"/>
      <c r="F243" s="260"/>
      <c r="G243" s="260"/>
      <c r="H243" s="260"/>
      <c r="I243" s="260"/>
      <c r="J243" s="260"/>
      <c r="K243" s="260"/>
    </row>
    <row r="244" ht="15.75" customHeight="1">
      <c r="D244" s="258"/>
      <c r="E244" s="260"/>
      <c r="F244" s="260"/>
      <c r="G244" s="260"/>
      <c r="H244" s="260"/>
      <c r="I244" s="260"/>
      <c r="J244" s="260"/>
      <c r="K244" s="260"/>
    </row>
    <row r="245" ht="15.75" customHeight="1">
      <c r="D245" s="258"/>
      <c r="E245" s="260"/>
      <c r="F245" s="260"/>
      <c r="G245" s="260"/>
      <c r="H245" s="260"/>
      <c r="I245" s="260"/>
      <c r="J245" s="260"/>
      <c r="K245" s="260"/>
    </row>
    <row r="246" ht="15.75" customHeight="1">
      <c r="D246" s="258"/>
      <c r="E246" s="260"/>
      <c r="F246" s="260"/>
      <c r="G246" s="260"/>
      <c r="H246" s="260"/>
      <c r="I246" s="260"/>
      <c r="J246" s="260"/>
      <c r="K246" s="260"/>
    </row>
    <row r="247" ht="15.75" customHeight="1">
      <c r="D247" s="258"/>
      <c r="E247" s="260"/>
      <c r="F247" s="260"/>
      <c r="G247" s="260"/>
      <c r="H247" s="260"/>
      <c r="I247" s="260"/>
      <c r="J247" s="260"/>
      <c r="K247" s="260"/>
    </row>
    <row r="248" ht="15.75" customHeight="1">
      <c r="D248" s="258"/>
      <c r="E248" s="260"/>
      <c r="F248" s="260"/>
      <c r="G248" s="260"/>
      <c r="H248" s="260"/>
      <c r="I248" s="260"/>
      <c r="J248" s="260"/>
      <c r="K248" s="260"/>
    </row>
    <row r="249" ht="15.75" customHeight="1">
      <c r="D249" s="258"/>
      <c r="E249" s="260"/>
      <c r="F249" s="260"/>
      <c r="G249" s="260"/>
      <c r="H249" s="260"/>
      <c r="I249" s="260"/>
      <c r="J249" s="260"/>
      <c r="K249" s="260"/>
    </row>
    <row r="250" ht="15.75" customHeight="1">
      <c r="D250" s="258"/>
      <c r="E250" s="260"/>
      <c r="F250" s="260"/>
      <c r="G250" s="260"/>
      <c r="H250" s="260"/>
      <c r="I250" s="260"/>
      <c r="J250" s="260"/>
      <c r="K250" s="260"/>
    </row>
    <row r="251" ht="15.75" customHeight="1">
      <c r="D251" s="258"/>
      <c r="E251" s="260"/>
      <c r="F251" s="260"/>
      <c r="G251" s="260"/>
      <c r="H251" s="260"/>
      <c r="I251" s="260"/>
      <c r="J251" s="260"/>
      <c r="K251" s="260"/>
    </row>
    <row r="252" ht="15.75" customHeight="1">
      <c r="D252" s="258"/>
      <c r="E252" s="260"/>
      <c r="F252" s="260"/>
      <c r="G252" s="260"/>
      <c r="H252" s="260"/>
      <c r="I252" s="260"/>
      <c r="J252" s="260"/>
      <c r="K252" s="260"/>
    </row>
    <row r="253" ht="15.75" customHeight="1">
      <c r="D253" s="258"/>
      <c r="E253" s="260"/>
      <c r="F253" s="260"/>
      <c r="G253" s="260"/>
      <c r="H253" s="260"/>
      <c r="I253" s="260"/>
      <c r="J253" s="260"/>
      <c r="K253" s="260"/>
    </row>
    <row r="254" ht="15.75" customHeight="1">
      <c r="D254" s="258"/>
      <c r="E254" s="260"/>
      <c r="F254" s="260"/>
      <c r="G254" s="260"/>
      <c r="H254" s="260"/>
      <c r="I254" s="260"/>
      <c r="J254" s="260"/>
      <c r="K254" s="260"/>
    </row>
    <row r="255" ht="15.75" customHeight="1">
      <c r="D255" s="258"/>
      <c r="E255" s="260"/>
      <c r="F255" s="260"/>
      <c r="G255" s="260"/>
      <c r="H255" s="260"/>
      <c r="I255" s="260"/>
      <c r="J255" s="260"/>
      <c r="K255" s="260"/>
    </row>
    <row r="256" ht="15.75" customHeight="1">
      <c r="D256" s="258"/>
      <c r="E256" s="260"/>
      <c r="F256" s="260"/>
      <c r="G256" s="260"/>
      <c r="H256" s="260"/>
      <c r="I256" s="260"/>
      <c r="J256" s="260"/>
      <c r="K256" s="260"/>
    </row>
    <row r="257" ht="15.75" customHeight="1">
      <c r="D257" s="258"/>
      <c r="E257" s="260"/>
      <c r="F257" s="260"/>
      <c r="G257" s="260"/>
      <c r="H257" s="260"/>
      <c r="I257" s="260"/>
      <c r="J257" s="260"/>
      <c r="K257" s="260"/>
    </row>
    <row r="258" ht="15.75" customHeight="1">
      <c r="D258" s="258"/>
      <c r="E258" s="260"/>
      <c r="F258" s="260"/>
      <c r="G258" s="260"/>
      <c r="H258" s="260"/>
      <c r="I258" s="260"/>
      <c r="J258" s="260"/>
      <c r="K258" s="260"/>
    </row>
    <row r="259" ht="15.75" customHeight="1">
      <c r="D259" s="258"/>
      <c r="E259" s="260"/>
      <c r="F259" s="260"/>
      <c r="G259" s="260"/>
      <c r="H259" s="260"/>
      <c r="I259" s="260"/>
      <c r="J259" s="260"/>
      <c r="K259" s="260"/>
    </row>
    <row r="260" ht="15.75" customHeight="1">
      <c r="D260" s="258"/>
      <c r="E260" s="260"/>
      <c r="F260" s="260"/>
      <c r="G260" s="260"/>
      <c r="H260" s="260"/>
      <c r="I260" s="260"/>
      <c r="J260" s="260"/>
      <c r="K260" s="260"/>
    </row>
    <row r="261" ht="15.75" customHeight="1">
      <c r="D261" s="258"/>
      <c r="E261" s="260"/>
      <c r="F261" s="260"/>
      <c r="G261" s="260"/>
      <c r="H261" s="260"/>
      <c r="I261" s="260"/>
      <c r="J261" s="260"/>
      <c r="K261" s="260"/>
    </row>
    <row r="262" ht="15.75" customHeight="1">
      <c r="D262" s="258"/>
      <c r="E262" s="260"/>
      <c r="F262" s="260"/>
      <c r="G262" s="260"/>
      <c r="H262" s="260"/>
      <c r="I262" s="260"/>
      <c r="J262" s="260"/>
      <c r="K262" s="260"/>
    </row>
    <row r="263" ht="15.75" customHeight="1">
      <c r="D263" s="258"/>
      <c r="E263" s="260"/>
      <c r="F263" s="260"/>
      <c r="G263" s="260"/>
      <c r="H263" s="260"/>
      <c r="I263" s="260"/>
      <c r="J263" s="260"/>
      <c r="K263" s="260"/>
    </row>
    <row r="264" ht="15.75" customHeight="1">
      <c r="D264" s="258"/>
      <c r="E264" s="260"/>
      <c r="F264" s="260"/>
      <c r="G264" s="260"/>
      <c r="H264" s="260"/>
      <c r="I264" s="260"/>
      <c r="J264" s="260"/>
      <c r="K264" s="260"/>
    </row>
    <row r="265" ht="15.75" customHeight="1">
      <c r="D265" s="258"/>
      <c r="E265" s="260"/>
      <c r="F265" s="260"/>
      <c r="G265" s="260"/>
      <c r="H265" s="260"/>
      <c r="I265" s="260"/>
      <c r="J265" s="260"/>
      <c r="K265" s="260"/>
    </row>
    <row r="266" ht="15.75" customHeight="1">
      <c r="D266" s="258"/>
      <c r="E266" s="260"/>
      <c r="F266" s="260"/>
      <c r="G266" s="260"/>
      <c r="H266" s="260"/>
      <c r="I266" s="260"/>
      <c r="J266" s="260"/>
      <c r="K266" s="260"/>
    </row>
    <row r="267" ht="15.75" customHeight="1">
      <c r="D267" s="258"/>
      <c r="E267" s="260"/>
      <c r="F267" s="260"/>
      <c r="G267" s="260"/>
      <c r="H267" s="260"/>
      <c r="I267" s="260"/>
      <c r="J267" s="260"/>
      <c r="K267" s="260"/>
    </row>
    <row r="268" ht="15.75" customHeight="1">
      <c r="D268" s="258"/>
      <c r="E268" s="260"/>
      <c r="F268" s="260"/>
      <c r="G268" s="260"/>
      <c r="H268" s="260"/>
      <c r="I268" s="260"/>
      <c r="J268" s="260"/>
      <c r="K268" s="260"/>
    </row>
    <row r="269" ht="15.75" customHeight="1">
      <c r="D269" s="258"/>
      <c r="E269" s="260"/>
      <c r="F269" s="260"/>
      <c r="G269" s="260"/>
      <c r="H269" s="260"/>
      <c r="I269" s="260"/>
      <c r="J269" s="260"/>
      <c r="K269" s="260"/>
    </row>
    <row r="270" ht="15.75" customHeight="1">
      <c r="D270" s="258"/>
      <c r="E270" s="260"/>
      <c r="F270" s="260"/>
      <c r="G270" s="260"/>
      <c r="H270" s="260"/>
      <c r="I270" s="260"/>
      <c r="J270" s="260"/>
      <c r="K270" s="260"/>
    </row>
    <row r="271" ht="15.75" customHeight="1">
      <c r="D271" s="258"/>
      <c r="E271" s="260"/>
      <c r="F271" s="260"/>
      <c r="G271" s="260"/>
      <c r="H271" s="260"/>
      <c r="I271" s="260"/>
      <c r="J271" s="260"/>
      <c r="K271" s="260"/>
    </row>
    <row r="272" ht="15.75" customHeight="1">
      <c r="D272" s="258"/>
      <c r="E272" s="260"/>
      <c r="F272" s="260"/>
      <c r="G272" s="260"/>
      <c r="H272" s="260"/>
      <c r="I272" s="260"/>
      <c r="J272" s="260"/>
      <c r="K272" s="260"/>
    </row>
    <row r="273" ht="15.75" customHeight="1">
      <c r="D273" s="258"/>
      <c r="E273" s="260"/>
      <c r="F273" s="260"/>
      <c r="G273" s="260"/>
      <c r="H273" s="260"/>
      <c r="I273" s="260"/>
      <c r="J273" s="260"/>
      <c r="K273" s="260"/>
    </row>
    <row r="274" ht="15.75" customHeight="1">
      <c r="D274" s="258"/>
      <c r="E274" s="260"/>
      <c r="F274" s="260"/>
      <c r="G274" s="260"/>
      <c r="H274" s="260"/>
      <c r="I274" s="260"/>
      <c r="J274" s="260"/>
      <c r="K274" s="260"/>
    </row>
    <row r="275" ht="15.75" customHeight="1">
      <c r="D275" s="258"/>
      <c r="E275" s="260"/>
      <c r="F275" s="260"/>
      <c r="G275" s="260"/>
      <c r="H275" s="260"/>
      <c r="I275" s="260"/>
      <c r="J275" s="260"/>
      <c r="K275" s="260"/>
    </row>
    <row r="276" ht="15.75" customHeight="1">
      <c r="D276" s="258"/>
      <c r="E276" s="260"/>
      <c r="F276" s="260"/>
      <c r="G276" s="260"/>
      <c r="H276" s="260"/>
      <c r="I276" s="260"/>
      <c r="J276" s="260"/>
      <c r="K276" s="260"/>
    </row>
    <row r="277" ht="15.75" customHeight="1">
      <c r="D277" s="258"/>
      <c r="E277" s="260"/>
      <c r="F277" s="260"/>
      <c r="G277" s="260"/>
      <c r="H277" s="260"/>
      <c r="I277" s="260"/>
      <c r="J277" s="260"/>
      <c r="K277" s="260"/>
    </row>
    <row r="278" ht="15.75" customHeight="1">
      <c r="D278" s="258"/>
      <c r="E278" s="260"/>
      <c r="F278" s="260"/>
      <c r="G278" s="260"/>
      <c r="H278" s="260"/>
      <c r="I278" s="260"/>
      <c r="J278" s="260"/>
      <c r="K278" s="260"/>
    </row>
    <row r="279" ht="15.75" customHeight="1">
      <c r="D279" s="258"/>
      <c r="E279" s="260"/>
      <c r="F279" s="260"/>
      <c r="G279" s="260"/>
      <c r="H279" s="260"/>
      <c r="I279" s="260"/>
      <c r="J279" s="260"/>
      <c r="K279" s="260"/>
    </row>
    <row r="280" ht="15.75" customHeight="1">
      <c r="D280" s="258"/>
      <c r="E280" s="260"/>
      <c r="F280" s="260"/>
      <c r="G280" s="260"/>
      <c r="H280" s="260"/>
      <c r="I280" s="260"/>
      <c r="J280" s="260"/>
      <c r="K280" s="260"/>
    </row>
    <row r="281" ht="15.75" customHeight="1">
      <c r="D281" s="258"/>
      <c r="E281" s="260"/>
      <c r="F281" s="260"/>
      <c r="G281" s="260"/>
      <c r="H281" s="260"/>
      <c r="I281" s="260"/>
      <c r="J281" s="260"/>
      <c r="K281" s="260"/>
    </row>
    <row r="282" ht="15.75" customHeight="1">
      <c r="D282" s="258"/>
      <c r="E282" s="260"/>
      <c r="F282" s="260"/>
      <c r="G282" s="260"/>
      <c r="H282" s="260"/>
      <c r="I282" s="260"/>
      <c r="J282" s="260"/>
      <c r="K282" s="260"/>
    </row>
    <row r="283" ht="15.75" customHeight="1">
      <c r="D283" s="258"/>
      <c r="E283" s="260"/>
      <c r="F283" s="260"/>
      <c r="G283" s="260"/>
      <c r="H283" s="260"/>
      <c r="I283" s="260"/>
      <c r="J283" s="260"/>
      <c r="K283" s="260"/>
    </row>
    <row r="284" ht="15.75" customHeight="1">
      <c r="D284" s="258"/>
      <c r="E284" s="260"/>
      <c r="F284" s="260"/>
      <c r="G284" s="260"/>
      <c r="H284" s="260"/>
      <c r="I284" s="260"/>
      <c r="J284" s="260"/>
      <c r="K284" s="260"/>
    </row>
    <row r="285" ht="15.75" customHeight="1">
      <c r="D285" s="258"/>
      <c r="E285" s="260"/>
      <c r="F285" s="260"/>
      <c r="G285" s="260"/>
      <c r="H285" s="260"/>
      <c r="I285" s="260"/>
      <c r="J285" s="260"/>
      <c r="K285" s="260"/>
    </row>
    <row r="286" ht="15.75" customHeight="1">
      <c r="D286" s="258"/>
      <c r="E286" s="260"/>
      <c r="F286" s="260"/>
      <c r="G286" s="260"/>
      <c r="H286" s="260"/>
      <c r="I286" s="260"/>
      <c r="J286" s="260"/>
      <c r="K286" s="260"/>
    </row>
    <row r="287" ht="15.75" customHeight="1">
      <c r="D287" s="258"/>
      <c r="E287" s="260"/>
      <c r="F287" s="260"/>
      <c r="G287" s="260"/>
      <c r="H287" s="260"/>
      <c r="I287" s="260"/>
      <c r="J287" s="260"/>
      <c r="K287" s="260"/>
    </row>
    <row r="288" ht="15.75" customHeight="1">
      <c r="D288" s="258"/>
      <c r="E288" s="260"/>
      <c r="F288" s="260"/>
      <c r="G288" s="260"/>
      <c r="H288" s="260"/>
      <c r="I288" s="260"/>
      <c r="J288" s="260"/>
      <c r="K288" s="260"/>
    </row>
    <row r="289" ht="15.75" customHeight="1">
      <c r="D289" s="258"/>
      <c r="E289" s="260"/>
      <c r="F289" s="260"/>
      <c r="G289" s="260"/>
      <c r="H289" s="260"/>
      <c r="I289" s="260"/>
      <c r="J289" s="260"/>
      <c r="K289" s="260"/>
    </row>
    <row r="290" ht="15.75" customHeight="1">
      <c r="D290" s="258"/>
      <c r="E290" s="260"/>
      <c r="F290" s="260"/>
      <c r="G290" s="260"/>
      <c r="H290" s="260"/>
      <c r="I290" s="260"/>
      <c r="J290" s="260"/>
      <c r="K290" s="260"/>
    </row>
    <row r="291" ht="15.75" customHeight="1">
      <c r="D291" s="258"/>
      <c r="E291" s="260"/>
      <c r="F291" s="260"/>
      <c r="G291" s="260"/>
      <c r="H291" s="260"/>
      <c r="I291" s="260"/>
      <c r="J291" s="260"/>
      <c r="K291" s="260"/>
    </row>
    <row r="292" ht="15.75" customHeight="1">
      <c r="D292" s="258"/>
      <c r="E292" s="260"/>
      <c r="F292" s="260"/>
      <c r="G292" s="260"/>
      <c r="H292" s="260"/>
      <c r="I292" s="260"/>
      <c r="J292" s="260"/>
      <c r="K292" s="260"/>
    </row>
    <row r="293" ht="15.75" customHeight="1">
      <c r="D293" s="258"/>
      <c r="E293" s="260"/>
      <c r="F293" s="260"/>
      <c r="G293" s="260"/>
      <c r="H293" s="260"/>
      <c r="I293" s="260"/>
      <c r="J293" s="260"/>
      <c r="K293" s="260"/>
    </row>
    <row r="294" ht="15.75" customHeight="1">
      <c r="D294" s="258"/>
      <c r="E294" s="260"/>
      <c r="F294" s="260"/>
      <c r="G294" s="260"/>
      <c r="H294" s="260"/>
      <c r="I294" s="260"/>
      <c r="J294" s="260"/>
      <c r="K294" s="260"/>
    </row>
    <row r="295" ht="15.75" customHeight="1">
      <c r="D295" s="258"/>
      <c r="E295" s="260"/>
      <c r="F295" s="260"/>
      <c r="G295" s="260"/>
      <c r="H295" s="260"/>
      <c r="I295" s="260"/>
      <c r="J295" s="260"/>
      <c r="K295" s="260"/>
    </row>
    <row r="296" ht="15.75" customHeight="1">
      <c r="D296" s="258"/>
      <c r="E296" s="260"/>
      <c r="F296" s="260"/>
      <c r="G296" s="260"/>
      <c r="H296" s="260"/>
      <c r="I296" s="260"/>
      <c r="J296" s="260"/>
      <c r="K296" s="260"/>
    </row>
    <row r="297" ht="15.75" customHeight="1">
      <c r="D297" s="258"/>
      <c r="E297" s="260"/>
      <c r="F297" s="260"/>
      <c r="G297" s="260"/>
      <c r="H297" s="260"/>
      <c r="I297" s="260"/>
      <c r="J297" s="260"/>
      <c r="K297" s="260"/>
    </row>
    <row r="298" ht="15.75" customHeight="1">
      <c r="D298" s="258"/>
      <c r="E298" s="260"/>
      <c r="F298" s="260"/>
      <c r="G298" s="260"/>
      <c r="H298" s="260"/>
      <c r="I298" s="260"/>
      <c r="J298" s="260"/>
      <c r="K298" s="260"/>
    </row>
    <row r="299" ht="15.75" customHeight="1">
      <c r="D299" s="258"/>
      <c r="E299" s="260"/>
      <c r="F299" s="260"/>
      <c r="G299" s="260"/>
      <c r="H299" s="260"/>
      <c r="I299" s="260"/>
      <c r="J299" s="260"/>
      <c r="K299" s="260"/>
    </row>
    <row r="300" ht="15.75" customHeight="1">
      <c r="D300" s="258"/>
      <c r="E300" s="260"/>
      <c r="F300" s="260"/>
      <c r="G300" s="260"/>
      <c r="H300" s="260"/>
      <c r="I300" s="260"/>
      <c r="J300" s="260"/>
      <c r="K300" s="260"/>
    </row>
    <row r="301" ht="15.75" customHeight="1">
      <c r="D301" s="258"/>
      <c r="E301" s="260"/>
      <c r="F301" s="260"/>
      <c r="G301" s="260"/>
      <c r="H301" s="260"/>
      <c r="I301" s="260"/>
      <c r="J301" s="260"/>
      <c r="K301" s="260"/>
    </row>
    <row r="302" ht="15.75" customHeight="1">
      <c r="D302" s="258"/>
      <c r="E302" s="260"/>
      <c r="F302" s="260"/>
      <c r="G302" s="260"/>
      <c r="H302" s="260"/>
      <c r="I302" s="260"/>
      <c r="J302" s="260"/>
      <c r="K302" s="260"/>
    </row>
    <row r="303" ht="15.75" customHeight="1">
      <c r="D303" s="258"/>
      <c r="E303" s="260"/>
      <c r="F303" s="260"/>
      <c r="G303" s="260"/>
      <c r="H303" s="260"/>
      <c r="I303" s="260"/>
      <c r="J303" s="260"/>
      <c r="K303" s="260"/>
    </row>
    <row r="304" ht="15.75" customHeight="1">
      <c r="D304" s="258"/>
      <c r="E304" s="260"/>
      <c r="F304" s="260"/>
      <c r="G304" s="260"/>
      <c r="H304" s="260"/>
      <c r="I304" s="260"/>
      <c r="J304" s="260"/>
      <c r="K304" s="260"/>
    </row>
    <row r="305" ht="15.75" customHeight="1">
      <c r="D305" s="258"/>
      <c r="E305" s="260"/>
      <c r="F305" s="260"/>
      <c r="G305" s="260"/>
      <c r="H305" s="260"/>
      <c r="I305" s="260"/>
      <c r="J305" s="260"/>
      <c r="K305" s="260"/>
    </row>
    <row r="306" ht="15.75" customHeight="1">
      <c r="D306" s="258"/>
      <c r="E306" s="260"/>
      <c r="F306" s="260"/>
      <c r="G306" s="260"/>
      <c r="H306" s="260"/>
      <c r="I306" s="260"/>
      <c r="J306" s="260"/>
      <c r="K306" s="260"/>
    </row>
    <row r="307" ht="15.75" customHeight="1">
      <c r="D307" s="258"/>
      <c r="E307" s="260"/>
      <c r="F307" s="260"/>
      <c r="G307" s="260"/>
      <c r="H307" s="260"/>
      <c r="I307" s="260"/>
      <c r="J307" s="260"/>
      <c r="K307" s="260"/>
    </row>
    <row r="308" ht="15.75" customHeight="1">
      <c r="D308" s="258"/>
      <c r="E308" s="260"/>
      <c r="F308" s="260"/>
      <c r="G308" s="260"/>
      <c r="H308" s="260"/>
      <c r="I308" s="260"/>
      <c r="J308" s="260"/>
      <c r="K308" s="260"/>
    </row>
    <row r="309" ht="15.75" customHeight="1">
      <c r="D309" s="258"/>
      <c r="E309" s="260"/>
      <c r="F309" s="260"/>
      <c r="G309" s="260"/>
      <c r="H309" s="260"/>
      <c r="I309" s="260"/>
      <c r="J309" s="260"/>
      <c r="K309" s="260"/>
    </row>
    <row r="310" ht="15.75" customHeight="1">
      <c r="D310" s="258"/>
      <c r="E310" s="260"/>
      <c r="F310" s="260"/>
      <c r="G310" s="260"/>
      <c r="H310" s="260"/>
      <c r="I310" s="260"/>
      <c r="J310" s="260"/>
      <c r="K310" s="260"/>
    </row>
    <row r="311" ht="15.75" customHeight="1">
      <c r="D311" s="258"/>
      <c r="E311" s="260"/>
      <c r="F311" s="260"/>
      <c r="G311" s="260"/>
      <c r="H311" s="260"/>
      <c r="I311" s="260"/>
      <c r="J311" s="260"/>
      <c r="K311" s="260"/>
    </row>
    <row r="312" ht="15.75" customHeight="1">
      <c r="D312" s="258"/>
      <c r="E312" s="260"/>
      <c r="F312" s="260"/>
      <c r="G312" s="260"/>
      <c r="H312" s="260"/>
      <c r="I312" s="260"/>
      <c r="J312" s="260"/>
      <c r="K312" s="260"/>
    </row>
    <row r="313" ht="15.75" customHeight="1">
      <c r="D313" s="258"/>
      <c r="E313" s="260"/>
      <c r="F313" s="260"/>
      <c r="G313" s="260"/>
      <c r="H313" s="260"/>
      <c r="I313" s="260"/>
      <c r="J313" s="260"/>
      <c r="K313" s="260"/>
    </row>
    <row r="314" ht="15.75" customHeight="1">
      <c r="D314" s="258"/>
      <c r="E314" s="260"/>
      <c r="F314" s="260"/>
      <c r="G314" s="260"/>
      <c r="H314" s="260"/>
      <c r="I314" s="260"/>
      <c r="J314" s="260"/>
      <c r="K314" s="260"/>
    </row>
    <row r="315" ht="15.75" customHeight="1">
      <c r="D315" s="258"/>
      <c r="E315" s="260"/>
      <c r="F315" s="260"/>
      <c r="G315" s="260"/>
      <c r="H315" s="260"/>
      <c r="I315" s="260"/>
      <c r="J315" s="260"/>
      <c r="K315" s="260"/>
    </row>
    <row r="316" ht="15.75" customHeight="1">
      <c r="D316" s="258"/>
      <c r="E316" s="260"/>
      <c r="F316" s="260"/>
      <c r="G316" s="260"/>
      <c r="H316" s="260"/>
      <c r="I316" s="260"/>
      <c r="J316" s="260"/>
      <c r="K316" s="260"/>
    </row>
    <row r="317" ht="15.75" customHeight="1">
      <c r="D317" s="258"/>
      <c r="E317" s="260"/>
      <c r="F317" s="260"/>
      <c r="G317" s="260"/>
      <c r="H317" s="260"/>
      <c r="I317" s="260"/>
      <c r="J317" s="260"/>
      <c r="K317" s="260"/>
    </row>
    <row r="318" ht="15.75" customHeight="1">
      <c r="D318" s="258"/>
      <c r="E318" s="260"/>
      <c r="F318" s="260"/>
      <c r="G318" s="260"/>
      <c r="H318" s="260"/>
      <c r="I318" s="260"/>
      <c r="J318" s="260"/>
      <c r="K318" s="260"/>
    </row>
    <row r="319" ht="15.75" customHeight="1">
      <c r="D319" s="258"/>
      <c r="E319" s="260"/>
      <c r="F319" s="260"/>
      <c r="G319" s="260"/>
      <c r="H319" s="260"/>
      <c r="I319" s="260"/>
      <c r="J319" s="260"/>
      <c r="K319" s="260"/>
    </row>
    <row r="320" ht="15.75" customHeight="1">
      <c r="D320" s="258"/>
      <c r="E320" s="260"/>
      <c r="F320" s="260"/>
      <c r="G320" s="260"/>
      <c r="H320" s="260"/>
      <c r="I320" s="260"/>
      <c r="J320" s="260"/>
      <c r="K320" s="260"/>
    </row>
    <row r="321" ht="15.75" customHeight="1">
      <c r="D321" s="258"/>
      <c r="E321" s="260"/>
      <c r="F321" s="260"/>
      <c r="G321" s="260"/>
      <c r="H321" s="260"/>
      <c r="I321" s="260"/>
      <c r="J321" s="260"/>
      <c r="K321" s="260"/>
    </row>
    <row r="322" ht="15.75" customHeight="1">
      <c r="D322" s="258"/>
      <c r="E322" s="260"/>
      <c r="F322" s="260"/>
      <c r="G322" s="260"/>
      <c r="H322" s="260"/>
      <c r="I322" s="260"/>
      <c r="J322" s="260"/>
      <c r="K322" s="260"/>
    </row>
    <row r="323" ht="15.75" customHeight="1">
      <c r="D323" s="258"/>
      <c r="E323" s="260"/>
      <c r="F323" s="260"/>
      <c r="G323" s="260"/>
      <c r="H323" s="260"/>
      <c r="I323" s="260"/>
      <c r="J323" s="260"/>
      <c r="K323" s="260"/>
    </row>
    <row r="324" ht="15.75" customHeight="1">
      <c r="D324" s="258"/>
      <c r="E324" s="260"/>
      <c r="F324" s="260"/>
      <c r="G324" s="260"/>
      <c r="H324" s="260"/>
      <c r="I324" s="260"/>
      <c r="J324" s="260"/>
      <c r="K324" s="260"/>
    </row>
    <row r="325" ht="15.75" customHeight="1">
      <c r="D325" s="258"/>
      <c r="E325" s="260"/>
      <c r="F325" s="260"/>
      <c r="G325" s="260"/>
      <c r="H325" s="260"/>
      <c r="I325" s="260"/>
      <c r="J325" s="260"/>
      <c r="K325" s="260"/>
    </row>
    <row r="326" ht="15.75" customHeight="1">
      <c r="D326" s="258"/>
      <c r="E326" s="260"/>
      <c r="F326" s="260"/>
      <c r="G326" s="260"/>
      <c r="H326" s="260"/>
      <c r="I326" s="260"/>
      <c r="J326" s="260"/>
      <c r="K326" s="260"/>
    </row>
    <row r="327" ht="15.75" customHeight="1">
      <c r="D327" s="258"/>
      <c r="E327" s="260"/>
      <c r="F327" s="260"/>
      <c r="G327" s="260"/>
      <c r="H327" s="260"/>
      <c r="I327" s="260"/>
      <c r="J327" s="260"/>
      <c r="K327" s="260"/>
    </row>
    <row r="328" ht="15.75" customHeight="1">
      <c r="D328" s="258"/>
      <c r="E328" s="260"/>
      <c r="F328" s="260"/>
      <c r="G328" s="260"/>
      <c r="H328" s="260"/>
      <c r="I328" s="260"/>
      <c r="J328" s="260"/>
      <c r="K328" s="260"/>
    </row>
    <row r="329" ht="15.75" customHeight="1">
      <c r="D329" s="258"/>
      <c r="E329" s="260"/>
      <c r="F329" s="260"/>
      <c r="G329" s="260"/>
      <c r="H329" s="260"/>
      <c r="I329" s="260"/>
      <c r="J329" s="260"/>
      <c r="K329" s="260"/>
    </row>
    <row r="330" ht="15.75" customHeight="1">
      <c r="D330" s="258"/>
      <c r="E330" s="260"/>
      <c r="F330" s="260"/>
      <c r="G330" s="260"/>
      <c r="H330" s="260"/>
      <c r="I330" s="260"/>
      <c r="J330" s="260"/>
      <c r="K330" s="260"/>
    </row>
    <row r="331" ht="15.75" customHeight="1">
      <c r="D331" s="258"/>
      <c r="E331" s="260"/>
      <c r="F331" s="260"/>
      <c r="G331" s="260"/>
      <c r="H331" s="260"/>
      <c r="I331" s="260"/>
      <c r="J331" s="260"/>
      <c r="K331" s="260"/>
    </row>
    <row r="332" ht="15.75" customHeight="1">
      <c r="D332" s="258"/>
      <c r="E332" s="260"/>
      <c r="F332" s="260"/>
      <c r="G332" s="260"/>
      <c r="H332" s="260"/>
      <c r="I332" s="260"/>
      <c r="J332" s="260"/>
      <c r="K332" s="260"/>
    </row>
    <row r="333" ht="15.75" customHeight="1">
      <c r="D333" s="258"/>
      <c r="E333" s="260"/>
      <c r="F333" s="260"/>
      <c r="G333" s="260"/>
      <c r="H333" s="260"/>
      <c r="I333" s="260"/>
      <c r="J333" s="260"/>
      <c r="K333" s="260"/>
    </row>
    <row r="334" ht="15.75" customHeight="1">
      <c r="D334" s="258"/>
      <c r="E334" s="260"/>
      <c r="F334" s="260"/>
      <c r="G334" s="260"/>
      <c r="H334" s="260"/>
      <c r="I334" s="260"/>
      <c r="J334" s="260"/>
      <c r="K334" s="260"/>
    </row>
    <row r="335" ht="15.75" customHeight="1">
      <c r="D335" s="258"/>
      <c r="E335" s="260"/>
      <c r="F335" s="260"/>
      <c r="G335" s="260"/>
      <c r="H335" s="260"/>
      <c r="I335" s="260"/>
      <c r="J335" s="260"/>
      <c r="K335" s="260"/>
    </row>
    <row r="336" ht="15.75" customHeight="1">
      <c r="D336" s="258"/>
      <c r="E336" s="260"/>
      <c r="F336" s="260"/>
      <c r="G336" s="260"/>
      <c r="H336" s="260"/>
      <c r="I336" s="260"/>
      <c r="J336" s="260"/>
      <c r="K336" s="260"/>
    </row>
    <row r="337" ht="15.75" customHeight="1">
      <c r="D337" s="258"/>
      <c r="E337" s="260"/>
      <c r="F337" s="260"/>
      <c r="G337" s="260"/>
      <c r="H337" s="260"/>
      <c r="I337" s="260"/>
      <c r="J337" s="260"/>
      <c r="K337" s="260"/>
    </row>
    <row r="338" ht="15.75" customHeight="1">
      <c r="D338" s="258"/>
      <c r="E338" s="260"/>
      <c r="F338" s="260"/>
      <c r="G338" s="260"/>
      <c r="H338" s="260"/>
      <c r="I338" s="260"/>
      <c r="J338" s="260"/>
      <c r="K338" s="260"/>
    </row>
    <row r="339" ht="15.75" customHeight="1">
      <c r="D339" s="258"/>
      <c r="E339" s="260"/>
      <c r="F339" s="260"/>
      <c r="G339" s="260"/>
      <c r="H339" s="260"/>
      <c r="I339" s="260"/>
      <c r="J339" s="260"/>
      <c r="K339" s="260"/>
    </row>
    <row r="340" ht="15.75" customHeight="1">
      <c r="D340" s="258"/>
      <c r="E340" s="260"/>
      <c r="F340" s="260"/>
      <c r="G340" s="260"/>
      <c r="H340" s="260"/>
      <c r="I340" s="260"/>
      <c r="J340" s="260"/>
      <c r="K340" s="260"/>
    </row>
    <row r="341" ht="15.75" customHeight="1">
      <c r="D341" s="258"/>
      <c r="E341" s="260"/>
      <c r="F341" s="260"/>
      <c r="G341" s="260"/>
      <c r="H341" s="260"/>
      <c r="I341" s="260"/>
      <c r="J341" s="260"/>
      <c r="K341" s="260"/>
    </row>
    <row r="342" ht="15.75" customHeight="1">
      <c r="D342" s="258"/>
      <c r="E342" s="260"/>
      <c r="F342" s="260"/>
      <c r="G342" s="260"/>
      <c r="H342" s="260"/>
      <c r="I342" s="260"/>
      <c r="J342" s="260"/>
      <c r="K342" s="260"/>
    </row>
    <row r="343" ht="15.75" customHeight="1">
      <c r="D343" s="258"/>
      <c r="E343" s="260"/>
      <c r="F343" s="260"/>
      <c r="G343" s="260"/>
      <c r="H343" s="260"/>
      <c r="I343" s="260"/>
      <c r="J343" s="260"/>
      <c r="K343" s="260"/>
    </row>
    <row r="344" ht="15.75" customHeight="1">
      <c r="D344" s="258"/>
      <c r="E344" s="260"/>
      <c r="F344" s="260"/>
      <c r="G344" s="260"/>
      <c r="H344" s="260"/>
      <c r="I344" s="260"/>
      <c r="J344" s="260"/>
      <c r="K344" s="260"/>
    </row>
    <row r="345" ht="15.75" customHeight="1">
      <c r="D345" s="258"/>
      <c r="E345" s="260"/>
      <c r="F345" s="260"/>
      <c r="G345" s="260"/>
      <c r="H345" s="260"/>
      <c r="I345" s="260"/>
      <c r="J345" s="260"/>
      <c r="K345" s="260"/>
    </row>
    <row r="346" ht="15.75" customHeight="1">
      <c r="D346" s="258"/>
      <c r="E346" s="260"/>
      <c r="F346" s="260"/>
      <c r="G346" s="260"/>
      <c r="H346" s="260"/>
      <c r="I346" s="260"/>
      <c r="J346" s="260"/>
      <c r="K346" s="260"/>
    </row>
    <row r="347" ht="15.75" customHeight="1">
      <c r="D347" s="258"/>
      <c r="E347" s="260"/>
      <c r="F347" s="260"/>
      <c r="G347" s="260"/>
      <c r="H347" s="260"/>
      <c r="I347" s="260"/>
      <c r="J347" s="260"/>
      <c r="K347" s="260"/>
    </row>
    <row r="348" ht="15.75" customHeight="1">
      <c r="D348" s="258"/>
      <c r="E348" s="260"/>
      <c r="F348" s="260"/>
      <c r="G348" s="260"/>
      <c r="H348" s="260"/>
      <c r="I348" s="260"/>
      <c r="J348" s="260"/>
      <c r="K348" s="260"/>
    </row>
    <row r="349" ht="15.75" customHeight="1">
      <c r="D349" s="258"/>
      <c r="E349" s="260"/>
      <c r="F349" s="260"/>
      <c r="G349" s="260"/>
      <c r="H349" s="260"/>
      <c r="I349" s="260"/>
      <c r="J349" s="260"/>
      <c r="K349" s="260"/>
    </row>
    <row r="350" ht="15.75" customHeight="1">
      <c r="D350" s="258"/>
      <c r="E350" s="260"/>
      <c r="F350" s="260"/>
      <c r="G350" s="260"/>
      <c r="H350" s="260"/>
      <c r="I350" s="260"/>
      <c r="J350" s="260"/>
      <c r="K350" s="260"/>
    </row>
    <row r="351" ht="15.75" customHeight="1">
      <c r="D351" s="258"/>
      <c r="E351" s="260"/>
      <c r="F351" s="260"/>
      <c r="G351" s="260"/>
      <c r="H351" s="260"/>
      <c r="I351" s="260"/>
      <c r="J351" s="260"/>
      <c r="K351" s="260"/>
    </row>
    <row r="352" ht="15.75" customHeight="1">
      <c r="D352" s="258"/>
      <c r="E352" s="260"/>
      <c r="F352" s="260"/>
      <c r="G352" s="260"/>
      <c r="H352" s="260"/>
      <c r="I352" s="260"/>
      <c r="J352" s="260"/>
      <c r="K352" s="260"/>
    </row>
    <row r="353" ht="15.75" customHeight="1">
      <c r="D353" s="258"/>
      <c r="E353" s="260"/>
      <c r="F353" s="260"/>
      <c r="G353" s="260"/>
      <c r="H353" s="260"/>
      <c r="I353" s="260"/>
      <c r="J353" s="260"/>
      <c r="K353" s="260"/>
    </row>
    <row r="354" ht="15.75" customHeight="1">
      <c r="D354" s="258"/>
      <c r="E354" s="260"/>
      <c r="F354" s="260"/>
      <c r="G354" s="260"/>
      <c r="H354" s="260"/>
      <c r="I354" s="260"/>
      <c r="J354" s="260"/>
      <c r="K354" s="260"/>
    </row>
    <row r="355" ht="15.75" customHeight="1">
      <c r="D355" s="258"/>
      <c r="E355" s="260"/>
      <c r="F355" s="260"/>
      <c r="G355" s="260"/>
      <c r="H355" s="260"/>
      <c r="I355" s="260"/>
      <c r="J355" s="260"/>
      <c r="K355" s="260"/>
    </row>
    <row r="356" ht="15.75" customHeight="1">
      <c r="D356" s="258"/>
      <c r="E356" s="260"/>
      <c r="F356" s="260"/>
      <c r="G356" s="260"/>
      <c r="H356" s="260"/>
      <c r="I356" s="260"/>
      <c r="J356" s="260"/>
      <c r="K356" s="260"/>
    </row>
    <row r="357" ht="15.75" customHeight="1">
      <c r="D357" s="258"/>
      <c r="E357" s="260"/>
      <c r="F357" s="260"/>
      <c r="G357" s="260"/>
      <c r="H357" s="260"/>
      <c r="I357" s="260"/>
      <c r="J357" s="260"/>
      <c r="K357" s="260"/>
    </row>
    <row r="358" ht="15.75" customHeight="1">
      <c r="D358" s="258"/>
      <c r="E358" s="260"/>
      <c r="F358" s="260"/>
      <c r="G358" s="260"/>
      <c r="H358" s="260"/>
      <c r="I358" s="260"/>
      <c r="J358" s="260"/>
      <c r="K358" s="260"/>
    </row>
    <row r="359" ht="15.75" customHeight="1">
      <c r="D359" s="258"/>
      <c r="E359" s="260"/>
      <c r="F359" s="260"/>
      <c r="G359" s="260"/>
      <c r="H359" s="260"/>
      <c r="I359" s="260"/>
      <c r="J359" s="260"/>
      <c r="K359" s="260"/>
    </row>
    <row r="360" ht="15.75" customHeight="1">
      <c r="D360" s="258"/>
      <c r="E360" s="260"/>
      <c r="F360" s="260"/>
      <c r="G360" s="260"/>
      <c r="H360" s="260"/>
      <c r="I360" s="260"/>
      <c r="J360" s="260"/>
      <c r="K360" s="260"/>
    </row>
    <row r="361" ht="15.75" customHeight="1">
      <c r="D361" s="258"/>
      <c r="E361" s="260"/>
      <c r="F361" s="260"/>
      <c r="G361" s="260"/>
      <c r="H361" s="260"/>
      <c r="I361" s="260"/>
      <c r="J361" s="260"/>
      <c r="K361" s="260"/>
    </row>
    <row r="362" ht="15.75" customHeight="1">
      <c r="D362" s="258"/>
      <c r="E362" s="260"/>
      <c r="F362" s="260"/>
      <c r="G362" s="260"/>
      <c r="H362" s="260"/>
      <c r="I362" s="260"/>
      <c r="J362" s="260"/>
      <c r="K362" s="260"/>
    </row>
    <row r="363" ht="15.75" customHeight="1">
      <c r="D363" s="258"/>
      <c r="E363" s="260"/>
      <c r="F363" s="260"/>
      <c r="G363" s="260"/>
      <c r="H363" s="260"/>
      <c r="I363" s="260"/>
      <c r="J363" s="260"/>
      <c r="K363" s="260"/>
    </row>
    <row r="364" ht="15.75" customHeight="1">
      <c r="D364" s="258"/>
      <c r="E364" s="260"/>
      <c r="F364" s="260"/>
      <c r="G364" s="260"/>
      <c r="H364" s="260"/>
      <c r="I364" s="260"/>
      <c r="J364" s="260"/>
      <c r="K364" s="260"/>
    </row>
    <row r="365" ht="15.75" customHeight="1">
      <c r="D365" s="258"/>
      <c r="E365" s="260"/>
      <c r="F365" s="260"/>
      <c r="G365" s="260"/>
      <c r="H365" s="260"/>
      <c r="I365" s="260"/>
      <c r="J365" s="260"/>
      <c r="K365" s="260"/>
    </row>
    <row r="366" ht="15.75" customHeight="1">
      <c r="D366" s="258"/>
      <c r="E366" s="260"/>
      <c r="F366" s="260"/>
      <c r="G366" s="260"/>
      <c r="H366" s="260"/>
      <c r="I366" s="260"/>
      <c r="J366" s="260"/>
      <c r="K366" s="260"/>
    </row>
    <row r="367" ht="15.75" customHeight="1">
      <c r="D367" s="258"/>
      <c r="E367" s="260"/>
      <c r="F367" s="260"/>
      <c r="G367" s="260"/>
      <c r="H367" s="260"/>
      <c r="I367" s="260"/>
      <c r="J367" s="260"/>
      <c r="K367" s="260"/>
    </row>
    <row r="368" ht="15.75" customHeight="1">
      <c r="D368" s="258"/>
      <c r="E368" s="260"/>
      <c r="F368" s="260"/>
      <c r="G368" s="260"/>
      <c r="H368" s="260"/>
      <c r="I368" s="260"/>
      <c r="J368" s="260"/>
      <c r="K368" s="260"/>
    </row>
    <row r="369" ht="15.75" customHeight="1">
      <c r="D369" s="258"/>
      <c r="E369" s="260"/>
      <c r="F369" s="260"/>
      <c r="G369" s="260"/>
      <c r="H369" s="260"/>
      <c r="I369" s="260"/>
      <c r="J369" s="260"/>
      <c r="K369" s="260"/>
    </row>
    <row r="370" ht="15.75" customHeight="1">
      <c r="D370" s="258"/>
      <c r="E370" s="260"/>
      <c r="F370" s="260"/>
      <c r="G370" s="260"/>
      <c r="H370" s="260"/>
      <c r="I370" s="260"/>
      <c r="J370" s="260"/>
      <c r="K370" s="260"/>
    </row>
    <row r="371" ht="15.75" customHeight="1">
      <c r="D371" s="258"/>
      <c r="E371" s="260"/>
      <c r="F371" s="260"/>
      <c r="G371" s="260"/>
      <c r="H371" s="260"/>
      <c r="I371" s="260"/>
      <c r="J371" s="260"/>
      <c r="K371" s="260"/>
    </row>
    <row r="372" ht="15.75" customHeight="1">
      <c r="D372" s="258"/>
      <c r="E372" s="260"/>
      <c r="F372" s="260"/>
      <c r="G372" s="260"/>
      <c r="H372" s="260"/>
      <c r="I372" s="260"/>
      <c r="J372" s="260"/>
      <c r="K372" s="260"/>
    </row>
    <row r="373" ht="15.75" customHeight="1">
      <c r="D373" s="258"/>
      <c r="E373" s="260"/>
      <c r="F373" s="260"/>
      <c r="G373" s="260"/>
      <c r="H373" s="260"/>
      <c r="I373" s="260"/>
      <c r="J373" s="260"/>
      <c r="K373" s="260"/>
    </row>
    <row r="374" ht="15.75" customHeight="1">
      <c r="D374" s="258"/>
      <c r="E374" s="260"/>
      <c r="F374" s="260"/>
      <c r="G374" s="260"/>
      <c r="H374" s="260"/>
      <c r="I374" s="260"/>
      <c r="J374" s="260"/>
      <c r="K374" s="260"/>
    </row>
    <row r="375" ht="15.75" customHeight="1">
      <c r="D375" s="258"/>
      <c r="E375" s="260"/>
      <c r="F375" s="260"/>
      <c r="G375" s="260"/>
      <c r="H375" s="260"/>
      <c r="I375" s="260"/>
      <c r="J375" s="260"/>
      <c r="K375" s="260"/>
    </row>
    <row r="376" ht="15.75" customHeight="1">
      <c r="D376" s="258"/>
      <c r="E376" s="260"/>
      <c r="F376" s="260"/>
      <c r="G376" s="260"/>
      <c r="H376" s="260"/>
      <c r="I376" s="260"/>
      <c r="J376" s="260"/>
      <c r="K376" s="260"/>
    </row>
    <row r="377" ht="15.75" customHeight="1">
      <c r="D377" s="258"/>
      <c r="E377" s="260"/>
      <c r="F377" s="260"/>
      <c r="G377" s="260"/>
      <c r="H377" s="260"/>
      <c r="I377" s="260"/>
      <c r="J377" s="260"/>
      <c r="K377" s="260"/>
    </row>
    <row r="378" ht="15.75" customHeight="1">
      <c r="D378" s="258"/>
      <c r="E378" s="260"/>
      <c r="F378" s="260"/>
      <c r="G378" s="260"/>
      <c r="H378" s="260"/>
      <c r="I378" s="260"/>
      <c r="J378" s="260"/>
      <c r="K378" s="260"/>
    </row>
    <row r="379" ht="15.75" customHeight="1">
      <c r="D379" s="258"/>
      <c r="E379" s="260"/>
      <c r="F379" s="260"/>
      <c r="G379" s="260"/>
      <c r="H379" s="260"/>
      <c r="I379" s="260"/>
      <c r="J379" s="260"/>
      <c r="K379" s="260"/>
    </row>
    <row r="380" ht="15.75" customHeight="1">
      <c r="D380" s="258"/>
      <c r="E380" s="260"/>
      <c r="F380" s="260"/>
      <c r="G380" s="260"/>
      <c r="H380" s="260"/>
      <c r="I380" s="260"/>
      <c r="J380" s="260"/>
      <c r="K380" s="260"/>
    </row>
    <row r="381" ht="15.75" customHeight="1">
      <c r="D381" s="258"/>
      <c r="E381" s="260"/>
      <c r="F381" s="260"/>
      <c r="G381" s="260"/>
      <c r="H381" s="260"/>
      <c r="I381" s="260"/>
      <c r="J381" s="260"/>
      <c r="K381" s="260"/>
    </row>
    <row r="382" ht="15.75" customHeight="1">
      <c r="D382" s="258"/>
      <c r="E382" s="260"/>
      <c r="F382" s="260"/>
      <c r="G382" s="260"/>
      <c r="H382" s="260"/>
      <c r="I382" s="260"/>
      <c r="J382" s="260"/>
      <c r="K382" s="260"/>
    </row>
    <row r="383" ht="15.75" customHeight="1">
      <c r="D383" s="258"/>
      <c r="E383" s="260"/>
      <c r="F383" s="260"/>
      <c r="G383" s="260"/>
      <c r="H383" s="260"/>
      <c r="I383" s="260"/>
      <c r="J383" s="260"/>
      <c r="K383" s="260"/>
    </row>
    <row r="384" ht="15.75" customHeight="1">
      <c r="D384" s="258"/>
      <c r="E384" s="260"/>
      <c r="F384" s="260"/>
      <c r="G384" s="260"/>
      <c r="H384" s="260"/>
      <c r="I384" s="260"/>
      <c r="J384" s="260"/>
      <c r="K384" s="260"/>
    </row>
    <row r="385" ht="15.75" customHeight="1">
      <c r="D385" s="258"/>
      <c r="E385" s="260"/>
      <c r="F385" s="260"/>
      <c r="G385" s="260"/>
      <c r="H385" s="260"/>
      <c r="I385" s="260"/>
      <c r="J385" s="260"/>
      <c r="K385" s="260"/>
    </row>
    <row r="386" ht="15.75" customHeight="1">
      <c r="D386" s="258"/>
      <c r="E386" s="260"/>
      <c r="F386" s="260"/>
      <c r="G386" s="260"/>
      <c r="H386" s="260"/>
      <c r="I386" s="260"/>
      <c r="J386" s="260"/>
      <c r="K386" s="260"/>
    </row>
    <row r="387" ht="15.75" customHeight="1">
      <c r="D387" s="258"/>
      <c r="E387" s="260"/>
      <c r="F387" s="260"/>
      <c r="G387" s="260"/>
      <c r="H387" s="260"/>
      <c r="I387" s="260"/>
      <c r="J387" s="260"/>
      <c r="K387" s="260"/>
    </row>
    <row r="388" ht="15.75" customHeight="1">
      <c r="D388" s="258"/>
      <c r="E388" s="260"/>
      <c r="F388" s="260"/>
      <c r="G388" s="260"/>
      <c r="H388" s="260"/>
      <c r="I388" s="260"/>
      <c r="J388" s="260"/>
      <c r="K388" s="260"/>
    </row>
    <row r="389" ht="15.75" customHeight="1">
      <c r="D389" s="258"/>
      <c r="E389" s="260"/>
      <c r="F389" s="260"/>
      <c r="G389" s="260"/>
      <c r="H389" s="260"/>
      <c r="I389" s="260"/>
      <c r="J389" s="260"/>
      <c r="K389" s="260"/>
    </row>
    <row r="390" ht="15.75" customHeight="1">
      <c r="D390" s="258"/>
      <c r="E390" s="260"/>
      <c r="F390" s="260"/>
      <c r="G390" s="260"/>
      <c r="H390" s="260"/>
      <c r="I390" s="260"/>
      <c r="J390" s="260"/>
      <c r="K390" s="260"/>
    </row>
    <row r="391" ht="15.75" customHeight="1">
      <c r="D391" s="258"/>
      <c r="E391" s="260"/>
      <c r="F391" s="260"/>
      <c r="G391" s="260"/>
      <c r="H391" s="260"/>
      <c r="I391" s="260"/>
      <c r="J391" s="260"/>
      <c r="K391" s="260"/>
    </row>
    <row r="392" ht="15.75" customHeight="1">
      <c r="D392" s="258"/>
      <c r="E392" s="260"/>
      <c r="F392" s="260"/>
      <c r="G392" s="260"/>
      <c r="H392" s="260"/>
      <c r="I392" s="260"/>
      <c r="J392" s="260"/>
      <c r="K392" s="260"/>
    </row>
    <row r="393" ht="15.75" customHeight="1">
      <c r="D393" s="258"/>
      <c r="E393" s="260"/>
      <c r="F393" s="260"/>
      <c r="G393" s="260"/>
      <c r="H393" s="260"/>
      <c r="I393" s="260"/>
      <c r="J393" s="260"/>
      <c r="K393" s="260"/>
    </row>
    <row r="394" ht="15.75" customHeight="1">
      <c r="D394" s="258"/>
      <c r="E394" s="260"/>
      <c r="F394" s="260"/>
      <c r="G394" s="260"/>
      <c r="H394" s="260"/>
      <c r="I394" s="260"/>
      <c r="J394" s="260"/>
      <c r="K394" s="260"/>
    </row>
    <row r="395" ht="15.75" customHeight="1">
      <c r="D395" s="258"/>
      <c r="E395" s="260"/>
      <c r="F395" s="260"/>
      <c r="G395" s="260"/>
      <c r="H395" s="260"/>
      <c r="I395" s="260"/>
      <c r="J395" s="260"/>
      <c r="K395" s="260"/>
    </row>
    <row r="396" ht="15.75" customHeight="1">
      <c r="D396" s="258"/>
      <c r="E396" s="260"/>
      <c r="F396" s="260"/>
      <c r="G396" s="260"/>
      <c r="H396" s="260"/>
      <c r="I396" s="260"/>
      <c r="J396" s="260"/>
      <c r="K396" s="260"/>
    </row>
    <row r="397" ht="15.75" customHeight="1">
      <c r="D397" s="258"/>
      <c r="E397" s="260"/>
      <c r="F397" s="260"/>
      <c r="G397" s="260"/>
      <c r="H397" s="260"/>
      <c r="I397" s="260"/>
      <c r="J397" s="260"/>
      <c r="K397" s="260"/>
    </row>
    <row r="398" ht="15.75" customHeight="1">
      <c r="D398" s="258"/>
      <c r="E398" s="260"/>
      <c r="F398" s="260"/>
      <c r="G398" s="260"/>
      <c r="H398" s="260"/>
      <c r="I398" s="260"/>
      <c r="J398" s="260"/>
      <c r="K398" s="260"/>
    </row>
    <row r="399" ht="15.75" customHeight="1">
      <c r="D399" s="258"/>
      <c r="E399" s="260"/>
      <c r="F399" s="260"/>
      <c r="G399" s="260"/>
      <c r="H399" s="260"/>
      <c r="I399" s="260"/>
      <c r="J399" s="260"/>
      <c r="K399" s="260"/>
    </row>
    <row r="400" ht="15.75" customHeight="1">
      <c r="D400" s="258"/>
      <c r="E400" s="260"/>
      <c r="F400" s="260"/>
      <c r="G400" s="260"/>
      <c r="H400" s="260"/>
      <c r="I400" s="260"/>
      <c r="J400" s="260"/>
      <c r="K400" s="260"/>
    </row>
    <row r="401" ht="15.75" customHeight="1">
      <c r="D401" s="258"/>
      <c r="E401" s="260"/>
      <c r="F401" s="260"/>
      <c r="G401" s="260"/>
      <c r="H401" s="260"/>
      <c r="I401" s="260"/>
      <c r="J401" s="260"/>
      <c r="K401" s="260"/>
    </row>
    <row r="402" ht="15.75" customHeight="1">
      <c r="D402" s="258"/>
      <c r="E402" s="260"/>
      <c r="F402" s="260"/>
      <c r="G402" s="260"/>
      <c r="H402" s="260"/>
      <c r="I402" s="260"/>
      <c r="J402" s="260"/>
      <c r="K402" s="260"/>
    </row>
    <row r="403" ht="15.75" customHeight="1">
      <c r="D403" s="258"/>
      <c r="E403" s="260"/>
      <c r="F403" s="260"/>
      <c r="G403" s="260"/>
      <c r="H403" s="260"/>
      <c r="I403" s="260"/>
      <c r="J403" s="260"/>
      <c r="K403" s="260"/>
    </row>
    <row r="404" ht="15.75" customHeight="1">
      <c r="D404" s="258"/>
      <c r="E404" s="260"/>
      <c r="F404" s="260"/>
      <c r="G404" s="260"/>
      <c r="H404" s="260"/>
      <c r="I404" s="260"/>
      <c r="J404" s="260"/>
      <c r="K404" s="260"/>
    </row>
    <row r="405" ht="15.75" customHeight="1">
      <c r="D405" s="258"/>
      <c r="E405" s="260"/>
      <c r="F405" s="260"/>
      <c r="G405" s="260"/>
      <c r="H405" s="260"/>
      <c r="I405" s="260"/>
      <c r="J405" s="260"/>
      <c r="K405" s="260"/>
    </row>
    <row r="406" ht="15.75" customHeight="1">
      <c r="D406" s="258"/>
      <c r="E406" s="260"/>
      <c r="F406" s="260"/>
      <c r="G406" s="260"/>
      <c r="H406" s="260"/>
      <c r="I406" s="260"/>
      <c r="J406" s="260"/>
      <c r="K406" s="260"/>
    </row>
    <row r="407" ht="15.75" customHeight="1">
      <c r="D407" s="258"/>
      <c r="E407" s="260"/>
      <c r="F407" s="260"/>
      <c r="G407" s="260"/>
      <c r="H407" s="260"/>
      <c r="I407" s="260"/>
      <c r="J407" s="260"/>
      <c r="K407" s="260"/>
    </row>
    <row r="408" ht="15.75" customHeight="1">
      <c r="D408" s="258"/>
      <c r="E408" s="260"/>
      <c r="F408" s="260"/>
      <c r="G408" s="260"/>
      <c r="H408" s="260"/>
      <c r="I408" s="260"/>
      <c r="J408" s="260"/>
      <c r="K408" s="260"/>
    </row>
    <row r="409" ht="15.75" customHeight="1">
      <c r="D409" s="258"/>
      <c r="E409" s="260"/>
      <c r="F409" s="260"/>
      <c r="G409" s="260"/>
      <c r="H409" s="260"/>
      <c r="I409" s="260"/>
      <c r="J409" s="260"/>
      <c r="K409" s="260"/>
    </row>
    <row r="410" ht="15.75" customHeight="1">
      <c r="D410" s="258"/>
      <c r="E410" s="260"/>
      <c r="F410" s="260"/>
      <c r="G410" s="260"/>
      <c r="H410" s="260"/>
      <c r="I410" s="260"/>
      <c r="J410" s="260"/>
      <c r="K410" s="260"/>
    </row>
    <row r="411" ht="15.75" customHeight="1">
      <c r="D411" s="258"/>
      <c r="E411" s="260"/>
      <c r="F411" s="260"/>
      <c r="G411" s="260"/>
      <c r="H411" s="260"/>
      <c r="I411" s="260"/>
      <c r="J411" s="260"/>
      <c r="K411" s="260"/>
    </row>
    <row r="412" ht="15.75" customHeight="1">
      <c r="D412" s="258"/>
      <c r="E412" s="260"/>
      <c r="F412" s="260"/>
      <c r="G412" s="260"/>
      <c r="H412" s="260"/>
      <c r="I412" s="260"/>
      <c r="J412" s="260"/>
      <c r="K412" s="260"/>
    </row>
    <row r="413" ht="15.75" customHeight="1">
      <c r="D413" s="258"/>
      <c r="E413" s="260"/>
      <c r="F413" s="260"/>
      <c r="G413" s="260"/>
      <c r="H413" s="260"/>
      <c r="I413" s="260"/>
      <c r="J413" s="260"/>
      <c r="K413" s="260"/>
    </row>
    <row r="414" ht="15.75" customHeight="1">
      <c r="D414" s="258"/>
      <c r="E414" s="260"/>
      <c r="F414" s="260"/>
      <c r="G414" s="260"/>
      <c r="H414" s="260"/>
      <c r="I414" s="260"/>
      <c r="J414" s="260"/>
      <c r="K414" s="260"/>
    </row>
    <row r="415" ht="15.75" customHeight="1">
      <c r="D415" s="258"/>
      <c r="E415" s="260"/>
      <c r="F415" s="260"/>
      <c r="G415" s="260"/>
      <c r="H415" s="260"/>
      <c r="I415" s="260"/>
      <c r="J415" s="260"/>
      <c r="K415" s="260"/>
    </row>
    <row r="416" ht="15.75" customHeight="1">
      <c r="D416" s="258"/>
      <c r="E416" s="260"/>
      <c r="F416" s="260"/>
      <c r="G416" s="260"/>
      <c r="H416" s="260"/>
      <c r="I416" s="260"/>
      <c r="J416" s="260"/>
      <c r="K416" s="260"/>
    </row>
    <row r="417" ht="15.75" customHeight="1">
      <c r="D417" s="258"/>
      <c r="E417" s="260"/>
      <c r="F417" s="260"/>
      <c r="G417" s="260"/>
      <c r="H417" s="260"/>
      <c r="I417" s="260"/>
      <c r="J417" s="260"/>
      <c r="K417" s="260"/>
    </row>
    <row r="418" ht="15.75" customHeight="1">
      <c r="D418" s="258"/>
      <c r="E418" s="260"/>
      <c r="F418" s="260"/>
      <c r="G418" s="260"/>
      <c r="H418" s="260"/>
      <c r="I418" s="260"/>
      <c r="J418" s="260"/>
      <c r="K418" s="260"/>
    </row>
    <row r="419" ht="15.75" customHeight="1">
      <c r="D419" s="258"/>
      <c r="E419" s="260"/>
      <c r="F419" s="260"/>
      <c r="G419" s="260"/>
      <c r="H419" s="260"/>
      <c r="I419" s="260"/>
      <c r="J419" s="260"/>
      <c r="K419" s="260"/>
    </row>
    <row r="420" ht="15.75" customHeight="1">
      <c r="D420" s="258"/>
      <c r="E420" s="260"/>
      <c r="F420" s="260"/>
      <c r="G420" s="260"/>
      <c r="H420" s="260"/>
      <c r="I420" s="260"/>
      <c r="J420" s="260"/>
      <c r="K420" s="260"/>
    </row>
    <row r="421" ht="15.75" customHeight="1">
      <c r="D421" s="258"/>
      <c r="E421" s="260"/>
      <c r="F421" s="260"/>
      <c r="G421" s="260"/>
      <c r="H421" s="260"/>
      <c r="I421" s="260"/>
      <c r="J421" s="260"/>
      <c r="K421" s="260"/>
    </row>
    <row r="422" ht="15.75" customHeight="1">
      <c r="D422" s="258"/>
      <c r="E422" s="260"/>
      <c r="F422" s="260"/>
      <c r="G422" s="260"/>
      <c r="H422" s="260"/>
      <c r="I422" s="260"/>
      <c r="J422" s="260"/>
      <c r="K422" s="260"/>
    </row>
    <row r="423" ht="15.75" customHeight="1">
      <c r="D423" s="258"/>
      <c r="E423" s="260"/>
      <c r="F423" s="260"/>
      <c r="G423" s="260"/>
      <c r="H423" s="260"/>
      <c r="I423" s="260"/>
      <c r="J423" s="260"/>
      <c r="K423" s="260"/>
    </row>
    <row r="424" ht="15.75" customHeight="1">
      <c r="D424" s="258"/>
      <c r="E424" s="260"/>
      <c r="F424" s="260"/>
      <c r="G424" s="260"/>
      <c r="H424" s="260"/>
      <c r="I424" s="260"/>
      <c r="J424" s="260"/>
      <c r="K424" s="260"/>
    </row>
    <row r="425" ht="15.75" customHeight="1">
      <c r="D425" s="258"/>
      <c r="E425" s="260"/>
      <c r="F425" s="260"/>
      <c r="G425" s="260"/>
      <c r="H425" s="260"/>
      <c r="I425" s="260"/>
      <c r="J425" s="260"/>
      <c r="K425" s="260"/>
    </row>
    <row r="426" ht="15.75" customHeight="1">
      <c r="D426" s="258"/>
      <c r="E426" s="260"/>
      <c r="F426" s="260"/>
      <c r="G426" s="260"/>
      <c r="H426" s="260"/>
      <c r="I426" s="260"/>
      <c r="J426" s="260"/>
      <c r="K426" s="260"/>
    </row>
    <row r="427" ht="15.75" customHeight="1">
      <c r="D427" s="258"/>
      <c r="E427" s="260"/>
      <c r="F427" s="260"/>
      <c r="G427" s="260"/>
      <c r="H427" s="260"/>
      <c r="I427" s="260"/>
      <c r="J427" s="260"/>
      <c r="K427" s="260"/>
    </row>
    <row r="428" ht="15.75" customHeight="1">
      <c r="D428" s="258"/>
      <c r="E428" s="260"/>
      <c r="F428" s="260"/>
      <c r="G428" s="260"/>
      <c r="H428" s="260"/>
      <c r="I428" s="260"/>
      <c r="J428" s="260"/>
      <c r="K428" s="260"/>
    </row>
    <row r="429" ht="15.75" customHeight="1">
      <c r="D429" s="258"/>
      <c r="E429" s="260"/>
      <c r="F429" s="260"/>
      <c r="G429" s="260"/>
      <c r="H429" s="260"/>
      <c r="I429" s="260"/>
      <c r="J429" s="260"/>
      <c r="K429" s="260"/>
    </row>
    <row r="430" ht="15.75" customHeight="1">
      <c r="D430" s="258"/>
      <c r="E430" s="260"/>
      <c r="F430" s="260"/>
      <c r="G430" s="260"/>
      <c r="H430" s="260"/>
      <c r="I430" s="260"/>
      <c r="J430" s="260"/>
      <c r="K430" s="260"/>
    </row>
    <row r="431" ht="15.75" customHeight="1">
      <c r="D431" s="258"/>
      <c r="E431" s="260"/>
      <c r="F431" s="260"/>
      <c r="G431" s="260"/>
      <c r="H431" s="260"/>
      <c r="I431" s="260"/>
      <c r="J431" s="260"/>
      <c r="K431" s="260"/>
    </row>
    <row r="432" ht="15.75" customHeight="1">
      <c r="D432" s="258"/>
      <c r="E432" s="260"/>
      <c r="F432" s="260"/>
      <c r="G432" s="260"/>
      <c r="H432" s="260"/>
      <c r="I432" s="260"/>
      <c r="J432" s="260"/>
      <c r="K432" s="260"/>
    </row>
    <row r="433" ht="15.75" customHeight="1">
      <c r="D433" s="258"/>
      <c r="E433" s="260"/>
      <c r="F433" s="260"/>
      <c r="G433" s="260"/>
      <c r="H433" s="260"/>
      <c r="I433" s="260"/>
      <c r="J433" s="260"/>
      <c r="K433" s="260"/>
    </row>
    <row r="434" ht="15.75" customHeight="1">
      <c r="D434" s="258"/>
      <c r="E434" s="260"/>
      <c r="F434" s="260"/>
      <c r="G434" s="260"/>
      <c r="H434" s="260"/>
      <c r="I434" s="260"/>
      <c r="J434" s="260"/>
      <c r="K434" s="260"/>
    </row>
    <row r="435" ht="15.75" customHeight="1">
      <c r="D435" s="258"/>
      <c r="E435" s="260"/>
      <c r="F435" s="260"/>
      <c r="G435" s="260"/>
      <c r="H435" s="260"/>
      <c r="I435" s="260"/>
      <c r="J435" s="260"/>
      <c r="K435" s="260"/>
    </row>
    <row r="436" ht="15.75" customHeight="1">
      <c r="D436" s="258"/>
      <c r="E436" s="260"/>
      <c r="F436" s="260"/>
      <c r="G436" s="260"/>
      <c r="H436" s="260"/>
      <c r="I436" s="260"/>
      <c r="J436" s="260"/>
      <c r="K436" s="260"/>
    </row>
    <row r="437" ht="15.75" customHeight="1">
      <c r="D437" s="258"/>
      <c r="E437" s="260"/>
      <c r="F437" s="260"/>
      <c r="G437" s="260"/>
      <c r="H437" s="260"/>
      <c r="I437" s="260"/>
      <c r="J437" s="260"/>
      <c r="K437" s="260"/>
    </row>
    <row r="438" ht="15.75" customHeight="1">
      <c r="D438" s="258"/>
      <c r="E438" s="260"/>
      <c r="F438" s="260"/>
      <c r="G438" s="260"/>
      <c r="H438" s="260"/>
      <c r="I438" s="260"/>
      <c r="J438" s="260"/>
      <c r="K438" s="260"/>
    </row>
    <row r="439" ht="15.75" customHeight="1">
      <c r="D439" s="258"/>
      <c r="E439" s="260"/>
      <c r="F439" s="260"/>
      <c r="G439" s="260"/>
      <c r="H439" s="260"/>
      <c r="I439" s="260"/>
      <c r="J439" s="260"/>
      <c r="K439" s="260"/>
    </row>
    <row r="440" ht="15.75" customHeight="1">
      <c r="D440" s="258"/>
      <c r="E440" s="260"/>
      <c r="F440" s="260"/>
      <c r="G440" s="260"/>
      <c r="H440" s="260"/>
      <c r="I440" s="260"/>
      <c r="J440" s="260"/>
      <c r="K440" s="260"/>
    </row>
    <row r="441" ht="15.75" customHeight="1">
      <c r="D441" s="258"/>
      <c r="E441" s="260"/>
      <c r="F441" s="260"/>
      <c r="G441" s="260"/>
      <c r="H441" s="260"/>
      <c r="I441" s="260"/>
      <c r="J441" s="260"/>
      <c r="K441" s="260"/>
    </row>
    <row r="442" ht="15.75" customHeight="1">
      <c r="D442" s="258"/>
      <c r="E442" s="260"/>
      <c r="F442" s="260"/>
      <c r="G442" s="260"/>
      <c r="H442" s="260"/>
      <c r="I442" s="260"/>
      <c r="J442" s="260"/>
      <c r="K442" s="260"/>
    </row>
    <row r="443" ht="15.75" customHeight="1">
      <c r="D443" s="258"/>
      <c r="E443" s="260"/>
      <c r="F443" s="260"/>
      <c r="G443" s="260"/>
      <c r="H443" s="260"/>
      <c r="I443" s="260"/>
      <c r="J443" s="260"/>
      <c r="K443" s="260"/>
    </row>
    <row r="444" ht="15.75" customHeight="1">
      <c r="D444" s="258"/>
      <c r="E444" s="260"/>
      <c r="F444" s="260"/>
      <c r="G444" s="260"/>
      <c r="H444" s="260"/>
      <c r="I444" s="260"/>
      <c r="J444" s="260"/>
      <c r="K444" s="260"/>
    </row>
    <row r="445" ht="15.75" customHeight="1">
      <c r="D445" s="258"/>
      <c r="E445" s="260"/>
      <c r="F445" s="260"/>
      <c r="G445" s="260"/>
      <c r="H445" s="260"/>
      <c r="I445" s="260"/>
      <c r="J445" s="260"/>
      <c r="K445" s="260"/>
    </row>
    <row r="446" ht="15.75" customHeight="1">
      <c r="D446" s="258"/>
      <c r="E446" s="260"/>
      <c r="F446" s="260"/>
      <c r="G446" s="260"/>
      <c r="H446" s="260"/>
      <c r="I446" s="260"/>
      <c r="J446" s="260"/>
      <c r="K446" s="260"/>
    </row>
    <row r="447" ht="15.75" customHeight="1">
      <c r="D447" s="258"/>
      <c r="E447" s="260"/>
      <c r="F447" s="260"/>
      <c r="G447" s="260"/>
      <c r="H447" s="260"/>
      <c r="I447" s="260"/>
      <c r="J447" s="260"/>
      <c r="K447" s="260"/>
    </row>
    <row r="448" ht="15.75" customHeight="1">
      <c r="D448" s="258"/>
      <c r="E448" s="260"/>
      <c r="F448" s="260"/>
      <c r="G448" s="260"/>
      <c r="H448" s="260"/>
      <c r="I448" s="260"/>
      <c r="J448" s="260"/>
      <c r="K448" s="260"/>
    </row>
    <row r="449" ht="15.75" customHeight="1">
      <c r="D449" s="258"/>
      <c r="E449" s="260"/>
      <c r="F449" s="260"/>
      <c r="G449" s="260"/>
      <c r="H449" s="260"/>
      <c r="I449" s="260"/>
      <c r="J449" s="260"/>
      <c r="K449" s="260"/>
    </row>
    <row r="450" ht="15.75" customHeight="1">
      <c r="D450" s="258"/>
      <c r="E450" s="260"/>
      <c r="F450" s="260"/>
      <c r="G450" s="260"/>
      <c r="H450" s="260"/>
      <c r="I450" s="260"/>
      <c r="J450" s="260"/>
      <c r="K450" s="260"/>
    </row>
    <row r="451" ht="15.75" customHeight="1">
      <c r="D451" s="258"/>
      <c r="E451" s="260"/>
      <c r="F451" s="260"/>
      <c r="G451" s="260"/>
      <c r="H451" s="260"/>
      <c r="I451" s="260"/>
      <c r="J451" s="260"/>
      <c r="K451" s="260"/>
    </row>
    <row r="452" ht="15.75" customHeight="1">
      <c r="D452" s="258"/>
      <c r="E452" s="260"/>
      <c r="F452" s="260"/>
      <c r="G452" s="260"/>
      <c r="H452" s="260"/>
      <c r="I452" s="260"/>
      <c r="J452" s="260"/>
      <c r="K452" s="260"/>
    </row>
    <row r="453" ht="15.75" customHeight="1">
      <c r="D453" s="258"/>
      <c r="E453" s="260"/>
      <c r="F453" s="260"/>
      <c r="G453" s="260"/>
      <c r="H453" s="260"/>
      <c r="I453" s="260"/>
      <c r="J453" s="260"/>
      <c r="K453" s="260"/>
    </row>
    <row r="454" ht="15.75" customHeight="1">
      <c r="D454" s="258"/>
      <c r="E454" s="260"/>
      <c r="F454" s="260"/>
      <c r="G454" s="260"/>
      <c r="H454" s="260"/>
      <c r="I454" s="260"/>
      <c r="J454" s="260"/>
      <c r="K454" s="260"/>
    </row>
    <row r="455" ht="15.75" customHeight="1">
      <c r="D455" s="258"/>
      <c r="E455" s="260"/>
      <c r="F455" s="260"/>
      <c r="G455" s="260"/>
      <c r="H455" s="260"/>
      <c r="I455" s="260"/>
      <c r="J455" s="260"/>
      <c r="K455" s="260"/>
    </row>
    <row r="456" ht="15.75" customHeight="1">
      <c r="D456" s="258"/>
      <c r="E456" s="260"/>
      <c r="F456" s="260"/>
      <c r="G456" s="260"/>
      <c r="H456" s="260"/>
      <c r="I456" s="260"/>
      <c r="J456" s="260"/>
      <c r="K456" s="260"/>
    </row>
    <row r="457" ht="15.75" customHeight="1">
      <c r="D457" s="258"/>
      <c r="E457" s="260"/>
      <c r="F457" s="260"/>
      <c r="G457" s="260"/>
      <c r="H457" s="260"/>
      <c r="I457" s="260"/>
      <c r="J457" s="260"/>
      <c r="K457" s="260"/>
    </row>
    <row r="458" ht="15.75" customHeight="1">
      <c r="D458" s="258"/>
      <c r="E458" s="260"/>
      <c r="F458" s="260"/>
      <c r="G458" s="260"/>
      <c r="H458" s="260"/>
      <c r="I458" s="260"/>
      <c r="J458" s="260"/>
      <c r="K458" s="260"/>
    </row>
    <row r="459" ht="15.75" customHeight="1">
      <c r="D459" s="258"/>
      <c r="E459" s="260"/>
      <c r="F459" s="260"/>
      <c r="G459" s="260"/>
      <c r="H459" s="260"/>
      <c r="I459" s="260"/>
      <c r="J459" s="260"/>
      <c r="K459" s="260"/>
    </row>
    <row r="460" ht="15.75" customHeight="1">
      <c r="D460" s="258"/>
      <c r="E460" s="260"/>
      <c r="F460" s="260"/>
      <c r="G460" s="260"/>
      <c r="H460" s="260"/>
      <c r="I460" s="260"/>
      <c r="J460" s="260"/>
      <c r="K460" s="260"/>
    </row>
    <row r="461" ht="15.75" customHeight="1">
      <c r="D461" s="258"/>
      <c r="E461" s="260"/>
      <c r="F461" s="260"/>
      <c r="G461" s="260"/>
      <c r="H461" s="260"/>
      <c r="I461" s="260"/>
      <c r="J461" s="260"/>
      <c r="K461" s="260"/>
    </row>
    <row r="462" ht="15.75" customHeight="1">
      <c r="D462" s="258"/>
      <c r="E462" s="260"/>
      <c r="F462" s="260"/>
      <c r="G462" s="260"/>
      <c r="H462" s="260"/>
      <c r="I462" s="260"/>
      <c r="J462" s="260"/>
      <c r="K462" s="260"/>
    </row>
    <row r="463" ht="15.75" customHeight="1">
      <c r="D463" s="258"/>
      <c r="E463" s="260"/>
      <c r="F463" s="260"/>
      <c r="G463" s="260"/>
      <c r="H463" s="260"/>
      <c r="I463" s="260"/>
      <c r="J463" s="260"/>
      <c r="K463" s="260"/>
    </row>
    <row r="464" ht="15.75" customHeight="1">
      <c r="D464" s="258"/>
      <c r="E464" s="260"/>
      <c r="F464" s="260"/>
      <c r="G464" s="260"/>
      <c r="H464" s="260"/>
      <c r="I464" s="260"/>
      <c r="J464" s="260"/>
      <c r="K464" s="260"/>
    </row>
    <row r="465" ht="15.75" customHeight="1">
      <c r="D465" s="258"/>
      <c r="E465" s="260"/>
      <c r="F465" s="260"/>
      <c r="G465" s="260"/>
      <c r="H465" s="260"/>
      <c r="I465" s="260"/>
      <c r="J465" s="260"/>
      <c r="K465" s="260"/>
    </row>
    <row r="466" ht="15.75" customHeight="1">
      <c r="D466" s="258"/>
      <c r="E466" s="260"/>
      <c r="F466" s="260"/>
      <c r="G466" s="260"/>
      <c r="H466" s="260"/>
      <c r="I466" s="260"/>
      <c r="J466" s="260"/>
      <c r="K466" s="260"/>
    </row>
    <row r="467" ht="15.75" customHeight="1">
      <c r="D467" s="258"/>
      <c r="E467" s="260"/>
      <c r="F467" s="260"/>
      <c r="G467" s="260"/>
      <c r="H467" s="260"/>
      <c r="I467" s="260"/>
      <c r="J467" s="260"/>
      <c r="K467" s="260"/>
    </row>
    <row r="468" ht="15.75" customHeight="1">
      <c r="D468" s="258"/>
      <c r="E468" s="260"/>
      <c r="F468" s="260"/>
      <c r="G468" s="260"/>
      <c r="H468" s="260"/>
      <c r="I468" s="260"/>
      <c r="J468" s="260"/>
      <c r="K468" s="260"/>
    </row>
    <row r="469" ht="15.75" customHeight="1">
      <c r="D469" s="258"/>
      <c r="E469" s="260"/>
      <c r="F469" s="260"/>
      <c r="G469" s="260"/>
      <c r="H469" s="260"/>
      <c r="I469" s="260"/>
      <c r="J469" s="260"/>
      <c r="K469" s="260"/>
    </row>
    <row r="470" ht="15.75" customHeight="1">
      <c r="D470" s="258"/>
      <c r="E470" s="260"/>
      <c r="F470" s="260"/>
      <c r="G470" s="260"/>
      <c r="H470" s="260"/>
      <c r="I470" s="260"/>
      <c r="J470" s="260"/>
      <c r="K470" s="260"/>
    </row>
    <row r="471" ht="15.75" customHeight="1">
      <c r="D471" s="258"/>
      <c r="E471" s="260"/>
      <c r="F471" s="260"/>
      <c r="G471" s="260"/>
      <c r="H471" s="260"/>
      <c r="I471" s="260"/>
      <c r="J471" s="260"/>
      <c r="K471" s="260"/>
    </row>
    <row r="472" ht="15.75" customHeight="1">
      <c r="D472" s="258"/>
      <c r="E472" s="260"/>
      <c r="F472" s="260"/>
      <c r="G472" s="260"/>
      <c r="H472" s="260"/>
      <c r="I472" s="260"/>
      <c r="J472" s="260"/>
      <c r="K472" s="260"/>
    </row>
    <row r="473" ht="15.75" customHeight="1">
      <c r="D473" s="258"/>
      <c r="E473" s="260"/>
      <c r="F473" s="260"/>
      <c r="G473" s="260"/>
      <c r="H473" s="260"/>
      <c r="I473" s="260"/>
      <c r="J473" s="260"/>
      <c r="K473" s="260"/>
    </row>
    <row r="474" ht="15.75" customHeight="1">
      <c r="D474" s="258"/>
      <c r="E474" s="260"/>
      <c r="F474" s="260"/>
      <c r="G474" s="260"/>
      <c r="H474" s="260"/>
      <c r="I474" s="260"/>
      <c r="J474" s="260"/>
      <c r="K474" s="260"/>
    </row>
    <row r="475" ht="15.75" customHeight="1">
      <c r="D475" s="258"/>
      <c r="E475" s="260"/>
      <c r="F475" s="260"/>
      <c r="G475" s="260"/>
      <c r="H475" s="260"/>
      <c r="I475" s="260"/>
      <c r="J475" s="260"/>
      <c r="K475" s="260"/>
    </row>
    <row r="476" ht="15.75" customHeight="1">
      <c r="D476" s="258"/>
      <c r="E476" s="260"/>
      <c r="F476" s="260"/>
      <c r="G476" s="260"/>
      <c r="H476" s="260"/>
      <c r="I476" s="260"/>
      <c r="J476" s="260"/>
      <c r="K476" s="260"/>
    </row>
    <row r="477" ht="15.75" customHeight="1">
      <c r="D477" s="258"/>
      <c r="E477" s="260"/>
      <c r="F477" s="260"/>
      <c r="G477" s="260"/>
      <c r="H477" s="260"/>
      <c r="I477" s="260"/>
      <c r="J477" s="260"/>
      <c r="K477" s="260"/>
    </row>
    <row r="478" ht="15.75" customHeight="1">
      <c r="D478" s="258"/>
      <c r="E478" s="260"/>
      <c r="F478" s="260"/>
      <c r="G478" s="260"/>
      <c r="H478" s="260"/>
      <c r="I478" s="260"/>
      <c r="J478" s="260"/>
      <c r="K478" s="260"/>
    </row>
    <row r="479" ht="15.75" customHeight="1">
      <c r="D479" s="258"/>
      <c r="E479" s="260"/>
      <c r="F479" s="260"/>
      <c r="G479" s="260"/>
      <c r="H479" s="260"/>
      <c r="I479" s="260"/>
      <c r="J479" s="260"/>
      <c r="K479" s="260"/>
    </row>
    <row r="480" ht="15.75" customHeight="1">
      <c r="D480" s="258"/>
      <c r="E480" s="260"/>
      <c r="F480" s="260"/>
      <c r="G480" s="260"/>
      <c r="H480" s="260"/>
      <c r="I480" s="260"/>
      <c r="J480" s="260"/>
      <c r="K480" s="260"/>
    </row>
    <row r="481" ht="15.75" customHeight="1">
      <c r="D481" s="258"/>
      <c r="E481" s="260"/>
      <c r="F481" s="260"/>
      <c r="G481" s="260"/>
      <c r="H481" s="260"/>
      <c r="I481" s="260"/>
      <c r="J481" s="260"/>
      <c r="K481" s="260"/>
    </row>
    <row r="482" ht="15.75" customHeight="1">
      <c r="D482" s="258"/>
      <c r="E482" s="260"/>
      <c r="F482" s="260"/>
      <c r="G482" s="260"/>
      <c r="H482" s="260"/>
      <c r="I482" s="260"/>
      <c r="J482" s="260"/>
      <c r="K482" s="260"/>
    </row>
    <row r="483" ht="15.75" customHeight="1">
      <c r="D483" s="258"/>
      <c r="E483" s="260"/>
      <c r="F483" s="260"/>
      <c r="G483" s="260"/>
      <c r="H483" s="260"/>
      <c r="I483" s="260"/>
      <c r="J483" s="260"/>
      <c r="K483" s="260"/>
    </row>
    <row r="484" ht="15.75" customHeight="1">
      <c r="D484" s="258"/>
      <c r="E484" s="260"/>
      <c r="F484" s="260"/>
      <c r="G484" s="260"/>
      <c r="H484" s="260"/>
      <c r="I484" s="260"/>
      <c r="J484" s="260"/>
      <c r="K484" s="260"/>
    </row>
    <row r="485" ht="15.75" customHeight="1">
      <c r="D485" s="258"/>
      <c r="E485" s="260"/>
      <c r="F485" s="260"/>
      <c r="G485" s="260"/>
      <c r="H485" s="260"/>
      <c r="I485" s="260"/>
      <c r="J485" s="260"/>
      <c r="K485" s="260"/>
    </row>
    <row r="486" ht="15.75" customHeight="1">
      <c r="D486" s="258"/>
      <c r="E486" s="260"/>
      <c r="F486" s="260"/>
      <c r="G486" s="260"/>
      <c r="H486" s="260"/>
      <c r="I486" s="260"/>
      <c r="J486" s="260"/>
      <c r="K486" s="260"/>
    </row>
    <row r="487" ht="15.75" customHeight="1">
      <c r="D487" s="258"/>
      <c r="E487" s="260"/>
      <c r="F487" s="260"/>
      <c r="G487" s="260"/>
      <c r="H487" s="260"/>
      <c r="I487" s="260"/>
      <c r="J487" s="260"/>
      <c r="K487" s="260"/>
    </row>
    <row r="488" ht="15.75" customHeight="1">
      <c r="D488" s="258"/>
      <c r="E488" s="260"/>
      <c r="F488" s="260"/>
      <c r="G488" s="260"/>
      <c r="H488" s="260"/>
      <c r="I488" s="260"/>
      <c r="J488" s="260"/>
      <c r="K488" s="260"/>
    </row>
    <row r="489" ht="15.75" customHeight="1">
      <c r="D489" s="258"/>
      <c r="E489" s="260"/>
      <c r="F489" s="260"/>
      <c r="G489" s="260"/>
      <c r="H489" s="260"/>
      <c r="I489" s="260"/>
      <c r="J489" s="260"/>
      <c r="K489" s="260"/>
    </row>
    <row r="490" ht="15.75" customHeight="1">
      <c r="D490" s="258"/>
      <c r="E490" s="260"/>
      <c r="F490" s="260"/>
      <c r="G490" s="260"/>
      <c r="H490" s="260"/>
      <c r="I490" s="260"/>
      <c r="J490" s="260"/>
      <c r="K490" s="260"/>
    </row>
    <row r="491" ht="15.75" customHeight="1">
      <c r="D491" s="258"/>
      <c r="E491" s="260"/>
      <c r="F491" s="260"/>
      <c r="G491" s="260"/>
      <c r="H491" s="260"/>
      <c r="I491" s="260"/>
      <c r="J491" s="260"/>
      <c r="K491" s="260"/>
    </row>
    <row r="492" ht="15.75" customHeight="1">
      <c r="D492" s="258"/>
      <c r="E492" s="260"/>
      <c r="F492" s="260"/>
      <c r="G492" s="260"/>
      <c r="H492" s="260"/>
      <c r="I492" s="260"/>
      <c r="J492" s="260"/>
      <c r="K492" s="260"/>
    </row>
    <row r="493" ht="15.75" customHeight="1">
      <c r="D493" s="258"/>
      <c r="E493" s="260"/>
      <c r="F493" s="260"/>
      <c r="G493" s="260"/>
      <c r="H493" s="260"/>
      <c r="I493" s="260"/>
      <c r="J493" s="260"/>
      <c r="K493" s="260"/>
    </row>
    <row r="494" ht="15.75" customHeight="1">
      <c r="D494" s="258"/>
      <c r="E494" s="260"/>
      <c r="F494" s="260"/>
      <c r="G494" s="260"/>
      <c r="H494" s="260"/>
      <c r="I494" s="260"/>
      <c r="J494" s="260"/>
      <c r="K494" s="260"/>
    </row>
    <row r="495" ht="15.75" customHeight="1">
      <c r="D495" s="258"/>
      <c r="E495" s="260"/>
      <c r="F495" s="260"/>
      <c r="G495" s="260"/>
      <c r="H495" s="260"/>
      <c r="I495" s="260"/>
      <c r="J495" s="260"/>
      <c r="K495" s="260"/>
    </row>
    <row r="496" ht="15.75" customHeight="1">
      <c r="D496" s="258"/>
      <c r="E496" s="260"/>
      <c r="F496" s="260"/>
      <c r="G496" s="260"/>
      <c r="H496" s="260"/>
      <c r="I496" s="260"/>
      <c r="J496" s="260"/>
      <c r="K496" s="260"/>
    </row>
    <row r="497" ht="15.75" customHeight="1">
      <c r="D497" s="258"/>
      <c r="E497" s="260"/>
      <c r="F497" s="260"/>
      <c r="G497" s="260"/>
      <c r="H497" s="260"/>
      <c r="I497" s="260"/>
      <c r="J497" s="260"/>
      <c r="K497" s="260"/>
    </row>
    <row r="498" ht="15.75" customHeight="1">
      <c r="D498" s="258"/>
      <c r="E498" s="260"/>
      <c r="F498" s="260"/>
      <c r="G498" s="260"/>
      <c r="H498" s="260"/>
      <c r="I498" s="260"/>
      <c r="J498" s="260"/>
      <c r="K498" s="260"/>
    </row>
    <row r="499" ht="15.75" customHeight="1">
      <c r="D499" s="258"/>
      <c r="E499" s="260"/>
      <c r="F499" s="260"/>
      <c r="G499" s="260"/>
      <c r="H499" s="260"/>
      <c r="I499" s="260"/>
      <c r="J499" s="260"/>
      <c r="K499" s="260"/>
    </row>
    <row r="500" ht="15.75" customHeight="1">
      <c r="D500" s="258"/>
      <c r="E500" s="260"/>
      <c r="F500" s="260"/>
      <c r="G500" s="260"/>
      <c r="H500" s="260"/>
      <c r="I500" s="260"/>
      <c r="J500" s="260"/>
      <c r="K500" s="260"/>
    </row>
    <row r="501" ht="15.75" customHeight="1">
      <c r="D501" s="258"/>
      <c r="E501" s="260"/>
      <c r="F501" s="260"/>
      <c r="G501" s="260"/>
      <c r="H501" s="260"/>
      <c r="I501" s="260"/>
      <c r="J501" s="260"/>
      <c r="K501" s="260"/>
    </row>
    <row r="502" ht="15.75" customHeight="1">
      <c r="D502" s="258"/>
      <c r="E502" s="260"/>
      <c r="F502" s="260"/>
      <c r="G502" s="260"/>
      <c r="H502" s="260"/>
      <c r="I502" s="260"/>
      <c r="J502" s="260"/>
      <c r="K502" s="260"/>
    </row>
    <row r="503" ht="15.75" customHeight="1">
      <c r="D503" s="258"/>
      <c r="E503" s="260"/>
      <c r="F503" s="260"/>
      <c r="G503" s="260"/>
      <c r="H503" s="260"/>
      <c r="I503" s="260"/>
      <c r="J503" s="260"/>
      <c r="K503" s="260"/>
    </row>
    <row r="504" ht="15.75" customHeight="1">
      <c r="D504" s="258"/>
      <c r="E504" s="260"/>
      <c r="F504" s="260"/>
      <c r="G504" s="260"/>
      <c r="H504" s="260"/>
      <c r="I504" s="260"/>
      <c r="J504" s="260"/>
      <c r="K504" s="260"/>
    </row>
    <row r="505" ht="15.75" customHeight="1">
      <c r="D505" s="258"/>
      <c r="E505" s="260"/>
      <c r="F505" s="260"/>
      <c r="G505" s="260"/>
      <c r="H505" s="260"/>
      <c r="I505" s="260"/>
      <c r="J505" s="260"/>
      <c r="K505" s="260"/>
    </row>
    <row r="506" ht="15.75" customHeight="1">
      <c r="D506" s="258"/>
      <c r="E506" s="260"/>
      <c r="F506" s="260"/>
      <c r="G506" s="260"/>
      <c r="H506" s="260"/>
      <c r="I506" s="260"/>
      <c r="J506" s="260"/>
      <c r="K506" s="260"/>
    </row>
    <row r="507" ht="15.75" customHeight="1">
      <c r="D507" s="258"/>
      <c r="E507" s="260"/>
      <c r="F507" s="260"/>
      <c r="G507" s="260"/>
      <c r="H507" s="260"/>
      <c r="I507" s="260"/>
      <c r="J507" s="260"/>
      <c r="K507" s="260"/>
    </row>
    <row r="508" ht="15.75" customHeight="1">
      <c r="D508" s="258"/>
      <c r="E508" s="260"/>
      <c r="F508" s="260"/>
      <c r="G508" s="260"/>
      <c r="H508" s="260"/>
      <c r="I508" s="260"/>
      <c r="J508" s="260"/>
      <c r="K508" s="260"/>
    </row>
    <row r="509" ht="15.75" customHeight="1">
      <c r="D509" s="258"/>
      <c r="E509" s="260"/>
      <c r="F509" s="260"/>
      <c r="G509" s="260"/>
      <c r="H509" s="260"/>
      <c r="I509" s="260"/>
      <c r="J509" s="260"/>
      <c r="K509" s="260"/>
    </row>
    <row r="510" ht="15.75" customHeight="1">
      <c r="D510" s="258"/>
      <c r="E510" s="260"/>
      <c r="F510" s="260"/>
      <c r="G510" s="260"/>
      <c r="H510" s="260"/>
      <c r="I510" s="260"/>
      <c r="J510" s="260"/>
      <c r="K510" s="260"/>
    </row>
    <row r="511" ht="15.75" customHeight="1">
      <c r="D511" s="258"/>
      <c r="E511" s="260"/>
      <c r="F511" s="260"/>
      <c r="G511" s="260"/>
      <c r="H511" s="260"/>
      <c r="I511" s="260"/>
      <c r="J511" s="260"/>
      <c r="K511" s="260"/>
    </row>
    <row r="512" ht="15.75" customHeight="1">
      <c r="D512" s="258"/>
      <c r="E512" s="260"/>
      <c r="F512" s="260"/>
      <c r="G512" s="260"/>
      <c r="H512" s="260"/>
      <c r="I512" s="260"/>
      <c r="J512" s="260"/>
      <c r="K512" s="260"/>
    </row>
    <row r="513" ht="15.75" customHeight="1">
      <c r="D513" s="258"/>
      <c r="E513" s="260"/>
      <c r="F513" s="260"/>
      <c r="G513" s="260"/>
      <c r="H513" s="260"/>
      <c r="I513" s="260"/>
      <c r="J513" s="260"/>
      <c r="K513" s="260"/>
    </row>
    <row r="514" ht="15.75" customHeight="1">
      <c r="D514" s="258"/>
      <c r="E514" s="260"/>
      <c r="F514" s="260"/>
      <c r="G514" s="260"/>
      <c r="H514" s="260"/>
      <c r="I514" s="260"/>
      <c r="J514" s="260"/>
      <c r="K514" s="260"/>
    </row>
    <row r="515" ht="15.75" customHeight="1">
      <c r="D515" s="258"/>
      <c r="E515" s="260"/>
      <c r="F515" s="260"/>
      <c r="G515" s="260"/>
      <c r="H515" s="260"/>
      <c r="I515" s="260"/>
      <c r="J515" s="260"/>
      <c r="K515" s="260"/>
    </row>
    <row r="516" ht="15.75" customHeight="1">
      <c r="D516" s="258"/>
      <c r="E516" s="260"/>
      <c r="F516" s="260"/>
      <c r="G516" s="260"/>
      <c r="H516" s="260"/>
      <c r="I516" s="260"/>
      <c r="J516" s="260"/>
      <c r="K516" s="260"/>
    </row>
    <row r="517" ht="15.75" customHeight="1">
      <c r="D517" s="258"/>
      <c r="E517" s="260"/>
      <c r="F517" s="260"/>
      <c r="G517" s="260"/>
      <c r="H517" s="260"/>
      <c r="I517" s="260"/>
      <c r="J517" s="260"/>
      <c r="K517" s="260"/>
    </row>
    <row r="518" ht="15.75" customHeight="1">
      <c r="D518" s="258"/>
      <c r="E518" s="260"/>
      <c r="F518" s="260"/>
      <c r="G518" s="260"/>
      <c r="H518" s="260"/>
      <c r="I518" s="260"/>
      <c r="J518" s="260"/>
      <c r="K518" s="260"/>
    </row>
    <row r="519" ht="15.75" customHeight="1">
      <c r="D519" s="258"/>
      <c r="E519" s="260"/>
      <c r="F519" s="260"/>
      <c r="G519" s="260"/>
      <c r="H519" s="260"/>
      <c r="I519" s="260"/>
      <c r="J519" s="260"/>
      <c r="K519" s="260"/>
    </row>
    <row r="520" ht="15.75" customHeight="1">
      <c r="D520" s="258"/>
      <c r="E520" s="260"/>
      <c r="F520" s="260"/>
      <c r="G520" s="260"/>
      <c r="H520" s="260"/>
      <c r="I520" s="260"/>
      <c r="J520" s="260"/>
      <c r="K520" s="260"/>
    </row>
    <row r="521" ht="15.75" customHeight="1">
      <c r="D521" s="258"/>
      <c r="E521" s="260"/>
      <c r="F521" s="260"/>
      <c r="G521" s="260"/>
      <c r="H521" s="260"/>
      <c r="I521" s="260"/>
      <c r="J521" s="260"/>
      <c r="K521" s="260"/>
    </row>
    <row r="522" ht="15.75" customHeight="1">
      <c r="D522" s="258"/>
      <c r="E522" s="260"/>
      <c r="F522" s="260"/>
      <c r="G522" s="260"/>
      <c r="H522" s="260"/>
      <c r="I522" s="260"/>
      <c r="J522" s="260"/>
      <c r="K522" s="260"/>
    </row>
    <row r="523" ht="15.75" customHeight="1">
      <c r="D523" s="258"/>
      <c r="E523" s="260"/>
      <c r="F523" s="260"/>
      <c r="G523" s="260"/>
      <c r="H523" s="260"/>
      <c r="I523" s="260"/>
      <c r="J523" s="260"/>
      <c r="K523" s="260"/>
    </row>
    <row r="524" ht="15.75" customHeight="1">
      <c r="D524" s="258"/>
      <c r="E524" s="260"/>
      <c r="F524" s="260"/>
      <c r="G524" s="260"/>
      <c r="H524" s="260"/>
      <c r="I524" s="260"/>
      <c r="J524" s="260"/>
      <c r="K524" s="260"/>
    </row>
    <row r="525" ht="15.75" customHeight="1">
      <c r="D525" s="258"/>
      <c r="E525" s="260"/>
      <c r="F525" s="260"/>
      <c r="G525" s="260"/>
      <c r="H525" s="260"/>
      <c r="I525" s="260"/>
      <c r="J525" s="260"/>
      <c r="K525" s="260"/>
    </row>
    <row r="526" ht="15.75" customHeight="1">
      <c r="D526" s="258"/>
      <c r="E526" s="260"/>
      <c r="F526" s="260"/>
      <c r="G526" s="260"/>
      <c r="H526" s="260"/>
      <c r="I526" s="260"/>
      <c r="J526" s="260"/>
      <c r="K526" s="260"/>
    </row>
    <row r="527" ht="15.75" customHeight="1">
      <c r="D527" s="258"/>
      <c r="E527" s="260"/>
      <c r="F527" s="260"/>
      <c r="G527" s="260"/>
      <c r="H527" s="260"/>
      <c r="I527" s="260"/>
      <c r="J527" s="260"/>
      <c r="K527" s="260"/>
    </row>
    <row r="528" ht="15.75" customHeight="1">
      <c r="D528" s="258"/>
      <c r="E528" s="260"/>
      <c r="F528" s="260"/>
      <c r="G528" s="260"/>
      <c r="H528" s="260"/>
      <c r="I528" s="260"/>
      <c r="J528" s="260"/>
      <c r="K528" s="260"/>
    </row>
    <row r="529" ht="15.75" customHeight="1">
      <c r="D529" s="258"/>
      <c r="E529" s="260"/>
      <c r="F529" s="260"/>
      <c r="G529" s="260"/>
      <c r="H529" s="260"/>
      <c r="I529" s="260"/>
      <c r="J529" s="260"/>
      <c r="K529" s="260"/>
    </row>
    <row r="530" ht="15.75" customHeight="1">
      <c r="D530" s="258"/>
      <c r="E530" s="260"/>
      <c r="F530" s="260"/>
      <c r="G530" s="260"/>
      <c r="H530" s="260"/>
      <c r="I530" s="260"/>
      <c r="J530" s="260"/>
      <c r="K530" s="260"/>
    </row>
    <row r="531" ht="15.75" customHeight="1">
      <c r="D531" s="258"/>
      <c r="E531" s="260"/>
      <c r="F531" s="260"/>
      <c r="G531" s="260"/>
      <c r="H531" s="260"/>
      <c r="I531" s="260"/>
      <c r="J531" s="260"/>
      <c r="K531" s="260"/>
    </row>
    <row r="532" ht="15.75" customHeight="1">
      <c r="D532" s="258"/>
      <c r="E532" s="260"/>
      <c r="F532" s="260"/>
      <c r="G532" s="260"/>
      <c r="H532" s="260"/>
      <c r="I532" s="260"/>
      <c r="J532" s="260"/>
      <c r="K532" s="260"/>
    </row>
    <row r="533" ht="15.75" customHeight="1">
      <c r="D533" s="258"/>
      <c r="E533" s="260"/>
      <c r="F533" s="260"/>
      <c r="G533" s="260"/>
      <c r="H533" s="260"/>
      <c r="I533" s="260"/>
      <c r="J533" s="260"/>
      <c r="K533" s="260"/>
    </row>
    <row r="534" ht="15.75" customHeight="1">
      <c r="D534" s="258"/>
      <c r="E534" s="260"/>
      <c r="F534" s="260"/>
      <c r="G534" s="260"/>
      <c r="H534" s="260"/>
      <c r="I534" s="260"/>
      <c r="J534" s="260"/>
      <c r="K534" s="260"/>
    </row>
    <row r="535" ht="15.75" customHeight="1">
      <c r="D535" s="258"/>
      <c r="E535" s="260"/>
      <c r="F535" s="260"/>
      <c r="G535" s="260"/>
      <c r="H535" s="260"/>
      <c r="I535" s="260"/>
      <c r="J535" s="260"/>
      <c r="K535" s="260"/>
    </row>
    <row r="536" ht="15.75" customHeight="1">
      <c r="D536" s="258"/>
      <c r="E536" s="260"/>
      <c r="F536" s="260"/>
      <c r="G536" s="260"/>
      <c r="H536" s="260"/>
      <c r="I536" s="260"/>
      <c r="J536" s="260"/>
      <c r="K536" s="260"/>
    </row>
    <row r="537" ht="15.75" customHeight="1">
      <c r="D537" s="258"/>
      <c r="E537" s="260"/>
      <c r="F537" s="260"/>
      <c r="G537" s="260"/>
      <c r="H537" s="260"/>
      <c r="I537" s="260"/>
      <c r="J537" s="260"/>
      <c r="K537" s="260"/>
    </row>
    <row r="538" ht="15.75" customHeight="1">
      <c r="D538" s="258"/>
      <c r="E538" s="260"/>
      <c r="F538" s="260"/>
      <c r="G538" s="260"/>
      <c r="H538" s="260"/>
      <c r="I538" s="260"/>
      <c r="J538" s="260"/>
      <c r="K538" s="260"/>
    </row>
    <row r="539" ht="15.75" customHeight="1">
      <c r="D539" s="258"/>
      <c r="E539" s="260"/>
      <c r="F539" s="260"/>
      <c r="G539" s="260"/>
      <c r="H539" s="260"/>
      <c r="I539" s="260"/>
      <c r="J539" s="260"/>
      <c r="K539" s="260"/>
    </row>
    <row r="540" ht="15.75" customHeight="1">
      <c r="D540" s="258"/>
      <c r="E540" s="260"/>
      <c r="F540" s="260"/>
      <c r="G540" s="260"/>
      <c r="H540" s="260"/>
      <c r="I540" s="260"/>
      <c r="J540" s="260"/>
      <c r="K540" s="260"/>
    </row>
    <row r="541" ht="15.75" customHeight="1">
      <c r="D541" s="258"/>
      <c r="E541" s="260"/>
      <c r="F541" s="260"/>
      <c r="G541" s="260"/>
      <c r="H541" s="260"/>
      <c r="I541" s="260"/>
      <c r="J541" s="260"/>
      <c r="K541" s="260"/>
    </row>
    <row r="542" ht="15.75" customHeight="1">
      <c r="D542" s="258"/>
      <c r="E542" s="260"/>
      <c r="F542" s="260"/>
      <c r="G542" s="260"/>
      <c r="H542" s="260"/>
      <c r="I542" s="260"/>
      <c r="J542" s="260"/>
      <c r="K542" s="260"/>
    </row>
    <row r="543" ht="15.75" customHeight="1">
      <c r="D543" s="258"/>
      <c r="E543" s="260"/>
      <c r="F543" s="260"/>
      <c r="G543" s="260"/>
      <c r="H543" s="260"/>
      <c r="I543" s="260"/>
      <c r="J543" s="260"/>
      <c r="K543" s="260"/>
    </row>
    <row r="544" ht="15.75" customHeight="1">
      <c r="D544" s="258"/>
      <c r="E544" s="260"/>
      <c r="F544" s="260"/>
      <c r="G544" s="260"/>
      <c r="H544" s="260"/>
      <c r="I544" s="260"/>
      <c r="J544" s="260"/>
      <c r="K544" s="260"/>
    </row>
    <row r="545" ht="15.75" customHeight="1">
      <c r="D545" s="258"/>
      <c r="E545" s="260"/>
      <c r="F545" s="260"/>
      <c r="G545" s="260"/>
      <c r="H545" s="260"/>
      <c r="I545" s="260"/>
      <c r="J545" s="260"/>
      <c r="K545" s="260"/>
    </row>
    <row r="546" ht="15.75" customHeight="1">
      <c r="D546" s="258"/>
      <c r="E546" s="260"/>
      <c r="F546" s="260"/>
      <c r="G546" s="260"/>
      <c r="H546" s="260"/>
      <c r="I546" s="260"/>
      <c r="J546" s="260"/>
      <c r="K546" s="260"/>
    </row>
    <row r="547" ht="15.75" customHeight="1">
      <c r="D547" s="258"/>
      <c r="E547" s="260"/>
      <c r="F547" s="260"/>
      <c r="G547" s="260"/>
      <c r="H547" s="260"/>
      <c r="I547" s="260"/>
      <c r="J547" s="260"/>
      <c r="K547" s="260"/>
    </row>
    <row r="548" ht="15.75" customHeight="1">
      <c r="D548" s="258"/>
      <c r="E548" s="260"/>
      <c r="F548" s="260"/>
      <c r="G548" s="260"/>
      <c r="H548" s="260"/>
      <c r="I548" s="260"/>
      <c r="J548" s="260"/>
      <c r="K548" s="260"/>
    </row>
    <row r="549" ht="15.75" customHeight="1">
      <c r="D549" s="258"/>
      <c r="E549" s="260"/>
      <c r="F549" s="260"/>
      <c r="G549" s="260"/>
      <c r="H549" s="260"/>
      <c r="I549" s="260"/>
      <c r="J549" s="260"/>
      <c r="K549" s="260"/>
    </row>
    <row r="550" ht="15.75" customHeight="1">
      <c r="D550" s="258"/>
      <c r="E550" s="260"/>
      <c r="F550" s="260"/>
      <c r="G550" s="260"/>
      <c r="H550" s="260"/>
      <c r="I550" s="260"/>
      <c r="J550" s="260"/>
      <c r="K550" s="260"/>
    </row>
    <row r="551" ht="15.75" customHeight="1">
      <c r="D551" s="258"/>
      <c r="E551" s="260"/>
      <c r="F551" s="260"/>
      <c r="G551" s="260"/>
      <c r="H551" s="260"/>
      <c r="I551" s="260"/>
      <c r="J551" s="260"/>
      <c r="K551" s="260"/>
    </row>
    <row r="552" ht="15.75" customHeight="1">
      <c r="D552" s="258"/>
      <c r="E552" s="260"/>
      <c r="F552" s="260"/>
      <c r="G552" s="260"/>
      <c r="H552" s="260"/>
      <c r="I552" s="260"/>
      <c r="J552" s="260"/>
      <c r="K552" s="260"/>
    </row>
    <row r="553" ht="15.75" customHeight="1">
      <c r="D553" s="258"/>
      <c r="E553" s="260"/>
      <c r="F553" s="260"/>
      <c r="G553" s="260"/>
      <c r="H553" s="260"/>
      <c r="I553" s="260"/>
      <c r="J553" s="260"/>
      <c r="K553" s="260"/>
    </row>
    <row r="554" ht="15.75" customHeight="1">
      <c r="D554" s="258"/>
      <c r="E554" s="260"/>
      <c r="F554" s="260"/>
      <c r="G554" s="260"/>
      <c r="H554" s="260"/>
      <c r="I554" s="260"/>
      <c r="J554" s="260"/>
      <c r="K554" s="260"/>
    </row>
    <row r="555" ht="15.75" customHeight="1">
      <c r="D555" s="258"/>
      <c r="E555" s="260"/>
      <c r="F555" s="260"/>
      <c r="G555" s="260"/>
      <c r="H555" s="260"/>
      <c r="I555" s="260"/>
      <c r="J555" s="260"/>
      <c r="K555" s="260"/>
    </row>
    <row r="556" ht="15.75" customHeight="1">
      <c r="D556" s="258"/>
      <c r="E556" s="260"/>
      <c r="F556" s="260"/>
      <c r="G556" s="260"/>
      <c r="H556" s="260"/>
      <c r="I556" s="260"/>
      <c r="J556" s="260"/>
      <c r="K556" s="260"/>
    </row>
    <row r="557" ht="15.75" customHeight="1">
      <c r="D557" s="258"/>
      <c r="E557" s="260"/>
      <c r="F557" s="260"/>
      <c r="G557" s="260"/>
      <c r="H557" s="260"/>
      <c r="I557" s="260"/>
      <c r="J557" s="260"/>
      <c r="K557" s="260"/>
    </row>
    <row r="558" ht="15.75" customHeight="1">
      <c r="D558" s="258"/>
      <c r="E558" s="260"/>
      <c r="F558" s="260"/>
      <c r="G558" s="260"/>
      <c r="H558" s="260"/>
      <c r="I558" s="260"/>
      <c r="J558" s="260"/>
      <c r="K558" s="260"/>
    </row>
    <row r="559" ht="15.75" customHeight="1">
      <c r="D559" s="258"/>
      <c r="E559" s="260"/>
      <c r="F559" s="260"/>
      <c r="G559" s="260"/>
      <c r="H559" s="260"/>
      <c r="I559" s="260"/>
      <c r="J559" s="260"/>
      <c r="K559" s="260"/>
    </row>
    <row r="560" ht="15.75" customHeight="1">
      <c r="D560" s="258"/>
      <c r="E560" s="260"/>
      <c r="F560" s="260"/>
      <c r="G560" s="260"/>
      <c r="H560" s="260"/>
      <c r="I560" s="260"/>
      <c r="J560" s="260"/>
      <c r="K560" s="260"/>
    </row>
    <row r="561" ht="15.75" customHeight="1">
      <c r="D561" s="258"/>
      <c r="E561" s="260"/>
      <c r="F561" s="260"/>
      <c r="G561" s="260"/>
      <c r="H561" s="260"/>
      <c r="I561" s="260"/>
      <c r="J561" s="260"/>
      <c r="K561" s="260"/>
    </row>
    <row r="562" ht="15.75" customHeight="1">
      <c r="D562" s="258"/>
      <c r="E562" s="260"/>
      <c r="F562" s="260"/>
      <c r="G562" s="260"/>
      <c r="H562" s="260"/>
      <c r="I562" s="260"/>
      <c r="J562" s="260"/>
      <c r="K562" s="260"/>
    </row>
    <row r="563" ht="15.75" customHeight="1">
      <c r="D563" s="258"/>
      <c r="E563" s="260"/>
      <c r="F563" s="260"/>
      <c r="G563" s="260"/>
      <c r="H563" s="260"/>
      <c r="I563" s="260"/>
      <c r="J563" s="260"/>
      <c r="K563" s="260"/>
    </row>
    <row r="564" ht="15.75" customHeight="1">
      <c r="D564" s="258"/>
      <c r="E564" s="260"/>
      <c r="F564" s="260"/>
      <c r="G564" s="260"/>
      <c r="H564" s="260"/>
      <c r="I564" s="260"/>
      <c r="J564" s="260"/>
      <c r="K564" s="260"/>
    </row>
    <row r="565" ht="15.75" customHeight="1">
      <c r="D565" s="258"/>
      <c r="E565" s="260"/>
      <c r="F565" s="260"/>
      <c r="G565" s="260"/>
      <c r="H565" s="260"/>
      <c r="I565" s="260"/>
      <c r="J565" s="260"/>
      <c r="K565" s="260"/>
    </row>
    <row r="566" ht="15.75" customHeight="1">
      <c r="D566" s="258"/>
      <c r="E566" s="260"/>
      <c r="F566" s="260"/>
      <c r="G566" s="260"/>
      <c r="H566" s="260"/>
      <c r="I566" s="260"/>
      <c r="J566" s="260"/>
      <c r="K566" s="260"/>
    </row>
    <row r="567" ht="15.75" customHeight="1">
      <c r="D567" s="258"/>
      <c r="E567" s="260"/>
      <c r="F567" s="260"/>
      <c r="G567" s="260"/>
      <c r="H567" s="260"/>
      <c r="I567" s="260"/>
      <c r="J567" s="260"/>
      <c r="K567" s="260"/>
    </row>
    <row r="568" ht="15.75" customHeight="1">
      <c r="D568" s="258"/>
      <c r="E568" s="260"/>
      <c r="F568" s="260"/>
      <c r="G568" s="260"/>
      <c r="H568" s="260"/>
      <c r="I568" s="260"/>
      <c r="J568" s="260"/>
      <c r="K568" s="260"/>
    </row>
    <row r="569" ht="15.75" customHeight="1">
      <c r="D569" s="258"/>
      <c r="E569" s="260"/>
      <c r="F569" s="260"/>
      <c r="G569" s="260"/>
      <c r="H569" s="260"/>
      <c r="I569" s="260"/>
      <c r="J569" s="260"/>
      <c r="K569" s="260"/>
    </row>
    <row r="570" ht="15.75" customHeight="1">
      <c r="D570" s="258"/>
      <c r="E570" s="260"/>
      <c r="F570" s="260"/>
      <c r="G570" s="260"/>
      <c r="H570" s="260"/>
      <c r="I570" s="260"/>
      <c r="J570" s="260"/>
      <c r="K570" s="260"/>
    </row>
    <row r="571" ht="15.75" customHeight="1">
      <c r="D571" s="258"/>
      <c r="E571" s="260"/>
      <c r="F571" s="260"/>
      <c r="G571" s="260"/>
      <c r="H571" s="260"/>
      <c r="I571" s="260"/>
      <c r="J571" s="260"/>
      <c r="K571" s="260"/>
    </row>
    <row r="572" ht="15.75" customHeight="1">
      <c r="D572" s="258"/>
      <c r="E572" s="260"/>
      <c r="F572" s="260"/>
      <c r="G572" s="260"/>
      <c r="H572" s="260"/>
      <c r="I572" s="260"/>
      <c r="J572" s="260"/>
      <c r="K572" s="260"/>
    </row>
    <row r="573" ht="15.75" customHeight="1">
      <c r="D573" s="258"/>
      <c r="E573" s="260"/>
      <c r="F573" s="260"/>
      <c r="G573" s="260"/>
      <c r="H573" s="260"/>
      <c r="I573" s="260"/>
      <c r="J573" s="260"/>
      <c r="K573" s="260"/>
    </row>
    <row r="574" ht="15.75" customHeight="1">
      <c r="D574" s="258"/>
      <c r="E574" s="260"/>
      <c r="F574" s="260"/>
      <c r="G574" s="260"/>
      <c r="H574" s="260"/>
      <c r="I574" s="260"/>
      <c r="J574" s="260"/>
      <c r="K574" s="260"/>
    </row>
    <row r="575" ht="15.75" customHeight="1">
      <c r="D575" s="258"/>
      <c r="E575" s="260"/>
      <c r="F575" s="260"/>
      <c r="G575" s="260"/>
      <c r="H575" s="260"/>
      <c r="I575" s="260"/>
      <c r="J575" s="260"/>
      <c r="K575" s="260"/>
    </row>
    <row r="576" ht="15.75" customHeight="1">
      <c r="D576" s="258"/>
      <c r="E576" s="260"/>
      <c r="F576" s="260"/>
      <c r="G576" s="260"/>
      <c r="H576" s="260"/>
      <c r="I576" s="260"/>
      <c r="J576" s="260"/>
      <c r="K576" s="260"/>
    </row>
    <row r="577" ht="15.75" customHeight="1">
      <c r="D577" s="258"/>
      <c r="E577" s="260"/>
      <c r="F577" s="260"/>
      <c r="G577" s="260"/>
      <c r="H577" s="260"/>
      <c r="I577" s="260"/>
      <c r="J577" s="260"/>
      <c r="K577" s="260"/>
    </row>
    <row r="578" ht="15.75" customHeight="1">
      <c r="D578" s="258"/>
      <c r="E578" s="260"/>
      <c r="F578" s="260"/>
      <c r="G578" s="260"/>
      <c r="H578" s="260"/>
      <c r="I578" s="260"/>
      <c r="J578" s="260"/>
      <c r="K578" s="260"/>
    </row>
    <row r="579" ht="15.75" customHeight="1">
      <c r="D579" s="258"/>
      <c r="E579" s="260"/>
      <c r="F579" s="260"/>
      <c r="G579" s="260"/>
      <c r="H579" s="260"/>
      <c r="I579" s="260"/>
      <c r="J579" s="260"/>
      <c r="K579" s="260"/>
    </row>
    <row r="580" ht="15.75" customHeight="1">
      <c r="D580" s="258"/>
      <c r="E580" s="260"/>
      <c r="F580" s="260"/>
      <c r="G580" s="260"/>
      <c r="H580" s="260"/>
      <c r="I580" s="260"/>
      <c r="J580" s="260"/>
      <c r="K580" s="260"/>
    </row>
    <row r="581" ht="15.75" customHeight="1">
      <c r="D581" s="258"/>
      <c r="E581" s="260"/>
      <c r="F581" s="260"/>
      <c r="G581" s="260"/>
      <c r="H581" s="260"/>
      <c r="I581" s="260"/>
      <c r="J581" s="260"/>
      <c r="K581" s="260"/>
    </row>
    <row r="582" ht="15.75" customHeight="1">
      <c r="D582" s="258"/>
      <c r="E582" s="260"/>
      <c r="F582" s="260"/>
      <c r="G582" s="260"/>
      <c r="H582" s="260"/>
      <c r="I582" s="260"/>
      <c r="J582" s="260"/>
      <c r="K582" s="260"/>
    </row>
    <row r="583" ht="15.75" customHeight="1">
      <c r="D583" s="258"/>
      <c r="E583" s="260"/>
      <c r="F583" s="260"/>
      <c r="G583" s="260"/>
      <c r="H583" s="260"/>
      <c r="I583" s="260"/>
      <c r="J583" s="260"/>
      <c r="K583" s="260"/>
    </row>
    <row r="584" ht="15.75" customHeight="1">
      <c r="D584" s="258"/>
      <c r="E584" s="260"/>
      <c r="F584" s="260"/>
      <c r="G584" s="260"/>
      <c r="H584" s="260"/>
      <c r="I584" s="260"/>
      <c r="J584" s="260"/>
      <c r="K584" s="260"/>
    </row>
    <row r="585" ht="15.75" customHeight="1">
      <c r="D585" s="258"/>
      <c r="E585" s="260"/>
      <c r="F585" s="260"/>
      <c r="G585" s="260"/>
      <c r="H585" s="260"/>
      <c r="I585" s="260"/>
      <c r="J585" s="260"/>
      <c r="K585" s="260"/>
    </row>
    <row r="586" ht="15.75" customHeight="1">
      <c r="D586" s="258"/>
      <c r="E586" s="260"/>
      <c r="F586" s="260"/>
      <c r="G586" s="260"/>
      <c r="H586" s="260"/>
      <c r="I586" s="260"/>
      <c r="J586" s="260"/>
      <c r="K586" s="260"/>
    </row>
    <row r="587" ht="15.75" customHeight="1">
      <c r="D587" s="258"/>
      <c r="E587" s="260"/>
      <c r="F587" s="260"/>
      <c r="G587" s="260"/>
      <c r="H587" s="260"/>
      <c r="I587" s="260"/>
      <c r="J587" s="260"/>
      <c r="K587" s="260"/>
    </row>
    <row r="588" ht="15.75" customHeight="1">
      <c r="D588" s="258"/>
      <c r="E588" s="260"/>
      <c r="F588" s="260"/>
      <c r="G588" s="260"/>
      <c r="H588" s="260"/>
      <c r="I588" s="260"/>
      <c r="J588" s="260"/>
      <c r="K588" s="260"/>
    </row>
    <row r="589" ht="15.75" customHeight="1">
      <c r="D589" s="258"/>
      <c r="E589" s="260"/>
      <c r="F589" s="260"/>
      <c r="G589" s="260"/>
      <c r="H589" s="260"/>
      <c r="I589" s="260"/>
      <c r="J589" s="260"/>
      <c r="K589" s="260"/>
    </row>
    <row r="590" ht="15.75" customHeight="1">
      <c r="D590" s="258"/>
      <c r="E590" s="260"/>
      <c r="F590" s="260"/>
      <c r="G590" s="260"/>
      <c r="H590" s="260"/>
      <c r="I590" s="260"/>
      <c r="J590" s="260"/>
      <c r="K590" s="260"/>
    </row>
    <row r="591" ht="15.75" customHeight="1">
      <c r="D591" s="258"/>
      <c r="E591" s="260"/>
      <c r="F591" s="260"/>
      <c r="G591" s="260"/>
      <c r="H591" s="260"/>
      <c r="I591" s="260"/>
      <c r="J591" s="260"/>
      <c r="K591" s="260"/>
    </row>
    <row r="592" ht="15.75" customHeight="1">
      <c r="D592" s="258"/>
      <c r="E592" s="260"/>
      <c r="F592" s="260"/>
      <c r="G592" s="260"/>
      <c r="H592" s="260"/>
      <c r="I592" s="260"/>
      <c r="J592" s="260"/>
      <c r="K592" s="260"/>
    </row>
    <row r="593" ht="15.75" customHeight="1">
      <c r="D593" s="258"/>
      <c r="E593" s="260"/>
      <c r="F593" s="260"/>
      <c r="G593" s="260"/>
      <c r="H593" s="260"/>
      <c r="I593" s="260"/>
      <c r="J593" s="260"/>
      <c r="K593" s="260"/>
    </row>
    <row r="594" ht="15.75" customHeight="1">
      <c r="D594" s="258"/>
      <c r="E594" s="260"/>
      <c r="F594" s="260"/>
      <c r="G594" s="260"/>
      <c r="H594" s="260"/>
      <c r="I594" s="260"/>
      <c r="J594" s="260"/>
      <c r="K594" s="260"/>
    </row>
    <row r="595" ht="15.75" customHeight="1">
      <c r="D595" s="258"/>
      <c r="E595" s="260"/>
      <c r="F595" s="260"/>
      <c r="G595" s="260"/>
      <c r="H595" s="260"/>
      <c r="I595" s="260"/>
      <c r="J595" s="260"/>
      <c r="K595" s="260"/>
    </row>
    <row r="596" ht="15.75" customHeight="1">
      <c r="D596" s="258"/>
      <c r="E596" s="260"/>
      <c r="F596" s="260"/>
      <c r="G596" s="260"/>
      <c r="H596" s="260"/>
      <c r="I596" s="260"/>
      <c r="J596" s="260"/>
      <c r="K596" s="260"/>
    </row>
    <row r="597" ht="15.75" customHeight="1">
      <c r="D597" s="258"/>
      <c r="E597" s="260"/>
      <c r="F597" s="260"/>
      <c r="G597" s="260"/>
      <c r="H597" s="260"/>
      <c r="I597" s="260"/>
      <c r="J597" s="260"/>
      <c r="K597" s="260"/>
    </row>
    <row r="598" ht="15.75" customHeight="1">
      <c r="D598" s="258"/>
      <c r="E598" s="260"/>
      <c r="F598" s="260"/>
      <c r="G598" s="260"/>
      <c r="H598" s="260"/>
      <c r="I598" s="260"/>
      <c r="J598" s="260"/>
      <c r="K598" s="260"/>
    </row>
    <row r="599" ht="15.75" customHeight="1">
      <c r="D599" s="258"/>
      <c r="E599" s="260"/>
      <c r="F599" s="260"/>
      <c r="G599" s="260"/>
      <c r="H599" s="260"/>
      <c r="I599" s="260"/>
      <c r="J599" s="260"/>
      <c r="K599" s="260"/>
    </row>
    <row r="600" ht="15.75" customHeight="1">
      <c r="D600" s="258"/>
      <c r="E600" s="260"/>
      <c r="F600" s="260"/>
      <c r="G600" s="260"/>
      <c r="H600" s="260"/>
      <c r="I600" s="260"/>
      <c r="J600" s="260"/>
      <c r="K600" s="260"/>
    </row>
    <row r="601" ht="15.75" customHeight="1">
      <c r="D601" s="258"/>
      <c r="E601" s="260"/>
      <c r="F601" s="260"/>
      <c r="G601" s="260"/>
      <c r="H601" s="260"/>
      <c r="I601" s="260"/>
      <c r="J601" s="260"/>
      <c r="K601" s="260"/>
    </row>
    <row r="602" ht="15.75" customHeight="1">
      <c r="D602" s="258"/>
      <c r="E602" s="260"/>
      <c r="F602" s="260"/>
      <c r="G602" s="260"/>
      <c r="H602" s="260"/>
      <c r="I602" s="260"/>
      <c r="J602" s="260"/>
      <c r="K602" s="260"/>
    </row>
    <row r="603" ht="15.75" customHeight="1">
      <c r="D603" s="258"/>
      <c r="E603" s="260"/>
      <c r="F603" s="260"/>
      <c r="G603" s="260"/>
      <c r="H603" s="260"/>
      <c r="I603" s="260"/>
      <c r="J603" s="260"/>
      <c r="K603" s="260"/>
    </row>
    <row r="604" ht="15.75" customHeight="1">
      <c r="D604" s="258"/>
      <c r="E604" s="260"/>
      <c r="F604" s="260"/>
      <c r="G604" s="260"/>
      <c r="H604" s="260"/>
      <c r="I604" s="260"/>
      <c r="J604" s="260"/>
      <c r="K604" s="260"/>
    </row>
    <row r="605" ht="15.75" customHeight="1">
      <c r="D605" s="258"/>
      <c r="E605" s="260"/>
      <c r="F605" s="260"/>
      <c r="G605" s="260"/>
      <c r="H605" s="260"/>
      <c r="I605" s="260"/>
      <c r="J605" s="260"/>
      <c r="K605" s="260"/>
    </row>
    <row r="606" ht="15.75" customHeight="1">
      <c r="D606" s="258"/>
      <c r="E606" s="260"/>
      <c r="F606" s="260"/>
      <c r="G606" s="260"/>
      <c r="H606" s="260"/>
      <c r="I606" s="260"/>
      <c r="J606" s="260"/>
      <c r="K606" s="260"/>
    </row>
    <row r="607" ht="15.75" customHeight="1">
      <c r="D607" s="258"/>
      <c r="E607" s="260"/>
      <c r="F607" s="260"/>
      <c r="G607" s="260"/>
      <c r="H607" s="260"/>
      <c r="I607" s="260"/>
      <c r="J607" s="260"/>
      <c r="K607" s="260"/>
    </row>
    <row r="608" ht="15.75" customHeight="1">
      <c r="D608" s="258"/>
      <c r="E608" s="260"/>
      <c r="F608" s="260"/>
      <c r="G608" s="260"/>
      <c r="H608" s="260"/>
      <c r="I608" s="260"/>
      <c r="J608" s="260"/>
      <c r="K608" s="260"/>
    </row>
    <row r="609" ht="15.75" customHeight="1">
      <c r="D609" s="258"/>
      <c r="E609" s="260"/>
      <c r="F609" s="260"/>
      <c r="G609" s="260"/>
      <c r="H609" s="260"/>
      <c r="I609" s="260"/>
      <c r="J609" s="260"/>
      <c r="K609" s="260"/>
    </row>
    <row r="610" ht="15.75" customHeight="1">
      <c r="D610" s="258"/>
      <c r="E610" s="260"/>
      <c r="F610" s="260"/>
      <c r="G610" s="260"/>
      <c r="H610" s="260"/>
      <c r="I610" s="260"/>
      <c r="J610" s="260"/>
      <c r="K610" s="260"/>
    </row>
    <row r="611" ht="15.75" customHeight="1">
      <c r="D611" s="258"/>
      <c r="E611" s="260"/>
      <c r="F611" s="260"/>
      <c r="G611" s="260"/>
      <c r="H611" s="260"/>
      <c r="I611" s="260"/>
      <c r="J611" s="260"/>
      <c r="K611" s="260"/>
    </row>
    <row r="612" ht="15.75" customHeight="1">
      <c r="D612" s="258"/>
      <c r="E612" s="260"/>
      <c r="F612" s="260"/>
      <c r="G612" s="260"/>
      <c r="H612" s="260"/>
      <c r="I612" s="260"/>
      <c r="J612" s="260"/>
      <c r="K612" s="260"/>
    </row>
    <row r="613" ht="15.75" customHeight="1">
      <c r="D613" s="258"/>
      <c r="E613" s="260"/>
      <c r="F613" s="260"/>
      <c r="G613" s="260"/>
      <c r="H613" s="260"/>
      <c r="I613" s="260"/>
      <c r="J613" s="260"/>
      <c r="K613" s="260"/>
    </row>
    <row r="614" ht="15.75" customHeight="1">
      <c r="D614" s="258"/>
      <c r="E614" s="260"/>
      <c r="F614" s="260"/>
      <c r="G614" s="260"/>
      <c r="H614" s="260"/>
      <c r="I614" s="260"/>
      <c r="J614" s="260"/>
      <c r="K614" s="260"/>
    </row>
    <row r="615" ht="15.75" customHeight="1">
      <c r="D615" s="258"/>
      <c r="E615" s="260"/>
      <c r="F615" s="260"/>
      <c r="G615" s="260"/>
      <c r="H615" s="260"/>
      <c r="I615" s="260"/>
      <c r="J615" s="260"/>
      <c r="K615" s="260"/>
    </row>
    <row r="616" ht="15.75" customHeight="1">
      <c r="D616" s="258"/>
      <c r="E616" s="260"/>
      <c r="F616" s="260"/>
      <c r="G616" s="260"/>
      <c r="H616" s="260"/>
      <c r="I616" s="260"/>
      <c r="J616" s="260"/>
      <c r="K616" s="260"/>
    </row>
    <row r="617" ht="15.75" customHeight="1">
      <c r="D617" s="258"/>
      <c r="E617" s="260"/>
      <c r="F617" s="260"/>
      <c r="G617" s="260"/>
      <c r="H617" s="260"/>
      <c r="I617" s="260"/>
      <c r="J617" s="260"/>
      <c r="K617" s="260"/>
    </row>
    <row r="618" ht="15.75" customHeight="1">
      <c r="D618" s="258"/>
      <c r="E618" s="260"/>
      <c r="F618" s="260"/>
      <c r="G618" s="260"/>
      <c r="H618" s="260"/>
      <c r="I618" s="260"/>
      <c r="J618" s="260"/>
      <c r="K618" s="260"/>
    </row>
    <row r="619" ht="15.75" customHeight="1">
      <c r="D619" s="258"/>
      <c r="E619" s="260"/>
      <c r="F619" s="260"/>
      <c r="G619" s="260"/>
      <c r="H619" s="260"/>
      <c r="I619" s="260"/>
      <c r="J619" s="260"/>
      <c r="K619" s="260"/>
    </row>
    <row r="620" ht="15.75" customHeight="1">
      <c r="D620" s="258"/>
      <c r="E620" s="260"/>
      <c r="F620" s="260"/>
      <c r="G620" s="260"/>
      <c r="H620" s="260"/>
      <c r="I620" s="260"/>
      <c r="J620" s="260"/>
      <c r="K620" s="260"/>
    </row>
    <row r="621" ht="15.75" customHeight="1">
      <c r="D621" s="258"/>
      <c r="E621" s="260"/>
      <c r="F621" s="260"/>
      <c r="G621" s="260"/>
      <c r="H621" s="260"/>
      <c r="I621" s="260"/>
      <c r="J621" s="260"/>
      <c r="K621" s="260"/>
    </row>
    <row r="622" ht="15.75" customHeight="1">
      <c r="D622" s="258"/>
      <c r="E622" s="260"/>
      <c r="F622" s="260"/>
      <c r="G622" s="260"/>
      <c r="H622" s="260"/>
      <c r="I622" s="260"/>
      <c r="J622" s="260"/>
      <c r="K622" s="260"/>
    </row>
    <row r="623" ht="15.75" customHeight="1">
      <c r="D623" s="258"/>
      <c r="E623" s="260"/>
      <c r="F623" s="260"/>
      <c r="G623" s="260"/>
      <c r="H623" s="260"/>
      <c r="I623" s="260"/>
      <c r="J623" s="260"/>
      <c r="K623" s="260"/>
    </row>
    <row r="624" ht="15.75" customHeight="1">
      <c r="D624" s="258"/>
      <c r="E624" s="260"/>
      <c r="F624" s="260"/>
      <c r="G624" s="260"/>
      <c r="H624" s="260"/>
      <c r="I624" s="260"/>
      <c r="J624" s="260"/>
      <c r="K624" s="260"/>
    </row>
    <row r="625" ht="15.75" customHeight="1">
      <c r="D625" s="258"/>
      <c r="E625" s="260"/>
      <c r="F625" s="260"/>
      <c r="G625" s="260"/>
      <c r="H625" s="260"/>
      <c r="I625" s="260"/>
      <c r="J625" s="260"/>
      <c r="K625" s="260"/>
    </row>
    <row r="626" ht="15.75" customHeight="1">
      <c r="D626" s="258"/>
      <c r="E626" s="260"/>
      <c r="F626" s="260"/>
      <c r="G626" s="260"/>
      <c r="H626" s="260"/>
      <c r="I626" s="260"/>
      <c r="J626" s="260"/>
      <c r="K626" s="260"/>
    </row>
    <row r="627" ht="15.75" customHeight="1">
      <c r="D627" s="258"/>
      <c r="E627" s="260"/>
      <c r="F627" s="260"/>
      <c r="G627" s="260"/>
      <c r="H627" s="260"/>
      <c r="I627" s="260"/>
      <c r="J627" s="260"/>
      <c r="K627" s="260"/>
    </row>
    <row r="628" ht="15.75" customHeight="1">
      <c r="D628" s="258"/>
      <c r="E628" s="260"/>
      <c r="F628" s="260"/>
      <c r="G628" s="260"/>
      <c r="H628" s="260"/>
      <c r="I628" s="260"/>
      <c r="J628" s="260"/>
      <c r="K628" s="260"/>
    </row>
    <row r="629" ht="15.75" customHeight="1">
      <c r="D629" s="258"/>
      <c r="E629" s="260"/>
      <c r="F629" s="260"/>
      <c r="G629" s="260"/>
      <c r="H629" s="260"/>
      <c r="I629" s="260"/>
      <c r="J629" s="260"/>
      <c r="K629" s="260"/>
    </row>
    <row r="630" ht="15.75" customHeight="1">
      <c r="D630" s="258"/>
      <c r="E630" s="260"/>
      <c r="F630" s="260"/>
      <c r="G630" s="260"/>
      <c r="H630" s="260"/>
      <c r="I630" s="260"/>
      <c r="J630" s="260"/>
      <c r="K630" s="260"/>
    </row>
    <row r="631" ht="15.75" customHeight="1">
      <c r="D631" s="258"/>
      <c r="E631" s="260"/>
      <c r="F631" s="260"/>
      <c r="G631" s="260"/>
      <c r="H631" s="260"/>
      <c r="I631" s="260"/>
      <c r="J631" s="260"/>
      <c r="K631" s="260"/>
    </row>
    <row r="632" ht="15.75" customHeight="1">
      <c r="D632" s="258"/>
      <c r="E632" s="260"/>
      <c r="F632" s="260"/>
      <c r="G632" s="260"/>
      <c r="H632" s="260"/>
      <c r="I632" s="260"/>
      <c r="J632" s="260"/>
      <c r="K632" s="260"/>
    </row>
    <row r="633" ht="15.75" customHeight="1">
      <c r="D633" s="258"/>
      <c r="E633" s="260"/>
      <c r="F633" s="260"/>
      <c r="G633" s="260"/>
      <c r="H633" s="260"/>
      <c r="I633" s="260"/>
      <c r="J633" s="260"/>
      <c r="K633" s="260"/>
    </row>
    <row r="634" ht="15.75" customHeight="1">
      <c r="D634" s="258"/>
      <c r="E634" s="260"/>
      <c r="F634" s="260"/>
      <c r="G634" s="260"/>
      <c r="H634" s="260"/>
      <c r="I634" s="260"/>
      <c r="J634" s="260"/>
      <c r="K634" s="260"/>
    </row>
    <row r="635" ht="15.75" customHeight="1">
      <c r="D635" s="258"/>
      <c r="E635" s="260"/>
      <c r="F635" s="260"/>
      <c r="G635" s="260"/>
      <c r="H635" s="260"/>
      <c r="I635" s="260"/>
      <c r="J635" s="260"/>
      <c r="K635" s="260"/>
    </row>
    <row r="636" ht="15.75" customHeight="1">
      <c r="D636" s="258"/>
      <c r="E636" s="260"/>
      <c r="F636" s="260"/>
      <c r="G636" s="260"/>
      <c r="H636" s="260"/>
      <c r="I636" s="260"/>
      <c r="J636" s="260"/>
      <c r="K636" s="260"/>
    </row>
    <row r="637" ht="15.75" customHeight="1">
      <c r="D637" s="258"/>
      <c r="E637" s="260"/>
      <c r="F637" s="260"/>
      <c r="G637" s="260"/>
      <c r="H637" s="260"/>
      <c r="I637" s="260"/>
      <c r="J637" s="260"/>
      <c r="K637" s="260"/>
    </row>
    <row r="638" ht="15.75" customHeight="1">
      <c r="D638" s="258"/>
      <c r="E638" s="260"/>
      <c r="F638" s="260"/>
      <c r="G638" s="260"/>
      <c r="H638" s="260"/>
      <c r="I638" s="260"/>
      <c r="J638" s="260"/>
      <c r="K638" s="260"/>
    </row>
    <row r="639" ht="15.75" customHeight="1">
      <c r="D639" s="258"/>
      <c r="E639" s="260"/>
      <c r="F639" s="260"/>
      <c r="G639" s="260"/>
      <c r="H639" s="260"/>
      <c r="I639" s="260"/>
      <c r="J639" s="260"/>
      <c r="K639" s="260"/>
    </row>
    <row r="640" ht="15.75" customHeight="1">
      <c r="D640" s="258"/>
      <c r="E640" s="260"/>
      <c r="F640" s="260"/>
      <c r="G640" s="260"/>
      <c r="H640" s="260"/>
      <c r="I640" s="260"/>
      <c r="J640" s="260"/>
      <c r="K640" s="260"/>
    </row>
    <row r="641" ht="15.75" customHeight="1">
      <c r="D641" s="258"/>
      <c r="E641" s="260"/>
      <c r="F641" s="260"/>
      <c r="G641" s="260"/>
      <c r="H641" s="260"/>
      <c r="I641" s="260"/>
      <c r="J641" s="260"/>
      <c r="K641" s="260"/>
    </row>
    <row r="642" ht="15.75" customHeight="1">
      <c r="D642" s="258"/>
      <c r="E642" s="260"/>
      <c r="F642" s="260"/>
      <c r="G642" s="260"/>
      <c r="H642" s="260"/>
      <c r="I642" s="260"/>
      <c r="J642" s="260"/>
      <c r="K642" s="260"/>
    </row>
    <row r="643" ht="15.75" customHeight="1">
      <c r="D643" s="258"/>
      <c r="E643" s="260"/>
      <c r="F643" s="260"/>
      <c r="G643" s="260"/>
      <c r="H643" s="260"/>
      <c r="I643" s="260"/>
      <c r="J643" s="260"/>
      <c r="K643" s="260"/>
    </row>
    <row r="644" ht="15.75" customHeight="1">
      <c r="D644" s="258"/>
      <c r="E644" s="260"/>
      <c r="F644" s="260"/>
      <c r="G644" s="260"/>
      <c r="H644" s="260"/>
      <c r="I644" s="260"/>
      <c r="J644" s="260"/>
      <c r="K644" s="260"/>
    </row>
    <row r="645" ht="15.75" customHeight="1">
      <c r="D645" s="258"/>
      <c r="E645" s="260"/>
      <c r="F645" s="260"/>
      <c r="G645" s="260"/>
      <c r="H645" s="260"/>
      <c r="I645" s="260"/>
      <c r="J645" s="260"/>
      <c r="K645" s="260"/>
    </row>
    <row r="646" ht="15.75" customHeight="1">
      <c r="D646" s="258"/>
      <c r="E646" s="260"/>
      <c r="F646" s="260"/>
      <c r="G646" s="260"/>
      <c r="H646" s="260"/>
      <c r="I646" s="260"/>
      <c r="J646" s="260"/>
      <c r="K646" s="260"/>
    </row>
    <row r="647" ht="15.75" customHeight="1">
      <c r="D647" s="258"/>
      <c r="E647" s="260"/>
      <c r="F647" s="260"/>
      <c r="G647" s="260"/>
      <c r="H647" s="260"/>
      <c r="I647" s="260"/>
      <c r="J647" s="260"/>
      <c r="K647" s="260"/>
    </row>
    <row r="648" ht="15.75" customHeight="1">
      <c r="D648" s="258"/>
      <c r="E648" s="260"/>
      <c r="F648" s="260"/>
      <c r="G648" s="260"/>
      <c r="H648" s="260"/>
      <c r="I648" s="260"/>
      <c r="J648" s="260"/>
      <c r="K648" s="260"/>
    </row>
    <row r="649" ht="15.75" customHeight="1">
      <c r="D649" s="258"/>
      <c r="E649" s="260"/>
      <c r="F649" s="260"/>
      <c r="G649" s="260"/>
      <c r="H649" s="260"/>
      <c r="I649" s="260"/>
      <c r="J649" s="260"/>
      <c r="K649" s="260"/>
    </row>
    <row r="650" ht="15.75" customHeight="1">
      <c r="D650" s="258"/>
      <c r="E650" s="260"/>
      <c r="F650" s="260"/>
      <c r="G650" s="260"/>
      <c r="H650" s="260"/>
      <c r="I650" s="260"/>
      <c r="J650" s="260"/>
      <c r="K650" s="260"/>
    </row>
    <row r="651" ht="15.75" customHeight="1">
      <c r="D651" s="258"/>
      <c r="E651" s="260"/>
      <c r="F651" s="260"/>
      <c r="G651" s="260"/>
      <c r="H651" s="260"/>
      <c r="I651" s="260"/>
      <c r="J651" s="260"/>
      <c r="K651" s="260"/>
    </row>
    <row r="652" ht="15.75" customHeight="1">
      <c r="D652" s="258"/>
      <c r="E652" s="260"/>
      <c r="F652" s="260"/>
      <c r="G652" s="260"/>
      <c r="H652" s="260"/>
      <c r="I652" s="260"/>
      <c r="J652" s="260"/>
      <c r="K652" s="260"/>
    </row>
    <row r="653" ht="15.75" customHeight="1">
      <c r="D653" s="258"/>
      <c r="E653" s="260"/>
      <c r="F653" s="260"/>
      <c r="G653" s="260"/>
      <c r="H653" s="260"/>
      <c r="I653" s="260"/>
      <c r="J653" s="260"/>
      <c r="K653" s="260"/>
    </row>
    <row r="654" ht="15.75" customHeight="1">
      <c r="D654" s="258"/>
      <c r="E654" s="260"/>
      <c r="F654" s="260"/>
      <c r="G654" s="260"/>
      <c r="H654" s="260"/>
      <c r="I654" s="260"/>
      <c r="J654" s="260"/>
      <c r="K654" s="260"/>
    </row>
    <row r="655" ht="15.75" customHeight="1">
      <c r="D655" s="258"/>
      <c r="E655" s="260"/>
      <c r="F655" s="260"/>
      <c r="G655" s="260"/>
      <c r="H655" s="260"/>
      <c r="I655" s="260"/>
      <c r="J655" s="260"/>
      <c r="K655" s="260"/>
    </row>
    <row r="656" ht="15.75" customHeight="1">
      <c r="D656" s="258"/>
      <c r="E656" s="260"/>
      <c r="F656" s="260"/>
      <c r="G656" s="260"/>
      <c r="H656" s="260"/>
      <c r="I656" s="260"/>
      <c r="J656" s="260"/>
      <c r="K656" s="260"/>
    </row>
    <row r="657" ht="15.75" customHeight="1">
      <c r="D657" s="258"/>
      <c r="E657" s="260"/>
      <c r="F657" s="260"/>
      <c r="G657" s="260"/>
      <c r="H657" s="260"/>
      <c r="I657" s="260"/>
      <c r="J657" s="260"/>
      <c r="K657" s="260"/>
    </row>
    <row r="658" ht="15.75" customHeight="1">
      <c r="D658" s="258"/>
      <c r="E658" s="260"/>
      <c r="F658" s="260"/>
      <c r="G658" s="260"/>
      <c r="H658" s="260"/>
      <c r="I658" s="260"/>
      <c r="J658" s="260"/>
      <c r="K658" s="260"/>
    </row>
    <row r="659" ht="15.75" customHeight="1">
      <c r="D659" s="258"/>
      <c r="E659" s="260"/>
      <c r="F659" s="260"/>
      <c r="G659" s="260"/>
      <c r="H659" s="260"/>
      <c r="I659" s="260"/>
      <c r="J659" s="260"/>
      <c r="K659" s="260"/>
    </row>
    <row r="660" ht="15.75" customHeight="1">
      <c r="D660" s="258"/>
      <c r="E660" s="260"/>
      <c r="F660" s="260"/>
      <c r="G660" s="260"/>
      <c r="H660" s="260"/>
      <c r="I660" s="260"/>
      <c r="J660" s="260"/>
      <c r="K660" s="260"/>
    </row>
    <row r="661" ht="15.75" customHeight="1">
      <c r="D661" s="258"/>
      <c r="E661" s="260"/>
      <c r="F661" s="260"/>
      <c r="G661" s="260"/>
      <c r="H661" s="260"/>
      <c r="I661" s="260"/>
      <c r="J661" s="260"/>
      <c r="K661" s="260"/>
    </row>
    <row r="662" ht="15.75" customHeight="1">
      <c r="D662" s="258"/>
      <c r="E662" s="260"/>
      <c r="F662" s="260"/>
      <c r="G662" s="260"/>
      <c r="H662" s="260"/>
      <c r="I662" s="260"/>
      <c r="J662" s="260"/>
      <c r="K662" s="260"/>
    </row>
    <row r="663" ht="15.75" customHeight="1">
      <c r="D663" s="258"/>
      <c r="E663" s="260"/>
      <c r="F663" s="260"/>
      <c r="G663" s="260"/>
      <c r="H663" s="260"/>
      <c r="I663" s="260"/>
      <c r="J663" s="260"/>
      <c r="K663" s="260"/>
    </row>
    <row r="664" ht="15.75" customHeight="1">
      <c r="D664" s="258"/>
      <c r="E664" s="260"/>
      <c r="F664" s="260"/>
      <c r="G664" s="260"/>
      <c r="H664" s="260"/>
      <c r="I664" s="260"/>
      <c r="J664" s="260"/>
      <c r="K664" s="260"/>
    </row>
    <row r="665" ht="15.75" customHeight="1">
      <c r="D665" s="258"/>
      <c r="E665" s="260"/>
      <c r="F665" s="260"/>
      <c r="G665" s="260"/>
      <c r="H665" s="260"/>
      <c r="I665" s="260"/>
      <c r="J665" s="260"/>
      <c r="K665" s="260"/>
    </row>
    <row r="666" ht="15.75" customHeight="1">
      <c r="D666" s="258"/>
      <c r="E666" s="260"/>
      <c r="F666" s="260"/>
      <c r="G666" s="260"/>
      <c r="H666" s="260"/>
      <c r="I666" s="260"/>
      <c r="J666" s="260"/>
      <c r="K666" s="260"/>
    </row>
    <row r="667" ht="15.75" customHeight="1">
      <c r="D667" s="258"/>
      <c r="E667" s="260"/>
      <c r="F667" s="260"/>
      <c r="G667" s="260"/>
      <c r="H667" s="260"/>
      <c r="I667" s="260"/>
      <c r="J667" s="260"/>
      <c r="K667" s="260"/>
    </row>
    <row r="668" ht="15.75" customHeight="1">
      <c r="D668" s="258"/>
      <c r="E668" s="260"/>
      <c r="F668" s="260"/>
      <c r="G668" s="260"/>
      <c r="H668" s="260"/>
      <c r="I668" s="260"/>
      <c r="J668" s="260"/>
      <c r="K668" s="260"/>
    </row>
    <row r="669" ht="15.75" customHeight="1">
      <c r="D669" s="258"/>
      <c r="E669" s="260"/>
      <c r="F669" s="260"/>
      <c r="G669" s="260"/>
      <c r="H669" s="260"/>
      <c r="I669" s="260"/>
      <c r="J669" s="260"/>
      <c r="K669" s="260"/>
    </row>
    <row r="670" ht="15.75" customHeight="1">
      <c r="D670" s="258"/>
      <c r="E670" s="260"/>
      <c r="F670" s="260"/>
      <c r="G670" s="260"/>
      <c r="H670" s="260"/>
      <c r="I670" s="260"/>
      <c r="J670" s="260"/>
      <c r="K670" s="260"/>
    </row>
    <row r="671" ht="15.75" customHeight="1">
      <c r="D671" s="258"/>
      <c r="E671" s="260"/>
      <c r="F671" s="260"/>
      <c r="G671" s="260"/>
      <c r="H671" s="260"/>
      <c r="I671" s="260"/>
      <c r="J671" s="260"/>
      <c r="K671" s="260"/>
    </row>
    <row r="672" ht="15.75" customHeight="1">
      <c r="D672" s="258"/>
      <c r="E672" s="260"/>
      <c r="F672" s="260"/>
      <c r="G672" s="260"/>
      <c r="H672" s="260"/>
      <c r="I672" s="260"/>
      <c r="J672" s="260"/>
      <c r="K672" s="260"/>
    </row>
    <row r="673" ht="15.75" customHeight="1">
      <c r="D673" s="258"/>
      <c r="E673" s="260"/>
      <c r="F673" s="260"/>
      <c r="G673" s="260"/>
      <c r="H673" s="260"/>
      <c r="I673" s="260"/>
      <c r="J673" s="260"/>
      <c r="K673" s="260"/>
    </row>
    <row r="674" ht="15.75" customHeight="1">
      <c r="D674" s="258"/>
      <c r="E674" s="260"/>
      <c r="F674" s="260"/>
      <c r="G674" s="260"/>
      <c r="H674" s="260"/>
      <c r="I674" s="260"/>
      <c r="J674" s="260"/>
      <c r="K674" s="260"/>
    </row>
    <row r="675" ht="15.75" customHeight="1">
      <c r="D675" s="258"/>
      <c r="E675" s="260"/>
      <c r="F675" s="260"/>
      <c r="G675" s="260"/>
      <c r="H675" s="260"/>
      <c r="I675" s="260"/>
      <c r="J675" s="260"/>
      <c r="K675" s="260"/>
    </row>
    <row r="676" ht="15.75" customHeight="1">
      <c r="D676" s="258"/>
      <c r="E676" s="260"/>
      <c r="F676" s="260"/>
      <c r="G676" s="260"/>
      <c r="H676" s="260"/>
      <c r="I676" s="260"/>
      <c r="J676" s="260"/>
      <c r="K676" s="260"/>
    </row>
    <row r="677" ht="15.75" customHeight="1">
      <c r="D677" s="258"/>
      <c r="E677" s="260"/>
      <c r="F677" s="260"/>
      <c r="G677" s="260"/>
      <c r="H677" s="260"/>
      <c r="I677" s="260"/>
      <c r="J677" s="260"/>
      <c r="K677" s="260"/>
    </row>
    <row r="678" ht="15.75" customHeight="1">
      <c r="D678" s="258"/>
      <c r="E678" s="260"/>
      <c r="F678" s="260"/>
      <c r="G678" s="260"/>
      <c r="H678" s="260"/>
      <c r="I678" s="260"/>
      <c r="J678" s="260"/>
      <c r="K678" s="260"/>
    </row>
    <row r="679" ht="15.75" customHeight="1">
      <c r="D679" s="258"/>
      <c r="E679" s="260"/>
      <c r="F679" s="260"/>
      <c r="G679" s="260"/>
      <c r="H679" s="260"/>
      <c r="I679" s="260"/>
      <c r="J679" s="260"/>
      <c r="K679" s="260"/>
    </row>
    <row r="680" ht="15.75" customHeight="1">
      <c r="D680" s="258"/>
      <c r="E680" s="260"/>
      <c r="F680" s="260"/>
      <c r="G680" s="260"/>
      <c r="H680" s="260"/>
      <c r="I680" s="260"/>
      <c r="J680" s="260"/>
      <c r="K680" s="260"/>
    </row>
    <row r="681" ht="15.75" customHeight="1">
      <c r="D681" s="258"/>
      <c r="E681" s="260"/>
      <c r="F681" s="260"/>
      <c r="G681" s="260"/>
      <c r="H681" s="260"/>
      <c r="I681" s="260"/>
      <c r="J681" s="260"/>
      <c r="K681" s="260"/>
    </row>
    <row r="682" ht="15.75" customHeight="1">
      <c r="D682" s="258"/>
      <c r="E682" s="260"/>
      <c r="F682" s="260"/>
      <c r="G682" s="260"/>
      <c r="H682" s="260"/>
      <c r="I682" s="260"/>
      <c r="J682" s="260"/>
      <c r="K682" s="260"/>
    </row>
    <row r="683" ht="15.75" customHeight="1">
      <c r="D683" s="258"/>
      <c r="E683" s="260"/>
      <c r="F683" s="260"/>
      <c r="G683" s="260"/>
      <c r="H683" s="260"/>
      <c r="I683" s="260"/>
      <c r="J683" s="260"/>
      <c r="K683" s="260"/>
    </row>
    <row r="684" ht="15.75" customHeight="1">
      <c r="D684" s="258"/>
      <c r="E684" s="260"/>
      <c r="F684" s="260"/>
      <c r="G684" s="260"/>
      <c r="H684" s="260"/>
      <c r="I684" s="260"/>
      <c r="J684" s="260"/>
      <c r="K684" s="260"/>
    </row>
    <row r="685" ht="15.75" customHeight="1">
      <c r="D685" s="258"/>
      <c r="E685" s="260"/>
      <c r="F685" s="260"/>
      <c r="G685" s="260"/>
      <c r="H685" s="260"/>
      <c r="I685" s="260"/>
      <c r="J685" s="260"/>
      <c r="K685" s="260"/>
    </row>
    <row r="686" ht="15.75" customHeight="1">
      <c r="D686" s="258"/>
      <c r="E686" s="260"/>
      <c r="F686" s="260"/>
      <c r="G686" s="260"/>
      <c r="H686" s="260"/>
      <c r="I686" s="260"/>
      <c r="J686" s="260"/>
      <c r="K686" s="260"/>
    </row>
    <row r="687" ht="15.75" customHeight="1">
      <c r="D687" s="258"/>
      <c r="E687" s="260"/>
      <c r="F687" s="260"/>
      <c r="G687" s="260"/>
      <c r="H687" s="260"/>
      <c r="I687" s="260"/>
      <c r="J687" s="260"/>
      <c r="K687" s="260"/>
    </row>
    <row r="688" ht="15.75" customHeight="1">
      <c r="D688" s="258"/>
      <c r="E688" s="260"/>
      <c r="F688" s="260"/>
      <c r="G688" s="260"/>
      <c r="H688" s="260"/>
      <c r="I688" s="260"/>
      <c r="J688" s="260"/>
      <c r="K688" s="260"/>
    </row>
    <row r="689" ht="15.75" customHeight="1">
      <c r="D689" s="258"/>
      <c r="E689" s="260"/>
      <c r="F689" s="260"/>
      <c r="G689" s="260"/>
      <c r="H689" s="260"/>
      <c r="I689" s="260"/>
      <c r="J689" s="260"/>
      <c r="K689" s="260"/>
    </row>
    <row r="690" ht="15.75" customHeight="1">
      <c r="D690" s="258"/>
      <c r="E690" s="260"/>
      <c r="F690" s="260"/>
      <c r="G690" s="260"/>
      <c r="H690" s="260"/>
      <c r="I690" s="260"/>
      <c r="J690" s="260"/>
      <c r="K690" s="260"/>
    </row>
    <row r="691" ht="15.75" customHeight="1">
      <c r="D691" s="258"/>
      <c r="E691" s="260"/>
      <c r="F691" s="260"/>
      <c r="G691" s="260"/>
      <c r="H691" s="260"/>
      <c r="I691" s="260"/>
      <c r="J691" s="260"/>
      <c r="K691" s="260"/>
    </row>
    <row r="692" ht="15.75" customHeight="1">
      <c r="D692" s="258"/>
      <c r="E692" s="260"/>
      <c r="F692" s="260"/>
      <c r="G692" s="260"/>
      <c r="H692" s="260"/>
      <c r="I692" s="260"/>
      <c r="J692" s="260"/>
      <c r="K692" s="260"/>
    </row>
    <row r="693" ht="15.75" customHeight="1">
      <c r="D693" s="258"/>
      <c r="E693" s="260"/>
      <c r="F693" s="260"/>
      <c r="G693" s="260"/>
      <c r="H693" s="260"/>
      <c r="I693" s="260"/>
      <c r="J693" s="260"/>
      <c r="K693" s="260"/>
    </row>
    <row r="694" ht="15.75" customHeight="1">
      <c r="D694" s="258"/>
      <c r="E694" s="260"/>
      <c r="F694" s="260"/>
      <c r="G694" s="260"/>
      <c r="H694" s="260"/>
      <c r="I694" s="260"/>
      <c r="J694" s="260"/>
      <c r="K694" s="260"/>
    </row>
    <row r="695" ht="15.75" customHeight="1">
      <c r="D695" s="258"/>
      <c r="E695" s="260"/>
      <c r="F695" s="260"/>
      <c r="G695" s="260"/>
      <c r="H695" s="260"/>
      <c r="I695" s="260"/>
      <c r="J695" s="260"/>
      <c r="K695" s="260"/>
    </row>
    <row r="696" ht="15.75" customHeight="1">
      <c r="D696" s="258"/>
      <c r="E696" s="260"/>
      <c r="F696" s="260"/>
      <c r="G696" s="260"/>
      <c r="H696" s="260"/>
      <c r="I696" s="260"/>
      <c r="J696" s="260"/>
      <c r="K696" s="260"/>
    </row>
    <row r="697" ht="15.75" customHeight="1">
      <c r="D697" s="258"/>
      <c r="E697" s="260"/>
      <c r="F697" s="260"/>
      <c r="G697" s="260"/>
      <c r="H697" s="260"/>
      <c r="I697" s="260"/>
      <c r="J697" s="260"/>
      <c r="K697" s="260"/>
    </row>
    <row r="698" ht="15.75" customHeight="1">
      <c r="D698" s="258"/>
      <c r="E698" s="260"/>
      <c r="F698" s="260"/>
      <c r="G698" s="260"/>
      <c r="H698" s="260"/>
      <c r="I698" s="260"/>
      <c r="J698" s="260"/>
      <c r="K698" s="260"/>
    </row>
    <row r="699" ht="15.75" customHeight="1">
      <c r="D699" s="258"/>
      <c r="E699" s="260"/>
      <c r="F699" s="260"/>
      <c r="G699" s="260"/>
      <c r="H699" s="260"/>
      <c r="I699" s="260"/>
      <c r="J699" s="260"/>
      <c r="K699" s="260"/>
    </row>
    <row r="700" ht="15.75" customHeight="1">
      <c r="D700" s="258"/>
      <c r="E700" s="260"/>
      <c r="F700" s="260"/>
      <c r="G700" s="260"/>
      <c r="H700" s="260"/>
      <c r="I700" s="260"/>
      <c r="J700" s="260"/>
      <c r="K700" s="260"/>
    </row>
    <row r="701" ht="15.75" customHeight="1">
      <c r="D701" s="258"/>
      <c r="E701" s="260"/>
      <c r="F701" s="260"/>
      <c r="G701" s="260"/>
      <c r="H701" s="260"/>
      <c r="I701" s="260"/>
      <c r="J701" s="260"/>
      <c r="K701" s="260"/>
    </row>
    <row r="702" ht="15.75" customHeight="1">
      <c r="D702" s="258"/>
      <c r="E702" s="260"/>
      <c r="F702" s="260"/>
      <c r="G702" s="260"/>
      <c r="H702" s="260"/>
      <c r="I702" s="260"/>
      <c r="J702" s="260"/>
      <c r="K702" s="260"/>
    </row>
    <row r="703" ht="15.75" customHeight="1">
      <c r="D703" s="258"/>
      <c r="E703" s="260"/>
      <c r="F703" s="260"/>
      <c r="G703" s="260"/>
      <c r="H703" s="260"/>
      <c r="I703" s="260"/>
      <c r="J703" s="260"/>
      <c r="K703" s="260"/>
    </row>
    <row r="704" ht="15.75" customHeight="1">
      <c r="D704" s="258"/>
      <c r="E704" s="260"/>
      <c r="F704" s="260"/>
      <c r="G704" s="260"/>
      <c r="H704" s="260"/>
      <c r="I704" s="260"/>
      <c r="J704" s="260"/>
      <c r="K704" s="260"/>
    </row>
    <row r="705" ht="15.75" customHeight="1">
      <c r="D705" s="258"/>
      <c r="E705" s="260"/>
      <c r="F705" s="260"/>
      <c r="G705" s="260"/>
      <c r="H705" s="260"/>
      <c r="I705" s="260"/>
      <c r="J705" s="260"/>
      <c r="K705" s="260"/>
    </row>
    <row r="706" ht="15.75" customHeight="1">
      <c r="D706" s="258"/>
      <c r="E706" s="260"/>
      <c r="F706" s="260"/>
      <c r="G706" s="260"/>
      <c r="H706" s="260"/>
      <c r="I706" s="260"/>
      <c r="J706" s="260"/>
      <c r="K706" s="260"/>
    </row>
    <row r="707" ht="15.75" customHeight="1">
      <c r="D707" s="258"/>
      <c r="E707" s="260"/>
      <c r="F707" s="260"/>
      <c r="G707" s="260"/>
      <c r="H707" s="260"/>
      <c r="I707" s="260"/>
      <c r="J707" s="260"/>
      <c r="K707" s="260"/>
    </row>
    <row r="708" ht="15.75" customHeight="1">
      <c r="D708" s="258"/>
      <c r="E708" s="260"/>
      <c r="F708" s="260"/>
      <c r="G708" s="260"/>
      <c r="H708" s="260"/>
      <c r="I708" s="260"/>
      <c r="J708" s="260"/>
      <c r="K708" s="260"/>
    </row>
    <row r="709" ht="15.75" customHeight="1">
      <c r="D709" s="258"/>
      <c r="E709" s="260"/>
      <c r="F709" s="260"/>
      <c r="G709" s="260"/>
      <c r="H709" s="260"/>
      <c r="I709" s="260"/>
      <c r="J709" s="260"/>
      <c r="K709" s="260"/>
    </row>
    <row r="710" ht="15.75" customHeight="1">
      <c r="D710" s="258"/>
      <c r="E710" s="260"/>
      <c r="F710" s="260"/>
      <c r="G710" s="260"/>
      <c r="H710" s="260"/>
      <c r="I710" s="260"/>
      <c r="J710" s="260"/>
      <c r="K710" s="260"/>
    </row>
    <row r="711" ht="15.75" customHeight="1">
      <c r="D711" s="258"/>
      <c r="E711" s="260"/>
      <c r="F711" s="260"/>
      <c r="G711" s="260"/>
      <c r="H711" s="260"/>
      <c r="I711" s="260"/>
      <c r="J711" s="260"/>
      <c r="K711" s="260"/>
    </row>
    <row r="712" ht="15.75" customHeight="1">
      <c r="D712" s="258"/>
      <c r="E712" s="260"/>
      <c r="F712" s="260"/>
      <c r="G712" s="260"/>
      <c r="H712" s="260"/>
      <c r="I712" s="260"/>
      <c r="J712" s="260"/>
      <c r="K712" s="260"/>
    </row>
    <row r="713" ht="15.75" customHeight="1">
      <c r="D713" s="258"/>
      <c r="E713" s="260"/>
      <c r="F713" s="260"/>
      <c r="G713" s="260"/>
      <c r="H713" s="260"/>
      <c r="I713" s="260"/>
      <c r="J713" s="260"/>
      <c r="K713" s="260"/>
    </row>
    <row r="714" ht="15.75" customHeight="1">
      <c r="D714" s="258"/>
      <c r="E714" s="260"/>
      <c r="F714" s="260"/>
      <c r="G714" s="260"/>
      <c r="H714" s="260"/>
      <c r="I714" s="260"/>
      <c r="J714" s="260"/>
      <c r="K714" s="260"/>
    </row>
    <row r="715" ht="15.75" customHeight="1">
      <c r="D715" s="258"/>
      <c r="E715" s="260"/>
      <c r="F715" s="260"/>
      <c r="G715" s="260"/>
      <c r="H715" s="260"/>
      <c r="I715" s="260"/>
      <c r="J715" s="260"/>
      <c r="K715" s="260"/>
    </row>
    <row r="716" ht="15.75" customHeight="1">
      <c r="D716" s="258"/>
      <c r="E716" s="260"/>
      <c r="F716" s="260"/>
      <c r="G716" s="260"/>
      <c r="H716" s="260"/>
      <c r="I716" s="260"/>
      <c r="J716" s="260"/>
      <c r="K716" s="260"/>
    </row>
    <row r="717" ht="15.75" customHeight="1">
      <c r="D717" s="258"/>
      <c r="E717" s="260"/>
      <c r="F717" s="260"/>
      <c r="G717" s="260"/>
      <c r="H717" s="260"/>
      <c r="I717" s="260"/>
      <c r="J717" s="260"/>
      <c r="K717" s="260"/>
    </row>
    <row r="718" ht="15.75" customHeight="1">
      <c r="D718" s="258"/>
      <c r="E718" s="260"/>
      <c r="F718" s="260"/>
      <c r="G718" s="260"/>
      <c r="H718" s="260"/>
      <c r="I718" s="260"/>
      <c r="J718" s="260"/>
      <c r="K718" s="260"/>
    </row>
    <row r="719" ht="15.75" customHeight="1">
      <c r="D719" s="258"/>
      <c r="E719" s="260"/>
      <c r="F719" s="260"/>
      <c r="G719" s="260"/>
      <c r="H719" s="260"/>
      <c r="I719" s="260"/>
      <c r="J719" s="260"/>
      <c r="K719" s="260"/>
    </row>
    <row r="720" ht="15.75" customHeight="1">
      <c r="D720" s="258"/>
      <c r="E720" s="260"/>
      <c r="F720" s="260"/>
      <c r="G720" s="260"/>
      <c r="H720" s="260"/>
      <c r="I720" s="260"/>
      <c r="J720" s="260"/>
      <c r="K720" s="260"/>
    </row>
    <row r="721" ht="15.75" customHeight="1">
      <c r="D721" s="258"/>
      <c r="E721" s="260"/>
      <c r="F721" s="260"/>
      <c r="G721" s="260"/>
      <c r="H721" s="260"/>
      <c r="I721" s="260"/>
      <c r="J721" s="260"/>
      <c r="K721" s="260"/>
    </row>
    <row r="722" ht="15.75" customHeight="1">
      <c r="D722" s="258"/>
      <c r="E722" s="260"/>
      <c r="F722" s="260"/>
      <c r="G722" s="260"/>
      <c r="H722" s="260"/>
      <c r="I722" s="260"/>
      <c r="J722" s="260"/>
      <c r="K722" s="260"/>
    </row>
    <row r="723" ht="15.75" customHeight="1">
      <c r="D723" s="258"/>
      <c r="E723" s="260"/>
      <c r="F723" s="260"/>
      <c r="G723" s="260"/>
      <c r="H723" s="260"/>
      <c r="I723" s="260"/>
      <c r="J723" s="260"/>
      <c r="K723" s="260"/>
    </row>
    <row r="724" ht="15.75" customHeight="1">
      <c r="D724" s="258"/>
      <c r="E724" s="260"/>
      <c r="F724" s="260"/>
      <c r="G724" s="260"/>
      <c r="H724" s="260"/>
      <c r="I724" s="260"/>
      <c r="J724" s="260"/>
      <c r="K724" s="260"/>
    </row>
    <row r="725" ht="15.75" customHeight="1">
      <c r="D725" s="258"/>
      <c r="E725" s="260"/>
      <c r="F725" s="260"/>
      <c r="G725" s="260"/>
      <c r="H725" s="260"/>
      <c r="I725" s="260"/>
      <c r="J725" s="260"/>
      <c r="K725" s="260"/>
    </row>
    <row r="726" ht="15.75" customHeight="1">
      <c r="D726" s="258"/>
      <c r="E726" s="260"/>
      <c r="F726" s="260"/>
      <c r="G726" s="260"/>
      <c r="H726" s="260"/>
      <c r="I726" s="260"/>
      <c r="J726" s="260"/>
      <c r="K726" s="260"/>
    </row>
    <row r="727" ht="15.75" customHeight="1">
      <c r="D727" s="258"/>
      <c r="E727" s="260"/>
      <c r="F727" s="260"/>
      <c r="G727" s="260"/>
      <c r="H727" s="260"/>
      <c r="I727" s="260"/>
      <c r="J727" s="260"/>
      <c r="K727" s="260"/>
    </row>
    <row r="728" ht="15.75" customHeight="1">
      <c r="D728" s="258"/>
      <c r="E728" s="260"/>
      <c r="F728" s="260"/>
      <c r="G728" s="260"/>
      <c r="H728" s="260"/>
      <c r="I728" s="260"/>
      <c r="J728" s="260"/>
      <c r="K728" s="260"/>
    </row>
    <row r="729" ht="15.75" customHeight="1">
      <c r="D729" s="258"/>
      <c r="E729" s="260"/>
      <c r="F729" s="260"/>
      <c r="G729" s="260"/>
      <c r="H729" s="260"/>
      <c r="I729" s="260"/>
      <c r="J729" s="260"/>
      <c r="K729" s="260"/>
    </row>
    <row r="730" ht="15.75" customHeight="1">
      <c r="D730" s="258"/>
      <c r="E730" s="260"/>
      <c r="F730" s="260"/>
      <c r="G730" s="260"/>
      <c r="H730" s="260"/>
      <c r="I730" s="260"/>
      <c r="J730" s="260"/>
      <c r="K730" s="260"/>
    </row>
    <row r="731" ht="15.75" customHeight="1">
      <c r="D731" s="258"/>
      <c r="E731" s="260"/>
      <c r="F731" s="260"/>
      <c r="G731" s="260"/>
      <c r="H731" s="260"/>
      <c r="I731" s="260"/>
      <c r="J731" s="260"/>
      <c r="K731" s="260"/>
    </row>
    <row r="732" ht="15.75" customHeight="1">
      <c r="D732" s="258"/>
      <c r="E732" s="260"/>
      <c r="F732" s="260"/>
      <c r="G732" s="260"/>
      <c r="H732" s="260"/>
      <c r="I732" s="260"/>
      <c r="J732" s="260"/>
      <c r="K732" s="260"/>
    </row>
    <row r="733" ht="15.75" customHeight="1">
      <c r="D733" s="258"/>
      <c r="E733" s="260"/>
      <c r="F733" s="260"/>
      <c r="G733" s="260"/>
      <c r="H733" s="260"/>
      <c r="I733" s="260"/>
      <c r="J733" s="260"/>
      <c r="K733" s="260"/>
    </row>
    <row r="734" ht="15.75" customHeight="1">
      <c r="D734" s="258"/>
      <c r="E734" s="260"/>
      <c r="F734" s="260"/>
      <c r="G734" s="260"/>
      <c r="H734" s="260"/>
      <c r="I734" s="260"/>
      <c r="J734" s="260"/>
      <c r="K734" s="260"/>
    </row>
    <row r="735" ht="15.75" customHeight="1">
      <c r="D735" s="258"/>
      <c r="E735" s="260"/>
      <c r="F735" s="260"/>
      <c r="G735" s="260"/>
      <c r="H735" s="260"/>
      <c r="I735" s="260"/>
      <c r="J735" s="260"/>
      <c r="K735" s="260"/>
    </row>
    <row r="736" ht="15.75" customHeight="1">
      <c r="D736" s="258"/>
      <c r="E736" s="260"/>
      <c r="F736" s="260"/>
      <c r="G736" s="260"/>
      <c r="H736" s="260"/>
      <c r="I736" s="260"/>
      <c r="J736" s="260"/>
      <c r="K736" s="260"/>
    </row>
    <row r="737" ht="15.75" customHeight="1">
      <c r="D737" s="258"/>
      <c r="E737" s="260"/>
      <c r="F737" s="260"/>
      <c r="G737" s="260"/>
      <c r="H737" s="260"/>
      <c r="I737" s="260"/>
      <c r="J737" s="260"/>
      <c r="K737" s="260"/>
    </row>
    <row r="738" ht="15.75" customHeight="1">
      <c r="D738" s="258"/>
      <c r="E738" s="260"/>
      <c r="F738" s="260"/>
      <c r="G738" s="260"/>
      <c r="H738" s="260"/>
      <c r="I738" s="260"/>
      <c r="J738" s="260"/>
      <c r="K738" s="260"/>
    </row>
    <row r="739" ht="15.75" customHeight="1">
      <c r="D739" s="258"/>
      <c r="E739" s="260"/>
      <c r="F739" s="260"/>
      <c r="G739" s="260"/>
      <c r="H739" s="260"/>
      <c r="I739" s="260"/>
      <c r="J739" s="260"/>
      <c r="K739" s="260"/>
    </row>
    <row r="740" ht="15.75" customHeight="1">
      <c r="D740" s="258"/>
      <c r="E740" s="260"/>
      <c r="F740" s="260"/>
      <c r="G740" s="260"/>
      <c r="H740" s="260"/>
      <c r="I740" s="260"/>
      <c r="J740" s="260"/>
      <c r="K740" s="260"/>
    </row>
    <row r="741" ht="15.75" customHeight="1">
      <c r="D741" s="258"/>
      <c r="E741" s="260"/>
      <c r="F741" s="260"/>
      <c r="G741" s="260"/>
      <c r="H741" s="260"/>
      <c r="I741" s="260"/>
      <c r="J741" s="260"/>
      <c r="K741" s="260"/>
    </row>
    <row r="742" ht="15.75" customHeight="1">
      <c r="D742" s="258"/>
      <c r="E742" s="260"/>
      <c r="F742" s="260"/>
      <c r="G742" s="260"/>
      <c r="H742" s="260"/>
      <c r="I742" s="260"/>
      <c r="J742" s="260"/>
      <c r="K742" s="260"/>
    </row>
    <row r="743" ht="15.75" customHeight="1">
      <c r="D743" s="258"/>
      <c r="E743" s="260"/>
      <c r="F743" s="260"/>
      <c r="G743" s="260"/>
      <c r="H743" s="260"/>
      <c r="I743" s="260"/>
      <c r="J743" s="260"/>
      <c r="K743" s="260"/>
    </row>
    <row r="744" ht="15.75" customHeight="1">
      <c r="D744" s="258"/>
      <c r="E744" s="260"/>
      <c r="F744" s="260"/>
      <c r="G744" s="260"/>
      <c r="H744" s="260"/>
      <c r="I744" s="260"/>
      <c r="J744" s="260"/>
      <c r="K744" s="260"/>
    </row>
    <row r="745" ht="15.75" customHeight="1">
      <c r="D745" s="258"/>
      <c r="E745" s="260"/>
      <c r="F745" s="260"/>
      <c r="G745" s="260"/>
      <c r="H745" s="260"/>
      <c r="I745" s="260"/>
      <c r="J745" s="260"/>
      <c r="K745" s="260"/>
    </row>
    <row r="746" ht="15.75" customHeight="1">
      <c r="D746" s="258"/>
      <c r="E746" s="260"/>
      <c r="F746" s="260"/>
      <c r="G746" s="260"/>
      <c r="H746" s="260"/>
      <c r="I746" s="260"/>
      <c r="J746" s="260"/>
      <c r="K746" s="260"/>
    </row>
    <row r="747" ht="15.75" customHeight="1">
      <c r="D747" s="258"/>
      <c r="E747" s="260"/>
      <c r="F747" s="260"/>
      <c r="G747" s="260"/>
      <c r="H747" s="260"/>
      <c r="I747" s="260"/>
      <c r="J747" s="260"/>
      <c r="K747" s="260"/>
    </row>
    <row r="748" ht="15.75" customHeight="1">
      <c r="D748" s="258"/>
      <c r="E748" s="260"/>
      <c r="F748" s="260"/>
      <c r="G748" s="260"/>
      <c r="H748" s="260"/>
      <c r="I748" s="260"/>
      <c r="J748" s="260"/>
      <c r="K748" s="260"/>
    </row>
    <row r="749" ht="15.75" customHeight="1">
      <c r="D749" s="258"/>
      <c r="E749" s="260"/>
      <c r="F749" s="260"/>
      <c r="G749" s="260"/>
      <c r="H749" s="260"/>
      <c r="I749" s="260"/>
      <c r="J749" s="260"/>
      <c r="K749" s="260"/>
    </row>
    <row r="750" ht="15.75" customHeight="1">
      <c r="D750" s="258"/>
      <c r="E750" s="260"/>
      <c r="F750" s="260"/>
      <c r="G750" s="260"/>
      <c r="H750" s="260"/>
      <c r="I750" s="260"/>
      <c r="J750" s="260"/>
      <c r="K750" s="260"/>
    </row>
    <row r="751" ht="15.75" customHeight="1">
      <c r="D751" s="258"/>
      <c r="E751" s="260"/>
      <c r="F751" s="260"/>
      <c r="G751" s="260"/>
      <c r="H751" s="260"/>
      <c r="I751" s="260"/>
      <c r="J751" s="260"/>
      <c r="K751" s="260"/>
    </row>
    <row r="752" ht="15.75" customHeight="1">
      <c r="D752" s="258"/>
      <c r="E752" s="260"/>
      <c r="F752" s="260"/>
      <c r="G752" s="260"/>
      <c r="H752" s="260"/>
      <c r="I752" s="260"/>
      <c r="J752" s="260"/>
      <c r="K752" s="260"/>
    </row>
    <row r="753" ht="15.75" customHeight="1">
      <c r="D753" s="258"/>
      <c r="E753" s="260"/>
      <c r="F753" s="260"/>
      <c r="G753" s="260"/>
      <c r="H753" s="260"/>
      <c r="I753" s="260"/>
      <c r="J753" s="260"/>
      <c r="K753" s="260"/>
    </row>
    <row r="754" ht="15.75" customHeight="1">
      <c r="D754" s="258"/>
      <c r="E754" s="260"/>
      <c r="F754" s="260"/>
      <c r="G754" s="260"/>
      <c r="H754" s="260"/>
      <c r="I754" s="260"/>
      <c r="J754" s="260"/>
      <c r="K754" s="260"/>
    </row>
    <row r="755" ht="15.75" customHeight="1">
      <c r="D755" s="258"/>
      <c r="E755" s="260"/>
      <c r="F755" s="260"/>
      <c r="G755" s="260"/>
      <c r="H755" s="260"/>
      <c r="I755" s="260"/>
      <c r="J755" s="260"/>
      <c r="K755" s="260"/>
    </row>
    <row r="756" ht="15.75" customHeight="1">
      <c r="D756" s="258"/>
      <c r="E756" s="260"/>
      <c r="F756" s="260"/>
      <c r="G756" s="260"/>
      <c r="H756" s="260"/>
      <c r="I756" s="260"/>
      <c r="J756" s="260"/>
      <c r="K756" s="260"/>
    </row>
    <row r="757" ht="15.75" customHeight="1">
      <c r="D757" s="258"/>
      <c r="E757" s="260"/>
      <c r="F757" s="260"/>
      <c r="G757" s="260"/>
      <c r="H757" s="260"/>
      <c r="I757" s="260"/>
      <c r="J757" s="260"/>
      <c r="K757" s="260"/>
    </row>
    <row r="758" ht="15.75" customHeight="1">
      <c r="D758" s="258"/>
      <c r="E758" s="260"/>
      <c r="F758" s="260"/>
      <c r="G758" s="260"/>
      <c r="H758" s="260"/>
      <c r="I758" s="260"/>
      <c r="J758" s="260"/>
      <c r="K758" s="260"/>
    </row>
    <row r="759" ht="15.75" customHeight="1">
      <c r="D759" s="258"/>
      <c r="E759" s="260"/>
      <c r="F759" s="260"/>
      <c r="G759" s="260"/>
      <c r="H759" s="260"/>
      <c r="I759" s="260"/>
      <c r="J759" s="260"/>
      <c r="K759" s="260"/>
    </row>
    <row r="760" ht="15.75" customHeight="1">
      <c r="D760" s="258"/>
      <c r="E760" s="260"/>
      <c r="F760" s="260"/>
      <c r="G760" s="260"/>
      <c r="H760" s="260"/>
      <c r="I760" s="260"/>
      <c r="J760" s="260"/>
      <c r="K760" s="260"/>
    </row>
    <row r="761" ht="15.75" customHeight="1">
      <c r="D761" s="258"/>
      <c r="E761" s="260"/>
      <c r="F761" s="260"/>
      <c r="G761" s="260"/>
      <c r="H761" s="260"/>
      <c r="I761" s="260"/>
      <c r="J761" s="260"/>
      <c r="K761" s="260"/>
    </row>
    <row r="762" ht="15.75" customHeight="1">
      <c r="D762" s="258"/>
      <c r="E762" s="260"/>
      <c r="F762" s="260"/>
      <c r="G762" s="260"/>
      <c r="H762" s="260"/>
      <c r="I762" s="260"/>
      <c r="J762" s="260"/>
      <c r="K762" s="260"/>
    </row>
    <row r="763" ht="15.75" customHeight="1">
      <c r="D763" s="258"/>
      <c r="E763" s="260"/>
      <c r="F763" s="260"/>
      <c r="G763" s="260"/>
      <c r="H763" s="260"/>
      <c r="I763" s="260"/>
      <c r="J763" s="260"/>
      <c r="K763" s="260"/>
    </row>
    <row r="764" ht="15.75" customHeight="1">
      <c r="D764" s="258"/>
      <c r="E764" s="260"/>
      <c r="F764" s="260"/>
      <c r="G764" s="260"/>
      <c r="H764" s="260"/>
      <c r="I764" s="260"/>
      <c r="J764" s="260"/>
      <c r="K764" s="260"/>
    </row>
    <row r="765" ht="15.75" customHeight="1">
      <c r="D765" s="258"/>
      <c r="E765" s="260"/>
      <c r="F765" s="260"/>
      <c r="G765" s="260"/>
      <c r="H765" s="260"/>
      <c r="I765" s="260"/>
      <c r="J765" s="260"/>
      <c r="K765" s="260"/>
    </row>
    <row r="766" ht="15.75" customHeight="1">
      <c r="D766" s="258"/>
      <c r="E766" s="260"/>
      <c r="F766" s="260"/>
      <c r="G766" s="260"/>
      <c r="H766" s="260"/>
      <c r="I766" s="260"/>
      <c r="J766" s="260"/>
      <c r="K766" s="260"/>
    </row>
    <row r="767" ht="15.75" customHeight="1">
      <c r="D767" s="258"/>
      <c r="E767" s="260"/>
      <c r="F767" s="260"/>
      <c r="G767" s="260"/>
      <c r="H767" s="260"/>
      <c r="I767" s="260"/>
      <c r="J767" s="260"/>
      <c r="K767" s="260"/>
    </row>
    <row r="768" ht="15.75" customHeight="1">
      <c r="D768" s="258"/>
      <c r="E768" s="260"/>
      <c r="F768" s="260"/>
      <c r="G768" s="260"/>
      <c r="H768" s="260"/>
      <c r="I768" s="260"/>
      <c r="J768" s="260"/>
      <c r="K768" s="260"/>
    </row>
    <row r="769" ht="15.75" customHeight="1">
      <c r="D769" s="258"/>
      <c r="E769" s="260"/>
      <c r="F769" s="260"/>
      <c r="G769" s="260"/>
      <c r="H769" s="260"/>
      <c r="I769" s="260"/>
      <c r="J769" s="260"/>
      <c r="K769" s="260"/>
    </row>
    <row r="770" ht="15.75" customHeight="1">
      <c r="D770" s="258"/>
      <c r="E770" s="260"/>
      <c r="F770" s="260"/>
      <c r="G770" s="260"/>
      <c r="H770" s="260"/>
      <c r="I770" s="260"/>
      <c r="J770" s="260"/>
      <c r="K770" s="260"/>
    </row>
    <row r="771" ht="15.75" customHeight="1">
      <c r="D771" s="258"/>
      <c r="E771" s="260"/>
      <c r="F771" s="260"/>
      <c r="G771" s="260"/>
      <c r="H771" s="260"/>
      <c r="I771" s="260"/>
      <c r="J771" s="260"/>
      <c r="K771" s="260"/>
    </row>
    <row r="772" ht="15.75" customHeight="1">
      <c r="D772" s="258"/>
      <c r="E772" s="260"/>
      <c r="F772" s="260"/>
      <c r="G772" s="260"/>
      <c r="H772" s="260"/>
      <c r="I772" s="260"/>
      <c r="J772" s="260"/>
      <c r="K772" s="260"/>
    </row>
    <row r="773" ht="15.75" customHeight="1">
      <c r="D773" s="258"/>
      <c r="E773" s="260"/>
      <c r="F773" s="260"/>
      <c r="G773" s="260"/>
      <c r="H773" s="260"/>
      <c r="I773" s="260"/>
      <c r="J773" s="260"/>
      <c r="K773" s="260"/>
    </row>
    <row r="774" ht="15.75" customHeight="1">
      <c r="D774" s="258"/>
      <c r="E774" s="260"/>
      <c r="F774" s="260"/>
      <c r="G774" s="260"/>
      <c r="H774" s="260"/>
      <c r="I774" s="260"/>
      <c r="J774" s="260"/>
      <c r="K774" s="260"/>
    </row>
    <row r="775" ht="15.75" customHeight="1">
      <c r="D775" s="258"/>
      <c r="E775" s="260"/>
      <c r="F775" s="260"/>
      <c r="G775" s="260"/>
      <c r="H775" s="260"/>
      <c r="I775" s="260"/>
      <c r="J775" s="260"/>
      <c r="K775" s="260"/>
    </row>
    <row r="776" ht="15.75" customHeight="1">
      <c r="D776" s="258"/>
      <c r="E776" s="260"/>
      <c r="F776" s="260"/>
      <c r="G776" s="260"/>
      <c r="H776" s="260"/>
      <c r="I776" s="260"/>
      <c r="J776" s="260"/>
      <c r="K776" s="260"/>
    </row>
    <row r="777" ht="15.75" customHeight="1">
      <c r="D777" s="258"/>
      <c r="E777" s="260"/>
      <c r="F777" s="260"/>
      <c r="G777" s="260"/>
      <c r="H777" s="260"/>
      <c r="I777" s="260"/>
      <c r="J777" s="260"/>
      <c r="K777" s="260"/>
    </row>
    <row r="778" ht="15.75" customHeight="1">
      <c r="D778" s="258"/>
      <c r="E778" s="260"/>
      <c r="F778" s="260"/>
      <c r="G778" s="260"/>
      <c r="H778" s="260"/>
      <c r="I778" s="260"/>
      <c r="J778" s="260"/>
      <c r="K778" s="260"/>
    </row>
    <row r="779" ht="15.75" customHeight="1">
      <c r="D779" s="258"/>
      <c r="E779" s="260"/>
      <c r="F779" s="260"/>
      <c r="G779" s="260"/>
      <c r="H779" s="260"/>
      <c r="I779" s="260"/>
      <c r="J779" s="260"/>
      <c r="K779" s="260"/>
    </row>
    <row r="780" ht="15.75" customHeight="1">
      <c r="D780" s="258"/>
      <c r="E780" s="260"/>
      <c r="F780" s="260"/>
      <c r="G780" s="260"/>
      <c r="H780" s="260"/>
      <c r="I780" s="260"/>
      <c r="J780" s="260"/>
      <c r="K780" s="260"/>
    </row>
    <row r="781" ht="15.75" customHeight="1">
      <c r="D781" s="258"/>
      <c r="E781" s="260"/>
      <c r="F781" s="260"/>
      <c r="G781" s="260"/>
      <c r="H781" s="260"/>
      <c r="I781" s="260"/>
      <c r="J781" s="260"/>
      <c r="K781" s="260"/>
    </row>
    <row r="782" ht="15.75" customHeight="1">
      <c r="D782" s="258"/>
      <c r="E782" s="260"/>
      <c r="F782" s="260"/>
      <c r="G782" s="260"/>
      <c r="H782" s="260"/>
      <c r="I782" s="260"/>
      <c r="J782" s="260"/>
      <c r="K782" s="260"/>
    </row>
    <row r="783" ht="15.75" customHeight="1">
      <c r="D783" s="258"/>
      <c r="E783" s="260"/>
      <c r="F783" s="260"/>
      <c r="G783" s="260"/>
      <c r="H783" s="260"/>
      <c r="I783" s="260"/>
      <c r="J783" s="260"/>
      <c r="K783" s="260"/>
    </row>
    <row r="784" ht="15.75" customHeight="1">
      <c r="D784" s="258"/>
      <c r="E784" s="260"/>
      <c r="F784" s="260"/>
      <c r="G784" s="260"/>
      <c r="H784" s="260"/>
      <c r="I784" s="260"/>
      <c r="J784" s="260"/>
      <c r="K784" s="260"/>
    </row>
    <row r="785" ht="15.75" customHeight="1">
      <c r="D785" s="258"/>
      <c r="E785" s="260"/>
      <c r="F785" s="260"/>
      <c r="G785" s="260"/>
      <c r="H785" s="260"/>
      <c r="I785" s="260"/>
      <c r="J785" s="260"/>
      <c r="K785" s="260"/>
    </row>
    <row r="786" ht="15.75" customHeight="1">
      <c r="D786" s="258"/>
      <c r="E786" s="260"/>
      <c r="F786" s="260"/>
      <c r="G786" s="260"/>
      <c r="H786" s="260"/>
      <c r="I786" s="260"/>
      <c r="J786" s="260"/>
      <c r="K786" s="260"/>
    </row>
    <row r="787" ht="15.75" customHeight="1">
      <c r="D787" s="258"/>
      <c r="E787" s="260"/>
      <c r="F787" s="260"/>
      <c r="G787" s="260"/>
      <c r="H787" s="260"/>
      <c r="I787" s="260"/>
      <c r="J787" s="260"/>
      <c r="K787" s="260"/>
    </row>
    <row r="788" ht="15.75" customHeight="1">
      <c r="D788" s="258"/>
      <c r="E788" s="260"/>
      <c r="F788" s="260"/>
      <c r="G788" s="260"/>
      <c r="H788" s="260"/>
      <c r="I788" s="260"/>
      <c r="J788" s="260"/>
      <c r="K788" s="260"/>
    </row>
    <row r="789" ht="15.75" customHeight="1">
      <c r="D789" s="258"/>
      <c r="E789" s="260"/>
      <c r="F789" s="260"/>
      <c r="G789" s="260"/>
      <c r="H789" s="260"/>
      <c r="I789" s="260"/>
      <c r="J789" s="260"/>
      <c r="K789" s="260"/>
    </row>
    <row r="790" ht="15.75" customHeight="1">
      <c r="D790" s="258"/>
      <c r="E790" s="260"/>
      <c r="F790" s="260"/>
      <c r="G790" s="260"/>
      <c r="H790" s="260"/>
      <c r="I790" s="260"/>
      <c r="J790" s="260"/>
      <c r="K790" s="260"/>
    </row>
    <row r="791" ht="15.75" customHeight="1">
      <c r="D791" s="258"/>
      <c r="E791" s="260"/>
      <c r="F791" s="260"/>
      <c r="G791" s="260"/>
      <c r="H791" s="260"/>
      <c r="I791" s="260"/>
      <c r="J791" s="260"/>
      <c r="K791" s="260"/>
    </row>
    <row r="792" ht="15.75" customHeight="1">
      <c r="D792" s="258"/>
      <c r="E792" s="260"/>
      <c r="F792" s="260"/>
      <c r="G792" s="260"/>
      <c r="H792" s="260"/>
      <c r="I792" s="260"/>
      <c r="J792" s="260"/>
      <c r="K792" s="260"/>
    </row>
    <row r="793" ht="15.75" customHeight="1">
      <c r="D793" s="258"/>
      <c r="E793" s="260"/>
      <c r="F793" s="260"/>
      <c r="G793" s="260"/>
      <c r="H793" s="260"/>
      <c r="I793" s="260"/>
      <c r="J793" s="260"/>
      <c r="K793" s="260"/>
    </row>
    <row r="794" ht="15.75" customHeight="1">
      <c r="D794" s="258"/>
      <c r="E794" s="260"/>
      <c r="F794" s="260"/>
      <c r="G794" s="260"/>
      <c r="H794" s="260"/>
      <c r="I794" s="260"/>
      <c r="J794" s="260"/>
      <c r="K794" s="260"/>
    </row>
    <row r="795" ht="15.75" customHeight="1">
      <c r="D795" s="258"/>
      <c r="E795" s="260"/>
      <c r="F795" s="260"/>
      <c r="G795" s="260"/>
      <c r="H795" s="260"/>
      <c r="I795" s="260"/>
      <c r="J795" s="260"/>
      <c r="K795" s="260"/>
    </row>
    <row r="796" ht="15.75" customHeight="1">
      <c r="D796" s="258"/>
      <c r="E796" s="260"/>
      <c r="F796" s="260"/>
      <c r="G796" s="260"/>
      <c r="H796" s="260"/>
      <c r="I796" s="260"/>
      <c r="J796" s="260"/>
      <c r="K796" s="260"/>
    </row>
    <row r="797" ht="15.75" customHeight="1">
      <c r="D797" s="258"/>
      <c r="E797" s="260"/>
      <c r="F797" s="260"/>
      <c r="G797" s="260"/>
      <c r="H797" s="260"/>
      <c r="I797" s="260"/>
      <c r="J797" s="260"/>
      <c r="K797" s="260"/>
    </row>
    <row r="798" ht="15.75" customHeight="1">
      <c r="D798" s="258"/>
      <c r="E798" s="260"/>
      <c r="F798" s="260"/>
      <c r="G798" s="260"/>
      <c r="H798" s="260"/>
      <c r="I798" s="260"/>
      <c r="J798" s="260"/>
      <c r="K798" s="260"/>
    </row>
    <row r="799" ht="15.75" customHeight="1">
      <c r="D799" s="258"/>
      <c r="E799" s="260"/>
      <c r="F799" s="260"/>
      <c r="G799" s="260"/>
      <c r="H799" s="260"/>
      <c r="I799" s="260"/>
      <c r="J799" s="260"/>
      <c r="K799" s="260"/>
    </row>
    <row r="800" ht="15.75" customHeight="1">
      <c r="D800" s="258"/>
      <c r="E800" s="260"/>
      <c r="F800" s="260"/>
      <c r="G800" s="260"/>
      <c r="H800" s="260"/>
      <c r="I800" s="260"/>
      <c r="J800" s="260"/>
      <c r="K800" s="260"/>
    </row>
    <row r="801" ht="15.75" customHeight="1">
      <c r="D801" s="258"/>
      <c r="E801" s="260"/>
      <c r="F801" s="260"/>
      <c r="G801" s="260"/>
      <c r="H801" s="260"/>
      <c r="I801" s="260"/>
      <c r="J801" s="260"/>
      <c r="K801" s="260"/>
    </row>
    <row r="802" ht="15.75" customHeight="1">
      <c r="D802" s="258"/>
      <c r="E802" s="260"/>
      <c r="F802" s="260"/>
      <c r="G802" s="260"/>
      <c r="H802" s="260"/>
      <c r="I802" s="260"/>
      <c r="J802" s="260"/>
      <c r="K802" s="260"/>
    </row>
    <row r="803" ht="15.75" customHeight="1">
      <c r="D803" s="258"/>
      <c r="E803" s="260"/>
      <c r="F803" s="260"/>
      <c r="G803" s="260"/>
      <c r="H803" s="260"/>
      <c r="I803" s="260"/>
      <c r="J803" s="260"/>
      <c r="K803" s="260"/>
    </row>
    <row r="804" ht="15.75" customHeight="1">
      <c r="D804" s="258"/>
      <c r="E804" s="260"/>
      <c r="F804" s="260"/>
      <c r="G804" s="260"/>
      <c r="H804" s="260"/>
      <c r="I804" s="260"/>
      <c r="J804" s="260"/>
      <c r="K804" s="260"/>
    </row>
    <row r="805" ht="15.75" customHeight="1">
      <c r="D805" s="258"/>
      <c r="E805" s="260"/>
      <c r="F805" s="260"/>
      <c r="G805" s="260"/>
      <c r="H805" s="260"/>
      <c r="I805" s="260"/>
      <c r="J805" s="260"/>
      <c r="K805" s="260"/>
    </row>
    <row r="806" ht="15.75" customHeight="1">
      <c r="D806" s="258"/>
      <c r="E806" s="260"/>
      <c r="F806" s="260"/>
      <c r="G806" s="260"/>
      <c r="H806" s="260"/>
      <c r="I806" s="260"/>
      <c r="J806" s="260"/>
      <c r="K806" s="260"/>
    </row>
    <row r="807" ht="15.75" customHeight="1">
      <c r="D807" s="258"/>
      <c r="E807" s="260"/>
      <c r="F807" s="260"/>
      <c r="G807" s="260"/>
      <c r="H807" s="260"/>
      <c r="I807" s="260"/>
      <c r="J807" s="260"/>
      <c r="K807" s="260"/>
    </row>
    <row r="808" ht="15.75" customHeight="1">
      <c r="D808" s="258"/>
      <c r="E808" s="260"/>
      <c r="F808" s="260"/>
      <c r="G808" s="260"/>
      <c r="H808" s="260"/>
      <c r="I808" s="260"/>
      <c r="J808" s="260"/>
      <c r="K808" s="260"/>
    </row>
    <row r="809" ht="15.75" customHeight="1">
      <c r="D809" s="258"/>
      <c r="E809" s="260"/>
      <c r="F809" s="260"/>
      <c r="G809" s="260"/>
      <c r="H809" s="260"/>
      <c r="I809" s="260"/>
      <c r="J809" s="260"/>
      <c r="K809" s="260"/>
    </row>
    <row r="810" ht="15.75" customHeight="1">
      <c r="D810" s="258"/>
      <c r="E810" s="260"/>
      <c r="F810" s="260"/>
      <c r="G810" s="260"/>
      <c r="H810" s="260"/>
      <c r="I810" s="260"/>
      <c r="J810" s="260"/>
      <c r="K810" s="260"/>
    </row>
    <row r="811" ht="15.75" customHeight="1">
      <c r="D811" s="258"/>
      <c r="E811" s="260"/>
      <c r="F811" s="260"/>
      <c r="G811" s="260"/>
      <c r="H811" s="260"/>
      <c r="I811" s="260"/>
      <c r="J811" s="260"/>
      <c r="K811" s="260"/>
    </row>
    <row r="812" ht="15.75" customHeight="1">
      <c r="D812" s="258"/>
      <c r="E812" s="260"/>
      <c r="F812" s="260"/>
      <c r="G812" s="260"/>
      <c r="H812" s="260"/>
      <c r="I812" s="260"/>
      <c r="J812" s="260"/>
      <c r="K812" s="260"/>
    </row>
    <row r="813" ht="15.75" customHeight="1">
      <c r="D813" s="258"/>
      <c r="E813" s="260"/>
      <c r="F813" s="260"/>
      <c r="G813" s="260"/>
      <c r="H813" s="260"/>
      <c r="I813" s="260"/>
      <c r="J813" s="260"/>
      <c r="K813" s="260"/>
    </row>
    <row r="814" ht="15.75" customHeight="1">
      <c r="D814" s="258"/>
      <c r="E814" s="260"/>
      <c r="F814" s="260"/>
      <c r="G814" s="260"/>
      <c r="H814" s="260"/>
      <c r="I814" s="260"/>
      <c r="J814" s="260"/>
      <c r="K814" s="260"/>
    </row>
    <row r="815" ht="15.75" customHeight="1">
      <c r="D815" s="258"/>
      <c r="E815" s="260"/>
      <c r="F815" s="260"/>
      <c r="G815" s="260"/>
      <c r="H815" s="260"/>
      <c r="I815" s="260"/>
      <c r="J815" s="260"/>
      <c r="K815" s="260"/>
    </row>
    <row r="816" ht="15.75" customHeight="1">
      <c r="D816" s="258"/>
      <c r="E816" s="260"/>
      <c r="F816" s="260"/>
      <c r="G816" s="260"/>
      <c r="H816" s="260"/>
      <c r="I816" s="260"/>
      <c r="J816" s="260"/>
      <c r="K816" s="260"/>
    </row>
    <row r="817" ht="15.75" customHeight="1">
      <c r="D817" s="258"/>
      <c r="E817" s="260"/>
      <c r="F817" s="260"/>
      <c r="G817" s="260"/>
      <c r="H817" s="260"/>
      <c r="I817" s="260"/>
      <c r="J817" s="260"/>
      <c r="K817" s="260"/>
    </row>
    <row r="818" ht="15.75" customHeight="1">
      <c r="D818" s="258"/>
      <c r="E818" s="260"/>
      <c r="F818" s="260"/>
      <c r="G818" s="260"/>
      <c r="H818" s="260"/>
      <c r="I818" s="260"/>
      <c r="J818" s="260"/>
      <c r="K818" s="260"/>
    </row>
    <row r="819" ht="15.75" customHeight="1">
      <c r="D819" s="258"/>
      <c r="E819" s="260"/>
      <c r="F819" s="260"/>
      <c r="G819" s="260"/>
      <c r="H819" s="260"/>
      <c r="I819" s="260"/>
      <c r="J819" s="260"/>
      <c r="K819" s="260"/>
    </row>
    <row r="820" ht="15.75" customHeight="1">
      <c r="D820" s="258"/>
      <c r="E820" s="260"/>
      <c r="F820" s="260"/>
      <c r="G820" s="260"/>
      <c r="H820" s="260"/>
      <c r="I820" s="260"/>
      <c r="J820" s="260"/>
      <c r="K820" s="260"/>
    </row>
    <row r="821" ht="15.75" customHeight="1">
      <c r="D821" s="258"/>
      <c r="E821" s="260"/>
      <c r="F821" s="260"/>
      <c r="G821" s="260"/>
      <c r="H821" s="260"/>
      <c r="I821" s="260"/>
      <c r="J821" s="260"/>
      <c r="K821" s="260"/>
    </row>
    <row r="822" ht="15.75" customHeight="1">
      <c r="D822" s="258"/>
      <c r="E822" s="260"/>
      <c r="F822" s="260"/>
      <c r="G822" s="260"/>
      <c r="H822" s="260"/>
      <c r="I822" s="260"/>
      <c r="J822" s="260"/>
      <c r="K822" s="260"/>
    </row>
    <row r="823" ht="15.75" customHeight="1">
      <c r="D823" s="258"/>
      <c r="E823" s="260"/>
      <c r="F823" s="260"/>
      <c r="G823" s="260"/>
      <c r="H823" s="260"/>
      <c r="I823" s="260"/>
      <c r="J823" s="260"/>
      <c r="K823" s="260"/>
    </row>
    <row r="824" ht="15.75" customHeight="1">
      <c r="D824" s="258"/>
      <c r="E824" s="260"/>
      <c r="F824" s="260"/>
      <c r="G824" s="260"/>
      <c r="H824" s="260"/>
      <c r="I824" s="260"/>
      <c r="J824" s="260"/>
      <c r="K824" s="260"/>
    </row>
    <row r="825" ht="15.75" customHeight="1">
      <c r="D825" s="258"/>
      <c r="E825" s="260"/>
      <c r="F825" s="260"/>
      <c r="G825" s="260"/>
      <c r="H825" s="260"/>
      <c r="I825" s="260"/>
      <c r="J825" s="260"/>
      <c r="K825" s="260"/>
    </row>
    <row r="826" ht="15.75" customHeight="1">
      <c r="D826" s="258"/>
      <c r="E826" s="260"/>
      <c r="F826" s="260"/>
      <c r="G826" s="260"/>
      <c r="H826" s="260"/>
      <c r="I826" s="260"/>
      <c r="J826" s="260"/>
      <c r="K826" s="260"/>
    </row>
    <row r="827" ht="15.75" customHeight="1">
      <c r="D827" s="258"/>
      <c r="E827" s="260"/>
      <c r="F827" s="260"/>
      <c r="G827" s="260"/>
      <c r="H827" s="260"/>
      <c r="I827" s="260"/>
      <c r="J827" s="260"/>
      <c r="K827" s="260"/>
    </row>
    <row r="828" ht="15.75" customHeight="1">
      <c r="D828" s="258"/>
      <c r="E828" s="260"/>
      <c r="F828" s="260"/>
      <c r="G828" s="260"/>
      <c r="H828" s="260"/>
      <c r="I828" s="260"/>
      <c r="J828" s="260"/>
      <c r="K828" s="260"/>
    </row>
    <row r="829" ht="15.75" customHeight="1">
      <c r="D829" s="258"/>
      <c r="E829" s="260"/>
      <c r="F829" s="260"/>
      <c r="G829" s="260"/>
      <c r="H829" s="260"/>
      <c r="I829" s="260"/>
      <c r="J829" s="260"/>
      <c r="K829" s="260"/>
    </row>
    <row r="830" ht="15.75" customHeight="1">
      <c r="D830" s="258"/>
      <c r="E830" s="260"/>
      <c r="F830" s="260"/>
      <c r="G830" s="260"/>
      <c r="H830" s="260"/>
      <c r="I830" s="260"/>
      <c r="J830" s="260"/>
      <c r="K830" s="260"/>
    </row>
    <row r="831" ht="15.75" customHeight="1">
      <c r="D831" s="258"/>
      <c r="E831" s="260"/>
      <c r="F831" s="260"/>
      <c r="G831" s="260"/>
      <c r="H831" s="260"/>
      <c r="I831" s="260"/>
      <c r="J831" s="260"/>
      <c r="K831" s="260"/>
    </row>
    <row r="832" ht="15.75" customHeight="1">
      <c r="D832" s="258"/>
      <c r="E832" s="260"/>
      <c r="F832" s="260"/>
      <c r="G832" s="260"/>
      <c r="H832" s="260"/>
      <c r="I832" s="260"/>
      <c r="J832" s="260"/>
      <c r="K832" s="260"/>
    </row>
    <row r="833" ht="15.75" customHeight="1">
      <c r="D833" s="258"/>
      <c r="E833" s="260"/>
      <c r="F833" s="260"/>
      <c r="G833" s="260"/>
      <c r="H833" s="260"/>
      <c r="I833" s="260"/>
      <c r="J833" s="260"/>
      <c r="K833" s="260"/>
    </row>
    <row r="834" ht="15.75" customHeight="1">
      <c r="D834" s="258"/>
      <c r="E834" s="260"/>
      <c r="F834" s="260"/>
      <c r="G834" s="260"/>
      <c r="H834" s="260"/>
      <c r="I834" s="260"/>
      <c r="J834" s="260"/>
      <c r="K834" s="260"/>
    </row>
    <row r="835" ht="15.75" customHeight="1">
      <c r="D835" s="258"/>
      <c r="E835" s="260"/>
      <c r="F835" s="260"/>
      <c r="G835" s="260"/>
      <c r="H835" s="260"/>
      <c r="I835" s="260"/>
      <c r="J835" s="260"/>
      <c r="K835" s="260"/>
    </row>
    <row r="836" ht="15.75" customHeight="1">
      <c r="D836" s="258"/>
      <c r="E836" s="260"/>
      <c r="F836" s="260"/>
      <c r="G836" s="260"/>
      <c r="H836" s="260"/>
      <c r="I836" s="260"/>
      <c r="J836" s="260"/>
      <c r="K836" s="260"/>
    </row>
    <row r="837" ht="15.75" customHeight="1">
      <c r="D837" s="258"/>
      <c r="E837" s="260"/>
      <c r="F837" s="260"/>
      <c r="G837" s="260"/>
      <c r="H837" s="260"/>
      <c r="I837" s="260"/>
      <c r="J837" s="260"/>
      <c r="K837" s="260"/>
    </row>
    <row r="838" ht="15.75" customHeight="1">
      <c r="D838" s="258"/>
      <c r="E838" s="260"/>
      <c r="F838" s="260"/>
      <c r="G838" s="260"/>
      <c r="H838" s="260"/>
      <c r="I838" s="260"/>
      <c r="J838" s="260"/>
      <c r="K838" s="260"/>
    </row>
    <row r="839" ht="15.75" customHeight="1">
      <c r="D839" s="258"/>
      <c r="E839" s="260"/>
      <c r="F839" s="260"/>
      <c r="G839" s="260"/>
      <c r="H839" s="260"/>
      <c r="I839" s="260"/>
      <c r="J839" s="260"/>
      <c r="K839" s="260"/>
    </row>
    <row r="840" ht="15.75" customHeight="1">
      <c r="D840" s="258"/>
      <c r="E840" s="260"/>
      <c r="F840" s="260"/>
      <c r="G840" s="260"/>
      <c r="H840" s="260"/>
      <c r="I840" s="260"/>
      <c r="J840" s="260"/>
      <c r="K840" s="260"/>
    </row>
    <row r="841" ht="15.75" customHeight="1">
      <c r="D841" s="258"/>
      <c r="E841" s="260"/>
      <c r="F841" s="260"/>
      <c r="G841" s="260"/>
      <c r="H841" s="260"/>
      <c r="I841" s="260"/>
      <c r="J841" s="260"/>
      <c r="K841" s="260"/>
    </row>
    <row r="842" ht="15.75" customHeight="1">
      <c r="D842" s="258"/>
      <c r="E842" s="260"/>
      <c r="F842" s="260"/>
      <c r="G842" s="260"/>
      <c r="H842" s="260"/>
      <c r="I842" s="260"/>
      <c r="J842" s="260"/>
      <c r="K842" s="260"/>
    </row>
    <row r="843" ht="15.75" customHeight="1">
      <c r="D843" s="258"/>
      <c r="E843" s="260"/>
      <c r="F843" s="260"/>
      <c r="G843" s="260"/>
      <c r="H843" s="260"/>
      <c r="I843" s="260"/>
      <c r="J843" s="260"/>
      <c r="K843" s="260"/>
    </row>
    <row r="844" ht="15.75" customHeight="1">
      <c r="D844" s="258"/>
      <c r="E844" s="260"/>
      <c r="F844" s="260"/>
      <c r="G844" s="260"/>
      <c r="H844" s="260"/>
      <c r="I844" s="260"/>
      <c r="J844" s="260"/>
      <c r="K844" s="260"/>
    </row>
    <row r="845" ht="15.75" customHeight="1">
      <c r="D845" s="258"/>
      <c r="E845" s="260"/>
      <c r="F845" s="260"/>
      <c r="G845" s="260"/>
      <c r="H845" s="260"/>
      <c r="I845" s="260"/>
      <c r="J845" s="260"/>
      <c r="K845" s="260"/>
    </row>
    <row r="846" ht="15.75" customHeight="1">
      <c r="D846" s="258"/>
      <c r="E846" s="260"/>
      <c r="F846" s="260"/>
      <c r="G846" s="260"/>
      <c r="H846" s="260"/>
      <c r="I846" s="260"/>
      <c r="J846" s="260"/>
      <c r="K846" s="260"/>
    </row>
    <row r="847" ht="15.75" customHeight="1">
      <c r="D847" s="258"/>
      <c r="E847" s="260"/>
      <c r="F847" s="260"/>
      <c r="G847" s="260"/>
      <c r="H847" s="260"/>
      <c r="I847" s="260"/>
      <c r="J847" s="260"/>
      <c r="K847" s="260"/>
    </row>
    <row r="848" ht="15.75" customHeight="1">
      <c r="D848" s="258"/>
      <c r="E848" s="260"/>
      <c r="F848" s="260"/>
      <c r="G848" s="260"/>
      <c r="H848" s="260"/>
      <c r="I848" s="260"/>
      <c r="J848" s="260"/>
      <c r="K848" s="260"/>
    </row>
    <row r="849" ht="15.75" customHeight="1">
      <c r="D849" s="258"/>
      <c r="E849" s="260"/>
      <c r="F849" s="260"/>
      <c r="G849" s="260"/>
      <c r="H849" s="260"/>
      <c r="I849" s="260"/>
      <c r="J849" s="260"/>
      <c r="K849" s="260"/>
    </row>
    <row r="850" ht="15.75" customHeight="1">
      <c r="D850" s="258"/>
      <c r="E850" s="260"/>
      <c r="F850" s="260"/>
      <c r="G850" s="260"/>
      <c r="H850" s="260"/>
      <c r="I850" s="260"/>
      <c r="J850" s="260"/>
      <c r="K850" s="260"/>
    </row>
    <row r="851" ht="15.75" customHeight="1">
      <c r="D851" s="258"/>
      <c r="E851" s="260"/>
      <c r="F851" s="260"/>
      <c r="G851" s="260"/>
      <c r="H851" s="260"/>
      <c r="I851" s="260"/>
      <c r="J851" s="260"/>
      <c r="K851" s="260"/>
    </row>
    <row r="852" ht="15.75" customHeight="1">
      <c r="D852" s="258"/>
      <c r="E852" s="260"/>
      <c r="F852" s="260"/>
      <c r="G852" s="260"/>
      <c r="H852" s="260"/>
      <c r="I852" s="260"/>
      <c r="J852" s="260"/>
      <c r="K852" s="260"/>
    </row>
    <row r="853" ht="15.75" customHeight="1">
      <c r="D853" s="258"/>
      <c r="E853" s="260"/>
      <c r="F853" s="260"/>
      <c r="G853" s="260"/>
      <c r="H853" s="260"/>
      <c r="I853" s="260"/>
      <c r="J853" s="260"/>
      <c r="K853" s="260"/>
    </row>
    <row r="854" ht="15.75" customHeight="1">
      <c r="D854" s="258"/>
      <c r="E854" s="260"/>
      <c r="F854" s="260"/>
      <c r="G854" s="260"/>
      <c r="H854" s="260"/>
      <c r="I854" s="260"/>
      <c r="J854" s="260"/>
      <c r="K854" s="260"/>
    </row>
    <row r="855" ht="15.75" customHeight="1">
      <c r="D855" s="258"/>
      <c r="E855" s="260"/>
      <c r="F855" s="260"/>
      <c r="G855" s="260"/>
      <c r="H855" s="260"/>
      <c r="I855" s="260"/>
      <c r="J855" s="260"/>
      <c r="K855" s="260"/>
    </row>
    <row r="856" ht="15.75" customHeight="1">
      <c r="D856" s="258"/>
      <c r="E856" s="260"/>
      <c r="F856" s="260"/>
      <c r="G856" s="260"/>
      <c r="H856" s="260"/>
      <c r="I856" s="260"/>
      <c r="J856" s="260"/>
      <c r="K856" s="260"/>
    </row>
    <row r="857" ht="15.75" customHeight="1">
      <c r="D857" s="258"/>
      <c r="E857" s="260"/>
      <c r="F857" s="260"/>
      <c r="G857" s="260"/>
      <c r="H857" s="260"/>
      <c r="I857" s="260"/>
      <c r="J857" s="260"/>
      <c r="K857" s="260"/>
    </row>
    <row r="858" ht="15.75" customHeight="1">
      <c r="D858" s="258"/>
      <c r="E858" s="260"/>
      <c r="F858" s="260"/>
      <c r="G858" s="260"/>
      <c r="H858" s="260"/>
      <c r="I858" s="260"/>
      <c r="J858" s="260"/>
      <c r="K858" s="260"/>
    </row>
    <row r="859" ht="15.75" customHeight="1">
      <c r="D859" s="258"/>
      <c r="E859" s="260"/>
      <c r="F859" s="260"/>
      <c r="G859" s="260"/>
      <c r="H859" s="260"/>
      <c r="I859" s="260"/>
      <c r="J859" s="260"/>
      <c r="K859" s="260"/>
    </row>
    <row r="860" ht="15.75" customHeight="1">
      <c r="D860" s="258"/>
      <c r="E860" s="260"/>
      <c r="F860" s="260"/>
      <c r="G860" s="260"/>
      <c r="H860" s="260"/>
      <c r="I860" s="260"/>
      <c r="J860" s="260"/>
      <c r="K860" s="260"/>
    </row>
    <row r="861" ht="15.75" customHeight="1">
      <c r="D861" s="258"/>
      <c r="E861" s="260"/>
      <c r="F861" s="260"/>
      <c r="G861" s="260"/>
      <c r="H861" s="260"/>
      <c r="I861" s="260"/>
      <c r="J861" s="260"/>
      <c r="K861" s="260"/>
    </row>
    <row r="862" ht="15.75" customHeight="1">
      <c r="D862" s="258"/>
      <c r="E862" s="260"/>
      <c r="F862" s="260"/>
      <c r="G862" s="260"/>
      <c r="H862" s="260"/>
      <c r="I862" s="260"/>
      <c r="J862" s="260"/>
      <c r="K862" s="260"/>
    </row>
    <row r="863" ht="15.75" customHeight="1">
      <c r="D863" s="258"/>
      <c r="E863" s="260"/>
      <c r="F863" s="260"/>
      <c r="G863" s="260"/>
      <c r="H863" s="260"/>
      <c r="I863" s="260"/>
      <c r="J863" s="260"/>
      <c r="K863" s="260"/>
    </row>
    <row r="864" ht="15.75" customHeight="1">
      <c r="D864" s="258"/>
      <c r="E864" s="260"/>
      <c r="F864" s="260"/>
      <c r="G864" s="260"/>
      <c r="H864" s="260"/>
      <c r="I864" s="260"/>
      <c r="J864" s="260"/>
      <c r="K864" s="260"/>
    </row>
    <row r="865" ht="15.75" customHeight="1">
      <c r="D865" s="258"/>
      <c r="E865" s="260"/>
      <c r="F865" s="260"/>
      <c r="G865" s="260"/>
      <c r="H865" s="260"/>
      <c r="I865" s="260"/>
      <c r="J865" s="260"/>
      <c r="K865" s="260"/>
    </row>
    <row r="866" ht="15.75" customHeight="1">
      <c r="D866" s="258"/>
      <c r="E866" s="260"/>
      <c r="F866" s="260"/>
      <c r="G866" s="260"/>
      <c r="H866" s="260"/>
      <c r="I866" s="260"/>
      <c r="J866" s="260"/>
      <c r="K866" s="260"/>
    </row>
    <row r="867" ht="15.75" customHeight="1">
      <c r="D867" s="258"/>
      <c r="E867" s="260"/>
      <c r="F867" s="260"/>
      <c r="G867" s="260"/>
      <c r="H867" s="260"/>
      <c r="I867" s="260"/>
      <c r="J867" s="260"/>
      <c r="K867" s="260"/>
    </row>
    <row r="868" ht="15.75" customHeight="1">
      <c r="D868" s="258"/>
      <c r="E868" s="260"/>
      <c r="F868" s="260"/>
      <c r="G868" s="260"/>
      <c r="H868" s="260"/>
      <c r="I868" s="260"/>
      <c r="J868" s="260"/>
      <c r="K868" s="260"/>
    </row>
    <row r="869" ht="15.75" customHeight="1">
      <c r="D869" s="258"/>
      <c r="E869" s="260"/>
      <c r="F869" s="260"/>
      <c r="G869" s="260"/>
      <c r="H869" s="260"/>
      <c r="I869" s="260"/>
      <c r="J869" s="260"/>
      <c r="K869" s="260"/>
    </row>
    <row r="870" ht="15.75" customHeight="1">
      <c r="D870" s="258"/>
      <c r="E870" s="260"/>
      <c r="F870" s="260"/>
      <c r="G870" s="260"/>
      <c r="H870" s="260"/>
      <c r="I870" s="260"/>
      <c r="J870" s="260"/>
      <c r="K870" s="260"/>
    </row>
    <row r="871" ht="15.75" customHeight="1">
      <c r="D871" s="258"/>
      <c r="E871" s="260"/>
      <c r="F871" s="260"/>
      <c r="G871" s="260"/>
      <c r="H871" s="260"/>
      <c r="I871" s="260"/>
      <c r="J871" s="260"/>
      <c r="K871" s="260"/>
    </row>
    <row r="872" ht="15.75" customHeight="1">
      <c r="D872" s="258"/>
      <c r="E872" s="260"/>
      <c r="F872" s="260"/>
      <c r="G872" s="260"/>
      <c r="H872" s="260"/>
      <c r="I872" s="260"/>
      <c r="J872" s="260"/>
      <c r="K872" s="260"/>
    </row>
    <row r="873" ht="15.75" customHeight="1">
      <c r="D873" s="258"/>
      <c r="E873" s="260"/>
      <c r="F873" s="260"/>
      <c r="G873" s="260"/>
      <c r="H873" s="260"/>
      <c r="I873" s="260"/>
      <c r="J873" s="260"/>
      <c r="K873" s="260"/>
    </row>
    <row r="874" ht="15.75" customHeight="1">
      <c r="D874" s="258"/>
      <c r="E874" s="260"/>
      <c r="F874" s="260"/>
      <c r="G874" s="260"/>
      <c r="H874" s="260"/>
      <c r="I874" s="260"/>
      <c r="J874" s="260"/>
      <c r="K874" s="260"/>
    </row>
    <row r="875" ht="15.75" customHeight="1">
      <c r="D875" s="258"/>
      <c r="E875" s="260"/>
      <c r="F875" s="260"/>
      <c r="G875" s="260"/>
      <c r="H875" s="260"/>
      <c r="I875" s="260"/>
      <c r="J875" s="260"/>
      <c r="K875" s="260"/>
    </row>
    <row r="876" ht="15.75" customHeight="1">
      <c r="D876" s="258"/>
      <c r="E876" s="260"/>
      <c r="F876" s="260"/>
      <c r="G876" s="260"/>
      <c r="H876" s="260"/>
      <c r="I876" s="260"/>
      <c r="J876" s="260"/>
      <c r="K876" s="260"/>
    </row>
    <row r="877" ht="15.75" customHeight="1">
      <c r="D877" s="258"/>
      <c r="E877" s="260"/>
      <c r="F877" s="260"/>
      <c r="G877" s="260"/>
      <c r="H877" s="260"/>
      <c r="I877" s="260"/>
      <c r="J877" s="260"/>
      <c r="K877" s="260"/>
    </row>
    <row r="878" ht="15.75" customHeight="1">
      <c r="D878" s="258"/>
      <c r="E878" s="260"/>
      <c r="F878" s="260"/>
      <c r="G878" s="260"/>
      <c r="H878" s="260"/>
      <c r="I878" s="260"/>
      <c r="J878" s="260"/>
      <c r="K878" s="260"/>
    </row>
    <row r="879" ht="15.75" customHeight="1">
      <c r="D879" s="258"/>
      <c r="E879" s="260"/>
      <c r="F879" s="260"/>
      <c r="G879" s="260"/>
      <c r="H879" s="260"/>
      <c r="I879" s="260"/>
      <c r="J879" s="260"/>
      <c r="K879" s="260"/>
    </row>
    <row r="880" ht="15.75" customHeight="1">
      <c r="D880" s="258"/>
      <c r="E880" s="260"/>
      <c r="F880" s="260"/>
      <c r="G880" s="260"/>
      <c r="H880" s="260"/>
      <c r="I880" s="260"/>
      <c r="J880" s="260"/>
      <c r="K880" s="260"/>
    </row>
    <row r="881" ht="15.75" customHeight="1">
      <c r="D881" s="258"/>
      <c r="E881" s="260"/>
      <c r="F881" s="260"/>
      <c r="G881" s="260"/>
      <c r="H881" s="260"/>
      <c r="I881" s="260"/>
      <c r="J881" s="260"/>
      <c r="K881" s="260"/>
    </row>
    <row r="882" ht="15.75" customHeight="1">
      <c r="D882" s="258"/>
      <c r="E882" s="260"/>
      <c r="F882" s="260"/>
      <c r="G882" s="260"/>
      <c r="H882" s="260"/>
      <c r="I882" s="260"/>
      <c r="J882" s="260"/>
      <c r="K882" s="260"/>
    </row>
    <row r="883" ht="15.75" customHeight="1">
      <c r="D883" s="258"/>
      <c r="E883" s="260"/>
      <c r="F883" s="260"/>
      <c r="G883" s="260"/>
      <c r="H883" s="260"/>
      <c r="I883" s="260"/>
      <c r="J883" s="260"/>
      <c r="K883" s="260"/>
    </row>
    <row r="884" ht="15.75" customHeight="1">
      <c r="D884" s="258"/>
      <c r="E884" s="260"/>
      <c r="F884" s="260"/>
      <c r="G884" s="260"/>
      <c r="H884" s="260"/>
      <c r="I884" s="260"/>
      <c r="J884" s="260"/>
      <c r="K884" s="260"/>
    </row>
    <row r="885" ht="15.75" customHeight="1">
      <c r="D885" s="258"/>
      <c r="E885" s="260"/>
      <c r="F885" s="260"/>
      <c r="G885" s="260"/>
      <c r="H885" s="260"/>
      <c r="I885" s="260"/>
      <c r="J885" s="260"/>
      <c r="K885" s="260"/>
    </row>
    <row r="886" ht="15.75" customHeight="1">
      <c r="D886" s="258"/>
      <c r="E886" s="260"/>
      <c r="F886" s="260"/>
      <c r="G886" s="260"/>
      <c r="H886" s="260"/>
      <c r="I886" s="260"/>
      <c r="J886" s="260"/>
      <c r="K886" s="260"/>
    </row>
    <row r="887" ht="15.75" customHeight="1">
      <c r="D887" s="258"/>
      <c r="E887" s="260"/>
      <c r="F887" s="260"/>
      <c r="G887" s="260"/>
      <c r="H887" s="260"/>
      <c r="I887" s="260"/>
      <c r="J887" s="260"/>
      <c r="K887" s="260"/>
    </row>
    <row r="888" ht="15.75" customHeight="1">
      <c r="D888" s="258"/>
      <c r="E888" s="260"/>
      <c r="F888" s="260"/>
      <c r="G888" s="260"/>
      <c r="H888" s="260"/>
      <c r="I888" s="260"/>
      <c r="J888" s="260"/>
      <c r="K888" s="260"/>
    </row>
    <row r="889" ht="15.75" customHeight="1">
      <c r="D889" s="258"/>
      <c r="E889" s="260"/>
      <c r="F889" s="260"/>
      <c r="G889" s="260"/>
      <c r="H889" s="260"/>
      <c r="I889" s="260"/>
      <c r="J889" s="260"/>
      <c r="K889" s="260"/>
    </row>
    <row r="890" ht="15.75" customHeight="1">
      <c r="D890" s="258"/>
      <c r="E890" s="260"/>
      <c r="F890" s="260"/>
      <c r="G890" s="260"/>
      <c r="H890" s="260"/>
      <c r="I890" s="260"/>
      <c r="J890" s="260"/>
      <c r="K890" s="260"/>
    </row>
    <row r="891" ht="15.75" customHeight="1">
      <c r="D891" s="258"/>
      <c r="E891" s="260"/>
      <c r="F891" s="260"/>
      <c r="G891" s="260"/>
      <c r="H891" s="260"/>
      <c r="I891" s="260"/>
      <c r="J891" s="260"/>
      <c r="K891" s="260"/>
    </row>
    <row r="892" ht="15.75" customHeight="1">
      <c r="D892" s="258"/>
      <c r="E892" s="260"/>
      <c r="F892" s="260"/>
      <c r="G892" s="260"/>
      <c r="H892" s="260"/>
      <c r="I892" s="260"/>
      <c r="J892" s="260"/>
      <c r="K892" s="260"/>
    </row>
    <row r="893" ht="15.75" customHeight="1">
      <c r="D893" s="258"/>
      <c r="E893" s="260"/>
      <c r="F893" s="260"/>
      <c r="G893" s="260"/>
      <c r="H893" s="260"/>
      <c r="I893" s="260"/>
      <c r="J893" s="260"/>
      <c r="K893" s="260"/>
    </row>
    <row r="894" ht="15.75" customHeight="1">
      <c r="D894" s="258"/>
      <c r="E894" s="260"/>
      <c r="F894" s="260"/>
      <c r="G894" s="260"/>
      <c r="H894" s="260"/>
      <c r="I894" s="260"/>
      <c r="J894" s="260"/>
      <c r="K894" s="260"/>
    </row>
    <row r="895" ht="15.75" customHeight="1">
      <c r="D895" s="258"/>
      <c r="E895" s="260"/>
      <c r="F895" s="260"/>
      <c r="G895" s="260"/>
      <c r="H895" s="260"/>
      <c r="I895" s="260"/>
      <c r="J895" s="260"/>
      <c r="K895" s="260"/>
    </row>
    <row r="896" ht="15.75" customHeight="1">
      <c r="D896" s="258"/>
      <c r="E896" s="260"/>
      <c r="F896" s="260"/>
      <c r="G896" s="260"/>
      <c r="H896" s="260"/>
      <c r="I896" s="260"/>
      <c r="J896" s="260"/>
      <c r="K896" s="260"/>
    </row>
    <row r="897" ht="15.75" customHeight="1">
      <c r="D897" s="258"/>
      <c r="E897" s="260"/>
      <c r="F897" s="260"/>
      <c r="G897" s="260"/>
      <c r="H897" s="260"/>
      <c r="I897" s="260"/>
      <c r="J897" s="260"/>
      <c r="K897" s="260"/>
    </row>
    <row r="898" ht="15.75" customHeight="1">
      <c r="D898" s="258"/>
      <c r="E898" s="260"/>
      <c r="F898" s="260"/>
      <c r="G898" s="260"/>
      <c r="H898" s="260"/>
      <c r="I898" s="260"/>
      <c r="J898" s="260"/>
      <c r="K898" s="260"/>
    </row>
    <row r="899" ht="15.75" customHeight="1">
      <c r="D899" s="258"/>
      <c r="E899" s="260"/>
      <c r="F899" s="260"/>
      <c r="G899" s="260"/>
      <c r="H899" s="260"/>
      <c r="I899" s="260"/>
      <c r="J899" s="260"/>
      <c r="K899" s="260"/>
    </row>
    <row r="900" ht="15.75" customHeight="1">
      <c r="D900" s="258"/>
      <c r="E900" s="260"/>
      <c r="F900" s="260"/>
      <c r="G900" s="260"/>
      <c r="H900" s="260"/>
      <c r="I900" s="260"/>
      <c r="J900" s="260"/>
      <c r="K900" s="260"/>
    </row>
    <row r="901" ht="15.75" customHeight="1">
      <c r="D901" s="258"/>
      <c r="E901" s="260"/>
      <c r="F901" s="260"/>
      <c r="G901" s="260"/>
      <c r="H901" s="260"/>
      <c r="I901" s="260"/>
      <c r="J901" s="260"/>
      <c r="K901" s="260"/>
    </row>
    <row r="902" ht="15.75" customHeight="1">
      <c r="D902" s="258"/>
      <c r="E902" s="260"/>
      <c r="F902" s="260"/>
      <c r="G902" s="260"/>
      <c r="H902" s="260"/>
      <c r="I902" s="260"/>
      <c r="J902" s="260"/>
      <c r="K902" s="260"/>
    </row>
    <row r="903" ht="15.75" customHeight="1">
      <c r="D903" s="258"/>
      <c r="E903" s="260"/>
      <c r="F903" s="260"/>
      <c r="G903" s="260"/>
      <c r="H903" s="260"/>
      <c r="I903" s="260"/>
      <c r="J903" s="260"/>
      <c r="K903" s="260"/>
    </row>
    <row r="904" ht="15.75" customHeight="1">
      <c r="D904" s="258"/>
      <c r="E904" s="260"/>
      <c r="F904" s="260"/>
      <c r="G904" s="260"/>
      <c r="H904" s="260"/>
      <c r="I904" s="260"/>
      <c r="J904" s="260"/>
      <c r="K904" s="260"/>
    </row>
    <row r="905" ht="15.75" customHeight="1">
      <c r="D905" s="258"/>
      <c r="E905" s="260"/>
      <c r="F905" s="260"/>
      <c r="G905" s="260"/>
      <c r="H905" s="260"/>
      <c r="I905" s="260"/>
      <c r="J905" s="260"/>
      <c r="K905" s="260"/>
    </row>
    <row r="906" ht="15.75" customHeight="1">
      <c r="D906" s="258"/>
      <c r="E906" s="260"/>
      <c r="F906" s="260"/>
      <c r="G906" s="260"/>
      <c r="H906" s="260"/>
      <c r="I906" s="260"/>
      <c r="J906" s="260"/>
      <c r="K906" s="260"/>
    </row>
    <row r="907" ht="15.75" customHeight="1">
      <c r="D907" s="258"/>
      <c r="E907" s="260"/>
      <c r="F907" s="260"/>
      <c r="G907" s="260"/>
      <c r="H907" s="260"/>
      <c r="I907" s="260"/>
      <c r="J907" s="260"/>
      <c r="K907" s="260"/>
    </row>
    <row r="908" ht="15.75" customHeight="1">
      <c r="D908" s="258"/>
      <c r="E908" s="260"/>
      <c r="F908" s="260"/>
      <c r="G908" s="260"/>
      <c r="H908" s="260"/>
      <c r="I908" s="260"/>
      <c r="J908" s="260"/>
      <c r="K908" s="260"/>
    </row>
    <row r="909" ht="15.75" customHeight="1">
      <c r="D909" s="258"/>
      <c r="E909" s="260"/>
      <c r="F909" s="260"/>
      <c r="G909" s="260"/>
      <c r="H909" s="260"/>
      <c r="I909" s="260"/>
      <c r="J909" s="260"/>
      <c r="K909" s="260"/>
    </row>
    <row r="910" ht="15.75" customHeight="1">
      <c r="D910" s="258"/>
      <c r="E910" s="260"/>
      <c r="F910" s="260"/>
      <c r="G910" s="260"/>
      <c r="H910" s="260"/>
      <c r="I910" s="260"/>
      <c r="J910" s="260"/>
      <c r="K910" s="260"/>
    </row>
    <row r="911" ht="15.75" customHeight="1">
      <c r="D911" s="258"/>
      <c r="E911" s="260"/>
      <c r="F911" s="260"/>
      <c r="G911" s="260"/>
      <c r="H911" s="260"/>
      <c r="I911" s="260"/>
      <c r="J911" s="260"/>
      <c r="K911" s="260"/>
    </row>
    <row r="912" ht="15.75" customHeight="1">
      <c r="D912" s="258"/>
      <c r="E912" s="260"/>
      <c r="F912" s="260"/>
      <c r="G912" s="260"/>
      <c r="H912" s="260"/>
      <c r="I912" s="260"/>
      <c r="J912" s="260"/>
      <c r="K912" s="260"/>
    </row>
    <row r="913" ht="15.75" customHeight="1">
      <c r="D913" s="258"/>
      <c r="E913" s="260"/>
      <c r="F913" s="260"/>
      <c r="G913" s="260"/>
      <c r="H913" s="260"/>
      <c r="I913" s="260"/>
      <c r="J913" s="260"/>
      <c r="K913" s="260"/>
    </row>
    <row r="914" ht="15.75" customHeight="1">
      <c r="D914" s="258"/>
      <c r="E914" s="260"/>
      <c r="F914" s="260"/>
      <c r="G914" s="260"/>
      <c r="H914" s="260"/>
      <c r="I914" s="260"/>
      <c r="J914" s="260"/>
      <c r="K914" s="260"/>
    </row>
    <row r="915" ht="15.75" customHeight="1">
      <c r="D915" s="258"/>
      <c r="E915" s="260"/>
      <c r="F915" s="260"/>
      <c r="G915" s="260"/>
      <c r="H915" s="260"/>
      <c r="I915" s="260"/>
      <c r="J915" s="260"/>
      <c r="K915" s="260"/>
    </row>
    <row r="916" ht="15.75" customHeight="1">
      <c r="D916" s="258"/>
      <c r="E916" s="260"/>
      <c r="F916" s="260"/>
      <c r="G916" s="260"/>
      <c r="H916" s="260"/>
      <c r="I916" s="260"/>
      <c r="J916" s="260"/>
      <c r="K916" s="260"/>
    </row>
    <row r="917" ht="15.75" customHeight="1">
      <c r="D917" s="258"/>
      <c r="E917" s="260"/>
      <c r="F917" s="260"/>
      <c r="G917" s="260"/>
      <c r="H917" s="260"/>
      <c r="I917" s="260"/>
      <c r="J917" s="260"/>
      <c r="K917" s="260"/>
    </row>
    <row r="918" ht="15.75" customHeight="1">
      <c r="D918" s="258"/>
      <c r="E918" s="260"/>
      <c r="F918" s="260"/>
      <c r="G918" s="260"/>
      <c r="H918" s="260"/>
      <c r="I918" s="260"/>
      <c r="J918" s="260"/>
      <c r="K918" s="260"/>
    </row>
    <row r="919" ht="15.75" customHeight="1">
      <c r="D919" s="258"/>
      <c r="E919" s="260"/>
      <c r="F919" s="260"/>
      <c r="G919" s="260"/>
      <c r="H919" s="260"/>
      <c r="I919" s="260"/>
      <c r="J919" s="260"/>
      <c r="K919" s="260"/>
    </row>
    <row r="920" ht="15.75" customHeight="1">
      <c r="D920" s="258"/>
      <c r="E920" s="260"/>
      <c r="F920" s="260"/>
      <c r="G920" s="260"/>
      <c r="H920" s="260"/>
      <c r="I920" s="260"/>
      <c r="J920" s="260"/>
      <c r="K920" s="260"/>
    </row>
    <row r="921" ht="15.75" customHeight="1">
      <c r="D921" s="258"/>
      <c r="E921" s="260"/>
      <c r="F921" s="260"/>
      <c r="G921" s="260"/>
      <c r="H921" s="260"/>
      <c r="I921" s="260"/>
      <c r="J921" s="260"/>
      <c r="K921" s="260"/>
    </row>
    <row r="922" ht="15.75" customHeight="1">
      <c r="D922" s="258"/>
      <c r="E922" s="260"/>
      <c r="F922" s="260"/>
      <c r="G922" s="260"/>
      <c r="H922" s="260"/>
      <c r="I922" s="260"/>
      <c r="J922" s="260"/>
      <c r="K922" s="260"/>
    </row>
    <row r="923" ht="15.75" customHeight="1">
      <c r="D923" s="258"/>
      <c r="E923" s="260"/>
      <c r="F923" s="260"/>
      <c r="G923" s="260"/>
      <c r="H923" s="260"/>
      <c r="I923" s="260"/>
      <c r="J923" s="260"/>
      <c r="K923" s="260"/>
    </row>
    <row r="924" ht="15.75" customHeight="1">
      <c r="D924" s="258"/>
      <c r="E924" s="260"/>
      <c r="F924" s="260"/>
      <c r="G924" s="260"/>
      <c r="H924" s="260"/>
      <c r="I924" s="260"/>
      <c r="J924" s="260"/>
      <c r="K924" s="260"/>
    </row>
    <row r="925" ht="15.75" customHeight="1">
      <c r="D925" s="258"/>
      <c r="E925" s="260"/>
      <c r="F925" s="260"/>
      <c r="G925" s="260"/>
      <c r="H925" s="260"/>
      <c r="I925" s="260"/>
      <c r="J925" s="260"/>
      <c r="K925" s="260"/>
    </row>
    <row r="926" ht="15.75" customHeight="1">
      <c r="D926" s="258"/>
      <c r="E926" s="260"/>
      <c r="F926" s="260"/>
      <c r="G926" s="260"/>
      <c r="H926" s="260"/>
      <c r="I926" s="260"/>
      <c r="J926" s="260"/>
      <c r="K926" s="260"/>
    </row>
    <row r="927" ht="15.75" customHeight="1">
      <c r="D927" s="258"/>
      <c r="E927" s="260"/>
      <c r="F927" s="260"/>
      <c r="G927" s="260"/>
      <c r="H927" s="260"/>
      <c r="I927" s="260"/>
      <c r="J927" s="260"/>
      <c r="K927" s="260"/>
    </row>
    <row r="928" ht="15.75" customHeight="1">
      <c r="D928" s="258"/>
      <c r="E928" s="260"/>
      <c r="F928" s="260"/>
      <c r="G928" s="260"/>
      <c r="H928" s="260"/>
      <c r="I928" s="260"/>
      <c r="J928" s="260"/>
      <c r="K928" s="260"/>
    </row>
    <row r="929" ht="15.75" customHeight="1">
      <c r="D929" s="258"/>
      <c r="E929" s="260"/>
      <c r="F929" s="260"/>
      <c r="G929" s="260"/>
      <c r="H929" s="260"/>
      <c r="I929" s="260"/>
      <c r="J929" s="260"/>
      <c r="K929" s="260"/>
    </row>
    <row r="930" ht="15.75" customHeight="1">
      <c r="D930" s="258"/>
      <c r="E930" s="260"/>
      <c r="F930" s="260"/>
      <c r="G930" s="260"/>
      <c r="H930" s="260"/>
      <c r="I930" s="260"/>
      <c r="J930" s="260"/>
      <c r="K930" s="260"/>
    </row>
    <row r="931" ht="15.75" customHeight="1">
      <c r="D931" s="258"/>
      <c r="E931" s="260"/>
      <c r="F931" s="260"/>
      <c r="G931" s="260"/>
      <c r="H931" s="260"/>
      <c r="I931" s="260"/>
      <c r="J931" s="260"/>
      <c r="K931" s="260"/>
    </row>
    <row r="932" ht="15.75" customHeight="1">
      <c r="D932" s="258"/>
      <c r="E932" s="260"/>
      <c r="F932" s="260"/>
      <c r="G932" s="260"/>
      <c r="H932" s="260"/>
      <c r="I932" s="260"/>
      <c r="J932" s="260"/>
      <c r="K932" s="260"/>
    </row>
    <row r="933" ht="15.75" customHeight="1">
      <c r="D933" s="258"/>
      <c r="E933" s="260"/>
      <c r="F933" s="260"/>
      <c r="G933" s="260"/>
      <c r="H933" s="260"/>
      <c r="I933" s="260"/>
      <c r="J933" s="260"/>
      <c r="K933" s="260"/>
    </row>
    <row r="934" ht="15.75" customHeight="1">
      <c r="D934" s="258"/>
      <c r="E934" s="260"/>
      <c r="F934" s="260"/>
      <c r="G934" s="260"/>
      <c r="H934" s="260"/>
      <c r="I934" s="260"/>
      <c r="J934" s="260"/>
      <c r="K934" s="260"/>
    </row>
    <row r="935" ht="15.75" customHeight="1">
      <c r="D935" s="258"/>
      <c r="E935" s="260"/>
      <c r="F935" s="260"/>
      <c r="G935" s="260"/>
      <c r="H935" s="260"/>
      <c r="I935" s="260"/>
      <c r="J935" s="260"/>
      <c r="K935" s="260"/>
    </row>
    <row r="936" ht="15.75" customHeight="1">
      <c r="D936" s="258"/>
      <c r="E936" s="260"/>
      <c r="F936" s="260"/>
      <c r="G936" s="260"/>
      <c r="H936" s="260"/>
      <c r="I936" s="260"/>
      <c r="J936" s="260"/>
      <c r="K936" s="260"/>
    </row>
    <row r="937" ht="15.75" customHeight="1">
      <c r="D937" s="258"/>
      <c r="E937" s="260"/>
      <c r="F937" s="260"/>
      <c r="G937" s="260"/>
      <c r="H937" s="260"/>
      <c r="I937" s="260"/>
      <c r="J937" s="260"/>
      <c r="K937" s="260"/>
    </row>
    <row r="938" ht="15.75" customHeight="1">
      <c r="D938" s="258"/>
      <c r="E938" s="260"/>
      <c r="F938" s="260"/>
      <c r="G938" s="260"/>
      <c r="H938" s="260"/>
      <c r="I938" s="260"/>
      <c r="J938" s="260"/>
      <c r="K938" s="260"/>
    </row>
    <row r="939" ht="15.75" customHeight="1">
      <c r="D939" s="258"/>
      <c r="E939" s="260"/>
      <c r="F939" s="260"/>
      <c r="G939" s="260"/>
      <c r="H939" s="260"/>
      <c r="I939" s="260"/>
      <c r="J939" s="260"/>
      <c r="K939" s="260"/>
    </row>
    <row r="940" ht="15.75" customHeight="1">
      <c r="D940" s="258"/>
      <c r="E940" s="260"/>
      <c r="F940" s="260"/>
      <c r="G940" s="260"/>
      <c r="H940" s="260"/>
      <c r="I940" s="260"/>
      <c r="J940" s="260"/>
      <c r="K940" s="260"/>
    </row>
    <row r="941" ht="15.75" customHeight="1">
      <c r="D941" s="258"/>
      <c r="E941" s="260"/>
      <c r="F941" s="260"/>
      <c r="G941" s="260"/>
      <c r="H941" s="260"/>
      <c r="I941" s="260"/>
      <c r="J941" s="260"/>
      <c r="K941" s="260"/>
    </row>
    <row r="942" ht="15.75" customHeight="1">
      <c r="D942" s="258"/>
      <c r="E942" s="260"/>
      <c r="F942" s="260"/>
      <c r="G942" s="260"/>
      <c r="H942" s="260"/>
      <c r="I942" s="260"/>
      <c r="J942" s="260"/>
      <c r="K942" s="260"/>
    </row>
    <row r="943" ht="15.75" customHeight="1">
      <c r="D943" s="258"/>
      <c r="E943" s="260"/>
      <c r="F943" s="260"/>
      <c r="G943" s="260"/>
      <c r="H943" s="260"/>
      <c r="I943" s="260"/>
      <c r="J943" s="260"/>
      <c r="K943" s="260"/>
    </row>
    <row r="944" ht="15.75" customHeight="1">
      <c r="D944" s="258"/>
      <c r="E944" s="260"/>
      <c r="F944" s="260"/>
      <c r="G944" s="260"/>
      <c r="H944" s="260"/>
      <c r="I944" s="260"/>
      <c r="J944" s="260"/>
      <c r="K944" s="260"/>
    </row>
    <row r="945" ht="15.75" customHeight="1">
      <c r="D945" s="258"/>
      <c r="E945" s="260"/>
      <c r="F945" s="260"/>
      <c r="G945" s="260"/>
      <c r="H945" s="260"/>
      <c r="I945" s="260"/>
      <c r="J945" s="260"/>
      <c r="K945" s="260"/>
    </row>
    <row r="946" ht="15.75" customHeight="1">
      <c r="D946" s="258"/>
      <c r="E946" s="260"/>
      <c r="F946" s="260"/>
      <c r="G946" s="260"/>
      <c r="H946" s="260"/>
      <c r="I946" s="260"/>
      <c r="J946" s="260"/>
      <c r="K946" s="260"/>
    </row>
    <row r="947" ht="15.75" customHeight="1">
      <c r="D947" s="258"/>
      <c r="E947" s="260"/>
      <c r="F947" s="260"/>
      <c r="G947" s="260"/>
      <c r="H947" s="260"/>
      <c r="I947" s="260"/>
      <c r="J947" s="260"/>
      <c r="K947" s="260"/>
    </row>
    <row r="948" ht="15.75" customHeight="1">
      <c r="D948" s="258"/>
      <c r="E948" s="260"/>
      <c r="F948" s="260"/>
      <c r="G948" s="260"/>
      <c r="H948" s="260"/>
      <c r="I948" s="260"/>
      <c r="J948" s="260"/>
      <c r="K948" s="260"/>
    </row>
    <row r="949" ht="15.75" customHeight="1">
      <c r="D949" s="258"/>
      <c r="E949" s="260"/>
      <c r="F949" s="260"/>
      <c r="G949" s="260"/>
      <c r="H949" s="260"/>
      <c r="I949" s="260"/>
      <c r="J949" s="260"/>
      <c r="K949" s="260"/>
    </row>
    <row r="950" ht="15.75" customHeight="1">
      <c r="D950" s="258"/>
      <c r="E950" s="260"/>
      <c r="F950" s="260"/>
      <c r="G950" s="260"/>
      <c r="H950" s="260"/>
      <c r="I950" s="260"/>
      <c r="J950" s="260"/>
      <c r="K950" s="260"/>
    </row>
    <row r="951" ht="15.75" customHeight="1">
      <c r="D951" s="258"/>
      <c r="E951" s="260"/>
      <c r="F951" s="260"/>
      <c r="G951" s="260"/>
      <c r="H951" s="260"/>
      <c r="I951" s="260"/>
      <c r="J951" s="260"/>
      <c r="K951" s="260"/>
    </row>
    <row r="952" ht="15.75" customHeight="1">
      <c r="D952" s="258"/>
      <c r="E952" s="260"/>
      <c r="F952" s="260"/>
      <c r="G952" s="260"/>
      <c r="H952" s="260"/>
      <c r="I952" s="260"/>
      <c r="J952" s="260"/>
      <c r="K952" s="260"/>
    </row>
    <row r="953" ht="15.75" customHeight="1">
      <c r="D953" s="258"/>
      <c r="E953" s="260"/>
      <c r="F953" s="260"/>
      <c r="G953" s="260"/>
      <c r="H953" s="260"/>
      <c r="I953" s="260"/>
      <c r="J953" s="260"/>
      <c r="K953" s="260"/>
    </row>
    <row r="954" ht="15.75" customHeight="1">
      <c r="D954" s="258"/>
      <c r="E954" s="260"/>
      <c r="F954" s="260"/>
      <c r="G954" s="260"/>
      <c r="H954" s="260"/>
      <c r="I954" s="260"/>
      <c r="J954" s="260"/>
      <c r="K954" s="260"/>
    </row>
    <row r="955" ht="15.75" customHeight="1">
      <c r="D955" s="258"/>
      <c r="E955" s="260"/>
      <c r="F955" s="260"/>
      <c r="G955" s="260"/>
      <c r="H955" s="260"/>
      <c r="I955" s="260"/>
      <c r="J955" s="260"/>
      <c r="K955" s="260"/>
    </row>
    <row r="956" ht="15.75" customHeight="1">
      <c r="D956" s="258"/>
      <c r="E956" s="260"/>
      <c r="F956" s="260"/>
      <c r="G956" s="260"/>
      <c r="H956" s="260"/>
      <c r="I956" s="260"/>
      <c r="J956" s="260"/>
      <c r="K956" s="260"/>
    </row>
    <row r="957" ht="15.75" customHeight="1">
      <c r="D957" s="258"/>
      <c r="E957" s="260"/>
      <c r="F957" s="260"/>
      <c r="G957" s="260"/>
      <c r="H957" s="260"/>
      <c r="I957" s="260"/>
      <c r="J957" s="260"/>
      <c r="K957" s="260"/>
    </row>
    <row r="958" ht="15.75" customHeight="1">
      <c r="D958" s="258"/>
      <c r="E958" s="260"/>
      <c r="F958" s="260"/>
      <c r="G958" s="260"/>
      <c r="H958" s="260"/>
      <c r="I958" s="260"/>
      <c r="J958" s="260"/>
      <c r="K958" s="260"/>
    </row>
    <row r="959" ht="15.75" customHeight="1">
      <c r="D959" s="258"/>
      <c r="E959" s="260"/>
      <c r="F959" s="260"/>
      <c r="G959" s="260"/>
      <c r="H959" s="260"/>
      <c r="I959" s="260"/>
      <c r="J959" s="260"/>
      <c r="K959" s="260"/>
    </row>
    <row r="960" ht="15.75" customHeight="1">
      <c r="D960" s="258"/>
      <c r="E960" s="260"/>
      <c r="F960" s="260"/>
      <c r="G960" s="260"/>
      <c r="H960" s="260"/>
      <c r="I960" s="260"/>
      <c r="J960" s="260"/>
      <c r="K960" s="260"/>
    </row>
    <row r="961" ht="15.75" customHeight="1">
      <c r="D961" s="258"/>
      <c r="E961" s="260"/>
      <c r="F961" s="260"/>
      <c r="G961" s="260"/>
      <c r="H961" s="260"/>
      <c r="I961" s="260"/>
      <c r="J961" s="260"/>
      <c r="K961" s="260"/>
    </row>
    <row r="962" ht="15.75" customHeight="1">
      <c r="D962" s="258"/>
      <c r="E962" s="260"/>
      <c r="F962" s="260"/>
      <c r="G962" s="260"/>
      <c r="H962" s="260"/>
      <c r="I962" s="260"/>
      <c r="J962" s="260"/>
      <c r="K962" s="260"/>
    </row>
    <row r="963" ht="15.75" customHeight="1">
      <c r="D963" s="258"/>
      <c r="E963" s="260"/>
      <c r="F963" s="260"/>
      <c r="G963" s="260"/>
      <c r="H963" s="260"/>
      <c r="I963" s="260"/>
      <c r="J963" s="260"/>
      <c r="K963" s="260"/>
    </row>
    <row r="964" ht="15.75" customHeight="1">
      <c r="D964" s="258"/>
      <c r="E964" s="260"/>
      <c r="F964" s="260"/>
      <c r="G964" s="260"/>
      <c r="H964" s="260"/>
      <c r="I964" s="260"/>
      <c r="J964" s="260"/>
      <c r="K964" s="260"/>
    </row>
    <row r="965" ht="15.75" customHeight="1">
      <c r="D965" s="258"/>
      <c r="E965" s="260"/>
      <c r="F965" s="260"/>
      <c r="G965" s="260"/>
      <c r="H965" s="260"/>
      <c r="I965" s="260"/>
      <c r="J965" s="260"/>
      <c r="K965" s="260"/>
    </row>
    <row r="966" ht="15.75" customHeight="1">
      <c r="D966" s="258"/>
      <c r="E966" s="260"/>
      <c r="F966" s="260"/>
      <c r="G966" s="260"/>
      <c r="H966" s="260"/>
      <c r="I966" s="260"/>
      <c r="J966" s="260"/>
      <c r="K966" s="260"/>
    </row>
    <row r="967" ht="15.75" customHeight="1">
      <c r="D967" s="258"/>
      <c r="E967" s="260"/>
      <c r="F967" s="260"/>
      <c r="G967" s="260"/>
      <c r="H967" s="260"/>
      <c r="I967" s="260"/>
      <c r="J967" s="260"/>
      <c r="K967" s="260"/>
    </row>
    <row r="968" ht="15.75" customHeight="1">
      <c r="D968" s="258"/>
      <c r="E968" s="260"/>
      <c r="F968" s="260"/>
      <c r="G968" s="260"/>
      <c r="H968" s="260"/>
      <c r="I968" s="260"/>
      <c r="J968" s="260"/>
      <c r="K968" s="260"/>
    </row>
    <row r="969" ht="15.75" customHeight="1">
      <c r="D969" s="258"/>
      <c r="E969" s="260"/>
      <c r="F969" s="260"/>
      <c r="G969" s="260"/>
      <c r="H969" s="260"/>
      <c r="I969" s="260"/>
      <c r="J969" s="260"/>
      <c r="K969" s="260"/>
    </row>
    <row r="970" ht="15.75" customHeight="1">
      <c r="D970" s="258"/>
      <c r="E970" s="260"/>
      <c r="F970" s="260"/>
      <c r="G970" s="260"/>
      <c r="H970" s="260"/>
      <c r="I970" s="260"/>
      <c r="J970" s="260"/>
      <c r="K970" s="260"/>
    </row>
    <row r="971" ht="15.75" customHeight="1">
      <c r="D971" s="258"/>
      <c r="E971" s="260"/>
      <c r="F971" s="260"/>
      <c r="G971" s="260"/>
      <c r="H971" s="260"/>
      <c r="I971" s="260"/>
      <c r="J971" s="260"/>
      <c r="K971" s="260"/>
    </row>
    <row r="972" ht="15.75" customHeight="1">
      <c r="D972" s="258"/>
      <c r="E972" s="260"/>
      <c r="F972" s="260"/>
      <c r="G972" s="260"/>
      <c r="H972" s="260"/>
      <c r="I972" s="260"/>
      <c r="J972" s="260"/>
      <c r="K972" s="260"/>
    </row>
    <row r="973" ht="15.75" customHeight="1">
      <c r="D973" s="258"/>
      <c r="E973" s="260"/>
      <c r="F973" s="260"/>
      <c r="G973" s="260"/>
      <c r="H973" s="260"/>
      <c r="I973" s="260"/>
      <c r="J973" s="260"/>
      <c r="K973" s="260"/>
    </row>
    <row r="974" ht="15.75" customHeight="1">
      <c r="D974" s="258"/>
      <c r="E974" s="260"/>
      <c r="F974" s="260"/>
      <c r="G974" s="260"/>
      <c r="H974" s="260"/>
      <c r="I974" s="260"/>
      <c r="J974" s="260"/>
      <c r="K974" s="260"/>
    </row>
    <row r="975" ht="15.75" customHeight="1">
      <c r="D975" s="258"/>
      <c r="E975" s="260"/>
      <c r="F975" s="260"/>
      <c r="G975" s="260"/>
      <c r="H975" s="260"/>
      <c r="I975" s="260"/>
      <c r="J975" s="260"/>
      <c r="K975" s="260"/>
    </row>
    <row r="976" ht="15.75" customHeight="1">
      <c r="D976" s="258"/>
      <c r="E976" s="260"/>
      <c r="F976" s="260"/>
      <c r="G976" s="260"/>
      <c r="H976" s="260"/>
      <c r="I976" s="260"/>
      <c r="J976" s="260"/>
      <c r="K976" s="260"/>
    </row>
    <row r="977" ht="15.75" customHeight="1">
      <c r="D977" s="258"/>
      <c r="E977" s="260"/>
      <c r="F977" s="260"/>
      <c r="G977" s="260"/>
      <c r="H977" s="260"/>
      <c r="I977" s="260"/>
      <c r="J977" s="260"/>
      <c r="K977" s="260"/>
    </row>
    <row r="978" ht="15.75" customHeight="1">
      <c r="D978" s="258"/>
      <c r="E978" s="260"/>
      <c r="F978" s="260"/>
      <c r="G978" s="260"/>
      <c r="H978" s="260"/>
      <c r="I978" s="260"/>
      <c r="J978" s="260"/>
      <c r="K978" s="260"/>
    </row>
    <row r="979" ht="15.75" customHeight="1">
      <c r="D979" s="258"/>
      <c r="E979" s="260"/>
      <c r="F979" s="260"/>
      <c r="G979" s="260"/>
      <c r="H979" s="260"/>
      <c r="I979" s="260"/>
      <c r="J979" s="260"/>
      <c r="K979" s="260"/>
    </row>
    <row r="980" ht="15.75" customHeight="1">
      <c r="D980" s="258"/>
      <c r="E980" s="260"/>
      <c r="F980" s="260"/>
      <c r="G980" s="260"/>
      <c r="H980" s="260"/>
      <c r="I980" s="260"/>
      <c r="J980" s="260"/>
      <c r="K980" s="260"/>
    </row>
    <row r="981" ht="15.75" customHeight="1">
      <c r="D981" s="258"/>
      <c r="E981" s="260"/>
      <c r="F981" s="260"/>
      <c r="G981" s="260"/>
      <c r="H981" s="260"/>
      <c r="I981" s="260"/>
      <c r="J981" s="260"/>
      <c r="K981" s="260"/>
    </row>
    <row r="982" ht="15.75" customHeight="1">
      <c r="D982" s="258"/>
      <c r="E982" s="260"/>
      <c r="F982" s="260"/>
      <c r="G982" s="260"/>
      <c r="H982" s="260"/>
      <c r="I982" s="260"/>
      <c r="J982" s="260"/>
      <c r="K982" s="260"/>
    </row>
    <row r="983" ht="15.75" customHeight="1">
      <c r="D983" s="258"/>
      <c r="E983" s="260"/>
      <c r="F983" s="260"/>
      <c r="G983" s="260"/>
      <c r="H983" s="260"/>
      <c r="I983" s="260"/>
      <c r="J983" s="260"/>
      <c r="K983" s="260"/>
    </row>
    <row r="984" ht="15.75" customHeight="1">
      <c r="D984" s="258"/>
      <c r="E984" s="260"/>
      <c r="F984" s="260"/>
      <c r="G984" s="260"/>
      <c r="H984" s="260"/>
      <c r="I984" s="260"/>
      <c r="J984" s="260"/>
      <c r="K984" s="260"/>
    </row>
    <row r="985" ht="15.75" customHeight="1">
      <c r="D985" s="258"/>
      <c r="E985" s="260"/>
      <c r="F985" s="260"/>
      <c r="G985" s="260"/>
      <c r="H985" s="260"/>
      <c r="I985" s="260"/>
      <c r="J985" s="260"/>
      <c r="K985" s="260"/>
    </row>
    <row r="986" ht="15.75" customHeight="1">
      <c r="D986" s="258"/>
      <c r="E986" s="260"/>
      <c r="F986" s="260"/>
      <c r="G986" s="260"/>
      <c r="H986" s="260"/>
      <c r="I986" s="260"/>
      <c r="J986" s="260"/>
      <c r="K986" s="260"/>
    </row>
    <row r="987" ht="15.75" customHeight="1">
      <c r="D987" s="258"/>
      <c r="E987" s="260"/>
      <c r="F987" s="260"/>
      <c r="G987" s="260"/>
      <c r="H987" s="260"/>
      <c r="I987" s="260"/>
      <c r="J987" s="260"/>
      <c r="K987" s="260"/>
    </row>
    <row r="988" ht="15.75" customHeight="1">
      <c r="D988" s="258"/>
      <c r="E988" s="260"/>
      <c r="F988" s="260"/>
      <c r="G988" s="260"/>
      <c r="H988" s="260"/>
      <c r="I988" s="260"/>
      <c r="J988" s="260"/>
      <c r="K988" s="260"/>
    </row>
    <row r="989" ht="15.75" customHeight="1">
      <c r="D989" s="258"/>
      <c r="E989" s="260"/>
      <c r="F989" s="260"/>
      <c r="G989" s="260"/>
      <c r="H989" s="260"/>
      <c r="I989" s="260"/>
      <c r="J989" s="260"/>
      <c r="K989" s="260"/>
    </row>
    <row r="990" ht="15.75" customHeight="1">
      <c r="D990" s="258"/>
      <c r="E990" s="260"/>
      <c r="F990" s="260"/>
      <c r="G990" s="260"/>
      <c r="H990" s="260"/>
      <c r="I990" s="260"/>
      <c r="J990" s="260"/>
      <c r="K990" s="260"/>
    </row>
    <row r="991" ht="15.75" customHeight="1">
      <c r="D991" s="258"/>
      <c r="E991" s="260"/>
      <c r="F991" s="260"/>
      <c r="G991" s="260"/>
      <c r="H991" s="260"/>
      <c r="I991" s="260"/>
      <c r="J991" s="260"/>
      <c r="K991" s="260"/>
    </row>
    <row r="992" ht="15.75" customHeight="1">
      <c r="D992" s="258"/>
      <c r="E992" s="260"/>
      <c r="F992" s="260"/>
      <c r="G992" s="260"/>
      <c r="H992" s="260"/>
      <c r="I992" s="260"/>
      <c r="J992" s="260"/>
      <c r="K992" s="260"/>
    </row>
    <row r="993" ht="15.75" customHeight="1">
      <c r="D993" s="258"/>
      <c r="E993" s="260"/>
      <c r="F993" s="260"/>
      <c r="G993" s="260"/>
      <c r="H993" s="260"/>
      <c r="I993" s="260"/>
      <c r="J993" s="260"/>
      <c r="K993" s="260"/>
    </row>
    <row r="994" ht="15.75" customHeight="1">
      <c r="D994" s="258"/>
      <c r="E994" s="260"/>
      <c r="F994" s="260"/>
      <c r="G994" s="260"/>
      <c r="H994" s="260"/>
      <c r="I994" s="260"/>
      <c r="J994" s="260"/>
      <c r="K994" s="260"/>
    </row>
    <row r="995" ht="15.75" customHeight="1">
      <c r="D995" s="258"/>
      <c r="E995" s="260"/>
      <c r="F995" s="260"/>
      <c r="G995" s="260"/>
      <c r="H995" s="260"/>
      <c r="I995" s="260"/>
      <c r="J995" s="260"/>
      <c r="K995" s="260"/>
    </row>
    <row r="996" ht="15.75" customHeight="1">
      <c r="D996" s="258"/>
      <c r="E996" s="260"/>
      <c r="F996" s="260"/>
      <c r="G996" s="260"/>
      <c r="H996" s="260"/>
      <c r="I996" s="260"/>
      <c r="J996" s="260"/>
      <c r="K996" s="260"/>
    </row>
    <row r="997" ht="15.75" customHeight="1">
      <c r="D997" s="258"/>
      <c r="E997" s="260"/>
      <c r="F997" s="260"/>
      <c r="G997" s="260"/>
      <c r="H997" s="260"/>
      <c r="I997" s="260"/>
      <c r="J997" s="260"/>
      <c r="K997" s="260"/>
    </row>
    <row r="998" ht="15.75" customHeight="1">
      <c r="D998" s="258"/>
      <c r="E998" s="260"/>
      <c r="F998" s="260"/>
      <c r="G998" s="260"/>
      <c r="H998" s="260"/>
      <c r="I998" s="260"/>
      <c r="J998" s="260"/>
      <c r="K998" s="260"/>
    </row>
    <row r="999" ht="15.75" customHeight="1">
      <c r="D999" s="258"/>
      <c r="E999" s="260"/>
      <c r="F999" s="260"/>
      <c r="G999" s="260"/>
      <c r="H999" s="260"/>
      <c r="I999" s="260"/>
      <c r="J999" s="260"/>
      <c r="K999" s="260"/>
    </row>
    <row r="1000" ht="15.75" customHeight="1">
      <c r="D1000" s="258"/>
      <c r="E1000" s="260"/>
      <c r="F1000" s="260"/>
      <c r="G1000" s="260"/>
      <c r="H1000" s="260"/>
      <c r="I1000" s="260"/>
      <c r="J1000" s="260"/>
      <c r="K1000" s="260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2022-08-09T08:09:18Z</dcterms:created>
  <dc:creator>LENOVO</dc:creator>
</cp:coreProperties>
</file>