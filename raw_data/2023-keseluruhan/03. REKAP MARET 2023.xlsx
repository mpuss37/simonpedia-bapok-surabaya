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binary" PartName="/xl/commentsmeta10"/>
  <Override ContentType="application/binary" PartName="/xl/commentsmeta19"/>
  <Override ContentType="application/binary" PartName="/xl/commentsmeta15"/>
  <Override ContentType="application/binary" PartName="/xl/commentsmeta16"/>
  <Override ContentType="application/binary" PartName="/xl/commentsmeta17"/>
  <Override ContentType="application/binary" PartName="/xl/commentsmeta18"/>
  <Override ContentType="application/binary" PartName="/xl/commentsmeta22"/>
  <Override ContentType="application/binary" PartName="/xl/commentsmeta23"/>
  <Override ContentType="application/binary" PartName="/xl/commentsmeta24"/>
  <Override ContentType="application/binary" PartName="/xl/commentsmeta25"/>
  <Override ContentType="application/binary" PartName="/xl/commentsmeta20"/>
  <Override ContentType="application/binary" PartName="/xl/commentsmeta21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26"/>
  <Override ContentType="application/binary" PartName="/xl/commentsmeta1"/>
  <Override ContentType="application/binary" PartName="/xl/commentsmeta27"/>
  <Override ContentType="application/binary" PartName="/xl/commentsmeta28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ITULASI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  <sheet state="visible" name="22" sheetId="23" r:id="rId26"/>
    <sheet state="visible" name="23" sheetId="24" r:id="rId27"/>
    <sheet state="visible" name="24" sheetId="25" r:id="rId28"/>
    <sheet state="visible" name="25" sheetId="26" r:id="rId29"/>
    <sheet state="visible" name="26" sheetId="27" r:id="rId30"/>
    <sheet state="visible" name="27" sheetId="28" r:id="rId31"/>
    <sheet state="visible" name="28" sheetId="29" r:id="rId32"/>
    <sheet state="visible" name="29" sheetId="30" r:id="rId33"/>
    <sheet state="visible" name="30" sheetId="31" r:id="rId34"/>
    <sheet state="visible" name="31" sheetId="32" r:id="rId35"/>
  </sheets>
  <definedNames/>
  <calcPr/>
  <extLst>
    <ext uri="GoogleSheetsCustomDataVersion2">
      <go:sheetsCustomData xmlns:go="http://customooxmlschemas.google.com/" r:id="rId36" roundtripDataChecksum="dh4rt32/eEImH4lbc94Kz8iLd+am+uiOgGIIwL6VTk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6">
      <text>
        <t xml:space="preserve">======
ID#AAABrNwRl44
Litbang21    (2025-09-17 04:55:28)
Litbang21:</t>
      </text>
    </comment>
  </commentList>
  <extLst>
    <ext uri="GoogleSheetsCustomDataVersion2">
      <go:sheetsCustomData xmlns:go="http://customooxmlschemas.google.com/" r:id="rId1" roundtripDataSignature="AMtx7mhd8jIC+Pa5wLmfMAQZlvgPlh0fG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ID#AAABrLusAs4
Litbang21    (2025-09-17 04:55:28)
Litbang21:</t>
      </text>
    </comment>
    <comment authorId="0" ref="D48">
      <text>
        <t xml:space="preserve">======
ID#AAABrLusAwE
Yayuk    (2025-09-17 04:55:28)
ukuran 500gr</t>
      </text>
    </comment>
    <comment authorId="0" ref="E48">
      <text>
        <t xml:space="preserve">======
ID#AAABrNwRl38
AJUDAN-FARAH    (2025-09-17 04:55:28)
ukuran 1kg</t>
      </text>
    </comment>
    <comment authorId="0" ref="F48">
      <text>
        <t xml:space="preserve">======
ID#AAABrNwRl80
Litbang3    (2025-09-17 04:55:28)
ukuran 200 gram</t>
      </text>
    </comment>
    <comment authorId="0" ref="G48">
      <text>
        <t xml:space="preserve">======
ID#AAABrNwRl6Y
Litbang3    (2025-09-17 04:55:28)
ukuran perkg</t>
      </text>
    </comment>
    <comment authorId="0" ref="H48">
      <text>
        <t xml:space="preserve">======
ID#AAABrNwRl2M
Litbang3    (2025-09-17 04:55:28)
ukuran 200 gram</t>
      </text>
    </comment>
    <comment authorId="0" ref="J48">
      <text>
        <t xml:space="preserve">======
ID#AAABrLusAu0
Litbang3    (2025-09-17 04:55:28)
ukuran 200 gram</t>
      </text>
    </comment>
    <comment authorId="0" ref="G40">
      <text>
        <t xml:space="preserve">======
ID#AAABrNwRl68
litbang 0    (2025-09-17 04:55:28)
susu Bendera</t>
      </text>
    </comment>
  </commentList>
  <extLst>
    <ext uri="GoogleSheetsCustomDataVersion2">
      <go:sheetsCustomData xmlns:go="http://customooxmlschemas.google.com/" r:id="rId1" roundtripDataSignature="AMtx7mhZdMnflcXcq41nYtPiU4FR+uRxT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ID#AAABrNwRl30
Litbang21    (2025-09-17 04:55:28)
Litbang21:</t>
      </text>
    </comment>
    <comment authorId="0" ref="D48">
      <text>
        <t xml:space="preserve">======
ID#AAABrNwRl2c
Yayuk    (2025-09-17 04:55:28)
ukuran 500gr</t>
      </text>
    </comment>
    <comment authorId="0" ref="E48">
      <text>
        <t xml:space="preserve">======
ID#AAABrNwRl8A
AJUDAN-FARAH    (2025-09-17 04:55:28)
ukuran 1kg</t>
      </text>
    </comment>
    <comment authorId="0" ref="F48">
      <text>
        <t xml:space="preserve">======
ID#AAABrLusAtE
Litbang3    (2025-09-17 04:55:28)
ukuran 200 gram</t>
      </text>
    </comment>
    <comment authorId="0" ref="G48">
      <text>
        <t xml:space="preserve">======
ID#AAABrLusAsE
Litbang3    (2025-09-17 04:55:28)
ukuran perkg</t>
      </text>
    </comment>
    <comment authorId="0" ref="H48">
      <text>
        <t xml:space="preserve">======
ID#AAABrLusAxY
Litbang3    (2025-09-17 04:55:28)
ukuran 200 gram</t>
      </text>
    </comment>
    <comment authorId="0" ref="J48">
      <text>
        <t xml:space="preserve">======
ID#AAABrNwRl2w
Litbang3    (2025-09-17 04:55:28)
ukuran 200 gram</t>
      </text>
    </comment>
    <comment authorId="0" ref="G40">
      <text>
        <t xml:space="preserve">======
ID#AAABrLusAus
litbang 0    (2025-09-17 04:55:28)
susu Bendera</t>
      </text>
    </comment>
  </commentList>
  <extLst>
    <ext uri="GoogleSheetsCustomDataVersion2">
      <go:sheetsCustomData xmlns:go="http://customooxmlschemas.google.com/" r:id="rId1" roundtripDataSignature="AMtx7mgPLP/GHbF21EbDasah5cKsmeDJt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ID#AAABrNwRl3A
Litbang21    (2025-09-17 04:55:28)
Litbang21:</t>
      </text>
    </comment>
    <comment authorId="0" ref="D48">
      <text>
        <t xml:space="preserve">======
ID#AAABrLusAvE
Yayuk    (2025-09-17 04:55:28)
ukuran 500gr</t>
      </text>
    </comment>
    <comment authorId="0" ref="E48">
      <text>
        <t xml:space="preserve">======
ID#AAABrNwRl8w
AJUDAN-FARAH    (2025-09-17 04:55:28)
ukuran 1kg</t>
      </text>
    </comment>
    <comment authorId="0" ref="F48">
      <text>
        <t xml:space="preserve">======
ID#AAABrNwRl7A
Litbang3    (2025-09-17 04:55:28)
ukuran 200 gram</t>
      </text>
    </comment>
    <comment authorId="0" ref="G48">
      <text>
        <t xml:space="preserve">======
ID#AAABrLusAxc
Litbang3    (2025-09-17 04:55:28)
ukuran perkg</t>
      </text>
    </comment>
    <comment authorId="0" ref="H48">
      <text>
        <t xml:space="preserve">======
ID#AAABrNwRl2A
Litbang3    (2025-09-17 04:55:28)
ukuran 200 gram</t>
      </text>
    </comment>
    <comment authorId="0" ref="J48">
      <text>
        <t xml:space="preserve">======
ID#AAABrNwRl8M
Litbang3    (2025-09-17 04:55:28)
ukuran 200 gram</t>
      </text>
    </comment>
    <comment authorId="0" ref="G40">
      <text>
        <t xml:space="preserve">======
ID#AAABrNwRlzY
litbang 0    (2025-09-17 04:55:28)
susu Bendera</t>
      </text>
    </comment>
  </commentList>
  <extLst>
    <ext uri="GoogleSheetsCustomDataVersion2">
      <go:sheetsCustomData xmlns:go="http://customooxmlschemas.google.com/" r:id="rId1" roundtripDataSignature="AMtx7mjs4sjtmjNUfzOmG3NUF2X/OnQMg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ID#AAABrNwRl3E
Litbang21    (2025-09-17 04:55:28)
Litbang21:</t>
      </text>
    </comment>
    <comment authorId="0" ref="D48">
      <text>
        <t xml:space="preserve">======
ID#AAABrLusAvY
Yayuk    (2025-09-17 04:55:28)
ukuran 500gr</t>
      </text>
    </comment>
    <comment authorId="0" ref="E48">
      <text>
        <t xml:space="preserve">======
ID#AAABrNwRl1s
AJUDAN-FARAH    (2025-09-17 04:55:28)
ukuran 1kg</t>
      </text>
    </comment>
    <comment authorId="0" ref="F48">
      <text>
        <t xml:space="preserve">======
ID#AAABrNwRlz4
Litbang3    (2025-09-17 04:55:28)
ukuran 200 gram</t>
      </text>
    </comment>
    <comment authorId="0" ref="G48">
      <text>
        <t xml:space="preserve">======
ID#AAABrLusAt0
Litbang3    (2025-09-17 04:55:28)
ukuran perkg</t>
      </text>
    </comment>
    <comment authorId="0" ref="H48">
      <text>
        <t xml:space="preserve">======
ID#AAABrLusAxU
Litbang3    (2025-09-17 04:55:28)
ukuran 200 gram</t>
      </text>
    </comment>
    <comment authorId="0" ref="J48">
      <text>
        <t xml:space="preserve">======
ID#AAABrLusAxk
Litbang3    (2025-09-17 04:55:28)
ukuran 200 gram</t>
      </text>
    </comment>
    <comment authorId="0" ref="G40">
      <text>
        <t xml:space="preserve">======
ID#AAABrLusAtw
litbang 0    (2025-09-17 04:55:28)
susu Bendera</t>
      </text>
    </comment>
  </commentList>
  <extLst>
    <ext uri="GoogleSheetsCustomDataVersion2">
      <go:sheetsCustomData xmlns:go="http://customooxmlschemas.google.com/" r:id="rId1" roundtripDataSignature="AMtx7miaRwiVUheCz8818Ndm+LoGorHltg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ID#AAABrNwRl7s
Litbang21    (2025-09-17 04:55:28)
Litbang21:</t>
      </text>
    </comment>
    <comment authorId="0" ref="D48">
      <text>
        <t xml:space="preserve">======
ID#AAABrLusAxA
Yayuk    (2025-09-17 04:55:28)
ukuran 500gr</t>
      </text>
    </comment>
    <comment authorId="0" ref="E48">
      <text>
        <t xml:space="preserve">======
ID#AAABrNwRl7E
AJUDAN-FARAH    (2025-09-17 04:55:28)
ukuran 1kg</t>
      </text>
    </comment>
    <comment authorId="0" ref="F48">
      <text>
        <t xml:space="preserve">======
ID#AAABrNwRl3k
Litbang3    (2025-09-17 04:55:28)
ukuran 200 gram</t>
      </text>
    </comment>
    <comment authorId="0" ref="G48">
      <text>
        <t xml:space="preserve">======
ID#AAABrLusAx0
Litbang3    (2025-09-17 04:55:28)
ukuran perkg</t>
      </text>
    </comment>
    <comment authorId="0" ref="H48">
      <text>
        <t xml:space="preserve">======
ID#AAABrLusAsc
Litbang3    (2025-09-17 04:55:28)
ukuran 200 gram</t>
      </text>
    </comment>
    <comment authorId="0" ref="J48">
      <text>
        <t xml:space="preserve">======
ID#AAABrNwRl4A
Litbang3    (2025-09-17 04:55:28)
ukuran 200 gram</t>
      </text>
    </comment>
    <comment authorId="0" ref="G40">
      <text>
        <t xml:space="preserve">======
ID#AAABrLusAsM
litbang 0    (2025-09-17 04:55:28)
susu Bendera</t>
      </text>
    </comment>
  </commentList>
  <extLst>
    <ext uri="GoogleSheetsCustomDataVersion2">
      <go:sheetsCustomData xmlns:go="http://customooxmlschemas.google.com/" r:id="rId1" roundtripDataSignature="AMtx7mgC84pJkjU9W6Cim4DjyzLHSU1GB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ID#AAABrNwRl10
Litbang21    (2025-09-17 04:55:28)
Litbang21:</t>
      </text>
    </comment>
    <comment authorId="0" ref="D48">
      <text>
        <t xml:space="preserve">======
ID#AAABrNwRl28
Yayuk    (2025-09-17 04:55:28)
ukuran 500gr</t>
      </text>
    </comment>
    <comment authorId="0" ref="E48">
      <text>
        <t xml:space="preserve">======
ID#AAABrNwRl0o
AJUDAN-FARAH    (2025-09-17 04:55:28)
ukuran 1kg</t>
      </text>
    </comment>
    <comment authorId="0" ref="F48">
      <text>
        <t xml:space="preserve">======
ID#AAABrNwRl0Y
Litbang3    (2025-09-17 04:55:28)
ukuran 200 gram</t>
      </text>
    </comment>
    <comment authorId="0" ref="G48">
      <text>
        <t xml:space="preserve">======
ID#AAABrNwRl0E
Litbang3    (2025-09-17 04:55:28)
ukuran perkg</t>
      </text>
    </comment>
    <comment authorId="0" ref="H48">
      <text>
        <t xml:space="preserve">======
ID#AAABrNwRl3c
Litbang3    (2025-09-17 04:55:28)
ukuran 200 gram</t>
      </text>
    </comment>
    <comment authorId="0" ref="J48">
      <text>
        <t xml:space="preserve">======
ID#AAABrNwRl1U
Litbang3    (2025-09-17 04:55:28)
ukuran 200 gram</t>
      </text>
    </comment>
    <comment authorId="0" ref="G40">
      <text>
        <t xml:space="preserve">======
ID#AAABrNwRl7M
litbang 0    (2025-09-17 04:55:28)
susu Bendera</t>
      </text>
    </comment>
  </commentList>
  <extLst>
    <ext uri="GoogleSheetsCustomDataVersion2">
      <go:sheetsCustomData xmlns:go="http://customooxmlschemas.google.com/" r:id="rId1" roundtripDataSignature="AMtx7mjJ8+bolPo/D0t1TNX47dDPe/LYr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1">
      <text>
        <t xml:space="preserve">======
ID#AAABrNwRl34
Litbang21    (2025-09-17 04:55:28)
Litbang21:</t>
      </text>
    </comment>
    <comment authorId="0" ref="D48">
      <text>
        <t xml:space="preserve">======
ID#AAABrLusAuU
Yayuk    (2025-09-17 04:55:28)
ukuran 500gr</t>
      </text>
    </comment>
    <comment authorId="0" ref="E48">
      <text>
        <t xml:space="preserve">======
ID#AAABrLusAsU
AJUDAN-FARAH    (2025-09-17 04:55:28)
ukuran 1kg</t>
      </text>
    </comment>
    <comment authorId="0" ref="F48">
      <text>
        <t xml:space="preserve">======
ID#AAABrNwRlzk
Litbang3    (2025-09-17 04:55:28)
ukuran 200 gram</t>
      </text>
    </comment>
    <comment authorId="0" ref="G48">
      <text>
        <t xml:space="preserve">======
ID#AAABrNwRlzM
Litbang3    (2025-09-17 04:55:28)
ukuran perkg</t>
      </text>
    </comment>
    <comment authorId="0" ref="H48">
      <text>
        <t xml:space="preserve">======
ID#AAABrLusAu4
Litbang3    (2025-09-17 04:55:28)
ukuran 200 gram</t>
      </text>
    </comment>
    <comment authorId="0" ref="J48">
      <text>
        <t xml:space="preserve">======
ID#AAABrNwRl1k
Litbang3    (2025-09-17 04:55:28)
ukuran 200 gram</t>
      </text>
    </comment>
    <comment authorId="0" ref="G40">
      <text>
        <t xml:space="preserve">======
ID#AAABrLusAwI
litbang 0    (2025-09-17 04:55:28)
susu Bendera</t>
      </text>
    </comment>
  </commentList>
  <extLst>
    <ext uri="GoogleSheetsCustomDataVersion2">
      <go:sheetsCustomData xmlns:go="http://customooxmlschemas.google.com/" r:id="rId1" roundtripDataSignature="AMtx7mhu1/bR3CrXFVh9iE8u62W9upcLd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ID#AAABrNwRl8o
Yayuk    (2025-09-17 04:55:28)
ukuran 500gr</t>
      </text>
    </comment>
    <comment authorId="0" ref="E52">
      <text>
        <t xml:space="preserve">======
ID#AAABrNwRly8
AJUDAN-FARAH    (2025-09-17 04:55:28)
ukuran 1kg</t>
      </text>
    </comment>
    <comment authorId="0" ref="F52">
      <text>
        <t xml:space="preserve">======
ID#AAABrLusAsI
Litbang3    (2025-09-17 04:55:28)
ukuran 500 gr</t>
      </text>
    </comment>
    <comment authorId="0" ref="G52">
      <text>
        <t xml:space="preserve">======
ID#AAABrNwRl6c
Litbang3    (2025-09-17 04:55:28)
ukuran 500 gr</t>
      </text>
    </comment>
    <comment authorId="0" ref="H52">
      <text>
        <t xml:space="preserve">======
ID#AAABrNwRl8I
Litbang3    (2025-09-17 04:55:28)
ukuran 200 gram</t>
      </text>
    </comment>
    <comment authorId="0" ref="I52">
      <text>
        <t xml:space="preserve">======
ID#AAABrLusAts
Litbang3    (2025-09-17 04:55:28)
ukuran 500 gr</t>
      </text>
    </comment>
    <comment authorId="0" ref="J52">
      <text>
        <t xml:space="preserve">======
ID#AAABrLusAwA
Litbang3    (2025-09-17 04:55:28)
ukuran 200 gram</t>
      </text>
    </comment>
    <comment authorId="0" ref="G44">
      <text>
        <t xml:space="preserve">======
ID#AAABrLusAuY
litbang 0    (2025-09-17 04:55:28)
susu Bendera</t>
      </text>
    </comment>
    <comment authorId="0" ref="B85">
      <text>
        <t xml:space="preserve">======
ID#AAABrNwRl2E
Litbang21    (2025-09-17 04:55:28)
Litbang21:</t>
      </text>
    </comment>
  </commentList>
  <extLst>
    <ext uri="GoogleSheetsCustomDataVersion2">
      <go:sheetsCustomData xmlns:go="http://customooxmlschemas.google.com/" r:id="rId1" roundtripDataSignature="AMtx7mjecKIEcODKkCb0Dqjjl8VIbjRtrA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ID#AAABrLusAtY
Yayuk    (2025-09-17 04:55:28)
ukuran 500gr</t>
      </text>
    </comment>
    <comment authorId="0" ref="E52">
      <text>
        <t xml:space="preserve">======
ID#AAABrNwRl1c
AJUDAN-FARAH    (2025-09-17 04:55:28)
ukuran 1kg</t>
      </text>
    </comment>
    <comment authorId="0" ref="F52">
      <text>
        <t xml:space="preserve">======
ID#AAABrNwRl4Q
Litbang3    (2025-09-17 04:55:28)
ukuran 500 gr</t>
      </text>
    </comment>
    <comment authorId="0" ref="G52">
      <text>
        <t xml:space="preserve">======
ID#AAABrLusAxM
Litbang3    (2025-09-17 04:55:28)
ukuran 500 gr</t>
      </text>
    </comment>
    <comment authorId="0" ref="H52">
      <text>
        <t xml:space="preserve">======
ID#AAABrNwRl3w
Litbang3    (2025-09-17 04:55:28)
ukuran 200 gram</t>
      </text>
    </comment>
    <comment authorId="0" ref="I52">
      <text>
        <t xml:space="preserve">======
ID#AAABrNwRlzw
Litbang3    (2025-09-17 04:55:28)
ukuran 500 gr</t>
      </text>
    </comment>
    <comment authorId="0" ref="J52">
      <text>
        <t xml:space="preserve">======
ID#AAABrNwRl3o
Litbang3    (2025-09-17 04:55:28)
ukuran 200 gram</t>
      </text>
    </comment>
    <comment authorId="0" ref="G44">
      <text>
        <t xml:space="preserve">======
ID#AAABrNwRl3s
litbang 0    (2025-09-17 04:55:28)
susu Bendera</t>
      </text>
    </comment>
    <comment authorId="0" ref="B85">
      <text>
        <t xml:space="preserve">======
ID#AAABrNwRl8U
Litbang21    (2025-09-17 04:55:28)
Litbang21:</t>
      </text>
    </comment>
  </commentList>
  <extLst>
    <ext uri="GoogleSheetsCustomDataVersion2">
      <go:sheetsCustomData xmlns:go="http://customooxmlschemas.google.com/" r:id="rId1" roundtripDataSignature="AMtx7mhko4bSsNQ7zP/1DadxrIxn7T9FIg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ID#AAABrNwRl0k
Yayuk    (2025-09-17 04:55:28)
ukuran 500gr</t>
      </text>
    </comment>
    <comment authorId="0" ref="E52">
      <text>
        <t xml:space="preserve">======
ID#AAABrLusAvw
AJUDAN-FARAH    (2025-09-17 04:55:28)
ukuran 1kg</t>
      </text>
    </comment>
    <comment authorId="0" ref="F52">
      <text>
        <t xml:space="preserve">======
ID#AAABrLusAxE
Litbang3    (2025-09-17 04:55:28)
ukuran 500 gr</t>
      </text>
    </comment>
    <comment authorId="0" ref="G52">
      <text>
        <t xml:space="preserve">======
ID#AAABrNwRl48
Litbang3    (2025-09-17 04:55:28)
ukuran 500 gr</t>
      </text>
    </comment>
    <comment authorId="0" ref="H52">
      <text>
        <t xml:space="preserve">======
ID#AAABrNwRlzQ
Litbang3    (2025-09-17 04:55:28)
ukuran 200 gram</t>
      </text>
    </comment>
    <comment authorId="0" ref="I52">
      <text>
        <t xml:space="preserve">======
ID#AAABrNwRl2I
Litbang3    (2025-09-17 04:55:28)
ukuran 500 gr</t>
      </text>
    </comment>
    <comment authorId="0" ref="J52">
      <text>
        <t xml:space="preserve">======
ID#AAABrNwRl8s
Litbang3    (2025-09-17 04:55:28)
ukuran 200 gram</t>
      </text>
    </comment>
    <comment authorId="0" ref="G44">
      <text>
        <t xml:space="preserve">======
ID#AAABrNwRl2k
litbang 0    (2025-09-17 04:55:28)
susu Bendera</t>
      </text>
    </comment>
    <comment authorId="0" ref="B85">
      <text>
        <t xml:space="preserve">======
ID#AAABrNwRl6o
Litbang21    (2025-09-17 04:55:28)
Litbang21:</t>
      </text>
    </comment>
  </commentList>
  <extLst>
    <ext uri="GoogleSheetsCustomDataVersion2">
      <go:sheetsCustomData xmlns:go="http://customooxmlschemas.google.com/" r:id="rId1" roundtripDataSignature="AMtx7mgA555XIeERx2BX221QMSsieSDsF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ID#AAABrLusArs
Yayuk    (2025-09-17 04:55:28)
ukuran 500gr</t>
      </text>
    </comment>
    <comment authorId="0" ref="E52">
      <text>
        <t xml:space="preserve">======
ID#AAABrNwRl7U
AJUDAN-FARAH    (2025-09-17 04:55:28)
ukuran 1kg</t>
      </text>
    </comment>
    <comment authorId="0" ref="F52">
      <text>
        <t xml:space="preserve">======
ID#AAABrLusAvg
Litbang3    (2025-09-17 04:55:28)
ukuran 500 gr</t>
      </text>
    </comment>
    <comment authorId="0" ref="G52">
      <text>
        <t xml:space="preserve">======
ID#AAABrLusAr4
Litbang3    (2025-09-17 04:55:28)
ukuran 500 gr</t>
      </text>
    </comment>
    <comment authorId="0" ref="H52">
      <text>
        <t xml:space="preserve">======
ID#AAABrNwRl14
Litbang3    (2025-09-17 04:55:28)
ukuran 200 gram</t>
      </text>
    </comment>
    <comment authorId="0" ref="I52">
      <text>
        <t xml:space="preserve">======
ID#AAABrNwRl0c
Litbang3    (2025-09-17 04:55:28)
ukuran 500 gr</t>
      </text>
    </comment>
    <comment authorId="0" ref="J52">
      <text>
        <t xml:space="preserve">======
ID#AAABrNwRl3Q
Litbang3    (2025-09-17 04:55:28)
ukuran 200 gram</t>
      </text>
    </comment>
    <comment authorId="0" ref="G44">
      <text>
        <t xml:space="preserve">======
ID#AAABrNwRl0s
litbang 0    (2025-09-17 04:55:28)
susu Bendera</t>
      </text>
    </comment>
    <comment authorId="0" ref="B85">
      <text>
        <t xml:space="preserve">======
ID#AAABrNwRl7Q
Litbang21    (2025-09-17 04:55:28)
Litbang21:</t>
      </text>
    </comment>
  </commentList>
  <extLst>
    <ext uri="GoogleSheetsCustomDataVersion2">
      <go:sheetsCustomData xmlns:go="http://customooxmlschemas.google.com/" r:id="rId1" roundtripDataSignature="AMtx7mh45JYwwyX+lu1O6EqdOPdHLT3BzQ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ID#AAABrLusAr8
Yayuk    (2025-09-17 04:55:28)
ukuran 500gr</t>
      </text>
    </comment>
    <comment authorId="0" ref="E52">
      <text>
        <t xml:space="preserve">======
ID#AAABrLusAtc
AJUDAN-FARAH    (2025-09-17 04:55:28)
ukuran 1kg</t>
      </text>
    </comment>
    <comment authorId="0" ref="F52">
      <text>
        <t xml:space="preserve">======
ID#AAABrNwRl3g
Litbang3    (2025-09-17 04:55:28)
ukuran 500 gr</t>
      </text>
    </comment>
    <comment authorId="0" ref="G52">
      <text>
        <t xml:space="preserve">======
ID#AAABrNwRl1Q
Litbang3    (2025-09-17 04:55:28)
ukuran 500 gr</t>
      </text>
    </comment>
    <comment authorId="0" ref="H52">
      <text>
        <t xml:space="preserve">======
ID#AAABrNwRl8c
Litbang3    (2025-09-17 04:55:28)
ukuran 200 gram</t>
      </text>
    </comment>
    <comment authorId="0" ref="I52">
      <text>
        <t xml:space="preserve">======
ID#AAABrNwRl8g
Litbang3    (2025-09-17 04:55:28)
ukuran 500 gr</t>
      </text>
    </comment>
    <comment authorId="0" ref="J52">
      <text>
        <t xml:space="preserve">======
ID#AAABrLusAwc
Litbang3    (2025-09-17 04:55:28)
ukuran 200 gram</t>
      </text>
    </comment>
    <comment authorId="0" ref="G44">
      <text>
        <t xml:space="preserve">======
ID#AAABrLusAw0
litbang 0    (2025-09-17 04:55:28)
susu Bendera</t>
      </text>
    </comment>
    <comment authorId="0" ref="B85">
      <text>
        <t xml:space="preserve">======
ID#AAABrNwRl1g
Litbang21    (2025-09-17 04:55:28)
Litbang21:</t>
      </text>
    </comment>
  </commentList>
  <extLst>
    <ext uri="GoogleSheetsCustomDataVersion2">
      <go:sheetsCustomData xmlns:go="http://customooxmlschemas.google.com/" r:id="rId1" roundtripDataSignature="AMtx7mhE9ctqrOATy2sJP7HwECtE+fy2tA=="/>
    </ext>
  </extL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ID#AAABrNwRl7Y
Yayuk    (2025-09-17 04:55:28)
ukuran 500gr</t>
      </text>
    </comment>
    <comment authorId="0" ref="E52">
      <text>
        <t xml:space="preserve">======
ID#AAABrNwRlzU
AJUDAN-FARAH    (2025-09-17 04:55:28)
ukuran 1kg</t>
      </text>
    </comment>
    <comment authorId="0" ref="F52">
      <text>
        <t xml:space="preserve">======
ID#AAABrNwRl0A
Litbang3    (2025-09-17 04:55:28)
ukuran 500 gr</t>
      </text>
    </comment>
    <comment authorId="0" ref="G52">
      <text>
        <t xml:space="preserve">======
ID#AAABrNwRl84
Litbang3    (2025-09-17 04:55:28)
ukuran 500 gr</t>
      </text>
    </comment>
    <comment authorId="0" ref="H52">
      <text>
        <t xml:space="preserve">======
ID#AAABrLusAsY
Litbang3    (2025-09-17 04:55:28)
ukuran 200 gram</t>
      </text>
    </comment>
    <comment authorId="0" ref="I52">
      <text>
        <t xml:space="preserve">======
ID#AAABrNwRlzc
Litbang3    (2025-09-17 04:55:28)
ukuran 500 gr</t>
      </text>
    </comment>
    <comment authorId="0" ref="J52">
      <text>
        <t xml:space="preserve">======
ID#AAABrLusAs8
Litbang3    (2025-09-17 04:55:28)
ukuran 200 gram</t>
      </text>
    </comment>
    <comment authorId="0" ref="G44">
      <text>
        <t xml:space="preserve">======
ID#AAABrLusAtA
litbang 0    (2025-09-17 04:55:28)
susu Bendera</t>
      </text>
    </comment>
    <comment authorId="0" ref="B85">
      <text>
        <t xml:space="preserve">======
ID#AAABrNwRl1w
Litbang21    (2025-09-17 04:55:28)
Litbang21:</t>
      </text>
    </comment>
  </commentList>
  <extLst>
    <ext uri="GoogleSheetsCustomDataVersion2">
      <go:sheetsCustomData xmlns:go="http://customooxmlschemas.google.com/" r:id="rId1" roundtripDataSignature="AMtx7mh0kdnhgZPpjANrpTrPIzfS4ZfInA=="/>
    </ext>
  </extL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ID#AAABrNwRl5E
Yayuk    (2025-09-17 04:55:28)
ukuran 500gr</t>
      </text>
    </comment>
    <comment authorId="0" ref="E52">
      <text>
        <t xml:space="preserve">======
ID#AAABrLusAsA
AJUDAN-FARAH    (2025-09-17 04:55:28)
ukuran 1kg</t>
      </text>
    </comment>
    <comment authorId="0" ref="F52">
      <text>
        <t xml:space="preserve">======
ID#AAABrNwRl7k
Litbang3    (2025-09-17 04:55:28)
ukuran 500 gr</t>
      </text>
    </comment>
    <comment authorId="0" ref="G52">
      <text>
        <t xml:space="preserve">======
ID#AAABrNwRl5A
Litbang3    (2025-09-17 04:55:28)
ukuran 500 gr</t>
      </text>
    </comment>
    <comment authorId="0" ref="H52">
      <text>
        <t xml:space="preserve">======
ID#AAABrNwRl4o
Litbang3    (2025-09-17 04:55:28)
ukuran 200 gram</t>
      </text>
    </comment>
    <comment authorId="0" ref="I52">
      <text>
        <t xml:space="preserve">======
ID#AAABrLusAvM
Litbang3    (2025-09-17 04:55:28)
ukuran 500 gr</t>
      </text>
    </comment>
    <comment authorId="0" ref="J52">
      <text>
        <t xml:space="preserve">======
ID#AAABrLusAwk
Litbang3    (2025-09-17 04:55:28)
ukuran 200 gram</t>
      </text>
    </comment>
    <comment authorId="0" ref="G44">
      <text>
        <t xml:space="preserve">======
ID#AAABrLusArw
litbang 0    (2025-09-17 04:55:28)
susu Bendera</t>
      </text>
    </comment>
    <comment authorId="0" ref="B85">
      <text>
        <t xml:space="preserve">======
ID#AAABrNwRlzs
Litbang21    (2025-09-17 04:55:28)
Litbang21:</t>
      </text>
    </comment>
  </commentList>
  <extLst>
    <ext uri="GoogleSheetsCustomDataVersion2">
      <go:sheetsCustomData xmlns:go="http://customooxmlschemas.google.com/" r:id="rId1" roundtripDataSignature="AMtx7mjKcjP54WF5bMxUAlgdthZ6o6xHtg=="/>
    </ext>
  </extL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ID#AAABrLusAv8
Yayuk    (2025-09-17 04:55:28)
ukuran 500gr</t>
      </text>
    </comment>
    <comment authorId="0" ref="E52">
      <text>
        <t xml:space="preserve">======
ID#AAABrNwRl4k
AJUDAN-FARAH    (2025-09-17 04:55:28)
ukuran 1kg</t>
      </text>
    </comment>
    <comment authorId="0" ref="F52">
      <text>
        <t xml:space="preserve">======
ID#AAABrNwRl1I
Litbang3    (2025-09-17 04:55:28)
ukuran 500 gr</t>
      </text>
    </comment>
    <comment authorId="0" ref="G52">
      <text>
        <t xml:space="preserve">======
ID#AAABrLusAuc
Litbang3    (2025-09-17 04:55:28)
ukuran 500 gr</t>
      </text>
    </comment>
    <comment authorId="0" ref="H52">
      <text>
        <t xml:space="preserve">======
ID#AAABrNwRl4M
Litbang3    (2025-09-17 04:55:28)
ukuran 200 gram</t>
      </text>
    </comment>
    <comment authorId="0" ref="I52">
      <text>
        <t xml:space="preserve">======
ID#AAABrLusAug
Litbang3    (2025-09-17 04:55:28)
ukuran 500 gr</t>
      </text>
    </comment>
    <comment authorId="0" ref="J52">
      <text>
        <t xml:space="preserve">======
ID#AAABrLusAuE
Litbang3    (2025-09-17 04:55:28)
ukuran 200 gram</t>
      </text>
    </comment>
    <comment authorId="0" ref="G44">
      <text>
        <t xml:space="preserve">======
ID#AAABrLusAto
litbang 0    (2025-09-17 04:55:28)
susu Bendera</t>
      </text>
    </comment>
    <comment authorId="0" ref="B85">
      <text>
        <t xml:space="preserve">======
ID#AAABrNwRl5M
Litbang21    (2025-09-17 04:55:28)
Litbang21:</t>
      </text>
    </comment>
  </commentList>
  <extLst>
    <ext uri="GoogleSheetsCustomDataVersion2">
      <go:sheetsCustomData xmlns:go="http://customooxmlschemas.google.com/" r:id="rId1" roundtripDataSignature="AMtx7mjL3WhTyoinhBntFee1ENApi9FZmA=="/>
    </ext>
  </extL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ID#AAABrLusAtg
Yayuk    (2025-09-17 04:55:28)
ukuran 500gr</t>
      </text>
    </comment>
    <comment authorId="0" ref="E52">
      <text>
        <t xml:space="preserve">======
ID#AAABrNwRl2g
AJUDAN-FARAH    (2025-09-17 04:55:28)
ukuran 1kg</t>
      </text>
    </comment>
    <comment authorId="0" ref="F52">
      <text>
        <t xml:space="preserve">======
ID#AAABrNwRl78
Litbang3    (2025-09-17 04:55:28)
ukuran 500 gr</t>
      </text>
    </comment>
    <comment authorId="0" ref="G52">
      <text>
        <t xml:space="preserve">======
ID#AAABrNwRl4s
Litbang3    (2025-09-17 04:55:28)
ukuran 500 gr</t>
      </text>
    </comment>
    <comment authorId="0" ref="H52">
      <text>
        <t xml:space="preserve">======
ID#AAABrLusAvI
Litbang3    (2025-09-17 04:55:28)
ukuran 200 gram</t>
      </text>
    </comment>
    <comment authorId="0" ref="I52">
      <text>
        <t xml:space="preserve">======
ID#AAABrNwRl04
Litbang3    (2025-09-17 04:55:28)
ukuran 500 gr</t>
      </text>
    </comment>
    <comment authorId="0" ref="J52">
      <text>
        <t xml:space="preserve">======
ID#AAABrLusAxI
Litbang3    (2025-09-17 04:55:28)
ukuran 200 gram</t>
      </text>
    </comment>
    <comment authorId="0" ref="G44">
      <text>
        <t xml:space="preserve">======
ID#AAABrNwRl1E
litbang 0    (2025-09-17 04:55:28)
susu Bendera</t>
      </text>
    </comment>
    <comment authorId="0" ref="B85">
      <text>
        <t xml:space="preserve">======
ID#AAABrNwRlzo
Litbang21    (2025-09-17 04:55:28)
Litbang21:</t>
      </text>
    </comment>
  </commentList>
  <extLst>
    <ext uri="GoogleSheetsCustomDataVersion2">
      <go:sheetsCustomData xmlns:go="http://customooxmlschemas.google.com/" r:id="rId1" roundtripDataSignature="AMtx7mio+a+90FsAKz/x/AOuNyX6OdDzDA=="/>
    </ext>
  </extL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ID#AAABrNwRl6w
Yayuk    (2025-09-17 04:55:28)
ukuran 500gr</t>
      </text>
    </comment>
    <comment authorId="0" ref="E52">
      <text>
        <t xml:space="preserve">======
ID#AAABrLusAw8
AJUDAN-FARAH    (2025-09-17 04:55:28)
ukuran 1kg</t>
      </text>
    </comment>
    <comment authorId="0" ref="F52">
      <text>
        <t xml:space="preserve">======
ID#AAABrLusAtk
Litbang3    (2025-09-17 04:55:28)
ukuran 500 gr</t>
      </text>
    </comment>
    <comment authorId="0" ref="G52">
      <text>
        <t xml:space="preserve">======
ID#AAABrLusAv0
Litbang3    (2025-09-17 04:55:28)
ukuran 500 gr</t>
      </text>
    </comment>
    <comment authorId="0" ref="H52">
      <text>
        <t xml:space="preserve">======
ID#AAABrNwRl9A
Litbang3    (2025-09-17 04:55:28)
ukuran 200 gram</t>
      </text>
    </comment>
    <comment authorId="0" ref="I52">
      <text>
        <t xml:space="preserve">======
ID#AAABrNwRl8E
Litbang3    (2025-09-17 04:55:28)
ukuran 500 gr</t>
      </text>
    </comment>
    <comment authorId="0" ref="J52">
      <text>
        <t xml:space="preserve">======
ID#AAABrNwRl3Y
Litbang3    (2025-09-17 04:55:28)
ukuran 200 gram</t>
      </text>
    </comment>
    <comment authorId="0" ref="G44">
      <text>
        <t xml:space="preserve">======
ID#AAABrNwRlzE
litbang 0    (2025-09-17 04:55:28)
susu Bendera</t>
      </text>
    </comment>
    <comment authorId="0" ref="B85">
      <text>
        <t xml:space="preserve">======
ID#AAABrNwRlzI
Litbang21    (2025-09-17 04:55:28)
Litbang21:</t>
      </text>
    </comment>
  </commentList>
  <extLst>
    <ext uri="GoogleSheetsCustomDataVersion2">
      <go:sheetsCustomData xmlns:go="http://customooxmlschemas.google.com/" r:id="rId1" roundtripDataSignature="AMtx7mgzUD2f/Hsn1gPI3Qu4akE2RdCVxQ=="/>
    </ext>
  </extL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ID#AAABrLusAuo
Yayuk    (2025-09-17 04:55:28)
ukuran 500gr</t>
      </text>
    </comment>
    <comment authorId="0" ref="E52">
      <text>
        <t xml:space="preserve">======
ID#AAABrNwRl5Q
AJUDAN-FARAH    (2025-09-17 04:55:28)
ukuran 1kg</t>
      </text>
    </comment>
    <comment authorId="0" ref="F52">
      <text>
        <t xml:space="preserve">======
ID#AAABrLusAtQ
Litbang3    (2025-09-17 04:55:28)
ukuran 500 gr</t>
      </text>
    </comment>
    <comment authorId="0" ref="G52">
      <text>
        <t xml:space="preserve">======
ID#AAABrLusAxQ
Litbang3    (2025-09-17 04:55:28)
ukuran 500 gr</t>
      </text>
    </comment>
    <comment authorId="0" ref="H52">
      <text>
        <t xml:space="preserve">======
ID#AAABrNwRl2U
Litbang3    (2025-09-17 04:55:28)
ukuran 200 gram</t>
      </text>
    </comment>
    <comment authorId="0" ref="I52">
      <text>
        <t xml:space="preserve">======
ID#AAABrLusAvc
Litbang3    (2025-09-17 04:55:28)
ukuran 500 gr</t>
      </text>
    </comment>
    <comment authorId="0" ref="J52">
      <text>
        <t xml:space="preserve">======
ID#AAABrLusAso
Litbang3    (2025-09-17 04:55:28)
ukuran 200 gram</t>
      </text>
    </comment>
    <comment authorId="0" ref="G44">
      <text>
        <t xml:space="preserve">======
ID#AAABrLusAwo
litbang 0    (2025-09-17 04:55:28)
susu Bendera</t>
      </text>
    </comment>
    <comment authorId="0" ref="B85">
      <text>
        <t xml:space="preserve">======
ID#AAABrLusAvs
Litbang21    (2025-09-17 04:55:28)
Litbang21:</t>
      </text>
    </comment>
  </commentList>
  <extLst>
    <ext uri="GoogleSheetsCustomDataVersion2">
      <go:sheetsCustomData xmlns:go="http://customooxmlschemas.google.com/" r:id="rId1" roundtripDataSignature="AMtx7mgJTw9tVZLx5QGbLzgoaWDet/gwsQ=="/>
    </ext>
  </extL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ID#AAABrLusAxo
Yayuk    (2025-09-17 04:55:28)
ukuran 500gr</t>
      </text>
    </comment>
    <comment authorId="0" ref="E52">
      <text>
        <t xml:space="preserve">======
ID#AAABrLusAuQ
AJUDAN-FARAH    (2025-09-17 04:55:28)
ukuran 1kg</t>
      </text>
    </comment>
    <comment authorId="0" ref="F52">
      <text>
        <t xml:space="preserve">======
ID#AAABrLusAwg
Litbang3    (2025-09-17 04:55:28)
ukuran 500 gr</t>
      </text>
    </comment>
    <comment authorId="0" ref="G52">
      <text>
        <t xml:space="preserve">======
ID#AAABrLusAtI
Litbang3    (2025-09-17 04:55:28)
ukuran 500 gr</t>
      </text>
    </comment>
    <comment authorId="0" ref="H52">
      <text>
        <t xml:space="preserve">======
ID#AAABrNwRl0Q
Litbang3    (2025-09-17 04:55:28)
ukuran 200 gram</t>
      </text>
    </comment>
    <comment authorId="0" ref="I52">
      <text>
        <t xml:space="preserve">======
ID#AAABrLusAt4
Litbang3    (2025-09-17 04:55:28)
ukuran 500 gr</t>
      </text>
    </comment>
    <comment authorId="0" ref="J52">
      <text>
        <t xml:space="preserve">======
ID#AAABrLusAvk
Litbang3    (2025-09-17 04:55:28)
ukuran 200 gram</t>
      </text>
    </comment>
    <comment authorId="0" ref="G44">
      <text>
        <t xml:space="preserve">======
ID#AAABrNwRl0I
litbang 0    (2025-09-17 04:55:28)
susu Bendera</t>
      </text>
    </comment>
    <comment authorId="0" ref="B85">
      <text>
        <t xml:space="preserve">======
ID#AAABrLusAvA
Litbang21    (2025-09-17 04:55:28)
Litbang21:</t>
      </text>
    </comment>
  </commentList>
  <extLst>
    <ext uri="GoogleSheetsCustomDataVersion2">
      <go:sheetsCustomData xmlns:go="http://customooxmlschemas.google.com/" r:id="rId1" roundtripDataSignature="AMtx7mgZUA2Jy94fjArHJjTIgPBgczJ4Nw=="/>
    </ext>
  </extL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ID#AAABrNwRl3M
Yayuk    (2025-09-17 04:55:28)
ukuran 500gr</t>
      </text>
    </comment>
    <comment authorId="0" ref="E52">
      <text>
        <t xml:space="preserve">======
ID#AAABrNwRl4c
AJUDAN-FARAH    (2025-09-17 04:55:28)
ukuran 1kg</t>
      </text>
    </comment>
    <comment authorId="0" ref="F52">
      <text>
        <t xml:space="preserve">======
ID#AAABrNwRl2Y
Litbang3    (2025-09-17 04:55:28)
ukuran 500 gr</t>
      </text>
    </comment>
    <comment authorId="0" ref="G52">
      <text>
        <t xml:space="preserve">======
ID#AAABrLusAsg
Litbang3    (2025-09-17 04:55:28)
ukuran 500 gr</t>
      </text>
    </comment>
    <comment authorId="0" ref="H52">
      <text>
        <t xml:space="preserve">======
ID#AAABrLusAtM
Litbang3    (2025-09-17 04:55:28)
ukuran 200 gram</t>
      </text>
    </comment>
    <comment authorId="0" ref="I52">
      <text>
        <t xml:space="preserve">======
ID#AAABrLusAws
Litbang3    (2025-09-17 04:55:28)
ukuran 500 gr</t>
      </text>
    </comment>
    <comment authorId="0" ref="J52">
      <text>
        <t xml:space="preserve">======
ID#AAABrNwRlz8
Litbang3    (2025-09-17 04:55:28)
ukuran 200 gram</t>
      </text>
    </comment>
    <comment authorId="0" ref="G44">
      <text>
        <t xml:space="preserve">======
ID#AAABrNwRl4Y
litbang 0    (2025-09-17 04:55:28)
susu Bendera</t>
      </text>
    </comment>
    <comment authorId="0" ref="B85">
      <text>
        <t xml:space="preserve">======
ID#AAABrNwRlz0
Litbang21    (2025-09-17 04:55:28)
Litbang21:</t>
      </text>
    </comment>
  </commentList>
  <extLst>
    <ext uri="GoogleSheetsCustomDataVersion2">
      <go:sheetsCustomData xmlns:go="http://customooxmlschemas.google.com/" r:id="rId1" roundtripDataSignature="AMtx7mjKzHCeCZ0frk8/iJKqFwUocPIM8w=="/>
    </ext>
  </extL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ID#AAABrNwRl1M
Yayuk    (2025-09-17 04:55:28)
ukuran 500gr</t>
      </text>
    </comment>
    <comment authorId="0" ref="E52">
      <text>
        <t xml:space="preserve">======
ID#AAABrNwRl08
AJUDAN-FARAH    (2025-09-17 04:55:28)
ukuran 1kg</t>
      </text>
    </comment>
    <comment authorId="0" ref="F52">
      <text>
        <t xml:space="preserve">======
ID#AAABrLusAuk
Litbang3    (2025-09-17 04:55:28)
ukuran 500 gr</t>
      </text>
    </comment>
    <comment authorId="0" ref="G52">
      <text>
        <t xml:space="preserve">======
ID#AAABrNwRlzg
Litbang3    (2025-09-17 04:55:28)
ukuran 500 gr</t>
      </text>
    </comment>
    <comment authorId="0" ref="H52">
      <text>
        <t xml:space="preserve">======
ID#AAABrNwRl7w
Litbang3    (2025-09-17 04:55:28)
ukuran 200 gram</t>
      </text>
    </comment>
    <comment authorId="0" ref="I52">
      <text>
        <t xml:space="preserve">======
ID#AAABrNwRl8k
Litbang3    (2025-09-17 04:55:28)
ukuran 500 gr</t>
      </text>
    </comment>
    <comment authorId="0" ref="J52">
      <text>
        <t xml:space="preserve">======
ID#AAABrLusAvQ
Litbang3    (2025-09-17 04:55:28)
ukuran 200 gram</t>
      </text>
    </comment>
    <comment authorId="0" ref="G44">
      <text>
        <t xml:space="preserve">======
ID#AAABrNwRl2s
litbang 0    (2025-09-17 04:55:28)
susu Bendera</t>
      </text>
    </comment>
    <comment authorId="0" ref="B85">
      <text>
        <t xml:space="preserve">======
ID#AAABrLusAr0
Litbang21    (2025-09-17 04:55:28)
Litbang21:</t>
      </text>
    </comment>
  </commentList>
  <extLst>
    <ext uri="GoogleSheetsCustomDataVersion2">
      <go:sheetsCustomData xmlns:go="http://customooxmlschemas.google.com/" r:id="rId1" roundtripDataSignature="AMtx7mivRlpMcJYLlugFk6bmTqYgP4KPYg=="/>
    </ext>
  </extL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ID#AAABrLusAsk
Yayuk    (2025-09-17 04:55:28)
ukuran 500gr</t>
      </text>
    </comment>
    <comment authorId="0" ref="E52">
      <text>
        <t xml:space="preserve">======
ID#AAABrLusAxw
AJUDAN-FARAH    (2025-09-17 04:55:28)
ukuran 1kg</t>
      </text>
    </comment>
    <comment authorId="0" ref="F52">
      <text>
        <t xml:space="preserve">======
ID#AAABrNwRl4g
Litbang3    (2025-09-17 04:55:28)
ukuran 500 gr</t>
      </text>
    </comment>
    <comment authorId="0" ref="G52">
      <text>
        <t xml:space="preserve">======
ID#AAABrNwRl1A
Litbang3    (2025-09-17 04:55:28)
ukuran 500 gr</t>
      </text>
    </comment>
    <comment authorId="0" ref="H52">
      <text>
        <t xml:space="preserve">======
ID#AAABrNwRl74
Litbang3    (2025-09-17 04:55:28)
ukuran 200 gram</t>
      </text>
    </comment>
    <comment authorId="0" ref="I52">
      <text>
        <t xml:space="preserve">======
ID#AAABrNwRl70
Litbang3    (2025-09-17 04:55:28)
ukuran 500 gr</t>
      </text>
    </comment>
    <comment authorId="0" ref="J52">
      <text>
        <t xml:space="preserve">======
ID#AAABrNwRl8Y
Litbang3    (2025-09-17 04:55:28)
ukuran 200 gram</t>
      </text>
    </comment>
    <comment authorId="0" ref="G44">
      <text>
        <t xml:space="preserve">======
ID#AAABrNwRl20
litbang 0    (2025-09-17 04:55:28)
susu Bendera</t>
      </text>
    </comment>
    <comment authorId="0" ref="B85">
      <text>
        <t xml:space="preserve">======
ID#AAABrNwRl00
Litbang21    (2025-09-17 04:55:28)
Litbang21:</t>
      </text>
    </comment>
  </commentList>
  <extLst>
    <ext uri="GoogleSheetsCustomDataVersion2">
      <go:sheetsCustomData xmlns:go="http://customooxmlschemas.google.com/" r:id="rId1" roundtripDataSignature="AMtx7mheI02e9o07ot1rBo6TLqTqRLBDvg=="/>
    </ext>
  </extL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ID#AAABrLusArk
Yayuk    (2025-09-17 04:55:28)
ukuran 500gr</t>
      </text>
    </comment>
    <comment authorId="0" ref="E52">
      <text>
        <t xml:space="preserve">======
ID#AAABrNwRl60
AJUDAN-FARAH    (2025-09-17 04:55:28)
ukuran 1kg</t>
      </text>
    </comment>
    <comment authorId="0" ref="F52">
      <text>
        <t xml:space="preserve">======
ID#AAABrLusAu8
Litbang3    (2025-09-17 04:55:28)
ukuran 500 gr</t>
      </text>
    </comment>
    <comment authorId="0" ref="G52">
      <text>
        <t xml:space="preserve">======
ID#AAABrNwRl24
Litbang3    (2025-09-17 04:55:28)
ukuran 500 gr</t>
      </text>
    </comment>
    <comment authorId="0" ref="H52">
      <text>
        <t xml:space="preserve">======
ID#AAABrNwRl40
Litbang3    (2025-09-17 04:55:28)
ukuran 200 gram</t>
      </text>
    </comment>
    <comment authorId="0" ref="I52">
      <text>
        <t xml:space="preserve">======
ID#AAABrNwRl4I
Litbang3    (2025-09-17 04:55:28)
ukuran 500 gr</t>
      </text>
    </comment>
    <comment authorId="0" ref="J52">
      <text>
        <t xml:space="preserve">======
ID#AAABrNwRl0U
Litbang3    (2025-09-17 04:55:28)
ukuran 200 gram</t>
      </text>
    </comment>
    <comment authorId="0" ref="G44">
      <text>
        <t xml:space="preserve">======
ID#AAABrNwRl4U
litbang 0    (2025-09-17 04:55:28)
susu Bendera</t>
      </text>
    </comment>
    <comment authorId="0" ref="B85">
      <text>
        <t xml:space="preserve">======
ID#AAABrNwRl6g
Litbang21    (2025-09-17 04:55:28)
Litbang21:</t>
      </text>
    </comment>
  </commentList>
  <extLst>
    <ext uri="GoogleSheetsCustomDataVersion2">
      <go:sheetsCustomData xmlns:go="http://customooxmlschemas.google.com/" r:id="rId1" roundtripDataSignature="AMtx7mho3d6PGOBcJrIYnHyUKqAay14FlQ=="/>
    </ext>
  </extL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ID#AAABrNwRl5I
Yayuk    (2025-09-17 04:55:28)
ukuran 500gr</t>
      </text>
    </comment>
    <comment authorId="0" ref="E52">
      <text>
        <t xml:space="preserve">======
ID#AAABrNwRl1o
AJUDAN-FARAH    (2025-09-17 04:55:28)
ukuran 1kg</t>
      </text>
    </comment>
    <comment authorId="0" ref="F52">
      <text>
        <t xml:space="preserve">======
ID#AAABrLusAro
Litbang3    (2025-09-17 04:55:28)
ukuran 500 gr</t>
      </text>
    </comment>
    <comment authorId="0" ref="G52">
      <text>
        <t xml:space="preserve">======
ID#AAABrLusAwY
Litbang3    (2025-09-17 04:55:28)
ukuran 500 gr</t>
      </text>
    </comment>
    <comment authorId="0" ref="H52">
      <text>
        <t xml:space="preserve">======
ID#AAABrNwRl7g
Litbang3    (2025-09-17 04:55:28)
ukuran 200 gram</t>
      </text>
    </comment>
    <comment authorId="0" ref="I52">
      <text>
        <t xml:space="preserve">======
ID#AAABrLusAuI
Litbang3    (2025-09-17 04:55:28)
ukuran 500 gr</t>
      </text>
    </comment>
    <comment authorId="0" ref="J52">
      <text>
        <t xml:space="preserve">======
ID#AAABrLusAt8
Litbang3    (2025-09-17 04:55:28)
ukuran 200 gram</t>
      </text>
    </comment>
    <comment authorId="0" ref="G44">
      <text>
        <t xml:space="preserve">======
ID#AAABrNwRl0M
litbang 0    (2025-09-17 04:55:28)
susu Bendera</t>
      </text>
    </comment>
    <comment authorId="0" ref="B85">
      <text>
        <t xml:space="preserve">======
ID#AAABrNwRl0w
Litbang21    (2025-09-17 04:55:28)
Litbang21:</t>
      </text>
    </comment>
  </commentList>
  <extLst>
    <ext uri="GoogleSheetsCustomDataVersion2">
      <go:sheetsCustomData xmlns:go="http://customooxmlschemas.google.com/" r:id="rId1" roundtripDataSignature="AMtx7miP2MXkUs0VztrJmCnBA2ScTLZSHQ=="/>
    </ext>
  </extL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ID#AAABrLusAww
Yayuk    (2025-09-17 04:55:28)
ukuran 500gr</t>
      </text>
    </comment>
    <comment authorId="0" ref="E52">
      <text>
        <t xml:space="preserve">======
ID#AAABrLusAsQ
AJUDAN-FARAH    (2025-09-17 04:55:28)
ukuran 1kg</t>
      </text>
    </comment>
    <comment authorId="0" ref="F52">
      <text>
        <t xml:space="preserve">======
ID#AAABrLusAwQ
Litbang3    (2025-09-17 04:55:28)
ukuran 500 gr</t>
      </text>
    </comment>
    <comment authorId="0" ref="G52">
      <text>
        <t xml:space="preserve">======
ID#AAABrNwRl4E
Litbang3    (2025-09-17 04:55:28)
ukuran 500 gr</t>
      </text>
    </comment>
    <comment authorId="0" ref="H52">
      <text>
        <t xml:space="preserve">======
ID#AAABrNwRl7o
Litbang3    (2025-09-17 04:55:28)
ukuran 200 gram</t>
      </text>
    </comment>
    <comment authorId="0" ref="I52">
      <text>
        <t xml:space="preserve">======
ID#AAABrNwRl6k
Litbang3    (2025-09-17 04:55:28)
ukuran 500 gr</t>
      </text>
    </comment>
    <comment authorId="0" ref="J52">
      <text>
        <t xml:space="preserve">======
ID#AAABrNwRlzA
Litbang3    (2025-09-17 04:55:28)
ukuran 200 gram</t>
      </text>
    </comment>
    <comment authorId="0" ref="G44">
      <text>
        <t xml:space="preserve">======
ID#AAABrNwRl1Y
litbang 0    (2025-09-17 04:55:28)
susu Bendera</t>
      </text>
    </comment>
    <comment authorId="0" ref="B85">
      <text>
        <t xml:space="preserve">======
ID#AAABrNwRl2o
Litbang21    (2025-09-17 04:55:28)
Litbang21:</t>
      </text>
    </comment>
  </commentList>
  <extLst>
    <ext uri="GoogleSheetsCustomDataVersion2">
      <go:sheetsCustomData xmlns:go="http://customooxmlschemas.google.com/" r:id="rId1" roundtripDataSignature="AMtx7mh1dR4zcq0VpqOWBX10g9goA/L15g=="/>
    </ext>
  </extL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======
ID#AAABrNwRl0g
Yayuk    (2025-09-17 04:55:28)
ukuran 500gr</t>
      </text>
    </comment>
    <comment authorId="0" ref="E52">
      <text>
        <t xml:space="preserve">======
ID#AAABrLusAvU
AJUDAN-FARAH    (2025-09-17 04:55:28)
ukuran 1kg</t>
      </text>
    </comment>
    <comment authorId="0" ref="F52">
      <text>
        <t xml:space="preserve">======
ID#AAABrLusAvo
Litbang3    (2025-09-17 04:55:28)
ukuran 500 gr</t>
      </text>
    </comment>
    <comment authorId="0" ref="G52">
      <text>
        <t xml:space="preserve">======
ID#AAABrNwRl18
Litbang3    (2025-09-17 04:55:28)
ukuran 500 gr</t>
      </text>
    </comment>
    <comment authorId="0" ref="H52">
      <text>
        <t xml:space="preserve">======
ID#AAABrNwRl88
Litbang3    (2025-09-17 04:55:28)
ukuran 200 gram</t>
      </text>
    </comment>
    <comment authorId="0" ref="I52">
      <text>
        <t xml:space="preserve">======
ID#AAABrLusAuM
Litbang3    (2025-09-17 04:55:28)
ukuran 500 gr</t>
      </text>
    </comment>
    <comment authorId="0" ref="J52">
      <text>
        <t xml:space="preserve">======
ID#AAABrNwRl7I
Litbang3    (2025-09-17 04:55:28)
ukuran 200 gram</t>
      </text>
    </comment>
    <comment authorId="0" ref="G44">
      <text>
        <t xml:space="preserve">======
ID#AAABrNwRl6s
litbang 0    (2025-09-17 04:55:28)
susu Bendera</t>
      </text>
    </comment>
    <comment authorId="0" ref="B85">
      <text>
        <t xml:space="preserve">======
ID#AAABrNwRl3I
Litbang21    (2025-09-17 04:55:28)
Litbang21:</t>
      </text>
    </comment>
  </commentList>
  <extLst>
    <ext uri="GoogleSheetsCustomDataVersion2">
      <go:sheetsCustomData xmlns:go="http://customooxmlschemas.google.com/" r:id="rId1" roundtripDataSignature="AMtx7mhf93e5pxAzR9AphdfMDShLITjheg=="/>
    </ext>
  </extL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ID#AAABrLusAsw
AJUDAN-FARAH    (2025-09-17 04:55:28)
ukuran 1kg</t>
      </text>
    </comment>
    <comment authorId="0" ref="F53">
      <text>
        <t xml:space="preserve">======
ID#AAABrLusAss
Litbang3    (2025-09-17 04:55:28)
ukuran 500 gr</t>
      </text>
    </comment>
    <comment authorId="0" ref="G53">
      <text>
        <t xml:space="preserve">======
ID#AAABrLusAxs
Litbang3    (2025-09-17 04:55:28)
ukuran 500 gr</t>
      </text>
    </comment>
    <comment authorId="0" ref="H53">
      <text>
        <t xml:space="preserve">======
ID#AAABrNwRl7c
Litbang3    (2025-09-17 04:55:28)
ukuran 200 gram</t>
      </text>
    </comment>
    <comment authorId="0" ref="I53">
      <text>
        <t xml:space="preserve">======
ID#AAABrLusAs0
Litbang3    (2025-09-17 04:55:28)
ukuran 500 gr</t>
      </text>
    </comment>
    <comment authorId="0" ref="J53">
      <text>
        <t xml:space="preserve">======
ID#AAABrLusAv4
Litbang3    (2025-09-17 04:55:28)
ukuran 200 gram</t>
      </text>
    </comment>
    <comment authorId="0" ref="G45">
      <text>
        <t xml:space="preserve">======
ID#AAABrLusAuw
litbang 0    (2025-09-17 04:55:28)
susu Bendera</t>
      </text>
    </comment>
    <comment authorId="0" ref="B86">
      <text>
        <t xml:space="preserve">======
ID#AAABrLusAwM
Litbang21    (2025-09-17 04:55:28)
Litbang21:</t>
      </text>
    </comment>
    <comment authorId="0" ref="D53">
      <text>
        <t xml:space="preserve">======
ID#AAABrNwRl8Q
Yayuk    (2025-09-17 04:55:28)
ukuran 500gr</t>
      </text>
    </comment>
  </commentList>
  <extLst>
    <ext uri="GoogleSheetsCustomDataVersion2">
      <go:sheetsCustomData xmlns:go="http://customooxmlschemas.google.com/" r:id="rId1" roundtripDataSignature="AMtx7miXHZyrE8ThwYlPVBU2rMQUvOjg6w=="/>
    </ext>
  </extL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ID#AAABrNwRl3U
AJUDAN-FARAH    (2025-09-17 04:55:28)
ukuran 1kg</t>
      </text>
    </comment>
    <comment authorId="0" ref="F53">
      <text>
        <t xml:space="preserve">======
ID#AAABrNwRl4w
Litbang3    (2025-09-17 04:55:28)
ukuran 500 gr</t>
      </text>
    </comment>
    <comment authorId="0" ref="G53">
      <text>
        <t xml:space="preserve">======
ID#AAABrNwRl64
Litbang3    (2025-09-17 04:55:28)
ukuran 500 gr</t>
      </text>
    </comment>
    <comment authorId="0" ref="H53">
      <text>
        <t xml:space="preserve">======
ID#AAABrLusAtU
Litbang3    (2025-09-17 04:55:28)
ukuran 200 gram</t>
      </text>
    </comment>
    <comment authorId="0" ref="I53">
      <text>
        <t xml:space="preserve">======
ID#AAABrLusAw4
Litbang3    (2025-09-17 04:55:28)
ukuran 500 gr</t>
      </text>
    </comment>
    <comment authorId="0" ref="J53">
      <text>
        <t xml:space="preserve">======
ID#AAABrLusAwU
Litbang3    (2025-09-17 04:55:28)
ukuran 200 gram</t>
      </text>
    </comment>
    <comment authorId="0" ref="G45">
      <text>
        <t xml:space="preserve">======
ID#AAABrNwRl2Q
litbang 0    (2025-09-17 04:55:28)
susu Bendera</t>
      </text>
    </comment>
    <comment authorId="0" ref="B86">
      <text>
        <t xml:space="preserve">======
ID#AAABrLusAxg
Litbang21    (2025-09-17 04:55:28)
Litbang21:</t>
      </text>
    </comment>
    <comment authorId="0" ref="D53">
      <text>
        <t xml:space="preserve">======
ID#AAABrLusAuA
Yayuk    (2025-09-17 04:55:28)
ukuran 500gr</t>
      </text>
    </comment>
  </commentList>
  <extLst>
    <ext uri="GoogleSheetsCustomDataVersion2">
      <go:sheetsCustomData xmlns:go="http://customooxmlschemas.google.com/" r:id="rId1" roundtripDataSignature="AMtx7mgLc5nbCo4I//4mkdE+t9/wldIfbw=="/>
    </ext>
  </extLst>
</comments>
</file>

<file path=xl/sharedStrings.xml><?xml version="1.0" encoding="utf-8"?>
<sst xmlns="http://schemas.openxmlformats.org/spreadsheetml/2006/main" count="6998" uniqueCount="159">
  <si>
    <t>BAGIAN PEREKONOMIAN DAN SUMBER DAYA ALAM</t>
  </si>
  <si>
    <t>LAPORAN HARGA BAHAN POKOK DI KOTA SURABAYA</t>
  </si>
  <si>
    <t xml:space="preserve">HARGA BAHAN-BAHAN POKOK </t>
  </si>
  <si>
    <t>PERIODE MEI  2023</t>
  </si>
  <si>
    <t>DI PASAR TRADISIONAL KOTA SURABAYA</t>
  </si>
  <si>
    <t>HARI / TANGGAL :  Kamis  /  02  Maret 2023</t>
  </si>
  <si>
    <t>HARI / TANGGAL :  Rabu  /  01 Maret 2023</t>
  </si>
  <si>
    <t xml:space="preserve"> </t>
  </si>
  <si>
    <t>NAMA BAHAN POKOK DAN PENTING LAINNYA</t>
  </si>
  <si>
    <t>HARI / TANGGAL :  Jumat /  03  Maret 2023</t>
  </si>
  <si>
    <t>SAT</t>
  </si>
  <si>
    <t>SATUAN</t>
  </si>
  <si>
    <t>Pasar Tambahrejo</t>
  </si>
  <si>
    <t>Pasar Pucang Anom</t>
  </si>
  <si>
    <t>Pasar Wonokromo</t>
  </si>
  <si>
    <t>Pasar Genteng Baru</t>
  </si>
  <si>
    <t>Pasar Pabean</t>
  </si>
  <si>
    <t>Pasar Kembang</t>
  </si>
  <si>
    <t>Pasar Balongsari</t>
  </si>
  <si>
    <t>Rata-Rata</t>
  </si>
  <si>
    <t>HET/HAPK (Harga Eceran Tertinggi)</t>
  </si>
  <si>
    <t>FLUKTUASI</t>
  </si>
  <si>
    <t>BERAS</t>
  </si>
  <si>
    <t>- Beras Premium</t>
  </si>
  <si>
    <t>Kg</t>
  </si>
  <si>
    <t>- Beras Medium</t>
  </si>
  <si>
    <t>- Beras Jagung</t>
  </si>
  <si>
    <t>-</t>
  </si>
  <si>
    <t>- Beras Ketan (Jenis Siyem)</t>
  </si>
  <si>
    <t>GULA</t>
  </si>
  <si>
    <t xml:space="preserve">Gula Pasir Lokal Curah </t>
  </si>
  <si>
    <t>- Gula Jawa/Merah (Bahan Kelapa)</t>
  </si>
  <si>
    <t>MINYAK GORENG</t>
  </si>
  <si>
    <t>- Minyak Goreng Curah (Bening)</t>
  </si>
  <si>
    <t>- Minyak Kita</t>
  </si>
  <si>
    <t>Liter</t>
  </si>
  <si>
    <t>MENTEGA</t>
  </si>
  <si>
    <t>- Mentega Curah (Amanda)</t>
  </si>
  <si>
    <t>DAGING</t>
  </si>
  <si>
    <t>- Daging Sapi Grade Atas</t>
  </si>
  <si>
    <t>- Beras Medium Bulog</t>
  </si>
  <si>
    <t>- Daging Sapi Grade Sedang</t>
  </si>
  <si>
    <t>- Daging Sapi Grade Bawah</t>
  </si>
  <si>
    <t>- Daging Ayam Broiler</t>
  </si>
  <si>
    <t>I K A N</t>
  </si>
  <si>
    <t>- Ikan Tongkol Segar (Uk. Sedang)</t>
  </si>
  <si>
    <t>- Ikan Mujair Segar (Uk. Sedang)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</si>
  <si>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</si>
  <si>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- Udang Segar (Uk. Sedang)</t>
  </si>
  <si>
    <t>- Ikan Lele Segar (Ukuran Sedang)</t>
  </si>
  <si>
    <t>- Ikan Bandeng Segar (Uk. Sedang)</t>
  </si>
  <si>
    <t>- Ikan Teri Asin (Bukan Teri Medan)</t>
  </si>
  <si>
    <t>TELUR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</si>
  <si>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</si>
  <si>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- Telur Ayam Broiler</t>
  </si>
  <si>
    <t>- Telur Ayam Kampung</t>
  </si>
  <si>
    <t>Butir</t>
  </si>
  <si>
    <t>TAHU DAN TEMPE</t>
  </si>
  <si>
    <t>- Tahu</t>
  </si>
  <si>
    <t>Biji</t>
  </si>
  <si>
    <t>- Tempe</t>
  </si>
  <si>
    <t>S U S U</t>
  </si>
  <si>
    <t>- Susu Kental Manis "INDOMILK" Putih</t>
  </si>
  <si>
    <t>390 Gr/kaleng</t>
  </si>
  <si>
    <t>- Susu Bubuk "DANCOW" Full Cream</t>
  </si>
  <si>
    <t>400 Gr/Dos</t>
  </si>
  <si>
    <t>SABUN CUCI</t>
  </si>
  <si>
    <t>- Sabun Detergen Rinso (Anti Noda)</t>
  </si>
  <si>
    <t>900 Gram</t>
  </si>
  <si>
    <t>- Sabun Colek "Wing's Biru"</t>
  </si>
  <si>
    <t>350 Gram</t>
  </si>
  <si>
    <t>JAGUNG</t>
  </si>
  <si>
    <t>- Jagung Pipilan Kering (Jenis Kecil)</t>
  </si>
  <si>
    <t>- Jagung Pipilan Kering (Jenis Besar)</t>
  </si>
  <si>
    <t>GARAM BERYODIUM</t>
  </si>
  <si>
    <t>- Garam Halus (Cap Kapal)</t>
  </si>
  <si>
    <t>250 Gr/Bngks</t>
  </si>
  <si>
    <t>TEPUNG TERIGU</t>
  </si>
  <si>
    <t>- Tepung Terigu "Segitiga Biru" Curah</t>
  </si>
  <si>
    <t>KACANG-KACANGAN</t>
  </si>
  <si>
    <t>- Kacang Kedelai (Kualitas Import)</t>
  </si>
  <si>
    <t>- Kacang Kedelai (Kualitas Lokal)</t>
  </si>
  <si>
    <t xml:space="preserve">             </t>
  </si>
  <si>
    <t>- Kacang Hijau</t>
  </si>
  <si>
    <t>- Kacang Tanah (Jenis Besar)</t>
  </si>
  <si>
    <t>MIE INSTAN</t>
  </si>
  <si>
    <t>- Indomie Goreng</t>
  </si>
  <si>
    <t>86 Gr/Bngks</t>
  </si>
  <si>
    <t>C A B E</t>
  </si>
  <si>
    <t>- Cabe Merah Besar</t>
  </si>
  <si>
    <t>- Cabe Merah Kriting</t>
  </si>
  <si>
    <t>- Gula pasir lokal curah</t>
  </si>
  <si>
    <t>- Cabe Merah Kecil-Rawit</t>
  </si>
  <si>
    <t>BAHAN BAKAR GAS LPG</t>
  </si>
  <si>
    <t>- Gas LPG Tabung (3 Kg.)</t>
  </si>
  <si>
    <t>Per Tabung</t>
  </si>
  <si>
    <t>BAWANG</t>
  </si>
  <si>
    <t>- Bawang Putih (Jenis Kating)</t>
  </si>
  <si>
    <t>- Bawang Putih (Jenis Sinco)</t>
  </si>
  <si>
    <t>- Bawang Merah (Kualitas Lokal)</t>
  </si>
  <si>
    <t>- Bawang Bombay</t>
  </si>
  <si>
    <t>UBI-UBIAN</t>
  </si>
  <si>
    <t>- Ketela Pohon</t>
  </si>
  <si>
    <t>- Ubi Jalar</t>
  </si>
  <si>
    <t>SAYUR-SAYURAN</t>
  </si>
  <si>
    <t>- Kubis</t>
  </si>
  <si>
    <t>- Buncis</t>
  </si>
  <si>
    <t>- Kentang</t>
  </si>
  <si>
    <t>- Tomat</t>
  </si>
  <si>
    <t>- Wortel (Kualitas Lokal)</t>
  </si>
  <si>
    <t>- Terong Ungu (Jenis Sayur)</t>
  </si>
  <si>
    <t>- Bayam (Jenis Sayur)</t>
  </si>
  <si>
    <t>Ikat Kecil</t>
  </si>
  <si>
    <t>- Kangkung (Jenis Panjang)</t>
  </si>
  <si>
    <t>- Sawi (Jenis Hijau)</t>
  </si>
  <si>
    <t>AIR MINERAL</t>
  </si>
  <si>
    <t xml:space="preserve">  </t>
  </si>
  <si>
    <t>- Air Mineral (Aqua Galon)</t>
  </si>
  <si>
    <t>19 Ltr/Galon</t>
  </si>
  <si>
    <t>HARI / TANGGAL :  Sabtu /  04  Maret 2023</t>
  </si>
  <si>
    <t>HARI / TANGGAL :  Minggu / 05 Maret 2023</t>
  </si>
  <si>
    <t>HARI / TANGGAL :  Senin / 06  Maret 2023</t>
  </si>
  <si>
    <t xml:space="preserve">TAHU </t>
  </si>
  <si>
    <t>- Tahu biasa</t>
  </si>
  <si>
    <t>- Tahu susu</t>
  </si>
  <si>
    <t>TEMPE</t>
  </si>
  <si>
    <t>- Tempe Kw I (campuran kedelai)</t>
  </si>
  <si>
    <t>- Tempe Kw II (campuran jagung)</t>
  </si>
  <si>
    <t>- Tempe Kw III (campuran kulit)</t>
  </si>
  <si>
    <t>390 Gr/Klg</t>
  </si>
  <si>
    <t>- Susu Kental Manis "BENDERA" Putih</t>
  </si>
  <si>
    <t>390 Gr/klg</t>
  </si>
  <si>
    <t>HARI / TANGGAL :  Selasa  / 07  Maret 2023</t>
  </si>
  <si>
    <t>HARI / TANGGAL :  Rabu / 08  Maret 2023</t>
  </si>
  <si>
    <t>HARI / TANGGAL :  Kamis / 09 Maret 2023</t>
  </si>
  <si>
    <t>HARI / TANGGAL :  Jumat / 10 Maret 2023</t>
  </si>
  <si>
    <t>HARI / TANGGAL :  Sabtu  / 11  Maret 2023</t>
  </si>
  <si>
    <t>HARI / TANGGAL :  Minggu  / 12  Maret 2023</t>
  </si>
  <si>
    <t>HARI / TANGGAL :  Senin  / 13  Maret 2023</t>
  </si>
  <si>
    <t>HARI / TANGGAL :  Selasa  / 14  Maret 2023</t>
  </si>
  <si>
    <t>HARI / TANGGAL :  Rabu / 15  Maret 2023</t>
  </si>
  <si>
    <t>HARI / TANGGAL :  Kamis / 16  Maret 2023</t>
  </si>
  <si>
    <t>Pasar                                                                                                                                                                                                                                                                                            Balongsari</t>
  </si>
  <si>
    <t>HARI / TANGGAL :  Jumat / 17  Maret 2023</t>
  </si>
  <si>
    <t>HARI / TANGGAL : Sabtu / 18  Maret 2023</t>
  </si>
  <si>
    <t>HARI / TANGGAL : Minggu / 19  Maret 2023</t>
  </si>
  <si>
    <t>HARI / TANGGAL :  Senin  / 20  Maret 2023</t>
  </si>
  <si>
    <t>HARI / TANGGAL :  Selasa  / 21  Maret 2023</t>
  </si>
  <si>
    <t>HARI / TANGGAL :  Rabu / 22  Maret 2023</t>
  </si>
  <si>
    <t>HARI / TANGGAL :  Kamis / 23  Maret 2023</t>
  </si>
  <si>
    <t>HARI / TANGGAL :  Jumat  / 24  Maret 2023</t>
  </si>
  <si>
    <t xml:space="preserve">- Susu kental Manis  "BENDERA" </t>
  </si>
  <si>
    <t>HARI / TANGGAL :  Sabtu  / 25  Maret 2023</t>
  </si>
  <si>
    <t>HARI / TANGGAL :  Minggu   / 26  Maret 2023</t>
  </si>
  <si>
    <t>HARI / TANGGAL :  Senin   / 27  Maret 2023</t>
  </si>
  <si>
    <t>HARI / TANGGAL :  Selasa   / 28  Maret 2023</t>
  </si>
  <si>
    <t>HARI / TANGGAL :  Rabu  / 29  Maret 2023</t>
  </si>
  <si>
    <t>HARI / TANGGAL :  Minggu  /  30  April  2023</t>
  </si>
  <si>
    <t>HARI / TANGGAL :  Jumat  / 31  Maret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</si>
</sst>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_);_(@_)"/>
  </numFmts>
  <fonts count="22">
    <font>
      <sz val="11.0"/>
      <color theme="1"/>
      <name val="Calibri"/>
      <scheme val="minor"/>
    </font>
    <font>
      <b/>
      <sz val="14.0"/>
      <color theme="1"/>
      <name val="Calibri"/>
    </font>
    <font/>
    <font>
      <sz val="11.0"/>
      <color theme="1"/>
      <name val="Calibri"/>
    </font>
    <font>
      <sz val="14.0"/>
      <color theme="1"/>
      <name val="Calibri"/>
    </font>
    <font>
      <b/>
      <sz val="11.0"/>
      <color theme="1"/>
      <name val="Tahoma"/>
    </font>
    <font>
      <sz val="12.0"/>
      <color theme="1"/>
      <name val="Calibri"/>
    </font>
    <font>
      <u/>
      <sz val="14.0"/>
      <color theme="1"/>
      <name val="Calibri"/>
    </font>
    <font>
      <b/>
      <sz val="10.0"/>
      <color theme="1"/>
      <name val="Tahoma"/>
    </font>
    <font>
      <b/>
      <sz val="10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b/>
      <sz val="11.0"/>
      <color rgb="FF0C0C0C"/>
      <name val="Tahoma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C55A11"/>
      <name val="Tahoma"/>
    </font>
    <font>
      <color theme="1"/>
      <name val="Calibri"/>
      <scheme val="minor"/>
    </font>
    <font>
      <sz val="11.0"/>
      <color rgb="FFC55A11"/>
      <name val="Tahoma"/>
    </font>
    <font>
      <sz val="11.0"/>
      <color rgb="FF0C0C0C"/>
      <name val="Tahoma"/>
    </font>
    <font>
      <sz val="12.0"/>
      <color rgb="FFFF0000"/>
      <name val="Calibri"/>
    </font>
    <font>
      <sz val="11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7B7B7B"/>
        <bgColor rgb="FF7B7B7B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8496B0"/>
        <bgColor rgb="FF8496B0"/>
      </patternFill>
    </fill>
  </fills>
  <borders count="4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Font="1"/>
    <xf borderId="5" fillId="2" fontId="7" numFmtId="0" xfId="0" applyAlignment="1" applyBorder="1" applyFont="1">
      <alignment horizontal="center"/>
    </xf>
    <xf borderId="6" fillId="0" fontId="2" numFmtId="0" xfId="0" applyBorder="1" applyFont="1"/>
    <xf borderId="1" fillId="2" fontId="5" numFmtId="0" xfId="0" applyAlignment="1" applyBorder="1" applyFont="1">
      <alignment horizontal="center" vertical="center"/>
    </xf>
    <xf borderId="7" fillId="0" fontId="2" numFmtId="0" xfId="0" applyBorder="1" applyFont="1"/>
    <xf borderId="8" fillId="0" fontId="5" numFmtId="0" xfId="0" applyAlignment="1" applyBorder="1" applyFont="1">
      <alignment horizontal="center" vertical="center"/>
    </xf>
    <xf borderId="8" fillId="0" fontId="2" numFmtId="0" xfId="0" applyBorder="1" applyFont="1"/>
    <xf borderId="9" fillId="2" fontId="5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shrinkToFit="0" vertical="center" wrapText="1"/>
    </xf>
    <xf borderId="10" fillId="2" fontId="8" numFmtId="16" xfId="0" applyAlignment="1" applyBorder="1" applyFont="1" applyNumberFormat="1">
      <alignment horizontal="center" shrinkToFit="0" vertical="center" wrapText="1"/>
    </xf>
    <xf borderId="11" fillId="3" fontId="5" numFmtId="0" xfId="0" applyAlignment="1" applyBorder="1" applyFill="1" applyFont="1">
      <alignment horizontal="center" shrinkToFit="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13" fillId="5" fontId="5" numFmtId="0" xfId="0" applyAlignment="1" applyBorder="1" applyFill="1" applyFont="1">
      <alignment horizontal="center" shrinkToFit="0" vertical="center" wrapText="1"/>
    </xf>
    <xf borderId="14" fillId="6" fontId="5" numFmtId="0" xfId="0" applyAlignment="1" applyBorder="1" applyFill="1" applyFont="1">
      <alignment horizontal="center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8" fontId="5" numFmtId="0" xfId="0" applyAlignment="1" applyBorder="1" applyFill="1" applyFont="1">
      <alignment horizontal="center" shrinkToFit="0" vertical="center" wrapText="1"/>
    </xf>
    <xf borderId="15" fillId="9" fontId="5" numFmtId="0" xfId="0" applyAlignment="1" applyBorder="1" applyFill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9" fillId="2" fontId="9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top"/>
    </xf>
    <xf borderId="9" fillId="2" fontId="9" numFmtId="16" xfId="0" applyAlignment="1" applyBorder="1" applyFont="1" applyNumberFormat="1">
      <alignment horizontal="center" shrinkToFit="0" vertical="center" wrapText="1"/>
    </xf>
    <xf borderId="30" fillId="10" fontId="5" numFmtId="0" xfId="0" applyAlignment="1" applyBorder="1" applyFill="1" applyFont="1">
      <alignment vertical="center"/>
    </xf>
    <xf borderId="30" fillId="10" fontId="10" numFmtId="0" xfId="0" applyAlignment="1" applyBorder="1" applyFont="1">
      <alignment vertical="center"/>
    </xf>
    <xf borderId="31" fillId="2" fontId="8" numFmtId="0" xfId="0" applyAlignment="1" applyBorder="1" applyFont="1">
      <alignment horizontal="center" shrinkToFit="0" vertical="center" wrapText="1"/>
    </xf>
    <xf borderId="32" fillId="0" fontId="10" numFmtId="0" xfId="0" applyAlignment="1" applyBorder="1" applyFont="1">
      <alignment vertical="center"/>
    </xf>
    <xf borderId="33" fillId="0" fontId="10" numFmtId="0" xfId="0" applyAlignment="1" applyBorder="1" applyFont="1">
      <alignment vertical="center"/>
    </xf>
    <xf borderId="33" fillId="0" fontId="11" numFmtId="0" xfId="0" applyBorder="1" applyFont="1"/>
    <xf borderId="34" fillId="0" fontId="11" numFmtId="0" xfId="0" applyBorder="1" applyFont="1"/>
    <xf borderId="9" fillId="0" fontId="5" numFmtId="0" xfId="0" applyAlignment="1" applyBorder="1" applyFont="1">
      <alignment horizontal="center" shrinkToFit="0" vertical="center" wrapText="1"/>
    </xf>
    <xf borderId="35" fillId="10" fontId="11" numFmtId="0" xfId="0" applyBorder="1" applyFont="1"/>
    <xf quotePrefix="1" borderId="36" fillId="0" fontId="10" numFmtId="0" xfId="0" applyAlignment="1" applyBorder="1" applyFont="1">
      <alignment vertical="center"/>
    </xf>
    <xf borderId="36" fillId="0" fontId="10" numFmtId="0" xfId="0" applyAlignment="1" applyBorder="1" applyFont="1">
      <alignment horizontal="center" vertical="center"/>
    </xf>
    <xf borderId="37" fillId="2" fontId="12" numFmtId="164" xfId="0" applyAlignment="1" applyBorder="1" applyFont="1" applyNumberFormat="1">
      <alignment vertical="center"/>
    </xf>
    <xf borderId="38" fillId="2" fontId="12" numFmtId="164" xfId="0" applyAlignment="1" applyBorder="1" applyFont="1" applyNumberFormat="1">
      <alignment vertical="center"/>
    </xf>
    <xf borderId="38" fillId="0" fontId="12" numFmtId="164" xfId="0" applyAlignment="1" applyBorder="1" applyFont="1" applyNumberFormat="1">
      <alignment horizontal="center" vertical="center"/>
    </xf>
    <xf borderId="39" fillId="2" fontId="12" numFmtId="164" xfId="0" applyAlignment="1" applyBorder="1" applyFont="1" applyNumberFormat="1">
      <alignment vertical="center"/>
    </xf>
    <xf borderId="39" fillId="0" fontId="5" numFmtId="164" xfId="0" applyAlignment="1" applyBorder="1" applyFont="1" applyNumberFormat="1">
      <alignment vertical="center"/>
    </xf>
    <xf borderId="40" fillId="0" fontId="13" numFmtId="164" xfId="0" applyAlignment="1" applyBorder="1" applyFont="1" applyNumberFormat="1">
      <alignment vertical="center"/>
    </xf>
    <xf borderId="0" fillId="0" fontId="3" numFmtId="164" xfId="0" applyFont="1" applyNumberFormat="1"/>
    <xf borderId="0" fillId="0" fontId="6" numFmtId="164" xfId="0" applyFont="1" applyNumberFormat="1"/>
    <xf borderId="41" fillId="2" fontId="8" numFmtId="16" xfId="0" applyAlignment="1" applyBorder="1" applyFont="1" applyNumberFormat="1">
      <alignment horizontal="center" shrinkToFit="0" vertical="center" wrapText="1"/>
    </xf>
    <xf borderId="37" fillId="0" fontId="12" numFmtId="164" xfId="0" applyAlignment="1" applyBorder="1" applyFont="1" applyNumberFormat="1">
      <alignment vertical="center"/>
    </xf>
    <xf borderId="38" fillId="0" fontId="12" numFmtId="164" xfId="0" applyAlignment="1" applyBorder="1" applyFont="1" applyNumberFormat="1">
      <alignment vertical="center"/>
    </xf>
    <xf borderId="38" fillId="0" fontId="5" numFmtId="164" xfId="0" applyAlignment="1" applyBorder="1" applyFont="1" applyNumberFormat="1">
      <alignment horizontal="center" vertical="center"/>
    </xf>
    <xf borderId="39" fillId="0" fontId="12" numFmtId="164" xfId="0" applyAlignment="1" applyBorder="1" applyFont="1" applyNumberFormat="1">
      <alignment vertical="center"/>
    </xf>
    <xf borderId="40" fillId="0" fontId="13" numFmtId="164" xfId="0" applyBorder="1" applyFont="1" applyNumberFormat="1"/>
    <xf borderId="37" fillId="0" fontId="12" numFmtId="164" xfId="0" applyAlignment="1" applyBorder="1" applyFont="1" applyNumberFormat="1">
      <alignment horizontal="center" vertical="center"/>
    </xf>
    <xf borderId="38" fillId="0" fontId="10" numFmtId="164" xfId="0" applyAlignment="1" applyBorder="1" applyFont="1" applyNumberFormat="1">
      <alignment horizontal="center" vertical="center"/>
    </xf>
    <xf borderId="39" fillId="0" fontId="12" numFmtId="164" xfId="0" applyAlignment="1" applyBorder="1" applyFont="1" applyNumberFormat="1">
      <alignment horizontal="center" vertical="center"/>
    </xf>
    <xf borderId="39" fillId="0" fontId="5" numFmtId="164" xfId="0" applyAlignment="1" applyBorder="1" applyFont="1" applyNumberFormat="1">
      <alignment horizontal="center" vertical="center"/>
    </xf>
    <xf borderId="9" fillId="2" fontId="10" numFmtId="0" xfId="0" applyAlignment="1" applyBorder="1" applyFont="1">
      <alignment horizontal="center" vertical="top"/>
    </xf>
    <xf borderId="42" fillId="0" fontId="2" numFmtId="0" xfId="0" applyBorder="1" applyFont="1"/>
    <xf borderId="30" fillId="11" fontId="5" numFmtId="0" xfId="0" applyAlignment="1" applyBorder="1" applyFill="1" applyFont="1">
      <alignment vertical="center"/>
    </xf>
    <xf borderId="30" fillId="11" fontId="10" numFmtId="0" xfId="0" applyAlignment="1" applyBorder="1" applyFont="1">
      <alignment vertical="center"/>
    </xf>
    <xf borderId="43" fillId="2" fontId="14" numFmtId="0" xfId="0" applyBorder="1" applyFont="1"/>
    <xf borderId="44" fillId="0" fontId="10" numFmtId="0" xfId="0" applyAlignment="1" applyBorder="1" applyFont="1">
      <alignment horizontal="center" vertical="top"/>
    </xf>
    <xf borderId="36" fillId="10" fontId="5" numFmtId="0" xfId="0" applyAlignment="1" applyBorder="1" applyFont="1">
      <alignment vertical="center"/>
    </xf>
    <xf borderId="36" fillId="10" fontId="10" numFmtId="0" xfId="0" applyAlignment="1" applyBorder="1" applyFont="1">
      <alignment vertical="center"/>
    </xf>
    <xf borderId="37" fillId="0" fontId="10" numFmtId="0" xfId="0" applyAlignment="1" applyBorder="1" applyFont="1">
      <alignment vertical="center"/>
    </xf>
    <xf borderId="38" fillId="0" fontId="10" numFmtId="164" xfId="0" applyAlignment="1" applyBorder="1" applyFont="1" applyNumberFormat="1">
      <alignment vertical="center"/>
    </xf>
    <xf borderId="38" fillId="0" fontId="10" numFmtId="0" xfId="0" applyAlignment="1" applyBorder="1" applyFont="1">
      <alignment vertical="center"/>
    </xf>
    <xf borderId="38" fillId="0" fontId="11" numFmtId="164" xfId="0" applyBorder="1" applyFont="1" applyNumberFormat="1"/>
    <xf borderId="39" fillId="0" fontId="11" numFmtId="164" xfId="0" applyBorder="1" applyFont="1" applyNumberFormat="1"/>
    <xf borderId="45" fillId="10" fontId="13" numFmtId="164" xfId="0" applyBorder="1" applyFont="1" applyNumberFormat="1"/>
    <xf borderId="43" fillId="2" fontId="15" numFmtId="0" xfId="0" applyBorder="1" applyFont="1"/>
    <xf borderId="4" fillId="2" fontId="6" numFmtId="0" xfId="0" applyBorder="1" applyFont="1"/>
    <xf borderId="36" fillId="0" fontId="10" numFmtId="0" xfId="0" applyAlignment="1" applyBorder="1" applyFont="1">
      <alignment vertical="center"/>
    </xf>
    <xf quotePrefix="1" borderId="36" fillId="2" fontId="10" numFmtId="0" xfId="0" applyAlignment="1" applyBorder="1" applyFont="1">
      <alignment vertical="center"/>
    </xf>
    <xf borderId="36" fillId="2" fontId="10" numFmtId="0" xfId="0" applyAlignment="1" applyBorder="1" applyFont="1">
      <alignment horizontal="center" vertical="center"/>
    </xf>
    <xf borderId="36" fillId="2" fontId="15" numFmtId="164" xfId="0" applyAlignment="1" applyBorder="1" applyFont="1" applyNumberFormat="1">
      <alignment vertical="center"/>
    </xf>
    <xf borderId="38" fillId="0" fontId="5" numFmtId="164" xfId="0" applyAlignment="1" applyBorder="1" applyFont="1" applyNumberFormat="1">
      <alignment vertical="center"/>
    </xf>
    <xf borderId="37" fillId="0" fontId="5" numFmtId="0" xfId="0" applyAlignment="1" applyBorder="1" applyFont="1">
      <alignment vertical="center"/>
    </xf>
    <xf borderId="38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vertical="center"/>
    </xf>
    <xf borderId="39" fillId="0" fontId="5" numFmtId="0" xfId="0" applyAlignment="1" applyBorder="1" applyFont="1">
      <alignment vertical="center"/>
    </xf>
    <xf borderId="39" fillId="2" fontId="5" numFmtId="0" xfId="0" applyAlignment="1" applyBorder="1" applyFont="1">
      <alignment vertical="center"/>
    </xf>
    <xf borderId="17" fillId="0" fontId="10" numFmtId="0" xfId="0" applyAlignment="1" applyBorder="1" applyFont="1">
      <alignment horizontal="center" vertical="top"/>
    </xf>
    <xf borderId="38" fillId="0" fontId="16" numFmtId="0" xfId="0" applyAlignment="1" applyBorder="1" applyFont="1">
      <alignment vertical="center"/>
    </xf>
    <xf borderId="39" fillId="0" fontId="10" numFmtId="164" xfId="0" applyAlignment="1" applyBorder="1" applyFont="1" applyNumberFormat="1">
      <alignment horizontal="center" vertical="center"/>
    </xf>
    <xf borderId="39" fillId="2" fontId="10" numFmtId="164" xfId="0" applyAlignment="1" applyBorder="1" applyFont="1" applyNumberFormat="1">
      <alignment horizontal="center" vertical="center"/>
    </xf>
    <xf borderId="39" fillId="0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horizontal="center" vertical="center"/>
    </xf>
    <xf borderId="39" fillId="2" fontId="12" numFmtId="164" xfId="0" applyAlignment="1" applyBorder="1" applyFont="1" applyNumberFormat="1">
      <alignment horizontal="center" vertical="center"/>
    </xf>
    <xf borderId="4" fillId="2" fontId="3" numFmtId="164" xfId="0" applyBorder="1" applyFont="1" applyNumberFormat="1"/>
    <xf borderId="39" fillId="2" fontId="5" numFmtId="164" xfId="0" applyAlignment="1" applyBorder="1" applyFont="1" applyNumberFormat="1">
      <alignment horizontal="center" vertical="center"/>
    </xf>
    <xf borderId="0" fillId="0" fontId="17" numFmtId="0" xfId="0" applyFont="1"/>
    <xf borderId="38" fillId="12" fontId="12" numFmtId="164" xfId="0" applyAlignment="1" applyBorder="1" applyFill="1" applyFont="1" applyNumberFormat="1">
      <alignment vertical="center"/>
    </xf>
    <xf borderId="36" fillId="10" fontId="10" numFmtId="0" xfId="0" applyAlignment="1" applyBorder="1" applyFont="1">
      <alignment horizontal="center" vertical="center"/>
    </xf>
    <xf borderId="39" fillId="2" fontId="12" numFmtId="0" xfId="0" applyAlignment="1" applyBorder="1" applyFont="1">
      <alignment vertical="center"/>
    </xf>
    <xf borderId="38" fillId="0" fontId="10" numFmtId="0" xfId="0" applyAlignment="1" applyBorder="1" applyFont="1">
      <alignment horizontal="center" vertical="center"/>
    </xf>
    <xf borderId="36" fillId="10" fontId="5" numFmtId="0" xfId="0" applyAlignment="1" applyBorder="1" applyFont="1">
      <alignment horizontal="left" vertical="center"/>
    </xf>
    <xf borderId="37" fillId="0" fontId="10" numFmtId="164" xfId="0" applyAlignment="1" applyBorder="1" applyFont="1" applyNumberFormat="1">
      <alignment vertical="center"/>
    </xf>
    <xf borderId="38" fillId="0" fontId="18" numFmtId="164" xfId="0" applyAlignment="1" applyBorder="1" applyFont="1" applyNumberFormat="1">
      <alignment vertical="center"/>
    </xf>
    <xf borderId="39" fillId="0" fontId="10" numFmtId="164" xfId="0" applyAlignment="1" applyBorder="1" applyFont="1" applyNumberFormat="1">
      <alignment vertical="center"/>
    </xf>
    <xf borderId="39" fillId="2" fontId="10" numFmtId="164" xfId="0" applyAlignment="1" applyBorder="1" applyFont="1" applyNumberFormat="1">
      <alignment vertical="center"/>
    </xf>
    <xf borderId="36" fillId="13" fontId="10" numFmtId="0" xfId="0" applyAlignment="1" applyBorder="1" applyFill="1" applyFont="1">
      <alignment horizontal="center" vertical="center"/>
    </xf>
    <xf borderId="42" fillId="0" fontId="10" numFmtId="0" xfId="0" applyAlignment="1" applyBorder="1" applyFont="1">
      <alignment horizontal="center" vertical="top"/>
    </xf>
    <xf borderId="37" fillId="0" fontId="10" numFmtId="0" xfId="0" applyAlignment="1" applyBorder="1" applyFont="1">
      <alignment horizontal="center" vertical="center"/>
    </xf>
    <xf borderId="38" fillId="0" fontId="18" numFmtId="0" xfId="0" applyAlignment="1" applyBorder="1" applyFont="1">
      <alignment horizontal="center" vertical="center"/>
    </xf>
    <xf borderId="38" fillId="0" fontId="18" numFmtId="0" xfId="0" applyAlignment="1" applyBorder="1" applyFont="1">
      <alignment vertical="center"/>
    </xf>
    <xf borderId="39" fillId="0" fontId="10" numFmtId="0" xfId="0" applyAlignment="1" applyBorder="1" applyFont="1">
      <alignment vertical="center"/>
    </xf>
    <xf borderId="39" fillId="2" fontId="19" numFmtId="0" xfId="0" applyAlignment="1" applyBorder="1" applyFont="1">
      <alignment vertical="center"/>
    </xf>
    <xf quotePrefix="1" borderId="36" fillId="13" fontId="10" numFmtId="0" xfId="0" applyAlignment="1" applyBorder="1" applyFont="1">
      <alignment vertical="center"/>
    </xf>
    <xf borderId="44" fillId="2" fontId="10" numFmtId="0" xfId="0" applyAlignment="1" applyBorder="1" applyFont="1">
      <alignment horizontal="center" vertical="top"/>
    </xf>
    <xf borderId="38" fillId="0" fontId="18" numFmtId="164" xfId="0" applyAlignment="1" applyBorder="1" applyFont="1" applyNumberFormat="1">
      <alignment horizontal="center" vertical="center"/>
    </xf>
    <xf borderId="36" fillId="11" fontId="5" numFmtId="0" xfId="0" applyAlignment="1" applyBorder="1" applyFont="1">
      <alignment vertical="center"/>
    </xf>
    <xf borderId="39" fillId="0" fontId="19" numFmtId="164" xfId="0" applyAlignment="1" applyBorder="1" applyFont="1" applyNumberFormat="1">
      <alignment horizontal="center" vertical="center"/>
    </xf>
    <xf borderId="36" fillId="11" fontId="10" numFmtId="0" xfId="0" applyAlignment="1" applyBorder="1" applyFont="1">
      <alignment vertical="center"/>
    </xf>
    <xf borderId="0" fillId="0" fontId="20" numFmtId="0" xfId="0" applyFont="1"/>
    <xf borderId="44" fillId="0" fontId="10" numFmtId="0" xfId="0" applyAlignment="1" applyBorder="1" applyFont="1">
      <alignment horizontal="center" vertical="center"/>
    </xf>
    <xf borderId="37" fillId="0" fontId="16" numFmtId="164" xfId="0" applyAlignment="1" applyBorder="1" applyFont="1" applyNumberFormat="1">
      <alignment vertical="center"/>
    </xf>
    <xf borderId="39" fillId="2" fontId="19" numFmtId="164" xfId="0" applyAlignment="1" applyBorder="1" applyFont="1" applyNumberFormat="1">
      <alignment vertical="center"/>
    </xf>
    <xf borderId="42" fillId="0" fontId="10" numFmtId="0" xfId="0" applyAlignment="1" applyBorder="1" applyFont="1">
      <alignment horizontal="center" vertical="center"/>
    </xf>
    <xf borderId="37" fillId="0" fontId="19" numFmtId="164" xfId="0" applyAlignment="1" applyBorder="1" applyFont="1" applyNumberFormat="1">
      <alignment vertical="center"/>
    </xf>
    <xf borderId="38" fillId="0" fontId="16" numFmtId="164" xfId="0" applyAlignment="1" applyBorder="1" applyFont="1" applyNumberFormat="1">
      <alignment vertical="center"/>
    </xf>
    <xf borderId="17" fillId="0" fontId="10" numFmtId="0" xfId="0" applyAlignment="1" applyBorder="1" applyFont="1">
      <alignment horizontal="center" vertical="center"/>
    </xf>
    <xf borderId="39" fillId="0" fontId="12" numFmtId="164" xfId="0" applyBorder="1" applyFont="1" applyNumberFormat="1"/>
    <xf borderId="39" fillId="0" fontId="5" numFmtId="164" xfId="0" applyAlignment="1" applyBorder="1" applyFont="1" applyNumberFormat="1">
      <alignment horizontal="center"/>
    </xf>
    <xf borderId="39" fillId="2" fontId="12" numFmtId="164" xfId="0" applyAlignment="1" applyBorder="1" applyFont="1" applyNumberFormat="1">
      <alignment horizontal="center"/>
    </xf>
    <xf borderId="46" fillId="0" fontId="2" numFmtId="0" xfId="0" applyBorder="1" applyFont="1"/>
    <xf borderId="37" fillId="0" fontId="18" numFmtId="164" xfId="0" applyAlignment="1" applyBorder="1" applyFont="1" applyNumberFormat="1">
      <alignment vertical="center"/>
    </xf>
    <xf borderId="38" fillId="0" fontId="19" numFmtId="164" xfId="0" applyAlignment="1" applyBorder="1" applyFont="1" applyNumberFormat="1">
      <alignment horizontal="center" vertical="center"/>
    </xf>
    <xf borderId="0" fillId="0" fontId="21" numFmtId="0" xfId="0" applyFont="1"/>
    <xf borderId="4" fillId="12" fontId="3" numFmtId="0" xfId="0" applyBorder="1" applyFont="1"/>
    <xf borderId="0" fillId="0" fontId="10" numFmtId="0" xfId="0" applyAlignment="1" applyFont="1">
      <alignment vertical="center"/>
    </xf>
    <xf borderId="31" fillId="2" fontId="10" numFmtId="0" xfId="0" applyAlignment="1" applyBorder="1" applyFont="1">
      <alignment horizontal="center" vertical="top"/>
    </xf>
    <xf borderId="38" fillId="3" fontId="12" numFmtId="164" xfId="0" applyAlignment="1" applyBorder="1" applyFont="1" applyNumberFormat="1">
      <alignment vertical="center"/>
    </xf>
    <xf borderId="38" fillId="3" fontId="12" numFmtId="164" xfId="0" applyAlignment="1" applyBorder="1" applyFont="1" applyNumberFormat="1">
      <alignment horizontal="center" vertical="center"/>
    </xf>
    <xf borderId="39" fillId="3" fontId="12" numFmtId="164" xfId="0" applyAlignment="1" applyBorder="1" applyFont="1" applyNumberFormat="1">
      <alignment vertical="center"/>
    </xf>
    <xf borderId="39" fillId="3" fontId="5" numFmtId="164" xfId="0" applyAlignment="1" applyBorder="1" applyFont="1" applyNumberFormat="1">
      <alignment vertical="center"/>
    </xf>
    <xf borderId="36" fillId="11" fontId="10" numFmtId="0" xfId="0" applyAlignment="1" applyBorder="1" applyFont="1">
      <alignment horizontal="center" vertical="center"/>
    </xf>
    <xf borderId="36" fillId="11" fontId="5" numFmtId="0" xfId="0" applyAlignment="1" applyBorder="1" applyFont="1">
      <alignment horizontal="left" vertical="center"/>
    </xf>
    <xf borderId="47" fillId="2" fontId="10" numFmtId="0" xfId="0" applyAlignment="1" applyBorder="1" applyFont="1">
      <alignment horizontal="center" vertical="top"/>
    </xf>
    <xf borderId="0" fillId="0" fontId="3" numFmtId="0" xfId="0" applyFont="1"/>
    <xf borderId="48" fillId="2" fontId="10" numFmtId="0" xfId="0" applyAlignment="1" applyBorder="1" applyFont="1">
      <alignment horizontal="center" vertical="center"/>
    </xf>
    <xf borderId="47" fillId="2" fontId="10" numFmtId="0" xfId="0" applyAlignment="1" applyBorder="1" applyFont="1">
      <alignment horizontal="center" vertical="center"/>
    </xf>
    <xf borderId="45" fillId="9" fontId="13" numFmtId="164" xfId="0" applyBorder="1" applyFont="1" applyNumberFormat="1"/>
    <xf borderId="36" fillId="9" fontId="5" numFmtId="0" xfId="0" applyAlignment="1" applyBorder="1" applyFont="1">
      <alignment vertical="center"/>
    </xf>
    <xf borderId="36" fillId="9" fontId="10" numFmtId="0" xfId="0" applyAlignment="1" applyBorder="1" applyFont="1">
      <alignment horizontal="center" vertical="center"/>
    </xf>
    <xf borderId="31" fillId="2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3" fillId="4" fontId="5" numFmtId="0" xfId="0" applyAlignment="1" applyBorder="1" applyFont="1">
      <alignment horizontal="center" shrinkToFit="0" vertical="center" wrapText="1"/>
    </xf>
    <xf borderId="11" fillId="9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5" fillId="2" fontId="5" numFmtId="0" xfId="0" applyAlignment="1" applyBorder="1" applyFont="1">
      <alignment horizontal="center" shrinkToFit="0" vertical="center" wrapText="1"/>
    </xf>
    <xf borderId="30" fillId="2" fontId="5" numFmtId="0" xfId="0" applyAlignment="1" applyBorder="1" applyFont="1">
      <alignment vertical="center"/>
    </xf>
    <xf borderId="30" fillId="2" fontId="10" numFmtId="0" xfId="0" applyAlignment="1" applyBorder="1" applyFont="1">
      <alignment vertical="center"/>
    </xf>
    <xf borderId="32" fillId="2" fontId="10" numFmtId="0" xfId="0" applyAlignment="1" applyBorder="1" applyFont="1">
      <alignment vertical="center"/>
    </xf>
    <xf borderId="33" fillId="2" fontId="10" numFmtId="0" xfId="0" applyAlignment="1" applyBorder="1" applyFont="1">
      <alignment vertical="center"/>
    </xf>
    <xf borderId="33" fillId="2" fontId="11" numFmtId="0" xfId="0" applyBorder="1" applyFont="1"/>
    <xf borderId="34" fillId="2" fontId="11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35" fillId="2" fontId="11" numFmtId="0" xfId="0" applyBorder="1" applyFont="1"/>
    <xf borderId="39" fillId="2" fontId="5" numFmtId="164" xfId="0" applyAlignment="1" applyBorder="1" applyFont="1" applyNumberFormat="1">
      <alignment vertical="center"/>
    </xf>
    <xf borderId="45" fillId="2" fontId="13" numFmtId="164" xfId="0" applyAlignment="1" applyBorder="1" applyFont="1" applyNumberFormat="1">
      <alignment vertical="center"/>
    </xf>
    <xf borderId="4" fillId="2" fontId="6" numFmtId="164" xfId="0" applyBorder="1" applyFont="1" applyNumberFormat="1"/>
    <xf borderId="38" fillId="2" fontId="5" numFmtId="164" xfId="0" applyAlignment="1" applyBorder="1" applyFont="1" applyNumberFormat="1">
      <alignment horizontal="center" vertical="center"/>
    </xf>
    <xf borderId="45" fillId="2" fontId="13" numFmtId="164" xfId="0" applyBorder="1" applyFont="1" applyNumberFormat="1"/>
    <xf borderId="37" fillId="2" fontId="12" numFmtId="164" xfId="0" applyAlignment="1" applyBorder="1" applyFont="1" applyNumberFormat="1">
      <alignment horizontal="center" vertical="center"/>
    </xf>
    <xf borderId="38" fillId="2" fontId="12" numFmtId="164" xfId="0" applyAlignment="1" applyBorder="1" applyFont="1" applyNumberFormat="1">
      <alignment horizontal="center" vertical="center"/>
    </xf>
    <xf borderId="36" fillId="2" fontId="5" numFmtId="0" xfId="0" applyAlignment="1" applyBorder="1" applyFont="1">
      <alignment vertical="center"/>
    </xf>
    <xf borderId="36" fillId="2" fontId="10" numFmtId="0" xfId="0" applyAlignment="1" applyBorder="1" applyFont="1">
      <alignment vertical="center"/>
    </xf>
    <xf borderId="37" fillId="2" fontId="10" numFmtId="0" xfId="0" applyAlignment="1" applyBorder="1" applyFont="1">
      <alignment vertical="center"/>
    </xf>
    <xf borderId="38" fillId="2" fontId="10" numFmtId="164" xfId="0" applyAlignment="1" applyBorder="1" applyFont="1" applyNumberFormat="1">
      <alignment vertical="center"/>
    </xf>
    <xf borderId="38" fillId="2" fontId="10" numFmtId="0" xfId="0" applyAlignment="1" applyBorder="1" applyFont="1">
      <alignment vertical="center"/>
    </xf>
    <xf borderId="38" fillId="2" fontId="11" numFmtId="164" xfId="0" applyBorder="1" applyFont="1" applyNumberFormat="1"/>
    <xf borderId="39" fillId="2" fontId="11" numFmtId="164" xfId="0" applyBorder="1" applyFont="1" applyNumberFormat="1"/>
    <xf borderId="38" fillId="2" fontId="5" numFmtId="164" xfId="0" applyAlignment="1" applyBorder="1" applyFont="1" applyNumberFormat="1">
      <alignment vertical="center"/>
    </xf>
    <xf borderId="37" fillId="2" fontId="5" numFmtId="0" xfId="0" applyAlignment="1" applyBorder="1" applyFont="1">
      <alignment vertical="center"/>
    </xf>
    <xf borderId="38" fillId="2" fontId="5" numFmtId="0" xfId="0" applyAlignment="1" applyBorder="1" applyFont="1">
      <alignment horizontal="center" vertical="center"/>
    </xf>
    <xf borderId="38" fillId="2" fontId="5" numFmtId="0" xfId="0" applyAlignment="1" applyBorder="1" applyFont="1">
      <alignment vertical="center"/>
    </xf>
    <xf borderId="38" fillId="2" fontId="16" numFmtId="0" xfId="0" applyAlignment="1" applyBorder="1" applyFont="1">
      <alignment vertical="center"/>
    </xf>
    <xf borderId="38" fillId="2" fontId="10" numFmtId="164" xfId="0" applyAlignment="1" applyBorder="1" applyFont="1" applyNumberFormat="1">
      <alignment horizontal="center" vertical="center"/>
    </xf>
    <xf borderId="38" fillId="2" fontId="10" numFmtId="0" xfId="0" applyAlignment="1" applyBorder="1" applyFont="1">
      <alignment horizontal="center" vertical="center"/>
    </xf>
    <xf borderId="36" fillId="2" fontId="5" numFmtId="0" xfId="0" applyAlignment="1" applyBorder="1" applyFont="1">
      <alignment horizontal="left" vertical="center"/>
    </xf>
    <xf borderId="37" fillId="2" fontId="10" numFmtId="164" xfId="0" applyAlignment="1" applyBorder="1" applyFont="1" applyNumberFormat="1">
      <alignment vertical="center"/>
    </xf>
    <xf borderId="38" fillId="2" fontId="18" numFmtId="164" xfId="0" applyAlignment="1" applyBorder="1" applyFont="1" applyNumberFormat="1">
      <alignment vertical="center"/>
    </xf>
    <xf borderId="37" fillId="2" fontId="10" numFmtId="0" xfId="0" applyAlignment="1" applyBorder="1" applyFont="1">
      <alignment horizontal="center" vertical="center"/>
    </xf>
    <xf borderId="38" fillId="2" fontId="18" numFmtId="0" xfId="0" applyAlignment="1" applyBorder="1" applyFont="1">
      <alignment horizontal="center" vertical="center"/>
    </xf>
    <xf borderId="38" fillId="2" fontId="18" numFmtId="0" xfId="0" applyAlignment="1" applyBorder="1" applyFont="1">
      <alignment vertical="center"/>
    </xf>
    <xf borderId="39" fillId="2" fontId="10" numFmtId="0" xfId="0" applyAlignment="1" applyBorder="1" applyFont="1">
      <alignment vertical="center"/>
    </xf>
    <xf borderId="38" fillId="2" fontId="18" numFmtId="164" xfId="0" applyAlignment="1" applyBorder="1" applyFont="1" applyNumberFormat="1">
      <alignment horizontal="center" vertical="center"/>
    </xf>
    <xf borderId="39" fillId="2" fontId="19" numFmtId="164" xfId="0" applyAlignment="1" applyBorder="1" applyFont="1" applyNumberFormat="1">
      <alignment horizontal="center" vertical="center"/>
    </xf>
    <xf borderId="4" fillId="2" fontId="20" numFmtId="0" xfId="0" applyBorder="1" applyFont="1"/>
    <xf borderId="37" fillId="2" fontId="16" numFmtId="164" xfId="0" applyAlignment="1" applyBorder="1" applyFont="1" applyNumberFormat="1">
      <alignment vertical="center"/>
    </xf>
    <xf borderId="37" fillId="2" fontId="19" numFmtId="164" xfId="0" applyAlignment="1" applyBorder="1" applyFont="1" applyNumberFormat="1">
      <alignment vertical="center"/>
    </xf>
    <xf borderId="38" fillId="2" fontId="16" numFmtId="164" xfId="0" applyAlignment="1" applyBorder="1" applyFont="1" applyNumberFormat="1">
      <alignment vertical="center"/>
    </xf>
    <xf borderId="39" fillId="2" fontId="12" numFmtId="164" xfId="0" applyBorder="1" applyFont="1" applyNumberFormat="1"/>
    <xf borderId="39" fillId="2" fontId="5" numFmtId="164" xfId="0" applyAlignment="1" applyBorder="1" applyFont="1" applyNumberFormat="1">
      <alignment horizontal="center"/>
    </xf>
    <xf borderId="37" fillId="2" fontId="18" numFmtId="164" xfId="0" applyAlignment="1" applyBorder="1" applyFont="1" applyNumberFormat="1">
      <alignment vertical="center"/>
    </xf>
    <xf borderId="4" fillId="2" fontId="21" numFmtId="0" xfId="0" applyBorder="1" applyFont="1"/>
    <xf borderId="4" fillId="2" fontId="10" numFmtId="0" xfId="0" applyAlignment="1" applyBorder="1" applyFont="1">
      <alignment vertical="center"/>
    </xf>
    <xf borderId="37" fillId="3" fontId="12" numFmtId="164" xfId="0" applyAlignment="1" applyBorder="1" applyFont="1" applyNumberFormat="1">
      <alignment vertical="center"/>
    </xf>
    <xf borderId="11" fillId="14" fontId="5" numFmtId="0" xfId="0" applyAlignment="1" applyBorder="1" applyFill="1" applyFont="1">
      <alignment horizontal="center" shrinkToFit="0" vertical="center" wrapText="1"/>
    </xf>
    <xf borderId="12" fillId="6" fontId="5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15" fontId="5" numFmtId="0" xfId="0" applyAlignment="1" applyBorder="1" applyFill="1" applyFont="1">
      <alignment horizontal="center" shrinkToFit="0" vertical="center" wrapText="1"/>
    </xf>
    <xf borderId="9" fillId="16" fontId="5" numFmtId="0" xfId="0" applyAlignment="1" applyBorder="1" applyFill="1" applyFont="1">
      <alignment horizontal="center" shrinkToFit="0" vertical="center" wrapText="1"/>
    </xf>
    <xf borderId="9" fillId="17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8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4.xml.rels><?xml version="1.0" encoding="UTF-8" standalone="yes"?><Relationships xmlns="http://schemas.openxmlformats.org/package/2006/relationships"><Relationship Id="rId1" Type="http://customschemas.google.com/relationships/workbookmetadata" Target="commentsmeta26"/></Relationships>
</file>

<file path=xl/_rels/comments15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16.xml.rels><?xml version="1.0" encoding="UTF-8" standalone="yes"?><Relationships xmlns="http://schemas.openxmlformats.org/package/2006/relationships"><Relationship Id="rId1" Type="http://customschemas.google.com/relationships/workbookmetadata" Target="commentsmeta13"/></Relationships>
</file>

<file path=xl/_rels/comments17.xml.rels><?xml version="1.0" encoding="UTF-8" standalone="yes"?><Relationships xmlns="http://schemas.openxmlformats.org/package/2006/relationships"><Relationship Id="rId1" Type="http://customschemas.google.com/relationships/workbookmetadata" Target="commentsmeta14"/></Relationships>
</file>

<file path=xl/_rels/comments18.xml.rels><?xml version="1.0" encoding="UTF-8" standalone="yes"?><Relationships xmlns="http://schemas.openxmlformats.org/package/2006/relationships"><Relationship Id="rId1" Type="http://customschemas.google.com/relationships/workbookmetadata" Target="commentsmeta15"/></Relationships>
</file>

<file path=xl/_rels/comments19.xml.rels><?xml version="1.0" encoding="UTF-8" standalone="yes"?><Relationships xmlns="http://schemas.openxmlformats.org/package/2006/relationships"><Relationship Id="rId1" Type="http://customschemas.google.com/relationships/workbookmetadata" Target="commentsmeta16"/></Relationships>
</file>

<file path=xl/_rels/comments20.xml.rels><?xml version="1.0" encoding="UTF-8" standalone="yes"?><Relationships xmlns="http://schemas.openxmlformats.org/package/2006/relationships"><Relationship Id="rId1" Type="http://customschemas.google.com/relationships/workbookmetadata" Target="commentsmeta17"/></Relationships>
</file>

<file path=xl/_rels/comments21.xml.rels><?xml version="1.0" encoding="UTF-8" standalone="yes"?><Relationships xmlns="http://schemas.openxmlformats.org/package/2006/relationships"><Relationship Id="rId1" Type="http://customschemas.google.com/relationships/workbookmetadata" Target="commentsmeta18"/></Relationships>
</file>

<file path=xl/_rels/comments22.xml.rels><?xml version="1.0" encoding="UTF-8" standalone="yes"?><Relationships xmlns="http://schemas.openxmlformats.org/package/2006/relationships"><Relationship Id="rId1" Type="http://customschemas.google.com/relationships/workbookmetadata" Target="commentsmeta19"/></Relationships>
</file>

<file path=xl/_rels/comments23.xml.rels><?xml version="1.0" encoding="UTF-8" standalone="yes"?><Relationships xmlns="http://schemas.openxmlformats.org/package/2006/relationships"><Relationship Id="rId1" Type="http://customschemas.google.com/relationships/workbookmetadata" Target="commentsmeta20"/></Relationships>
</file>

<file path=xl/_rels/comments24.xml.rels><?xml version="1.0" encoding="UTF-8" standalone="yes"?><Relationships xmlns="http://schemas.openxmlformats.org/package/2006/relationships"><Relationship Id="rId1" Type="http://customschemas.google.com/relationships/workbookmetadata" Target="commentsmeta21"/></Relationships>
</file>

<file path=xl/_rels/comments25.xml.rels><?xml version="1.0" encoding="UTF-8" standalone="yes"?><Relationships xmlns="http://schemas.openxmlformats.org/package/2006/relationships"><Relationship Id="rId1" Type="http://customschemas.google.com/relationships/workbookmetadata" Target="commentsmeta22"/></Relationships>
</file>

<file path=xl/_rels/comments26.xml.rels><?xml version="1.0" encoding="UTF-8" standalone="yes"?><Relationships xmlns="http://schemas.openxmlformats.org/package/2006/relationships"><Relationship Id="rId1" Type="http://customschemas.google.com/relationships/workbookmetadata" Target="commentsmeta23"/></Relationships>
</file>

<file path=xl/_rels/comments27.xml.rels><?xml version="1.0" encoding="UTF-8" standalone="yes"?><Relationships xmlns="http://schemas.openxmlformats.org/package/2006/relationships"><Relationship Id="rId1" Type="http://customschemas.google.com/relationships/workbookmetadata" Target="commentsmeta24"/></Relationships>
</file>

<file path=xl/_rels/comments28.xml.rels><?xml version="1.0" encoding="UTF-8" standalone="yes"?><Relationships xmlns="http://schemas.openxmlformats.org/package/2006/relationships"><Relationship Id="rId1" Type="http://customschemas.google.com/relationships/workbookmetadata" Target="commentsmeta25"/></Relationships>
</file>

<file path=xl/_rels/comments29.xml.rels><?xml version="1.0" encoding="UTF-8" standalone="yes"?><Relationships xmlns="http://schemas.openxmlformats.org/package/2006/relationships"><Relationship Id="rId1" Type="http://customschemas.google.com/relationships/workbookmetadata" Target="commentsmeta27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4</xdr:row>
      <xdr:rowOff>142875</xdr:rowOff>
    </xdr:from>
    <xdr:ext cx="200025" cy="295275"/>
    <xdr:sp>
      <xdr:nvSpPr>
        <xdr:cNvPr id="7" name="Shape 7"/>
        <xdr:cNvSpPr txBox="1"/>
      </xdr:nvSpPr>
      <xdr:spPr>
        <a:xfrm>
          <a:off x="5250026" y="3636417"/>
          <a:ext cx="191948" cy="28716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11</xdr:col>
      <xdr:colOff>561975</xdr:colOff>
      <xdr:row>0</xdr:row>
      <xdr:rowOff>0</xdr:rowOff>
    </xdr:from>
    <xdr:ext cx="1647825" cy="1466850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0</xdr:row>
      <xdr:rowOff>0</xdr:rowOff>
    </xdr:from>
    <xdr:ext cx="1647825" cy="962025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514350</xdr:colOff>
      <xdr:row>3</xdr:row>
      <xdr:rowOff>76200</xdr:rowOff>
    </xdr:from>
    <xdr:ext cx="1647825" cy="962025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8</xdr:row>
      <xdr:rowOff>152400</xdr:rowOff>
    </xdr:from>
    <xdr:ext cx="2428875" cy="1504950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</xdr:colOff>
      <xdr:row>0</xdr:row>
      <xdr:rowOff>0</xdr:rowOff>
    </xdr:from>
    <xdr:ext cx="2514600" cy="1638300"/>
    <xdr:pic>
      <xdr:nvPicPr>
        <xdr:cNvPr descr="Logo PD Pasar" id="0" name="image1.jp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4</xdr:row>
      <xdr:rowOff>142875</xdr:rowOff>
    </xdr:from>
    <xdr:ext cx="200025" cy="295275"/>
    <xdr:sp>
      <xdr:nvSpPr>
        <xdr:cNvPr id="7" name="Shape 7"/>
        <xdr:cNvSpPr txBox="1"/>
      </xdr:nvSpPr>
      <xdr:spPr>
        <a:xfrm>
          <a:off x="5250026" y="3636417"/>
          <a:ext cx="191948" cy="28716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2514600" cy="1638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4</xdr:row>
      <xdr:rowOff>142875</xdr:rowOff>
    </xdr:from>
    <xdr:ext cx="200025" cy="295275"/>
    <xdr:sp>
      <xdr:nvSpPr>
        <xdr:cNvPr id="7" name="Shape 7"/>
        <xdr:cNvSpPr txBox="1"/>
      </xdr:nvSpPr>
      <xdr:spPr>
        <a:xfrm>
          <a:off x="5250026" y="3636417"/>
          <a:ext cx="191948" cy="28716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2514600" cy="1638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76225"/>
    <xdr:sp>
      <xdr:nvSpPr>
        <xdr:cNvPr id="8" name="Shape 8"/>
        <xdr:cNvSpPr txBox="1"/>
      </xdr:nvSpPr>
      <xdr:spPr>
        <a:xfrm>
          <a:off x="5252015" y="3642844"/>
          <a:ext cx="187971" cy="27431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4</xdr:row>
      <xdr:rowOff>142875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2514600" cy="1638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123825</xdr:colOff>
      <xdr:row>4</xdr:row>
      <xdr:rowOff>142875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2514600" cy="1638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114300</xdr:colOff>
      <xdr:row>4</xdr:row>
      <xdr:rowOff>142875</xdr:rowOff>
    </xdr:from>
    <xdr:ext cx="200025" cy="285750"/>
    <xdr:sp>
      <xdr:nvSpPr>
        <xdr:cNvPr id="10" name="Shape 10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114300</xdr:colOff>
      <xdr:row>4</xdr:row>
      <xdr:rowOff>142875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00300" cy="876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876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114300</xdr:colOff>
      <xdr:row>4</xdr:row>
      <xdr:rowOff>142875</xdr:rowOff>
    </xdr:from>
    <xdr:ext cx="200025" cy="285750"/>
    <xdr:sp>
      <xdr:nvSpPr>
        <xdr:cNvPr id="10" name="Shape 10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114300</xdr:colOff>
      <xdr:row>4</xdr:row>
      <xdr:rowOff>142875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11" name="Shape 11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114300</xdr:colOff>
      <xdr:row>4</xdr:row>
      <xdr:rowOff>142875</xdr:rowOff>
    </xdr:from>
    <xdr:ext cx="190500" cy="266700"/>
    <xdr:sp>
      <xdr:nvSpPr>
        <xdr:cNvPr id="9" name="Shape 9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11" name="Shape 11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104775</xdr:colOff>
      <xdr:row>4</xdr:row>
      <xdr:rowOff>142875</xdr:rowOff>
    </xdr:from>
    <xdr:ext cx="200025" cy="285750"/>
    <xdr:sp>
      <xdr:nvSpPr>
        <xdr:cNvPr id="10" name="Shape 10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11" name="Shape 11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104775</xdr:colOff>
      <xdr:row>4</xdr:row>
      <xdr:rowOff>142875</xdr:rowOff>
    </xdr:from>
    <xdr:ext cx="200025" cy="285750"/>
    <xdr:sp>
      <xdr:nvSpPr>
        <xdr:cNvPr id="10" name="Shape 10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104775</xdr:colOff>
      <xdr:row>4</xdr:row>
      <xdr:rowOff>142875</xdr:rowOff>
    </xdr:from>
    <xdr:ext cx="200025" cy="285750"/>
    <xdr:sp>
      <xdr:nvSpPr>
        <xdr:cNvPr id="10" name="Shape 10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0953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0</xdr:row>
      <xdr:rowOff>285750</xdr:rowOff>
    </xdr:from>
    <xdr:ext cx="904875" cy="1209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200025" cy="276225"/>
    <xdr:sp>
      <xdr:nvSpPr>
        <xdr:cNvPr id="11" name="Shape 11"/>
        <xdr:cNvSpPr txBox="1"/>
      </xdr:nvSpPr>
      <xdr:spPr>
        <a:xfrm>
          <a:off x="5248774" y="3642996"/>
          <a:ext cx="194453" cy="274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4</xdr:row>
      <xdr:rowOff>142875</xdr:rowOff>
    </xdr:from>
    <xdr:ext cx="200025" cy="285750"/>
    <xdr:sp>
      <xdr:nvSpPr>
        <xdr:cNvPr id="12" name="Shape 12"/>
        <xdr:cNvSpPr txBox="1"/>
      </xdr:nvSpPr>
      <xdr:spPr>
        <a:xfrm>
          <a:off x="5248773" y="3640849"/>
          <a:ext cx="194454" cy="278303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0953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0953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0</xdr:row>
      <xdr:rowOff>180975</xdr:rowOff>
    </xdr:from>
    <xdr:ext cx="1123950" cy="14573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4</xdr:row>
      <xdr:rowOff>142875</xdr:rowOff>
    </xdr:from>
    <xdr:ext cx="200025" cy="295275"/>
    <xdr:sp>
      <xdr:nvSpPr>
        <xdr:cNvPr id="13" name="Shape 13"/>
        <xdr:cNvSpPr txBox="1"/>
      </xdr:nvSpPr>
      <xdr:spPr>
        <a:xfrm>
          <a:off x="5248773" y="3635496"/>
          <a:ext cx="194454" cy="28900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1495425" cy="828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581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8763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1495425" cy="4572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1495425" cy="828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14668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971550" cy="7334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190500</xdr:colOff>
      <xdr:row>0</xdr:row>
      <xdr:rowOff>47625</xdr:rowOff>
    </xdr:from>
    <xdr:ext cx="2171700" cy="22955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190500</xdr:colOff>
      <xdr:row>0</xdr:row>
      <xdr:rowOff>47625</xdr:rowOff>
    </xdr:from>
    <xdr:ext cx="2171700" cy="22955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1733550" cy="14573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1495425" cy="828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4</xdr:row>
      <xdr:rowOff>142875</xdr:rowOff>
    </xdr:from>
    <xdr:ext cx="190500" cy="266700"/>
    <xdr:sp>
      <xdr:nvSpPr>
        <xdr:cNvPr id="3" name="Shape 3"/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0</xdr:row>
      <xdr:rowOff>47625</xdr:rowOff>
    </xdr:from>
    <xdr:ext cx="2171700" cy="159067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0</xdr:row>
      <xdr:rowOff>104775</xdr:rowOff>
    </xdr:from>
    <xdr:ext cx="1304925" cy="9525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142875</xdr:colOff>
      <xdr:row>4</xdr:row>
      <xdr:rowOff>142875</xdr:rowOff>
    </xdr:from>
    <xdr:ext cx="190500" cy="285750"/>
    <xdr:sp>
      <xdr:nvSpPr>
        <xdr:cNvPr id="4" name="Shape 4"/>
        <xdr:cNvSpPr txBox="1"/>
      </xdr:nvSpPr>
      <xdr:spPr>
        <a:xfrm>
          <a:off x="5252015" y="3638272"/>
          <a:ext cx="187971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14" name="Shape 14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133350</xdr:colOff>
      <xdr:row>4</xdr:row>
      <xdr:rowOff>142875</xdr:rowOff>
    </xdr:from>
    <xdr:ext cx="190500" cy="285750"/>
    <xdr:sp>
      <xdr:nvSpPr>
        <xdr:cNvPr id="5" name="Shape 5"/>
        <xdr:cNvSpPr txBox="1"/>
      </xdr:nvSpPr>
      <xdr:spPr>
        <a:xfrm>
          <a:off x="5251026" y="3637347"/>
          <a:ext cx="189949" cy="2853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790575</xdr:colOff>
      <xdr:row>0</xdr:row>
      <xdr:rowOff>19050</xdr:rowOff>
    </xdr:from>
    <xdr:ext cx="1647825" cy="962025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400050</xdr:colOff>
      <xdr:row>0</xdr:row>
      <xdr:rowOff>142875</xdr:rowOff>
    </xdr:from>
    <xdr:ext cx="2428875" cy="150495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4</xdr:row>
      <xdr:rowOff>142875</xdr:rowOff>
    </xdr:from>
    <xdr:ext cx="200025" cy="285750"/>
    <xdr:sp>
      <xdr:nvSpPr>
        <xdr:cNvPr id="6" name="Shape 6"/>
        <xdr:cNvSpPr txBox="1"/>
      </xdr:nvSpPr>
      <xdr:spPr>
        <a:xfrm>
          <a:off x="5248773" y="3638272"/>
          <a:ext cx="194454" cy="283457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400050</xdr:colOff>
      <xdr:row>0</xdr:row>
      <xdr:rowOff>142875</xdr:rowOff>
    </xdr:from>
    <xdr:ext cx="1428750" cy="1562100"/>
    <xdr:pic>
      <xdr:nvPicPr>
        <xdr:cNvPr descr="Logo PD Pasar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8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9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0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1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2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3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4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5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6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7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28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3.0"/>
    <col customWidth="1" min="4" max="16" width="9.14"/>
    <col customWidth="1" min="17" max="34" width="8.86"/>
    <col customWidth="1" min="35" max="36" width="10.29"/>
    <col customWidth="1" min="37" max="37" width="8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  <c r="AK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3"/>
      <c r="AK2" s="4"/>
    </row>
    <row r="3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1"/>
      <c r="AK3" s="4"/>
    </row>
    <row r="4" ht="15.0" customHeight="1">
      <c r="A4" s="14" t="s">
        <v>7</v>
      </c>
      <c r="B4" s="15" t="s">
        <v>8</v>
      </c>
      <c r="C4" s="14" t="s">
        <v>10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38" t="s">
        <v>20</v>
      </c>
      <c r="AJ4" s="40" t="s">
        <v>21</v>
      </c>
      <c r="AK4" s="4"/>
    </row>
    <row r="5">
      <c r="A5" s="25"/>
      <c r="B5" s="25"/>
      <c r="C5" s="25"/>
      <c r="D5" s="43">
        <v>1.0</v>
      </c>
      <c r="E5" s="43">
        <v>2.0</v>
      </c>
      <c r="F5" s="43">
        <v>3.0</v>
      </c>
      <c r="G5" s="43">
        <v>4.0</v>
      </c>
      <c r="H5" s="43">
        <v>5.0</v>
      </c>
      <c r="I5" s="43">
        <v>6.0</v>
      </c>
      <c r="J5" s="43">
        <v>7.0</v>
      </c>
      <c r="K5" s="43">
        <v>8.0</v>
      </c>
      <c r="L5" s="43">
        <v>9.0</v>
      </c>
      <c r="M5" s="43">
        <v>10.0</v>
      </c>
      <c r="N5" s="43">
        <v>11.0</v>
      </c>
      <c r="O5" s="43">
        <v>12.0</v>
      </c>
      <c r="P5" s="43">
        <v>13.0</v>
      </c>
      <c r="Q5" s="43">
        <v>14.0</v>
      </c>
      <c r="R5" s="43">
        <v>15.0</v>
      </c>
      <c r="S5" s="43">
        <v>16.0</v>
      </c>
      <c r="T5" s="43">
        <v>17.0</v>
      </c>
      <c r="U5" s="43">
        <v>18.0</v>
      </c>
      <c r="V5" s="43">
        <v>19.0</v>
      </c>
      <c r="W5" s="43">
        <v>20.0</v>
      </c>
      <c r="X5" s="43">
        <v>21.0</v>
      </c>
      <c r="Y5" s="43">
        <v>22.0</v>
      </c>
      <c r="Z5" s="43">
        <v>23.0</v>
      </c>
      <c r="AA5" s="43">
        <v>24.0</v>
      </c>
      <c r="AB5" s="43">
        <v>25.0</v>
      </c>
      <c r="AC5" s="43">
        <v>26.0</v>
      </c>
      <c r="AD5" s="43">
        <v>27.0</v>
      </c>
      <c r="AE5" s="43">
        <v>28.0</v>
      </c>
      <c r="AF5" s="43">
        <v>29.0</v>
      </c>
      <c r="AG5" s="43">
        <v>30.0</v>
      </c>
      <c r="AH5" s="43">
        <v>31.0</v>
      </c>
      <c r="AI5" s="25"/>
      <c r="AJ5" s="25"/>
      <c r="AK5" s="4"/>
    </row>
    <row r="6" ht="21.0" customHeight="1">
      <c r="A6" s="31"/>
      <c r="B6" s="31"/>
      <c r="C6" s="31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31"/>
      <c r="AJ6" s="31"/>
      <c r="AK6" s="4"/>
    </row>
    <row r="7">
      <c r="A7" s="70">
        <v>1.0</v>
      </c>
      <c r="B7" s="72" t="s">
        <v>22</v>
      </c>
      <c r="C7" s="73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84"/>
      <c r="AJ7" s="74"/>
      <c r="AK7" s="4"/>
    </row>
    <row r="8">
      <c r="A8" s="25"/>
      <c r="B8" s="87" t="s">
        <v>23</v>
      </c>
      <c r="C8" s="88" t="s">
        <v>24</v>
      </c>
      <c r="D8" s="89">
        <f>'1'!K8</f>
        <v>13328.57143</v>
      </c>
      <c r="E8" s="89">
        <f>'2'!K8</f>
        <v>13328.57143</v>
      </c>
      <c r="F8" s="89">
        <f>'3'!K8</f>
        <v>13328.57143</v>
      </c>
      <c r="G8" s="89">
        <f>'4'!K8</f>
        <v>13328.57143</v>
      </c>
      <c r="H8" s="89">
        <f>'5'!K8</f>
        <v>13328.57143</v>
      </c>
      <c r="I8" s="89">
        <f>'6'!K8</f>
        <v>13328.57143</v>
      </c>
      <c r="J8" s="89">
        <f>'7'!K8</f>
        <v>13328.57143</v>
      </c>
      <c r="K8" s="89">
        <f>'8'!K8</f>
        <v>13257.14286</v>
      </c>
      <c r="L8" s="89">
        <f>'9'!K8</f>
        <v>13328.57143</v>
      </c>
      <c r="M8" s="89">
        <f>'10'!K8</f>
        <v>13328.57143</v>
      </c>
      <c r="N8" s="89">
        <f>'11'!K8</f>
        <v>13328.57143</v>
      </c>
      <c r="O8" s="89">
        <f>'12'!K8</f>
        <v>13042.85714</v>
      </c>
      <c r="P8" s="89">
        <f>'13'!K8</f>
        <v>13042.85714</v>
      </c>
      <c r="Q8" s="89">
        <f>'14'!K8</f>
        <v>13042.85714</v>
      </c>
      <c r="R8" s="89">
        <f>'15'!K8</f>
        <v>13042.85714</v>
      </c>
      <c r="S8" s="89">
        <f>'16'!K8</f>
        <v>13042.85714</v>
      </c>
      <c r="T8" s="89">
        <f>'17'!K8</f>
        <v>13042.85714</v>
      </c>
      <c r="U8" s="89">
        <f>'18'!K8</f>
        <v>13071.42857</v>
      </c>
      <c r="V8" s="89">
        <f>'19'!K8</f>
        <v>13214.28571</v>
      </c>
      <c r="W8" s="89">
        <f>'20'!K8</f>
        <v>13214.28571</v>
      </c>
      <c r="X8" s="89">
        <f>'21'!K8</f>
        <v>13142.85714</v>
      </c>
      <c r="Y8" s="89">
        <f>'22'!K8</f>
        <v>13214.28571</v>
      </c>
      <c r="Z8" s="89">
        <f>'23'!K8</f>
        <v>13214.28571</v>
      </c>
      <c r="AA8" s="89">
        <f>'24'!K8</f>
        <v>13214.28571</v>
      </c>
      <c r="AB8" s="89">
        <f>'25'!K8</f>
        <v>13285.71429</v>
      </c>
      <c r="AC8" s="89">
        <f>'26'!K8</f>
        <v>13285.71429</v>
      </c>
      <c r="AD8" s="89">
        <f>'27'!K8</f>
        <v>13285.71429</v>
      </c>
      <c r="AE8" s="89">
        <f>'28'!K8</f>
        <v>13285.71429</v>
      </c>
      <c r="AF8" s="89">
        <f>'29'!K8</f>
        <v>13142.85714</v>
      </c>
      <c r="AG8" s="89">
        <f>'30'!K8</f>
        <v>13500</v>
      </c>
      <c r="AH8" s="89">
        <f>'31'!K8</f>
        <v>13428.57143</v>
      </c>
      <c r="AI8" s="89">
        <v>12800.0</v>
      </c>
      <c r="AJ8" s="89">
        <f>AH8-D8</f>
        <v>100</v>
      </c>
      <c r="AK8" s="103">
        <f t="shared" ref="AK8:AK88" si="1">AVERAGE(D8:AH8)</f>
        <v>13235.48387</v>
      </c>
    </row>
    <row r="9">
      <c r="A9" s="25"/>
      <c r="B9" s="87" t="s">
        <v>40</v>
      </c>
      <c r="C9" s="88" t="s">
        <v>24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>
        <f>'30'!K9</f>
        <v>10333.33333</v>
      </c>
      <c r="AH9" s="89">
        <f>'31'!K9</f>
        <v>9566.666667</v>
      </c>
      <c r="AI9" s="89"/>
      <c r="AJ9" s="89"/>
      <c r="AK9" s="103">
        <f t="shared" si="1"/>
        <v>9950</v>
      </c>
    </row>
    <row r="10">
      <c r="A10" s="25"/>
      <c r="B10" s="87" t="s">
        <v>25</v>
      </c>
      <c r="C10" s="88" t="s">
        <v>24</v>
      </c>
      <c r="D10" s="89">
        <f>'1'!K9</f>
        <v>8971.428571</v>
      </c>
      <c r="E10" s="89">
        <f>'2'!K9</f>
        <v>8971.428571</v>
      </c>
      <c r="F10" s="89">
        <f>'3'!K9</f>
        <v>8971.428571</v>
      </c>
      <c r="G10" s="89">
        <f>'4'!K9</f>
        <v>8971.428571</v>
      </c>
      <c r="H10" s="89">
        <f>'5'!K9</f>
        <v>8971.428571</v>
      </c>
      <c r="I10" s="89">
        <f>'6'!K9</f>
        <v>8971.428571</v>
      </c>
      <c r="J10" s="89">
        <f>'7'!K9</f>
        <v>8971.428571</v>
      </c>
      <c r="K10" s="89">
        <f>'8'!K9</f>
        <v>8971.428571</v>
      </c>
      <c r="L10" s="89">
        <f>'9'!K9</f>
        <v>9400</v>
      </c>
      <c r="M10" s="89">
        <f>'10'!K9</f>
        <v>9400</v>
      </c>
      <c r="N10" s="89">
        <f>'11'!K9</f>
        <v>9400</v>
      </c>
      <c r="O10" s="89">
        <f>'12'!K9</f>
        <v>9400</v>
      </c>
      <c r="P10" s="89">
        <f>'13'!K9</f>
        <v>9400</v>
      </c>
      <c r="Q10" s="89">
        <f>'14'!K9</f>
        <v>9400</v>
      </c>
      <c r="R10" s="89">
        <f>'15'!K9</f>
        <v>9400</v>
      </c>
      <c r="S10" s="89">
        <f>'16'!K9</f>
        <v>9400</v>
      </c>
      <c r="T10" s="89">
        <f>'17'!K9</f>
        <v>9400</v>
      </c>
      <c r="U10" s="89">
        <f>'18'!K9</f>
        <v>9400</v>
      </c>
      <c r="V10" s="89">
        <f>'19'!K9</f>
        <v>8971.428571</v>
      </c>
      <c r="W10" s="89">
        <f>'20'!K9</f>
        <v>8971.428571</v>
      </c>
      <c r="X10" s="89">
        <f>'21'!K9</f>
        <v>8971.428571</v>
      </c>
      <c r="Y10" s="89">
        <f>'22'!K9</f>
        <v>8971.428571</v>
      </c>
      <c r="Z10" s="89">
        <f>'23'!K9</f>
        <v>8971.428571</v>
      </c>
      <c r="AA10" s="89">
        <f>'24'!K9</f>
        <v>8971.428571</v>
      </c>
      <c r="AB10" s="89">
        <f>'25'!K9</f>
        <v>9000</v>
      </c>
      <c r="AC10" s="89">
        <f>'26'!K9</f>
        <v>9000</v>
      </c>
      <c r="AD10" s="89">
        <f>'27'!K9</f>
        <v>9028.571429</v>
      </c>
      <c r="AE10" s="89">
        <f>'28'!K9</f>
        <v>9028.571429</v>
      </c>
      <c r="AF10" s="89">
        <f>'29'!K9</f>
        <v>9428.571429</v>
      </c>
      <c r="AG10" s="89">
        <f>'30'!K10</f>
        <v>11375</v>
      </c>
      <c r="AH10" s="89">
        <f>'31'!K10</f>
        <v>11166.66667</v>
      </c>
      <c r="AI10" s="89">
        <v>9450.0</v>
      </c>
      <c r="AJ10" s="89">
        <f t="shared" ref="AJ10:AJ35" si="2">AH10-D10</f>
        <v>2195.238095</v>
      </c>
      <c r="AK10" s="103">
        <f t="shared" si="1"/>
        <v>9278.302611</v>
      </c>
    </row>
    <row r="11">
      <c r="A11" s="25"/>
      <c r="B11" s="87" t="s">
        <v>26</v>
      </c>
      <c r="C11" s="88" t="s">
        <v>24</v>
      </c>
      <c r="D11" s="89">
        <f>'1'!K10</f>
        <v>9500</v>
      </c>
      <c r="E11" s="89">
        <f>'2'!K10</f>
        <v>9500</v>
      </c>
      <c r="F11" s="89">
        <f>'3'!K10</f>
        <v>9500</v>
      </c>
      <c r="G11" s="89">
        <f>'4'!K10</f>
        <v>9500</v>
      </c>
      <c r="H11" s="89">
        <f>'5'!K10</f>
        <v>9500</v>
      </c>
      <c r="I11" s="89">
        <f>'6'!K10</f>
        <v>9500</v>
      </c>
      <c r="J11" s="89">
        <f>'7'!K10</f>
        <v>9500</v>
      </c>
      <c r="K11" s="89">
        <f>'8'!K10</f>
        <v>9500</v>
      </c>
      <c r="L11" s="89">
        <f>'9'!K10</f>
        <v>10600</v>
      </c>
      <c r="M11" s="89">
        <f>'10'!K10</f>
        <v>10600</v>
      </c>
      <c r="N11" s="89">
        <f>'11'!K10</f>
        <v>10600</v>
      </c>
      <c r="O11" s="89">
        <f>'12'!K10</f>
        <v>10600</v>
      </c>
      <c r="P11" s="89">
        <f>'13'!K10</f>
        <v>10600</v>
      </c>
      <c r="Q11" s="89">
        <f>'14'!K10</f>
        <v>10600</v>
      </c>
      <c r="R11" s="89">
        <f>'15'!K10</f>
        <v>10600</v>
      </c>
      <c r="S11" s="89">
        <f>'16'!K10</f>
        <v>10600</v>
      </c>
      <c r="T11" s="89">
        <f>'17'!K10</f>
        <v>10600</v>
      </c>
      <c r="U11" s="89">
        <f>'18'!K10</f>
        <v>10600</v>
      </c>
      <c r="V11" s="89">
        <f>'19'!K10</f>
        <v>10600</v>
      </c>
      <c r="W11" s="89">
        <f>'20'!K10</f>
        <v>10600</v>
      </c>
      <c r="X11" s="89">
        <f>'21'!K10</f>
        <v>10600</v>
      </c>
      <c r="Y11" s="89">
        <f>'22'!K10</f>
        <v>10600</v>
      </c>
      <c r="Z11" s="89">
        <f>'23'!K10</f>
        <v>10600</v>
      </c>
      <c r="AA11" s="89">
        <f>'24'!K10</f>
        <v>10600</v>
      </c>
      <c r="AB11" s="89">
        <f>'25'!K10</f>
        <v>10600</v>
      </c>
      <c r="AC11" s="89">
        <f>'26'!K10</f>
        <v>10600</v>
      </c>
      <c r="AD11" s="89">
        <f>'27'!K10</f>
        <v>10600</v>
      </c>
      <c r="AE11" s="89">
        <f>'28'!K10</f>
        <v>10600</v>
      </c>
      <c r="AF11" s="89">
        <f>'29'!K10</f>
        <v>10600</v>
      </c>
      <c r="AG11" s="89">
        <f>'30'!K11</f>
        <v>10600</v>
      </c>
      <c r="AH11" s="89">
        <f>'31'!K11</f>
        <v>10600</v>
      </c>
      <c r="AI11" s="89"/>
      <c r="AJ11" s="89">
        <f t="shared" si="2"/>
        <v>1100</v>
      </c>
      <c r="AK11" s="103">
        <f t="shared" si="1"/>
        <v>10316.12903</v>
      </c>
    </row>
    <row r="12">
      <c r="A12" s="71"/>
      <c r="B12" s="87" t="s">
        <v>28</v>
      </c>
      <c r="C12" s="88" t="s">
        <v>24</v>
      </c>
      <c r="D12" s="89">
        <f>'1'!K11</f>
        <v>20000</v>
      </c>
      <c r="E12" s="89">
        <f>'2'!K11</f>
        <v>20000</v>
      </c>
      <c r="F12" s="89">
        <f>'3'!K11</f>
        <v>20000</v>
      </c>
      <c r="G12" s="89">
        <f>'4'!K11</f>
        <v>20000</v>
      </c>
      <c r="H12" s="89">
        <f>'5'!K11</f>
        <v>20000</v>
      </c>
      <c r="I12" s="89">
        <f>'6'!K11</f>
        <v>19333.33333</v>
      </c>
      <c r="J12" s="89">
        <f>'7'!K11</f>
        <v>19333.33333</v>
      </c>
      <c r="K12" s="89">
        <f>'8'!K11</f>
        <v>19333.33333</v>
      </c>
      <c r="L12" s="89">
        <f>'9'!K11</f>
        <v>20200</v>
      </c>
      <c r="M12" s="89">
        <f>'10'!K11</f>
        <v>20200</v>
      </c>
      <c r="N12" s="89">
        <f>'11'!K11</f>
        <v>20200</v>
      </c>
      <c r="O12" s="89">
        <f>'12'!K11</f>
        <v>20200</v>
      </c>
      <c r="P12" s="89">
        <f>'13'!K11</f>
        <v>20200</v>
      </c>
      <c r="Q12" s="89">
        <f>'14'!K11</f>
        <v>20200</v>
      </c>
      <c r="R12" s="89">
        <f>'15'!K11</f>
        <v>20200</v>
      </c>
      <c r="S12" s="89">
        <f>'16'!K11</f>
        <v>20200</v>
      </c>
      <c r="T12" s="89">
        <f>'17'!K11</f>
        <v>20200</v>
      </c>
      <c r="U12" s="89">
        <f>'18'!K11</f>
        <v>20200</v>
      </c>
      <c r="V12" s="89">
        <f>'19'!K11</f>
        <v>20200</v>
      </c>
      <c r="W12" s="89">
        <f>'20'!K11</f>
        <v>20200</v>
      </c>
      <c r="X12" s="89">
        <f>'21'!K11</f>
        <v>20200</v>
      </c>
      <c r="Y12" s="89">
        <f>'22'!K11</f>
        <v>20200</v>
      </c>
      <c r="Z12" s="89">
        <f>'23'!K11</f>
        <v>20200</v>
      </c>
      <c r="AA12" s="89">
        <f>'24'!K11</f>
        <v>20200</v>
      </c>
      <c r="AB12" s="89">
        <f>'25'!K11</f>
        <v>20200</v>
      </c>
      <c r="AC12" s="89">
        <f>'26'!K11</f>
        <v>20200</v>
      </c>
      <c r="AD12" s="89">
        <f>'27'!K11</f>
        <v>20600</v>
      </c>
      <c r="AE12" s="89">
        <f>'28'!K11</f>
        <v>20600</v>
      </c>
      <c r="AF12" s="89">
        <f>'29'!K11</f>
        <v>20600</v>
      </c>
      <c r="AG12" s="89">
        <f>'30'!K12</f>
        <v>20200</v>
      </c>
      <c r="AH12" s="89">
        <f>'31'!K12</f>
        <v>21000</v>
      </c>
      <c r="AI12" s="89"/>
      <c r="AJ12" s="89">
        <f t="shared" si="2"/>
        <v>1000</v>
      </c>
      <c r="AK12" s="103">
        <f t="shared" si="1"/>
        <v>20148.3871</v>
      </c>
    </row>
    <row r="13">
      <c r="A13" s="123">
        <v>2.0</v>
      </c>
      <c r="B13" s="125" t="s">
        <v>29</v>
      </c>
      <c r="C13" s="127"/>
      <c r="D13" s="89" t="str">
        <f>'1'!K12</f>
        <v/>
      </c>
      <c r="E13" s="89" t="str">
        <f>'2'!K12</f>
        <v/>
      </c>
      <c r="F13" s="89" t="str">
        <f>'3'!K12</f>
        <v/>
      </c>
      <c r="G13" s="89" t="str">
        <f>'4'!K12</f>
        <v/>
      </c>
      <c r="H13" s="89" t="str">
        <f>'5'!K12</f>
        <v/>
      </c>
      <c r="I13" s="89" t="str">
        <f>'6'!K12</f>
        <v/>
      </c>
      <c r="J13" s="89" t="str">
        <f>'7'!K12</f>
        <v/>
      </c>
      <c r="K13" s="89" t="str">
        <f>'8'!K12</f>
        <v/>
      </c>
      <c r="L13" s="89" t="str">
        <f>'9'!K12</f>
        <v/>
      </c>
      <c r="M13" s="89" t="str">
        <f>'10'!K12</f>
        <v/>
      </c>
      <c r="N13" s="89" t="str">
        <f>'11'!K12</f>
        <v/>
      </c>
      <c r="O13" s="89" t="str">
        <f>'12'!K12</f>
        <v/>
      </c>
      <c r="P13" s="89" t="str">
        <f>'13'!K12</f>
        <v/>
      </c>
      <c r="Q13" s="89" t="str">
        <f>'14'!K12</f>
        <v/>
      </c>
      <c r="R13" s="89" t="str">
        <f>'15'!K12</f>
        <v/>
      </c>
      <c r="S13" s="89" t="str">
        <f>'16'!K12</f>
        <v/>
      </c>
      <c r="T13" s="89" t="str">
        <f>'17'!K12</f>
        <v/>
      </c>
      <c r="U13" s="89" t="str">
        <f>'18'!K12</f>
        <v/>
      </c>
      <c r="V13" s="89" t="str">
        <f>'19'!K12</f>
        <v/>
      </c>
      <c r="W13" s="89" t="str">
        <f>'20'!K12</f>
        <v/>
      </c>
      <c r="X13" s="89" t="str">
        <f>'21'!K12</f>
        <v/>
      </c>
      <c r="Y13" s="89" t="str">
        <f>'22'!K12</f>
        <v/>
      </c>
      <c r="Z13" s="89" t="str">
        <f>'23'!K12</f>
        <v/>
      </c>
      <c r="AA13" s="89" t="str">
        <f>'24'!K12</f>
        <v/>
      </c>
      <c r="AB13" s="89" t="str">
        <f>'25'!K12</f>
        <v/>
      </c>
      <c r="AC13" s="89" t="str">
        <f>'26'!K12</f>
        <v/>
      </c>
      <c r="AD13" s="89" t="str">
        <f>'27'!K12</f>
        <v/>
      </c>
      <c r="AE13" s="89" t="str">
        <f>'28'!K12</f>
        <v/>
      </c>
      <c r="AF13" s="89" t="str">
        <f>'29'!K12</f>
        <v/>
      </c>
      <c r="AG13" s="89" t="str">
        <f>'30'!K13</f>
        <v/>
      </c>
      <c r="AH13" s="89" t="str">
        <f>'31'!K13</f>
        <v/>
      </c>
      <c r="AI13" s="89"/>
      <c r="AJ13" s="89">
        <f t="shared" si="2"/>
        <v>0</v>
      </c>
      <c r="AK13" s="103" t="str">
        <f t="shared" si="1"/>
        <v>#DIV/0!</v>
      </c>
    </row>
    <row r="14">
      <c r="A14" s="25"/>
      <c r="B14" s="87" t="s">
        <v>91</v>
      </c>
      <c r="C14" s="88" t="s">
        <v>24</v>
      </c>
      <c r="D14" s="89">
        <f>'1'!K13</f>
        <v>13000</v>
      </c>
      <c r="E14" s="89">
        <f>'2'!K13</f>
        <v>13000</v>
      </c>
      <c r="F14" s="89">
        <f>'3'!K13</f>
        <v>13000</v>
      </c>
      <c r="G14" s="89">
        <f>'4'!K13</f>
        <v>13000</v>
      </c>
      <c r="H14" s="89">
        <f>'5'!K13</f>
        <v>13000</v>
      </c>
      <c r="I14" s="89">
        <f>'6'!K13</f>
        <v>13000</v>
      </c>
      <c r="J14" s="89">
        <f>'7'!K13</f>
        <v>13000</v>
      </c>
      <c r="K14" s="89">
        <f>'8'!K13</f>
        <v>13000</v>
      </c>
      <c r="L14" s="89">
        <f>'9'!K13</f>
        <v>13000</v>
      </c>
      <c r="M14" s="89">
        <f>'10'!K13</f>
        <v>13000</v>
      </c>
      <c r="N14" s="89">
        <f>'11'!K13</f>
        <v>13000</v>
      </c>
      <c r="O14" s="89">
        <f>'12'!K13</f>
        <v>13000</v>
      </c>
      <c r="P14" s="89">
        <f>'13'!K13</f>
        <v>13000</v>
      </c>
      <c r="Q14" s="89">
        <f>'14'!K13</f>
        <v>13000</v>
      </c>
      <c r="R14" s="89">
        <f>'15'!K13</f>
        <v>13000</v>
      </c>
      <c r="S14" s="89">
        <f>'16'!K13</f>
        <v>13000</v>
      </c>
      <c r="T14" s="89">
        <f>'17'!K13</f>
        <v>13000</v>
      </c>
      <c r="U14" s="89">
        <f>'18'!K13</f>
        <v>13000</v>
      </c>
      <c r="V14" s="89">
        <f>'19'!K13</f>
        <v>13000</v>
      </c>
      <c r="W14" s="89">
        <f>'20'!K13</f>
        <v>13000</v>
      </c>
      <c r="X14" s="89">
        <f>'21'!K13</f>
        <v>13000</v>
      </c>
      <c r="Y14" s="89">
        <f>'22'!K13</f>
        <v>13000</v>
      </c>
      <c r="Z14" s="89">
        <f>'23'!K13</f>
        <v>13000</v>
      </c>
      <c r="AA14" s="89">
        <f>'24'!K13</f>
        <v>13071.42857</v>
      </c>
      <c r="AB14" s="89">
        <f>'25'!K13</f>
        <v>13071.42857</v>
      </c>
      <c r="AC14" s="89">
        <f>'26'!K13</f>
        <v>13071.42857</v>
      </c>
      <c r="AD14" s="89">
        <f>'27'!K13</f>
        <v>13071.42857</v>
      </c>
      <c r="AE14" s="89">
        <f>'28'!K13</f>
        <v>13071.42857</v>
      </c>
      <c r="AF14" s="89">
        <f>'29'!K13</f>
        <v>13071.42857</v>
      </c>
      <c r="AG14" s="89">
        <f>'30'!K14</f>
        <v>13071.42857</v>
      </c>
      <c r="AH14" s="89">
        <f>'31'!K14</f>
        <v>13142.85714</v>
      </c>
      <c r="AI14" s="89">
        <v>13500.0</v>
      </c>
      <c r="AJ14" s="89">
        <f t="shared" si="2"/>
        <v>142.8571429</v>
      </c>
      <c r="AK14" s="103">
        <f t="shared" si="1"/>
        <v>13020.73733</v>
      </c>
    </row>
    <row r="15">
      <c r="A15" s="71"/>
      <c r="B15" s="87" t="s">
        <v>31</v>
      </c>
      <c r="C15" s="88" t="s">
        <v>24</v>
      </c>
      <c r="D15" s="89">
        <f>'1'!K14</f>
        <v>16142.85714</v>
      </c>
      <c r="E15" s="89">
        <f>'2'!K14</f>
        <v>16142.85714</v>
      </c>
      <c r="F15" s="89">
        <f>'3'!K14</f>
        <v>16285.71429</v>
      </c>
      <c r="G15" s="89">
        <f>'4'!K14</f>
        <v>16285.71429</v>
      </c>
      <c r="H15" s="89">
        <f>'5'!K14</f>
        <v>16285.71429</v>
      </c>
      <c r="I15" s="89">
        <f>'6'!K14</f>
        <v>16285.71429</v>
      </c>
      <c r="J15" s="89">
        <f>'7'!K14</f>
        <v>16285.71429</v>
      </c>
      <c r="K15" s="89">
        <f>'8'!K14</f>
        <v>16285.71429</v>
      </c>
      <c r="L15" s="89">
        <f>'9'!K14</f>
        <v>15571.42857</v>
      </c>
      <c r="M15" s="89">
        <f>'10'!K14</f>
        <v>15571.42857</v>
      </c>
      <c r="N15" s="89">
        <f>'11'!K14</f>
        <v>15571.42857</v>
      </c>
      <c r="O15" s="89">
        <f>'12'!K14</f>
        <v>15571.42857</v>
      </c>
      <c r="P15" s="89">
        <f>'13'!K14</f>
        <v>15571.42857</v>
      </c>
      <c r="Q15" s="89">
        <f>'14'!K14</f>
        <v>15571.42857</v>
      </c>
      <c r="R15" s="89">
        <f>'15'!K14</f>
        <v>15571.42857</v>
      </c>
      <c r="S15" s="89">
        <f>'16'!K14</f>
        <v>15571.42857</v>
      </c>
      <c r="T15" s="89">
        <f>'17'!K14</f>
        <v>15714.28571</v>
      </c>
      <c r="U15" s="89">
        <f>'18'!K14</f>
        <v>15714.28571</v>
      </c>
      <c r="V15" s="89">
        <f>'19'!K14</f>
        <v>15714.28571</v>
      </c>
      <c r="W15" s="89">
        <f>'20'!K14</f>
        <v>15714.28571</v>
      </c>
      <c r="X15" s="89">
        <f>'21'!K14</f>
        <v>15714.28571</v>
      </c>
      <c r="Y15" s="89">
        <f>'22'!K14</f>
        <v>15714.28571</v>
      </c>
      <c r="Z15" s="89">
        <f>'23'!K14</f>
        <v>15714.28571</v>
      </c>
      <c r="AA15" s="89">
        <f>'24'!K14</f>
        <v>15714.28571</v>
      </c>
      <c r="AB15" s="89">
        <f>'25'!K14</f>
        <v>15714.28571</v>
      </c>
      <c r="AC15" s="89">
        <f>'26'!K14</f>
        <v>15714.28571</v>
      </c>
      <c r="AD15" s="89">
        <f>'27'!K14</f>
        <v>15714.28571</v>
      </c>
      <c r="AE15" s="89">
        <f>'28'!K14</f>
        <v>15714.28571</v>
      </c>
      <c r="AF15" s="89">
        <f>'29'!K14</f>
        <v>15714.28571</v>
      </c>
      <c r="AG15" s="89">
        <f>'30'!K15</f>
        <v>16285.71429</v>
      </c>
      <c r="AH15" s="89">
        <f>'31'!K15</f>
        <v>15714.28571</v>
      </c>
      <c r="AI15" s="89"/>
      <c r="AJ15" s="89">
        <f t="shared" si="2"/>
        <v>-428.5714286</v>
      </c>
      <c r="AK15" s="103">
        <f t="shared" si="1"/>
        <v>15834.10138</v>
      </c>
    </row>
    <row r="16">
      <c r="A16" s="123">
        <v>3.0</v>
      </c>
      <c r="B16" s="125" t="s">
        <v>32</v>
      </c>
      <c r="C16" s="125"/>
      <c r="D16" s="89" t="str">
        <f>'1'!K15</f>
        <v/>
      </c>
      <c r="E16" s="89" t="str">
        <f>'2'!K15</f>
        <v/>
      </c>
      <c r="F16" s="89" t="str">
        <f>'3'!K15</f>
        <v/>
      </c>
      <c r="G16" s="89" t="str">
        <f>'4'!K15</f>
        <v/>
      </c>
      <c r="H16" s="89" t="str">
        <f>'5'!K15</f>
        <v/>
      </c>
      <c r="I16" s="89" t="str">
        <f>'6'!K15</f>
        <v/>
      </c>
      <c r="J16" s="89" t="str">
        <f>'7'!K15</f>
        <v/>
      </c>
      <c r="K16" s="89" t="str">
        <f>'8'!K15</f>
        <v/>
      </c>
      <c r="L16" s="89" t="str">
        <f>'9'!K15</f>
        <v/>
      </c>
      <c r="M16" s="89" t="str">
        <f>'10'!K15</f>
        <v/>
      </c>
      <c r="N16" s="89" t="str">
        <f>'11'!K15</f>
        <v/>
      </c>
      <c r="O16" s="89" t="str">
        <f>'12'!K15</f>
        <v/>
      </c>
      <c r="P16" s="89" t="str">
        <f>'13'!K15</f>
        <v/>
      </c>
      <c r="Q16" s="89" t="str">
        <f>'14'!K15</f>
        <v/>
      </c>
      <c r="R16" s="89" t="str">
        <f>'15'!K15</f>
        <v/>
      </c>
      <c r="S16" s="89" t="str">
        <f>'16'!K15</f>
        <v/>
      </c>
      <c r="T16" s="89" t="str">
        <f>'17'!K15</f>
        <v/>
      </c>
      <c r="U16" s="89" t="str">
        <f>'18'!K15</f>
        <v/>
      </c>
      <c r="V16" s="89" t="str">
        <f>'19'!K15</f>
        <v/>
      </c>
      <c r="W16" s="89" t="str">
        <f>'20'!K15</f>
        <v/>
      </c>
      <c r="X16" s="89" t="str">
        <f>'21'!K15</f>
        <v/>
      </c>
      <c r="Y16" s="89" t="str">
        <f>'22'!K15</f>
        <v/>
      </c>
      <c r="Z16" s="89" t="str">
        <f>'23'!K15</f>
        <v/>
      </c>
      <c r="AA16" s="89" t="str">
        <f>'24'!K15</f>
        <v/>
      </c>
      <c r="AB16" s="89" t="str">
        <f>'25'!K15</f>
        <v/>
      </c>
      <c r="AC16" s="89" t="str">
        <f>'26'!K15</f>
        <v/>
      </c>
      <c r="AD16" s="89" t="str">
        <f>'27'!K15</f>
        <v/>
      </c>
      <c r="AE16" s="89" t="str">
        <f>'28'!K15</f>
        <v/>
      </c>
      <c r="AF16" s="89" t="str">
        <f>'29'!K15</f>
        <v/>
      </c>
      <c r="AG16" s="89" t="str">
        <f>'30'!K16</f>
        <v/>
      </c>
      <c r="AH16" s="89" t="str">
        <f>'31'!K16</f>
        <v/>
      </c>
      <c r="AI16" s="89"/>
      <c r="AJ16" s="89">
        <f t="shared" si="2"/>
        <v>0</v>
      </c>
      <c r="AK16" s="103" t="str">
        <f t="shared" si="1"/>
        <v>#DIV/0!</v>
      </c>
    </row>
    <row r="17">
      <c r="A17" s="139"/>
      <c r="B17" s="87" t="s">
        <v>33</v>
      </c>
      <c r="C17" s="88" t="s">
        <v>24</v>
      </c>
      <c r="D17" s="89">
        <f>'1'!K16</f>
        <v>15428.57143</v>
      </c>
      <c r="E17" s="89">
        <f>'2'!K16</f>
        <v>15428.57143</v>
      </c>
      <c r="F17" s="89">
        <f>'3'!K16</f>
        <v>15428.57143</v>
      </c>
      <c r="G17" s="89">
        <f>'4'!K16</f>
        <v>15428.57143</v>
      </c>
      <c r="H17" s="89">
        <f>'5'!K16</f>
        <v>15285.71429</v>
      </c>
      <c r="I17" s="89">
        <f>'6'!K16</f>
        <v>15285.71429</v>
      </c>
      <c r="J17" s="89">
        <f>'7'!K16</f>
        <v>15571.42857</v>
      </c>
      <c r="K17" s="89">
        <f>'8'!K16</f>
        <v>15714.28571</v>
      </c>
      <c r="L17" s="89">
        <f>'9'!K16</f>
        <v>15833.33333</v>
      </c>
      <c r="M17" s="89">
        <f>'10'!K16</f>
        <v>15833.33333</v>
      </c>
      <c r="N17" s="89">
        <f>'11'!K16</f>
        <v>15833.33333</v>
      </c>
      <c r="O17" s="89">
        <f>'12'!K16</f>
        <v>15833.33333</v>
      </c>
      <c r="P17" s="89">
        <f>'13'!K16</f>
        <v>15833.33333</v>
      </c>
      <c r="Q17" s="89">
        <f>'14'!K16</f>
        <v>16000</v>
      </c>
      <c r="R17" s="89">
        <f>'15'!K16</f>
        <v>16000</v>
      </c>
      <c r="S17" s="89">
        <f>'16'!K16</f>
        <v>16000</v>
      </c>
      <c r="T17" s="89">
        <f>'17'!K16</f>
        <v>15833.33333</v>
      </c>
      <c r="U17" s="89">
        <f>'18'!K16</f>
        <v>15833.33333</v>
      </c>
      <c r="V17" s="89">
        <f>'19'!K16</f>
        <v>15833.33333</v>
      </c>
      <c r="W17" s="89">
        <f>'20'!K16</f>
        <v>15857.14286</v>
      </c>
      <c r="X17" s="89">
        <f>'21'!K16</f>
        <v>15857.14286</v>
      </c>
      <c r="Y17" s="89">
        <f>'22'!K16</f>
        <v>15833.33333</v>
      </c>
      <c r="Z17" s="89">
        <f>'23'!K16</f>
        <v>15857.14286</v>
      </c>
      <c r="AA17" s="89">
        <f>'24'!K16</f>
        <v>15857.14286</v>
      </c>
      <c r="AB17" s="89">
        <f>'25'!K16</f>
        <v>15857.14286</v>
      </c>
      <c r="AC17" s="89">
        <f>'26'!K16</f>
        <v>15857.14286</v>
      </c>
      <c r="AD17" s="89">
        <f>'27'!K16</f>
        <v>15785.71429</v>
      </c>
      <c r="AE17" s="89">
        <f>'28'!K16</f>
        <v>15785.71429</v>
      </c>
      <c r="AF17" s="89">
        <f>'29'!K16</f>
        <v>15785.71429</v>
      </c>
      <c r="AG17" s="89">
        <f>'30'!K17</f>
        <v>15357.14286</v>
      </c>
      <c r="AH17" s="89">
        <f>'31'!K17</f>
        <v>15785.71429</v>
      </c>
      <c r="AI17" s="89">
        <v>15500.0</v>
      </c>
      <c r="AJ17" s="89">
        <f t="shared" si="2"/>
        <v>357.1428571</v>
      </c>
      <c r="AK17" s="103">
        <f t="shared" si="1"/>
        <v>15732.71889</v>
      </c>
    </row>
    <row r="18">
      <c r="A18" s="145"/>
      <c r="B18" s="87" t="s">
        <v>34</v>
      </c>
      <c r="C18" s="88" t="s">
        <v>35</v>
      </c>
      <c r="D18" s="89">
        <f>'1'!K17</f>
        <v>14000</v>
      </c>
      <c r="E18" s="89">
        <f>'2'!K17</f>
        <v>14000</v>
      </c>
      <c r="F18" s="89">
        <f>'3'!K17</f>
        <v>14000</v>
      </c>
      <c r="G18" s="89">
        <f>'4'!K17</f>
        <v>14000</v>
      </c>
      <c r="H18" s="89">
        <f>'5'!K17</f>
        <v>14000</v>
      </c>
      <c r="I18" s="89">
        <f>'6'!K17</f>
        <v>14000</v>
      </c>
      <c r="J18" s="89">
        <f>'7'!K17</f>
        <v>14000</v>
      </c>
      <c r="K18" s="89">
        <f>'8'!K17</f>
        <v>14000</v>
      </c>
      <c r="L18" s="89">
        <f>'9'!K17</f>
        <v>14333.33333</v>
      </c>
      <c r="M18" s="89">
        <f>'10'!K17</f>
        <v>14333.33333</v>
      </c>
      <c r="N18" s="89">
        <f>'11'!K17</f>
        <v>14333.33333</v>
      </c>
      <c r="O18" s="89">
        <f>'12'!K17</f>
        <v>14333.33333</v>
      </c>
      <c r="P18" s="89">
        <f>'13'!K17</f>
        <v>14333.33333</v>
      </c>
      <c r="Q18" s="89">
        <f>'14'!K17</f>
        <v>14333.33333</v>
      </c>
      <c r="R18" s="89">
        <f>'15'!K17</f>
        <v>14333.33333</v>
      </c>
      <c r="S18" s="89">
        <f>'16'!K17</f>
        <v>14333.33333</v>
      </c>
      <c r="T18" s="89">
        <f>'17'!K17</f>
        <v>14333.33333</v>
      </c>
      <c r="U18" s="89">
        <f>'18'!K17</f>
        <v>14333.33333</v>
      </c>
      <c r="V18" s="89">
        <f>'19'!K17</f>
        <v>14333.33333</v>
      </c>
      <c r="W18" s="89">
        <f>'20'!K17</f>
        <v>14000</v>
      </c>
      <c r="X18" s="89">
        <f>'21'!K17</f>
        <v>14000</v>
      </c>
      <c r="Y18" s="89">
        <f>'22'!K17</f>
        <v>14333.33333</v>
      </c>
      <c r="Z18" s="89">
        <f>'23'!K17</f>
        <v>14000</v>
      </c>
      <c r="AA18" s="89">
        <f>'24'!K17</f>
        <v>14000</v>
      </c>
      <c r="AB18" s="89">
        <f>'25'!K17</f>
        <v>14000</v>
      </c>
      <c r="AC18" s="89">
        <f>'26'!K17</f>
        <v>14000</v>
      </c>
      <c r="AD18" s="89">
        <f>'27'!K17</f>
        <v>14000</v>
      </c>
      <c r="AE18" s="89">
        <f>'28'!K17</f>
        <v>14000</v>
      </c>
      <c r="AF18" s="89">
        <f>'29'!K17</f>
        <v>14000</v>
      </c>
      <c r="AG18" s="89">
        <f>'30'!K18</f>
        <v>14000</v>
      </c>
      <c r="AH18" s="89">
        <f>'31'!K18</f>
        <v>14000</v>
      </c>
      <c r="AI18" s="89">
        <v>14000.0</v>
      </c>
      <c r="AJ18" s="89">
        <f t="shared" si="2"/>
        <v>0</v>
      </c>
      <c r="AK18" s="103">
        <f t="shared" si="1"/>
        <v>14129.03226</v>
      </c>
    </row>
    <row r="19">
      <c r="A19" s="123">
        <v>4.0</v>
      </c>
      <c r="B19" s="125" t="s">
        <v>36</v>
      </c>
      <c r="C19" s="125"/>
      <c r="D19" s="89" t="str">
        <f>'1'!K18</f>
        <v/>
      </c>
      <c r="E19" s="89" t="str">
        <f>'2'!K18</f>
        <v/>
      </c>
      <c r="F19" s="89" t="str">
        <f>'3'!K18</f>
        <v/>
      </c>
      <c r="G19" s="89" t="str">
        <f>'4'!K18</f>
        <v/>
      </c>
      <c r="H19" s="89" t="str">
        <f>'5'!K18</f>
        <v/>
      </c>
      <c r="I19" s="89" t="str">
        <f>'6'!K18</f>
        <v/>
      </c>
      <c r="J19" s="89" t="str">
        <f>'7'!K18</f>
        <v/>
      </c>
      <c r="K19" s="89" t="str">
        <f>'8'!K18</f>
        <v/>
      </c>
      <c r="L19" s="89" t="str">
        <f>'9'!K18</f>
        <v/>
      </c>
      <c r="M19" s="89" t="str">
        <f>'10'!K18</f>
        <v/>
      </c>
      <c r="N19" s="89" t="str">
        <f>'11'!K18</f>
        <v/>
      </c>
      <c r="O19" s="89" t="str">
        <f>'12'!K18</f>
        <v/>
      </c>
      <c r="P19" s="89" t="str">
        <f>'13'!K18</f>
        <v/>
      </c>
      <c r="Q19" s="89" t="str">
        <f>'14'!K18</f>
        <v/>
      </c>
      <c r="R19" s="89" t="str">
        <f>'15'!K18</f>
        <v/>
      </c>
      <c r="S19" s="89" t="str">
        <f>'16'!K18</f>
        <v/>
      </c>
      <c r="T19" s="89" t="str">
        <f>'17'!K18</f>
        <v/>
      </c>
      <c r="U19" s="89" t="str">
        <f>'18'!K18</f>
        <v/>
      </c>
      <c r="V19" s="89" t="str">
        <f>'19'!K18</f>
        <v/>
      </c>
      <c r="W19" s="89" t="str">
        <f>'20'!K18</f>
        <v/>
      </c>
      <c r="X19" s="89" t="str">
        <f>'21'!K18</f>
        <v/>
      </c>
      <c r="Y19" s="89" t="str">
        <f>'22'!K18</f>
        <v/>
      </c>
      <c r="Z19" s="89" t="str">
        <f>'23'!K18</f>
        <v/>
      </c>
      <c r="AA19" s="89" t="str">
        <f>'24'!K18</f>
        <v/>
      </c>
      <c r="AB19" s="89" t="str">
        <f>'25'!K18</f>
        <v/>
      </c>
      <c r="AC19" s="89" t="str">
        <f>'26'!K18</f>
        <v/>
      </c>
      <c r="AD19" s="89" t="str">
        <f>'27'!K18</f>
        <v/>
      </c>
      <c r="AE19" s="89" t="str">
        <f>'28'!K18</f>
        <v/>
      </c>
      <c r="AF19" s="89" t="str">
        <f>'29'!K18</f>
        <v/>
      </c>
      <c r="AG19" s="89" t="str">
        <f>'30'!K19</f>
        <v/>
      </c>
      <c r="AH19" s="89" t="str">
        <f>'31'!K19</f>
        <v/>
      </c>
      <c r="AI19" s="89"/>
      <c r="AJ19" s="89">
        <f t="shared" si="2"/>
        <v>0</v>
      </c>
      <c r="AK19" s="103" t="str">
        <f t="shared" si="1"/>
        <v>#DIV/0!</v>
      </c>
    </row>
    <row r="20">
      <c r="A20" s="71"/>
      <c r="B20" s="87" t="s">
        <v>37</v>
      </c>
      <c r="C20" s="88" t="s">
        <v>24</v>
      </c>
      <c r="D20" s="89">
        <f>'1'!K19</f>
        <v>19000</v>
      </c>
      <c r="E20" s="89">
        <f>'2'!K19</f>
        <v>19000</v>
      </c>
      <c r="F20" s="89">
        <f>'3'!K19</f>
        <v>19000</v>
      </c>
      <c r="G20" s="89">
        <f>'4'!K19</f>
        <v>19000</v>
      </c>
      <c r="H20" s="89">
        <f>'5'!K19</f>
        <v>19000</v>
      </c>
      <c r="I20" s="89">
        <f>'6'!K19</f>
        <v>19000</v>
      </c>
      <c r="J20" s="89">
        <f>'7'!K19</f>
        <v>19000</v>
      </c>
      <c r="K20" s="89">
        <f>'8'!K19</f>
        <v>19000</v>
      </c>
      <c r="L20" s="89">
        <f>'9'!K19</f>
        <v>21750</v>
      </c>
      <c r="M20" s="89">
        <f>'10'!K19</f>
        <v>21750</v>
      </c>
      <c r="N20" s="89">
        <f>'11'!K19</f>
        <v>21750</v>
      </c>
      <c r="O20" s="89">
        <f>'12'!K19</f>
        <v>21750</v>
      </c>
      <c r="P20" s="89">
        <f>'13'!K19</f>
        <v>21750</v>
      </c>
      <c r="Q20" s="89">
        <f>'14'!K19</f>
        <v>21250</v>
      </c>
      <c r="R20" s="89">
        <f>'15'!K19</f>
        <v>21250</v>
      </c>
      <c r="S20" s="89">
        <f>'16'!K19</f>
        <v>21250</v>
      </c>
      <c r="T20" s="89">
        <f>'17'!K19</f>
        <v>21250</v>
      </c>
      <c r="U20" s="89">
        <f>'18'!K19</f>
        <v>21250</v>
      </c>
      <c r="V20" s="89">
        <f>'19'!K19</f>
        <v>21250</v>
      </c>
      <c r="W20" s="89">
        <f>'20'!K19</f>
        <v>21250</v>
      </c>
      <c r="X20" s="89">
        <f>'21'!K19</f>
        <v>21250</v>
      </c>
      <c r="Y20" s="89">
        <f>'22'!K19</f>
        <v>21250</v>
      </c>
      <c r="Z20" s="89">
        <f>'23'!K19</f>
        <v>21250</v>
      </c>
      <c r="AA20" s="89">
        <f>'24'!K19</f>
        <v>21250</v>
      </c>
      <c r="AB20" s="89">
        <f>'25'!K19</f>
        <v>21250</v>
      </c>
      <c r="AC20" s="89">
        <f>'26'!K19</f>
        <v>21250</v>
      </c>
      <c r="AD20" s="89">
        <f>'27'!K19</f>
        <v>21250</v>
      </c>
      <c r="AE20" s="89">
        <f>'28'!K19</f>
        <v>21250</v>
      </c>
      <c r="AF20" s="89">
        <f>'29'!K19</f>
        <v>21250</v>
      </c>
      <c r="AG20" s="89">
        <f>'30'!K20</f>
        <v>22500</v>
      </c>
      <c r="AH20" s="89">
        <f>'31'!K20</f>
        <v>21250</v>
      </c>
      <c r="AI20" s="89"/>
      <c r="AJ20" s="89">
        <f t="shared" si="2"/>
        <v>2250</v>
      </c>
      <c r="AK20" s="103">
        <f t="shared" si="1"/>
        <v>20790.32258</v>
      </c>
    </row>
    <row r="21" ht="15.75" customHeight="1">
      <c r="A21" s="123">
        <v>5.0</v>
      </c>
      <c r="B21" s="125" t="s">
        <v>38</v>
      </c>
      <c r="C21" s="125"/>
      <c r="D21" s="89" t="str">
        <f>'1'!K20</f>
        <v/>
      </c>
      <c r="E21" s="89" t="str">
        <f>'2'!K20</f>
        <v/>
      </c>
      <c r="F21" s="89" t="str">
        <f>'3'!K20</f>
        <v/>
      </c>
      <c r="G21" s="89" t="str">
        <f>'4'!K20</f>
        <v/>
      </c>
      <c r="H21" s="89" t="str">
        <f>'5'!K20</f>
        <v/>
      </c>
      <c r="I21" s="89" t="str">
        <f>'6'!K20</f>
        <v/>
      </c>
      <c r="J21" s="89" t="str">
        <f>'7'!K20</f>
        <v/>
      </c>
      <c r="K21" s="89" t="str">
        <f>'8'!K20</f>
        <v/>
      </c>
      <c r="L21" s="89" t="str">
        <f>'9'!K20</f>
        <v/>
      </c>
      <c r="M21" s="89" t="str">
        <f>'10'!K20</f>
        <v/>
      </c>
      <c r="N21" s="89" t="str">
        <f>'11'!K20</f>
        <v/>
      </c>
      <c r="O21" s="89" t="str">
        <f>'12'!K20</f>
        <v/>
      </c>
      <c r="P21" s="89" t="str">
        <f>'13'!K20</f>
        <v/>
      </c>
      <c r="Q21" s="89" t="str">
        <f>'14'!K20</f>
        <v/>
      </c>
      <c r="R21" s="89" t="str">
        <f>'15'!K20</f>
        <v/>
      </c>
      <c r="S21" s="89" t="str">
        <f>'16'!K20</f>
        <v/>
      </c>
      <c r="T21" s="89" t="str">
        <f>'17'!K20</f>
        <v/>
      </c>
      <c r="U21" s="89" t="str">
        <f>'18'!K20</f>
        <v/>
      </c>
      <c r="V21" s="89" t="str">
        <f>'19'!K20</f>
        <v/>
      </c>
      <c r="W21" s="89" t="str">
        <f>'20'!K20</f>
        <v/>
      </c>
      <c r="X21" s="89" t="str">
        <f>'21'!K20</f>
        <v/>
      </c>
      <c r="Y21" s="89" t="str">
        <f>'22'!K20</f>
        <v/>
      </c>
      <c r="Z21" s="89" t="str">
        <f>'23'!K20</f>
        <v/>
      </c>
      <c r="AA21" s="89" t="str">
        <f>'24'!K20</f>
        <v/>
      </c>
      <c r="AB21" s="89" t="str">
        <f>'25'!K20</f>
        <v/>
      </c>
      <c r="AC21" s="89" t="str">
        <f>'26'!K20</f>
        <v/>
      </c>
      <c r="AD21" s="89" t="str">
        <f>'27'!K20</f>
        <v/>
      </c>
      <c r="AE21" s="89" t="str">
        <f>'28'!K20</f>
        <v/>
      </c>
      <c r="AF21" s="89" t="str">
        <f>'29'!K20</f>
        <v/>
      </c>
      <c r="AG21" s="89" t="str">
        <f>'30'!K21</f>
        <v/>
      </c>
      <c r="AH21" s="89" t="str">
        <f>'31'!K21</f>
        <v/>
      </c>
      <c r="AI21" s="89"/>
      <c r="AJ21" s="89">
        <f t="shared" si="2"/>
        <v>0</v>
      </c>
      <c r="AK21" s="103" t="str">
        <f t="shared" si="1"/>
        <v>#DIV/0!</v>
      </c>
    </row>
    <row r="22" ht="15.75" customHeight="1">
      <c r="A22" s="25"/>
      <c r="B22" s="87" t="s">
        <v>39</v>
      </c>
      <c r="C22" s="88" t="s">
        <v>24</v>
      </c>
      <c r="D22" s="89">
        <f>'1'!K21</f>
        <v>118142.8571</v>
      </c>
      <c r="E22" s="89">
        <f>'2'!K21</f>
        <v>118142.8571</v>
      </c>
      <c r="F22" s="89">
        <f>'3'!K21</f>
        <v>118142.8571</v>
      </c>
      <c r="G22" s="89">
        <f>'4'!K21</f>
        <v>118142.8571</v>
      </c>
      <c r="H22" s="89">
        <f>'5'!K21</f>
        <v>118142.8571</v>
      </c>
      <c r="I22" s="89">
        <f>'6'!K21</f>
        <v>118142.8571</v>
      </c>
      <c r="J22" s="89">
        <f>'7'!K21</f>
        <v>118142.8571</v>
      </c>
      <c r="K22" s="89">
        <f>'8'!K21</f>
        <v>118142.8571</v>
      </c>
      <c r="L22" s="89">
        <f>'9'!K21</f>
        <v>118142.8571</v>
      </c>
      <c r="M22" s="89">
        <f>'10'!K21</f>
        <v>118142.8571</v>
      </c>
      <c r="N22" s="89">
        <f>'11'!K21</f>
        <v>118142.8571</v>
      </c>
      <c r="O22" s="89">
        <f>'12'!K21</f>
        <v>118142.8571</v>
      </c>
      <c r="P22" s="89">
        <f>'13'!K21</f>
        <v>118142.8571</v>
      </c>
      <c r="Q22" s="89">
        <f>'14'!K21</f>
        <v>118142.8571</v>
      </c>
      <c r="R22" s="89">
        <f>'15'!K21</f>
        <v>118142.8571</v>
      </c>
      <c r="S22" s="89">
        <f>'16'!K21</f>
        <v>118142.8571</v>
      </c>
      <c r="T22" s="89">
        <f>'17'!K21</f>
        <v>118142.8571</v>
      </c>
      <c r="U22" s="89">
        <f>'18'!K21</f>
        <v>118142.8571</v>
      </c>
      <c r="V22" s="89">
        <f>'19'!K21</f>
        <v>118571.4286</v>
      </c>
      <c r="W22" s="89">
        <f>'20'!K21</f>
        <v>118571.4286</v>
      </c>
      <c r="X22" s="89">
        <f>'21'!K21</f>
        <v>118142.8571</v>
      </c>
      <c r="Y22" s="89">
        <f>'22'!K21</f>
        <v>118142.8571</v>
      </c>
      <c r="Z22" s="89">
        <f>'23'!K21</f>
        <v>118142.8571</v>
      </c>
      <c r="AA22" s="89">
        <f>'24'!K21</f>
        <v>118142.8571</v>
      </c>
      <c r="AB22" s="89">
        <f>'25'!K21</f>
        <v>118571.4286</v>
      </c>
      <c r="AC22" s="89">
        <f>'26'!K21</f>
        <v>118571.4286</v>
      </c>
      <c r="AD22" s="89">
        <f>'27'!K21</f>
        <v>118571.4286</v>
      </c>
      <c r="AE22" s="89">
        <f>'28'!K21</f>
        <v>118571.4286</v>
      </c>
      <c r="AF22" s="89">
        <f>'29'!K21</f>
        <v>118571.4286</v>
      </c>
      <c r="AG22" s="89">
        <f>'30'!K22</f>
        <v>122857.1429</v>
      </c>
      <c r="AH22" s="89">
        <f>'31'!K22</f>
        <v>118571.4286</v>
      </c>
      <c r="AI22" s="89">
        <v>105000.0</v>
      </c>
      <c r="AJ22" s="89">
        <f t="shared" si="2"/>
        <v>428.5714286</v>
      </c>
      <c r="AK22" s="103">
        <f t="shared" si="1"/>
        <v>118405.53</v>
      </c>
    </row>
    <row r="23" ht="15.75" customHeight="1">
      <c r="A23" s="25"/>
      <c r="B23" s="87" t="s">
        <v>41</v>
      </c>
      <c r="C23" s="88" t="s">
        <v>24</v>
      </c>
      <c r="D23" s="89">
        <f>'1'!K22</f>
        <v>109857.1429</v>
      </c>
      <c r="E23" s="89">
        <f>'2'!K22</f>
        <v>109857.1429</v>
      </c>
      <c r="F23" s="89">
        <f>'3'!K22</f>
        <v>109857.1429</v>
      </c>
      <c r="G23" s="89">
        <f>'4'!K22</f>
        <v>109857.1429</v>
      </c>
      <c r="H23" s="89">
        <f>'5'!K22</f>
        <v>109857.1429</v>
      </c>
      <c r="I23" s="89">
        <f>'6'!K22</f>
        <v>109857.1429</v>
      </c>
      <c r="J23" s="89">
        <f>'7'!K22</f>
        <v>109142.8571</v>
      </c>
      <c r="K23" s="89">
        <f>'8'!K22</f>
        <v>109142.8571</v>
      </c>
      <c r="L23" s="89">
        <f>'9'!K22</f>
        <v>109142.8571</v>
      </c>
      <c r="M23" s="89">
        <f>'10'!K22</f>
        <v>109142.8571</v>
      </c>
      <c r="N23" s="89">
        <f>'11'!K22</f>
        <v>109142.8571</v>
      </c>
      <c r="O23" s="89">
        <f>'12'!K22</f>
        <v>109142.8571</v>
      </c>
      <c r="P23" s="89">
        <f>'13'!K22</f>
        <v>109142.8571</v>
      </c>
      <c r="Q23" s="89">
        <f>'14'!K22</f>
        <v>109142.8571</v>
      </c>
      <c r="R23" s="89">
        <f>'15'!K22</f>
        <v>109142.8571</v>
      </c>
      <c r="S23" s="89">
        <f>'16'!K22</f>
        <v>109142.8571</v>
      </c>
      <c r="T23" s="89">
        <f>'17'!K22</f>
        <v>109142.8571</v>
      </c>
      <c r="U23" s="89">
        <f>'18'!K22</f>
        <v>109142.8571</v>
      </c>
      <c r="V23" s="89">
        <f>'19'!K22</f>
        <v>109142.8571</v>
      </c>
      <c r="W23" s="89">
        <f>'20'!K22</f>
        <v>109142.8571</v>
      </c>
      <c r="X23" s="89">
        <f>'21'!K22</f>
        <v>109142.8571</v>
      </c>
      <c r="Y23" s="89">
        <f>'22'!K22</f>
        <v>109142.8571</v>
      </c>
      <c r="Z23" s="89">
        <f>'23'!K22</f>
        <v>109142.8571</v>
      </c>
      <c r="AA23" s="89">
        <f>'24'!K22</f>
        <v>109142.8571</v>
      </c>
      <c r="AB23" s="89">
        <f>'25'!K22</f>
        <v>109142.8571</v>
      </c>
      <c r="AC23" s="89">
        <f>'26'!K22</f>
        <v>109142.8571</v>
      </c>
      <c r="AD23" s="89">
        <f>'27'!K22</f>
        <v>109142.8571</v>
      </c>
      <c r="AE23" s="89">
        <f>'28'!K22</f>
        <v>109142.8571</v>
      </c>
      <c r="AF23" s="89">
        <f>'29'!K22</f>
        <v>109142.8571</v>
      </c>
      <c r="AG23" s="89">
        <f>'30'!K23</f>
        <v>114142.8571</v>
      </c>
      <c r="AH23" s="89">
        <f>'31'!K23</f>
        <v>109142.8571</v>
      </c>
      <c r="AI23" s="89">
        <v>80000.0</v>
      </c>
      <c r="AJ23" s="89">
        <f t="shared" si="2"/>
        <v>-714.2857143</v>
      </c>
      <c r="AK23" s="103">
        <f t="shared" si="1"/>
        <v>109442.3963</v>
      </c>
    </row>
    <row r="24" ht="15.75" customHeight="1">
      <c r="A24" s="25"/>
      <c r="B24" s="87" t="s">
        <v>42</v>
      </c>
      <c r="C24" s="88" t="s">
        <v>24</v>
      </c>
      <c r="D24" s="89">
        <f>'1'!K23</f>
        <v>100000</v>
      </c>
      <c r="E24" s="89">
        <f>'2'!K23</f>
        <v>100000</v>
      </c>
      <c r="F24" s="89">
        <f>'3'!K23</f>
        <v>100000</v>
      </c>
      <c r="G24" s="89">
        <f>'4'!K23</f>
        <v>100000</v>
      </c>
      <c r="H24" s="89">
        <f>'5'!K23</f>
        <v>100000</v>
      </c>
      <c r="I24" s="89">
        <f>'6'!K23</f>
        <v>100000</v>
      </c>
      <c r="J24" s="89">
        <f>'7'!K23</f>
        <v>99166.66667</v>
      </c>
      <c r="K24" s="89">
        <f>'8'!K23</f>
        <v>99166.66667</v>
      </c>
      <c r="L24" s="89">
        <f>'9'!K23</f>
        <v>99166.66667</v>
      </c>
      <c r="M24" s="89">
        <f>'10'!K23</f>
        <v>99166.66667</v>
      </c>
      <c r="N24" s="89">
        <f>'11'!K23</f>
        <v>99166.66667</v>
      </c>
      <c r="O24" s="89">
        <f>'12'!K23</f>
        <v>99166.66667</v>
      </c>
      <c r="P24" s="89">
        <f>'13'!K23</f>
        <v>99166.66667</v>
      </c>
      <c r="Q24" s="89">
        <f>'14'!K23</f>
        <v>99166.66667</v>
      </c>
      <c r="R24" s="89">
        <f>'15'!K23</f>
        <v>99166.66667</v>
      </c>
      <c r="S24" s="89">
        <f>'16'!K23</f>
        <v>99166.66667</v>
      </c>
      <c r="T24" s="89">
        <f>'17'!K23</f>
        <v>99166.66667</v>
      </c>
      <c r="U24" s="89">
        <f>'18'!K23</f>
        <v>99166.66667</v>
      </c>
      <c r="V24" s="89">
        <f>'19'!K23</f>
        <v>99166.66667</v>
      </c>
      <c r="W24" s="89">
        <f>'20'!K23</f>
        <v>99166.66667</v>
      </c>
      <c r="X24" s="89">
        <f>'21'!K23</f>
        <v>99166.66667</v>
      </c>
      <c r="Y24" s="89">
        <f>'22'!K23</f>
        <v>99166.66667</v>
      </c>
      <c r="Z24" s="89">
        <f>'23'!K23</f>
        <v>99166.66667</v>
      </c>
      <c r="AA24" s="89">
        <f>'24'!K23</f>
        <v>99166.66667</v>
      </c>
      <c r="AB24" s="89">
        <f>'25'!K23</f>
        <v>99166.66667</v>
      </c>
      <c r="AC24" s="89">
        <f>'26'!K23</f>
        <v>99166.66667</v>
      </c>
      <c r="AD24" s="89">
        <f>'27'!K23</f>
        <v>99166.66667</v>
      </c>
      <c r="AE24" s="89">
        <f>'28'!K23</f>
        <v>99166.66667</v>
      </c>
      <c r="AF24" s="89">
        <f>'29'!K23</f>
        <v>99166.66667</v>
      </c>
      <c r="AG24" s="89">
        <f>'30'!K24</f>
        <v>105000</v>
      </c>
      <c r="AH24" s="89">
        <f>'31'!K24</f>
        <v>99166.66667</v>
      </c>
      <c r="AI24" s="89">
        <v>80000.0</v>
      </c>
      <c r="AJ24" s="89">
        <f t="shared" si="2"/>
        <v>-833.3333333</v>
      </c>
      <c r="AK24" s="103">
        <f t="shared" si="1"/>
        <v>99516.12903</v>
      </c>
    </row>
    <row r="25" ht="15.75" customHeight="1">
      <c r="A25" s="71"/>
      <c r="B25" s="87" t="s">
        <v>43</v>
      </c>
      <c r="C25" s="88" t="s">
        <v>24</v>
      </c>
      <c r="D25" s="89">
        <f>'1'!K24</f>
        <v>30857.14286</v>
      </c>
      <c r="E25" s="89">
        <f>'2'!K24</f>
        <v>30857.14286</v>
      </c>
      <c r="F25" s="89">
        <f>'3'!K24</f>
        <v>30571.42857</v>
      </c>
      <c r="G25" s="89">
        <f>'4'!K24</f>
        <v>30571.42857</v>
      </c>
      <c r="H25" s="89">
        <f>'5'!K24</f>
        <v>30857.14286</v>
      </c>
      <c r="I25" s="89">
        <f>'6'!K24</f>
        <v>30285.71429</v>
      </c>
      <c r="J25" s="89">
        <f>'7'!K24</f>
        <v>30000</v>
      </c>
      <c r="K25" s="89">
        <f>'8'!K24</f>
        <v>30285.71429</v>
      </c>
      <c r="L25" s="89">
        <f>'9'!K24</f>
        <v>30857.14286</v>
      </c>
      <c r="M25" s="89">
        <f>'10'!K24</f>
        <v>31000</v>
      </c>
      <c r="N25" s="89">
        <f>'11'!K24</f>
        <v>31285.71429</v>
      </c>
      <c r="O25" s="89">
        <f>'12'!K24</f>
        <v>31571.42857</v>
      </c>
      <c r="P25" s="89">
        <f>'13'!K24</f>
        <v>31571.42857</v>
      </c>
      <c r="Q25" s="89">
        <f>'14'!K24</f>
        <v>31714.28571</v>
      </c>
      <c r="R25" s="89">
        <f>'15'!K24</f>
        <v>32000</v>
      </c>
      <c r="S25" s="89">
        <f>'16'!K24</f>
        <v>32285.71429</v>
      </c>
      <c r="T25" s="89">
        <f>'17'!K24</f>
        <v>33428.57143</v>
      </c>
      <c r="U25" s="89">
        <f>'18'!K24</f>
        <v>33428.57143</v>
      </c>
      <c r="V25" s="89">
        <f>'19'!K24</f>
        <v>33285.71429</v>
      </c>
      <c r="W25" s="89">
        <f>'20'!K24</f>
        <v>33428.57143</v>
      </c>
      <c r="X25" s="89">
        <f>'21'!K24</f>
        <v>33428.57143</v>
      </c>
      <c r="Y25" s="89">
        <f>'22'!K24</f>
        <v>33571.42857</v>
      </c>
      <c r="Z25" s="89">
        <f>'23'!K24</f>
        <v>33285.71429</v>
      </c>
      <c r="AA25" s="89">
        <f>'24'!K24</f>
        <v>33000</v>
      </c>
      <c r="AB25" s="89">
        <f>'25'!K24</f>
        <v>32714.28571</v>
      </c>
      <c r="AC25" s="89">
        <f>'26'!K24</f>
        <v>32714.28571</v>
      </c>
      <c r="AD25" s="89">
        <f>'27'!K24</f>
        <v>32571.42857</v>
      </c>
      <c r="AE25" s="89">
        <f>'28'!K24</f>
        <v>31571.42857</v>
      </c>
      <c r="AF25" s="89">
        <f>'29'!K24</f>
        <v>31571.42857</v>
      </c>
      <c r="AG25" s="89">
        <f>'30'!K25</f>
        <v>36571.42857</v>
      </c>
      <c r="AH25" s="89">
        <f>'31'!K25</f>
        <v>30857.14286</v>
      </c>
      <c r="AI25" s="89">
        <v>36750.0</v>
      </c>
      <c r="AJ25" s="89">
        <f t="shared" si="2"/>
        <v>0</v>
      </c>
      <c r="AK25" s="103">
        <f t="shared" si="1"/>
        <v>32000</v>
      </c>
    </row>
    <row r="26" ht="15.75" customHeight="1">
      <c r="A26" s="123">
        <v>6.0</v>
      </c>
      <c r="B26" s="125" t="s">
        <v>44</v>
      </c>
      <c r="C26" s="125"/>
      <c r="D26" s="89" t="str">
        <f>'1'!K25</f>
        <v/>
      </c>
      <c r="E26" s="89" t="str">
        <f>'2'!K25</f>
        <v/>
      </c>
      <c r="F26" s="89" t="str">
        <f>'3'!K25</f>
        <v/>
      </c>
      <c r="G26" s="89" t="str">
        <f>'4'!K25</f>
        <v/>
      </c>
      <c r="H26" s="89" t="str">
        <f>'5'!K25</f>
        <v/>
      </c>
      <c r="I26" s="89" t="str">
        <f>'6'!K25</f>
        <v/>
      </c>
      <c r="J26" s="89" t="str">
        <f>'7'!K25</f>
        <v/>
      </c>
      <c r="K26" s="89" t="str">
        <f>'8'!K25</f>
        <v/>
      </c>
      <c r="L26" s="89" t="str">
        <f>'9'!K25</f>
        <v/>
      </c>
      <c r="M26" s="89" t="str">
        <f>'10'!K25</f>
        <v/>
      </c>
      <c r="N26" s="89" t="str">
        <f>'11'!K25</f>
        <v/>
      </c>
      <c r="O26" s="89" t="str">
        <f>'12'!K25</f>
        <v/>
      </c>
      <c r="P26" s="89" t="str">
        <f>'13'!K25</f>
        <v/>
      </c>
      <c r="Q26" s="89" t="str">
        <f>'14'!K25</f>
        <v/>
      </c>
      <c r="R26" s="89" t="str">
        <f>'15'!K25</f>
        <v/>
      </c>
      <c r="S26" s="89" t="str">
        <f>'16'!K25</f>
        <v/>
      </c>
      <c r="T26" s="89" t="str">
        <f>'17'!K25</f>
        <v/>
      </c>
      <c r="U26" s="89" t="str">
        <f>'18'!K25</f>
        <v/>
      </c>
      <c r="V26" s="89" t="str">
        <f>'19'!K25</f>
        <v/>
      </c>
      <c r="W26" s="89" t="str">
        <f>'20'!K25</f>
        <v/>
      </c>
      <c r="X26" s="89" t="str">
        <f>'21'!K25</f>
        <v/>
      </c>
      <c r="Y26" s="89" t="str">
        <f>'22'!K25</f>
        <v/>
      </c>
      <c r="Z26" s="89" t="str">
        <f>'23'!K25</f>
        <v/>
      </c>
      <c r="AA26" s="89" t="str">
        <f>'24'!K25</f>
        <v/>
      </c>
      <c r="AB26" s="89" t="str">
        <f>'25'!K25</f>
        <v/>
      </c>
      <c r="AC26" s="89" t="str">
        <f>'26'!K25</f>
        <v/>
      </c>
      <c r="AD26" s="89" t="str">
        <f>'27'!K25</f>
        <v/>
      </c>
      <c r="AE26" s="89" t="str">
        <f>'28'!K25</f>
        <v/>
      </c>
      <c r="AF26" s="89" t="str">
        <f>'29'!K25</f>
        <v/>
      </c>
      <c r="AG26" s="89" t="str">
        <f>'30'!K26</f>
        <v/>
      </c>
      <c r="AH26" s="89" t="str">
        <f>'31'!K26</f>
        <v/>
      </c>
      <c r="AI26" s="89"/>
      <c r="AJ26" s="89">
        <f t="shared" si="2"/>
        <v>0</v>
      </c>
      <c r="AK26" s="103" t="str">
        <f t="shared" si="1"/>
        <v>#DIV/0!</v>
      </c>
    </row>
    <row r="27" ht="15.75" customHeight="1">
      <c r="A27" s="25"/>
      <c r="B27" s="87" t="s">
        <v>45</v>
      </c>
      <c r="C27" s="88" t="s">
        <v>24</v>
      </c>
      <c r="D27" s="89">
        <f>'1'!K26</f>
        <v>37500</v>
      </c>
      <c r="E27" s="89">
        <f>'2'!K26</f>
        <v>37500</v>
      </c>
      <c r="F27" s="89">
        <f>'3'!K26</f>
        <v>37500</v>
      </c>
      <c r="G27" s="89">
        <f>'4'!K26</f>
        <v>37500</v>
      </c>
      <c r="H27" s="89">
        <f>'5'!K26</f>
        <v>37500</v>
      </c>
      <c r="I27" s="89">
        <f>'6'!K26</f>
        <v>37500</v>
      </c>
      <c r="J27" s="89">
        <f>'7'!K26</f>
        <v>37166.66667</v>
      </c>
      <c r="K27" s="89">
        <f>'8'!K26</f>
        <v>36666.66667</v>
      </c>
      <c r="L27" s="89">
        <f>'9'!K26</f>
        <v>37500</v>
      </c>
      <c r="M27" s="89">
        <f>'10'!K26</f>
        <v>37500</v>
      </c>
      <c r="N27" s="89">
        <f>'11'!K26</f>
        <v>37500</v>
      </c>
      <c r="O27" s="89">
        <f>'12'!K26</f>
        <v>37500</v>
      </c>
      <c r="P27" s="89">
        <f>'13'!K26</f>
        <v>37500</v>
      </c>
      <c r="Q27" s="89">
        <f>'14'!K26</f>
        <v>37500</v>
      </c>
      <c r="R27" s="89">
        <f>'15'!K26</f>
        <v>37500</v>
      </c>
      <c r="S27" s="89">
        <f>'16'!K26</f>
        <v>38333.33333</v>
      </c>
      <c r="T27" s="89">
        <f>'17'!K26</f>
        <v>37500</v>
      </c>
      <c r="U27" s="89">
        <f>'18'!K26</f>
        <v>37500</v>
      </c>
      <c r="V27" s="89">
        <f>'19'!K26</f>
        <v>37500</v>
      </c>
      <c r="W27" s="89">
        <f>'20'!K26</f>
        <v>37500</v>
      </c>
      <c r="X27" s="89">
        <f>'21'!K26</f>
        <v>36833.33333</v>
      </c>
      <c r="Y27" s="89">
        <f>'22'!K26</f>
        <v>36833.33333</v>
      </c>
      <c r="Z27" s="89">
        <f>'23'!K26</f>
        <v>36833.33333</v>
      </c>
      <c r="AA27" s="89">
        <f>'24'!K26</f>
        <v>36833.33333</v>
      </c>
      <c r="AB27" s="89">
        <f>'25'!K26</f>
        <v>37666.66667</v>
      </c>
      <c r="AC27" s="89">
        <f>'26'!K26</f>
        <v>37666.66667</v>
      </c>
      <c r="AD27" s="89">
        <f>'27'!K26</f>
        <v>37333.33333</v>
      </c>
      <c r="AE27" s="89">
        <f>'28'!K26</f>
        <v>37333.33333</v>
      </c>
      <c r="AF27" s="89">
        <f>'29'!K26</f>
        <v>37333.33333</v>
      </c>
      <c r="AG27" s="89">
        <f>'30'!K27</f>
        <v>35714.28571</v>
      </c>
      <c r="AH27" s="89">
        <f>'31'!K27</f>
        <v>37333.33333</v>
      </c>
      <c r="AI27" s="89"/>
      <c r="AJ27" s="89">
        <f t="shared" si="2"/>
        <v>-166.6666667</v>
      </c>
      <c r="AK27" s="103">
        <f t="shared" si="1"/>
        <v>37334.86943</v>
      </c>
    </row>
    <row r="28" ht="15.75" customHeight="1">
      <c r="A28" s="25"/>
      <c r="B28" s="87" t="s">
        <v>46</v>
      </c>
      <c r="C28" s="88" t="s">
        <v>24</v>
      </c>
      <c r="D28" s="89">
        <f>'1'!K27</f>
        <v>28500</v>
      </c>
      <c r="E28" s="89">
        <f>'2'!K27</f>
        <v>28500</v>
      </c>
      <c r="F28" s="89">
        <f>'3'!K27</f>
        <v>28500</v>
      </c>
      <c r="G28" s="89">
        <f>'4'!K27</f>
        <v>28500</v>
      </c>
      <c r="H28" s="89">
        <f>'5'!K27</f>
        <v>28500</v>
      </c>
      <c r="I28" s="89">
        <f>'6'!K27</f>
        <v>28500</v>
      </c>
      <c r="J28" s="89">
        <f>'7'!K27</f>
        <v>28500</v>
      </c>
      <c r="K28" s="89">
        <f>'8'!K27</f>
        <v>28500</v>
      </c>
      <c r="L28" s="89">
        <f>'9'!K27</f>
        <v>29428.57143</v>
      </c>
      <c r="M28" s="89">
        <f>'10'!K27</f>
        <v>29428.57143</v>
      </c>
      <c r="N28" s="89">
        <f>'11'!K27</f>
        <v>29428.57143</v>
      </c>
      <c r="O28" s="89">
        <f>'12'!K27</f>
        <v>29428.57143</v>
      </c>
      <c r="P28" s="89">
        <f>'13'!K27</f>
        <v>29428.57143</v>
      </c>
      <c r="Q28" s="89">
        <f>'14'!K27</f>
        <v>29142.85714</v>
      </c>
      <c r="R28" s="89">
        <f>'15'!K27</f>
        <v>29142.85714</v>
      </c>
      <c r="S28" s="89">
        <f>'16'!K27</f>
        <v>29142.85714</v>
      </c>
      <c r="T28" s="89">
        <f>'17'!K27</f>
        <v>28857.14286</v>
      </c>
      <c r="U28" s="89">
        <f>'18'!K27</f>
        <v>28857.14286</v>
      </c>
      <c r="V28" s="89">
        <f>'19'!K27</f>
        <v>28857.14286</v>
      </c>
      <c r="W28" s="89">
        <f>'20'!K27</f>
        <v>28857.14286</v>
      </c>
      <c r="X28" s="89">
        <f>'21'!K27</f>
        <v>28857.14286</v>
      </c>
      <c r="Y28" s="89">
        <f>'22'!K27</f>
        <v>28857.14286</v>
      </c>
      <c r="Z28" s="89">
        <f>'23'!K27</f>
        <v>28857.14286</v>
      </c>
      <c r="AA28" s="89">
        <f>'24'!K27</f>
        <v>29428.57143</v>
      </c>
      <c r="AB28" s="89">
        <f>'25'!K27</f>
        <v>29714.28571</v>
      </c>
      <c r="AC28" s="89">
        <f>'26'!K27</f>
        <v>29714.28571</v>
      </c>
      <c r="AD28" s="89">
        <f>'27'!K27</f>
        <v>29428.57143</v>
      </c>
      <c r="AE28" s="89">
        <f>'28'!K27</f>
        <v>29428.57143</v>
      </c>
      <c r="AF28" s="89">
        <f>'29'!K27</f>
        <v>29428.57143</v>
      </c>
      <c r="AG28" s="89">
        <f>'30'!K28</f>
        <v>31428.57143</v>
      </c>
      <c r="AH28" s="89">
        <f>'31'!K28</f>
        <v>28857.14286</v>
      </c>
      <c r="AI28" s="89"/>
      <c r="AJ28" s="89">
        <f t="shared" si="2"/>
        <v>357.1428571</v>
      </c>
      <c r="AK28" s="103">
        <f t="shared" si="1"/>
        <v>29096.77419</v>
      </c>
    </row>
    <row r="29" ht="15.75" customHeight="1">
      <c r="A29" s="25"/>
      <c r="B29" s="87" t="s">
        <v>48</v>
      </c>
      <c r="C29" s="88" t="s">
        <v>24</v>
      </c>
      <c r="D29" s="89">
        <f>'1'!K28</f>
        <v>67166.66667</v>
      </c>
      <c r="E29" s="89">
        <f>'2'!K28</f>
        <v>67166.66667</v>
      </c>
      <c r="F29" s="89">
        <f>'3'!K28</f>
        <v>67166.66667</v>
      </c>
      <c r="G29" s="89">
        <f>'4'!K28</f>
        <v>67166.66667</v>
      </c>
      <c r="H29" s="89">
        <f>'5'!K28</f>
        <v>66333.33333</v>
      </c>
      <c r="I29" s="89">
        <f>'6'!K28</f>
        <v>66333.33333</v>
      </c>
      <c r="J29" s="89">
        <f>'7'!K28</f>
        <v>67166.66667</v>
      </c>
      <c r="K29" s="89">
        <f>'8'!K28</f>
        <v>66166.66667</v>
      </c>
      <c r="L29" s="89">
        <f>'9'!K28</f>
        <v>65428.57143</v>
      </c>
      <c r="M29" s="89">
        <f>'10'!K28</f>
        <v>65428.57143</v>
      </c>
      <c r="N29" s="89">
        <f>'11'!K28</f>
        <v>65428.57143</v>
      </c>
      <c r="O29" s="89">
        <f>'12'!K28</f>
        <v>65428.57143</v>
      </c>
      <c r="P29" s="89">
        <f>'13'!K28</f>
        <v>65428.57143</v>
      </c>
      <c r="Q29" s="89">
        <f>'14'!K28</f>
        <v>65428.57143</v>
      </c>
      <c r="R29" s="89">
        <f>'15'!K28</f>
        <v>64000</v>
      </c>
      <c r="S29" s="89">
        <f>'16'!K28</f>
        <v>64000</v>
      </c>
      <c r="T29" s="89">
        <f>'17'!K28</f>
        <v>64000</v>
      </c>
      <c r="U29" s="89">
        <f>'18'!K28</f>
        <v>64000</v>
      </c>
      <c r="V29" s="89">
        <f>'19'!K28</f>
        <v>64000</v>
      </c>
      <c r="W29" s="89">
        <f>'20'!K28</f>
        <v>64000</v>
      </c>
      <c r="X29" s="89">
        <f>'21'!K28</f>
        <v>64000</v>
      </c>
      <c r="Y29" s="89">
        <f>'22'!K28</f>
        <v>64000</v>
      </c>
      <c r="Z29" s="89">
        <f>'23'!K28</f>
        <v>64000</v>
      </c>
      <c r="AA29" s="89">
        <f>'24'!K28</f>
        <v>63000</v>
      </c>
      <c r="AB29" s="89">
        <f>'25'!K28</f>
        <v>63000</v>
      </c>
      <c r="AC29" s="89">
        <f>'26'!K28</f>
        <v>63000</v>
      </c>
      <c r="AD29" s="89">
        <f>'27'!K28</f>
        <v>63285.71429</v>
      </c>
      <c r="AE29" s="89">
        <f>'28'!K28</f>
        <v>63285.71429</v>
      </c>
      <c r="AF29" s="89">
        <f>'29'!K28</f>
        <v>63285.71429</v>
      </c>
      <c r="AG29" s="89">
        <f>'30'!K29</f>
        <v>67142.85714</v>
      </c>
      <c r="AH29" s="89">
        <f>'31'!K29</f>
        <v>64000</v>
      </c>
      <c r="AI29" s="89"/>
      <c r="AJ29" s="89">
        <f t="shared" si="2"/>
        <v>-3166.666667</v>
      </c>
      <c r="AK29" s="103">
        <f t="shared" si="1"/>
        <v>64943.16436</v>
      </c>
    </row>
    <row r="30" ht="15.75" customHeight="1">
      <c r="A30" s="25"/>
      <c r="B30" s="87" t="s">
        <v>49</v>
      </c>
      <c r="C30" s="88" t="s">
        <v>24</v>
      </c>
      <c r="D30" s="89">
        <f>'1'!K29</f>
        <v>24333.33333</v>
      </c>
      <c r="E30" s="89">
        <f>'2'!K29</f>
        <v>24333.33333</v>
      </c>
      <c r="F30" s="89">
        <f>'3'!K29</f>
        <v>24333.33333</v>
      </c>
      <c r="G30" s="89">
        <f>'4'!K29</f>
        <v>24333.33333</v>
      </c>
      <c r="H30" s="89">
        <f>'5'!K29</f>
        <v>24333.33333</v>
      </c>
      <c r="I30" s="89">
        <f>'6'!K29</f>
        <v>24333.33333</v>
      </c>
      <c r="J30" s="89">
        <f>'7'!K29</f>
        <v>24333.33333</v>
      </c>
      <c r="K30" s="89">
        <f>'8'!K29</f>
        <v>24333.33333</v>
      </c>
      <c r="L30" s="89">
        <f>'9'!K29</f>
        <v>24600</v>
      </c>
      <c r="M30" s="89">
        <f>'10'!K29</f>
        <v>24600</v>
      </c>
      <c r="N30" s="89">
        <f>'11'!K29</f>
        <v>24600</v>
      </c>
      <c r="O30" s="89">
        <f>'12'!K29</f>
        <v>24600</v>
      </c>
      <c r="P30" s="89">
        <f>'13'!K29</f>
        <v>24600</v>
      </c>
      <c r="Q30" s="89">
        <f>'14'!K29</f>
        <v>24600</v>
      </c>
      <c r="R30" s="89">
        <f>'15'!K29</f>
        <v>24600</v>
      </c>
      <c r="S30" s="89">
        <f>'16'!K29</f>
        <v>24600</v>
      </c>
      <c r="T30" s="89">
        <f>'17'!K29</f>
        <v>24600</v>
      </c>
      <c r="U30" s="89">
        <f>'18'!K29</f>
        <v>24600</v>
      </c>
      <c r="V30" s="89">
        <f>'19'!K29</f>
        <v>24600</v>
      </c>
      <c r="W30" s="89">
        <f>'20'!K29</f>
        <v>24600</v>
      </c>
      <c r="X30" s="89">
        <f>'21'!K29</f>
        <v>24600</v>
      </c>
      <c r="Y30" s="89">
        <f>'22'!K29</f>
        <v>24600</v>
      </c>
      <c r="Z30" s="89">
        <f>'23'!K29</f>
        <v>24600</v>
      </c>
      <c r="AA30" s="89">
        <f>'24'!K29</f>
        <v>24600</v>
      </c>
      <c r="AB30" s="89">
        <f>'25'!K29</f>
        <v>24600</v>
      </c>
      <c r="AC30" s="89">
        <f>'26'!K29</f>
        <v>24600</v>
      </c>
      <c r="AD30" s="89">
        <f>'27'!K29</f>
        <v>24600</v>
      </c>
      <c r="AE30" s="89">
        <f>'28'!K29</f>
        <v>24600</v>
      </c>
      <c r="AF30" s="89">
        <f>'29'!K29</f>
        <v>24600</v>
      </c>
      <c r="AG30" s="89">
        <f>'30'!K30</f>
        <v>24600</v>
      </c>
      <c r="AH30" s="89">
        <f>'31'!K30</f>
        <v>24600</v>
      </c>
      <c r="AI30" s="89"/>
      <c r="AJ30" s="89">
        <f t="shared" si="2"/>
        <v>266.6666667</v>
      </c>
      <c r="AK30" s="103">
        <f t="shared" si="1"/>
        <v>24531.1828</v>
      </c>
    </row>
    <row r="31" ht="15.75" customHeight="1">
      <c r="A31" s="25"/>
      <c r="B31" s="87" t="s">
        <v>50</v>
      </c>
      <c r="C31" s="88" t="s">
        <v>24</v>
      </c>
      <c r="D31" s="89">
        <f>'1'!K30</f>
        <v>37142.85714</v>
      </c>
      <c r="E31" s="89">
        <f>'2'!K30</f>
        <v>37142.85714</v>
      </c>
      <c r="F31" s="89">
        <f>'3'!K30</f>
        <v>37142.85714</v>
      </c>
      <c r="G31" s="89">
        <f>'4'!K30</f>
        <v>37142.85714</v>
      </c>
      <c r="H31" s="89">
        <f>'5'!K30</f>
        <v>37142.85714</v>
      </c>
      <c r="I31" s="89">
        <f>'6'!K30</f>
        <v>37142.85714</v>
      </c>
      <c r="J31" s="89">
        <f>'7'!K30</f>
        <v>37714.28571</v>
      </c>
      <c r="K31" s="89">
        <f>'8'!K30</f>
        <v>37714.28571</v>
      </c>
      <c r="L31" s="89">
        <f>'9'!K30</f>
        <v>38142.85714</v>
      </c>
      <c r="M31" s="89">
        <f>'10'!K30</f>
        <v>38142.85714</v>
      </c>
      <c r="N31" s="89">
        <f>'11'!K30</f>
        <v>38142.85714</v>
      </c>
      <c r="O31" s="89">
        <f>'12'!K30</f>
        <v>38142.85714</v>
      </c>
      <c r="P31" s="89">
        <f>'13'!K30</f>
        <v>38142.85714</v>
      </c>
      <c r="Q31" s="89">
        <f>'14'!K30</f>
        <v>38142.85714</v>
      </c>
      <c r="R31" s="89">
        <f>'15'!K30</f>
        <v>38714.28571</v>
      </c>
      <c r="S31" s="89">
        <f>'16'!K30</f>
        <v>38714.28571</v>
      </c>
      <c r="T31" s="89">
        <f>'17'!K30</f>
        <v>38857.14286</v>
      </c>
      <c r="U31" s="89">
        <f>'18'!K30</f>
        <v>38857.14286</v>
      </c>
      <c r="V31" s="89">
        <f>'19'!K30</f>
        <v>38857.14286</v>
      </c>
      <c r="W31" s="89">
        <f>'20'!K30</f>
        <v>38857.14286</v>
      </c>
      <c r="X31" s="89">
        <f>'21'!K30</f>
        <v>38857.14286</v>
      </c>
      <c r="Y31" s="89">
        <f>'22'!K30</f>
        <v>38857.14286</v>
      </c>
      <c r="Z31" s="89">
        <f>'23'!K30</f>
        <v>38857.14286</v>
      </c>
      <c r="AA31" s="89">
        <f>'24'!K30</f>
        <v>37857.14286</v>
      </c>
      <c r="AB31" s="89">
        <f>'25'!K30</f>
        <v>37857.14286</v>
      </c>
      <c r="AC31" s="89">
        <f>'26'!K30</f>
        <v>37857.14286</v>
      </c>
      <c r="AD31" s="89">
        <f>'27'!K30</f>
        <v>38714.28571</v>
      </c>
      <c r="AE31" s="89">
        <f>'28'!K30</f>
        <v>38714.28571</v>
      </c>
      <c r="AF31" s="89">
        <f>'29'!K30</f>
        <v>38714.28571</v>
      </c>
      <c r="AG31" s="89">
        <f>'30'!K31</f>
        <v>38428.57143</v>
      </c>
      <c r="AH31" s="89">
        <f>'31'!K31</f>
        <v>38857.14286</v>
      </c>
      <c r="AI31" s="89"/>
      <c r="AJ31" s="89">
        <f t="shared" si="2"/>
        <v>1714.285714</v>
      </c>
      <c r="AK31" s="103">
        <f t="shared" si="1"/>
        <v>38179.7235</v>
      </c>
    </row>
    <row r="32" ht="15.75" customHeight="1">
      <c r="A32" s="71"/>
      <c r="B32" s="87" t="s">
        <v>51</v>
      </c>
      <c r="C32" s="88" t="s">
        <v>24</v>
      </c>
      <c r="D32" s="89">
        <f>'1'!K31</f>
        <v>85000</v>
      </c>
      <c r="E32" s="89">
        <f>'2'!K31</f>
        <v>85000</v>
      </c>
      <c r="F32" s="89">
        <f>'3'!K31</f>
        <v>85000</v>
      </c>
      <c r="G32" s="89">
        <f>'4'!K31</f>
        <v>85000</v>
      </c>
      <c r="H32" s="89">
        <f>'5'!K31</f>
        <v>85000</v>
      </c>
      <c r="I32" s="89">
        <f>'6'!K31</f>
        <v>85000</v>
      </c>
      <c r="J32" s="89">
        <f>'7'!K31</f>
        <v>85000</v>
      </c>
      <c r="K32" s="89">
        <f>'8'!K31</f>
        <v>85000</v>
      </c>
      <c r="L32" s="89">
        <f>'9'!K31</f>
        <v>96666.66667</v>
      </c>
      <c r="M32" s="89">
        <f>'10'!K31</f>
        <v>96666.66667</v>
      </c>
      <c r="N32" s="89">
        <f>'11'!K31</f>
        <v>96666.66667</v>
      </c>
      <c r="O32" s="89">
        <f>'12'!K31</f>
        <v>96666.66667</v>
      </c>
      <c r="P32" s="89">
        <f>'13'!K31</f>
        <v>96666.66667</v>
      </c>
      <c r="Q32" s="89">
        <f>'14'!K31</f>
        <v>96666.66667</v>
      </c>
      <c r="R32" s="89">
        <f>'15'!K31</f>
        <v>96666.66667</v>
      </c>
      <c r="S32" s="89">
        <f>'16'!K31</f>
        <v>96666.66667</v>
      </c>
      <c r="T32" s="89">
        <f>'17'!K31</f>
        <v>96666.66667</v>
      </c>
      <c r="U32" s="89">
        <f>'18'!K31</f>
        <v>96666.66667</v>
      </c>
      <c r="V32" s="89">
        <f>'19'!K31</f>
        <v>96666.66667</v>
      </c>
      <c r="W32" s="89">
        <f>'20'!K31</f>
        <v>96666.66667</v>
      </c>
      <c r="X32" s="89">
        <f>'21'!K31</f>
        <v>96666.66667</v>
      </c>
      <c r="Y32" s="89">
        <f>'22'!K31</f>
        <v>96666.66667</v>
      </c>
      <c r="Z32" s="89">
        <f>'23'!K31</f>
        <v>96666.66667</v>
      </c>
      <c r="AA32" s="89">
        <f>'24'!K31</f>
        <v>96666.66667</v>
      </c>
      <c r="AB32" s="89">
        <f>'25'!K31</f>
        <v>96666.66667</v>
      </c>
      <c r="AC32" s="89">
        <f>'26'!K31</f>
        <v>96666.66667</v>
      </c>
      <c r="AD32" s="89">
        <f>'27'!K31</f>
        <v>96666.66667</v>
      </c>
      <c r="AE32" s="89">
        <f>'28'!K31</f>
        <v>96666.66667</v>
      </c>
      <c r="AF32" s="89">
        <f>'29'!K31</f>
        <v>96666.66667</v>
      </c>
      <c r="AG32" s="89">
        <f>'30'!K32</f>
        <v>103333.3333</v>
      </c>
      <c r="AH32" s="89">
        <f>'31'!K32</f>
        <v>96666.66667</v>
      </c>
      <c r="AI32" s="89"/>
      <c r="AJ32" s="89">
        <f t="shared" si="2"/>
        <v>11666.66667</v>
      </c>
      <c r="AK32" s="103">
        <f t="shared" si="1"/>
        <v>93870.96774</v>
      </c>
    </row>
    <row r="33" ht="15.75" customHeight="1">
      <c r="A33" s="123">
        <v>7.0</v>
      </c>
      <c r="B33" s="125" t="s">
        <v>52</v>
      </c>
      <c r="C33" s="125"/>
      <c r="D33" s="89" t="str">
        <f>'1'!K32</f>
        <v/>
      </c>
      <c r="E33" s="89" t="str">
        <f>'2'!K32</f>
        <v/>
      </c>
      <c r="F33" s="89" t="str">
        <f>'3'!K32</f>
        <v/>
      </c>
      <c r="G33" s="89" t="str">
        <f>'4'!K32</f>
        <v/>
      </c>
      <c r="H33" s="89" t="str">
        <f>'5'!K32</f>
        <v/>
      </c>
      <c r="I33" s="89" t="str">
        <f>'6'!K32</f>
        <v/>
      </c>
      <c r="J33" s="89" t="str">
        <f>'7'!K32</f>
        <v/>
      </c>
      <c r="K33" s="89" t="str">
        <f>'8'!K32</f>
        <v/>
      </c>
      <c r="L33" s="89" t="str">
        <f>'9'!K32</f>
        <v/>
      </c>
      <c r="M33" s="89" t="str">
        <f>'10'!K32</f>
        <v/>
      </c>
      <c r="N33" s="89" t="str">
        <f>'11'!K32</f>
        <v/>
      </c>
      <c r="O33" s="89" t="str">
        <f>'12'!K32</f>
        <v/>
      </c>
      <c r="P33" s="89" t="str">
        <f>'13'!K32</f>
        <v/>
      </c>
      <c r="Q33" s="89" t="str">
        <f>'14'!K32</f>
        <v/>
      </c>
      <c r="R33" s="89" t="str">
        <f>'15'!K32</f>
        <v/>
      </c>
      <c r="S33" s="89" t="str">
        <f>'16'!K32</f>
        <v/>
      </c>
      <c r="T33" s="89" t="str">
        <f>'17'!K32</f>
        <v/>
      </c>
      <c r="U33" s="89" t="str">
        <f>'18'!K32</f>
        <v/>
      </c>
      <c r="V33" s="89" t="str">
        <f>'19'!K32</f>
        <v/>
      </c>
      <c r="W33" s="89" t="str">
        <f>'20'!K32</f>
        <v/>
      </c>
      <c r="X33" s="89" t="str">
        <f>'21'!K32</f>
        <v/>
      </c>
      <c r="Y33" s="89" t="str">
        <f>'22'!K32</f>
        <v/>
      </c>
      <c r="Z33" s="89" t="str">
        <f>'23'!K32</f>
        <v/>
      </c>
      <c r="AA33" s="89" t="str">
        <f>'24'!K32</f>
        <v/>
      </c>
      <c r="AB33" s="89" t="str">
        <f>'25'!K32</f>
        <v/>
      </c>
      <c r="AC33" s="89" t="str">
        <f>'26'!K32</f>
        <v/>
      </c>
      <c r="AD33" s="89" t="str">
        <f>'27'!K32</f>
        <v/>
      </c>
      <c r="AE33" s="89" t="str">
        <f>'28'!K32</f>
        <v/>
      </c>
      <c r="AF33" s="89" t="str">
        <f>'29'!K32</f>
        <v/>
      </c>
      <c r="AG33" s="89" t="str">
        <f>'30'!K33</f>
        <v/>
      </c>
      <c r="AH33" s="89" t="str">
        <f>'31'!K33</f>
        <v/>
      </c>
      <c r="AI33" s="89"/>
      <c r="AJ33" s="89">
        <f t="shared" si="2"/>
        <v>0</v>
      </c>
      <c r="AK33" s="103" t="str">
        <f t="shared" si="1"/>
        <v>#DIV/0!</v>
      </c>
    </row>
    <row r="34" ht="15.75" customHeight="1">
      <c r="A34" s="25"/>
      <c r="B34" s="87" t="s">
        <v>54</v>
      </c>
      <c r="C34" s="88" t="s">
        <v>24</v>
      </c>
      <c r="D34" s="89">
        <f>'1'!K33</f>
        <v>25571.42857</v>
      </c>
      <c r="E34" s="89">
        <f>'2'!K33</f>
        <v>25571.42857</v>
      </c>
      <c r="F34" s="89">
        <f>'3'!K33</f>
        <v>25571.42857</v>
      </c>
      <c r="G34" s="89">
        <f>'4'!K33</f>
        <v>25428.57143</v>
      </c>
      <c r="H34" s="89">
        <f>'5'!K33</f>
        <v>25428.57143</v>
      </c>
      <c r="I34" s="89">
        <f>'6'!K33</f>
        <v>25857.14286</v>
      </c>
      <c r="J34" s="89">
        <f>'7'!K33</f>
        <v>26000</v>
      </c>
      <c r="K34" s="89">
        <f>'8'!K33</f>
        <v>26428.57143</v>
      </c>
      <c r="L34" s="89">
        <f>'9'!K33</f>
        <v>27071.42857</v>
      </c>
      <c r="M34" s="89">
        <f>'10'!K33</f>
        <v>27071.42857</v>
      </c>
      <c r="N34" s="89">
        <f>'11'!K33</f>
        <v>27071.42857</v>
      </c>
      <c r="O34" s="89">
        <f>'12'!K33</f>
        <v>27000</v>
      </c>
      <c r="P34" s="89">
        <f>'13'!K33</f>
        <v>27357.14286</v>
      </c>
      <c r="Q34" s="89">
        <f>'14'!K33</f>
        <v>27571.42857</v>
      </c>
      <c r="R34" s="89">
        <f>'15'!K33</f>
        <v>28142.85714</v>
      </c>
      <c r="S34" s="89">
        <f>'16'!K33</f>
        <v>29000</v>
      </c>
      <c r="T34" s="89">
        <f>'17'!K33</f>
        <v>29142.85714</v>
      </c>
      <c r="U34" s="89">
        <f>'18'!K33</f>
        <v>29285.71429</v>
      </c>
      <c r="V34" s="89">
        <f>'19'!K33</f>
        <v>29428.57143</v>
      </c>
      <c r="W34" s="89">
        <f>'20'!K33</f>
        <v>29428.57143</v>
      </c>
      <c r="X34" s="89">
        <f>'21'!K33</f>
        <v>29428.57143</v>
      </c>
      <c r="Y34" s="89">
        <f>'22'!K33</f>
        <v>29571.42857</v>
      </c>
      <c r="Z34" s="89">
        <f>'23'!K33</f>
        <v>29571.42857</v>
      </c>
      <c r="AA34" s="89">
        <f>'24'!K33</f>
        <v>29714.28571</v>
      </c>
      <c r="AB34" s="89">
        <f>'25'!K33</f>
        <v>29571.42857</v>
      </c>
      <c r="AC34" s="89">
        <f>'26'!K33</f>
        <v>29571.42857</v>
      </c>
      <c r="AD34" s="89">
        <f>'27'!K33</f>
        <v>29357.14286</v>
      </c>
      <c r="AE34" s="89">
        <f>'28'!K33</f>
        <v>29357.14286</v>
      </c>
      <c r="AF34" s="89">
        <f>'29'!K33</f>
        <v>29357.14286</v>
      </c>
      <c r="AG34" s="89">
        <f>'30'!K34</f>
        <v>27142.85714</v>
      </c>
      <c r="AH34" s="89">
        <f>'31'!K34</f>
        <v>28785.71429</v>
      </c>
      <c r="AI34" s="89">
        <v>27000.0</v>
      </c>
      <c r="AJ34" s="89">
        <f t="shared" si="2"/>
        <v>3214.285714</v>
      </c>
      <c r="AK34" s="103">
        <f t="shared" si="1"/>
        <v>27898.61751</v>
      </c>
    </row>
    <row r="35" ht="15.75" customHeight="1">
      <c r="A35" s="71"/>
      <c r="B35" s="87" t="s">
        <v>55</v>
      </c>
      <c r="C35" s="88" t="s">
        <v>56</v>
      </c>
      <c r="D35" s="89">
        <f>'1'!K34</f>
        <v>2357.142857</v>
      </c>
      <c r="E35" s="89">
        <f>'2'!K34</f>
        <v>2357.142857</v>
      </c>
      <c r="F35" s="89">
        <f>'3'!K34</f>
        <v>2357.142857</v>
      </c>
      <c r="G35" s="89">
        <f>'4'!K34</f>
        <v>2357.142857</v>
      </c>
      <c r="H35" s="89">
        <f>'5'!K34</f>
        <v>2357.142857</v>
      </c>
      <c r="I35" s="89">
        <f>'6'!K34</f>
        <v>2357.142857</v>
      </c>
      <c r="J35" s="89">
        <f>'7'!K34</f>
        <v>2357.142857</v>
      </c>
      <c r="K35" s="89">
        <f>'8'!K34</f>
        <v>2314.285714</v>
      </c>
      <c r="L35" s="89">
        <f>'9'!K34</f>
        <v>2385.714286</v>
      </c>
      <c r="M35" s="89">
        <f>'10'!K34</f>
        <v>2385.714286</v>
      </c>
      <c r="N35" s="89">
        <f>'11'!K34</f>
        <v>2385.714286</v>
      </c>
      <c r="O35" s="89">
        <f>'12'!K34</f>
        <v>2385.714286</v>
      </c>
      <c r="P35" s="89">
        <f>'13'!K34</f>
        <v>2385.714286</v>
      </c>
      <c r="Q35" s="89">
        <f>'14'!K34</f>
        <v>2385.714286</v>
      </c>
      <c r="R35" s="89">
        <f>'15'!K34</f>
        <v>2385.714286</v>
      </c>
      <c r="S35" s="89">
        <f>'16'!K34</f>
        <v>2385.714286</v>
      </c>
      <c r="T35" s="89">
        <f>'17'!K34</f>
        <v>2385.714286</v>
      </c>
      <c r="U35" s="89">
        <f>'18'!K34</f>
        <v>2385.714286</v>
      </c>
      <c r="V35" s="89">
        <f>'19'!K34</f>
        <v>2428.571429</v>
      </c>
      <c r="W35" s="89">
        <f>'20'!K34</f>
        <v>2428.571429</v>
      </c>
      <c r="X35" s="89">
        <f>'21'!K34</f>
        <v>2428.571429</v>
      </c>
      <c r="Y35" s="89">
        <f>'22'!K34</f>
        <v>2428.571429</v>
      </c>
      <c r="Z35" s="89">
        <f>'23'!K34</f>
        <v>2428.571429</v>
      </c>
      <c r="AA35" s="89">
        <f>'24'!K34</f>
        <v>2428.571429</v>
      </c>
      <c r="AB35" s="89">
        <f>'25'!K34</f>
        <v>2500</v>
      </c>
      <c r="AC35" s="89">
        <f>'26'!K34</f>
        <v>2500</v>
      </c>
      <c r="AD35" s="89">
        <f>'27'!K34</f>
        <v>2500</v>
      </c>
      <c r="AE35" s="89">
        <f>'28'!K34</f>
        <v>2500</v>
      </c>
      <c r="AF35" s="89">
        <f>'29'!K34</f>
        <v>2500</v>
      </c>
      <c r="AG35" s="89">
        <f>'30'!K35</f>
        <v>2385.714286</v>
      </c>
      <c r="AH35" s="89">
        <f>'31'!K35</f>
        <v>2500</v>
      </c>
      <c r="AI35" s="89"/>
      <c r="AJ35" s="89">
        <f t="shared" si="2"/>
        <v>142.8571429</v>
      </c>
      <c r="AK35" s="103">
        <f t="shared" si="1"/>
        <v>2407.373272</v>
      </c>
    </row>
    <row r="36" ht="15.75" customHeight="1">
      <c r="A36" s="145">
        <v>8.0</v>
      </c>
      <c r="B36" s="125" t="s">
        <v>122</v>
      </c>
      <c r="C36" s="150"/>
      <c r="D36" s="89"/>
      <c r="E36" s="89"/>
      <c r="F36" s="89"/>
      <c r="G36" s="89"/>
      <c r="H36" s="89"/>
      <c r="I36" s="89" t="str">
        <f>'6'!K35</f>
        <v/>
      </c>
      <c r="J36" s="89" t="str">
        <f>'7'!K35</f>
        <v/>
      </c>
      <c r="K36" s="89" t="str">
        <f>'8'!K35</f>
        <v/>
      </c>
      <c r="L36" s="89" t="str">
        <f>'9'!K35</f>
        <v/>
      </c>
      <c r="M36" s="89" t="str">
        <f>'10'!K35</f>
        <v/>
      </c>
      <c r="N36" s="89" t="str">
        <f>'11'!K35</f>
        <v/>
      </c>
      <c r="O36" s="89" t="str">
        <f>'12'!K35</f>
        <v/>
      </c>
      <c r="P36" s="89" t="str">
        <f>'13'!K35</f>
        <v/>
      </c>
      <c r="Q36" s="89" t="str">
        <f>'14'!K35</f>
        <v/>
      </c>
      <c r="R36" s="89" t="str">
        <f>'15'!K35</f>
        <v/>
      </c>
      <c r="S36" s="89" t="str">
        <f>'16'!K35</f>
        <v/>
      </c>
      <c r="T36" s="89" t="str">
        <f>'17'!K35</f>
        <v/>
      </c>
      <c r="U36" s="89" t="str">
        <f>'18'!K35</f>
        <v/>
      </c>
      <c r="V36" s="89" t="str">
        <f>'19'!K35</f>
        <v/>
      </c>
      <c r="W36" s="89" t="str">
        <f>'20'!K35</f>
        <v/>
      </c>
      <c r="X36" s="89" t="str">
        <f>'21'!K35</f>
        <v/>
      </c>
      <c r="Y36" s="89" t="str">
        <f>'22'!K35</f>
        <v/>
      </c>
      <c r="Z36" s="89" t="str">
        <f>'23'!K35</f>
        <v/>
      </c>
      <c r="AA36" s="89" t="str">
        <f>'24'!K35</f>
        <v/>
      </c>
      <c r="AB36" s="89" t="str">
        <f>'25'!K35</f>
        <v/>
      </c>
      <c r="AC36" s="89" t="str">
        <f>'26'!K35</f>
        <v/>
      </c>
      <c r="AD36" s="89" t="str">
        <f>'27'!K35</f>
        <v/>
      </c>
      <c r="AE36" s="89" t="str">
        <f>'28'!K35</f>
        <v/>
      </c>
      <c r="AF36" s="89" t="str">
        <f>'29'!K35</f>
        <v/>
      </c>
      <c r="AG36" s="89" t="str">
        <f>'30'!K36</f>
        <v/>
      </c>
      <c r="AH36" s="89" t="str">
        <f>'31'!K36</f>
        <v/>
      </c>
      <c r="AI36" s="89"/>
      <c r="AJ36" s="89"/>
      <c r="AK36" s="103" t="str">
        <f t="shared" si="1"/>
        <v>#DIV/0!</v>
      </c>
    </row>
    <row r="37" ht="15.75" customHeight="1">
      <c r="A37" s="145"/>
      <c r="B37" s="87" t="s">
        <v>123</v>
      </c>
      <c r="C37" s="88" t="s">
        <v>24</v>
      </c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>
        <f>'29'!K36</f>
        <v>11142.85714</v>
      </c>
      <c r="AG37" s="89">
        <f>'30'!K37</f>
        <v>11142.85714</v>
      </c>
      <c r="AH37" s="89">
        <f>'31'!K37</f>
        <v>11142.85714</v>
      </c>
      <c r="AI37" s="89"/>
      <c r="AJ37" s="89"/>
      <c r="AK37" s="103">
        <f t="shared" si="1"/>
        <v>11142.85714</v>
      </c>
    </row>
    <row r="38" ht="15.75" customHeight="1">
      <c r="A38" s="145"/>
      <c r="B38" s="87" t="s">
        <v>124</v>
      </c>
      <c r="C38" s="88" t="s">
        <v>24</v>
      </c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>
        <f>'29'!K37</f>
        <v>12200</v>
      </c>
      <c r="AG38" s="89">
        <f>'30'!K38</f>
        <v>12400</v>
      </c>
      <c r="AH38" s="89">
        <f>'31'!K38</f>
        <v>12200</v>
      </c>
      <c r="AI38" s="89"/>
      <c r="AJ38" s="89"/>
      <c r="AK38" s="103">
        <f t="shared" si="1"/>
        <v>12266.66667</v>
      </c>
    </row>
    <row r="39" ht="15.75" customHeight="1">
      <c r="A39" s="145">
        <v>9.0</v>
      </c>
      <c r="B39" s="125" t="s">
        <v>125</v>
      </c>
      <c r="C39" s="150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 t="str">
        <f>'29'!K38</f>
        <v/>
      </c>
      <c r="AG39" s="89" t="str">
        <f>'30'!K39</f>
        <v/>
      </c>
      <c r="AH39" s="89" t="str">
        <f>'31'!K39</f>
        <v/>
      </c>
      <c r="AI39" s="89"/>
      <c r="AJ39" s="89"/>
      <c r="AK39" s="103" t="str">
        <f t="shared" si="1"/>
        <v>#DIV/0!</v>
      </c>
    </row>
    <row r="40" ht="15.75" customHeight="1">
      <c r="A40" s="145"/>
      <c r="B40" s="87" t="s">
        <v>126</v>
      </c>
      <c r="C40" s="88" t="s">
        <v>24</v>
      </c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>
        <f>'29'!K39</f>
        <v>15600</v>
      </c>
      <c r="AG40" s="89">
        <f>'30'!K40</f>
        <v>15600</v>
      </c>
      <c r="AH40" s="89">
        <f>'31'!K40</f>
        <v>15600</v>
      </c>
      <c r="AI40" s="89"/>
      <c r="AJ40" s="89"/>
      <c r="AK40" s="103">
        <f t="shared" si="1"/>
        <v>15600</v>
      </c>
    </row>
    <row r="41" ht="15.75" customHeight="1">
      <c r="A41" s="145"/>
      <c r="B41" s="87" t="s">
        <v>127</v>
      </c>
      <c r="C41" s="88" t="s">
        <v>24</v>
      </c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>
        <f>'29'!K40</f>
        <v>6833.333333</v>
      </c>
      <c r="AG41" s="89">
        <f>'30'!K41</f>
        <v>6833.333333</v>
      </c>
      <c r="AH41" s="89">
        <f>'31'!K41</f>
        <v>6833.333333</v>
      </c>
      <c r="AI41" s="89"/>
      <c r="AJ41" s="89"/>
      <c r="AK41" s="103">
        <f t="shared" si="1"/>
        <v>6833.333333</v>
      </c>
    </row>
    <row r="42" ht="15.75" customHeight="1">
      <c r="A42" s="145"/>
      <c r="B42" s="87" t="s">
        <v>128</v>
      </c>
      <c r="C42" s="88" t="s">
        <v>24</v>
      </c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>
        <f>'29'!K41</f>
        <v>2000</v>
      </c>
      <c r="AG42" s="89">
        <f>'30'!K42</f>
        <v>2000</v>
      </c>
      <c r="AH42" s="89">
        <f>'31'!K42</f>
        <v>2000</v>
      </c>
      <c r="AI42" s="89"/>
      <c r="AJ42" s="89"/>
      <c r="AK42" s="103">
        <f t="shared" si="1"/>
        <v>2000</v>
      </c>
    </row>
    <row r="43" ht="15.75" customHeight="1">
      <c r="A43" s="123">
        <v>10.0</v>
      </c>
      <c r="B43" s="125" t="s">
        <v>61</v>
      </c>
      <c r="C43" s="125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 t="str">
        <f>'29'!K42</f>
        <v/>
      </c>
      <c r="AG43" s="89" t="str">
        <f>'30'!K43</f>
        <v/>
      </c>
      <c r="AH43" s="89" t="str">
        <f>'31'!K43</f>
        <v/>
      </c>
      <c r="AI43" s="89"/>
      <c r="AJ43" s="89"/>
      <c r="AK43" s="103" t="str">
        <f t="shared" si="1"/>
        <v>#DIV/0!</v>
      </c>
    </row>
    <row r="44" ht="15.75" customHeight="1">
      <c r="A44" s="25"/>
      <c r="B44" s="87" t="s">
        <v>62</v>
      </c>
      <c r="C44" s="88" t="s">
        <v>129</v>
      </c>
      <c r="D44" s="89">
        <f>'1'!K39</f>
        <v>11416.66667</v>
      </c>
      <c r="E44" s="89">
        <f>'2'!K39</f>
        <v>11416.66667</v>
      </c>
      <c r="F44" s="89">
        <f>'3'!K39</f>
        <v>11416.66667</v>
      </c>
      <c r="G44" s="89">
        <f>'4'!K39</f>
        <v>11416.66667</v>
      </c>
      <c r="H44" s="89">
        <f>'5'!K39</f>
        <v>11416.66667</v>
      </c>
      <c r="I44" s="89">
        <f>'6'!K39</f>
        <v>11416.66667</v>
      </c>
      <c r="J44" s="89">
        <f>'7'!K39</f>
        <v>11416.66667</v>
      </c>
      <c r="K44" s="89">
        <f>'8'!K39</f>
        <v>11416.66667</v>
      </c>
      <c r="L44" s="89">
        <f>'9'!K43</f>
        <v>11916.66667</v>
      </c>
      <c r="M44" s="89">
        <f>'10'!K43</f>
        <v>11916.66667</v>
      </c>
      <c r="N44" s="89">
        <f>'11'!K43</f>
        <v>11916.66667</v>
      </c>
      <c r="O44" s="89">
        <f>'12'!K43</f>
        <v>11916.66667</v>
      </c>
      <c r="P44" s="89">
        <f>'13'!K43</f>
        <v>11916.66667</v>
      </c>
      <c r="Q44" s="89">
        <f>'14'!K43</f>
        <v>11916.66667</v>
      </c>
      <c r="R44" s="89">
        <f>'15'!K43</f>
        <v>12333.33333</v>
      </c>
      <c r="S44" s="89">
        <f>'16'!K43</f>
        <v>12333.33333</v>
      </c>
      <c r="T44" s="89">
        <f>'17'!K43</f>
        <v>12333.33333</v>
      </c>
      <c r="U44" s="89">
        <f>'17'!K43</f>
        <v>12333.33333</v>
      </c>
      <c r="V44" s="89">
        <f>'19'!K43</f>
        <v>12333.33333</v>
      </c>
      <c r="W44" s="89">
        <f>'20'!K43</f>
        <v>12333.33333</v>
      </c>
      <c r="X44" s="89">
        <f>'21'!K43</f>
        <v>12333.33333</v>
      </c>
      <c r="Y44" s="89">
        <f>'22'!K43</f>
        <v>12333.33333</v>
      </c>
      <c r="Z44" s="89">
        <f>'23'!K43</f>
        <v>12333.33333</v>
      </c>
      <c r="AA44" s="89">
        <f>'24'!K46</f>
        <v>19250</v>
      </c>
      <c r="AB44" s="89">
        <f>'25'!K43</f>
        <v>12333.33333</v>
      </c>
      <c r="AC44" s="89">
        <f>'26'!K43</f>
        <v>12333.33333</v>
      </c>
      <c r="AD44" s="89">
        <f>'27'!K43</f>
        <v>12333.33333</v>
      </c>
      <c r="AE44" s="89">
        <f>'28'!K43</f>
        <v>12333.33333</v>
      </c>
      <c r="AF44" s="89">
        <f>'29'!K43</f>
        <v>12333.33333</v>
      </c>
      <c r="AG44" s="89">
        <f>'30'!K44</f>
        <v>12333.33333</v>
      </c>
      <c r="AH44" s="89">
        <f>'31'!K44</f>
        <v>12333.33333</v>
      </c>
      <c r="AI44" s="89"/>
      <c r="AJ44" s="89">
        <f t="shared" ref="AJ44:AJ88" si="3">AH44-D44</f>
        <v>916.6666667</v>
      </c>
      <c r="AK44" s="103">
        <f t="shared" si="1"/>
        <v>12239.24731</v>
      </c>
    </row>
    <row r="45" ht="15.75" customHeight="1">
      <c r="A45" s="71"/>
      <c r="B45" s="87" t="s">
        <v>130</v>
      </c>
      <c r="C45" s="88" t="s">
        <v>131</v>
      </c>
      <c r="D45" s="89">
        <f>'1'!K40</f>
        <v>40200</v>
      </c>
      <c r="E45" s="89">
        <f>'2'!K40</f>
        <v>40200</v>
      </c>
      <c r="F45" s="89">
        <f>'3'!K40</f>
        <v>40200</v>
      </c>
      <c r="G45" s="89">
        <f>'4'!K40</f>
        <v>40200</v>
      </c>
      <c r="H45" s="89">
        <f>'5'!K40</f>
        <v>40200</v>
      </c>
      <c r="I45" s="89">
        <f>'6'!K40</f>
        <v>40200</v>
      </c>
      <c r="J45" s="89">
        <f>'7'!K40</f>
        <v>40200</v>
      </c>
      <c r="K45" s="89">
        <f>'8'!K40</f>
        <v>40200</v>
      </c>
      <c r="L45" s="89">
        <f>'9'!K44</f>
        <v>40200</v>
      </c>
      <c r="M45" s="89">
        <f>'10'!K44</f>
        <v>40200</v>
      </c>
      <c r="N45" s="89">
        <f>'11'!K44</f>
        <v>40200</v>
      </c>
      <c r="O45" s="89">
        <f>'12'!K44</f>
        <v>40200</v>
      </c>
      <c r="P45" s="89">
        <f>'13'!K44</f>
        <v>40200</v>
      </c>
      <c r="Q45" s="89">
        <f>'14'!K44</f>
        <v>40200</v>
      </c>
      <c r="R45" s="89">
        <f>'15'!K44</f>
        <v>40200</v>
      </c>
      <c r="S45" s="89">
        <f>'16'!K44</f>
        <v>40200</v>
      </c>
      <c r="T45" s="89">
        <f>'17'!K44</f>
        <v>40200</v>
      </c>
      <c r="U45" s="89">
        <f>'17'!K44</f>
        <v>40200</v>
      </c>
      <c r="V45" s="89">
        <f>'19'!K44</f>
        <v>40200</v>
      </c>
      <c r="W45" s="89">
        <f>'20'!K44</f>
        <v>40200</v>
      </c>
      <c r="X45" s="89">
        <f>'21'!K44</f>
        <v>40200</v>
      </c>
      <c r="Y45" s="89">
        <f>'22'!K44</f>
        <v>40200</v>
      </c>
      <c r="Z45" s="89">
        <f>'23'!K44</f>
        <v>40200</v>
      </c>
      <c r="AA45" s="89">
        <f>'24'!K47</f>
        <v>2000</v>
      </c>
      <c r="AB45" s="89">
        <f>'25'!K44</f>
        <v>12500</v>
      </c>
      <c r="AC45" s="89">
        <f>'26'!K44</f>
        <v>12500</v>
      </c>
      <c r="AD45" s="89">
        <f>'27'!K44</f>
        <v>12500</v>
      </c>
      <c r="AE45" s="89">
        <f>'28'!K44</f>
        <v>12500</v>
      </c>
      <c r="AF45" s="89">
        <f>'29'!K44</f>
        <v>12500</v>
      </c>
      <c r="AG45" s="89">
        <f>'30'!K45</f>
        <v>12500</v>
      </c>
      <c r="AH45" s="89">
        <f>'31'!K45</f>
        <v>12500</v>
      </c>
      <c r="AI45" s="89"/>
      <c r="AJ45" s="89">
        <f t="shared" si="3"/>
        <v>-27700</v>
      </c>
      <c r="AK45" s="103">
        <f t="shared" si="1"/>
        <v>32712.90323</v>
      </c>
    </row>
    <row r="46" ht="15.75" customHeight="1">
      <c r="A46" s="123">
        <v>11.0</v>
      </c>
      <c r="B46" s="125" t="s">
        <v>66</v>
      </c>
      <c r="C46" s="125"/>
      <c r="D46" s="89" t="str">
        <f>'1'!K41</f>
        <v/>
      </c>
      <c r="E46" s="89" t="str">
        <f>'2'!K41</f>
        <v/>
      </c>
      <c r="F46" s="89" t="str">
        <f>'3'!K41</f>
        <v/>
      </c>
      <c r="G46" s="89" t="str">
        <f>'4'!K41</f>
        <v/>
      </c>
      <c r="H46" s="89" t="str">
        <f>'5'!K41</f>
        <v/>
      </c>
      <c r="I46" s="89" t="str">
        <f>'6'!K41</f>
        <v/>
      </c>
      <c r="J46" s="89" t="str">
        <f>'7'!K41</f>
        <v/>
      </c>
      <c r="K46" s="89" t="str">
        <f>'8'!K41</f>
        <v/>
      </c>
      <c r="L46" s="89" t="str">
        <f>'9'!K45</f>
        <v/>
      </c>
      <c r="M46" s="89" t="str">
        <f>'10'!K45</f>
        <v/>
      </c>
      <c r="N46" s="89" t="str">
        <f>'11'!K45</f>
        <v/>
      </c>
      <c r="O46" s="89" t="str">
        <f>'12'!K45</f>
        <v/>
      </c>
      <c r="P46" s="89" t="str">
        <f>'13'!K45</f>
        <v/>
      </c>
      <c r="Q46" s="89" t="str">
        <f>'14'!K45</f>
        <v/>
      </c>
      <c r="R46" s="89" t="str">
        <f>'15'!K45</f>
        <v/>
      </c>
      <c r="S46" s="89" t="str">
        <f>'16'!K45</f>
        <v/>
      </c>
      <c r="T46" s="89" t="str">
        <f>'17'!K45</f>
        <v/>
      </c>
      <c r="U46" s="89" t="str">
        <f>'17'!K45</f>
        <v/>
      </c>
      <c r="V46" s="89" t="str">
        <f>'19'!K45</f>
        <v/>
      </c>
      <c r="W46" s="89" t="str">
        <f>'20'!K45</f>
        <v/>
      </c>
      <c r="X46" s="89" t="str">
        <f>'21'!K45</f>
        <v/>
      </c>
      <c r="Y46" s="89" t="str">
        <f>'22'!K45</f>
        <v/>
      </c>
      <c r="Z46" s="89" t="str">
        <f>'23'!K45</f>
        <v/>
      </c>
      <c r="AA46" s="89" t="str">
        <f>'24'!K48</f>
        <v/>
      </c>
      <c r="AB46" s="89" t="str">
        <f>'25'!K45</f>
        <v/>
      </c>
      <c r="AC46" s="89" t="str">
        <f>'26'!K45</f>
        <v/>
      </c>
      <c r="AD46" s="89" t="str">
        <f>'27'!K45</f>
        <v/>
      </c>
      <c r="AE46" s="89" t="str">
        <f>'28'!K45</f>
        <v/>
      </c>
      <c r="AF46" s="89" t="str">
        <f>'29'!K45</f>
        <v/>
      </c>
      <c r="AG46" s="89" t="str">
        <f>'30'!K46</f>
        <v/>
      </c>
      <c r="AH46" s="89" t="str">
        <f>'31'!K46</f>
        <v/>
      </c>
      <c r="AI46" s="89"/>
      <c r="AJ46" s="89">
        <f t="shared" si="3"/>
        <v>0</v>
      </c>
      <c r="AK46" s="103" t="str">
        <f t="shared" si="1"/>
        <v>#DIV/0!</v>
      </c>
    </row>
    <row r="47" ht="15.75" customHeight="1">
      <c r="A47" s="25"/>
      <c r="B47" s="87" t="s">
        <v>67</v>
      </c>
      <c r="C47" s="88" t="s">
        <v>68</v>
      </c>
      <c r="D47" s="89">
        <f>'1'!K42</f>
        <v>18666.66667</v>
      </c>
      <c r="E47" s="89">
        <f>'2'!K42</f>
        <v>18666.66667</v>
      </c>
      <c r="F47" s="89">
        <f>'3'!K42</f>
        <v>18666.66667</v>
      </c>
      <c r="G47" s="89">
        <f>'4'!K42</f>
        <v>18666.66667</v>
      </c>
      <c r="H47" s="89">
        <f>'5'!K42</f>
        <v>18666.66667</v>
      </c>
      <c r="I47" s="89">
        <f>'6'!K42</f>
        <v>18666.66667</v>
      </c>
      <c r="J47" s="89">
        <f>'7'!K42</f>
        <v>18666.66667</v>
      </c>
      <c r="K47" s="89">
        <f>'8'!K42</f>
        <v>18666.66667</v>
      </c>
      <c r="L47" s="89">
        <f>'9'!K46</f>
        <v>18666.66667</v>
      </c>
      <c r="M47" s="89">
        <f>'10'!K46</f>
        <v>18666.66667</v>
      </c>
      <c r="N47" s="89">
        <f>'11'!K46</f>
        <v>18666.66667</v>
      </c>
      <c r="O47" s="89">
        <f>'12'!K46</f>
        <v>18666.66667</v>
      </c>
      <c r="P47" s="89">
        <f>'13'!K46</f>
        <v>18666.66667</v>
      </c>
      <c r="Q47" s="89">
        <f>'14'!K46</f>
        <v>18666.66667</v>
      </c>
      <c r="R47" s="89">
        <f>'15'!K46</f>
        <v>18666.66667</v>
      </c>
      <c r="S47" s="89">
        <f>'16'!K46</f>
        <v>18666.66667</v>
      </c>
      <c r="T47" s="89">
        <f>'17'!K46</f>
        <v>18666.66667</v>
      </c>
      <c r="U47" s="89">
        <f>'17'!K46</f>
        <v>18666.66667</v>
      </c>
      <c r="V47" s="89">
        <f>'19'!K46</f>
        <v>18666.66667</v>
      </c>
      <c r="W47" s="89">
        <f>'20'!K46</f>
        <v>18666.66667</v>
      </c>
      <c r="X47" s="89">
        <f>'21'!K46</f>
        <v>18666.66667</v>
      </c>
      <c r="Y47" s="89">
        <f>'22'!K46</f>
        <v>18666.66667</v>
      </c>
      <c r="Z47" s="89">
        <f>'23'!K46</f>
        <v>18666.66667</v>
      </c>
      <c r="AA47" s="89">
        <f>'24'!K49</f>
        <v>9285.714286</v>
      </c>
      <c r="AB47" s="89">
        <f>'25'!K46</f>
        <v>17500</v>
      </c>
      <c r="AC47" s="89">
        <f>'26'!K46</f>
        <v>17500</v>
      </c>
      <c r="AD47" s="89">
        <f>'27'!K46</f>
        <v>17500</v>
      </c>
      <c r="AE47" s="89">
        <f>'28'!K46</f>
        <v>17500</v>
      </c>
      <c r="AF47" s="89">
        <f>'29'!K46</f>
        <v>17500</v>
      </c>
      <c r="AG47" s="89">
        <f>'30'!K47</f>
        <v>17500</v>
      </c>
      <c r="AH47" s="89">
        <f>'31'!K47</f>
        <v>17500</v>
      </c>
      <c r="AI47" s="89"/>
      <c r="AJ47" s="89">
        <f t="shared" si="3"/>
        <v>-1166.666667</v>
      </c>
      <c r="AK47" s="103">
        <f t="shared" si="1"/>
        <v>18100.61444</v>
      </c>
    </row>
    <row r="48" ht="15.75" customHeight="1">
      <c r="A48" s="139"/>
      <c r="B48" s="87" t="s">
        <v>69</v>
      </c>
      <c r="C48" s="88" t="s">
        <v>70</v>
      </c>
      <c r="D48" s="89">
        <f>'1'!K43</f>
        <v>2000</v>
      </c>
      <c r="E48" s="89">
        <f>'2'!K43</f>
        <v>2000</v>
      </c>
      <c r="F48" s="89">
        <f>'3'!K43</f>
        <v>2000</v>
      </c>
      <c r="G48" s="89">
        <f>'4'!K43</f>
        <v>2000</v>
      </c>
      <c r="H48" s="89">
        <f>'5'!K43</f>
        <v>2000</v>
      </c>
      <c r="I48" s="89">
        <f>'6'!K43</f>
        <v>2000</v>
      </c>
      <c r="J48" s="89">
        <f>'7'!K43</f>
        <v>2000</v>
      </c>
      <c r="K48" s="89">
        <f>'8'!K43</f>
        <v>2000</v>
      </c>
      <c r="L48" s="89">
        <f>'9'!K47</f>
        <v>2000</v>
      </c>
      <c r="M48" s="89">
        <f>'10'!K47</f>
        <v>2000</v>
      </c>
      <c r="N48" s="89">
        <f>'11'!K47</f>
        <v>2000</v>
      </c>
      <c r="O48" s="89">
        <f>'12'!K47</f>
        <v>2000</v>
      </c>
      <c r="P48" s="89">
        <f>'13'!K47</f>
        <v>2000</v>
      </c>
      <c r="Q48" s="89">
        <f>'14'!K47</f>
        <v>2000</v>
      </c>
      <c r="R48" s="89">
        <f>'15'!K47</f>
        <v>2000</v>
      </c>
      <c r="S48" s="89">
        <f>'16'!K47</f>
        <v>2000</v>
      </c>
      <c r="T48" s="89">
        <f>'17'!K47</f>
        <v>2000</v>
      </c>
      <c r="U48" s="89">
        <f>'17'!K47</f>
        <v>2000</v>
      </c>
      <c r="V48" s="89">
        <f>'19'!K47</f>
        <v>2000</v>
      </c>
      <c r="W48" s="89">
        <f>'20'!K47</f>
        <v>2000</v>
      </c>
      <c r="X48" s="89">
        <f>'21'!K47</f>
        <v>2000</v>
      </c>
      <c r="Y48" s="89">
        <f>'22'!K47</f>
        <v>2000</v>
      </c>
      <c r="Z48" s="89">
        <f>'23'!K47</f>
        <v>2000</v>
      </c>
      <c r="AA48" s="89">
        <f>'24'!K50</f>
        <v>8166.666667</v>
      </c>
      <c r="AB48" s="89">
        <f>'25'!K47</f>
        <v>2000</v>
      </c>
      <c r="AC48" s="89">
        <f>'26'!K47</f>
        <v>2000</v>
      </c>
      <c r="AD48" s="89">
        <f>'27'!K47</f>
        <v>2000</v>
      </c>
      <c r="AE48" s="89">
        <f>'28'!K47</f>
        <v>2000</v>
      </c>
      <c r="AF48" s="89">
        <f>'29'!K47</f>
        <v>2000</v>
      </c>
      <c r="AG48" s="89">
        <f>'30'!K48</f>
        <v>2000</v>
      </c>
      <c r="AH48" s="89">
        <f>'31'!K48</f>
        <v>2000</v>
      </c>
      <c r="AI48" s="89"/>
      <c r="AJ48" s="89">
        <f t="shared" si="3"/>
        <v>0</v>
      </c>
      <c r="AK48" s="103">
        <f t="shared" si="1"/>
        <v>2198.924731</v>
      </c>
    </row>
    <row r="49" ht="15.75" customHeight="1">
      <c r="A49" s="145">
        <v>12.0</v>
      </c>
      <c r="B49" s="151" t="s">
        <v>71</v>
      </c>
      <c r="C49" s="150"/>
      <c r="D49" s="89" t="str">
        <f>'1'!K44</f>
        <v/>
      </c>
      <c r="E49" s="89" t="str">
        <f>'2'!K44</f>
        <v/>
      </c>
      <c r="F49" s="89" t="str">
        <f>'3'!K44</f>
        <v/>
      </c>
      <c r="G49" s="89" t="str">
        <f>'4'!K44</f>
        <v/>
      </c>
      <c r="H49" s="89" t="str">
        <f>'5'!K44</f>
        <v/>
      </c>
      <c r="I49" s="89" t="str">
        <f>'6'!K44</f>
        <v/>
      </c>
      <c r="J49" s="89" t="str">
        <f>'7'!K44</f>
        <v/>
      </c>
      <c r="K49" s="89" t="str">
        <f>'8'!K44</f>
        <v/>
      </c>
      <c r="L49" s="89" t="str">
        <f>'9'!K48</f>
        <v/>
      </c>
      <c r="M49" s="89" t="str">
        <f>'10'!K48</f>
        <v/>
      </c>
      <c r="N49" s="89" t="str">
        <f>'11'!K48</f>
        <v/>
      </c>
      <c r="O49" s="89" t="str">
        <f>'12'!K48</f>
        <v/>
      </c>
      <c r="P49" s="89" t="str">
        <f>'13'!K48</f>
        <v/>
      </c>
      <c r="Q49" s="89" t="str">
        <f>'14'!K48</f>
        <v/>
      </c>
      <c r="R49" s="89" t="str">
        <f>'15'!K48</f>
        <v/>
      </c>
      <c r="S49" s="89" t="str">
        <f>'16'!K48</f>
        <v/>
      </c>
      <c r="T49" s="89" t="str">
        <f>'17'!K48</f>
        <v/>
      </c>
      <c r="U49" s="89" t="str">
        <f>'17'!K48</f>
        <v/>
      </c>
      <c r="V49" s="89" t="str">
        <f>'19'!K48</f>
        <v/>
      </c>
      <c r="W49" s="89" t="str">
        <f>'20'!K48</f>
        <v/>
      </c>
      <c r="X49" s="89" t="str">
        <f>'21'!K48</f>
        <v/>
      </c>
      <c r="Y49" s="89" t="str">
        <f>'22'!K48</f>
        <v/>
      </c>
      <c r="Z49" s="89" t="str">
        <f>'23'!K48</f>
        <v/>
      </c>
      <c r="AA49" s="89" t="str">
        <f>'24'!K51</f>
        <v/>
      </c>
      <c r="AB49" s="89" t="str">
        <f>'25'!K48</f>
        <v/>
      </c>
      <c r="AC49" s="89" t="str">
        <f>'26'!K48</f>
        <v/>
      </c>
      <c r="AD49" s="89" t="str">
        <f>'27'!K48</f>
        <v/>
      </c>
      <c r="AE49" s="89" t="str">
        <f>'28'!K48</f>
        <v/>
      </c>
      <c r="AF49" s="89" t="str">
        <f>'29'!K48</f>
        <v/>
      </c>
      <c r="AG49" s="89" t="str">
        <f>'30'!K49</f>
        <v/>
      </c>
      <c r="AH49" s="89" t="str">
        <f>'31'!K49</f>
        <v/>
      </c>
      <c r="AI49" s="89"/>
      <c r="AJ49" s="89">
        <f t="shared" si="3"/>
        <v>0</v>
      </c>
      <c r="AK49" s="103" t="str">
        <f t="shared" si="1"/>
        <v>#DIV/0!</v>
      </c>
    </row>
    <row r="50" ht="15.75" customHeight="1">
      <c r="A50" s="145"/>
      <c r="B50" s="87" t="s">
        <v>72</v>
      </c>
      <c r="C50" s="88" t="s">
        <v>24</v>
      </c>
      <c r="D50" s="89">
        <f>'1'!K45</f>
        <v>9166.666667</v>
      </c>
      <c r="E50" s="89">
        <f>'2'!K45</f>
        <v>9166.666667</v>
      </c>
      <c r="F50" s="89">
        <f>'3'!K45</f>
        <v>9166.666667</v>
      </c>
      <c r="G50" s="89">
        <f>'4'!K45</f>
        <v>9166.666667</v>
      </c>
      <c r="H50" s="89">
        <f>'5'!K45</f>
        <v>9166.666667</v>
      </c>
      <c r="I50" s="89">
        <f>'6'!K45</f>
        <v>9166.666667</v>
      </c>
      <c r="J50" s="89">
        <f>'7'!K45</f>
        <v>9166.666667</v>
      </c>
      <c r="K50" s="89">
        <f>'8'!K45</f>
        <v>9166.666667</v>
      </c>
      <c r="L50" s="89">
        <f>'9'!K49</f>
        <v>9428.571429</v>
      </c>
      <c r="M50" s="89">
        <f>'10'!K49</f>
        <v>9428.571429</v>
      </c>
      <c r="N50" s="89">
        <f>'11'!K49</f>
        <v>9428.571429</v>
      </c>
      <c r="O50" s="89">
        <f>'12'!K49</f>
        <v>9428.571429</v>
      </c>
      <c r="P50" s="89">
        <f>'13'!K49</f>
        <v>9428.571429</v>
      </c>
      <c r="Q50" s="89">
        <f>'14'!K49</f>
        <v>9428.571429</v>
      </c>
      <c r="R50" s="89">
        <f>'15'!K49</f>
        <v>9285.714286</v>
      </c>
      <c r="S50" s="89">
        <f>'16'!K49</f>
        <v>9285.714286</v>
      </c>
      <c r="T50" s="89">
        <f>'17'!K49</f>
        <v>9285.714286</v>
      </c>
      <c r="U50" s="89">
        <f>'17'!K49</f>
        <v>9285.714286</v>
      </c>
      <c r="V50" s="89">
        <f>'19'!K49</f>
        <v>9285.714286</v>
      </c>
      <c r="W50" s="89">
        <f>'20'!K49</f>
        <v>9285.714286</v>
      </c>
      <c r="X50" s="89">
        <f>'21'!K49</f>
        <v>9285.714286</v>
      </c>
      <c r="Y50" s="89">
        <f>'22'!K49</f>
        <v>9285.714286</v>
      </c>
      <c r="Z50" s="89">
        <f>'23'!K49</f>
        <v>9285.714286</v>
      </c>
      <c r="AA50" s="89">
        <f>'24'!K52</f>
        <v>4000</v>
      </c>
      <c r="AB50" s="89">
        <f>'25'!K49</f>
        <v>9285.714286</v>
      </c>
      <c r="AC50" s="89">
        <f>'26'!K49</f>
        <v>9285.714286</v>
      </c>
      <c r="AD50" s="89">
        <f>'27'!K49</f>
        <v>9285.714286</v>
      </c>
      <c r="AE50" s="89">
        <f>'28'!K49</f>
        <v>9285.714286</v>
      </c>
      <c r="AF50" s="89">
        <f>'29'!K49</f>
        <v>9285.714286</v>
      </c>
      <c r="AG50" s="89">
        <f>'30'!K50</f>
        <v>9142.857143</v>
      </c>
      <c r="AH50" s="89">
        <f>'31'!K50</f>
        <v>9285.714286</v>
      </c>
      <c r="AI50" s="89"/>
      <c r="AJ50" s="89">
        <f t="shared" si="3"/>
        <v>119.047619</v>
      </c>
      <c r="AK50" s="103">
        <f t="shared" si="1"/>
        <v>9107.526882</v>
      </c>
    </row>
    <row r="51" ht="15.75" customHeight="1">
      <c r="A51" s="152"/>
      <c r="B51" s="87" t="s">
        <v>73</v>
      </c>
      <c r="C51" s="88" t="s">
        <v>24</v>
      </c>
      <c r="D51" s="89">
        <f>'1'!K46</f>
        <v>8600</v>
      </c>
      <c r="E51" s="89">
        <f>'2'!K46</f>
        <v>8600</v>
      </c>
      <c r="F51" s="89">
        <f>'3'!K46</f>
        <v>8600</v>
      </c>
      <c r="G51" s="89">
        <f>'4'!K46</f>
        <v>8600</v>
      </c>
      <c r="H51" s="89">
        <f>'5'!K46</f>
        <v>8600</v>
      </c>
      <c r="I51" s="89">
        <f>'6'!K46</f>
        <v>8600</v>
      </c>
      <c r="J51" s="89">
        <f>'7'!K46</f>
        <v>8600</v>
      </c>
      <c r="K51" s="89">
        <f>'8'!K46</f>
        <v>8600</v>
      </c>
      <c r="L51" s="89">
        <f>'9'!K50</f>
        <v>8166.666667</v>
      </c>
      <c r="M51" s="89">
        <f>'10'!K50</f>
        <v>8166.666667</v>
      </c>
      <c r="N51" s="89">
        <f>'11'!K50</f>
        <v>8166.666667</v>
      </c>
      <c r="O51" s="89">
        <f>'12'!K50</f>
        <v>8166.666667</v>
      </c>
      <c r="P51" s="89">
        <f>'13'!K50</f>
        <v>8166.666667</v>
      </c>
      <c r="Q51" s="89">
        <f>'14'!K50</f>
        <v>8166.666667</v>
      </c>
      <c r="R51" s="89">
        <f>'15'!K50</f>
        <v>8166.666667</v>
      </c>
      <c r="S51" s="89">
        <f>'16'!K50</f>
        <v>8166.666667</v>
      </c>
      <c r="T51" s="89">
        <f>'17'!K50</f>
        <v>8166.666667</v>
      </c>
      <c r="U51" s="89">
        <f>'17'!K50</f>
        <v>8166.666667</v>
      </c>
      <c r="V51" s="89">
        <f>'19'!K50</f>
        <v>8166.666667</v>
      </c>
      <c r="W51" s="89">
        <f>'20'!K50</f>
        <v>8166.666667</v>
      </c>
      <c r="X51" s="89">
        <f>'21'!K50</f>
        <v>8166.666667</v>
      </c>
      <c r="Y51" s="89">
        <f>'22'!K50</f>
        <v>8166.666667</v>
      </c>
      <c r="Z51" s="89">
        <f>'23'!K50</f>
        <v>8166.666667</v>
      </c>
      <c r="AA51" s="89" t="str">
        <f>'24'!K53</f>
        <v/>
      </c>
      <c r="AB51" s="89">
        <f>'25'!K50</f>
        <v>8166.666667</v>
      </c>
      <c r="AC51" s="89">
        <f>'26'!K50</f>
        <v>8166.666667</v>
      </c>
      <c r="AD51" s="89">
        <f>'27'!K50</f>
        <v>8166.666667</v>
      </c>
      <c r="AE51" s="89">
        <f>'28'!K50</f>
        <v>8166.666667</v>
      </c>
      <c r="AF51" s="89">
        <f>'29'!K50</f>
        <v>8166.666667</v>
      </c>
      <c r="AG51" s="89">
        <f>'30'!K51</f>
        <v>8333.333333</v>
      </c>
      <c r="AH51" s="89">
        <f>'31'!K51</f>
        <v>8166.666667</v>
      </c>
      <c r="AI51" s="89"/>
      <c r="AJ51" s="89">
        <f t="shared" si="3"/>
        <v>-433.3333333</v>
      </c>
      <c r="AK51" s="103">
        <f t="shared" si="1"/>
        <v>8287.777778</v>
      </c>
    </row>
    <row r="52" ht="15.75" customHeight="1">
      <c r="A52" s="123">
        <v>13.0</v>
      </c>
      <c r="B52" s="125" t="s">
        <v>74</v>
      </c>
      <c r="C52" s="125"/>
      <c r="D52" s="89" t="str">
        <f>'1'!K47</f>
        <v/>
      </c>
      <c r="E52" s="89" t="str">
        <f>'2'!K47</f>
        <v/>
      </c>
      <c r="F52" s="89" t="str">
        <f>'3'!K47</f>
        <v/>
      </c>
      <c r="G52" s="89" t="str">
        <f>'4'!K47</f>
        <v/>
      </c>
      <c r="H52" s="89" t="str">
        <f>'5'!K47</f>
        <v/>
      </c>
      <c r="I52" s="89" t="str">
        <f>'6'!K47</f>
        <v/>
      </c>
      <c r="J52" s="89" t="str">
        <f>'7'!K47</f>
        <v/>
      </c>
      <c r="K52" s="89" t="str">
        <f>'8'!K47</f>
        <v/>
      </c>
      <c r="L52" s="89" t="str">
        <f>'9'!K51</f>
        <v/>
      </c>
      <c r="M52" s="89" t="str">
        <f>'10'!K51</f>
        <v/>
      </c>
      <c r="N52" s="89" t="str">
        <f>'11'!K51</f>
        <v/>
      </c>
      <c r="O52" s="89" t="str">
        <f>'12'!K51</f>
        <v/>
      </c>
      <c r="P52" s="89" t="str">
        <f>'13'!K51</f>
        <v/>
      </c>
      <c r="Q52" s="89" t="str">
        <f>'14'!K51</f>
        <v/>
      </c>
      <c r="R52" s="89" t="str">
        <f>'15'!K51</f>
        <v/>
      </c>
      <c r="S52" s="89" t="str">
        <f>'16'!K51</f>
        <v/>
      </c>
      <c r="T52" s="89" t="str">
        <f>'17'!K51</f>
        <v/>
      </c>
      <c r="U52" s="89" t="str">
        <f>'17'!K51</f>
        <v/>
      </c>
      <c r="V52" s="89" t="str">
        <f>'19'!K51</f>
        <v/>
      </c>
      <c r="W52" s="89" t="str">
        <f>'20'!K51</f>
        <v/>
      </c>
      <c r="X52" s="89" t="str">
        <f>'21'!K51</f>
        <v/>
      </c>
      <c r="Y52" s="89" t="str">
        <f>'22'!K51</f>
        <v/>
      </c>
      <c r="Z52" s="89" t="str">
        <f>'23'!K51</f>
        <v/>
      </c>
      <c r="AA52" s="89">
        <f>'24'!K54</f>
        <v>11357.14286</v>
      </c>
      <c r="AB52" s="89" t="str">
        <f>'25'!K51</f>
        <v/>
      </c>
      <c r="AC52" s="89" t="str">
        <f>'26'!K51</f>
        <v/>
      </c>
      <c r="AD52" s="89" t="str">
        <f>'27'!K51</f>
        <v/>
      </c>
      <c r="AE52" s="89" t="str">
        <f>'28'!K51</f>
        <v/>
      </c>
      <c r="AF52" s="89" t="str">
        <f>'29'!K51</f>
        <v/>
      </c>
      <c r="AG52" s="89" t="str">
        <f>'30'!K52</f>
        <v/>
      </c>
      <c r="AH52" s="89" t="str">
        <f>'31'!K52</f>
        <v/>
      </c>
      <c r="AI52" s="89"/>
      <c r="AJ52" s="89">
        <f t="shared" si="3"/>
        <v>0</v>
      </c>
      <c r="AK52" s="103">
        <f t="shared" si="1"/>
        <v>11357.14286</v>
      </c>
    </row>
    <row r="53" ht="15.75" customHeight="1">
      <c r="A53" s="71"/>
      <c r="B53" s="87" t="s">
        <v>75</v>
      </c>
      <c r="C53" s="88" t="s">
        <v>76</v>
      </c>
      <c r="D53" s="89">
        <f>'1'!K48</f>
        <v>3916.666667</v>
      </c>
      <c r="E53" s="89">
        <f>'2'!K48</f>
        <v>3916.666667</v>
      </c>
      <c r="F53" s="89">
        <f>'3'!K48</f>
        <v>3916.666667</v>
      </c>
      <c r="G53" s="89">
        <f>'4'!K48</f>
        <v>3916.666667</v>
      </c>
      <c r="H53" s="89">
        <f>'5'!K48</f>
        <v>3916.666667</v>
      </c>
      <c r="I53" s="89">
        <f>'6'!K48</f>
        <v>3916.666667</v>
      </c>
      <c r="J53" s="89">
        <f>'7'!K48</f>
        <v>3916.666667</v>
      </c>
      <c r="K53" s="89">
        <f>'8'!K48</f>
        <v>3916.666667</v>
      </c>
      <c r="L53" s="89">
        <f>'9'!K52</f>
        <v>4000</v>
      </c>
      <c r="M53" s="89">
        <f>'10'!K52</f>
        <v>4000</v>
      </c>
      <c r="N53" s="89">
        <f>'11'!K52</f>
        <v>4000</v>
      </c>
      <c r="O53" s="89">
        <f>'12'!K52</f>
        <v>4000</v>
      </c>
      <c r="P53" s="89">
        <f>'13'!K52</f>
        <v>4000</v>
      </c>
      <c r="Q53" s="89">
        <f>'14'!K52</f>
        <v>4000</v>
      </c>
      <c r="R53" s="89">
        <f>'15'!K52</f>
        <v>4000</v>
      </c>
      <c r="S53" s="89">
        <f>'16'!K52</f>
        <v>4000</v>
      </c>
      <c r="T53" s="89">
        <f>'17'!K52</f>
        <v>4000</v>
      </c>
      <c r="U53" s="89">
        <f>'17'!K52</f>
        <v>4000</v>
      </c>
      <c r="V53" s="89">
        <f>'19'!K52</f>
        <v>4000</v>
      </c>
      <c r="W53" s="89">
        <f>'20'!K52</f>
        <v>4000</v>
      </c>
      <c r="X53" s="89">
        <f>'21'!K52</f>
        <v>4000</v>
      </c>
      <c r="Y53" s="89">
        <f>'22'!K52</f>
        <v>4000</v>
      </c>
      <c r="Z53" s="89">
        <f>'23'!K52</f>
        <v>4000</v>
      </c>
      <c r="AA53" s="89" t="str">
        <f>'24'!K55</f>
        <v/>
      </c>
      <c r="AB53" s="89">
        <f>'25'!K52</f>
        <v>4000</v>
      </c>
      <c r="AC53" s="89">
        <f>'26'!K52</f>
        <v>4000</v>
      </c>
      <c r="AD53" s="89">
        <f>'27'!K52</f>
        <v>4000</v>
      </c>
      <c r="AE53" s="89">
        <f>'28'!K52</f>
        <v>4000</v>
      </c>
      <c r="AF53" s="89">
        <f>'29'!K52</f>
        <v>4000</v>
      </c>
      <c r="AG53" s="89">
        <f>'30'!K53</f>
        <v>4000</v>
      </c>
      <c r="AH53" s="89">
        <f>'31'!K53</f>
        <v>4000</v>
      </c>
      <c r="AI53" s="89"/>
      <c r="AJ53" s="89">
        <f t="shared" si="3"/>
        <v>83.33333333</v>
      </c>
      <c r="AK53" s="103">
        <f t="shared" si="1"/>
        <v>3977.777778</v>
      </c>
    </row>
    <row r="54" ht="15.75" customHeight="1">
      <c r="A54" s="123">
        <v>14.0</v>
      </c>
      <c r="B54" s="125" t="s">
        <v>77</v>
      </c>
      <c r="C54" s="150"/>
      <c r="D54" s="89" t="str">
        <f>'1'!K49</f>
        <v/>
      </c>
      <c r="E54" s="89" t="str">
        <f>'2'!K49</f>
        <v/>
      </c>
      <c r="F54" s="89" t="str">
        <f>'3'!K49</f>
        <v/>
      </c>
      <c r="G54" s="89" t="str">
        <f>'4'!K49</f>
        <v/>
      </c>
      <c r="H54" s="89" t="str">
        <f>'5'!K49</f>
        <v/>
      </c>
      <c r="I54" s="89" t="str">
        <f>'6'!K49</f>
        <v/>
      </c>
      <c r="J54" s="89" t="str">
        <f>'7'!K49</f>
        <v/>
      </c>
      <c r="K54" s="89" t="str">
        <f>'8'!K49</f>
        <v/>
      </c>
      <c r="L54" s="89" t="str">
        <f>'9'!K53</f>
        <v/>
      </c>
      <c r="M54" s="89" t="str">
        <f>'10'!K53</f>
        <v/>
      </c>
      <c r="N54" s="89" t="str">
        <f>'11'!K53</f>
        <v/>
      </c>
      <c r="O54" s="89" t="str">
        <f>'12'!K53</f>
        <v/>
      </c>
      <c r="P54" s="89" t="str">
        <f>'13'!K53</f>
        <v/>
      </c>
      <c r="Q54" s="89" t="str">
        <f>'14'!K53</f>
        <v/>
      </c>
      <c r="R54" s="89" t="str">
        <f>'15'!K53</f>
        <v/>
      </c>
      <c r="S54" s="89" t="str">
        <f>'16'!K53</f>
        <v/>
      </c>
      <c r="T54" s="89" t="str">
        <f>'17'!K53</f>
        <v/>
      </c>
      <c r="U54" s="89" t="str">
        <f>'17'!K53</f>
        <v/>
      </c>
      <c r="V54" s="89" t="str">
        <f>'19'!K53</f>
        <v/>
      </c>
      <c r="W54" s="89" t="str">
        <f>'20'!K53</f>
        <v/>
      </c>
      <c r="X54" s="89" t="str">
        <f>'21'!K53</f>
        <v/>
      </c>
      <c r="Y54" s="89" t="str">
        <f>'22'!K53</f>
        <v/>
      </c>
      <c r="Z54" s="89" t="str">
        <f>'23'!K53</f>
        <v/>
      </c>
      <c r="AA54" s="89">
        <f>'24'!K56</f>
        <v>16333.33333</v>
      </c>
      <c r="AB54" s="89" t="str">
        <f>'25'!K53</f>
        <v/>
      </c>
      <c r="AC54" s="89" t="str">
        <f>'26'!K53</f>
        <v/>
      </c>
      <c r="AD54" s="89" t="str">
        <f>'27'!K53</f>
        <v/>
      </c>
      <c r="AE54" s="89" t="str">
        <f>'28'!K53</f>
        <v/>
      </c>
      <c r="AF54" s="89" t="str">
        <f>'29'!K53</f>
        <v/>
      </c>
      <c r="AG54" s="89" t="str">
        <f>'30'!K54</f>
        <v/>
      </c>
      <c r="AH54" s="89" t="str">
        <f>'31'!K54</f>
        <v/>
      </c>
      <c r="AI54" s="89"/>
      <c r="AJ54" s="89">
        <f t="shared" si="3"/>
        <v>0</v>
      </c>
      <c r="AK54" s="103">
        <f t="shared" si="1"/>
        <v>16333.33333</v>
      </c>
    </row>
    <row r="55" ht="15.75" customHeight="1">
      <c r="A55" s="71"/>
      <c r="B55" s="87" t="s">
        <v>78</v>
      </c>
      <c r="C55" s="88" t="s">
        <v>24</v>
      </c>
      <c r="D55" s="89">
        <f>'1'!K50</f>
        <v>10642.85714</v>
      </c>
      <c r="E55" s="89">
        <f>'2'!K50</f>
        <v>10642.85714</v>
      </c>
      <c r="F55" s="89">
        <f>'3'!K50</f>
        <v>10642.85714</v>
      </c>
      <c r="G55" s="89">
        <f>'4'!K50</f>
        <v>10642.85714</v>
      </c>
      <c r="H55" s="89">
        <f>'5'!K50</f>
        <v>10642.85714</v>
      </c>
      <c r="I55" s="89">
        <f>'6'!K50</f>
        <v>10642.85714</v>
      </c>
      <c r="J55" s="89">
        <f>'7'!K50</f>
        <v>10642.85714</v>
      </c>
      <c r="K55" s="89">
        <f>'8'!K50</f>
        <v>10642.85714</v>
      </c>
      <c r="L55" s="89">
        <f>'9'!K54</f>
        <v>10642.85714</v>
      </c>
      <c r="M55" s="89">
        <f>'10'!K54</f>
        <v>10642.85714</v>
      </c>
      <c r="N55" s="89">
        <f>'11'!K54</f>
        <v>10642.85714</v>
      </c>
      <c r="O55" s="89">
        <f>'12'!K54</f>
        <v>10642.85714</v>
      </c>
      <c r="P55" s="89">
        <f>'13'!K54</f>
        <v>10642.85714</v>
      </c>
      <c r="Q55" s="89">
        <f>'14'!K54</f>
        <v>10642.85714</v>
      </c>
      <c r="R55" s="89">
        <f>'15'!K54</f>
        <v>10642.85714</v>
      </c>
      <c r="S55" s="89">
        <f>'16'!K54</f>
        <v>10642.85714</v>
      </c>
      <c r="T55" s="89">
        <f>'17'!K54</f>
        <v>10642.85714</v>
      </c>
      <c r="U55" s="89">
        <f>'17'!K54</f>
        <v>10642.85714</v>
      </c>
      <c r="V55" s="89">
        <f>'19'!K54</f>
        <v>10642.85714</v>
      </c>
      <c r="W55" s="89">
        <f>'20'!K54</f>
        <v>10642.85714</v>
      </c>
      <c r="X55" s="89">
        <f>'21'!K54</f>
        <v>10642.85714</v>
      </c>
      <c r="Y55" s="89">
        <f>'22'!K54</f>
        <v>10642.85714</v>
      </c>
      <c r="Z55" s="89">
        <f>'23'!K54</f>
        <v>10642.85714</v>
      </c>
      <c r="AA55" s="89">
        <f>'24'!K57</f>
        <v>14166.66667</v>
      </c>
      <c r="AB55" s="89">
        <f>'25'!K54</f>
        <v>11357.14286</v>
      </c>
      <c r="AC55" s="89">
        <f>'26'!K54</f>
        <v>11357.14286</v>
      </c>
      <c r="AD55" s="89">
        <f>'27'!K54</f>
        <v>11357.14286</v>
      </c>
      <c r="AE55" s="89">
        <f>'28'!K54</f>
        <v>11357.14286</v>
      </c>
      <c r="AF55" s="89">
        <f>'29'!K54</f>
        <v>11357.14286</v>
      </c>
      <c r="AG55" s="89">
        <f>'30'!K55</f>
        <v>11285.71429</v>
      </c>
      <c r="AH55" s="89">
        <f>'31'!K55</f>
        <v>11357.14286</v>
      </c>
      <c r="AI55" s="89"/>
      <c r="AJ55" s="89">
        <f t="shared" si="3"/>
        <v>714.2857143</v>
      </c>
      <c r="AK55" s="103">
        <f t="shared" si="1"/>
        <v>10915.51459</v>
      </c>
    </row>
    <row r="56" ht="15.75" customHeight="1">
      <c r="A56" s="123">
        <v>15.0</v>
      </c>
      <c r="B56" s="125" t="s">
        <v>79</v>
      </c>
      <c r="C56" s="125"/>
      <c r="D56" s="89" t="str">
        <f>'1'!K51</f>
        <v/>
      </c>
      <c r="E56" s="89" t="str">
        <f>'2'!K51</f>
        <v/>
      </c>
      <c r="F56" s="89" t="str">
        <f>'3'!K51</f>
        <v/>
      </c>
      <c r="G56" s="89" t="str">
        <f>'4'!K51</f>
        <v/>
      </c>
      <c r="H56" s="89" t="str">
        <f>'5'!K51</f>
        <v/>
      </c>
      <c r="I56" s="89" t="str">
        <f>'6'!K51</f>
        <v/>
      </c>
      <c r="J56" s="89" t="str">
        <f>'7'!K51</f>
        <v/>
      </c>
      <c r="K56" s="89" t="str">
        <f>'8'!K51</f>
        <v/>
      </c>
      <c r="L56" s="89" t="str">
        <f>'9'!K55</f>
        <v/>
      </c>
      <c r="M56" s="89" t="str">
        <f>'10'!K55</f>
        <v/>
      </c>
      <c r="N56" s="89" t="str">
        <f>'11'!K55</f>
        <v/>
      </c>
      <c r="O56" s="89" t="str">
        <f>'12'!K55</f>
        <v/>
      </c>
      <c r="P56" s="89" t="str">
        <f>'13'!K55</f>
        <v/>
      </c>
      <c r="Q56" s="89" t="str">
        <f>'14'!K55</f>
        <v/>
      </c>
      <c r="R56" s="89" t="str">
        <f>'15'!K55</f>
        <v/>
      </c>
      <c r="S56" s="89" t="str">
        <f>'16'!K55</f>
        <v/>
      </c>
      <c r="T56" s="89" t="str">
        <f>'17'!K55</f>
        <v/>
      </c>
      <c r="U56" s="89" t="str">
        <f>'17'!K55</f>
        <v/>
      </c>
      <c r="V56" s="89" t="str">
        <f>'19'!K55</f>
        <v/>
      </c>
      <c r="W56" s="89" t="str">
        <f>'20'!K55</f>
        <v/>
      </c>
      <c r="X56" s="89" t="str">
        <f>'21'!K55</f>
        <v/>
      </c>
      <c r="Y56" s="89" t="str">
        <f>'22'!K55</f>
        <v/>
      </c>
      <c r="Z56" s="89" t="str">
        <f>'23'!K55</f>
        <v/>
      </c>
      <c r="AA56" s="89">
        <f>'24'!K58</f>
        <v>26142.85714</v>
      </c>
      <c r="AB56" s="89" t="str">
        <f>'25'!K55</f>
        <v/>
      </c>
      <c r="AC56" s="89" t="str">
        <f>'26'!K55</f>
        <v/>
      </c>
      <c r="AD56" s="89" t="str">
        <f>'27'!K55</f>
        <v/>
      </c>
      <c r="AE56" s="89" t="str">
        <f>'28'!K55</f>
        <v/>
      </c>
      <c r="AF56" s="89" t="str">
        <f>'29'!K55</f>
        <v/>
      </c>
      <c r="AG56" s="89" t="str">
        <f>'30'!K56</f>
        <v/>
      </c>
      <c r="AH56" s="89" t="str">
        <f>'31'!K56</f>
        <v/>
      </c>
      <c r="AI56" s="89"/>
      <c r="AJ56" s="89">
        <f t="shared" si="3"/>
        <v>0</v>
      </c>
      <c r="AK56" s="103">
        <f t="shared" si="1"/>
        <v>26142.85714</v>
      </c>
    </row>
    <row r="57" ht="15.75" customHeight="1">
      <c r="A57" s="25"/>
      <c r="B57" s="87" t="s">
        <v>80</v>
      </c>
      <c r="C57" s="88" t="s">
        <v>24</v>
      </c>
      <c r="D57" s="89">
        <f>'1'!K52</f>
        <v>16333.33333</v>
      </c>
      <c r="E57" s="89">
        <f>'2'!K52</f>
        <v>16333.33333</v>
      </c>
      <c r="F57" s="89">
        <f>'3'!K52</f>
        <v>16333.33333</v>
      </c>
      <c r="G57" s="89">
        <f>'4'!K52</f>
        <v>16333.33333</v>
      </c>
      <c r="H57" s="89">
        <f>'5'!K52</f>
        <v>16333.33333</v>
      </c>
      <c r="I57" s="89">
        <f>'6'!K52</f>
        <v>16333.33333</v>
      </c>
      <c r="J57" s="89">
        <f>'7'!K52</f>
        <v>16333.33333</v>
      </c>
      <c r="K57" s="89">
        <f>'8'!K52</f>
        <v>16000</v>
      </c>
      <c r="L57" s="89">
        <f>'9'!K56</f>
        <v>16666.66667</v>
      </c>
      <c r="M57" s="89">
        <f>'10'!K56</f>
        <v>16833.33333</v>
      </c>
      <c r="N57" s="89">
        <f>'11'!K56</f>
        <v>16833.33333</v>
      </c>
      <c r="O57" s="89">
        <f>'12'!K56</f>
        <v>16833.33333</v>
      </c>
      <c r="P57" s="89">
        <f>'13'!K56</f>
        <v>16833.33333</v>
      </c>
      <c r="Q57" s="89">
        <f>'14'!K56</f>
        <v>16666.66667</v>
      </c>
      <c r="R57" s="89">
        <f>'15'!K56</f>
        <v>16666.66667</v>
      </c>
      <c r="S57" s="89">
        <f>'16'!K56</f>
        <v>16666.66667</v>
      </c>
      <c r="T57" s="89">
        <f>'17'!K56</f>
        <v>16166.66667</v>
      </c>
      <c r="U57" s="89">
        <f>'17'!K56</f>
        <v>16166.66667</v>
      </c>
      <c r="V57" s="89">
        <f>'19'!K56</f>
        <v>16166.66667</v>
      </c>
      <c r="W57" s="89">
        <f>'20'!K56</f>
        <v>16333.33333</v>
      </c>
      <c r="X57" s="89">
        <f>'21'!K56</f>
        <v>16333.33333</v>
      </c>
      <c r="Y57" s="89">
        <f>'22'!K56</f>
        <v>16333.33333</v>
      </c>
      <c r="Z57" s="89">
        <f>'23'!K56</f>
        <v>16333.33333</v>
      </c>
      <c r="AA57" s="89">
        <f>'24'!K59</f>
        <v>29142.85714</v>
      </c>
      <c r="AB57" s="89">
        <f>'25'!K56</f>
        <v>16333.33333</v>
      </c>
      <c r="AC57" s="89">
        <f>'26'!K56</f>
        <v>16333.33333</v>
      </c>
      <c r="AD57" s="89">
        <f>'27'!K56</f>
        <v>16333.33333</v>
      </c>
      <c r="AE57" s="89">
        <f>'28'!K56</f>
        <v>16333.33333</v>
      </c>
      <c r="AF57" s="89">
        <f>'29'!K56</f>
        <v>16333.33333</v>
      </c>
      <c r="AG57" s="89">
        <f>'30'!K57</f>
        <v>15666.66667</v>
      </c>
      <c r="AH57" s="89">
        <f>'31'!K57</f>
        <v>16333.33333</v>
      </c>
      <c r="AI57" s="89">
        <v>6800.0</v>
      </c>
      <c r="AJ57" s="89">
        <f t="shared" si="3"/>
        <v>0</v>
      </c>
      <c r="AK57" s="103">
        <f t="shared" si="1"/>
        <v>16805.68356</v>
      </c>
    </row>
    <row r="58" ht="15.75" customHeight="1">
      <c r="A58" s="25"/>
      <c r="B58" s="87" t="s">
        <v>81</v>
      </c>
      <c r="C58" s="88" t="s">
        <v>24</v>
      </c>
      <c r="D58" s="89">
        <f>'1'!K53</f>
        <v>13750</v>
      </c>
      <c r="E58" s="89">
        <f>'2'!K53</f>
        <v>13750</v>
      </c>
      <c r="F58" s="89">
        <f>'3'!K53</f>
        <v>13750</v>
      </c>
      <c r="G58" s="89">
        <f>'4'!K53</f>
        <v>13750</v>
      </c>
      <c r="H58" s="89">
        <f>'5'!K53</f>
        <v>13750</v>
      </c>
      <c r="I58" s="89">
        <f>'6'!K53</f>
        <v>13750</v>
      </c>
      <c r="J58" s="89">
        <f>'7'!K53</f>
        <v>13750</v>
      </c>
      <c r="K58" s="89">
        <f>'8'!K53</f>
        <v>13750</v>
      </c>
      <c r="L58" s="89">
        <f>'9'!K57</f>
        <v>14166.66667</v>
      </c>
      <c r="M58" s="89">
        <f>'10'!K57</f>
        <v>14166.66667</v>
      </c>
      <c r="N58" s="89">
        <f>'11'!K57</f>
        <v>14166.66667</v>
      </c>
      <c r="O58" s="89">
        <f>'12'!K57</f>
        <v>14166.66667</v>
      </c>
      <c r="P58" s="89">
        <f>'13'!K57</f>
        <v>14166.66667</v>
      </c>
      <c r="Q58" s="89">
        <f>'14'!K57</f>
        <v>14166.66667</v>
      </c>
      <c r="R58" s="89">
        <f>'15'!K57</f>
        <v>14166.66667</v>
      </c>
      <c r="S58" s="89">
        <f>'16'!K57</f>
        <v>14166.66667</v>
      </c>
      <c r="T58" s="89">
        <f>'17'!K57</f>
        <v>14166.66667</v>
      </c>
      <c r="U58" s="89">
        <f>'17'!K57</f>
        <v>14166.66667</v>
      </c>
      <c r="V58" s="89">
        <f>'19'!K57</f>
        <v>14166.66667</v>
      </c>
      <c r="W58" s="89">
        <f>'20'!K57</f>
        <v>14166.66667</v>
      </c>
      <c r="X58" s="89">
        <f>'21'!K57</f>
        <v>14166.66667</v>
      </c>
      <c r="Y58" s="89">
        <f>'22'!K57</f>
        <v>14166.66667</v>
      </c>
      <c r="Z58" s="89">
        <f>'23'!K57</f>
        <v>14166.66667</v>
      </c>
      <c r="AA58" s="89" t="str">
        <f>'24'!K60</f>
        <v/>
      </c>
      <c r="AB58" s="89">
        <f>'25'!K57</f>
        <v>14166.66667</v>
      </c>
      <c r="AC58" s="89">
        <f>'26'!K57</f>
        <v>14166.66667</v>
      </c>
      <c r="AD58" s="89">
        <f>'27'!K57</f>
        <v>14166.66667</v>
      </c>
      <c r="AE58" s="89">
        <f>'28'!K57</f>
        <v>14166.66667</v>
      </c>
      <c r="AF58" s="89">
        <f>'29'!K57</f>
        <v>14166.66667</v>
      </c>
      <c r="AG58" s="89">
        <f>'30'!K58</f>
        <v>14166.66667</v>
      </c>
      <c r="AH58" s="89">
        <f>'31'!K58</f>
        <v>14166.66667</v>
      </c>
      <c r="AI58" s="89">
        <v>9200.0</v>
      </c>
      <c r="AJ58" s="89">
        <f t="shared" si="3"/>
        <v>416.6666667</v>
      </c>
      <c r="AK58" s="103">
        <f t="shared" si="1"/>
        <v>14055.55556</v>
      </c>
    </row>
    <row r="59" ht="15.75" customHeight="1">
      <c r="A59" s="25"/>
      <c r="B59" s="87" t="s">
        <v>83</v>
      </c>
      <c r="C59" s="88" t="s">
        <v>24</v>
      </c>
      <c r="D59" s="89">
        <f>'1'!K54</f>
        <v>24571.42857</v>
      </c>
      <c r="E59" s="89">
        <f>'2'!K54</f>
        <v>24571.42857</v>
      </c>
      <c r="F59" s="89">
        <f>'3'!K54</f>
        <v>24571.42857</v>
      </c>
      <c r="G59" s="89">
        <f>'4'!K54</f>
        <v>24571.42857</v>
      </c>
      <c r="H59" s="89">
        <f>'5'!K54</f>
        <v>24571.42857</v>
      </c>
      <c r="I59" s="89">
        <f>'6'!K54</f>
        <v>24571.42857</v>
      </c>
      <c r="J59" s="89">
        <f>'7'!K54</f>
        <v>25142.85714</v>
      </c>
      <c r="K59" s="89">
        <f>'8'!K54</f>
        <v>25142.85714</v>
      </c>
      <c r="L59" s="89">
        <f>'9'!K58</f>
        <v>25857.14286</v>
      </c>
      <c r="M59" s="89">
        <f>'10'!K58</f>
        <v>25857.14286</v>
      </c>
      <c r="N59" s="89">
        <f>'11'!K58</f>
        <v>25857.14286</v>
      </c>
      <c r="O59" s="89">
        <f>'12'!K58</f>
        <v>25857.14286</v>
      </c>
      <c r="P59" s="89">
        <f>'13'!K58</f>
        <v>25857.14286</v>
      </c>
      <c r="Q59" s="89">
        <f>'14'!K58</f>
        <v>26142.85714</v>
      </c>
      <c r="R59" s="89">
        <f>'15'!K58</f>
        <v>26142.85714</v>
      </c>
      <c r="S59" s="89">
        <f>'16'!K58</f>
        <v>25857.14286</v>
      </c>
      <c r="T59" s="89">
        <f>'17'!K58</f>
        <v>25857.14286</v>
      </c>
      <c r="U59" s="89">
        <f>'17'!K58</f>
        <v>25857.14286</v>
      </c>
      <c r="V59" s="89">
        <f>'19'!K58</f>
        <v>25857.14286</v>
      </c>
      <c r="W59" s="89">
        <f>'20'!K58</f>
        <v>25857.14286</v>
      </c>
      <c r="X59" s="89">
        <f>'21'!K58</f>
        <v>25857.14286</v>
      </c>
      <c r="Y59" s="89">
        <f>'22'!K58</f>
        <v>25857.14286</v>
      </c>
      <c r="Z59" s="89">
        <f>'23'!K58</f>
        <v>26142.85714</v>
      </c>
      <c r="AA59" s="89">
        <f>'24'!K61</f>
        <v>3200</v>
      </c>
      <c r="AB59" s="89">
        <f>'25'!K58</f>
        <v>26142.85714</v>
      </c>
      <c r="AC59" s="89">
        <f>'26'!K58</f>
        <v>26142.85714</v>
      </c>
      <c r="AD59" s="89">
        <f>'27'!K58</f>
        <v>26142.85714</v>
      </c>
      <c r="AE59" s="89">
        <f>'28'!K58</f>
        <v>26142.85714</v>
      </c>
      <c r="AF59" s="89">
        <f>'29'!K58</f>
        <v>26142.85714</v>
      </c>
      <c r="AG59" s="89">
        <f>'30'!K59</f>
        <v>25285.71429</v>
      </c>
      <c r="AH59" s="89">
        <f>'31'!K59</f>
        <v>26142.85714</v>
      </c>
      <c r="AI59" s="89"/>
      <c r="AJ59" s="89">
        <f t="shared" si="3"/>
        <v>1571.428571</v>
      </c>
      <c r="AK59" s="103">
        <f t="shared" si="1"/>
        <v>24895.85253</v>
      </c>
    </row>
    <row r="60" ht="15.75" customHeight="1">
      <c r="A60" s="71"/>
      <c r="B60" s="87" t="s">
        <v>84</v>
      </c>
      <c r="C60" s="88" t="s">
        <v>24</v>
      </c>
      <c r="D60" s="89">
        <f>'1'!K55</f>
        <v>28142.85714</v>
      </c>
      <c r="E60" s="89">
        <f>'2'!K55</f>
        <v>28142.85714</v>
      </c>
      <c r="F60" s="89">
        <f>'3'!K55</f>
        <v>28142.85714</v>
      </c>
      <c r="G60" s="89">
        <f>'4'!K55</f>
        <v>28142.85714</v>
      </c>
      <c r="H60" s="89">
        <f>'5'!K55</f>
        <v>28142.85714</v>
      </c>
      <c r="I60" s="89">
        <f>'6'!K55</f>
        <v>28142.85714</v>
      </c>
      <c r="J60" s="89">
        <f>'7'!K55</f>
        <v>28142.85714</v>
      </c>
      <c r="K60" s="89">
        <f>'8'!K55</f>
        <v>28857.14286</v>
      </c>
      <c r="L60" s="89">
        <f>'9'!K59</f>
        <v>29142.85714</v>
      </c>
      <c r="M60" s="89">
        <f>'10'!K59</f>
        <v>29142.85714</v>
      </c>
      <c r="N60" s="89">
        <f>'11'!K59</f>
        <v>29142.85714</v>
      </c>
      <c r="O60" s="89">
        <f>'12'!K59</f>
        <v>29142.85714</v>
      </c>
      <c r="P60" s="89">
        <f>'13'!K59</f>
        <v>29142.85714</v>
      </c>
      <c r="Q60" s="89">
        <f>'14'!K59</f>
        <v>29142.85714</v>
      </c>
      <c r="R60" s="89">
        <f>'15'!K59</f>
        <v>29571.42857</v>
      </c>
      <c r="S60" s="89">
        <f>'16'!K59</f>
        <v>29142.85714</v>
      </c>
      <c r="T60" s="89">
        <f>'17'!K59</f>
        <v>29285.71429</v>
      </c>
      <c r="U60" s="89">
        <f>'17'!K59</f>
        <v>29285.71429</v>
      </c>
      <c r="V60" s="89">
        <f>'19'!K59</f>
        <v>29285.71429</v>
      </c>
      <c r="W60" s="89">
        <f>'20'!K59</f>
        <v>29285.71429</v>
      </c>
      <c r="X60" s="89">
        <f>'21'!K59</f>
        <v>29285.71429</v>
      </c>
      <c r="Y60" s="89">
        <f>'22'!K59</f>
        <v>29285.71429</v>
      </c>
      <c r="Z60" s="89">
        <f>'23'!K59</f>
        <v>29285.71429</v>
      </c>
      <c r="AA60" s="89" t="str">
        <f>'24'!K62</f>
        <v/>
      </c>
      <c r="AB60" s="89">
        <f>'25'!K59</f>
        <v>29142.85714</v>
      </c>
      <c r="AC60" s="89">
        <f>'26'!K59</f>
        <v>29142.85714</v>
      </c>
      <c r="AD60" s="89">
        <f>'27'!K59</f>
        <v>29142.85714</v>
      </c>
      <c r="AE60" s="89">
        <f>'28'!K59</f>
        <v>29142.85714</v>
      </c>
      <c r="AF60" s="89">
        <f>'29'!K59</f>
        <v>29142.85714</v>
      </c>
      <c r="AG60" s="89">
        <f>'30'!K60</f>
        <v>29428.57143</v>
      </c>
      <c r="AH60" s="89">
        <f>'31'!K60</f>
        <v>29142.85714</v>
      </c>
      <c r="AI60" s="89"/>
      <c r="AJ60" s="89">
        <f t="shared" si="3"/>
        <v>1000</v>
      </c>
      <c r="AK60" s="103">
        <f t="shared" si="1"/>
        <v>28957.14286</v>
      </c>
    </row>
    <row r="61" ht="15.75" customHeight="1">
      <c r="A61" s="154">
        <v>16.0</v>
      </c>
      <c r="B61" s="125" t="s">
        <v>85</v>
      </c>
      <c r="C61" s="150"/>
      <c r="D61" s="89" t="str">
        <f>'1'!K56</f>
        <v/>
      </c>
      <c r="E61" s="89" t="str">
        <f>'2'!K56</f>
        <v/>
      </c>
      <c r="F61" s="89" t="str">
        <f>'3'!K56</f>
        <v/>
      </c>
      <c r="G61" s="89" t="str">
        <f>'4'!K56</f>
        <v/>
      </c>
      <c r="H61" s="89" t="str">
        <f>'5'!K56</f>
        <v/>
      </c>
      <c r="I61" s="89" t="str">
        <f>'6'!K56</f>
        <v/>
      </c>
      <c r="J61" s="89" t="str">
        <f>'7'!K56</f>
        <v/>
      </c>
      <c r="K61" s="89" t="str">
        <f>'8'!K56</f>
        <v/>
      </c>
      <c r="L61" s="89" t="str">
        <f>'9'!K60</f>
        <v/>
      </c>
      <c r="M61" s="89" t="str">
        <f>'10'!K60</f>
        <v/>
      </c>
      <c r="N61" s="89" t="str">
        <f>'11'!K60</f>
        <v/>
      </c>
      <c r="O61" s="89" t="str">
        <f>'12'!K60</f>
        <v/>
      </c>
      <c r="P61" s="89" t="str">
        <f>'13'!K60</f>
        <v/>
      </c>
      <c r="Q61" s="89" t="str">
        <f>'14'!K60</f>
        <v/>
      </c>
      <c r="R61" s="89" t="str">
        <f>'15'!K60</f>
        <v/>
      </c>
      <c r="S61" s="89" t="str">
        <f>'16'!K60</f>
        <v/>
      </c>
      <c r="T61" s="89" t="str">
        <f>'17'!K60</f>
        <v/>
      </c>
      <c r="U61" s="89" t="str">
        <f>'17'!K60</f>
        <v/>
      </c>
      <c r="V61" s="89" t="str">
        <f>'19'!K60</f>
        <v/>
      </c>
      <c r="W61" s="89" t="str">
        <f>'20'!K60</f>
        <v/>
      </c>
      <c r="X61" s="89" t="str">
        <f>'21'!K60</f>
        <v/>
      </c>
      <c r="Y61" s="89" t="str">
        <f>'22'!K60</f>
        <v/>
      </c>
      <c r="Z61" s="89" t="str">
        <f>'23'!K60</f>
        <v/>
      </c>
      <c r="AA61" s="89">
        <f>'24'!K63</f>
        <v>42142.85714</v>
      </c>
      <c r="AB61" s="89" t="str">
        <f>'25'!K60</f>
        <v/>
      </c>
      <c r="AC61" s="89" t="str">
        <f>'26'!K60</f>
        <v/>
      </c>
      <c r="AD61" s="89" t="str">
        <f>'27'!K60</f>
        <v/>
      </c>
      <c r="AE61" s="89" t="str">
        <f>'28'!K60</f>
        <v/>
      </c>
      <c r="AF61" s="89" t="str">
        <f>'29'!K60</f>
        <v/>
      </c>
      <c r="AG61" s="89" t="str">
        <f>'30'!K61</f>
        <v/>
      </c>
      <c r="AH61" s="89" t="str">
        <f>'31'!K61</f>
        <v/>
      </c>
      <c r="AI61" s="89"/>
      <c r="AJ61" s="89">
        <f t="shared" si="3"/>
        <v>0</v>
      </c>
      <c r="AK61" s="103">
        <f t="shared" si="1"/>
        <v>42142.85714</v>
      </c>
    </row>
    <row r="62" ht="15.75" customHeight="1">
      <c r="A62" s="155"/>
      <c r="B62" s="87" t="s">
        <v>86</v>
      </c>
      <c r="C62" s="88" t="s">
        <v>87</v>
      </c>
      <c r="D62" s="89">
        <f>'1'!K57</f>
        <v>3200</v>
      </c>
      <c r="E62" s="89">
        <f>'2'!K57</f>
        <v>3200</v>
      </c>
      <c r="F62" s="89">
        <f>'3'!K57</f>
        <v>3200</v>
      </c>
      <c r="G62" s="89">
        <f>'4'!K57</f>
        <v>3200</v>
      </c>
      <c r="H62" s="89">
        <f>'5'!K57</f>
        <v>3200</v>
      </c>
      <c r="I62" s="89">
        <f>'6'!K57</f>
        <v>3200</v>
      </c>
      <c r="J62" s="89">
        <f>'7'!K57</f>
        <v>3200</v>
      </c>
      <c r="K62" s="89">
        <f>'8'!K57</f>
        <v>3200</v>
      </c>
      <c r="L62" s="89">
        <f>'9'!K61</f>
        <v>3200</v>
      </c>
      <c r="M62" s="89">
        <f>'10'!K61</f>
        <v>3200</v>
      </c>
      <c r="N62" s="89">
        <f>'11'!K61</f>
        <v>3200</v>
      </c>
      <c r="O62" s="89">
        <f>'12'!K61</f>
        <v>3200</v>
      </c>
      <c r="P62" s="89">
        <f>'13'!K61</f>
        <v>3200</v>
      </c>
      <c r="Q62" s="89">
        <f>'14'!K61</f>
        <v>3200</v>
      </c>
      <c r="R62" s="89">
        <f>'15'!K61</f>
        <v>3200</v>
      </c>
      <c r="S62" s="89">
        <f>'16'!K61</f>
        <v>3200</v>
      </c>
      <c r="T62" s="89">
        <f>'17'!K61</f>
        <v>3200</v>
      </c>
      <c r="U62" s="89">
        <f>'17'!K61</f>
        <v>3200</v>
      </c>
      <c r="V62" s="89">
        <f>'19'!K61</f>
        <v>3200</v>
      </c>
      <c r="W62" s="89">
        <f>'20'!K61</f>
        <v>3200</v>
      </c>
      <c r="X62" s="89">
        <f>'21'!K61</f>
        <v>3200</v>
      </c>
      <c r="Y62" s="89">
        <f>'22'!K61</f>
        <v>3200</v>
      </c>
      <c r="Z62" s="89">
        <f>'23'!K61</f>
        <v>3200</v>
      </c>
      <c r="AA62" s="89">
        <f>'24'!K64</f>
        <v>44000</v>
      </c>
      <c r="AB62" s="89">
        <f>'25'!K61</f>
        <v>3200</v>
      </c>
      <c r="AC62" s="89">
        <f>'26'!K61</f>
        <v>3200</v>
      </c>
      <c r="AD62" s="89">
        <f>'27'!K61</f>
        <v>3200</v>
      </c>
      <c r="AE62" s="89">
        <f>'28'!K61</f>
        <v>3200</v>
      </c>
      <c r="AF62" s="89">
        <f>'29'!K61</f>
        <v>3200</v>
      </c>
      <c r="AG62" s="89">
        <f>'30'!K62</f>
        <v>3200</v>
      </c>
      <c r="AH62" s="89">
        <f>'31'!K62</f>
        <v>3200</v>
      </c>
      <c r="AI62" s="89"/>
      <c r="AJ62" s="89">
        <f t="shared" si="3"/>
        <v>0</v>
      </c>
      <c r="AK62" s="103">
        <f t="shared" si="1"/>
        <v>4516.129032</v>
      </c>
    </row>
    <row r="63" ht="15.75" customHeight="1">
      <c r="A63" s="123">
        <v>17.0</v>
      </c>
      <c r="B63" s="125" t="s">
        <v>88</v>
      </c>
      <c r="C63" s="125"/>
      <c r="D63" s="89" t="str">
        <f>'1'!K58</f>
        <v/>
      </c>
      <c r="E63" s="89" t="str">
        <f>'2'!K58</f>
        <v/>
      </c>
      <c r="F63" s="89" t="str">
        <f>'3'!K58</f>
        <v/>
      </c>
      <c r="G63" s="89" t="str">
        <f>'4'!K58</f>
        <v/>
      </c>
      <c r="H63" s="89" t="str">
        <f>'5'!K58</f>
        <v/>
      </c>
      <c r="I63" s="89" t="str">
        <f>'6'!K58</f>
        <v/>
      </c>
      <c r="J63" s="89" t="str">
        <f>'7'!K58</f>
        <v/>
      </c>
      <c r="K63" s="89" t="str">
        <f>'8'!K58</f>
        <v/>
      </c>
      <c r="L63" s="89" t="str">
        <f>'9'!K62</f>
        <v/>
      </c>
      <c r="M63" s="89" t="str">
        <f>'10'!K62</f>
        <v/>
      </c>
      <c r="N63" s="89" t="str">
        <f>'11'!K62</f>
        <v/>
      </c>
      <c r="O63" s="89" t="str">
        <f>'12'!K62</f>
        <v/>
      </c>
      <c r="P63" s="89" t="str">
        <f>'13'!K62</f>
        <v/>
      </c>
      <c r="Q63" s="89" t="str">
        <f>'14'!K62</f>
        <v/>
      </c>
      <c r="R63" s="89" t="str">
        <f>'15'!K62</f>
        <v/>
      </c>
      <c r="S63" s="89" t="str">
        <f>'16'!K62</f>
        <v/>
      </c>
      <c r="T63" s="89" t="str">
        <f>'17'!K62</f>
        <v/>
      </c>
      <c r="U63" s="89" t="str">
        <f>'17'!K62</f>
        <v/>
      </c>
      <c r="V63" s="89" t="str">
        <f>'19'!K62</f>
        <v/>
      </c>
      <c r="W63" s="89" t="str">
        <f>'20'!K62</f>
        <v/>
      </c>
      <c r="X63" s="89" t="str">
        <f>'21'!K62</f>
        <v/>
      </c>
      <c r="Y63" s="89" t="str">
        <f>'22'!K62</f>
        <v/>
      </c>
      <c r="Z63" s="89" t="str">
        <f>'23'!K62</f>
        <v/>
      </c>
      <c r="AA63" s="89">
        <f>'24'!K65</f>
        <v>76428.57143</v>
      </c>
      <c r="AB63" s="89" t="str">
        <f>'25'!K62</f>
        <v/>
      </c>
      <c r="AC63" s="89" t="str">
        <f>'26'!K62</f>
        <v/>
      </c>
      <c r="AD63" s="89" t="str">
        <f>'27'!K62</f>
        <v/>
      </c>
      <c r="AE63" s="89" t="str">
        <f>'28'!K62</f>
        <v/>
      </c>
      <c r="AF63" s="89" t="str">
        <f>'29'!K62</f>
        <v/>
      </c>
      <c r="AG63" s="89" t="str">
        <f>'30'!K63</f>
        <v/>
      </c>
      <c r="AH63" s="89" t="str">
        <f>'31'!K63</f>
        <v/>
      </c>
      <c r="AI63" s="89"/>
      <c r="AJ63" s="89">
        <f t="shared" si="3"/>
        <v>0</v>
      </c>
      <c r="AK63" s="103">
        <f t="shared" si="1"/>
        <v>76428.57143</v>
      </c>
    </row>
    <row r="64" ht="15.75" customHeight="1">
      <c r="A64" s="25"/>
      <c r="B64" s="87" t="s">
        <v>89</v>
      </c>
      <c r="C64" s="88" t="s">
        <v>24</v>
      </c>
      <c r="D64" s="89">
        <f>'1'!K59</f>
        <v>28428.57143</v>
      </c>
      <c r="E64" s="89">
        <f>'2'!K59</f>
        <v>27571.42857</v>
      </c>
      <c r="F64" s="89">
        <f>'3'!K59</f>
        <v>27571.42857</v>
      </c>
      <c r="G64" s="89">
        <f>'4'!K59</f>
        <v>27571.42857</v>
      </c>
      <c r="H64" s="89">
        <f>'5'!K59</f>
        <v>27714.28571</v>
      </c>
      <c r="I64" s="89">
        <f>'6'!K59</f>
        <v>29714.28571</v>
      </c>
      <c r="J64" s="89">
        <f>'7'!K59</f>
        <v>30714.28571</v>
      </c>
      <c r="K64" s="89">
        <f>'8'!K59</f>
        <v>31428.57143</v>
      </c>
      <c r="L64" s="89">
        <f>'9'!K63</f>
        <v>31428.57143</v>
      </c>
      <c r="M64" s="89">
        <f>'10'!K63</f>
        <v>30285.71429</v>
      </c>
      <c r="N64" s="89">
        <f>'11'!K63</f>
        <v>30285.71429</v>
      </c>
      <c r="O64" s="89">
        <f>'12'!K63</f>
        <v>31428.57143</v>
      </c>
      <c r="P64" s="89">
        <f>'13'!K63</f>
        <v>32285.71429</v>
      </c>
      <c r="Q64" s="89">
        <f>'14'!K63</f>
        <v>32571.42857</v>
      </c>
      <c r="R64" s="89">
        <f>'15'!K63</f>
        <v>33000</v>
      </c>
      <c r="S64" s="89">
        <f>'16'!K63</f>
        <v>33142.85714</v>
      </c>
      <c r="T64" s="89">
        <f>'17'!K63</f>
        <v>34571.42857</v>
      </c>
      <c r="U64" s="89">
        <f>'17'!K63</f>
        <v>34571.42857</v>
      </c>
      <c r="V64" s="89">
        <f>'19'!K63</f>
        <v>36428.57143</v>
      </c>
      <c r="W64" s="89">
        <f>'20'!K63</f>
        <v>37571.42857</v>
      </c>
      <c r="X64" s="89">
        <f>'21'!K63</f>
        <v>37571.42857</v>
      </c>
      <c r="Y64" s="89">
        <f>'22'!K63</f>
        <v>36857.14286</v>
      </c>
      <c r="Z64" s="89">
        <f>'23'!K63</f>
        <v>38285.71429</v>
      </c>
      <c r="AA64" s="89" t="str">
        <f>'24'!K66</f>
        <v/>
      </c>
      <c r="AB64" s="89">
        <f>'25'!K63</f>
        <v>43285.71429</v>
      </c>
      <c r="AC64" s="89">
        <f>'26'!K63</f>
        <v>43285.71429</v>
      </c>
      <c r="AD64" s="89">
        <f>'27'!K63</f>
        <v>42285.71429</v>
      </c>
      <c r="AE64" s="89">
        <f>'28'!K63</f>
        <v>37571.42857</v>
      </c>
      <c r="AF64" s="89">
        <f>'29'!K63</f>
        <v>36857.14286</v>
      </c>
      <c r="AG64" s="89">
        <f>'30'!K64</f>
        <v>27857.14286</v>
      </c>
      <c r="AH64" s="89">
        <f>'31'!K64</f>
        <v>30142.85714</v>
      </c>
      <c r="AI64" s="89"/>
      <c r="AJ64" s="89">
        <f t="shared" si="3"/>
        <v>1714.285714</v>
      </c>
      <c r="AK64" s="103">
        <f t="shared" si="1"/>
        <v>33409.52381</v>
      </c>
    </row>
    <row r="65" ht="15.75" customHeight="1">
      <c r="A65" s="25"/>
      <c r="B65" s="87" t="s">
        <v>90</v>
      </c>
      <c r="C65" s="88" t="s">
        <v>24</v>
      </c>
      <c r="D65" s="89">
        <f>'1'!K60</f>
        <v>41250</v>
      </c>
      <c r="E65" s="89">
        <f>'2'!K60</f>
        <v>36750</v>
      </c>
      <c r="F65" s="89">
        <f>'3'!K60</f>
        <v>37500</v>
      </c>
      <c r="G65" s="89">
        <f>'4'!K60</f>
        <v>37500</v>
      </c>
      <c r="H65" s="89">
        <f>'5'!K60</f>
        <v>37500</v>
      </c>
      <c r="I65" s="89">
        <f>'6'!K60</f>
        <v>37500</v>
      </c>
      <c r="J65" s="89">
        <f>'7'!K60</f>
        <v>38250</v>
      </c>
      <c r="K65" s="89">
        <f>'8'!K60</f>
        <v>39500</v>
      </c>
      <c r="L65" s="89">
        <f>'9'!K64</f>
        <v>40600</v>
      </c>
      <c r="M65" s="89">
        <f>'10'!K64</f>
        <v>39200</v>
      </c>
      <c r="N65" s="89">
        <f>'11'!K64</f>
        <v>39200</v>
      </c>
      <c r="O65" s="89">
        <f>'12'!K64</f>
        <v>39200</v>
      </c>
      <c r="P65" s="89">
        <f>'13'!K64</f>
        <v>39000</v>
      </c>
      <c r="Q65" s="89">
        <f>'14'!K64</f>
        <v>39000</v>
      </c>
      <c r="R65" s="89">
        <f>'15'!K64</f>
        <v>40000</v>
      </c>
      <c r="S65" s="89">
        <f>'16'!K64</f>
        <v>41000</v>
      </c>
      <c r="T65" s="89">
        <f>'17'!K64</f>
        <v>41000</v>
      </c>
      <c r="U65" s="89">
        <f>'17'!K64</f>
        <v>41000</v>
      </c>
      <c r="V65" s="89">
        <f>'19'!K64</f>
        <v>43000</v>
      </c>
      <c r="W65" s="89">
        <f>'20'!K64</f>
        <v>44000</v>
      </c>
      <c r="X65" s="89">
        <f>'21'!K64</f>
        <v>44000</v>
      </c>
      <c r="Y65" s="89">
        <f>'22'!K64</f>
        <v>44000</v>
      </c>
      <c r="Z65" s="89">
        <f>'23'!K64</f>
        <v>44000</v>
      </c>
      <c r="AA65" s="89">
        <f>'24'!K67</f>
        <v>18166.66667</v>
      </c>
      <c r="AB65" s="89">
        <f>'25'!K64</f>
        <v>44000</v>
      </c>
      <c r="AC65" s="89">
        <f>'26'!K64</f>
        <v>45000</v>
      </c>
      <c r="AD65" s="89">
        <f>'27'!K64</f>
        <v>43000</v>
      </c>
      <c r="AE65" s="89">
        <f>'28'!K64</f>
        <v>44000</v>
      </c>
      <c r="AF65" s="89">
        <f>'29'!K64</f>
        <v>45000</v>
      </c>
      <c r="AG65" s="89">
        <f>'30'!K65</f>
        <v>36250</v>
      </c>
      <c r="AH65" s="89">
        <f>'31'!K65</f>
        <v>33600</v>
      </c>
      <c r="AI65" s="89"/>
      <c r="AJ65" s="89">
        <f t="shared" si="3"/>
        <v>-7650</v>
      </c>
      <c r="AK65" s="103">
        <f t="shared" si="1"/>
        <v>39773.11828</v>
      </c>
    </row>
    <row r="66" ht="15.75" customHeight="1">
      <c r="A66" s="71"/>
      <c r="B66" s="87" t="s">
        <v>92</v>
      </c>
      <c r="C66" s="88" t="s">
        <v>24</v>
      </c>
      <c r="D66" s="89">
        <f>'1'!K61</f>
        <v>61714.28571</v>
      </c>
      <c r="E66" s="89">
        <f>'2'!K61</f>
        <v>61714.28571</v>
      </c>
      <c r="F66" s="89">
        <f>'3'!K61</f>
        <v>61000</v>
      </c>
      <c r="G66" s="89">
        <f>'4'!K61</f>
        <v>63857.14286</v>
      </c>
      <c r="H66" s="89">
        <f>'5'!K61</f>
        <v>63142.85714</v>
      </c>
      <c r="I66" s="89">
        <f>'6'!K61</f>
        <v>66142.85714</v>
      </c>
      <c r="J66" s="89">
        <f>'7'!K61</f>
        <v>67571.42857</v>
      </c>
      <c r="K66" s="89">
        <f>'8'!K61</f>
        <v>68285.71429</v>
      </c>
      <c r="L66" s="89">
        <f>'9'!K65</f>
        <v>70000</v>
      </c>
      <c r="M66" s="89">
        <f>'10'!K65</f>
        <v>71428.57143</v>
      </c>
      <c r="N66" s="89">
        <f>'11'!K65</f>
        <v>72857.14286</v>
      </c>
      <c r="O66" s="89">
        <f>'12'!K65</f>
        <v>73571.42857</v>
      </c>
      <c r="P66" s="89">
        <f>'13'!K65</f>
        <v>74285.71429</v>
      </c>
      <c r="Q66" s="89">
        <f>'14'!K65</f>
        <v>74571.42857</v>
      </c>
      <c r="R66" s="89">
        <f>'15'!K65</f>
        <v>80000</v>
      </c>
      <c r="S66" s="89">
        <f>'16'!K65</f>
        <v>81428.57143</v>
      </c>
      <c r="T66" s="89">
        <f>'17'!K65</f>
        <v>80000</v>
      </c>
      <c r="U66" s="89">
        <f>'17'!K65</f>
        <v>80000</v>
      </c>
      <c r="V66" s="89">
        <f>'19'!K65</f>
        <v>79285.71429</v>
      </c>
      <c r="W66" s="89">
        <f>'20'!K65</f>
        <v>79285.71429</v>
      </c>
      <c r="X66" s="89">
        <f>'21'!K65</f>
        <v>77857.14286</v>
      </c>
      <c r="Y66" s="89">
        <f>'22'!K65</f>
        <v>75714.28571</v>
      </c>
      <c r="Z66" s="89">
        <f>'23'!K65</f>
        <v>78571.42857</v>
      </c>
      <c r="AA66" s="89" t="str">
        <f>'24'!K68</f>
        <v/>
      </c>
      <c r="AB66" s="89">
        <f>'25'!K65</f>
        <v>76428.57143</v>
      </c>
      <c r="AC66" s="89">
        <f>'26'!K65</f>
        <v>76428.57143</v>
      </c>
      <c r="AD66" s="89">
        <f>'27'!K65</f>
        <v>73571.42857</v>
      </c>
      <c r="AE66" s="89">
        <f>'28'!K65</f>
        <v>62857.14286</v>
      </c>
      <c r="AF66" s="89">
        <f>'29'!K65</f>
        <v>55000</v>
      </c>
      <c r="AG66" s="89">
        <f>'30'!K66</f>
        <v>26285.71429</v>
      </c>
      <c r="AH66" s="89">
        <f>'31'!K66</f>
        <v>51428.57143</v>
      </c>
      <c r="AI66" s="89"/>
      <c r="AJ66" s="89">
        <f t="shared" si="3"/>
        <v>-10285.71429</v>
      </c>
      <c r="AK66" s="103">
        <f t="shared" si="1"/>
        <v>69476.19048</v>
      </c>
    </row>
    <row r="67" ht="15.75" customHeight="1">
      <c r="A67" s="154">
        <v>18.0</v>
      </c>
      <c r="B67" s="125" t="s">
        <v>93</v>
      </c>
      <c r="C67" s="150"/>
      <c r="D67" s="89" t="str">
        <f>'1'!K62</f>
        <v/>
      </c>
      <c r="E67" s="89" t="str">
        <f>'2'!K62</f>
        <v/>
      </c>
      <c r="F67" s="89" t="str">
        <f>'3'!K62</f>
        <v/>
      </c>
      <c r="G67" s="89" t="str">
        <f>'4'!K62</f>
        <v/>
      </c>
      <c r="H67" s="89" t="str">
        <f>'5'!K62</f>
        <v/>
      </c>
      <c r="I67" s="89" t="str">
        <f>'6'!K62</f>
        <v/>
      </c>
      <c r="J67" s="89" t="str">
        <f>'7'!K62</f>
        <v/>
      </c>
      <c r="K67" s="89" t="str">
        <f>'8'!K62</f>
        <v/>
      </c>
      <c r="L67" s="89" t="str">
        <f>'9'!K66</f>
        <v/>
      </c>
      <c r="M67" s="89" t="str">
        <f>'10'!K66</f>
        <v/>
      </c>
      <c r="N67" s="89" t="str">
        <f>'11'!K66</f>
        <v/>
      </c>
      <c r="O67" s="89" t="str">
        <f>'12'!K66</f>
        <v/>
      </c>
      <c r="P67" s="89" t="str">
        <f>'13'!K66</f>
        <v/>
      </c>
      <c r="Q67" s="89" t="str">
        <f>'14'!K66</f>
        <v/>
      </c>
      <c r="R67" s="89" t="str">
        <f>'15'!K66</f>
        <v/>
      </c>
      <c r="S67" s="89" t="str">
        <f>'16'!K66</f>
        <v/>
      </c>
      <c r="T67" s="89" t="str">
        <f>'17'!K66</f>
        <v/>
      </c>
      <c r="U67" s="89" t="str">
        <f>'17'!K66</f>
        <v/>
      </c>
      <c r="V67" s="89" t="str">
        <f>'19'!K66</f>
        <v/>
      </c>
      <c r="W67" s="89" t="str">
        <f>'20'!K66</f>
        <v/>
      </c>
      <c r="X67" s="89" t="str">
        <f>'21'!K66</f>
        <v/>
      </c>
      <c r="Y67" s="89" t="str">
        <f>'22'!K66</f>
        <v/>
      </c>
      <c r="Z67" s="89" t="str">
        <f>'23'!K66</f>
        <v/>
      </c>
      <c r="AA67" s="89">
        <f>'24'!K69</f>
        <v>33571.42857</v>
      </c>
      <c r="AB67" s="89" t="str">
        <f>'25'!K66</f>
        <v/>
      </c>
      <c r="AC67" s="89" t="str">
        <f>'26'!K66</f>
        <v/>
      </c>
      <c r="AD67" s="89" t="str">
        <f>'27'!K66</f>
        <v/>
      </c>
      <c r="AE67" s="89" t="str">
        <f>'28'!K66</f>
        <v/>
      </c>
      <c r="AF67" s="89" t="str">
        <f>'29'!K66</f>
        <v/>
      </c>
      <c r="AG67" s="89" t="str">
        <f>'30'!K67</f>
        <v/>
      </c>
      <c r="AH67" s="89" t="str">
        <f>'31'!K67</f>
        <v/>
      </c>
      <c r="AI67" s="89"/>
      <c r="AJ67" s="89">
        <f t="shared" si="3"/>
        <v>0</v>
      </c>
      <c r="AK67" s="103">
        <f t="shared" si="1"/>
        <v>33571.42857</v>
      </c>
    </row>
    <row r="68" ht="15.75" customHeight="1">
      <c r="A68" s="155"/>
      <c r="B68" s="87" t="s">
        <v>94</v>
      </c>
      <c r="C68" s="88" t="s">
        <v>95</v>
      </c>
      <c r="D68" s="89">
        <f>'1'!K63</f>
        <v>18166.66667</v>
      </c>
      <c r="E68" s="89">
        <f>'2'!K63</f>
        <v>18166.66667</v>
      </c>
      <c r="F68" s="89">
        <f>'3'!K63</f>
        <v>18166.66667</v>
      </c>
      <c r="G68" s="89">
        <f>'4'!K63</f>
        <v>18166.66667</v>
      </c>
      <c r="H68" s="89">
        <f>'5'!K63</f>
        <v>18166.66667</v>
      </c>
      <c r="I68" s="89">
        <f>'6'!K63</f>
        <v>18166.66667</v>
      </c>
      <c r="J68" s="89">
        <f>'7'!K63</f>
        <v>18166.66667</v>
      </c>
      <c r="K68" s="89">
        <f>'8'!K63</f>
        <v>18166.66667</v>
      </c>
      <c r="L68" s="89">
        <f>'9'!K67</f>
        <v>18166.66667</v>
      </c>
      <c r="M68" s="89">
        <f>'10'!K67</f>
        <v>18166.66667</v>
      </c>
      <c r="N68" s="89">
        <f>'11'!K67</f>
        <v>18166.66667</v>
      </c>
      <c r="O68" s="89">
        <f>'12'!K67</f>
        <v>18166.66667</v>
      </c>
      <c r="P68" s="89">
        <f>'13'!K67</f>
        <v>18166.66667</v>
      </c>
      <c r="Q68" s="89">
        <f>'14'!K67</f>
        <v>18166.66667</v>
      </c>
      <c r="R68" s="89">
        <f>'15'!K67</f>
        <v>18166.66667</v>
      </c>
      <c r="S68" s="89">
        <f>'16'!K67</f>
        <v>18166.66667</v>
      </c>
      <c r="T68" s="89">
        <f>'17'!K67</f>
        <v>18166.66667</v>
      </c>
      <c r="U68" s="89">
        <f>'17'!K67</f>
        <v>18166.66667</v>
      </c>
      <c r="V68" s="89">
        <f>'19'!K67</f>
        <v>18166.66667</v>
      </c>
      <c r="W68" s="89">
        <f>'20'!K67</f>
        <v>18166.66667</v>
      </c>
      <c r="X68" s="89">
        <f>'21'!K67</f>
        <v>18166.66667</v>
      </c>
      <c r="Y68" s="89">
        <f>'22'!K67</f>
        <v>18166.66667</v>
      </c>
      <c r="Z68" s="89">
        <f>'23'!K67</f>
        <v>18166.66667</v>
      </c>
      <c r="AA68" s="89">
        <f>'24'!K70</f>
        <v>29142.85714</v>
      </c>
      <c r="AB68" s="89">
        <f>'25'!K67</f>
        <v>18166.66667</v>
      </c>
      <c r="AC68" s="89">
        <f>'26'!K67</f>
        <v>18166.66667</v>
      </c>
      <c r="AD68" s="89">
        <f>'27'!K67</f>
        <v>18166.66667</v>
      </c>
      <c r="AE68" s="89">
        <f>'28'!K67</f>
        <v>18166.66667</v>
      </c>
      <c r="AF68" s="89">
        <f>'29'!K67</f>
        <v>18166.66667</v>
      </c>
      <c r="AG68" s="89">
        <f>'30'!K68</f>
        <v>18166.66667</v>
      </c>
      <c r="AH68" s="89">
        <f>'31'!K68</f>
        <v>18166.66667</v>
      </c>
      <c r="AI68" s="89"/>
      <c r="AJ68" s="89">
        <f t="shared" si="3"/>
        <v>0</v>
      </c>
      <c r="AK68" s="103">
        <f t="shared" si="1"/>
        <v>18520.73733</v>
      </c>
    </row>
    <row r="69" ht="15.75" customHeight="1">
      <c r="A69" s="123">
        <v>19.0</v>
      </c>
      <c r="B69" s="125" t="s">
        <v>96</v>
      </c>
      <c r="C69" s="125"/>
      <c r="D69" s="89" t="str">
        <f>'1'!K64</f>
        <v/>
      </c>
      <c r="E69" s="89" t="str">
        <f>'2'!K64</f>
        <v/>
      </c>
      <c r="F69" s="89" t="str">
        <f>'3'!K64</f>
        <v/>
      </c>
      <c r="G69" s="89" t="str">
        <f>'4'!K64</f>
        <v/>
      </c>
      <c r="H69" s="89" t="str">
        <f>'5'!K64</f>
        <v/>
      </c>
      <c r="I69" s="89" t="str">
        <f>'6'!K64</f>
        <v/>
      </c>
      <c r="J69" s="89" t="str">
        <f>'7'!K64</f>
        <v/>
      </c>
      <c r="K69" s="89" t="str">
        <f>'8'!K64</f>
        <v/>
      </c>
      <c r="L69" s="89" t="str">
        <f>'9'!K68</f>
        <v/>
      </c>
      <c r="M69" s="89" t="str">
        <f>'10'!K68</f>
        <v/>
      </c>
      <c r="N69" s="89" t="str">
        <f>'11'!K68</f>
        <v/>
      </c>
      <c r="O69" s="89" t="str">
        <f>'12'!K68</f>
        <v/>
      </c>
      <c r="P69" s="89" t="str">
        <f>'13'!K68</f>
        <v/>
      </c>
      <c r="Q69" s="89" t="str">
        <f>'14'!K68</f>
        <v/>
      </c>
      <c r="R69" s="89" t="str">
        <f>'15'!K68</f>
        <v/>
      </c>
      <c r="S69" s="89" t="str">
        <f>'16'!K68</f>
        <v/>
      </c>
      <c r="T69" s="89" t="str">
        <f>'17'!K68</f>
        <v/>
      </c>
      <c r="U69" s="89" t="str">
        <f>'17'!K68</f>
        <v/>
      </c>
      <c r="V69" s="89" t="str">
        <f>'19'!K68</f>
        <v/>
      </c>
      <c r="W69" s="89" t="str">
        <f>'20'!K68</f>
        <v/>
      </c>
      <c r="X69" s="89" t="str">
        <f>'21'!K68</f>
        <v/>
      </c>
      <c r="Y69" s="89" t="str">
        <f>'22'!K68</f>
        <v/>
      </c>
      <c r="Z69" s="89" t="str">
        <f>'23'!K68</f>
        <v/>
      </c>
      <c r="AA69" s="89">
        <f>'24'!K71</f>
        <v>33142.85714</v>
      </c>
      <c r="AB69" s="89" t="str">
        <f>'25'!K68</f>
        <v/>
      </c>
      <c r="AC69" s="89" t="str">
        <f>'26'!K68</f>
        <v/>
      </c>
      <c r="AD69" s="89" t="str">
        <f>'27'!K68</f>
        <v/>
      </c>
      <c r="AE69" s="89" t="str">
        <f>'28'!K68</f>
        <v/>
      </c>
      <c r="AF69" s="89" t="str">
        <f>'29'!K68</f>
        <v/>
      </c>
      <c r="AG69" s="89" t="str">
        <f>'30'!K69</f>
        <v/>
      </c>
      <c r="AH69" s="89" t="str">
        <f>'31'!K69</f>
        <v/>
      </c>
      <c r="AI69" s="89"/>
      <c r="AJ69" s="89">
        <f t="shared" si="3"/>
        <v>0</v>
      </c>
      <c r="AK69" s="103">
        <f t="shared" si="1"/>
        <v>33142.85714</v>
      </c>
    </row>
    <row r="70" ht="15.75" customHeight="1">
      <c r="A70" s="25"/>
      <c r="B70" s="87" t="s">
        <v>97</v>
      </c>
      <c r="C70" s="88" t="s">
        <v>24</v>
      </c>
      <c r="D70" s="89">
        <f>'1'!K65</f>
        <v>32142.85714</v>
      </c>
      <c r="E70" s="89">
        <f>'2'!K65</f>
        <v>32000</v>
      </c>
      <c r="F70" s="89">
        <f>'3'!K65</f>
        <v>32000</v>
      </c>
      <c r="G70" s="89">
        <f>'4'!K65</f>
        <v>32000</v>
      </c>
      <c r="H70" s="89">
        <f>'5'!K65</f>
        <v>32428.57143</v>
      </c>
      <c r="I70" s="89">
        <f>'6'!K65</f>
        <v>33571.42857</v>
      </c>
      <c r="J70" s="89">
        <f>'7'!K65</f>
        <v>33714.28571</v>
      </c>
      <c r="K70" s="89">
        <f>'8'!K65</f>
        <v>33142.85714</v>
      </c>
      <c r="L70" s="89">
        <f>'9'!K69</f>
        <v>35142.85714</v>
      </c>
      <c r="M70" s="89">
        <f>'10'!K69</f>
        <v>35142.85714</v>
      </c>
      <c r="N70" s="89">
        <f>'11'!K69</f>
        <v>35142.85714</v>
      </c>
      <c r="O70" s="89">
        <f>'12'!K69</f>
        <v>35000</v>
      </c>
      <c r="P70" s="89">
        <f>'13'!K69</f>
        <v>35428.57143</v>
      </c>
      <c r="Q70" s="89">
        <f>'14'!K69</f>
        <v>35000</v>
      </c>
      <c r="R70" s="89">
        <f>'15'!K69</f>
        <v>35000</v>
      </c>
      <c r="S70" s="89">
        <f>'16'!K69</f>
        <v>35428.57143</v>
      </c>
      <c r="T70" s="89">
        <f>'17'!K69</f>
        <v>34857.14286</v>
      </c>
      <c r="U70" s="89">
        <f>'17'!K69</f>
        <v>34857.14286</v>
      </c>
      <c r="V70" s="89">
        <f>'19'!K69</f>
        <v>34714.28571</v>
      </c>
      <c r="W70" s="89">
        <f>'20'!K69</f>
        <v>33428.57143</v>
      </c>
      <c r="X70" s="89">
        <f>'21'!K69</f>
        <v>33428.57143</v>
      </c>
      <c r="Y70" s="89">
        <f>'22'!K69</f>
        <v>33428.57143</v>
      </c>
      <c r="Z70" s="89">
        <f>'23'!K69</f>
        <v>33428.57143</v>
      </c>
      <c r="AA70" s="89">
        <f>'24'!K72</f>
        <v>22571.42857</v>
      </c>
      <c r="AB70" s="89">
        <f>'25'!K69</f>
        <v>33571.42857</v>
      </c>
      <c r="AC70" s="89">
        <f>'26'!K69</f>
        <v>33571.42857</v>
      </c>
      <c r="AD70" s="89">
        <f>'27'!K69</f>
        <v>33285.71429</v>
      </c>
      <c r="AE70" s="89">
        <f>'28'!K69</f>
        <v>33285.71429</v>
      </c>
      <c r="AF70" s="89">
        <f>'29'!K69</f>
        <v>33428.57143</v>
      </c>
      <c r="AG70" s="89">
        <f>'30'!K70</f>
        <v>35000</v>
      </c>
      <c r="AH70" s="89">
        <f>'31'!K70</f>
        <v>33857.14286</v>
      </c>
      <c r="AI70" s="89"/>
      <c r="AJ70" s="89">
        <f t="shared" si="3"/>
        <v>1714.285714</v>
      </c>
      <c r="AK70" s="103">
        <f t="shared" si="1"/>
        <v>33516.12903</v>
      </c>
    </row>
    <row r="71" ht="15.75" customHeight="1">
      <c r="A71" s="25"/>
      <c r="B71" s="87" t="s">
        <v>98</v>
      </c>
      <c r="C71" s="88" t="s">
        <v>24</v>
      </c>
      <c r="D71" s="89">
        <f>'1'!K66</f>
        <v>27142.85714</v>
      </c>
      <c r="E71" s="89">
        <f>'2'!K66</f>
        <v>27142.85714</v>
      </c>
      <c r="F71" s="89">
        <f>'3'!K66</f>
        <v>26714.28571</v>
      </c>
      <c r="G71" s="89">
        <f>'4'!K66</f>
        <v>26714.28571</v>
      </c>
      <c r="H71" s="89">
        <f>'5'!K66</f>
        <v>26857.14286</v>
      </c>
      <c r="I71" s="89">
        <f>'6'!K66</f>
        <v>27714.28571</v>
      </c>
      <c r="J71" s="89">
        <f>'7'!K66</f>
        <v>27857.14286</v>
      </c>
      <c r="K71" s="89">
        <f>'8'!K66</f>
        <v>27571.42857</v>
      </c>
      <c r="L71" s="89">
        <f>'9'!K70</f>
        <v>29142.85714</v>
      </c>
      <c r="M71" s="89">
        <f>'10'!K70</f>
        <v>29714.28571</v>
      </c>
      <c r="N71" s="89">
        <f>'11'!K70</f>
        <v>29714.28571</v>
      </c>
      <c r="O71" s="89">
        <f>'12'!K70</f>
        <v>29571.42857</v>
      </c>
      <c r="P71" s="89">
        <f>'13'!K70</f>
        <v>29857.14286</v>
      </c>
      <c r="Q71" s="89">
        <f>'14'!K70</f>
        <v>29000</v>
      </c>
      <c r="R71" s="89">
        <f>'15'!K70</f>
        <v>29285.71429</v>
      </c>
      <c r="S71" s="89">
        <f>'16'!K70</f>
        <v>28857.14286</v>
      </c>
      <c r="T71" s="89">
        <f>'17'!K70</f>
        <v>28857.14286</v>
      </c>
      <c r="U71" s="89">
        <f>'17'!K70</f>
        <v>28857.14286</v>
      </c>
      <c r="V71" s="89">
        <f>'19'!K70</f>
        <v>28714.28571</v>
      </c>
      <c r="W71" s="89">
        <f>'20'!K70</f>
        <v>28714.28571</v>
      </c>
      <c r="X71" s="89">
        <f>'21'!K70</f>
        <v>28857.14286</v>
      </c>
      <c r="Y71" s="89">
        <f>'22'!K70</f>
        <v>29000</v>
      </c>
      <c r="Z71" s="89">
        <f>'23'!K70</f>
        <v>28857.14286</v>
      </c>
      <c r="AA71" s="89" t="str">
        <f>'24'!K73</f>
        <v/>
      </c>
      <c r="AB71" s="89">
        <f>'25'!K70</f>
        <v>28714.28571</v>
      </c>
      <c r="AC71" s="89">
        <f>'26'!K70</f>
        <v>28714.28571</v>
      </c>
      <c r="AD71" s="89">
        <f>'27'!K70</f>
        <v>28428.57143</v>
      </c>
      <c r="AE71" s="89">
        <f>'28'!K70</f>
        <v>28571.42857</v>
      </c>
      <c r="AF71" s="89">
        <f>'29'!K70</f>
        <v>28857.14286</v>
      </c>
      <c r="AG71" s="89">
        <f>'30'!K71</f>
        <v>30571.42857</v>
      </c>
      <c r="AH71" s="89">
        <f>'31'!K71</f>
        <v>28857.14286</v>
      </c>
      <c r="AI71" s="89"/>
      <c r="AJ71" s="89">
        <f t="shared" si="3"/>
        <v>1714.285714</v>
      </c>
      <c r="AK71" s="103">
        <f t="shared" si="1"/>
        <v>28580.95238</v>
      </c>
    </row>
    <row r="72" ht="15.75" customHeight="1">
      <c r="A72" s="25"/>
      <c r="B72" s="87" t="s">
        <v>99</v>
      </c>
      <c r="C72" s="88" t="s">
        <v>24</v>
      </c>
      <c r="D72" s="89">
        <f>'1'!K67</f>
        <v>31142.85714</v>
      </c>
      <c r="E72" s="89">
        <f>'2'!K67</f>
        <v>31142.85714</v>
      </c>
      <c r="F72" s="89">
        <f>'3'!K67</f>
        <v>31142.85714</v>
      </c>
      <c r="G72" s="89">
        <f>'4'!K67</f>
        <v>31428.57143</v>
      </c>
      <c r="H72" s="89">
        <f>'5'!K67</f>
        <v>31714.28571</v>
      </c>
      <c r="I72" s="89">
        <f>'6'!K67</f>
        <v>33000</v>
      </c>
      <c r="J72" s="89">
        <f>'7'!K67</f>
        <v>33000</v>
      </c>
      <c r="K72" s="89">
        <f>'8'!K67</f>
        <v>33428.57143</v>
      </c>
      <c r="L72" s="89">
        <f>'9'!K71</f>
        <v>32571.42857</v>
      </c>
      <c r="M72" s="89">
        <f>'10'!K71</f>
        <v>33142.85714</v>
      </c>
      <c r="N72" s="89">
        <f>'11'!K71</f>
        <v>33000</v>
      </c>
      <c r="O72" s="89">
        <f>'12'!K71</f>
        <v>33285.71429</v>
      </c>
      <c r="P72" s="89">
        <f>'13'!K71</f>
        <v>33285.71429</v>
      </c>
      <c r="Q72" s="89">
        <f>'14'!K71</f>
        <v>33714.28571</v>
      </c>
      <c r="R72" s="89">
        <f>'15'!K71</f>
        <v>33428.57143</v>
      </c>
      <c r="S72" s="89">
        <f>'16'!K71</f>
        <v>34000</v>
      </c>
      <c r="T72" s="89">
        <f>'17'!K71</f>
        <v>33714.28571</v>
      </c>
      <c r="U72" s="89">
        <f>'17'!K71</f>
        <v>33714.28571</v>
      </c>
      <c r="V72" s="89">
        <f>'19'!K71</f>
        <v>32428.57143</v>
      </c>
      <c r="W72" s="89">
        <f>'20'!K71</f>
        <v>33000</v>
      </c>
      <c r="X72" s="89">
        <f>'21'!K71</f>
        <v>33142.85714</v>
      </c>
      <c r="Y72" s="89">
        <f>'22'!K71</f>
        <v>33142.85714</v>
      </c>
      <c r="Z72" s="89">
        <f>'23'!K71</f>
        <v>33571.42857</v>
      </c>
      <c r="AA72" s="89">
        <f>'24'!K74</f>
        <v>5571.428571</v>
      </c>
      <c r="AB72" s="89">
        <f>'25'!K71</f>
        <v>32428.57143</v>
      </c>
      <c r="AC72" s="89">
        <f>'26'!K71</f>
        <v>32428.57143</v>
      </c>
      <c r="AD72" s="89">
        <f>'27'!K71</f>
        <v>32571.42857</v>
      </c>
      <c r="AE72" s="89">
        <f>'28'!K71</f>
        <v>32714.28571</v>
      </c>
      <c r="AF72" s="89">
        <f>'29'!K71</f>
        <v>33142.85714</v>
      </c>
      <c r="AG72" s="89">
        <f>'30'!K72</f>
        <v>42714.28571</v>
      </c>
      <c r="AH72" s="89">
        <f>'31'!K72</f>
        <v>32285.71429</v>
      </c>
      <c r="AI72" s="89">
        <v>12000.0</v>
      </c>
      <c r="AJ72" s="89">
        <f t="shared" si="3"/>
        <v>1142.857143</v>
      </c>
      <c r="AK72" s="103">
        <f t="shared" si="1"/>
        <v>32225.80645</v>
      </c>
    </row>
    <row r="73" ht="15.75" customHeight="1">
      <c r="A73" s="71"/>
      <c r="B73" s="87" t="s">
        <v>100</v>
      </c>
      <c r="C73" s="88" t="s">
        <v>24</v>
      </c>
      <c r="D73" s="89">
        <f>'1'!K68</f>
        <v>22285.71429</v>
      </c>
      <c r="E73" s="89">
        <f>'2'!K68</f>
        <v>22285.71429</v>
      </c>
      <c r="F73" s="89">
        <f>'3'!K68</f>
        <v>22285.71429</v>
      </c>
      <c r="G73" s="89">
        <f>'4'!K68</f>
        <v>22285.71429</v>
      </c>
      <c r="H73" s="89">
        <f>'5'!K68</f>
        <v>22285.71429</v>
      </c>
      <c r="I73" s="89">
        <f>'6'!K68</f>
        <v>22000</v>
      </c>
      <c r="J73" s="89">
        <f>'7'!K68</f>
        <v>22000</v>
      </c>
      <c r="K73" s="89">
        <f>'8'!K68</f>
        <v>22000</v>
      </c>
      <c r="L73" s="89">
        <f>'9'!K72</f>
        <v>22285.71429</v>
      </c>
      <c r="M73" s="89">
        <f>'10'!K72</f>
        <v>22285.71429</v>
      </c>
      <c r="N73" s="89">
        <f>'11'!K72</f>
        <v>22285.71429</v>
      </c>
      <c r="O73" s="89">
        <f>'12'!K72</f>
        <v>22285.71429</v>
      </c>
      <c r="P73" s="89">
        <f>'13'!K72</f>
        <v>22285.71429</v>
      </c>
      <c r="Q73" s="89">
        <f>'14'!K72</f>
        <v>22285.71429</v>
      </c>
      <c r="R73" s="89">
        <f>'15'!K72</f>
        <v>22571.42857</v>
      </c>
      <c r="S73" s="89">
        <f>'16'!K72</f>
        <v>22571.42857</v>
      </c>
      <c r="T73" s="89">
        <f>'17'!K72</f>
        <v>22285.71429</v>
      </c>
      <c r="U73" s="89">
        <f>'17'!K72</f>
        <v>22285.71429</v>
      </c>
      <c r="V73" s="89">
        <f>'19'!K72</f>
        <v>22571.42857</v>
      </c>
      <c r="W73" s="89">
        <f>'20'!K72</f>
        <v>22571.42857</v>
      </c>
      <c r="X73" s="89">
        <f>'21'!K72</f>
        <v>22571.42857</v>
      </c>
      <c r="Y73" s="89">
        <f>'22'!K72</f>
        <v>22571.42857</v>
      </c>
      <c r="Z73" s="89">
        <f>'23'!K72</f>
        <v>22571.42857</v>
      </c>
      <c r="AA73" s="89">
        <f>'24'!K75</f>
        <v>6000</v>
      </c>
      <c r="AB73" s="89">
        <f>'25'!K72</f>
        <v>23142.85714</v>
      </c>
      <c r="AC73" s="89">
        <f>'26'!K72</f>
        <v>23142.85714</v>
      </c>
      <c r="AD73" s="89">
        <f>'27'!K72</f>
        <v>22857.14286</v>
      </c>
      <c r="AE73" s="89">
        <f>'28'!K72</f>
        <v>24857.14286</v>
      </c>
      <c r="AF73" s="89">
        <f>'29'!K72</f>
        <v>24857.14286</v>
      </c>
      <c r="AG73" s="89">
        <f>'30'!K73</f>
        <v>39571.42857</v>
      </c>
      <c r="AH73" s="89">
        <f>'31'!K73</f>
        <v>26571.42857</v>
      </c>
      <c r="AI73" s="89"/>
      <c r="AJ73" s="89">
        <f t="shared" si="3"/>
        <v>4285.714286</v>
      </c>
      <c r="AK73" s="103">
        <f t="shared" si="1"/>
        <v>22732.71889</v>
      </c>
    </row>
    <row r="74" ht="15.75" customHeight="1">
      <c r="A74" s="154">
        <v>20.0</v>
      </c>
      <c r="B74" s="125" t="s">
        <v>101</v>
      </c>
      <c r="C74" s="150"/>
      <c r="D74" s="89" t="str">
        <f>'1'!K69</f>
        <v/>
      </c>
      <c r="E74" s="89" t="str">
        <f>'2'!K69</f>
        <v/>
      </c>
      <c r="F74" s="89" t="str">
        <f>'3'!K69</f>
        <v/>
      </c>
      <c r="G74" s="89" t="str">
        <f>'4'!K69</f>
        <v/>
      </c>
      <c r="H74" s="89" t="str">
        <f>'5'!K69</f>
        <v/>
      </c>
      <c r="I74" s="89" t="str">
        <f>'6'!K69</f>
        <v/>
      </c>
      <c r="J74" s="89" t="str">
        <f>'7'!K69</f>
        <v/>
      </c>
      <c r="K74" s="89" t="str">
        <f>'8'!K69</f>
        <v/>
      </c>
      <c r="L74" s="89" t="str">
        <f>'9'!K73</f>
        <v/>
      </c>
      <c r="M74" s="89" t="str">
        <f>'10'!K73</f>
        <v/>
      </c>
      <c r="N74" s="89" t="str">
        <f>'11'!K73</f>
        <v/>
      </c>
      <c r="O74" s="89" t="str">
        <f>'12'!K73</f>
        <v/>
      </c>
      <c r="P74" s="89" t="str">
        <f>'13'!K73</f>
        <v/>
      </c>
      <c r="Q74" s="89" t="str">
        <f>'14'!K73</f>
        <v/>
      </c>
      <c r="R74" s="89" t="str">
        <f>'15'!K73</f>
        <v/>
      </c>
      <c r="S74" s="89" t="str">
        <f>'16'!K73</f>
        <v/>
      </c>
      <c r="T74" s="89" t="str">
        <f>'17'!K73</f>
        <v/>
      </c>
      <c r="U74" s="89" t="str">
        <f>'17'!K73</f>
        <v/>
      </c>
      <c r="V74" s="89" t="str">
        <f>'19'!K73</f>
        <v/>
      </c>
      <c r="W74" s="89" t="str">
        <f>'20'!K73</f>
        <v/>
      </c>
      <c r="X74" s="89" t="str">
        <f>'21'!K73</f>
        <v/>
      </c>
      <c r="Y74" s="89" t="str">
        <f>'22'!K73</f>
        <v/>
      </c>
      <c r="Z74" s="89" t="str">
        <f>'23'!K73</f>
        <v/>
      </c>
      <c r="AA74" s="89" t="str">
        <f>'24'!K76</f>
        <v/>
      </c>
      <c r="AB74" s="89" t="str">
        <f>'25'!K73</f>
        <v/>
      </c>
      <c r="AC74" s="89" t="str">
        <f>'26'!K73</f>
        <v/>
      </c>
      <c r="AD74" s="89" t="str">
        <f>'27'!K73</f>
        <v/>
      </c>
      <c r="AE74" s="89" t="str">
        <f>'28'!K73</f>
        <v/>
      </c>
      <c r="AF74" s="89" t="str">
        <f>'29'!K73</f>
        <v/>
      </c>
      <c r="AG74" s="89" t="str">
        <f>'30'!K74</f>
        <v/>
      </c>
      <c r="AH74" s="89" t="str">
        <f>'31'!K74</f>
        <v/>
      </c>
      <c r="AI74" s="89"/>
      <c r="AJ74" s="89">
        <f t="shared" si="3"/>
        <v>0</v>
      </c>
      <c r="AK74" s="103" t="str">
        <f t="shared" si="1"/>
        <v>#DIV/0!</v>
      </c>
    </row>
    <row r="75" ht="15.75" customHeight="1">
      <c r="A75" s="159"/>
      <c r="B75" s="87" t="s">
        <v>102</v>
      </c>
      <c r="C75" s="88" t="s">
        <v>24</v>
      </c>
      <c r="D75" s="89">
        <f>'1'!K70</f>
        <v>5571.428571</v>
      </c>
      <c r="E75" s="89">
        <f>'2'!K70</f>
        <v>5571.428571</v>
      </c>
      <c r="F75" s="89">
        <f>'3'!K70</f>
        <v>5571.428571</v>
      </c>
      <c r="G75" s="89">
        <f>'4'!K70</f>
        <v>5571.428571</v>
      </c>
      <c r="H75" s="89">
        <f>'5'!K70</f>
        <v>5571.428571</v>
      </c>
      <c r="I75" s="89">
        <f>'6'!K70</f>
        <v>5571.428571</v>
      </c>
      <c r="J75" s="89">
        <f>'7'!K70</f>
        <v>5571.428571</v>
      </c>
      <c r="K75" s="89">
        <f>'8'!K70</f>
        <v>5571.428571</v>
      </c>
      <c r="L75" s="89">
        <f>'9'!K74</f>
        <v>5571.428571</v>
      </c>
      <c r="M75" s="89">
        <f>'10'!K74</f>
        <v>5571.428571</v>
      </c>
      <c r="N75" s="89">
        <f>'11'!K74</f>
        <v>5571.428571</v>
      </c>
      <c r="O75" s="89">
        <f>'12'!K74</f>
        <v>5571.428571</v>
      </c>
      <c r="P75" s="89">
        <f>'13'!K74</f>
        <v>5571.428571</v>
      </c>
      <c r="Q75" s="89">
        <f>'14'!K74</f>
        <v>5571.428571</v>
      </c>
      <c r="R75" s="89">
        <f>'15'!K74</f>
        <v>5571.428571</v>
      </c>
      <c r="S75" s="89">
        <f>'16'!K74</f>
        <v>5571.428571</v>
      </c>
      <c r="T75" s="89">
        <f>'17'!K74</f>
        <v>5571.428571</v>
      </c>
      <c r="U75" s="89">
        <f>'17'!K74</f>
        <v>5571.428571</v>
      </c>
      <c r="V75" s="89">
        <f>'19'!K74</f>
        <v>5571.428571</v>
      </c>
      <c r="W75" s="89">
        <f>'20'!K74</f>
        <v>5571.428571</v>
      </c>
      <c r="X75" s="89">
        <f>'21'!K74</f>
        <v>5571.428571</v>
      </c>
      <c r="Y75" s="89">
        <f>'22'!K74</f>
        <v>5571.428571</v>
      </c>
      <c r="Z75" s="89">
        <f>'23'!K74</f>
        <v>5571.428571</v>
      </c>
      <c r="AA75" s="89">
        <f>'24'!K77</f>
        <v>8285.714286</v>
      </c>
      <c r="AB75" s="89">
        <f>'25'!K74</f>
        <v>5571.428571</v>
      </c>
      <c r="AC75" s="89">
        <f>'26'!K74</f>
        <v>5571.428571</v>
      </c>
      <c r="AD75" s="89">
        <f>'27'!K74</f>
        <v>5571.428571</v>
      </c>
      <c r="AE75" s="89">
        <f>'28'!K74</f>
        <v>5571.428571</v>
      </c>
      <c r="AF75" s="89">
        <f>'29'!K74</f>
        <v>5571.428571</v>
      </c>
      <c r="AG75" s="89">
        <f>'30'!K75</f>
        <v>5714.285714</v>
      </c>
      <c r="AH75" s="89">
        <f>'31'!K75</f>
        <v>5571.428571</v>
      </c>
      <c r="AI75" s="89"/>
      <c r="AJ75" s="89">
        <f t="shared" si="3"/>
        <v>0</v>
      </c>
      <c r="AK75" s="103">
        <f t="shared" si="1"/>
        <v>5663.59447</v>
      </c>
    </row>
    <row r="76" ht="15.75" customHeight="1">
      <c r="A76" s="155"/>
      <c r="B76" s="87" t="s">
        <v>103</v>
      </c>
      <c r="C76" s="88" t="s">
        <v>24</v>
      </c>
      <c r="D76" s="89">
        <f>'1'!K71</f>
        <v>5600</v>
      </c>
      <c r="E76" s="89">
        <f>'2'!K71</f>
        <v>5600</v>
      </c>
      <c r="F76" s="89">
        <f>'3'!K71</f>
        <v>5800</v>
      </c>
      <c r="G76" s="89">
        <f>'4'!K71</f>
        <v>5800</v>
      </c>
      <c r="H76" s="89">
        <f>'5'!K71</f>
        <v>5800</v>
      </c>
      <c r="I76" s="89">
        <f>'6'!K71</f>
        <v>5800</v>
      </c>
      <c r="J76" s="89">
        <f>'7'!K71</f>
        <v>5800</v>
      </c>
      <c r="K76" s="89">
        <f>'8'!K71</f>
        <v>6000</v>
      </c>
      <c r="L76" s="89">
        <f>'9'!K75</f>
        <v>6000</v>
      </c>
      <c r="M76" s="89">
        <f>'10'!K75</f>
        <v>6000</v>
      </c>
      <c r="N76" s="89">
        <f>'11'!K75</f>
        <v>6000</v>
      </c>
      <c r="O76" s="89">
        <f>'12'!K75</f>
        <v>6000</v>
      </c>
      <c r="P76" s="89">
        <f>'13'!K75</f>
        <v>6000</v>
      </c>
      <c r="Q76" s="89">
        <f>'14'!K75</f>
        <v>6000</v>
      </c>
      <c r="R76" s="89">
        <f>'15'!K75</f>
        <v>6000</v>
      </c>
      <c r="S76" s="89">
        <f>'16'!K75</f>
        <v>6000</v>
      </c>
      <c r="T76" s="89">
        <f>'17'!K75</f>
        <v>6000</v>
      </c>
      <c r="U76" s="89">
        <f>'17'!K75</f>
        <v>6000</v>
      </c>
      <c r="V76" s="89">
        <f>'19'!K75</f>
        <v>6000</v>
      </c>
      <c r="W76" s="89">
        <f>'20'!K75</f>
        <v>6000</v>
      </c>
      <c r="X76" s="89">
        <f>'21'!K75</f>
        <v>6000</v>
      </c>
      <c r="Y76" s="89">
        <f>'22'!K75</f>
        <v>6000</v>
      </c>
      <c r="Z76" s="89">
        <f>'23'!K75</f>
        <v>6000</v>
      </c>
      <c r="AA76" s="89">
        <f>'24'!K78</f>
        <v>13285.71429</v>
      </c>
      <c r="AB76" s="89">
        <f>'25'!K75</f>
        <v>6000</v>
      </c>
      <c r="AC76" s="89">
        <f>'26'!K75</f>
        <v>6000</v>
      </c>
      <c r="AD76" s="89">
        <f>'27'!K75</f>
        <v>6000</v>
      </c>
      <c r="AE76" s="89">
        <f>'28'!K75</f>
        <v>6000</v>
      </c>
      <c r="AF76" s="89">
        <f>'29'!K75</f>
        <v>6000</v>
      </c>
      <c r="AG76" s="89">
        <f>'30'!K76</f>
        <v>6000</v>
      </c>
      <c r="AH76" s="89">
        <f>'31'!K76</f>
        <v>6000</v>
      </c>
      <c r="AI76" s="89"/>
      <c r="AJ76" s="89">
        <f t="shared" si="3"/>
        <v>400</v>
      </c>
      <c r="AK76" s="103">
        <f t="shared" si="1"/>
        <v>6176.958525</v>
      </c>
    </row>
    <row r="77" ht="15.75" customHeight="1">
      <c r="A77" s="154">
        <v>21.0</v>
      </c>
      <c r="B77" s="125" t="s">
        <v>104</v>
      </c>
      <c r="C77" s="150"/>
      <c r="D77" s="89" t="str">
        <f>'1'!K72</f>
        <v/>
      </c>
      <c r="E77" s="89" t="str">
        <f>'2'!K72</f>
        <v/>
      </c>
      <c r="F77" s="89" t="str">
        <f>'3'!K72</f>
        <v/>
      </c>
      <c r="G77" s="89" t="str">
        <f>'4'!K72</f>
        <v/>
      </c>
      <c r="H77" s="89" t="str">
        <f>'5'!K72</f>
        <v/>
      </c>
      <c r="I77" s="89" t="str">
        <f>'6'!K72</f>
        <v/>
      </c>
      <c r="J77" s="89" t="str">
        <f>'7'!K72</f>
        <v/>
      </c>
      <c r="K77" s="89" t="str">
        <f>'8'!K72</f>
        <v/>
      </c>
      <c r="L77" s="89" t="str">
        <f>'9'!K76</f>
        <v/>
      </c>
      <c r="M77" s="89" t="str">
        <f>'10'!K76</f>
        <v/>
      </c>
      <c r="N77" s="89" t="str">
        <f>'11'!K76</f>
        <v/>
      </c>
      <c r="O77" s="89" t="str">
        <f>'12'!K76</f>
        <v/>
      </c>
      <c r="P77" s="89" t="str">
        <f>'13'!K76</f>
        <v/>
      </c>
      <c r="Q77" s="89" t="str">
        <f>'14'!K76</f>
        <v/>
      </c>
      <c r="R77" s="89" t="str">
        <f>'15'!K76</f>
        <v/>
      </c>
      <c r="S77" s="89" t="str">
        <f>'16'!K76</f>
        <v/>
      </c>
      <c r="T77" s="89" t="str">
        <f>'17'!K76</f>
        <v/>
      </c>
      <c r="U77" s="89" t="str">
        <f>'17'!K76</f>
        <v/>
      </c>
      <c r="V77" s="89" t="str">
        <f>'19'!K76</f>
        <v/>
      </c>
      <c r="W77" s="89" t="str">
        <f>'20'!K76</f>
        <v/>
      </c>
      <c r="X77" s="89" t="str">
        <f>'21'!K76</f>
        <v/>
      </c>
      <c r="Y77" s="89" t="str">
        <f>'22'!K76</f>
        <v/>
      </c>
      <c r="Z77" s="89" t="str">
        <f>'23'!K76</f>
        <v/>
      </c>
      <c r="AA77" s="89">
        <f>'24'!K79</f>
        <v>15428.57143</v>
      </c>
      <c r="AB77" s="89" t="str">
        <f>'25'!K76</f>
        <v/>
      </c>
      <c r="AC77" s="89" t="str">
        <f>'26'!K76</f>
        <v/>
      </c>
      <c r="AD77" s="89" t="str">
        <f>'27'!K76</f>
        <v/>
      </c>
      <c r="AE77" s="89" t="str">
        <f>'28'!K76</f>
        <v/>
      </c>
      <c r="AF77" s="89" t="str">
        <f>'29'!K76</f>
        <v/>
      </c>
      <c r="AG77" s="89" t="str">
        <f>'30'!K77</f>
        <v/>
      </c>
      <c r="AH77" s="89" t="str">
        <f>'31'!K77</f>
        <v/>
      </c>
      <c r="AI77" s="89"/>
      <c r="AJ77" s="89">
        <f t="shared" si="3"/>
        <v>0</v>
      </c>
      <c r="AK77" s="103">
        <f t="shared" si="1"/>
        <v>15428.57143</v>
      </c>
    </row>
    <row r="78" ht="15.75" customHeight="1">
      <c r="A78" s="159"/>
      <c r="B78" s="87" t="s">
        <v>105</v>
      </c>
      <c r="C78" s="88" t="s">
        <v>24</v>
      </c>
      <c r="D78" s="89">
        <f>'1'!K73</f>
        <v>8571.428571</v>
      </c>
      <c r="E78" s="89">
        <f>'2'!K73</f>
        <v>8714.285714</v>
      </c>
      <c r="F78" s="89">
        <f>'3'!K73</f>
        <v>9000</v>
      </c>
      <c r="G78" s="89">
        <f>'4'!K73</f>
        <v>9000</v>
      </c>
      <c r="H78" s="89">
        <f>'5'!K73</f>
        <v>8857.142857</v>
      </c>
      <c r="I78" s="89">
        <f>'6'!K73</f>
        <v>9000</v>
      </c>
      <c r="J78" s="89">
        <f>'7'!K73</f>
        <v>8714.285714</v>
      </c>
      <c r="K78" s="89">
        <f>'8'!K73</f>
        <v>8714.285714</v>
      </c>
      <c r="L78" s="89">
        <f>'9'!K77</f>
        <v>8714.285714</v>
      </c>
      <c r="M78" s="89">
        <f>'10'!K77</f>
        <v>8714.285714</v>
      </c>
      <c r="N78" s="89">
        <f>'11'!K77</f>
        <v>8714.285714</v>
      </c>
      <c r="O78" s="89">
        <f>'12'!K77</f>
        <v>8428.571429</v>
      </c>
      <c r="P78" s="89">
        <f>'13'!K77</f>
        <v>8428.571429</v>
      </c>
      <c r="Q78" s="89">
        <f>'14'!K77</f>
        <v>8428.571429</v>
      </c>
      <c r="R78" s="89">
        <f>'15'!K77</f>
        <v>8142.857143</v>
      </c>
      <c r="S78" s="89">
        <f>'16'!K77</f>
        <v>8142.857143</v>
      </c>
      <c r="T78" s="89">
        <f>'17'!K77</f>
        <v>8142.857143</v>
      </c>
      <c r="U78" s="89">
        <f>'17'!K77</f>
        <v>8142.857143</v>
      </c>
      <c r="V78" s="89">
        <f>'19'!K77</f>
        <v>8142.857143</v>
      </c>
      <c r="W78" s="89">
        <f>'20'!K77</f>
        <v>8142.857143</v>
      </c>
      <c r="X78" s="89">
        <f>'21'!K77</f>
        <v>8142.857143</v>
      </c>
      <c r="Y78" s="89">
        <f>'22'!K77</f>
        <v>8142.857143</v>
      </c>
      <c r="Z78" s="89">
        <f>'23'!K77</f>
        <v>8285.714286</v>
      </c>
      <c r="AA78" s="89">
        <f>'24'!K80</f>
        <v>12000</v>
      </c>
      <c r="AB78" s="89">
        <f>'25'!K77</f>
        <v>8285.714286</v>
      </c>
      <c r="AC78" s="89">
        <f>'26'!K77</f>
        <v>8285.714286</v>
      </c>
      <c r="AD78" s="89">
        <f>'27'!K77</f>
        <v>8285.714286</v>
      </c>
      <c r="AE78" s="89">
        <f>'28'!K77</f>
        <v>8285.714286</v>
      </c>
      <c r="AF78" s="89">
        <f>'29'!K77</f>
        <v>8285.714286</v>
      </c>
      <c r="AG78" s="89">
        <f>'30'!K78</f>
        <v>9142.857143</v>
      </c>
      <c r="AH78" s="89">
        <f>'31'!K78</f>
        <v>8142.857143</v>
      </c>
      <c r="AI78" s="89"/>
      <c r="AJ78" s="89">
        <f t="shared" si="3"/>
        <v>-428.5714286</v>
      </c>
      <c r="AK78" s="103">
        <f t="shared" si="1"/>
        <v>8585.253456</v>
      </c>
    </row>
    <row r="79" ht="15.75" customHeight="1">
      <c r="A79" s="159"/>
      <c r="B79" s="87" t="s">
        <v>106</v>
      </c>
      <c r="C79" s="88" t="s">
        <v>24</v>
      </c>
      <c r="D79" s="89">
        <f>'1'!K74</f>
        <v>11428.57143</v>
      </c>
      <c r="E79" s="89">
        <f>'2'!K74</f>
        <v>11571.42857</v>
      </c>
      <c r="F79" s="89">
        <f>'3'!K74</f>
        <v>11571.42857</v>
      </c>
      <c r="G79" s="89">
        <f>'4'!K74</f>
        <v>11571.42857</v>
      </c>
      <c r="H79" s="89">
        <f>'5'!K74</f>
        <v>11571.42857</v>
      </c>
      <c r="I79" s="89">
        <f>'6'!K74</f>
        <v>11857.14286</v>
      </c>
      <c r="J79" s="89">
        <f>'7'!K74</f>
        <v>12714.28571</v>
      </c>
      <c r="K79" s="89">
        <f>'8'!K74</f>
        <v>12714.28571</v>
      </c>
      <c r="L79" s="89">
        <f>'9'!K78</f>
        <v>12857.14286</v>
      </c>
      <c r="M79" s="89">
        <f>'10'!K78</f>
        <v>13142.85714</v>
      </c>
      <c r="N79" s="89">
        <f>'11'!K78</f>
        <v>12857.14286</v>
      </c>
      <c r="O79" s="89">
        <f>'12'!K78</f>
        <v>12857.14286</v>
      </c>
      <c r="P79" s="89">
        <f>'13'!K78</f>
        <v>13000</v>
      </c>
      <c r="Q79" s="89">
        <f>'14'!K78</f>
        <v>13285.71429</v>
      </c>
      <c r="R79" s="89">
        <f>'15'!K78</f>
        <v>13142.85714</v>
      </c>
      <c r="S79" s="89">
        <f>'16'!K78</f>
        <v>13142.85714</v>
      </c>
      <c r="T79" s="89">
        <f>'17'!K78</f>
        <v>13142.85714</v>
      </c>
      <c r="U79" s="89">
        <f>'17'!K78</f>
        <v>13142.85714</v>
      </c>
      <c r="V79" s="89">
        <f>'19'!K78</f>
        <v>13142.85714</v>
      </c>
      <c r="W79" s="89">
        <f>'20'!K78</f>
        <v>13000</v>
      </c>
      <c r="X79" s="89">
        <f>'21'!K78</f>
        <v>13000</v>
      </c>
      <c r="Y79" s="89">
        <f>'22'!K78</f>
        <v>13000</v>
      </c>
      <c r="Z79" s="89">
        <f>'23'!K78</f>
        <v>13000</v>
      </c>
      <c r="AA79" s="89">
        <f>'24'!K81</f>
        <v>10857.14286</v>
      </c>
      <c r="AB79" s="89">
        <f>'25'!K78</f>
        <v>13714.28571</v>
      </c>
      <c r="AC79" s="89">
        <f>'26'!K78</f>
        <v>13714.28571</v>
      </c>
      <c r="AD79" s="89">
        <f>'27'!K78</f>
        <v>13285.71429</v>
      </c>
      <c r="AE79" s="89">
        <f>'28'!K78</f>
        <v>13000</v>
      </c>
      <c r="AF79" s="89">
        <f>'29'!K78</f>
        <v>12857.14286</v>
      </c>
      <c r="AG79" s="89">
        <f>'30'!K79</f>
        <v>14142.85714</v>
      </c>
      <c r="AH79" s="89">
        <f>'31'!K79</f>
        <v>13285.71429</v>
      </c>
      <c r="AI79" s="89"/>
      <c r="AJ79" s="89">
        <f t="shared" si="3"/>
        <v>1857.142857</v>
      </c>
      <c r="AK79" s="103">
        <f t="shared" si="1"/>
        <v>12760.36866</v>
      </c>
    </row>
    <row r="80" ht="15.75" customHeight="1">
      <c r="A80" s="159"/>
      <c r="B80" s="87" t="s">
        <v>107</v>
      </c>
      <c r="C80" s="88" t="s">
        <v>24</v>
      </c>
      <c r="D80" s="89">
        <f>'1'!K75</f>
        <v>15285.71429</v>
      </c>
      <c r="E80" s="89">
        <f>'2'!K75</f>
        <v>15571.42857</v>
      </c>
      <c r="F80" s="89">
        <f>'3'!K75</f>
        <v>15571.42857</v>
      </c>
      <c r="G80" s="89">
        <f>'4'!K75</f>
        <v>15571.42857</v>
      </c>
      <c r="H80" s="89">
        <f>'5'!K75</f>
        <v>15571.42857</v>
      </c>
      <c r="I80" s="89">
        <f>'6'!K75</f>
        <v>15571.42857</v>
      </c>
      <c r="J80" s="89">
        <f>'7'!K75</f>
        <v>15571.42857</v>
      </c>
      <c r="K80" s="89">
        <f>'8'!K75</f>
        <v>15571.42857</v>
      </c>
      <c r="L80" s="89">
        <f>'9'!K79</f>
        <v>14857.14286</v>
      </c>
      <c r="M80" s="89">
        <f>'10'!K79</f>
        <v>14857.14286</v>
      </c>
      <c r="N80" s="89">
        <f>'11'!K79</f>
        <v>14714.28571</v>
      </c>
      <c r="O80" s="89">
        <f>'12'!K79</f>
        <v>14714.28571</v>
      </c>
      <c r="P80" s="89">
        <f>'13'!K79</f>
        <v>15285.71429</v>
      </c>
      <c r="Q80" s="89">
        <f>'14'!K79</f>
        <v>15285.71429</v>
      </c>
      <c r="R80" s="89">
        <f>'15'!K79</f>
        <v>15285.71429</v>
      </c>
      <c r="S80" s="89">
        <f>'16'!K79</f>
        <v>15285.71429</v>
      </c>
      <c r="T80" s="89">
        <f>'17'!K79</f>
        <v>15285.71429</v>
      </c>
      <c r="U80" s="89">
        <f>'17'!K79</f>
        <v>15285.71429</v>
      </c>
      <c r="V80" s="89">
        <f>'19'!K79</f>
        <v>15285.71429</v>
      </c>
      <c r="W80" s="89">
        <f>'20'!K79</f>
        <v>15285.71429</v>
      </c>
      <c r="X80" s="89">
        <f>'21'!K79</f>
        <v>15285.71429</v>
      </c>
      <c r="Y80" s="89">
        <f>'22'!K79</f>
        <v>15285.71429</v>
      </c>
      <c r="Z80" s="89">
        <f>'23'!K79</f>
        <v>15428.57143</v>
      </c>
      <c r="AA80" s="89">
        <f>'24'!K82</f>
        <v>8666.666667</v>
      </c>
      <c r="AB80" s="89">
        <f>'25'!K79</f>
        <v>15428.57143</v>
      </c>
      <c r="AC80" s="89">
        <f>'26'!K79</f>
        <v>15428.57143</v>
      </c>
      <c r="AD80" s="89">
        <f>'27'!K79</f>
        <v>15428.57143</v>
      </c>
      <c r="AE80" s="89">
        <f>'28'!K79</f>
        <v>15428.57143</v>
      </c>
      <c r="AF80" s="89">
        <f>'29'!K79</f>
        <v>15571.42857</v>
      </c>
      <c r="AG80" s="89">
        <f>'30'!K80</f>
        <v>15285.71429</v>
      </c>
      <c r="AH80" s="89">
        <f>'31'!K80</f>
        <v>15571.42857</v>
      </c>
      <c r="AI80" s="89"/>
      <c r="AJ80" s="89">
        <f t="shared" si="3"/>
        <v>285.7142857</v>
      </c>
      <c r="AK80" s="103">
        <f t="shared" si="1"/>
        <v>15113.67127</v>
      </c>
    </row>
    <row r="81" ht="15.75" customHeight="1">
      <c r="A81" s="159"/>
      <c r="B81" s="87" t="s">
        <v>108</v>
      </c>
      <c r="C81" s="88" t="s">
        <v>24</v>
      </c>
      <c r="D81" s="89">
        <f>'1'!K76</f>
        <v>11142.85714</v>
      </c>
      <c r="E81" s="89">
        <f>'2'!K76</f>
        <v>10857.14286</v>
      </c>
      <c r="F81" s="89">
        <f>'3'!K76</f>
        <v>11000</v>
      </c>
      <c r="G81" s="89">
        <f>'4'!K76</f>
        <v>11000</v>
      </c>
      <c r="H81" s="89">
        <f>'5'!K76</f>
        <v>11000</v>
      </c>
      <c r="I81" s="89">
        <f>'6'!K76</f>
        <v>11714.28571</v>
      </c>
      <c r="J81" s="89">
        <f>'7'!K76</f>
        <v>12000</v>
      </c>
      <c r="K81" s="89">
        <f>'8'!K76</f>
        <v>12000</v>
      </c>
      <c r="L81" s="89">
        <f>'9'!K80</f>
        <v>12428.57143</v>
      </c>
      <c r="M81" s="89">
        <f>'10'!K80</f>
        <v>12428.57143</v>
      </c>
      <c r="N81" s="89">
        <f>'11'!K80</f>
        <v>12428.57143</v>
      </c>
      <c r="O81" s="89">
        <f>'12'!K80</f>
        <v>11857.14286</v>
      </c>
      <c r="P81" s="89">
        <f>'13'!K80</f>
        <v>11714.28571</v>
      </c>
      <c r="Q81" s="89">
        <f>'14'!K80</f>
        <v>11142.85714</v>
      </c>
      <c r="R81" s="89">
        <f>'15'!K80</f>
        <v>11142.85714</v>
      </c>
      <c r="S81" s="89">
        <f>'16'!K80</f>
        <v>12000</v>
      </c>
      <c r="T81" s="89">
        <f>'17'!K80</f>
        <v>12571.42857</v>
      </c>
      <c r="U81" s="89">
        <f>'17'!K80</f>
        <v>12571.42857</v>
      </c>
      <c r="V81" s="89">
        <f>'19'!K80</f>
        <v>12571.42857</v>
      </c>
      <c r="W81" s="89">
        <f>'20'!K80</f>
        <v>12571.42857</v>
      </c>
      <c r="X81" s="89">
        <f>'21'!K80</f>
        <v>12428.57143</v>
      </c>
      <c r="Y81" s="89">
        <f>'22'!K80</f>
        <v>12000</v>
      </c>
      <c r="Z81" s="89">
        <f>'23'!K80</f>
        <v>12000</v>
      </c>
      <c r="AA81" s="89">
        <f>'24'!K83</f>
        <v>1916.666667</v>
      </c>
      <c r="AB81" s="89">
        <f>'25'!K80</f>
        <v>12142.85714</v>
      </c>
      <c r="AC81" s="89">
        <f>'26'!K80</f>
        <v>12142.85714</v>
      </c>
      <c r="AD81" s="89">
        <f>'27'!K80</f>
        <v>12428.57143</v>
      </c>
      <c r="AE81" s="89">
        <f>'28'!K80</f>
        <v>13285.71429</v>
      </c>
      <c r="AF81" s="89">
        <f>'29'!K80</f>
        <v>14142.85714</v>
      </c>
      <c r="AG81" s="89">
        <f>'30'!K81</f>
        <v>15142.85714</v>
      </c>
      <c r="AH81" s="89">
        <f>'31'!K81</f>
        <v>14571.42857</v>
      </c>
      <c r="AI81" s="89"/>
      <c r="AJ81" s="89">
        <f t="shared" si="3"/>
        <v>3428.571429</v>
      </c>
      <c r="AK81" s="103">
        <f t="shared" si="1"/>
        <v>11882.10445</v>
      </c>
    </row>
    <row r="82" ht="15.75" customHeight="1">
      <c r="A82" s="159"/>
      <c r="B82" s="87" t="s">
        <v>109</v>
      </c>
      <c r="C82" s="88" t="s">
        <v>24</v>
      </c>
      <c r="D82" s="89">
        <f>'1'!K77</f>
        <v>10714.28571</v>
      </c>
      <c r="E82" s="89">
        <f>'2'!K77</f>
        <v>11285.71429</v>
      </c>
      <c r="F82" s="89">
        <f>'3'!K77</f>
        <v>11571.42857</v>
      </c>
      <c r="G82" s="89">
        <f>'4'!K77</f>
        <v>11571.42857</v>
      </c>
      <c r="H82" s="89">
        <f>'5'!K77</f>
        <v>11285.71429</v>
      </c>
      <c r="I82" s="89">
        <f>'6'!K77</f>
        <v>11285.71429</v>
      </c>
      <c r="J82" s="89">
        <f>'7'!K77</f>
        <v>11000</v>
      </c>
      <c r="K82" s="89">
        <f>'8'!K77</f>
        <v>11000</v>
      </c>
      <c r="L82" s="89">
        <f>'9'!K81</f>
        <v>10285.71429</v>
      </c>
      <c r="M82" s="89">
        <f>'10'!K81</f>
        <v>10285.71429</v>
      </c>
      <c r="N82" s="89">
        <f>'11'!K81</f>
        <v>10285.71429</v>
      </c>
      <c r="O82" s="89">
        <f>'12'!K81</f>
        <v>10285.71429</v>
      </c>
      <c r="P82" s="89">
        <f>'13'!K81</f>
        <v>10571.42857</v>
      </c>
      <c r="Q82" s="89">
        <f>'14'!K81</f>
        <v>10285.71429</v>
      </c>
      <c r="R82" s="89">
        <f>'15'!K81</f>
        <v>10285.71429</v>
      </c>
      <c r="S82" s="89">
        <f>'16'!K81</f>
        <v>10285.71429</v>
      </c>
      <c r="T82" s="89">
        <f>'17'!K81</f>
        <v>10285.71429</v>
      </c>
      <c r="U82" s="89">
        <f>'17'!K81</f>
        <v>10285.71429</v>
      </c>
      <c r="V82" s="89">
        <f>'19'!K81</f>
        <v>10285.71429</v>
      </c>
      <c r="W82" s="89">
        <f>'20'!K81</f>
        <v>10285.71429</v>
      </c>
      <c r="X82" s="89">
        <f>'21'!K81</f>
        <v>10285.71429</v>
      </c>
      <c r="Y82" s="89">
        <f>'22'!K81</f>
        <v>10285.71429</v>
      </c>
      <c r="Z82" s="89">
        <f>'23'!K81</f>
        <v>10571.42857</v>
      </c>
      <c r="AA82" s="89">
        <f>'24'!K84</f>
        <v>1750</v>
      </c>
      <c r="AB82" s="89">
        <f>'25'!K81</f>
        <v>10571.42857</v>
      </c>
      <c r="AC82" s="89">
        <f>'26'!K81</f>
        <v>10571.42857</v>
      </c>
      <c r="AD82" s="89">
        <f>'27'!K81</f>
        <v>10714.28571</v>
      </c>
      <c r="AE82" s="89">
        <f>'28'!K81</f>
        <v>10857.14286</v>
      </c>
      <c r="AF82" s="89">
        <f>'29'!K81</f>
        <v>10857.14286</v>
      </c>
      <c r="AG82" s="89">
        <f>'30'!K82</f>
        <v>11571.42857</v>
      </c>
      <c r="AH82" s="89">
        <f>'31'!K82</f>
        <v>10857.14286</v>
      </c>
      <c r="AI82" s="89"/>
      <c r="AJ82" s="89">
        <f t="shared" si="3"/>
        <v>142.8571429</v>
      </c>
      <c r="AK82" s="103">
        <f t="shared" si="1"/>
        <v>10397.46544</v>
      </c>
    </row>
    <row r="83" ht="15.75" customHeight="1">
      <c r="A83" s="159"/>
      <c r="B83" s="87" t="s">
        <v>110</v>
      </c>
      <c r="C83" s="88" t="s">
        <v>24</v>
      </c>
      <c r="D83" s="89">
        <f>'1'!K78</f>
        <v>9250</v>
      </c>
      <c r="E83" s="89">
        <f>'2'!K78</f>
        <v>9250</v>
      </c>
      <c r="F83" s="89">
        <f>'3'!K78</f>
        <v>9250</v>
      </c>
      <c r="G83" s="89">
        <f>'4'!K78</f>
        <v>9250</v>
      </c>
      <c r="H83" s="89">
        <f>'5'!K78</f>
        <v>9250</v>
      </c>
      <c r="I83" s="89">
        <f>'6'!K78</f>
        <v>9250</v>
      </c>
      <c r="J83" s="89">
        <f>'7'!K78</f>
        <v>8750</v>
      </c>
      <c r="K83" s="89">
        <f>'8'!K78</f>
        <v>8750</v>
      </c>
      <c r="L83" s="89">
        <f>'9'!K82</f>
        <v>8400</v>
      </c>
      <c r="M83" s="89">
        <f>'10'!K82</f>
        <v>8500</v>
      </c>
      <c r="N83" s="89">
        <f>'11'!K82</f>
        <v>8500</v>
      </c>
      <c r="O83" s="89">
        <f>'12'!K82</f>
        <v>8500</v>
      </c>
      <c r="P83" s="89">
        <f>'13'!K82</f>
        <v>8500</v>
      </c>
      <c r="Q83" s="89">
        <f>'14'!K82</f>
        <v>8500</v>
      </c>
      <c r="R83" s="89">
        <f>'15'!K82</f>
        <v>8500</v>
      </c>
      <c r="S83" s="89">
        <f>'16'!K82</f>
        <v>8500</v>
      </c>
      <c r="T83" s="89">
        <f>'17'!K82</f>
        <v>8500</v>
      </c>
      <c r="U83" s="89">
        <f>'17'!K82</f>
        <v>8500</v>
      </c>
      <c r="V83" s="89">
        <f>'19'!K82</f>
        <v>8500</v>
      </c>
      <c r="W83" s="89">
        <f>'20'!K82</f>
        <v>8500</v>
      </c>
      <c r="X83" s="89">
        <f>'21'!K82</f>
        <v>8500</v>
      </c>
      <c r="Y83" s="89">
        <f>'22'!K82</f>
        <v>8500</v>
      </c>
      <c r="Z83" s="89">
        <f>'23'!K82</f>
        <v>8666.666667</v>
      </c>
      <c r="AA83" s="89">
        <f>'24'!K85</f>
        <v>2000</v>
      </c>
      <c r="AB83" s="89">
        <f>'25'!K82</f>
        <v>8666.666667</v>
      </c>
      <c r="AC83" s="89">
        <f>'26'!K82</f>
        <v>8666.666667</v>
      </c>
      <c r="AD83" s="89">
        <f>'27'!K82</f>
        <v>8666.666667</v>
      </c>
      <c r="AE83" s="89">
        <f>'28'!K82</f>
        <v>9000</v>
      </c>
      <c r="AF83" s="89">
        <f>'29'!K82</f>
        <v>9000</v>
      </c>
      <c r="AG83" s="89">
        <f>'30'!K83</f>
        <v>9333.333333</v>
      </c>
      <c r="AH83" s="89">
        <f>'31'!K83</f>
        <v>9000</v>
      </c>
      <c r="AI83" s="89"/>
      <c r="AJ83" s="89">
        <f t="shared" si="3"/>
        <v>-250</v>
      </c>
      <c r="AK83" s="103">
        <f t="shared" si="1"/>
        <v>8545.16129</v>
      </c>
    </row>
    <row r="84" ht="15.75" customHeight="1">
      <c r="A84" s="159"/>
      <c r="B84" s="87" t="s">
        <v>111</v>
      </c>
      <c r="C84" s="88" t="s">
        <v>112</v>
      </c>
      <c r="D84" s="89">
        <f>'1'!K79</f>
        <v>1900</v>
      </c>
      <c r="E84" s="89">
        <f>'2'!K79</f>
        <v>1900</v>
      </c>
      <c r="F84" s="89">
        <f>'3'!K79</f>
        <v>1900</v>
      </c>
      <c r="G84" s="89">
        <f>'4'!K79</f>
        <v>1900</v>
      </c>
      <c r="H84" s="89">
        <f>'5'!K79</f>
        <v>1900</v>
      </c>
      <c r="I84" s="89">
        <f>'6'!K79</f>
        <v>1900</v>
      </c>
      <c r="J84" s="89">
        <f>'7'!K79</f>
        <v>1900</v>
      </c>
      <c r="K84" s="89">
        <f>'8'!K79</f>
        <v>1900</v>
      </c>
      <c r="L84" s="89">
        <f>'9'!K83</f>
        <v>1916.666667</v>
      </c>
      <c r="M84" s="89">
        <f>'10'!K83</f>
        <v>1916.666667</v>
      </c>
      <c r="N84" s="89">
        <f>'11'!K83</f>
        <v>1916.666667</v>
      </c>
      <c r="O84" s="89">
        <f>'12'!K83</f>
        <v>1916.666667</v>
      </c>
      <c r="P84" s="89">
        <f>'13'!K83</f>
        <v>1916.666667</v>
      </c>
      <c r="Q84" s="89">
        <f>'14'!K83</f>
        <v>1916.666667</v>
      </c>
      <c r="R84" s="89">
        <f>'15'!K83</f>
        <v>1916.666667</v>
      </c>
      <c r="S84" s="89">
        <f>'16'!K83</f>
        <v>1916.666667</v>
      </c>
      <c r="T84" s="89">
        <f>'17'!K83</f>
        <v>1916.666667</v>
      </c>
      <c r="U84" s="89">
        <f>'17'!K83</f>
        <v>1916.666667</v>
      </c>
      <c r="V84" s="89">
        <f>'19'!K83</f>
        <v>1916.666667</v>
      </c>
      <c r="W84" s="89">
        <f>'20'!K83</f>
        <v>1916.666667</v>
      </c>
      <c r="X84" s="89">
        <f>'21'!K83</f>
        <v>1916.666667</v>
      </c>
      <c r="Y84" s="89">
        <f>'22'!K83</f>
        <v>1916.666667</v>
      </c>
      <c r="Z84" s="89">
        <f>'23'!K83</f>
        <v>1916.666667</v>
      </c>
      <c r="AA84" s="89" t="str">
        <f>'24'!K86</f>
        <v/>
      </c>
      <c r="AB84" s="89">
        <f>'25'!K83</f>
        <v>1916.666667</v>
      </c>
      <c r="AC84" s="89">
        <f>'26'!K83</f>
        <v>1916.666667</v>
      </c>
      <c r="AD84" s="89">
        <f>'27'!K83</f>
        <v>1916.666667</v>
      </c>
      <c r="AE84" s="89">
        <f>'28'!K83</f>
        <v>1916.666667</v>
      </c>
      <c r="AF84" s="89">
        <f>'29'!K83</f>
        <v>1916.666667</v>
      </c>
      <c r="AG84" s="89">
        <f>'30'!K84</f>
        <v>1916.666667</v>
      </c>
      <c r="AH84" s="89">
        <f>'31'!K84</f>
        <v>1916.666667</v>
      </c>
      <c r="AI84" s="89"/>
      <c r="AJ84" s="89">
        <f t="shared" si="3"/>
        <v>16.66666667</v>
      </c>
      <c r="AK84" s="103">
        <f t="shared" si="1"/>
        <v>1912.222222</v>
      </c>
    </row>
    <row r="85" ht="15.75" customHeight="1">
      <c r="A85" s="159"/>
      <c r="B85" s="87" t="s">
        <v>113</v>
      </c>
      <c r="C85" s="88" t="s">
        <v>112</v>
      </c>
      <c r="D85" s="89">
        <f>'1'!K80</f>
        <v>1600</v>
      </c>
      <c r="E85" s="89">
        <f>'2'!K80</f>
        <v>1600</v>
      </c>
      <c r="F85" s="89">
        <f>'3'!K80</f>
        <v>1600</v>
      </c>
      <c r="G85" s="89">
        <f>'4'!K80</f>
        <v>1600</v>
      </c>
      <c r="H85" s="89">
        <f>'5'!K80</f>
        <v>1600</v>
      </c>
      <c r="I85" s="89">
        <f>'6'!K80</f>
        <v>1600</v>
      </c>
      <c r="J85" s="89">
        <f>'7'!K80</f>
        <v>1600</v>
      </c>
      <c r="K85" s="89">
        <f>'8'!K80</f>
        <v>1600</v>
      </c>
      <c r="L85" s="89">
        <f>'9'!K84</f>
        <v>1666.666667</v>
      </c>
      <c r="M85" s="89">
        <f>'10'!K84</f>
        <v>1666.666667</v>
      </c>
      <c r="N85" s="89">
        <f>'11'!K84</f>
        <v>1666.666667</v>
      </c>
      <c r="O85" s="89">
        <f>'12'!K84</f>
        <v>1666.666667</v>
      </c>
      <c r="P85" s="89">
        <f>'13'!K84</f>
        <v>1666.666667</v>
      </c>
      <c r="Q85" s="89">
        <f>'14'!K84</f>
        <v>1666.666667</v>
      </c>
      <c r="R85" s="89">
        <f>'15'!K84</f>
        <v>1666.666667</v>
      </c>
      <c r="S85" s="89">
        <f>'16'!K84</f>
        <v>1666.666667</v>
      </c>
      <c r="T85" s="89">
        <f>'17'!K84</f>
        <v>1666.666667</v>
      </c>
      <c r="U85" s="89">
        <f>'17'!K84</f>
        <v>1666.666667</v>
      </c>
      <c r="V85" s="89">
        <f>'19'!K84</f>
        <v>1666.666667</v>
      </c>
      <c r="W85" s="89">
        <f>'20'!K84</f>
        <v>1666.666667</v>
      </c>
      <c r="X85" s="89">
        <f>'21'!K84</f>
        <v>1666.666667</v>
      </c>
      <c r="Y85" s="89">
        <f>'22'!K84</f>
        <v>1666.666667</v>
      </c>
      <c r="Z85" s="89">
        <f>'23'!K84</f>
        <v>1666.666667</v>
      </c>
      <c r="AA85" s="89">
        <f>'24'!K87</f>
        <v>18000</v>
      </c>
      <c r="AB85" s="89">
        <f>'25'!K84</f>
        <v>1666.666667</v>
      </c>
      <c r="AC85" s="89">
        <f>'26'!K84</f>
        <v>1666.666667</v>
      </c>
      <c r="AD85" s="89">
        <f>'27'!K84</f>
        <v>1666.666667</v>
      </c>
      <c r="AE85" s="89">
        <f>'28'!K84</f>
        <v>1666.666667</v>
      </c>
      <c r="AF85" s="89">
        <f>'29'!K84</f>
        <v>1666.666667</v>
      </c>
      <c r="AG85" s="89">
        <f>'30'!K85</f>
        <v>1666.666667</v>
      </c>
      <c r="AH85" s="89">
        <f>'31'!K85</f>
        <v>1666.666667</v>
      </c>
      <c r="AI85" s="89"/>
      <c r="AJ85" s="89">
        <f t="shared" si="3"/>
        <v>66.66666667</v>
      </c>
      <c r="AK85" s="103">
        <f t="shared" si="1"/>
        <v>2176.344086</v>
      </c>
    </row>
    <row r="86" ht="15.75" customHeight="1">
      <c r="A86" s="155"/>
      <c r="B86" s="87" t="s">
        <v>114</v>
      </c>
      <c r="C86" s="88" t="s">
        <v>112</v>
      </c>
      <c r="D86" s="89">
        <f>'1'!K81</f>
        <v>2000</v>
      </c>
      <c r="E86" s="89">
        <f>'2'!K81</f>
        <v>2000</v>
      </c>
      <c r="F86" s="89">
        <f>'3'!K81</f>
        <v>2000</v>
      </c>
      <c r="G86" s="89">
        <f>'4'!K81</f>
        <v>2000</v>
      </c>
      <c r="H86" s="89">
        <f>'5'!K81</f>
        <v>2000</v>
      </c>
      <c r="I86" s="89">
        <f>'6'!K81</f>
        <v>1900</v>
      </c>
      <c r="J86" s="89">
        <f>'7'!K81</f>
        <v>1900</v>
      </c>
      <c r="K86" s="89">
        <f>'8'!K81</f>
        <v>1900</v>
      </c>
      <c r="L86" s="89">
        <f>'9'!K85</f>
        <v>1900</v>
      </c>
      <c r="M86" s="89">
        <f>'10'!K85</f>
        <v>1900</v>
      </c>
      <c r="N86" s="89">
        <f>'11'!K85</f>
        <v>1900</v>
      </c>
      <c r="O86" s="89">
        <f>'12'!K85</f>
        <v>1900</v>
      </c>
      <c r="P86" s="89">
        <f>'13'!K85</f>
        <v>1900</v>
      </c>
      <c r="Q86" s="89">
        <f>'14'!K85</f>
        <v>1900</v>
      </c>
      <c r="R86" s="89">
        <f>'15'!K85</f>
        <v>1900</v>
      </c>
      <c r="S86" s="89">
        <f>'16'!K85</f>
        <v>1900</v>
      </c>
      <c r="T86" s="89">
        <f>'17'!K85</f>
        <v>1900</v>
      </c>
      <c r="U86" s="89">
        <f>'17'!K85</f>
        <v>1900</v>
      </c>
      <c r="V86" s="89">
        <f>'19'!K85</f>
        <v>1900</v>
      </c>
      <c r="W86" s="89">
        <f>'20'!K85</f>
        <v>1900</v>
      </c>
      <c r="X86" s="89">
        <f>'21'!K85</f>
        <v>1900</v>
      </c>
      <c r="Y86" s="89">
        <f>'22'!K85</f>
        <v>2000</v>
      </c>
      <c r="Z86" s="89">
        <f>'23'!K85</f>
        <v>2000</v>
      </c>
      <c r="AA86" s="89" t="str">
        <f>'24'!K88</f>
        <v/>
      </c>
      <c r="AB86" s="89">
        <f>'25'!K85</f>
        <v>2000</v>
      </c>
      <c r="AC86" s="89">
        <f>'26'!K85</f>
        <v>2000</v>
      </c>
      <c r="AD86" s="89">
        <f>'27'!K85</f>
        <v>2000</v>
      </c>
      <c r="AE86" s="89">
        <f>'28'!K85</f>
        <v>2000</v>
      </c>
      <c r="AF86" s="89">
        <f>'29'!K85</f>
        <v>2000</v>
      </c>
      <c r="AG86" s="89">
        <f>'30'!K86</f>
        <v>2000</v>
      </c>
      <c r="AH86" s="89">
        <f>'31'!K86</f>
        <v>2000</v>
      </c>
      <c r="AI86" s="89"/>
      <c r="AJ86" s="89">
        <f t="shared" si="3"/>
        <v>0</v>
      </c>
      <c r="AK86" s="103">
        <f t="shared" si="1"/>
        <v>1946.666667</v>
      </c>
    </row>
    <row r="87" ht="15.75" customHeight="1">
      <c r="A87" s="154">
        <v>22.0</v>
      </c>
      <c r="B87" s="125" t="s">
        <v>115</v>
      </c>
      <c r="C87" s="150"/>
      <c r="D87" s="89" t="str">
        <f>'1'!K82</f>
        <v/>
      </c>
      <c r="E87" s="89" t="str">
        <f>'2'!K82</f>
        <v/>
      </c>
      <c r="F87" s="89" t="str">
        <f>'3'!K82</f>
        <v/>
      </c>
      <c r="G87" s="89" t="str">
        <f>'4'!K82</f>
        <v/>
      </c>
      <c r="H87" s="89" t="str">
        <f>'5'!K82</f>
        <v/>
      </c>
      <c r="I87" s="89" t="str">
        <f>'6'!K82</f>
        <v/>
      </c>
      <c r="J87" s="89" t="str">
        <f>'7'!K82</f>
        <v/>
      </c>
      <c r="K87" s="89" t="str">
        <f>'8'!K82</f>
        <v/>
      </c>
      <c r="L87" s="89" t="str">
        <f>'9'!K86</f>
        <v/>
      </c>
      <c r="M87" s="89" t="str">
        <f>'10'!K86</f>
        <v/>
      </c>
      <c r="N87" s="89" t="str">
        <f>'11'!K86</f>
        <v/>
      </c>
      <c r="O87" s="89" t="str">
        <f>'12'!K86</f>
        <v/>
      </c>
      <c r="P87" s="89" t="str">
        <f>'13'!K86</f>
        <v/>
      </c>
      <c r="Q87" s="89" t="str">
        <f>'14'!K86</f>
        <v/>
      </c>
      <c r="R87" s="89" t="str">
        <f>'15'!K86</f>
        <v/>
      </c>
      <c r="S87" s="89" t="str">
        <f>'16'!K86</f>
        <v/>
      </c>
      <c r="T87" s="89" t="str">
        <f>'17'!K86</f>
        <v/>
      </c>
      <c r="U87" s="89" t="str">
        <f>'17'!K86</f>
        <v/>
      </c>
      <c r="V87" s="89" t="str">
        <f>'19'!K86</f>
        <v/>
      </c>
      <c r="W87" s="89" t="str">
        <f>'20'!K86</f>
        <v/>
      </c>
      <c r="X87" s="89" t="str">
        <f>'21'!K86</f>
        <v/>
      </c>
      <c r="Y87" s="89" t="str">
        <f>'22'!K86</f>
        <v/>
      </c>
      <c r="Z87" s="89" t="str">
        <f>'23'!K86</f>
        <v/>
      </c>
      <c r="AA87" s="89" t="str">
        <f>'24'!K89</f>
        <v/>
      </c>
      <c r="AB87" s="89" t="str">
        <f>'25'!K86</f>
        <v/>
      </c>
      <c r="AC87" s="89" t="str">
        <f>'26'!K86</f>
        <v/>
      </c>
      <c r="AD87" s="89" t="str">
        <f>'27'!K86</f>
        <v/>
      </c>
      <c r="AE87" s="89" t="str">
        <f>'28'!K86</f>
        <v/>
      </c>
      <c r="AF87" s="89" t="str">
        <f>'29'!K86</f>
        <v/>
      </c>
      <c r="AG87" s="89" t="str">
        <f>'30'!K87</f>
        <v/>
      </c>
      <c r="AH87" s="89" t="str">
        <f>'31'!K87</f>
        <v/>
      </c>
      <c r="AI87" s="89"/>
      <c r="AJ87" s="89">
        <f t="shared" si="3"/>
        <v>0</v>
      </c>
      <c r="AK87" s="103" t="str">
        <f t="shared" si="1"/>
        <v>#DIV/0!</v>
      </c>
    </row>
    <row r="88" ht="15.75" customHeight="1">
      <c r="A88" s="155"/>
      <c r="B88" s="87" t="s">
        <v>117</v>
      </c>
      <c r="C88" s="88" t="s">
        <v>118</v>
      </c>
      <c r="D88" s="89">
        <f>'1'!K83</f>
        <v>18000</v>
      </c>
      <c r="E88" s="89">
        <f>'2'!K83</f>
        <v>18000</v>
      </c>
      <c r="F88" s="89">
        <f>'3'!K83</f>
        <v>18000</v>
      </c>
      <c r="G88" s="89">
        <f>'4'!K83</f>
        <v>18000</v>
      </c>
      <c r="H88" s="89">
        <f>'5'!K83</f>
        <v>18000</v>
      </c>
      <c r="I88" s="89">
        <f>'6'!K83</f>
        <v>18000</v>
      </c>
      <c r="J88" s="89">
        <f>'7'!K83</f>
        <v>18000</v>
      </c>
      <c r="K88" s="89">
        <f>'8'!K83</f>
        <v>18000</v>
      </c>
      <c r="L88" s="89">
        <f>'9'!K87</f>
        <v>18000</v>
      </c>
      <c r="M88" s="89">
        <f>'10'!K87</f>
        <v>18000</v>
      </c>
      <c r="N88" s="89">
        <f>'11'!K87</f>
        <v>18000</v>
      </c>
      <c r="O88" s="89">
        <f>'12'!K87</f>
        <v>18000</v>
      </c>
      <c r="P88" s="89">
        <f>'13'!K87</f>
        <v>18000</v>
      </c>
      <c r="Q88" s="89">
        <f>'14'!K87</f>
        <v>18000</v>
      </c>
      <c r="R88" s="89">
        <f>'15'!K87</f>
        <v>18000</v>
      </c>
      <c r="S88" s="89">
        <f>'16'!K87</f>
        <v>18000</v>
      </c>
      <c r="T88" s="89">
        <f>'17'!K87</f>
        <v>18000</v>
      </c>
      <c r="U88" s="89">
        <f>'17'!K87</f>
        <v>18000</v>
      </c>
      <c r="V88" s="89">
        <f>'19'!K87</f>
        <v>18000</v>
      </c>
      <c r="W88" s="89">
        <f>'20'!K87</f>
        <v>18000</v>
      </c>
      <c r="X88" s="89">
        <f>'21'!K87</f>
        <v>18000</v>
      </c>
      <c r="Y88" s="89">
        <f>'22'!K87</f>
        <v>18000</v>
      </c>
      <c r="Z88" s="89">
        <f>'23'!K87</f>
        <v>18000</v>
      </c>
      <c r="AA88" s="89" t="str">
        <f>'24'!K90</f>
        <v/>
      </c>
      <c r="AB88" s="89">
        <f>'25'!K87</f>
        <v>18000</v>
      </c>
      <c r="AC88" s="89">
        <f>'26'!K87</f>
        <v>18000</v>
      </c>
      <c r="AD88" s="89">
        <f>'27'!K87</f>
        <v>18000</v>
      </c>
      <c r="AE88" s="89">
        <f>'28'!K87</f>
        <v>18000</v>
      </c>
      <c r="AF88" s="89">
        <f>'29'!K87</f>
        <v>18000</v>
      </c>
      <c r="AG88" s="89">
        <f>'30'!K88</f>
        <v>18000</v>
      </c>
      <c r="AH88" s="89">
        <f>'31'!K88</f>
        <v>18000</v>
      </c>
      <c r="AI88" s="89"/>
      <c r="AJ88" s="89">
        <f t="shared" si="3"/>
        <v>0</v>
      </c>
      <c r="AK88" s="103">
        <f t="shared" si="1"/>
        <v>18000</v>
      </c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22">
    <mergeCell ref="A1:AJ1"/>
    <mergeCell ref="A2:AJ2"/>
    <mergeCell ref="A3:AJ3"/>
    <mergeCell ref="B4:B6"/>
    <mergeCell ref="C4:C6"/>
    <mergeCell ref="AI4:AI6"/>
    <mergeCell ref="AJ4:AJ6"/>
    <mergeCell ref="A33:A35"/>
    <mergeCell ref="A43:A45"/>
    <mergeCell ref="A46:A48"/>
    <mergeCell ref="A52:A53"/>
    <mergeCell ref="A54:A55"/>
    <mergeCell ref="A56:A60"/>
    <mergeCell ref="A63:A66"/>
    <mergeCell ref="A69:A73"/>
    <mergeCell ref="A4:A6"/>
    <mergeCell ref="A7:A12"/>
    <mergeCell ref="A13:A15"/>
    <mergeCell ref="A16:A17"/>
    <mergeCell ref="A19:A20"/>
    <mergeCell ref="A21:A25"/>
    <mergeCell ref="A26:A32"/>
  </mergeCells>
  <printOptions/>
  <pageMargins bottom="0.25" footer="0.0" header="0.0" left="0.7" right="0.7" top="0.25"/>
  <pageSetup paperSize="5" scale="45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53">
        <v>12500.0</v>
      </c>
      <c r="F8" s="53">
        <v>14500.0</v>
      </c>
      <c r="G8" s="54">
        <v>12800.0</v>
      </c>
      <c r="H8" s="55">
        <v>14000.0</v>
      </c>
      <c r="I8" s="55">
        <v>13500.0</v>
      </c>
      <c r="J8" s="56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23000.0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20000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16000.0</v>
      </c>
      <c r="J14" s="55">
        <v>16000.0</v>
      </c>
      <c r="K14" s="65">
        <f t="shared" si="2"/>
        <v>16142.85714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15000.0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15428.57143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115000.0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109857.1429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105000.0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100000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30000.0</v>
      </c>
      <c r="F24" s="62">
        <v>32000.0</v>
      </c>
      <c r="G24" s="62">
        <v>30000.0</v>
      </c>
      <c r="H24" s="55">
        <v>32000.0</v>
      </c>
      <c r="I24" s="64">
        <v>30000.0</v>
      </c>
      <c r="J24" s="55">
        <v>32000.0</v>
      </c>
      <c r="K24" s="65">
        <f t="shared" si="4"/>
        <v>30857.14286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40000.0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80000.0</v>
      </c>
      <c r="J28" s="104">
        <v>60000.0</v>
      </c>
      <c r="K28" s="65">
        <f t="shared" si="5"/>
        <v>67166.66667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40000.0</v>
      </c>
      <c r="J30" s="55">
        <v>36000.0</v>
      </c>
      <c r="K30" s="65">
        <f t="shared" si="5"/>
        <v>37142.85714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26000.0</v>
      </c>
      <c r="F33" s="62">
        <v>26000.0</v>
      </c>
      <c r="G33" s="62">
        <v>26000.0</v>
      </c>
      <c r="H33" s="64">
        <v>24000.0</v>
      </c>
      <c r="I33" s="64">
        <v>26000.0</v>
      </c>
      <c r="J33" s="55">
        <v>25000.0</v>
      </c>
      <c r="K33" s="65">
        <f t="shared" ref="K33:K34" si="6">AVERAGE(D33:J33)</f>
        <v>25571.42857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106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106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106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106">
        <v>6000.0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3571.428571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26000.0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24571.42857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24000.0</v>
      </c>
      <c r="E59" s="62">
        <v>25000.0</v>
      </c>
      <c r="F59" s="62">
        <v>25000.0</v>
      </c>
      <c r="G59" s="62">
        <v>40000.0</v>
      </c>
      <c r="H59" s="64">
        <v>20000.0</v>
      </c>
      <c r="I59" s="64">
        <v>35000.0</v>
      </c>
      <c r="J59" s="55">
        <v>30000.0</v>
      </c>
      <c r="K59" s="65">
        <f t="shared" ref="K59:K61" si="12">AVERAGE(D59:J59)</f>
        <v>28428.57143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40000.0</v>
      </c>
      <c r="E60" s="62">
        <v>35000.0</v>
      </c>
      <c r="F60" s="62">
        <v>40000.0</v>
      </c>
      <c r="G60" s="62">
        <v>50000.0</v>
      </c>
      <c r="H60" s="126" t="s">
        <v>27</v>
      </c>
      <c r="I60" s="69" t="s">
        <v>27</v>
      </c>
      <c r="J60" s="102" t="s">
        <v>27</v>
      </c>
      <c r="K60" s="65">
        <f t="shared" si="12"/>
        <v>41250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52000.0</v>
      </c>
      <c r="E61" s="62">
        <v>60000.0</v>
      </c>
      <c r="F61" s="62">
        <v>60000.0</v>
      </c>
      <c r="G61" s="62">
        <v>65000.0</v>
      </c>
      <c r="H61" s="64">
        <v>65000.0</v>
      </c>
      <c r="I61" s="64">
        <v>65000.0</v>
      </c>
      <c r="J61" s="55">
        <v>65000.0</v>
      </c>
      <c r="K61" s="65">
        <f t="shared" si="12"/>
        <v>61714.28571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30000.0</v>
      </c>
      <c r="E65" s="62">
        <v>35000.0</v>
      </c>
      <c r="F65" s="62">
        <v>33000.0</v>
      </c>
      <c r="G65" s="62">
        <v>30000.0</v>
      </c>
      <c r="H65" s="64">
        <v>29000.0</v>
      </c>
      <c r="I65" s="64">
        <v>35000.0</v>
      </c>
      <c r="J65" s="55">
        <v>33000.0</v>
      </c>
      <c r="K65" s="65">
        <f t="shared" ref="K65:K68" si="13">AVERAGE(D65:J65)</f>
        <v>32142.85714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26000.0</v>
      </c>
      <c r="E66" s="62">
        <v>32000.0</v>
      </c>
      <c r="F66" s="62">
        <v>30000.0</v>
      </c>
      <c r="G66" s="62">
        <v>25000.0</v>
      </c>
      <c r="H66" s="64">
        <v>25000.0</v>
      </c>
      <c r="I66" s="64">
        <v>25000.0</v>
      </c>
      <c r="J66" s="55">
        <v>27000.0</v>
      </c>
      <c r="K66" s="65">
        <f t="shared" si="13"/>
        <v>27142.85714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28000.0</v>
      </c>
      <c r="E67" s="62">
        <v>35000.0</v>
      </c>
      <c r="F67" s="62">
        <v>32000.0</v>
      </c>
      <c r="G67" s="62">
        <v>35000.0</v>
      </c>
      <c r="H67" s="64">
        <v>25000.0</v>
      </c>
      <c r="I67" s="64">
        <v>35000.0</v>
      </c>
      <c r="J67" s="55">
        <v>28000.0</v>
      </c>
      <c r="K67" s="65">
        <f t="shared" si="13"/>
        <v>31142.85714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20000.0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22285.71429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6000.0</v>
      </c>
      <c r="J71" s="104">
        <v>6000.0</v>
      </c>
      <c r="K71" s="65">
        <f t="shared" si="14"/>
        <v>5600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7000.0</v>
      </c>
      <c r="E73" s="62">
        <v>10000.0</v>
      </c>
      <c r="F73" s="62">
        <v>8000.0</v>
      </c>
      <c r="G73" s="62">
        <v>9000.0</v>
      </c>
      <c r="H73" s="64">
        <v>9000.0</v>
      </c>
      <c r="I73" s="69">
        <v>10000.0</v>
      </c>
      <c r="J73" s="55">
        <v>7000.0</v>
      </c>
      <c r="K73" s="65">
        <f t="shared" ref="K73:K81" si="15">AVERAGE(D73:J73)</f>
        <v>8571.428571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12000.0</v>
      </c>
      <c r="F74" s="62">
        <v>12000.0</v>
      </c>
      <c r="G74" s="62">
        <v>12000.0</v>
      </c>
      <c r="H74" s="64">
        <v>10000.0</v>
      </c>
      <c r="I74" s="69">
        <v>12000.0</v>
      </c>
      <c r="J74" s="55">
        <v>12000.0</v>
      </c>
      <c r="K74" s="65">
        <f t="shared" si="15"/>
        <v>11428.57143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15000.0</v>
      </c>
      <c r="F75" s="62">
        <v>16000.0</v>
      </c>
      <c r="G75" s="62">
        <v>15000.0</v>
      </c>
      <c r="H75" s="64">
        <v>15000.0</v>
      </c>
      <c r="I75" s="64">
        <v>16000.0</v>
      </c>
      <c r="J75" s="55">
        <v>15000.0</v>
      </c>
      <c r="K75" s="65">
        <f t="shared" si="15"/>
        <v>15285.71429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12000.0</v>
      </c>
      <c r="F76" s="62">
        <v>14000.0</v>
      </c>
      <c r="G76" s="62">
        <v>17000.0</v>
      </c>
      <c r="H76" s="64">
        <v>8000.0</v>
      </c>
      <c r="I76" s="69">
        <v>8000.0</v>
      </c>
      <c r="J76" s="55">
        <v>7000.0</v>
      </c>
      <c r="K76" s="65">
        <f t="shared" si="15"/>
        <v>11142.85714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8000.0</v>
      </c>
      <c r="E77" s="62">
        <v>12000.0</v>
      </c>
      <c r="F77" s="62">
        <v>10000.0</v>
      </c>
      <c r="G77" s="62">
        <v>13000.0</v>
      </c>
      <c r="H77" s="64">
        <v>10000.0</v>
      </c>
      <c r="I77" s="64">
        <v>12000.0</v>
      </c>
      <c r="J77" s="55">
        <v>10000.0</v>
      </c>
      <c r="K77" s="65">
        <f t="shared" si="15"/>
        <v>10714.28571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10000.0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9250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2000.0</v>
      </c>
      <c r="K81" s="65">
        <f t="shared" si="15"/>
        <v>2000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5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53">
        <v>12500.0</v>
      </c>
      <c r="F8" s="53">
        <v>14500.0</v>
      </c>
      <c r="G8" s="54">
        <v>12800.0</v>
      </c>
      <c r="H8" s="55">
        <v>14000.0</v>
      </c>
      <c r="I8" s="55">
        <v>13500.0</v>
      </c>
      <c r="J8" s="56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23000.0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20000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16000.0</v>
      </c>
      <c r="J14" s="55">
        <v>16000.0</v>
      </c>
      <c r="K14" s="65">
        <f t="shared" si="2"/>
        <v>16142.85714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15000.0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15428.57143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115000.0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109857.1429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105000.0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100000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30000.0</v>
      </c>
      <c r="F24" s="62">
        <v>32000.0</v>
      </c>
      <c r="G24" s="62">
        <v>30000.0</v>
      </c>
      <c r="H24" s="55">
        <v>32000.0</v>
      </c>
      <c r="I24" s="64">
        <v>30000.0</v>
      </c>
      <c r="J24" s="55">
        <v>32000.0</v>
      </c>
      <c r="K24" s="65">
        <f t="shared" si="4"/>
        <v>30857.14286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40000.0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80000.0</v>
      </c>
      <c r="J28" s="104">
        <v>60000.0</v>
      </c>
      <c r="K28" s="65">
        <f t="shared" si="5"/>
        <v>67166.66667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40000.0</v>
      </c>
      <c r="J30" s="55">
        <v>36000.0</v>
      </c>
      <c r="K30" s="65">
        <f t="shared" si="5"/>
        <v>37142.85714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26000.0</v>
      </c>
      <c r="F33" s="62">
        <v>26000.0</v>
      </c>
      <c r="G33" s="62">
        <v>26000.0</v>
      </c>
      <c r="H33" s="64">
        <v>24000.0</v>
      </c>
      <c r="I33" s="64">
        <v>26000.0</v>
      </c>
      <c r="J33" s="55">
        <v>25000.0</v>
      </c>
      <c r="K33" s="65">
        <f t="shared" ref="K33:K34" si="6">AVERAGE(D33:J33)</f>
        <v>25571.42857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106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106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106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106">
        <v>6000.0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3571.428571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26000.0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24571.42857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24000.0</v>
      </c>
      <c r="E59" s="62">
        <v>25000.0</v>
      </c>
      <c r="F59" s="62">
        <v>24000.0</v>
      </c>
      <c r="G59" s="62">
        <v>35000.0</v>
      </c>
      <c r="H59" s="64">
        <v>20000.0</v>
      </c>
      <c r="I59" s="64">
        <v>35000.0</v>
      </c>
      <c r="J59" s="55">
        <v>30000.0</v>
      </c>
      <c r="K59" s="65">
        <f t="shared" ref="K59:K61" si="12">AVERAGE(D59:J59)</f>
        <v>27571.42857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40000.0</v>
      </c>
      <c r="E60" s="62">
        <v>35000.0</v>
      </c>
      <c r="F60" s="62">
        <v>32000.0</v>
      </c>
      <c r="G60" s="62">
        <v>40000.0</v>
      </c>
      <c r="H60" s="126" t="s">
        <v>27</v>
      </c>
      <c r="I60" s="69" t="s">
        <v>27</v>
      </c>
      <c r="J60" s="102" t="s">
        <v>27</v>
      </c>
      <c r="K60" s="65">
        <f t="shared" si="12"/>
        <v>36750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52000.0</v>
      </c>
      <c r="E61" s="62">
        <v>60000.0</v>
      </c>
      <c r="F61" s="62">
        <v>60000.0</v>
      </c>
      <c r="G61" s="62">
        <v>65000.0</v>
      </c>
      <c r="H61" s="64">
        <v>65000.0</v>
      </c>
      <c r="I61" s="64">
        <v>65000.0</v>
      </c>
      <c r="J61" s="55">
        <v>65000.0</v>
      </c>
      <c r="K61" s="65">
        <f t="shared" si="12"/>
        <v>61714.28571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30000.0</v>
      </c>
      <c r="E65" s="62">
        <v>35000.0</v>
      </c>
      <c r="F65" s="62">
        <v>32000.0</v>
      </c>
      <c r="G65" s="62">
        <v>30000.0</v>
      </c>
      <c r="H65" s="64">
        <v>29000.0</v>
      </c>
      <c r="I65" s="64">
        <v>35000.0</v>
      </c>
      <c r="J65" s="55">
        <v>33000.0</v>
      </c>
      <c r="K65" s="65">
        <f t="shared" ref="K65:K68" si="13">AVERAGE(D65:J65)</f>
        <v>32000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26000.0</v>
      </c>
      <c r="E66" s="62">
        <v>32000.0</v>
      </c>
      <c r="F66" s="62">
        <v>30000.0</v>
      </c>
      <c r="G66" s="62">
        <v>25000.0</v>
      </c>
      <c r="H66" s="64">
        <v>25000.0</v>
      </c>
      <c r="I66" s="64">
        <v>25000.0</v>
      </c>
      <c r="J66" s="55">
        <v>27000.0</v>
      </c>
      <c r="K66" s="65">
        <f t="shared" si="13"/>
        <v>27142.85714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28000.0</v>
      </c>
      <c r="E67" s="62">
        <v>35000.0</v>
      </c>
      <c r="F67" s="62">
        <v>32000.0</v>
      </c>
      <c r="G67" s="62">
        <v>35000.0</v>
      </c>
      <c r="H67" s="64">
        <v>25000.0</v>
      </c>
      <c r="I67" s="64">
        <v>35000.0</v>
      </c>
      <c r="J67" s="55">
        <v>28000.0</v>
      </c>
      <c r="K67" s="65">
        <f t="shared" si="13"/>
        <v>31142.85714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20000.0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22285.71429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6000.0</v>
      </c>
      <c r="J71" s="104">
        <v>6000.0</v>
      </c>
      <c r="K71" s="65">
        <f t="shared" si="14"/>
        <v>5600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7000.0</v>
      </c>
      <c r="E73" s="62">
        <v>10000.0</v>
      </c>
      <c r="F73" s="62">
        <v>8000.0</v>
      </c>
      <c r="G73" s="62">
        <v>10000.0</v>
      </c>
      <c r="H73" s="64">
        <v>9000.0</v>
      </c>
      <c r="I73" s="69">
        <v>10000.0</v>
      </c>
      <c r="J73" s="55">
        <v>7000.0</v>
      </c>
      <c r="K73" s="65">
        <f t="shared" ref="K73:K81" si="15">AVERAGE(D73:J73)</f>
        <v>8714.285714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12000.0</v>
      </c>
      <c r="F74" s="62">
        <v>12000.0</v>
      </c>
      <c r="G74" s="62">
        <v>13000.0</v>
      </c>
      <c r="H74" s="64">
        <v>10000.0</v>
      </c>
      <c r="I74" s="69">
        <v>12000.0</v>
      </c>
      <c r="J74" s="55">
        <v>12000.0</v>
      </c>
      <c r="K74" s="65">
        <f t="shared" si="15"/>
        <v>11571.42857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15000.0</v>
      </c>
      <c r="F75" s="62">
        <v>17000.0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f t="shared" si="15"/>
        <v>15571.42857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12000.0</v>
      </c>
      <c r="F76" s="62">
        <v>14000.0</v>
      </c>
      <c r="G76" s="62">
        <v>15000.0</v>
      </c>
      <c r="H76" s="64">
        <v>8000.0</v>
      </c>
      <c r="I76" s="69">
        <v>8000.0</v>
      </c>
      <c r="J76" s="55">
        <v>7000.0</v>
      </c>
      <c r="K76" s="65">
        <f t="shared" si="15"/>
        <v>10857.14286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8000.0</v>
      </c>
      <c r="E77" s="62">
        <v>12000.0</v>
      </c>
      <c r="F77" s="62">
        <v>12000.0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f t="shared" si="15"/>
        <v>11285.71429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10000.0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9250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2000.0</v>
      </c>
      <c r="K81" s="65">
        <f t="shared" si="15"/>
        <v>2000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53">
        <v>12500.0</v>
      </c>
      <c r="F8" s="53">
        <v>14500.0</v>
      </c>
      <c r="G8" s="54">
        <v>12800.0</v>
      </c>
      <c r="H8" s="55">
        <v>14000.0</v>
      </c>
      <c r="I8" s="55">
        <v>13500.0</v>
      </c>
      <c r="J8" s="56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23000.0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20000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17000.0</v>
      </c>
      <c r="J14" s="55">
        <v>16000.0</v>
      </c>
      <c r="K14" s="65">
        <f t="shared" si="2"/>
        <v>16285.71429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15000.0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15428.57143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115000.0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109857.1429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105000.0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100000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28000.0</v>
      </c>
      <c r="F24" s="62">
        <v>32000.0</v>
      </c>
      <c r="G24" s="62">
        <v>30000.0</v>
      </c>
      <c r="H24" s="55">
        <v>32000.0</v>
      </c>
      <c r="I24" s="64">
        <v>30000.0</v>
      </c>
      <c r="J24" s="55">
        <v>32000.0</v>
      </c>
      <c r="K24" s="65">
        <f t="shared" si="4"/>
        <v>30571.42857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40000.0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80000.0</v>
      </c>
      <c r="J28" s="104">
        <v>60000.0</v>
      </c>
      <c r="K28" s="65">
        <f t="shared" si="5"/>
        <v>67166.66667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40000.0</v>
      </c>
      <c r="J30" s="55">
        <v>36000.0</v>
      </c>
      <c r="K30" s="65">
        <f t="shared" si="5"/>
        <v>37142.85714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26000.0</v>
      </c>
      <c r="F33" s="62">
        <v>26000.0</v>
      </c>
      <c r="G33" s="62">
        <v>26000.0</v>
      </c>
      <c r="H33" s="64">
        <v>24000.0</v>
      </c>
      <c r="I33" s="64">
        <v>26000.0</v>
      </c>
      <c r="J33" s="55">
        <v>25000.0</v>
      </c>
      <c r="K33" s="65">
        <f t="shared" ref="K33:K34" si="6">AVERAGE(D33:J33)</f>
        <v>25571.42857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106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106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106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106">
        <v>6000.0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3571.428571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26000.0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24571.42857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24000.0</v>
      </c>
      <c r="E59" s="62">
        <v>25000.0</v>
      </c>
      <c r="F59" s="62">
        <v>24000.0</v>
      </c>
      <c r="G59" s="62">
        <v>35000.0</v>
      </c>
      <c r="H59" s="64">
        <v>20000.0</v>
      </c>
      <c r="I59" s="64">
        <v>35000.0</v>
      </c>
      <c r="J59" s="55">
        <v>30000.0</v>
      </c>
      <c r="K59" s="65">
        <f t="shared" ref="K59:K61" si="12">AVERAGE(D59:J59)</f>
        <v>27571.42857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40000.0</v>
      </c>
      <c r="E60" s="62">
        <v>35000.0</v>
      </c>
      <c r="F60" s="62">
        <v>35000.0</v>
      </c>
      <c r="G60" s="62">
        <v>40000.0</v>
      </c>
      <c r="H60" s="126" t="s">
        <v>27</v>
      </c>
      <c r="I60" s="69" t="s">
        <v>27</v>
      </c>
      <c r="J60" s="102" t="s">
        <v>27</v>
      </c>
      <c r="K60" s="65">
        <f t="shared" si="12"/>
        <v>37500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52000.0</v>
      </c>
      <c r="E61" s="62">
        <v>60000.0</v>
      </c>
      <c r="F61" s="62">
        <v>65000.0</v>
      </c>
      <c r="G61" s="62">
        <v>65000.0</v>
      </c>
      <c r="H61" s="64">
        <v>55000.0</v>
      </c>
      <c r="I61" s="64">
        <v>65000.0</v>
      </c>
      <c r="J61" s="55">
        <v>65000.0</v>
      </c>
      <c r="K61" s="65">
        <f t="shared" si="12"/>
        <v>61000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30000.0</v>
      </c>
      <c r="E65" s="62">
        <v>35000.0</v>
      </c>
      <c r="F65" s="62">
        <v>32000.0</v>
      </c>
      <c r="G65" s="62">
        <v>30000.0</v>
      </c>
      <c r="H65" s="64">
        <v>29000.0</v>
      </c>
      <c r="I65" s="64">
        <v>35000.0</v>
      </c>
      <c r="J65" s="55">
        <v>33000.0</v>
      </c>
      <c r="K65" s="65">
        <f t="shared" ref="K65:K68" si="13">AVERAGE(D65:J65)</f>
        <v>32000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26000.0</v>
      </c>
      <c r="E66" s="62">
        <v>32000.0</v>
      </c>
      <c r="F66" s="62">
        <v>27000.0</v>
      </c>
      <c r="G66" s="62">
        <v>25000.0</v>
      </c>
      <c r="H66" s="64">
        <v>25000.0</v>
      </c>
      <c r="I66" s="64">
        <v>25000.0</v>
      </c>
      <c r="J66" s="55">
        <v>27000.0</v>
      </c>
      <c r="K66" s="65">
        <f t="shared" si="13"/>
        <v>26714.28571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30000.0</v>
      </c>
      <c r="E67" s="62">
        <v>35000.0</v>
      </c>
      <c r="F67" s="62">
        <v>30000.0</v>
      </c>
      <c r="G67" s="62">
        <v>35000.0</v>
      </c>
      <c r="H67" s="64">
        <v>25000.0</v>
      </c>
      <c r="I67" s="64">
        <v>35000.0</v>
      </c>
      <c r="J67" s="55">
        <v>28000.0</v>
      </c>
      <c r="K67" s="65">
        <f t="shared" si="13"/>
        <v>31142.85714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20000.0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22285.71429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7000.0</v>
      </c>
      <c r="J71" s="104">
        <v>6000.0</v>
      </c>
      <c r="K71" s="65">
        <f t="shared" si="14"/>
        <v>5800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8000.0</v>
      </c>
      <c r="E73" s="62">
        <v>10000.0</v>
      </c>
      <c r="F73" s="62">
        <v>9000.0</v>
      </c>
      <c r="G73" s="62">
        <v>10000.0</v>
      </c>
      <c r="H73" s="64">
        <v>9000.0</v>
      </c>
      <c r="I73" s="69">
        <v>10000.0</v>
      </c>
      <c r="J73" s="55">
        <v>7000.0</v>
      </c>
      <c r="K73" s="65">
        <f t="shared" ref="K73:K81" si="15">AVERAGE(D73:J73)</f>
        <v>9000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12000.0</v>
      </c>
      <c r="F74" s="62">
        <v>12000.0</v>
      </c>
      <c r="G74" s="62">
        <v>13000.0</v>
      </c>
      <c r="H74" s="64">
        <v>10000.0</v>
      </c>
      <c r="I74" s="69">
        <v>12000.0</v>
      </c>
      <c r="J74" s="55">
        <v>12000.0</v>
      </c>
      <c r="K74" s="65">
        <f t="shared" si="15"/>
        <v>11571.42857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15000.0</v>
      </c>
      <c r="F75" s="62">
        <v>17000.0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f t="shared" si="15"/>
        <v>15571.42857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12000.0</v>
      </c>
      <c r="F76" s="62">
        <v>15000.0</v>
      </c>
      <c r="G76" s="62">
        <v>15000.0</v>
      </c>
      <c r="H76" s="64">
        <v>8000.0</v>
      </c>
      <c r="I76" s="69">
        <v>8000.0</v>
      </c>
      <c r="J76" s="55">
        <v>7000.0</v>
      </c>
      <c r="K76" s="65">
        <f t="shared" si="15"/>
        <v>11000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10000.0</v>
      </c>
      <c r="E77" s="62">
        <v>12000.0</v>
      </c>
      <c r="F77" s="62">
        <v>12000.0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f t="shared" si="15"/>
        <v>11571.42857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10000.0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9250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2000.0</v>
      </c>
      <c r="K81" s="65">
        <f t="shared" si="15"/>
        <v>2000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119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146">
        <v>12500.0</v>
      </c>
      <c r="F8" s="146">
        <v>14500.0</v>
      </c>
      <c r="G8" s="147">
        <v>12800.0</v>
      </c>
      <c r="H8" s="148">
        <v>14000.0</v>
      </c>
      <c r="I8" s="148">
        <v>13500.0</v>
      </c>
      <c r="J8" s="149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23000.0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20000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17000.0</v>
      </c>
      <c r="J14" s="55">
        <v>16000.0</v>
      </c>
      <c r="K14" s="65">
        <f t="shared" si="2"/>
        <v>16285.71429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15000.0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15428.57143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115000.0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109857.1429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105000.0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100000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28000.0</v>
      </c>
      <c r="F24" s="62">
        <v>32000.0</v>
      </c>
      <c r="G24" s="62">
        <v>30000.0</v>
      </c>
      <c r="H24" s="55">
        <v>32000.0</v>
      </c>
      <c r="I24" s="64">
        <v>30000.0</v>
      </c>
      <c r="J24" s="55">
        <v>32000.0</v>
      </c>
      <c r="K24" s="65">
        <f t="shared" si="4"/>
        <v>30571.42857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40000.0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80000.0</v>
      </c>
      <c r="J28" s="104">
        <v>60000.0</v>
      </c>
      <c r="K28" s="65">
        <f t="shared" si="5"/>
        <v>67166.66667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40000.0</v>
      </c>
      <c r="J30" s="55">
        <v>36000.0</v>
      </c>
      <c r="K30" s="65">
        <f t="shared" si="5"/>
        <v>37142.85714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25000.0</v>
      </c>
      <c r="F33" s="62">
        <v>26000.0</v>
      </c>
      <c r="G33" s="62">
        <v>26000.0</v>
      </c>
      <c r="H33" s="64">
        <v>24000.0</v>
      </c>
      <c r="I33" s="64">
        <v>26000.0</v>
      </c>
      <c r="J33" s="55">
        <v>25000.0</v>
      </c>
      <c r="K33" s="65">
        <f t="shared" ref="K33:K34" si="6">AVERAGE(D33:J33)</f>
        <v>25428.57143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106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106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106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106">
        <v>6000.0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3571.428571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26000.0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24571.42857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24000.0</v>
      </c>
      <c r="E59" s="62">
        <v>25000.0</v>
      </c>
      <c r="F59" s="62">
        <v>24000.0</v>
      </c>
      <c r="G59" s="62">
        <v>35000.0</v>
      </c>
      <c r="H59" s="64">
        <v>20000.0</v>
      </c>
      <c r="I59" s="64">
        <v>35000.0</v>
      </c>
      <c r="J59" s="55">
        <v>30000.0</v>
      </c>
      <c r="K59" s="65">
        <f t="shared" ref="K59:K61" si="12">AVERAGE(D59:J59)</f>
        <v>27571.42857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40000.0</v>
      </c>
      <c r="E60" s="62">
        <v>35000.0</v>
      </c>
      <c r="F60" s="62">
        <v>35000.0</v>
      </c>
      <c r="G60" s="62">
        <v>40000.0</v>
      </c>
      <c r="H60" s="126" t="s">
        <v>27</v>
      </c>
      <c r="I60" s="69" t="s">
        <v>27</v>
      </c>
      <c r="J60" s="102" t="s">
        <v>27</v>
      </c>
      <c r="K60" s="65">
        <f t="shared" si="12"/>
        <v>37500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62000.0</v>
      </c>
      <c r="E61" s="62">
        <v>70000.0</v>
      </c>
      <c r="F61" s="62">
        <v>65000.0</v>
      </c>
      <c r="G61" s="62">
        <v>65000.0</v>
      </c>
      <c r="H61" s="64">
        <v>55000.0</v>
      </c>
      <c r="I61" s="64">
        <v>65000.0</v>
      </c>
      <c r="J61" s="55">
        <v>65000.0</v>
      </c>
      <c r="K61" s="65">
        <f t="shared" si="12"/>
        <v>63857.14286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30000.0</v>
      </c>
      <c r="E65" s="62">
        <v>35000.0</v>
      </c>
      <c r="F65" s="62">
        <v>32000.0</v>
      </c>
      <c r="G65" s="62">
        <v>30000.0</v>
      </c>
      <c r="H65" s="64">
        <v>29000.0</v>
      </c>
      <c r="I65" s="64">
        <v>35000.0</v>
      </c>
      <c r="J65" s="55">
        <v>33000.0</v>
      </c>
      <c r="K65" s="65">
        <f t="shared" ref="K65:K68" si="13">AVERAGE(D65:J65)</f>
        <v>32000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26000.0</v>
      </c>
      <c r="E66" s="62">
        <v>32000.0</v>
      </c>
      <c r="F66" s="62">
        <v>27000.0</v>
      </c>
      <c r="G66" s="62">
        <v>25000.0</v>
      </c>
      <c r="H66" s="64">
        <v>25000.0</v>
      </c>
      <c r="I66" s="64">
        <v>25000.0</v>
      </c>
      <c r="J66" s="55">
        <v>27000.0</v>
      </c>
      <c r="K66" s="65">
        <f t="shared" si="13"/>
        <v>26714.28571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32000.0</v>
      </c>
      <c r="E67" s="62">
        <v>35000.0</v>
      </c>
      <c r="F67" s="62">
        <v>30000.0</v>
      </c>
      <c r="G67" s="62">
        <v>35000.0</v>
      </c>
      <c r="H67" s="64">
        <v>25000.0</v>
      </c>
      <c r="I67" s="64">
        <v>35000.0</v>
      </c>
      <c r="J67" s="55">
        <v>28000.0</v>
      </c>
      <c r="K67" s="65">
        <f t="shared" si="13"/>
        <v>31428.57143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20000.0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22285.71429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7000.0</v>
      </c>
      <c r="J71" s="104">
        <v>6000.0</v>
      </c>
      <c r="K71" s="65">
        <f t="shared" si="14"/>
        <v>5800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8000.0</v>
      </c>
      <c r="E73" s="62">
        <v>10000.0</v>
      </c>
      <c r="F73" s="62">
        <v>9000.0</v>
      </c>
      <c r="G73" s="62">
        <v>10000.0</v>
      </c>
      <c r="H73" s="64">
        <v>9000.0</v>
      </c>
      <c r="I73" s="69">
        <v>10000.0</v>
      </c>
      <c r="J73" s="55">
        <v>7000.0</v>
      </c>
      <c r="K73" s="65">
        <f t="shared" ref="K73:K81" si="15">AVERAGE(D73:J73)</f>
        <v>9000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12000.0</v>
      </c>
      <c r="F74" s="62">
        <v>12000.0</v>
      </c>
      <c r="G74" s="62">
        <v>13000.0</v>
      </c>
      <c r="H74" s="64">
        <v>10000.0</v>
      </c>
      <c r="I74" s="69">
        <v>12000.0</v>
      </c>
      <c r="J74" s="55">
        <v>12000.0</v>
      </c>
      <c r="K74" s="65">
        <f t="shared" si="15"/>
        <v>11571.42857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15000.0</v>
      </c>
      <c r="F75" s="62">
        <v>17000.0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f t="shared" si="15"/>
        <v>15571.42857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12000.0</v>
      </c>
      <c r="F76" s="62">
        <v>15000.0</v>
      </c>
      <c r="G76" s="62">
        <v>15000.0</v>
      </c>
      <c r="H76" s="64">
        <v>8000.0</v>
      </c>
      <c r="I76" s="69">
        <v>8000.0</v>
      </c>
      <c r="J76" s="55">
        <v>7000.0</v>
      </c>
      <c r="K76" s="65">
        <f t="shared" si="15"/>
        <v>11000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10000.0</v>
      </c>
      <c r="E77" s="62">
        <v>12000.0</v>
      </c>
      <c r="F77" s="62">
        <v>12000.0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f t="shared" si="15"/>
        <v>11571.42857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10000.0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9250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2000.0</v>
      </c>
      <c r="K81" s="65">
        <f t="shared" si="15"/>
        <v>2000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14500.0</v>
      </c>
      <c r="G8" s="62">
        <v>12800.0</v>
      </c>
      <c r="H8" s="62">
        <v>14000.0</v>
      </c>
      <c r="I8" s="64">
        <v>13500.0</v>
      </c>
      <c r="J8" s="56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23000.0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20000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17000.0</v>
      </c>
      <c r="J14" s="55">
        <v>16000.0</v>
      </c>
      <c r="K14" s="65">
        <f t="shared" si="2"/>
        <v>16285.71429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14000.0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15285.71429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115000.0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109857.1429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105000.0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100000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28000.0</v>
      </c>
      <c r="F24" s="62">
        <v>32000.0</v>
      </c>
      <c r="G24" s="62">
        <v>30000.0</v>
      </c>
      <c r="H24" s="55">
        <v>32000.0</v>
      </c>
      <c r="I24" s="64">
        <v>32000.0</v>
      </c>
      <c r="J24" s="55">
        <v>32000.0</v>
      </c>
      <c r="K24" s="65">
        <f t="shared" si="4"/>
        <v>30857.14286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40000.0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66333.33333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40000.0</v>
      </c>
      <c r="J30" s="55">
        <v>36000.0</v>
      </c>
      <c r="K30" s="65">
        <f t="shared" si="5"/>
        <v>37142.85714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25000.0</v>
      </c>
      <c r="F33" s="62">
        <v>26000.0</v>
      </c>
      <c r="G33" s="62">
        <v>26000.0</v>
      </c>
      <c r="H33" s="64">
        <v>24000.0</v>
      </c>
      <c r="I33" s="64">
        <v>26000.0</v>
      </c>
      <c r="J33" s="55">
        <v>25000.0</v>
      </c>
      <c r="K33" s="65">
        <f t="shared" ref="K33:K34" si="6">AVERAGE(D33:J33)</f>
        <v>25428.57143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62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62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62">
        <v>6000.0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3571.428571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26000.0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24571.42857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24000.0</v>
      </c>
      <c r="E59" s="62">
        <v>25000.0</v>
      </c>
      <c r="F59" s="62">
        <v>25000.0</v>
      </c>
      <c r="G59" s="62">
        <v>35000.0</v>
      </c>
      <c r="H59" s="64">
        <v>20000.0</v>
      </c>
      <c r="I59" s="64">
        <v>35000.0</v>
      </c>
      <c r="J59" s="55">
        <v>30000.0</v>
      </c>
      <c r="K59" s="65">
        <f t="shared" ref="K59:K61" si="12">AVERAGE(D59:J59)</f>
        <v>27714.28571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40000.0</v>
      </c>
      <c r="E60" s="62">
        <v>35000.0</v>
      </c>
      <c r="F60" s="62">
        <v>35000.0</v>
      </c>
      <c r="G60" s="62">
        <v>40000.0</v>
      </c>
      <c r="H60" s="126" t="s">
        <v>27</v>
      </c>
      <c r="I60" s="69" t="s">
        <v>27</v>
      </c>
      <c r="J60" s="102" t="s">
        <v>27</v>
      </c>
      <c r="K60" s="65">
        <f t="shared" si="12"/>
        <v>37500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62000.0</v>
      </c>
      <c r="E61" s="62">
        <v>70000.0</v>
      </c>
      <c r="F61" s="62">
        <v>60000.0</v>
      </c>
      <c r="G61" s="62">
        <v>65000.0</v>
      </c>
      <c r="H61" s="64">
        <v>55000.0</v>
      </c>
      <c r="I61" s="64">
        <v>65000.0</v>
      </c>
      <c r="J61" s="55">
        <v>65000.0</v>
      </c>
      <c r="K61" s="65">
        <f t="shared" si="12"/>
        <v>63142.85714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30000.0</v>
      </c>
      <c r="E65" s="62">
        <v>35000.0</v>
      </c>
      <c r="F65" s="62">
        <v>35000.0</v>
      </c>
      <c r="G65" s="62">
        <v>30000.0</v>
      </c>
      <c r="H65" s="64">
        <v>29000.0</v>
      </c>
      <c r="I65" s="64">
        <v>35000.0</v>
      </c>
      <c r="J65" s="55">
        <v>33000.0</v>
      </c>
      <c r="K65" s="65">
        <f t="shared" ref="K65:K68" si="13">AVERAGE(D65:J65)</f>
        <v>32428.57143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26000.0</v>
      </c>
      <c r="E66" s="62">
        <v>32000.0</v>
      </c>
      <c r="F66" s="62">
        <v>28000.0</v>
      </c>
      <c r="G66" s="62">
        <v>25000.0</v>
      </c>
      <c r="H66" s="64">
        <v>25000.0</v>
      </c>
      <c r="I66" s="64">
        <v>25000.0</v>
      </c>
      <c r="J66" s="55">
        <v>27000.0</v>
      </c>
      <c r="K66" s="65">
        <f t="shared" si="13"/>
        <v>26857.14286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32000.0</v>
      </c>
      <c r="E67" s="62">
        <v>35000.0</v>
      </c>
      <c r="F67" s="62">
        <v>32000.0</v>
      </c>
      <c r="G67" s="62">
        <v>35000.0</v>
      </c>
      <c r="H67" s="64">
        <v>25000.0</v>
      </c>
      <c r="I67" s="64">
        <v>35000.0</v>
      </c>
      <c r="J67" s="55">
        <v>28000.0</v>
      </c>
      <c r="K67" s="65">
        <f t="shared" si="13"/>
        <v>31714.28571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20000.0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22285.71429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7000.0</v>
      </c>
      <c r="J71" s="104">
        <v>6000.0</v>
      </c>
      <c r="K71" s="65">
        <f t="shared" si="14"/>
        <v>5800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8000.0</v>
      </c>
      <c r="E73" s="62">
        <v>9000.0</v>
      </c>
      <c r="F73" s="62">
        <v>9000.0</v>
      </c>
      <c r="G73" s="62">
        <v>10000.0</v>
      </c>
      <c r="H73" s="64">
        <v>9000.0</v>
      </c>
      <c r="I73" s="69">
        <v>10000.0</v>
      </c>
      <c r="J73" s="55">
        <v>7000.0</v>
      </c>
      <c r="K73" s="65">
        <f t="shared" ref="K73:K81" si="15">AVERAGE(D73:J73)</f>
        <v>8857.142857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12000.0</v>
      </c>
      <c r="F74" s="62">
        <v>12000.0</v>
      </c>
      <c r="G74" s="62">
        <v>13000.0</v>
      </c>
      <c r="H74" s="64">
        <v>10000.0</v>
      </c>
      <c r="I74" s="69">
        <v>12000.0</v>
      </c>
      <c r="J74" s="55">
        <v>12000.0</v>
      </c>
      <c r="K74" s="65">
        <f t="shared" si="15"/>
        <v>11571.42857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15000.0</v>
      </c>
      <c r="F75" s="62">
        <v>17000.0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f t="shared" si="15"/>
        <v>15571.42857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12000.0</v>
      </c>
      <c r="F76" s="62">
        <v>15000.0</v>
      </c>
      <c r="G76" s="62">
        <v>15000.0</v>
      </c>
      <c r="H76" s="64">
        <v>8000.0</v>
      </c>
      <c r="I76" s="69">
        <v>8000.0</v>
      </c>
      <c r="J76" s="55">
        <v>7000.0</v>
      </c>
      <c r="K76" s="65">
        <f t="shared" si="15"/>
        <v>11000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10000.0</v>
      </c>
      <c r="E77" s="62">
        <v>10000.0</v>
      </c>
      <c r="F77" s="62">
        <v>12000.0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f t="shared" si="15"/>
        <v>11285.71429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10000.0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9250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2000.0</v>
      </c>
      <c r="K81" s="65">
        <f t="shared" si="15"/>
        <v>2000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121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14500.0</v>
      </c>
      <c r="G8" s="62">
        <v>12800.0</v>
      </c>
      <c r="H8" s="62">
        <v>14000.0</v>
      </c>
      <c r="I8" s="64">
        <v>13500.0</v>
      </c>
      <c r="J8" s="56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21000.0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19333.33333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17000.0</v>
      </c>
      <c r="J14" s="55">
        <v>16000.0</v>
      </c>
      <c r="K14" s="65">
        <f t="shared" si="2"/>
        <v>16285.71429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14000.0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15285.71429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115000.0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109857.1429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105000.0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100000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28000.0</v>
      </c>
      <c r="F24" s="62">
        <v>30000.0</v>
      </c>
      <c r="G24" s="62">
        <v>30000.0</v>
      </c>
      <c r="H24" s="55">
        <v>32000.0</v>
      </c>
      <c r="I24" s="64">
        <v>32000.0</v>
      </c>
      <c r="J24" s="55">
        <v>30000.0</v>
      </c>
      <c r="K24" s="65">
        <f t="shared" si="4"/>
        <v>30285.71429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40000.0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66333.33333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40000.0</v>
      </c>
      <c r="J30" s="55">
        <v>36000.0</v>
      </c>
      <c r="K30" s="65">
        <f t="shared" si="5"/>
        <v>37142.85714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25000.0</v>
      </c>
      <c r="F33" s="62">
        <v>27000.0</v>
      </c>
      <c r="G33" s="62">
        <v>26000.0</v>
      </c>
      <c r="H33" s="64">
        <v>25000.0</v>
      </c>
      <c r="I33" s="64">
        <v>26000.0</v>
      </c>
      <c r="J33" s="55">
        <v>26000.0</v>
      </c>
      <c r="K33" s="65">
        <f t="shared" ref="K33:K34" si="6">AVERAGE(D33:J33)</f>
        <v>25857.14286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62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62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62">
        <v>5000.0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3428.571429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26000.0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24571.42857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28000.0</v>
      </c>
      <c r="E59" s="62">
        <v>25000.0</v>
      </c>
      <c r="F59" s="62">
        <v>25000.0</v>
      </c>
      <c r="G59" s="62">
        <v>35000.0</v>
      </c>
      <c r="H59" s="64">
        <v>30000.0</v>
      </c>
      <c r="I59" s="64">
        <v>35000.0</v>
      </c>
      <c r="J59" s="55">
        <v>30000.0</v>
      </c>
      <c r="K59" s="65">
        <f t="shared" ref="K59:K61" si="12">AVERAGE(D59:J59)</f>
        <v>29714.28571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40000.0</v>
      </c>
      <c r="E60" s="62">
        <v>35000.0</v>
      </c>
      <c r="F60" s="62">
        <v>35000.0</v>
      </c>
      <c r="G60" s="62">
        <v>40000.0</v>
      </c>
      <c r="H60" s="126" t="s">
        <v>27</v>
      </c>
      <c r="I60" s="69" t="s">
        <v>27</v>
      </c>
      <c r="J60" s="102" t="s">
        <v>27</v>
      </c>
      <c r="K60" s="65">
        <f t="shared" si="12"/>
        <v>37500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65000.0</v>
      </c>
      <c r="E61" s="62">
        <v>70000.0</v>
      </c>
      <c r="F61" s="62">
        <v>60000.0</v>
      </c>
      <c r="G61" s="62">
        <v>65000.0</v>
      </c>
      <c r="H61" s="64">
        <v>68000.0</v>
      </c>
      <c r="I61" s="64">
        <v>65000.0</v>
      </c>
      <c r="J61" s="55">
        <v>70000.0</v>
      </c>
      <c r="K61" s="65">
        <f t="shared" si="12"/>
        <v>66142.85714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32000.0</v>
      </c>
      <c r="E65" s="62">
        <v>35000.0</v>
      </c>
      <c r="F65" s="62">
        <v>35000.0</v>
      </c>
      <c r="G65" s="62">
        <v>30000.0</v>
      </c>
      <c r="H65" s="64">
        <v>33000.0</v>
      </c>
      <c r="I65" s="64">
        <v>35000.0</v>
      </c>
      <c r="J65" s="55">
        <v>35000.0</v>
      </c>
      <c r="K65" s="65">
        <f t="shared" ref="K65:K68" si="13">AVERAGE(D65:J65)</f>
        <v>33571.42857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26000.0</v>
      </c>
      <c r="E66" s="62">
        <v>32000.0</v>
      </c>
      <c r="F66" s="62">
        <v>28000.0</v>
      </c>
      <c r="G66" s="62">
        <v>25000.0</v>
      </c>
      <c r="H66" s="64">
        <v>30000.0</v>
      </c>
      <c r="I66" s="64">
        <v>25000.0</v>
      </c>
      <c r="J66" s="55">
        <v>28000.0</v>
      </c>
      <c r="K66" s="65">
        <f t="shared" si="13"/>
        <v>27714.28571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34000.0</v>
      </c>
      <c r="E67" s="62">
        <v>35000.0</v>
      </c>
      <c r="F67" s="62">
        <v>32000.0</v>
      </c>
      <c r="G67" s="62">
        <v>35000.0</v>
      </c>
      <c r="H67" s="64">
        <v>25000.0</v>
      </c>
      <c r="I67" s="64">
        <v>35000.0</v>
      </c>
      <c r="J67" s="55">
        <v>35000.0</v>
      </c>
      <c r="K67" s="65">
        <f t="shared" si="13"/>
        <v>33000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18000.0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22000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7000.0</v>
      </c>
      <c r="J71" s="104">
        <v>6000.0</v>
      </c>
      <c r="K71" s="65">
        <f t="shared" si="14"/>
        <v>5800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8000.0</v>
      </c>
      <c r="E73" s="62">
        <v>9000.0</v>
      </c>
      <c r="F73" s="62">
        <v>9000.0</v>
      </c>
      <c r="G73" s="62">
        <v>10000.0</v>
      </c>
      <c r="H73" s="64">
        <v>9000.0</v>
      </c>
      <c r="I73" s="69">
        <v>10000.0</v>
      </c>
      <c r="J73" s="55">
        <v>8000.0</v>
      </c>
      <c r="K73" s="65">
        <f t="shared" ref="K73:K81" si="15">AVERAGE(D73:J73)</f>
        <v>9000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10000.0</v>
      </c>
      <c r="F74" s="62">
        <v>13000.0</v>
      </c>
      <c r="G74" s="62">
        <v>13000.0</v>
      </c>
      <c r="H74" s="64">
        <v>10000.0</v>
      </c>
      <c r="I74" s="69">
        <v>12000.0</v>
      </c>
      <c r="J74" s="55">
        <v>15000.0</v>
      </c>
      <c r="K74" s="65">
        <f t="shared" si="15"/>
        <v>11857.14286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15000.0</v>
      </c>
      <c r="F75" s="62">
        <v>17000.0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f t="shared" si="15"/>
        <v>15571.42857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12000.0</v>
      </c>
      <c r="F76" s="62">
        <v>15000.0</v>
      </c>
      <c r="G76" s="62">
        <v>15000.0</v>
      </c>
      <c r="H76" s="64">
        <v>10000.0</v>
      </c>
      <c r="I76" s="69">
        <v>8000.0</v>
      </c>
      <c r="J76" s="55">
        <v>10000.0</v>
      </c>
      <c r="K76" s="65">
        <f t="shared" si="15"/>
        <v>11714.28571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10000.0</v>
      </c>
      <c r="E77" s="62">
        <v>10000.0</v>
      </c>
      <c r="F77" s="62">
        <v>12000.0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f t="shared" si="15"/>
        <v>11285.71429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10000.0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9250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1500.0</v>
      </c>
      <c r="K81" s="65">
        <f t="shared" si="15"/>
        <v>1900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132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14500.0</v>
      </c>
      <c r="G8" s="62">
        <v>12800.0</v>
      </c>
      <c r="H8" s="62">
        <v>14000.0</v>
      </c>
      <c r="I8" s="64">
        <v>13500.0</v>
      </c>
      <c r="J8" s="56">
        <v>13000.0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f t="shared" si="1"/>
        <v>9500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21000.0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f t="shared" si="1"/>
        <v>19333.33333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17000.0</v>
      </c>
      <c r="J14" s="55">
        <v>16000.0</v>
      </c>
      <c r="K14" s="65">
        <f t="shared" si="2"/>
        <v>16285.71429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15000.0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f t="shared" ref="K16:K17" si="3">AVERAGE(D16:J16)</f>
        <v>15571.42857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 t="s">
        <v>27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f>AVERAGE(D19:J19)</f>
        <v>19000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30000.0</v>
      </c>
      <c r="F24" s="62">
        <v>28000.0</v>
      </c>
      <c r="G24" s="62">
        <v>30000.0</v>
      </c>
      <c r="H24" s="55">
        <v>32000.0</v>
      </c>
      <c r="I24" s="64">
        <v>30000.0</v>
      </c>
      <c r="J24" s="55">
        <v>30000.0</v>
      </c>
      <c r="K24" s="65">
        <f t="shared" si="4"/>
        <v>30000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40000.0</v>
      </c>
      <c r="H26" s="64">
        <v>30000.0</v>
      </c>
      <c r="I26" s="68">
        <v>40000.0</v>
      </c>
      <c r="J26" s="55">
        <v>40000.0</v>
      </c>
      <c r="K26" s="65">
        <f t="shared" ref="K26:K31" si="5">AVERAGE(D26:J26)</f>
        <v>37166.66667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f t="shared" si="5"/>
        <v>28500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80000.0</v>
      </c>
      <c r="J28" s="104">
        <v>60000.0</v>
      </c>
      <c r="K28" s="65">
        <f t="shared" si="5"/>
        <v>67166.66667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f t="shared" si="5"/>
        <v>24333.33333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44000.0</v>
      </c>
      <c r="J30" s="55">
        <v>36000.0</v>
      </c>
      <c r="K30" s="65">
        <f t="shared" si="5"/>
        <v>37714.28571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85000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26000.0</v>
      </c>
      <c r="F33" s="62">
        <v>27000.0</v>
      </c>
      <c r="G33" s="62">
        <v>26000.0</v>
      </c>
      <c r="H33" s="64">
        <v>25000.0</v>
      </c>
      <c r="I33" s="64">
        <v>26000.0</v>
      </c>
      <c r="J33" s="55">
        <v>26000.0</v>
      </c>
      <c r="K33" s="65">
        <f t="shared" ref="K33:K34" si="6">AVERAGE(D33:J33)</f>
        <v>26000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2000.0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2357.142857</v>
      </c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62"/>
      <c r="G35" s="62"/>
      <c r="H35" s="64"/>
      <c r="I35" s="64"/>
      <c r="J35" s="55"/>
      <c r="K35" s="8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62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f t="shared" ref="K36:K37" si="7">AVERAGE(D36:J36)</f>
        <v>2385.714286</v>
      </c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62">
        <v>5000.0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f t="shared" si="7"/>
        <v>3428.571429</v>
      </c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f t="shared" ref="K39:K40" si="8">AVERAGE(D39:J39)</f>
        <v>11416.66667</v>
      </c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f t="shared" si="8"/>
        <v>40200</v>
      </c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f t="shared" ref="K42:K43" si="9">AVERAGE(D42:J42)</f>
        <v>18666.66667</v>
      </c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f t="shared" si="9"/>
        <v>2000</v>
      </c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f t="shared" ref="K45:K46" si="10">AVERAGE(D45:J45)</f>
        <v>9166.666667</v>
      </c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f t="shared" si="10"/>
        <v>8600</v>
      </c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f>AVERAGE(D48:J48)</f>
        <v>3916.666667</v>
      </c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f>AVERAGE(D50:J50)</f>
        <v>10642.85714</v>
      </c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17000.0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f t="shared" ref="K52:K55" si="11">AVERAGE(D52:J52)</f>
        <v>16333.33333</v>
      </c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f t="shared" si="11"/>
        <v>13750</v>
      </c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30000.0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f t="shared" si="11"/>
        <v>25142.85714</v>
      </c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28000.0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f t="shared" si="11"/>
        <v>28142.85714</v>
      </c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f>AVERAGE(D57:J57)</f>
        <v>3200</v>
      </c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28000.0</v>
      </c>
      <c r="E59" s="62">
        <v>25000.0</v>
      </c>
      <c r="F59" s="62">
        <v>32000.0</v>
      </c>
      <c r="G59" s="62">
        <v>35000.0</v>
      </c>
      <c r="H59" s="64">
        <v>30000.0</v>
      </c>
      <c r="I59" s="64">
        <v>35000.0</v>
      </c>
      <c r="J59" s="55">
        <v>30000.0</v>
      </c>
      <c r="K59" s="65">
        <f t="shared" ref="K59:K61" si="12">AVERAGE(D59:J59)</f>
        <v>30714.28571</v>
      </c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45000.0</v>
      </c>
      <c r="E60" s="62">
        <v>33000.0</v>
      </c>
      <c r="F60" s="62">
        <v>35000.0</v>
      </c>
      <c r="G60" s="62">
        <v>40000.0</v>
      </c>
      <c r="H60" s="126" t="s">
        <v>27</v>
      </c>
      <c r="I60" s="69" t="s">
        <v>27</v>
      </c>
      <c r="J60" s="102" t="s">
        <v>27</v>
      </c>
      <c r="K60" s="65">
        <f t="shared" si="12"/>
        <v>38250</v>
      </c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65000.0</v>
      </c>
      <c r="E61" s="62">
        <v>65000.0</v>
      </c>
      <c r="F61" s="62">
        <v>70000.0</v>
      </c>
      <c r="G61" s="62">
        <v>65000.0</v>
      </c>
      <c r="H61" s="64">
        <v>68000.0</v>
      </c>
      <c r="I61" s="64">
        <v>70000.0</v>
      </c>
      <c r="J61" s="55">
        <v>70000.0</v>
      </c>
      <c r="K61" s="65">
        <f t="shared" si="12"/>
        <v>67571.42857</v>
      </c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f>AVERAGE(D63:J63)</f>
        <v>18166.66667</v>
      </c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32000.0</v>
      </c>
      <c r="E65" s="62">
        <v>35000.0</v>
      </c>
      <c r="F65" s="62">
        <v>36000.0</v>
      </c>
      <c r="G65" s="62">
        <v>30000.0</v>
      </c>
      <c r="H65" s="64">
        <v>33000.0</v>
      </c>
      <c r="I65" s="64">
        <v>35000.0</v>
      </c>
      <c r="J65" s="55">
        <v>35000.0</v>
      </c>
      <c r="K65" s="65">
        <f t="shared" ref="K65:K68" si="13">AVERAGE(D65:J65)</f>
        <v>33714.28571</v>
      </c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27000.0</v>
      </c>
      <c r="E66" s="62">
        <v>30000.0</v>
      </c>
      <c r="F66" s="62">
        <v>30000.0</v>
      </c>
      <c r="G66" s="62">
        <v>25000.0</v>
      </c>
      <c r="H66" s="64">
        <v>30000.0</v>
      </c>
      <c r="I66" s="64">
        <v>25000.0</v>
      </c>
      <c r="J66" s="55">
        <v>28000.0</v>
      </c>
      <c r="K66" s="65">
        <f t="shared" si="13"/>
        <v>27857.14286</v>
      </c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34000.0</v>
      </c>
      <c r="E67" s="62">
        <v>32000.0</v>
      </c>
      <c r="F67" s="62">
        <v>32000.0</v>
      </c>
      <c r="G67" s="62">
        <v>35000.0</v>
      </c>
      <c r="H67" s="64">
        <v>25000.0</v>
      </c>
      <c r="I67" s="64">
        <v>38000.0</v>
      </c>
      <c r="J67" s="55">
        <v>35000.0</v>
      </c>
      <c r="K67" s="65">
        <f t="shared" si="13"/>
        <v>33000</v>
      </c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18000.0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f t="shared" si="13"/>
        <v>22000</v>
      </c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f t="shared" ref="K70:K71" si="14">AVERAGE(D70:J70)</f>
        <v>5571.428571</v>
      </c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5000.0</v>
      </c>
      <c r="G71" s="63">
        <v>6000.0</v>
      </c>
      <c r="H71" s="64">
        <v>5000.0</v>
      </c>
      <c r="I71" s="68">
        <v>7000.0</v>
      </c>
      <c r="J71" s="104">
        <v>6000.0</v>
      </c>
      <c r="K71" s="65">
        <f t="shared" si="14"/>
        <v>5800</v>
      </c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8000.0</v>
      </c>
      <c r="E73" s="62">
        <v>8000.0</v>
      </c>
      <c r="F73" s="62">
        <v>8000.0</v>
      </c>
      <c r="G73" s="62">
        <v>10000.0</v>
      </c>
      <c r="H73" s="64">
        <v>9000.0</v>
      </c>
      <c r="I73" s="69">
        <v>10000.0</v>
      </c>
      <c r="J73" s="55">
        <v>8000.0</v>
      </c>
      <c r="K73" s="65">
        <f t="shared" ref="K73:K81" si="15">AVERAGE(D73:J73)</f>
        <v>8714.285714</v>
      </c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15000.0</v>
      </c>
      <c r="F74" s="62">
        <v>14000.0</v>
      </c>
      <c r="G74" s="62">
        <v>13000.0</v>
      </c>
      <c r="H74" s="64">
        <v>10000.0</v>
      </c>
      <c r="I74" s="69">
        <v>12000.0</v>
      </c>
      <c r="J74" s="55">
        <v>15000.0</v>
      </c>
      <c r="K74" s="65">
        <f t="shared" si="15"/>
        <v>12714.28571</v>
      </c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16000.0</v>
      </c>
      <c r="F75" s="62">
        <v>16000.0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f t="shared" si="15"/>
        <v>15571.42857</v>
      </c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14000.0</v>
      </c>
      <c r="F76" s="62">
        <v>15000.0</v>
      </c>
      <c r="G76" s="62">
        <v>15000.0</v>
      </c>
      <c r="H76" s="64">
        <v>10000.0</v>
      </c>
      <c r="I76" s="69">
        <v>8000.0</v>
      </c>
      <c r="J76" s="55">
        <v>10000.0</v>
      </c>
      <c r="K76" s="65">
        <f t="shared" si="15"/>
        <v>12000</v>
      </c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10000.0</v>
      </c>
      <c r="E77" s="62">
        <v>10000.0</v>
      </c>
      <c r="F77" s="62">
        <v>10000.0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f t="shared" si="15"/>
        <v>11000</v>
      </c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8000.0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f t="shared" si="15"/>
        <v>8750</v>
      </c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f t="shared" si="15"/>
        <v>1900</v>
      </c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f t="shared" si="15"/>
        <v>1600</v>
      </c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1500.0</v>
      </c>
      <c r="K81" s="65">
        <f t="shared" si="15"/>
        <v>1900</v>
      </c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f>AVERAGE(D83:J83)</f>
        <v>18000</v>
      </c>
      <c r="M83" s="7"/>
      <c r="N83" s="7"/>
    </row>
    <row r="84" ht="15.75" customHeight="1">
      <c r="D84" s="142"/>
      <c r="E84" s="143"/>
      <c r="J84" s="4"/>
      <c r="M84" s="7"/>
      <c r="N84" s="7"/>
    </row>
    <row r="85" ht="15.75" customHeight="1">
      <c r="B85" s="144"/>
      <c r="D85" s="142"/>
      <c r="J85" s="4"/>
      <c r="M85" s="7"/>
      <c r="N85" s="7"/>
    </row>
    <row r="86" ht="15.75" customHeight="1">
      <c r="D86" s="142"/>
      <c r="J86" s="4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>
      <c r="D88" s="142"/>
    </row>
    <row r="89" ht="15.75" customHeight="1">
      <c r="D89" s="142"/>
    </row>
    <row r="90" ht="15.75" customHeight="1">
      <c r="D90" s="142"/>
    </row>
    <row r="91" ht="15.75" customHeight="1">
      <c r="D91" s="142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0.71"/>
    <col customWidth="1" min="3" max="3" width="8.71"/>
    <col customWidth="1" min="4" max="10" width="14.86"/>
    <col customWidth="1" min="11" max="26" width="8.71"/>
  </cols>
  <sheetData>
    <row r="1">
      <c r="A1" s="6" t="s">
        <v>2</v>
      </c>
      <c r="L1" s="153"/>
      <c r="M1" s="7"/>
      <c r="N1" s="7"/>
      <c r="O1" s="153"/>
      <c r="P1" s="153"/>
      <c r="Q1" s="153"/>
      <c r="R1" s="153"/>
      <c r="S1" s="153"/>
      <c r="T1" s="153"/>
      <c r="U1" s="153"/>
      <c r="V1" s="153"/>
      <c r="W1" s="153"/>
    </row>
    <row r="2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L2" s="153"/>
      <c r="M2" s="7"/>
      <c r="N2" s="7"/>
      <c r="O2" s="153"/>
      <c r="P2" s="153"/>
      <c r="Q2" s="153"/>
      <c r="R2" s="153"/>
      <c r="S2" s="153"/>
      <c r="T2" s="153"/>
      <c r="U2" s="153"/>
      <c r="V2" s="153"/>
      <c r="W2" s="153"/>
    </row>
    <row r="3">
      <c r="A3" s="12" t="s">
        <v>133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53"/>
      <c r="M3" s="7"/>
      <c r="N3" s="7"/>
      <c r="O3" s="153"/>
      <c r="P3" s="153"/>
      <c r="Q3" s="153"/>
      <c r="R3" s="153"/>
      <c r="S3" s="153"/>
      <c r="T3" s="153"/>
      <c r="U3" s="153"/>
      <c r="V3" s="153"/>
      <c r="W3" s="153"/>
    </row>
    <row r="4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L4" s="153"/>
      <c r="M4" s="7"/>
      <c r="N4" s="7"/>
      <c r="O4" s="153"/>
      <c r="P4" s="153"/>
      <c r="Q4" s="153"/>
      <c r="R4" s="153"/>
      <c r="S4" s="153"/>
      <c r="T4" s="153"/>
      <c r="U4" s="153"/>
      <c r="V4" s="153"/>
      <c r="W4" s="153"/>
    </row>
    <row r="5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L5" s="153"/>
      <c r="M5" s="7"/>
      <c r="N5" s="7"/>
      <c r="O5" s="153"/>
      <c r="P5" s="153"/>
      <c r="Q5" s="153"/>
      <c r="R5" s="153"/>
      <c r="S5" s="153"/>
      <c r="T5" s="153"/>
      <c r="U5" s="153"/>
      <c r="V5" s="153"/>
      <c r="W5" s="153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L6" s="153"/>
      <c r="M6" s="7"/>
      <c r="N6" s="7"/>
      <c r="O6" s="153"/>
      <c r="P6" s="153"/>
      <c r="Q6" s="153"/>
      <c r="R6" s="153"/>
      <c r="S6" s="153"/>
      <c r="T6" s="153"/>
      <c r="U6" s="153"/>
      <c r="V6" s="153"/>
      <c r="W6" s="153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L7" s="153"/>
      <c r="M7" s="7"/>
      <c r="N7" s="7"/>
      <c r="O7" s="153"/>
      <c r="P7" s="153"/>
      <c r="Q7" s="153"/>
      <c r="R7" s="153"/>
      <c r="S7" s="153"/>
      <c r="T7" s="153"/>
      <c r="U7" s="153"/>
      <c r="V7" s="153"/>
      <c r="W7" s="153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14000.0</v>
      </c>
      <c r="I8" s="64">
        <v>13500.0</v>
      </c>
      <c r="J8" s="56">
        <v>13000.0</v>
      </c>
      <c r="K8" s="57">
        <v>13257.142857142857</v>
      </c>
      <c r="L8" s="58"/>
      <c r="M8" s="59"/>
      <c r="N8" s="7"/>
      <c r="O8" s="153"/>
      <c r="P8" s="153"/>
      <c r="Q8" s="153"/>
      <c r="R8" s="153"/>
      <c r="S8" s="153"/>
      <c r="T8" s="153"/>
      <c r="U8" s="153"/>
      <c r="V8" s="153"/>
      <c r="W8" s="153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v>8971.42857142857</v>
      </c>
      <c r="L9" s="153"/>
      <c r="M9" s="7"/>
      <c r="N9" s="7"/>
      <c r="O9" s="153"/>
      <c r="P9" s="153"/>
      <c r="Q9" s="153"/>
      <c r="R9" s="153"/>
      <c r="S9" s="153"/>
      <c r="T9" s="153"/>
      <c r="U9" s="153"/>
      <c r="V9" s="153"/>
      <c r="W9" s="153"/>
    </row>
    <row r="10">
      <c r="A10" s="25"/>
      <c r="B10" s="50" t="s">
        <v>26</v>
      </c>
      <c r="C10" s="51" t="s">
        <v>24</v>
      </c>
      <c r="D10" s="66" t="s">
        <v>27</v>
      </c>
      <c r="E10" s="54" t="s">
        <v>27</v>
      </c>
      <c r="F10" s="67" t="s">
        <v>27</v>
      </c>
      <c r="G10" s="63" t="s">
        <v>27</v>
      </c>
      <c r="H10" s="68" t="s">
        <v>27</v>
      </c>
      <c r="I10" s="69">
        <v>11000.0</v>
      </c>
      <c r="J10" s="56">
        <v>8000.0</v>
      </c>
      <c r="K10" s="65">
        <v>9500.0</v>
      </c>
      <c r="L10" s="153"/>
      <c r="M10" s="7"/>
      <c r="N10" s="7"/>
      <c r="O10" s="153"/>
      <c r="P10" s="153"/>
      <c r="Q10" s="153"/>
      <c r="R10" s="153"/>
      <c r="S10" s="153"/>
      <c r="T10" s="153"/>
      <c r="U10" s="153"/>
      <c r="V10" s="153"/>
      <c r="W10" s="153"/>
    </row>
    <row r="11">
      <c r="A11" s="71"/>
      <c r="B11" s="50" t="s">
        <v>28</v>
      </c>
      <c r="C11" s="51" t="s">
        <v>24</v>
      </c>
      <c r="D11" s="66" t="s">
        <v>27</v>
      </c>
      <c r="E11" s="54">
        <v>21000.0</v>
      </c>
      <c r="F11" s="67" t="s">
        <v>27</v>
      </c>
      <c r="G11" s="63" t="s">
        <v>27</v>
      </c>
      <c r="H11" s="68" t="s">
        <v>27</v>
      </c>
      <c r="I11" s="69">
        <v>20000.0</v>
      </c>
      <c r="J11" s="56">
        <v>17000.0</v>
      </c>
      <c r="K11" s="65">
        <v>19333.333333333332</v>
      </c>
      <c r="L11" s="153"/>
      <c r="M11" s="7"/>
      <c r="N11" s="7"/>
      <c r="O11" s="153"/>
      <c r="P11" s="153"/>
      <c r="Q11" s="153"/>
      <c r="R11" s="153"/>
      <c r="S11" s="153"/>
      <c r="T11" s="153"/>
      <c r="U11" s="153"/>
      <c r="V11" s="153"/>
      <c r="W11" s="153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L12" s="153"/>
      <c r="M12" s="7"/>
      <c r="N12" s="85"/>
      <c r="O12" s="153"/>
      <c r="P12" s="153"/>
      <c r="Q12" s="153"/>
      <c r="R12" s="153"/>
      <c r="S12" s="153"/>
      <c r="T12" s="153"/>
      <c r="U12" s="153"/>
      <c r="V12" s="153"/>
      <c r="W12" s="153"/>
    </row>
    <row r="13">
      <c r="A13" s="25"/>
      <c r="B13" s="86" t="s">
        <v>30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v>13000.0</v>
      </c>
      <c r="L13" s="153"/>
      <c r="M13" s="7"/>
      <c r="N13" s="7"/>
      <c r="O13" s="153"/>
      <c r="P13" s="153"/>
      <c r="Q13" s="153"/>
      <c r="R13" s="153"/>
      <c r="S13" s="153"/>
      <c r="T13" s="153"/>
      <c r="U13" s="153"/>
      <c r="V13" s="153"/>
      <c r="W13" s="153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19000.0</v>
      </c>
      <c r="H14" s="64">
        <v>15000.0</v>
      </c>
      <c r="I14" s="64">
        <v>17000.0</v>
      </c>
      <c r="J14" s="55">
        <v>16000.0</v>
      </c>
      <c r="K14" s="65">
        <v>16285.714285714286</v>
      </c>
      <c r="L14" s="153"/>
      <c r="M14" s="7"/>
      <c r="N14" s="7"/>
      <c r="O14" s="153"/>
      <c r="P14" s="153"/>
      <c r="Q14" s="153"/>
      <c r="R14" s="153"/>
      <c r="S14" s="153"/>
      <c r="T14" s="153"/>
      <c r="U14" s="153"/>
      <c r="V14" s="153"/>
      <c r="W14" s="153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L15" s="153"/>
      <c r="M15" s="7"/>
      <c r="N15" s="7"/>
      <c r="O15" s="153"/>
      <c r="P15" s="153"/>
      <c r="Q15" s="153"/>
      <c r="R15" s="153"/>
      <c r="S15" s="153"/>
      <c r="T15" s="153"/>
      <c r="U15" s="153"/>
      <c r="V15" s="153"/>
      <c r="W15" s="153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16000.0</v>
      </c>
      <c r="G16" s="62">
        <v>16000.0</v>
      </c>
      <c r="H16" s="64">
        <v>14000.0</v>
      </c>
      <c r="I16" s="64">
        <v>16000.0</v>
      </c>
      <c r="J16" s="55">
        <v>16000.0</v>
      </c>
      <c r="K16" s="65">
        <v>15714.285714285714</v>
      </c>
      <c r="L16" s="153"/>
      <c r="M16" s="7"/>
      <c r="N16" s="7"/>
      <c r="O16" s="153"/>
      <c r="P16" s="153"/>
      <c r="Q16" s="153"/>
      <c r="R16" s="153"/>
      <c r="S16" s="153"/>
      <c r="T16" s="153"/>
      <c r="U16" s="153"/>
      <c r="V16" s="153"/>
      <c r="W16" s="153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62" t="s">
        <v>27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v>14000.0</v>
      </c>
      <c r="L17" s="153"/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L18" s="153"/>
      <c r="M18" s="7"/>
      <c r="N18" s="7"/>
    </row>
    <row r="19">
      <c r="A19" s="71"/>
      <c r="B19" s="50" t="s">
        <v>37</v>
      </c>
      <c r="C19" s="51" t="s">
        <v>24</v>
      </c>
      <c r="D19" s="66" t="s">
        <v>27</v>
      </c>
      <c r="E19" s="54" t="s">
        <v>27</v>
      </c>
      <c r="F19" s="67" t="s">
        <v>27</v>
      </c>
      <c r="G19" s="63">
        <v>14000.0</v>
      </c>
      <c r="H19" s="98" t="s">
        <v>27</v>
      </c>
      <c r="I19" s="69">
        <v>24000.0</v>
      </c>
      <c r="J19" s="99" t="s">
        <v>27</v>
      </c>
      <c r="K19" s="65">
        <v>19000.0</v>
      </c>
      <c r="L19" s="153"/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L20" s="15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v>118142.85714285714</v>
      </c>
      <c r="L21" s="153"/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v>109142.85714285714</v>
      </c>
      <c r="L22" s="153"/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v>99166.66666666667</v>
      </c>
      <c r="L23" s="153"/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30000.0</v>
      </c>
      <c r="F24" s="62">
        <v>28000.0</v>
      </c>
      <c r="G24" s="62">
        <v>30000.0</v>
      </c>
      <c r="H24" s="55">
        <v>32000.0</v>
      </c>
      <c r="I24" s="64">
        <v>30000.0</v>
      </c>
      <c r="J24" s="55">
        <v>32000.0</v>
      </c>
      <c r="K24" s="65">
        <v>30285.714285714286</v>
      </c>
      <c r="L24" s="153"/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L25" s="15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40000.0</v>
      </c>
      <c r="H26" s="64">
        <v>30000.0</v>
      </c>
      <c r="I26" s="68">
        <v>37000.0</v>
      </c>
      <c r="J26" s="55">
        <v>40000.0</v>
      </c>
      <c r="K26" s="65">
        <v>36666.666666666664</v>
      </c>
      <c r="L26" s="153"/>
      <c r="M26" s="7"/>
      <c r="N26" s="7"/>
    </row>
    <row r="27" ht="15.75" customHeight="1">
      <c r="A27" s="25"/>
      <c r="B27" s="50" t="s">
        <v>46</v>
      </c>
      <c r="C27" s="51" t="s">
        <v>24</v>
      </c>
      <c r="D27" s="66" t="s">
        <v>27</v>
      </c>
      <c r="E27" s="54">
        <v>30000.0</v>
      </c>
      <c r="F27" s="62">
        <v>30000.0</v>
      </c>
      <c r="G27" s="63">
        <v>30000.0</v>
      </c>
      <c r="H27" s="68">
        <v>23000.0</v>
      </c>
      <c r="I27" s="68">
        <v>30000.0</v>
      </c>
      <c r="J27" s="104">
        <v>28000.0</v>
      </c>
      <c r="K27" s="65">
        <v>28500.0</v>
      </c>
      <c r="L27" s="153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 t="s">
        <v>27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74000.0</v>
      </c>
      <c r="J28" s="104">
        <v>60000.0</v>
      </c>
      <c r="K28" s="65">
        <v>66166.66666666667</v>
      </c>
      <c r="L28" s="153"/>
      <c r="M28" s="7"/>
      <c r="N28" s="7"/>
    </row>
    <row r="29" ht="15.75" customHeight="1">
      <c r="A29" s="25"/>
      <c r="B29" s="50" t="s">
        <v>49</v>
      </c>
      <c r="C29" s="51" t="s">
        <v>24</v>
      </c>
      <c r="D29" s="66" t="s">
        <v>27</v>
      </c>
      <c r="E29" s="54" t="s">
        <v>27</v>
      </c>
      <c r="F29" s="67" t="s">
        <v>27</v>
      </c>
      <c r="G29" s="63" t="s">
        <v>27</v>
      </c>
      <c r="H29" s="64">
        <v>23000.0</v>
      </c>
      <c r="I29" s="68">
        <v>24000.0</v>
      </c>
      <c r="J29" s="104">
        <v>26000.0</v>
      </c>
      <c r="K29" s="65">
        <v>24333.333333333332</v>
      </c>
      <c r="L29" s="153"/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40000.0</v>
      </c>
      <c r="H30" s="64">
        <v>28000.0</v>
      </c>
      <c r="I30" s="68">
        <v>44000.0</v>
      </c>
      <c r="J30" s="55">
        <v>36000.0</v>
      </c>
      <c r="K30" s="65">
        <v>37714.28571428572</v>
      </c>
      <c r="L30" s="153"/>
      <c r="M30" s="7"/>
      <c r="N30" s="7"/>
    </row>
    <row r="31" ht="15.75" customHeight="1">
      <c r="A31" s="71"/>
      <c r="B31" s="50" t="s">
        <v>51</v>
      </c>
      <c r="C31" s="51" t="s">
        <v>24</v>
      </c>
      <c r="D31" s="66">
        <v>80000.0</v>
      </c>
      <c r="E31" s="62">
        <v>100000.0</v>
      </c>
      <c r="F31" s="62">
        <v>80000.0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v>85000.0</v>
      </c>
      <c r="L31" s="153"/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L32" s="15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26000.0</v>
      </c>
      <c r="F33" s="62">
        <v>27000.0</v>
      </c>
      <c r="G33" s="62">
        <v>27000.0</v>
      </c>
      <c r="H33" s="64">
        <v>25000.0</v>
      </c>
      <c r="I33" s="64">
        <v>26000.0</v>
      </c>
      <c r="J33" s="55">
        <v>28000.0</v>
      </c>
      <c r="K33" s="65">
        <v>26428.571428571428</v>
      </c>
      <c r="L33" s="153"/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2000.0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v>2314.285714285714</v>
      </c>
      <c r="L34" s="153"/>
      <c r="M34" s="7"/>
      <c r="N34" s="7"/>
    </row>
    <row r="35" ht="15.75" customHeight="1">
      <c r="A35" s="96">
        <v>8.0</v>
      </c>
      <c r="B35" s="76" t="s">
        <v>57</v>
      </c>
      <c r="C35" s="107"/>
      <c r="D35" s="61"/>
      <c r="E35" s="62"/>
      <c r="F35" s="62"/>
      <c r="G35" s="62"/>
      <c r="H35" s="64"/>
      <c r="I35" s="64"/>
      <c r="J35" s="55"/>
      <c r="K35" s="83"/>
      <c r="L35" s="153"/>
      <c r="M35" s="7"/>
      <c r="N35" s="7"/>
    </row>
    <row r="36" ht="15.75" customHeight="1">
      <c r="A36" s="96"/>
      <c r="B36" s="50" t="s">
        <v>58</v>
      </c>
      <c r="C36" s="51" t="s">
        <v>59</v>
      </c>
      <c r="D36" s="61">
        <v>1000.0</v>
      </c>
      <c r="E36" s="62">
        <v>1000.0</v>
      </c>
      <c r="F36" s="62">
        <v>3500.0</v>
      </c>
      <c r="G36" s="62">
        <v>3000.0</v>
      </c>
      <c r="H36" s="64">
        <v>4000.0</v>
      </c>
      <c r="I36" s="64">
        <v>1200.0</v>
      </c>
      <c r="J36" s="55">
        <v>3000.0</v>
      </c>
      <c r="K36" s="65">
        <v>2385.714285714286</v>
      </c>
      <c r="L36" s="153"/>
      <c r="M36" s="7"/>
      <c r="N36" s="7"/>
    </row>
    <row r="37" ht="15.75" customHeight="1">
      <c r="A37" s="96"/>
      <c r="B37" s="50" t="s">
        <v>60</v>
      </c>
      <c r="C37" s="51" t="s">
        <v>59</v>
      </c>
      <c r="D37" s="61">
        <v>2500.0</v>
      </c>
      <c r="E37" s="62">
        <v>2500.0</v>
      </c>
      <c r="F37" s="62">
        <v>5000.0</v>
      </c>
      <c r="G37" s="62">
        <v>3000.0</v>
      </c>
      <c r="H37" s="64">
        <v>2500.0</v>
      </c>
      <c r="I37" s="64">
        <v>5000.0</v>
      </c>
      <c r="J37" s="55">
        <v>3500.0</v>
      </c>
      <c r="K37" s="65">
        <v>3428.5714285714284</v>
      </c>
      <c r="L37" s="153"/>
      <c r="M37" s="7"/>
      <c r="N37" s="7"/>
    </row>
    <row r="38" ht="15.75" customHeight="1">
      <c r="A38" s="75">
        <v>9.0</v>
      </c>
      <c r="B38" s="76" t="s">
        <v>61</v>
      </c>
      <c r="C38" s="76"/>
      <c r="D38" s="91"/>
      <c r="E38" s="80"/>
      <c r="F38" s="97"/>
      <c r="G38" s="93"/>
      <c r="H38" s="94"/>
      <c r="I38" s="94"/>
      <c r="J38" s="108"/>
      <c r="K38" s="83"/>
      <c r="L38" s="153"/>
      <c r="M38" s="7"/>
      <c r="N38" s="7"/>
    </row>
    <row r="39" ht="15.75" customHeight="1">
      <c r="A39" s="25"/>
      <c r="B39" s="50" t="s">
        <v>62</v>
      </c>
      <c r="C39" s="51" t="s">
        <v>63</v>
      </c>
      <c r="D39" s="61">
        <v>12500.0</v>
      </c>
      <c r="E39" s="54">
        <v>12000.0</v>
      </c>
      <c r="F39" s="62">
        <v>10000.0</v>
      </c>
      <c r="G39" s="62">
        <v>12000.0</v>
      </c>
      <c r="H39" s="98" t="s">
        <v>27</v>
      </c>
      <c r="I39" s="69">
        <v>12000.0</v>
      </c>
      <c r="J39" s="102">
        <v>10000.0</v>
      </c>
      <c r="K39" s="65">
        <v>11416.666666666666</v>
      </c>
      <c r="L39" s="153"/>
      <c r="M39" s="7"/>
      <c r="N39" s="7"/>
    </row>
    <row r="40" ht="15.75" customHeight="1">
      <c r="A40" s="71"/>
      <c r="B40" s="50" t="s">
        <v>64</v>
      </c>
      <c r="C40" s="51" t="s">
        <v>65</v>
      </c>
      <c r="D40" s="66" t="s">
        <v>27</v>
      </c>
      <c r="E40" s="54">
        <v>37900.0</v>
      </c>
      <c r="F40" s="67" t="s">
        <v>27</v>
      </c>
      <c r="G40" s="62">
        <v>42500.0</v>
      </c>
      <c r="H40" s="98" t="s">
        <v>27</v>
      </c>
      <c r="I40" s="69" t="s">
        <v>27</v>
      </c>
      <c r="J40" s="99" t="s">
        <v>27</v>
      </c>
      <c r="K40" s="65">
        <v>40200.0</v>
      </c>
      <c r="L40" s="153"/>
      <c r="M40" s="7"/>
      <c r="N40" s="7"/>
    </row>
    <row r="41" ht="15.75" customHeight="1">
      <c r="A41" s="75">
        <v>10.0</v>
      </c>
      <c r="B41" s="76" t="s">
        <v>66</v>
      </c>
      <c r="C41" s="76"/>
      <c r="D41" s="91"/>
      <c r="E41" s="109"/>
      <c r="F41" s="93"/>
      <c r="G41" s="97"/>
      <c r="H41" s="94"/>
      <c r="I41" s="94"/>
      <c r="J41" s="95"/>
      <c r="K41" s="83"/>
      <c r="L41" s="153"/>
      <c r="M41" s="7"/>
      <c r="N41" s="7"/>
    </row>
    <row r="42" ht="15.75" customHeight="1">
      <c r="A42" s="25"/>
      <c r="B42" s="50" t="s">
        <v>67</v>
      </c>
      <c r="C42" s="51" t="s">
        <v>68</v>
      </c>
      <c r="D42" s="66" t="s">
        <v>27</v>
      </c>
      <c r="E42" s="54" t="s">
        <v>27</v>
      </c>
      <c r="F42" s="67" t="s">
        <v>27</v>
      </c>
      <c r="G42" s="63" t="s">
        <v>27</v>
      </c>
      <c r="H42" s="64">
        <v>17500.0</v>
      </c>
      <c r="I42" s="69">
        <v>21000.0</v>
      </c>
      <c r="J42" s="104">
        <v>17500.0</v>
      </c>
      <c r="K42" s="65">
        <v>18666.666666666668</v>
      </c>
      <c r="L42" s="153"/>
      <c r="M42" s="7"/>
      <c r="N42" s="7"/>
    </row>
    <row r="43" ht="15.75" customHeight="1">
      <c r="A43" s="25"/>
      <c r="B43" s="50" t="s">
        <v>69</v>
      </c>
      <c r="C43" s="51" t="s">
        <v>70</v>
      </c>
      <c r="D43" s="66" t="s">
        <v>27</v>
      </c>
      <c r="E43" s="54" t="s">
        <v>27</v>
      </c>
      <c r="F43" s="67" t="s">
        <v>27</v>
      </c>
      <c r="G43" s="63" t="s">
        <v>27</v>
      </c>
      <c r="H43" s="64">
        <v>2000.0</v>
      </c>
      <c r="I43" s="69">
        <v>2000.0</v>
      </c>
      <c r="J43" s="104">
        <v>2000.0</v>
      </c>
      <c r="K43" s="65">
        <v>2000.0</v>
      </c>
      <c r="L43" s="153"/>
      <c r="M43" s="7"/>
      <c r="N43" s="7"/>
    </row>
    <row r="44" ht="15.75" customHeight="1">
      <c r="A44" s="96">
        <v>11.0</v>
      </c>
      <c r="B44" s="110" t="s">
        <v>71</v>
      </c>
      <c r="C44" s="107"/>
      <c r="D44" s="111"/>
      <c r="E44" s="79"/>
      <c r="F44" s="79"/>
      <c r="G44" s="112"/>
      <c r="H44" s="113"/>
      <c r="I44" s="113"/>
      <c r="J44" s="114"/>
      <c r="K44" s="83"/>
      <c r="L44" s="153"/>
      <c r="M44" s="7"/>
      <c r="N44" s="7"/>
    </row>
    <row r="45" ht="15.75" customHeight="1">
      <c r="A45" s="96"/>
      <c r="B45" s="50" t="s">
        <v>72</v>
      </c>
      <c r="C45" s="115" t="s">
        <v>24</v>
      </c>
      <c r="D45" s="61">
        <v>11000.0</v>
      </c>
      <c r="E45" s="62">
        <v>8000.0</v>
      </c>
      <c r="F45" s="62">
        <v>9000.0</v>
      </c>
      <c r="G45" s="62" t="s">
        <v>27</v>
      </c>
      <c r="H45" s="64">
        <v>9000.0</v>
      </c>
      <c r="I45" s="69">
        <v>10000.0</v>
      </c>
      <c r="J45" s="55">
        <v>8000.0</v>
      </c>
      <c r="K45" s="65">
        <v>9166.666666666666</v>
      </c>
      <c r="L45" s="153"/>
      <c r="M45" s="7"/>
      <c r="N45" s="7"/>
    </row>
    <row r="46" ht="15.75" customHeight="1">
      <c r="A46" s="116"/>
      <c r="B46" s="50" t="s">
        <v>73</v>
      </c>
      <c r="C46" s="115" t="s">
        <v>24</v>
      </c>
      <c r="D46" s="61">
        <v>9000.0</v>
      </c>
      <c r="E46" s="62">
        <v>10000.0</v>
      </c>
      <c r="F46" s="67" t="s">
        <v>27</v>
      </c>
      <c r="G46" s="62">
        <v>12000.0</v>
      </c>
      <c r="H46" s="64">
        <v>6000.0</v>
      </c>
      <c r="I46" s="68" t="s">
        <v>27</v>
      </c>
      <c r="J46" s="55">
        <v>6000.0</v>
      </c>
      <c r="K46" s="65">
        <v>8600.0</v>
      </c>
      <c r="L46" s="153"/>
      <c r="M46" s="7"/>
      <c r="N46" s="7"/>
    </row>
    <row r="47" ht="15.75" customHeight="1">
      <c r="A47" s="75">
        <v>12.0</v>
      </c>
      <c r="B47" s="76" t="s">
        <v>74</v>
      </c>
      <c r="C47" s="76"/>
      <c r="D47" s="91"/>
      <c r="E47" s="80"/>
      <c r="F47" s="97"/>
      <c r="G47" s="97"/>
      <c r="H47" s="94"/>
      <c r="I47" s="94"/>
      <c r="J47" s="108"/>
      <c r="K47" s="83"/>
      <c r="L47" s="153"/>
      <c r="M47" s="7"/>
      <c r="N47" s="7"/>
    </row>
    <row r="48" ht="15.75" customHeight="1">
      <c r="A48" s="71"/>
      <c r="B48" s="50" t="s">
        <v>75</v>
      </c>
      <c r="C48" s="51" t="s">
        <v>76</v>
      </c>
      <c r="D48" s="61">
        <v>3000.0</v>
      </c>
      <c r="E48" s="62">
        <v>8000.0</v>
      </c>
      <c r="F48" s="62">
        <v>2000.0</v>
      </c>
      <c r="G48" s="62">
        <v>4000.0</v>
      </c>
      <c r="H48" s="64">
        <v>2500.0</v>
      </c>
      <c r="I48" s="69">
        <v>4000.0</v>
      </c>
      <c r="J48" s="102" t="s">
        <v>27</v>
      </c>
      <c r="K48" s="65">
        <v>3916.6666666666665</v>
      </c>
      <c r="L48" s="153"/>
      <c r="M48" s="7"/>
      <c r="N48" s="7"/>
    </row>
    <row r="49" ht="15.75" customHeight="1">
      <c r="A49" s="75">
        <v>13.0</v>
      </c>
      <c r="B49" s="76" t="s">
        <v>77</v>
      </c>
      <c r="C49" s="107"/>
      <c r="D49" s="117"/>
      <c r="E49" s="109"/>
      <c r="F49" s="118"/>
      <c r="G49" s="119"/>
      <c r="H49" s="120"/>
      <c r="I49" s="120"/>
      <c r="J49" s="121"/>
      <c r="K49" s="83"/>
      <c r="L49" s="153"/>
      <c r="M49" s="7"/>
      <c r="N49" s="7"/>
    </row>
    <row r="50" ht="15.75" customHeight="1">
      <c r="A50" s="71"/>
      <c r="B50" s="122" t="s">
        <v>78</v>
      </c>
      <c r="C50" s="115" t="s">
        <v>24</v>
      </c>
      <c r="D50" s="61">
        <v>10000.0</v>
      </c>
      <c r="E50" s="62">
        <v>10500.0</v>
      </c>
      <c r="F50" s="62">
        <v>12000.0</v>
      </c>
      <c r="G50" s="62">
        <v>12000.0</v>
      </c>
      <c r="H50" s="64">
        <v>11500.0</v>
      </c>
      <c r="I50" s="64">
        <v>11500.0</v>
      </c>
      <c r="J50" s="55">
        <v>7000.0</v>
      </c>
      <c r="K50" s="65">
        <v>10642.857142857143</v>
      </c>
      <c r="L50" s="153"/>
      <c r="M50" s="7"/>
      <c r="N50" s="7"/>
    </row>
    <row r="51" ht="15.75" customHeight="1">
      <c r="A51" s="75">
        <v>14.0</v>
      </c>
      <c r="B51" s="76" t="s">
        <v>79</v>
      </c>
      <c r="C51" s="76"/>
      <c r="D51" s="91"/>
      <c r="E51" s="80"/>
      <c r="F51" s="97"/>
      <c r="G51" s="93"/>
      <c r="H51" s="94"/>
      <c r="I51" s="94"/>
      <c r="J51" s="108"/>
      <c r="K51" s="83"/>
      <c r="L51" s="153"/>
      <c r="M51" s="7"/>
      <c r="N51" s="7"/>
    </row>
    <row r="52" ht="15.75" customHeight="1">
      <c r="A52" s="25"/>
      <c r="B52" s="50" t="s">
        <v>80</v>
      </c>
      <c r="C52" s="51" t="s">
        <v>24</v>
      </c>
      <c r="D52" s="61">
        <v>17000.0</v>
      </c>
      <c r="E52" s="62">
        <v>16000.0</v>
      </c>
      <c r="F52" s="62">
        <v>15000.0</v>
      </c>
      <c r="G52" s="62">
        <v>18000.0</v>
      </c>
      <c r="H52" s="64">
        <v>13000.0</v>
      </c>
      <c r="I52" s="68">
        <v>17000.0</v>
      </c>
      <c r="J52" s="102" t="s">
        <v>27</v>
      </c>
      <c r="K52" s="65">
        <v>16000.0</v>
      </c>
      <c r="L52" s="153"/>
      <c r="M52" s="7"/>
      <c r="N52" s="7"/>
    </row>
    <row r="53" ht="15.75" customHeight="1">
      <c r="A53" s="25"/>
      <c r="B53" s="50" t="s">
        <v>81</v>
      </c>
      <c r="C53" s="51" t="s">
        <v>24</v>
      </c>
      <c r="D53" s="66" t="s">
        <v>27</v>
      </c>
      <c r="E53" s="62">
        <v>14000.0</v>
      </c>
      <c r="F53" s="67" t="s">
        <v>27</v>
      </c>
      <c r="G53" s="124" t="s">
        <v>27</v>
      </c>
      <c r="H53" s="126" t="s">
        <v>27</v>
      </c>
      <c r="I53" s="69" t="s">
        <v>27</v>
      </c>
      <c r="J53" s="102">
        <v>13500.0</v>
      </c>
      <c r="K53" s="65">
        <v>13750.0</v>
      </c>
      <c r="L53" s="153"/>
      <c r="M53" s="7" t="s">
        <v>82</v>
      </c>
      <c r="N53" s="7"/>
    </row>
    <row r="54" ht="15.75" customHeight="1">
      <c r="A54" s="25"/>
      <c r="B54" s="50" t="s">
        <v>83</v>
      </c>
      <c r="C54" s="51" t="s">
        <v>24</v>
      </c>
      <c r="D54" s="61">
        <v>23000.0</v>
      </c>
      <c r="E54" s="62">
        <v>23000.0</v>
      </c>
      <c r="F54" s="62">
        <v>30000.0</v>
      </c>
      <c r="G54" s="62">
        <v>26000.0</v>
      </c>
      <c r="H54" s="64">
        <v>22000.0</v>
      </c>
      <c r="I54" s="64">
        <v>26000.0</v>
      </c>
      <c r="J54" s="102">
        <v>26000.0</v>
      </c>
      <c r="K54" s="65">
        <v>25142.85714285714</v>
      </c>
      <c r="L54" s="153"/>
      <c r="M54" s="7"/>
      <c r="N54" s="128"/>
    </row>
    <row r="55" ht="15.75" customHeight="1">
      <c r="A55" s="71"/>
      <c r="B55" s="50" t="s">
        <v>84</v>
      </c>
      <c r="C55" s="51" t="s">
        <v>24</v>
      </c>
      <c r="D55" s="61">
        <v>26000.0</v>
      </c>
      <c r="E55" s="62">
        <v>30000.0</v>
      </c>
      <c r="F55" s="62">
        <v>33000.0</v>
      </c>
      <c r="G55" s="62">
        <v>30000.0</v>
      </c>
      <c r="H55" s="64">
        <v>26000.0</v>
      </c>
      <c r="I55" s="64">
        <v>29000.0</v>
      </c>
      <c r="J55" s="102">
        <v>28000.0</v>
      </c>
      <c r="K55" s="65">
        <v>28857.14285714286</v>
      </c>
      <c r="L55" s="153"/>
      <c r="M55" s="7"/>
      <c r="N55" s="7"/>
    </row>
    <row r="56" ht="15.75" customHeight="1">
      <c r="A56" s="129">
        <v>15.0</v>
      </c>
      <c r="B56" s="76" t="s">
        <v>85</v>
      </c>
      <c r="C56" s="107"/>
      <c r="D56" s="130"/>
      <c r="E56" s="79"/>
      <c r="F56" s="112"/>
      <c r="G56" s="79"/>
      <c r="H56" s="113"/>
      <c r="I56" s="113"/>
      <c r="J56" s="131"/>
      <c r="K56" s="83"/>
      <c r="L56" s="153"/>
      <c r="M56" s="7"/>
      <c r="N56" s="7"/>
    </row>
    <row r="57" ht="15.75" customHeight="1">
      <c r="A57" s="132"/>
      <c r="B57" s="50" t="s">
        <v>86</v>
      </c>
      <c r="C57" s="115" t="s">
        <v>87</v>
      </c>
      <c r="D57" s="61">
        <v>3000.0</v>
      </c>
      <c r="E57" s="62">
        <v>3200.0</v>
      </c>
      <c r="F57" s="62">
        <v>3000.0</v>
      </c>
      <c r="G57" s="62">
        <v>3000.0</v>
      </c>
      <c r="H57" s="98" t="s">
        <v>27</v>
      </c>
      <c r="I57" s="69">
        <v>3500.0</v>
      </c>
      <c r="J57" s="55">
        <v>3500.0</v>
      </c>
      <c r="K57" s="65">
        <v>3200.0</v>
      </c>
      <c r="L57" s="153"/>
      <c r="M57" s="7"/>
      <c r="N57" s="7"/>
    </row>
    <row r="58" ht="15.75" customHeight="1">
      <c r="A58" s="75">
        <v>16.0</v>
      </c>
      <c r="B58" s="76" t="s">
        <v>88</v>
      </c>
      <c r="C58" s="76"/>
      <c r="D58" s="91"/>
      <c r="E58" s="80"/>
      <c r="F58" s="97"/>
      <c r="G58" s="97"/>
      <c r="H58" s="94"/>
      <c r="I58" s="94"/>
      <c r="J58" s="108"/>
      <c r="K58" s="83"/>
      <c r="L58" s="153"/>
      <c r="M58" s="7"/>
      <c r="N58" s="7"/>
    </row>
    <row r="59" ht="15.75" customHeight="1">
      <c r="A59" s="25"/>
      <c r="B59" s="50" t="s">
        <v>89</v>
      </c>
      <c r="C59" s="51" t="s">
        <v>24</v>
      </c>
      <c r="D59" s="61">
        <v>28000.0</v>
      </c>
      <c r="E59" s="62">
        <v>35000.0</v>
      </c>
      <c r="F59" s="62">
        <v>32000.0</v>
      </c>
      <c r="G59" s="62">
        <v>30000.0</v>
      </c>
      <c r="H59" s="64">
        <v>30000.0</v>
      </c>
      <c r="I59" s="64">
        <v>35000.0</v>
      </c>
      <c r="J59" s="55">
        <v>30000.0</v>
      </c>
      <c r="K59" s="65">
        <v>31428.571428571428</v>
      </c>
      <c r="L59" s="153"/>
      <c r="M59" s="7"/>
      <c r="N59" s="7"/>
    </row>
    <row r="60" ht="15.75" customHeight="1">
      <c r="A60" s="25"/>
      <c r="B60" s="50" t="s">
        <v>90</v>
      </c>
      <c r="C60" s="51" t="s">
        <v>24</v>
      </c>
      <c r="D60" s="66">
        <v>45000.0</v>
      </c>
      <c r="E60" s="62">
        <v>33000.0</v>
      </c>
      <c r="F60" s="62">
        <v>35000.0</v>
      </c>
      <c r="G60" s="62">
        <v>45000.0</v>
      </c>
      <c r="H60" s="126" t="s">
        <v>27</v>
      </c>
      <c r="I60" s="69" t="s">
        <v>27</v>
      </c>
      <c r="J60" s="102" t="s">
        <v>27</v>
      </c>
      <c r="K60" s="65">
        <v>39500.0</v>
      </c>
      <c r="L60" s="153"/>
      <c r="M60" s="7"/>
      <c r="N60" s="7"/>
    </row>
    <row r="61" ht="15.75" customHeight="1">
      <c r="A61" s="71"/>
      <c r="B61" s="50" t="s">
        <v>92</v>
      </c>
      <c r="C61" s="51" t="s">
        <v>24</v>
      </c>
      <c r="D61" s="61">
        <v>65000.0</v>
      </c>
      <c r="E61" s="62">
        <v>65000.0</v>
      </c>
      <c r="F61" s="62">
        <v>70000.0</v>
      </c>
      <c r="G61" s="62">
        <v>70000.0</v>
      </c>
      <c r="H61" s="64">
        <v>68000.0</v>
      </c>
      <c r="I61" s="64">
        <v>70000.0</v>
      </c>
      <c r="J61" s="55">
        <v>70000.0</v>
      </c>
      <c r="K61" s="65">
        <v>68285.71428571429</v>
      </c>
      <c r="L61" s="153"/>
      <c r="M61" s="7"/>
      <c r="N61" s="7"/>
    </row>
    <row r="62" ht="15.75" customHeight="1">
      <c r="A62" s="129">
        <v>17.0</v>
      </c>
      <c r="B62" s="76" t="s">
        <v>93</v>
      </c>
      <c r="C62" s="107"/>
      <c r="D62" s="133"/>
      <c r="E62" s="79"/>
      <c r="F62" s="112"/>
      <c r="G62" s="79"/>
      <c r="H62" s="113"/>
      <c r="I62" s="113"/>
      <c r="J62" s="114"/>
      <c r="K62" s="83"/>
      <c r="L62" s="153"/>
      <c r="M62" s="7"/>
      <c r="N62" s="7"/>
    </row>
    <row r="63" ht="15.75" customHeight="1">
      <c r="A63" s="132"/>
      <c r="B63" s="50" t="s">
        <v>94</v>
      </c>
      <c r="C63" s="51" t="s">
        <v>95</v>
      </c>
      <c r="D63" s="61">
        <v>19000.0</v>
      </c>
      <c r="E63" s="62">
        <v>18000.0</v>
      </c>
      <c r="F63" s="62">
        <v>18000.0</v>
      </c>
      <c r="G63" s="54">
        <v>18000.0</v>
      </c>
      <c r="H63" s="98" t="s">
        <v>27</v>
      </c>
      <c r="I63" s="68">
        <v>18000.0</v>
      </c>
      <c r="J63" s="104">
        <v>18000.0</v>
      </c>
      <c r="K63" s="65">
        <v>18166.666666666668</v>
      </c>
      <c r="L63" s="153"/>
      <c r="M63" s="7"/>
      <c r="N63" s="7"/>
    </row>
    <row r="64" ht="15.75" customHeight="1">
      <c r="A64" s="75">
        <v>18.0</v>
      </c>
      <c r="B64" s="76" t="s">
        <v>96</v>
      </c>
      <c r="C64" s="76"/>
      <c r="D64" s="91"/>
      <c r="E64" s="80"/>
      <c r="F64" s="93"/>
      <c r="G64" s="93"/>
      <c r="H64" s="94"/>
      <c r="I64" s="94"/>
      <c r="J64" s="95"/>
      <c r="K64" s="83"/>
      <c r="L64" s="153"/>
      <c r="M64" s="7"/>
      <c r="N64" s="7"/>
    </row>
    <row r="65" ht="15.75" customHeight="1">
      <c r="A65" s="25"/>
      <c r="B65" s="50" t="s">
        <v>97</v>
      </c>
      <c r="C65" s="51" t="s">
        <v>24</v>
      </c>
      <c r="D65" s="61">
        <v>32000.0</v>
      </c>
      <c r="E65" s="62">
        <v>35000.0</v>
      </c>
      <c r="F65" s="62">
        <v>32000.0</v>
      </c>
      <c r="G65" s="62">
        <v>30000.0</v>
      </c>
      <c r="H65" s="64">
        <v>33000.0</v>
      </c>
      <c r="I65" s="64">
        <v>35000.0</v>
      </c>
      <c r="J65" s="55">
        <v>35000.0</v>
      </c>
      <c r="K65" s="65">
        <v>33142.857142857145</v>
      </c>
      <c r="L65" s="153"/>
      <c r="M65" s="7"/>
      <c r="N65" s="7"/>
    </row>
    <row r="66" ht="15.75" customHeight="1">
      <c r="A66" s="25"/>
      <c r="B66" s="50" t="s">
        <v>98</v>
      </c>
      <c r="C66" s="51" t="s">
        <v>24</v>
      </c>
      <c r="D66" s="66">
        <v>27000.0</v>
      </c>
      <c r="E66" s="62">
        <v>30000.0</v>
      </c>
      <c r="F66" s="62">
        <v>28000.0</v>
      </c>
      <c r="G66" s="62">
        <v>25000.0</v>
      </c>
      <c r="H66" s="64">
        <v>30000.0</v>
      </c>
      <c r="I66" s="64">
        <v>25000.0</v>
      </c>
      <c r="J66" s="55">
        <v>28000.0</v>
      </c>
      <c r="K66" s="65">
        <v>27571.428571428572</v>
      </c>
      <c r="L66" s="153"/>
      <c r="M66" s="7"/>
      <c r="N66" s="7"/>
    </row>
    <row r="67" ht="15.75" customHeight="1">
      <c r="A67" s="25"/>
      <c r="B67" s="50" t="s">
        <v>99</v>
      </c>
      <c r="C67" s="51" t="s">
        <v>24</v>
      </c>
      <c r="D67" s="61">
        <v>34000.0</v>
      </c>
      <c r="E67" s="62">
        <v>35000.0</v>
      </c>
      <c r="F67" s="62">
        <v>30000.0</v>
      </c>
      <c r="G67" s="62">
        <v>35000.0</v>
      </c>
      <c r="H67" s="64">
        <v>27000.0</v>
      </c>
      <c r="I67" s="64">
        <v>38000.0</v>
      </c>
      <c r="J67" s="55">
        <v>35000.0</v>
      </c>
      <c r="K67" s="65">
        <v>33428.57142857143</v>
      </c>
      <c r="L67" s="153"/>
      <c r="M67" s="7"/>
      <c r="N67" s="7"/>
    </row>
    <row r="68" ht="15.75" customHeight="1">
      <c r="A68" s="71"/>
      <c r="B68" s="50" t="s">
        <v>100</v>
      </c>
      <c r="C68" s="51" t="s">
        <v>24</v>
      </c>
      <c r="D68" s="61">
        <v>18000.0</v>
      </c>
      <c r="E68" s="54">
        <v>22000.0</v>
      </c>
      <c r="F68" s="63">
        <v>22000.0</v>
      </c>
      <c r="G68" s="63">
        <v>25000.0</v>
      </c>
      <c r="H68" s="64">
        <v>20000.0</v>
      </c>
      <c r="I68" s="68">
        <v>25000.0</v>
      </c>
      <c r="J68" s="102">
        <v>22000.0</v>
      </c>
      <c r="K68" s="65">
        <v>22000.0</v>
      </c>
      <c r="L68" s="153"/>
      <c r="M68" s="7"/>
      <c r="N68" s="7"/>
    </row>
    <row r="69" ht="15.75" customHeight="1">
      <c r="A69" s="129">
        <v>19.0</v>
      </c>
      <c r="B69" s="76" t="s">
        <v>101</v>
      </c>
      <c r="C69" s="107"/>
      <c r="D69" s="133"/>
      <c r="E69" s="67"/>
      <c r="F69" s="79"/>
      <c r="G69" s="134"/>
      <c r="H69" s="113"/>
      <c r="I69" s="113"/>
      <c r="J69" s="131"/>
      <c r="K69" s="83"/>
      <c r="L69" s="153"/>
      <c r="M69" s="7"/>
      <c r="N69" s="7"/>
    </row>
    <row r="70" ht="15.75" customHeight="1">
      <c r="A70" s="135"/>
      <c r="B70" s="50" t="s">
        <v>102</v>
      </c>
      <c r="C70" s="115" t="s">
        <v>24</v>
      </c>
      <c r="D70" s="61">
        <v>6000.0</v>
      </c>
      <c r="E70" s="54">
        <v>7000.0</v>
      </c>
      <c r="F70" s="62">
        <v>5000.0</v>
      </c>
      <c r="G70" s="62">
        <v>6000.0</v>
      </c>
      <c r="H70" s="64">
        <v>4000.0</v>
      </c>
      <c r="I70" s="64">
        <v>6000.0</v>
      </c>
      <c r="J70" s="102">
        <v>5000.0</v>
      </c>
      <c r="K70" s="65">
        <v>5571.428571428572</v>
      </c>
      <c r="L70" s="153"/>
      <c r="M70" s="7"/>
      <c r="N70" s="7"/>
    </row>
    <row r="71" ht="15.75" customHeight="1">
      <c r="A71" s="132"/>
      <c r="B71" s="50" t="s">
        <v>103</v>
      </c>
      <c r="C71" s="115" t="s">
        <v>24</v>
      </c>
      <c r="D71" s="66" t="s">
        <v>27</v>
      </c>
      <c r="E71" s="54" t="s">
        <v>27</v>
      </c>
      <c r="F71" s="63">
        <v>6000.0</v>
      </c>
      <c r="G71" s="63">
        <v>6000.0</v>
      </c>
      <c r="H71" s="64">
        <v>5000.0</v>
      </c>
      <c r="I71" s="68">
        <v>7000.0</v>
      </c>
      <c r="J71" s="104">
        <v>6000.0</v>
      </c>
      <c r="K71" s="65">
        <v>6000.0</v>
      </c>
      <c r="L71" s="153"/>
      <c r="M71" s="7"/>
      <c r="N71" s="7"/>
    </row>
    <row r="72" ht="15.75" customHeight="1">
      <c r="A72" s="129">
        <v>20.0</v>
      </c>
      <c r="B72" s="76" t="s">
        <v>104</v>
      </c>
      <c r="C72" s="107"/>
      <c r="D72" s="111"/>
      <c r="E72" s="79"/>
      <c r="F72" s="79"/>
      <c r="G72" s="112"/>
      <c r="H72" s="113"/>
      <c r="I72" s="113"/>
      <c r="J72" s="114"/>
      <c r="K72" s="83"/>
      <c r="L72" s="153"/>
      <c r="M72" s="7"/>
      <c r="N72" s="7"/>
    </row>
    <row r="73" ht="15.75" customHeight="1">
      <c r="A73" s="135"/>
      <c r="B73" s="50" t="s">
        <v>105</v>
      </c>
      <c r="C73" s="115" t="s">
        <v>24</v>
      </c>
      <c r="D73" s="61">
        <v>8000.0</v>
      </c>
      <c r="E73" s="62">
        <v>8000.0</v>
      </c>
      <c r="F73" s="62">
        <v>8000.0</v>
      </c>
      <c r="G73" s="62">
        <v>10000.0</v>
      </c>
      <c r="H73" s="64">
        <v>9000.0</v>
      </c>
      <c r="I73" s="69">
        <v>10000.0</v>
      </c>
      <c r="J73" s="55">
        <v>8000.0</v>
      </c>
      <c r="K73" s="65">
        <v>8714.285714285714</v>
      </c>
      <c r="L73" s="153"/>
      <c r="M73" s="7"/>
      <c r="N73" s="7"/>
    </row>
    <row r="74" ht="15.75" customHeight="1">
      <c r="A74" s="135"/>
      <c r="B74" s="50" t="s">
        <v>106</v>
      </c>
      <c r="C74" s="115" t="s">
        <v>24</v>
      </c>
      <c r="D74" s="61">
        <v>10000.0</v>
      </c>
      <c r="E74" s="62">
        <v>15000.0</v>
      </c>
      <c r="F74" s="62">
        <v>14000.0</v>
      </c>
      <c r="G74" s="62">
        <v>13000.0</v>
      </c>
      <c r="H74" s="64">
        <v>10000.0</v>
      </c>
      <c r="I74" s="69">
        <v>12000.0</v>
      </c>
      <c r="J74" s="55">
        <v>15000.0</v>
      </c>
      <c r="K74" s="65">
        <v>12714.285714285714</v>
      </c>
      <c r="L74" s="153"/>
      <c r="M74" s="7"/>
      <c r="N74" s="7"/>
    </row>
    <row r="75" ht="15.75" customHeight="1">
      <c r="A75" s="135"/>
      <c r="B75" s="50" t="s">
        <v>107</v>
      </c>
      <c r="C75" s="115" t="s">
        <v>24</v>
      </c>
      <c r="D75" s="61">
        <v>15000.0</v>
      </c>
      <c r="E75" s="62">
        <v>16000.0</v>
      </c>
      <c r="F75" s="62">
        <v>16000.0</v>
      </c>
      <c r="G75" s="62">
        <v>16000.0</v>
      </c>
      <c r="H75" s="64">
        <v>15000.0</v>
      </c>
      <c r="I75" s="64">
        <v>16000.0</v>
      </c>
      <c r="J75" s="55">
        <v>15000.0</v>
      </c>
      <c r="K75" s="65">
        <v>15571.42857142857</v>
      </c>
      <c r="L75" s="153"/>
      <c r="M75" s="7"/>
      <c r="N75" s="7"/>
    </row>
    <row r="76" ht="15.75" customHeight="1">
      <c r="A76" s="135"/>
      <c r="B76" s="50" t="s">
        <v>108</v>
      </c>
      <c r="C76" s="115" t="s">
        <v>24</v>
      </c>
      <c r="D76" s="61">
        <v>12000.0</v>
      </c>
      <c r="E76" s="62">
        <v>14000.0</v>
      </c>
      <c r="F76" s="62">
        <v>15000.0</v>
      </c>
      <c r="G76" s="62">
        <v>15000.0</v>
      </c>
      <c r="H76" s="64">
        <v>10000.0</v>
      </c>
      <c r="I76" s="69">
        <v>8000.0</v>
      </c>
      <c r="J76" s="55">
        <v>10000.0</v>
      </c>
      <c r="K76" s="65">
        <v>12000.0</v>
      </c>
      <c r="L76" s="153"/>
      <c r="M76" s="7"/>
      <c r="N76" s="7"/>
    </row>
    <row r="77" ht="15.75" customHeight="1">
      <c r="A77" s="135"/>
      <c r="B77" s="50" t="s">
        <v>109</v>
      </c>
      <c r="C77" s="115" t="s">
        <v>24</v>
      </c>
      <c r="D77" s="61">
        <v>10000.0</v>
      </c>
      <c r="E77" s="62">
        <v>10000.0</v>
      </c>
      <c r="F77" s="62">
        <v>10000.0</v>
      </c>
      <c r="G77" s="62">
        <v>15000.0</v>
      </c>
      <c r="H77" s="64">
        <v>10000.0</v>
      </c>
      <c r="I77" s="64">
        <v>12000.0</v>
      </c>
      <c r="J77" s="55">
        <v>10000.0</v>
      </c>
      <c r="K77" s="65">
        <v>11000.0</v>
      </c>
      <c r="L77" s="153"/>
      <c r="M77" s="7"/>
      <c r="N77" s="7"/>
    </row>
    <row r="78" ht="15.75" customHeight="1">
      <c r="A78" s="135"/>
      <c r="B78" s="50" t="s">
        <v>110</v>
      </c>
      <c r="C78" s="115" t="s">
        <v>24</v>
      </c>
      <c r="D78" s="66" t="s">
        <v>27</v>
      </c>
      <c r="E78" s="54">
        <v>8000.0</v>
      </c>
      <c r="F78" s="67" t="s">
        <v>27</v>
      </c>
      <c r="G78" s="63" t="s">
        <v>27</v>
      </c>
      <c r="H78" s="136">
        <v>9000.0</v>
      </c>
      <c r="I78" s="137">
        <v>10000.0</v>
      </c>
      <c r="J78" s="138">
        <v>8000.0</v>
      </c>
      <c r="K78" s="65">
        <v>8750.0</v>
      </c>
      <c r="L78" s="153"/>
      <c r="M78" s="7"/>
      <c r="N78" s="7"/>
    </row>
    <row r="79" ht="15.75" customHeight="1">
      <c r="A79" s="135"/>
      <c r="B79" s="50" t="s">
        <v>111</v>
      </c>
      <c r="C79" s="115" t="s">
        <v>112</v>
      </c>
      <c r="D79" s="66" t="s">
        <v>27</v>
      </c>
      <c r="E79" s="54" t="s">
        <v>27</v>
      </c>
      <c r="F79" s="62">
        <v>2000.0</v>
      </c>
      <c r="G79" s="63">
        <v>2000.0</v>
      </c>
      <c r="H79" s="64">
        <v>1500.0</v>
      </c>
      <c r="I79" s="68">
        <v>2000.0</v>
      </c>
      <c r="J79" s="104">
        <v>2000.0</v>
      </c>
      <c r="K79" s="65">
        <v>1900.0</v>
      </c>
      <c r="L79" s="153"/>
      <c r="M79" s="7"/>
      <c r="N79" s="7"/>
    </row>
    <row r="80" ht="15.75" customHeight="1">
      <c r="A80" s="135"/>
      <c r="B80" s="50" t="s">
        <v>113</v>
      </c>
      <c r="C80" s="115" t="s">
        <v>112</v>
      </c>
      <c r="D80" s="66" t="s">
        <v>27</v>
      </c>
      <c r="E80" s="54" t="s">
        <v>27</v>
      </c>
      <c r="F80" s="62">
        <v>1500.0</v>
      </c>
      <c r="G80" s="63">
        <v>2000.0</v>
      </c>
      <c r="H80" s="64">
        <v>1500.0</v>
      </c>
      <c r="I80" s="68">
        <v>1500.0</v>
      </c>
      <c r="J80" s="104">
        <v>1500.0</v>
      </c>
      <c r="K80" s="65">
        <v>1600.0</v>
      </c>
      <c r="L80" s="153"/>
      <c r="M80" s="7"/>
      <c r="N80" s="7"/>
    </row>
    <row r="81" ht="15.75" customHeight="1">
      <c r="A81" s="132"/>
      <c r="B81" s="50" t="s">
        <v>114</v>
      </c>
      <c r="C81" s="115" t="s">
        <v>112</v>
      </c>
      <c r="D81" s="66" t="s">
        <v>27</v>
      </c>
      <c r="E81" s="54" t="s">
        <v>27</v>
      </c>
      <c r="F81" s="62">
        <v>2000.0</v>
      </c>
      <c r="G81" s="63">
        <v>2000.0</v>
      </c>
      <c r="H81" s="64">
        <v>2000.0</v>
      </c>
      <c r="I81" s="68">
        <v>2000.0</v>
      </c>
      <c r="J81" s="104">
        <v>1500.0</v>
      </c>
      <c r="K81" s="65">
        <v>1900.0</v>
      </c>
      <c r="L81" s="153"/>
      <c r="M81" s="7"/>
      <c r="N81" s="7"/>
    </row>
    <row r="82" ht="15.75" customHeight="1">
      <c r="A82" s="129">
        <v>21.0</v>
      </c>
      <c r="B82" s="76" t="s">
        <v>115</v>
      </c>
      <c r="C82" s="107"/>
      <c r="D82" s="140"/>
      <c r="E82" s="67"/>
      <c r="F82" s="79" t="s">
        <v>116</v>
      </c>
      <c r="G82" s="112"/>
      <c r="H82" s="113"/>
      <c r="I82" s="113"/>
      <c r="J82" s="114"/>
      <c r="K82" s="83"/>
      <c r="L82" s="153"/>
      <c r="M82" s="7"/>
      <c r="N82" s="7"/>
    </row>
    <row r="83" ht="15.75" customHeight="1">
      <c r="A83" s="132"/>
      <c r="B83" s="50" t="s">
        <v>117</v>
      </c>
      <c r="C83" s="115" t="s">
        <v>118</v>
      </c>
      <c r="D83" s="66">
        <v>18000.0</v>
      </c>
      <c r="E83" s="54" t="s">
        <v>27</v>
      </c>
      <c r="F83" s="141" t="s">
        <v>27</v>
      </c>
      <c r="G83" s="63">
        <v>17000.0</v>
      </c>
      <c r="H83" s="98" t="s">
        <v>27</v>
      </c>
      <c r="I83" s="69">
        <v>19000.0</v>
      </c>
      <c r="J83" s="104">
        <v>18000.0</v>
      </c>
      <c r="K83" s="65">
        <v>18000.0</v>
      </c>
      <c r="L83" s="153"/>
      <c r="M83" s="7"/>
      <c r="N83" s="7"/>
    </row>
    <row r="84" ht="15.75" customHeight="1">
      <c r="A84" s="153"/>
      <c r="B84" s="153"/>
      <c r="C84" s="153"/>
      <c r="D84" s="153"/>
      <c r="E84" s="143"/>
      <c r="F84" s="153"/>
      <c r="G84" s="153"/>
      <c r="H84" s="153"/>
      <c r="I84" s="153"/>
      <c r="J84" s="4"/>
      <c r="K84" s="153"/>
      <c r="L84" s="153"/>
      <c r="M84" s="7"/>
      <c r="N84" s="7"/>
    </row>
    <row r="85" ht="15.75" customHeight="1">
      <c r="A85" s="153"/>
      <c r="B85" s="144"/>
      <c r="C85" s="153"/>
      <c r="D85" s="153"/>
      <c r="E85" s="153"/>
      <c r="F85" s="153"/>
      <c r="G85" s="153"/>
      <c r="H85" s="153"/>
      <c r="I85" s="153"/>
      <c r="J85" s="4"/>
      <c r="K85" s="153"/>
      <c r="L85" s="153"/>
      <c r="M85" s="7"/>
      <c r="N85" s="7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4"/>
      <c r="K86" s="153"/>
      <c r="L86" s="153"/>
      <c r="M86" s="7"/>
      <c r="N86" s="7"/>
    </row>
    <row r="87" ht="15.75" customHeight="1">
      <c r="A87" s="7"/>
      <c r="B87" s="7"/>
      <c r="C87" s="7"/>
      <c r="D87" s="128"/>
      <c r="E87" s="7"/>
      <c r="F87" s="7"/>
      <c r="G87" s="7"/>
      <c r="H87" s="7"/>
      <c r="I87" s="7"/>
      <c r="J87" s="85"/>
      <c r="K87" s="7"/>
      <c r="L87" s="7"/>
      <c r="M87" s="7"/>
      <c r="N87" s="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58:A61"/>
    <mergeCell ref="A64:A68"/>
    <mergeCell ref="A25:A31"/>
    <mergeCell ref="A32:A34"/>
    <mergeCell ref="A38:A40"/>
    <mergeCell ref="A41:A43"/>
    <mergeCell ref="A47:A48"/>
    <mergeCell ref="A49:A50"/>
    <mergeCell ref="A51:A5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9.86"/>
    <col customWidth="1" min="3" max="3" width="8.71"/>
    <col customWidth="1" min="4" max="10" width="14.43"/>
    <col customWidth="1" min="11" max="11" width="14.0"/>
    <col customWidth="1" min="12" max="26" width="8.71"/>
  </cols>
  <sheetData>
    <row r="1">
      <c r="A1" s="6" t="s">
        <v>2</v>
      </c>
      <c r="L1" s="153"/>
      <c r="M1" s="7"/>
      <c r="N1" s="7"/>
      <c r="O1" s="153"/>
      <c r="P1" s="153"/>
      <c r="Q1" s="153"/>
      <c r="R1" s="153"/>
      <c r="S1" s="153"/>
      <c r="T1" s="153"/>
      <c r="U1" s="153"/>
      <c r="V1" s="153"/>
      <c r="W1" s="153"/>
    </row>
    <row r="2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L2" s="153"/>
      <c r="M2" s="7"/>
      <c r="N2" s="7"/>
      <c r="O2" s="153"/>
      <c r="P2" s="153"/>
      <c r="Q2" s="153"/>
      <c r="R2" s="153"/>
      <c r="S2" s="153"/>
      <c r="T2" s="153"/>
      <c r="U2" s="153"/>
      <c r="V2" s="153"/>
      <c r="W2" s="153"/>
    </row>
    <row r="3">
      <c r="A3" s="12" t="s">
        <v>134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53"/>
      <c r="M3" s="7"/>
      <c r="N3" s="7"/>
      <c r="O3" s="153"/>
      <c r="P3" s="153"/>
      <c r="Q3" s="153"/>
      <c r="R3" s="153"/>
      <c r="S3" s="153"/>
      <c r="T3" s="153"/>
      <c r="U3" s="153"/>
      <c r="V3" s="153"/>
      <c r="W3" s="153"/>
    </row>
    <row r="4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L4" s="153"/>
      <c r="M4" s="7"/>
      <c r="N4" s="7"/>
      <c r="O4" s="153"/>
      <c r="P4" s="153"/>
      <c r="Q4" s="153"/>
      <c r="R4" s="153"/>
      <c r="S4" s="153"/>
      <c r="T4" s="153"/>
      <c r="U4" s="153"/>
      <c r="V4" s="153"/>
      <c r="W4" s="153"/>
    </row>
    <row r="5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L5" s="153"/>
      <c r="M5" s="7"/>
      <c r="N5" s="7"/>
      <c r="O5" s="153"/>
      <c r="P5" s="153"/>
      <c r="Q5" s="153"/>
      <c r="R5" s="153"/>
      <c r="S5" s="153"/>
      <c r="T5" s="153"/>
      <c r="U5" s="153"/>
      <c r="V5" s="153"/>
      <c r="W5" s="153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L6" s="153"/>
      <c r="M6" s="7"/>
      <c r="N6" s="7"/>
      <c r="O6" s="153"/>
      <c r="P6" s="153"/>
      <c r="Q6" s="153"/>
      <c r="R6" s="153"/>
      <c r="S6" s="153"/>
      <c r="T6" s="153"/>
      <c r="U6" s="153"/>
      <c r="V6" s="153"/>
      <c r="W6" s="153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L7" s="153"/>
      <c r="M7" s="7"/>
      <c r="N7" s="7"/>
      <c r="O7" s="153"/>
      <c r="P7" s="153"/>
      <c r="Q7" s="153"/>
      <c r="R7" s="153"/>
      <c r="S7" s="153"/>
      <c r="T7" s="153"/>
      <c r="U7" s="153"/>
      <c r="V7" s="153"/>
      <c r="W7" s="153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14000.0</v>
      </c>
      <c r="I8" s="64">
        <v>13500.0</v>
      </c>
      <c r="J8" s="56">
        <v>13500.0</v>
      </c>
      <c r="K8" s="57">
        <v>13328.57142857143</v>
      </c>
      <c r="L8" s="58"/>
      <c r="M8" s="59"/>
      <c r="N8" s="7"/>
      <c r="O8" s="153"/>
      <c r="P8" s="153"/>
      <c r="Q8" s="153"/>
      <c r="R8" s="153"/>
      <c r="S8" s="153"/>
      <c r="T8" s="153"/>
      <c r="U8" s="153"/>
      <c r="V8" s="153"/>
      <c r="W8" s="153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v>9400.0</v>
      </c>
      <c r="L9" s="153"/>
      <c r="M9" s="7"/>
      <c r="N9" s="7"/>
      <c r="O9" s="153"/>
      <c r="P9" s="153"/>
      <c r="Q9" s="153"/>
      <c r="R9" s="153"/>
      <c r="S9" s="153"/>
      <c r="T9" s="153"/>
      <c r="U9" s="153"/>
      <c r="V9" s="153"/>
      <c r="W9" s="153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v>10600.0</v>
      </c>
      <c r="L10" s="153"/>
      <c r="M10" s="7"/>
      <c r="N10" s="7"/>
      <c r="O10" s="153"/>
      <c r="P10" s="153"/>
      <c r="Q10" s="153"/>
      <c r="R10" s="153"/>
      <c r="S10" s="153"/>
      <c r="T10" s="153"/>
      <c r="U10" s="153"/>
      <c r="V10" s="153"/>
      <c r="W10" s="153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v>20200.0</v>
      </c>
      <c r="L11" s="153"/>
      <c r="M11" s="7"/>
      <c r="N11" s="7"/>
      <c r="O11" s="153"/>
      <c r="P11" s="153"/>
      <c r="Q11" s="153"/>
      <c r="R11" s="153"/>
      <c r="S11" s="153"/>
      <c r="T11" s="153"/>
      <c r="U11" s="153"/>
      <c r="V11" s="153"/>
      <c r="W11" s="153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L12" s="153"/>
      <c r="M12" s="7"/>
      <c r="N12" s="85"/>
      <c r="O12" s="153"/>
      <c r="P12" s="153"/>
      <c r="Q12" s="153"/>
      <c r="R12" s="153"/>
      <c r="S12" s="153"/>
      <c r="T12" s="153"/>
      <c r="U12" s="153"/>
      <c r="V12" s="153"/>
      <c r="W12" s="153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v>13000.0</v>
      </c>
      <c r="L13" s="153"/>
      <c r="M13" s="7"/>
      <c r="N13" s="7"/>
      <c r="O13" s="153"/>
      <c r="P13" s="153"/>
      <c r="Q13" s="153"/>
      <c r="R13" s="153"/>
      <c r="S13" s="153"/>
      <c r="T13" s="153"/>
      <c r="U13" s="153"/>
      <c r="V13" s="153"/>
      <c r="W13" s="153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v>15571.42857142857</v>
      </c>
      <c r="L14" s="153"/>
      <c r="M14" s="7"/>
      <c r="N14" s="7"/>
      <c r="O14" s="153"/>
      <c r="P14" s="153"/>
      <c r="Q14" s="153"/>
      <c r="R14" s="153"/>
      <c r="S14" s="153"/>
      <c r="T14" s="153"/>
      <c r="U14" s="153"/>
      <c r="V14" s="153"/>
      <c r="W14" s="153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L15" s="153"/>
      <c r="M15" s="7"/>
      <c r="N15" s="7"/>
      <c r="O15" s="153"/>
      <c r="P15" s="153"/>
      <c r="Q15" s="153"/>
      <c r="R15" s="153"/>
      <c r="S15" s="153"/>
      <c r="T15" s="153"/>
      <c r="U15" s="153"/>
      <c r="V15" s="153"/>
      <c r="W15" s="153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v>15833.333333333334</v>
      </c>
      <c r="L16" s="153"/>
      <c r="M16" s="7"/>
      <c r="N16" s="7"/>
      <c r="O16" s="153"/>
      <c r="P16" s="153"/>
      <c r="Q16" s="153"/>
      <c r="R16" s="153"/>
      <c r="S16" s="153"/>
      <c r="T16" s="153"/>
      <c r="U16" s="153"/>
      <c r="V16" s="153"/>
      <c r="W16" s="153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v>14333.333333333334</v>
      </c>
      <c r="L17" s="153"/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L18" s="153"/>
      <c r="M18" s="7"/>
      <c r="N18" s="7"/>
    </row>
    <row r="19">
      <c r="A19" s="71"/>
      <c r="B19" s="50" t="s">
        <v>37</v>
      </c>
      <c r="C19" s="51" t="s">
        <v>24</v>
      </c>
      <c r="D19" s="66">
        <v>22000.0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v>21750.0</v>
      </c>
      <c r="L19" s="153"/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L20" s="15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v>118142.85714285714</v>
      </c>
      <c r="L21" s="153"/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v>109142.85714285714</v>
      </c>
      <c r="L22" s="153"/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v>99166.66666666667</v>
      </c>
      <c r="L23" s="153"/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30000.0</v>
      </c>
      <c r="F24" s="62">
        <v>30000.0</v>
      </c>
      <c r="G24" s="62">
        <v>31000.0</v>
      </c>
      <c r="H24" s="55">
        <v>33000.0</v>
      </c>
      <c r="I24" s="64">
        <v>30000.0</v>
      </c>
      <c r="J24" s="55">
        <v>32000.0</v>
      </c>
      <c r="K24" s="65">
        <v>30857.14285714286</v>
      </c>
      <c r="L24" s="153"/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L25" s="15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37000.0</v>
      </c>
      <c r="J26" s="55">
        <v>40000.0</v>
      </c>
      <c r="K26" s="65">
        <v>37500.0</v>
      </c>
      <c r="L26" s="153"/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v>29428.571428571428</v>
      </c>
      <c r="L27" s="153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v>65428.57142857143</v>
      </c>
      <c r="L28" s="153"/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v>24600.0</v>
      </c>
      <c r="L29" s="153"/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36000.0</v>
      </c>
      <c r="K30" s="65">
        <v>38142.857142857145</v>
      </c>
      <c r="L30" s="153"/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v>96666.66666666667</v>
      </c>
      <c r="L31" s="153"/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L32" s="15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27000.0</v>
      </c>
      <c r="F33" s="62">
        <v>28000.0</v>
      </c>
      <c r="G33" s="62">
        <v>28000.0</v>
      </c>
      <c r="H33" s="64">
        <v>25000.0</v>
      </c>
      <c r="I33" s="64">
        <v>27500.0</v>
      </c>
      <c r="J33" s="55">
        <v>28000.0</v>
      </c>
      <c r="K33" s="65">
        <v>27071.428571428572</v>
      </c>
      <c r="L33" s="153"/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v>2385.714285714286</v>
      </c>
      <c r="L34" s="153"/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L35" s="153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1000.0</v>
      </c>
      <c r="E36" s="62">
        <v>1000.0</v>
      </c>
      <c r="F36" s="62">
        <v>3000.0</v>
      </c>
      <c r="G36" s="62">
        <v>3000.0</v>
      </c>
      <c r="H36" s="64">
        <v>4000.0</v>
      </c>
      <c r="I36" s="64">
        <v>15000.0</v>
      </c>
      <c r="J36" s="55">
        <v>3000.0</v>
      </c>
      <c r="K36" s="65">
        <v>4285.714285714285</v>
      </c>
      <c r="L36" s="153"/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v>12200.0</v>
      </c>
      <c r="L37" s="153"/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L38" s="153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3500.0</v>
      </c>
      <c r="K39" s="65">
        <v>8600.0</v>
      </c>
      <c r="L39" s="153"/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v>4166.666666666667</v>
      </c>
      <c r="L40" s="153"/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v>2000.0</v>
      </c>
      <c r="L41" s="153"/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L42" s="15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10000.0</v>
      </c>
      <c r="K43" s="65">
        <v>11916.666666666666</v>
      </c>
      <c r="L43" s="153"/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v>40200.0</v>
      </c>
      <c r="L44" s="153"/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L45" s="15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v>18666.666666666668</v>
      </c>
      <c r="L46" s="153"/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v>2000.0</v>
      </c>
      <c r="L47" s="153"/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L48" s="15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11000.0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v>9428.57142857143</v>
      </c>
      <c r="L49" s="153"/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v>8166.666666666667</v>
      </c>
      <c r="L50" s="153"/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L51" s="15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v>4000.0</v>
      </c>
      <c r="L52" s="153"/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L53" s="15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v>10642.857142857143</v>
      </c>
      <c r="L54" s="153"/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L55" s="15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17000.0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v>16666.666666666668</v>
      </c>
      <c r="L56" s="153"/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v>14166.666666666666</v>
      </c>
      <c r="L57" s="153"/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24000.0</v>
      </c>
      <c r="E58" s="62">
        <v>23000.0</v>
      </c>
      <c r="F58" s="62">
        <v>30000.0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v>25857.14285714286</v>
      </c>
      <c r="L58" s="153"/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28000.0</v>
      </c>
      <c r="E59" s="62">
        <v>30000.0</v>
      </c>
      <c r="F59" s="62">
        <v>33000.0</v>
      </c>
      <c r="G59" s="62">
        <v>30000.0</v>
      </c>
      <c r="H59" s="64">
        <v>26000.0</v>
      </c>
      <c r="I59" s="64">
        <v>29000.0</v>
      </c>
      <c r="J59" s="102">
        <v>28000.0</v>
      </c>
      <c r="K59" s="65">
        <v>29142.85714285714</v>
      </c>
      <c r="L59" s="153"/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L60" s="15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v>3200.0</v>
      </c>
      <c r="L61" s="153"/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L62" s="15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30000.0</v>
      </c>
      <c r="E63" s="62">
        <v>35000.0</v>
      </c>
      <c r="F63" s="62">
        <v>32000.0</v>
      </c>
      <c r="G63" s="62">
        <v>30000.0</v>
      </c>
      <c r="H63" s="64">
        <v>28000.0</v>
      </c>
      <c r="I63" s="64">
        <v>35000.0</v>
      </c>
      <c r="J63" s="55">
        <v>30000.0</v>
      </c>
      <c r="K63" s="65">
        <v>31428.571428571428</v>
      </c>
      <c r="L63" s="153"/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33000.0</v>
      </c>
      <c r="F64" s="62">
        <v>35000.0</v>
      </c>
      <c r="G64" s="62">
        <v>45000.0</v>
      </c>
      <c r="H64" s="126" t="s">
        <v>27</v>
      </c>
      <c r="I64" s="69">
        <v>45000.0</v>
      </c>
      <c r="J64" s="102" t="s">
        <v>27</v>
      </c>
      <c r="K64" s="65">
        <v>40600.0</v>
      </c>
      <c r="L64" s="153"/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65000.0</v>
      </c>
      <c r="E65" s="62">
        <v>65000.0</v>
      </c>
      <c r="F65" s="62">
        <v>70000.0</v>
      </c>
      <c r="G65" s="62">
        <v>75000.0</v>
      </c>
      <c r="H65" s="64">
        <v>75000.0</v>
      </c>
      <c r="I65" s="64">
        <v>70000.0</v>
      </c>
      <c r="J65" s="55">
        <v>70000.0</v>
      </c>
      <c r="K65" s="65">
        <v>70000.0</v>
      </c>
      <c r="L65" s="153"/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L66" s="15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v>18166.666666666668</v>
      </c>
      <c r="L67" s="153"/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L68" s="15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34000.0</v>
      </c>
      <c r="E69" s="62">
        <v>35000.0</v>
      </c>
      <c r="F69" s="62">
        <v>35000.0</v>
      </c>
      <c r="G69" s="62">
        <v>38000.0</v>
      </c>
      <c r="H69" s="64">
        <v>33000.0</v>
      </c>
      <c r="I69" s="64">
        <v>36000.0</v>
      </c>
      <c r="J69" s="55">
        <v>35000.0</v>
      </c>
      <c r="K69" s="65">
        <v>35142.857142857145</v>
      </c>
      <c r="L69" s="153"/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32000.0</v>
      </c>
      <c r="E70" s="62">
        <v>30000.0</v>
      </c>
      <c r="F70" s="62">
        <v>28000.0</v>
      </c>
      <c r="G70" s="62">
        <v>28000.0</v>
      </c>
      <c r="H70" s="64">
        <v>28000.0</v>
      </c>
      <c r="I70" s="64">
        <v>30000.0</v>
      </c>
      <c r="J70" s="55">
        <v>28000.0</v>
      </c>
      <c r="K70" s="65">
        <v>29142.85714285714</v>
      </c>
      <c r="L70" s="153"/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33000.0</v>
      </c>
      <c r="E71" s="62">
        <v>35000.0</v>
      </c>
      <c r="F71" s="62">
        <v>30000.0</v>
      </c>
      <c r="G71" s="62">
        <v>40000.0</v>
      </c>
      <c r="H71" s="64">
        <v>22000.0</v>
      </c>
      <c r="I71" s="64">
        <v>33000.0</v>
      </c>
      <c r="J71" s="55">
        <v>35000.0</v>
      </c>
      <c r="K71" s="65">
        <v>32571.428571428572</v>
      </c>
      <c r="L71" s="153"/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v>22285.714285714286</v>
      </c>
      <c r="L72" s="153"/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L73" s="15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v>5571.428571428572</v>
      </c>
      <c r="L74" s="153"/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v>6000.0</v>
      </c>
      <c r="L75" s="153"/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L76" s="15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12000.0</v>
      </c>
      <c r="J77" s="55">
        <v>8000.0</v>
      </c>
      <c r="K77" s="65">
        <v>8714.285714285714</v>
      </c>
      <c r="L77" s="153"/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10000.0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15000.0</v>
      </c>
      <c r="K78" s="65">
        <v>12857.142857142857</v>
      </c>
      <c r="L78" s="153"/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16000.0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10000.0</v>
      </c>
      <c r="K79" s="65">
        <v>14857.142857142857</v>
      </c>
      <c r="L79" s="153"/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16000.0</v>
      </c>
      <c r="H80" s="64">
        <v>10000.0</v>
      </c>
      <c r="I80" s="69">
        <v>8000.0</v>
      </c>
      <c r="J80" s="55">
        <v>10000.0</v>
      </c>
      <c r="K80" s="65">
        <v>12428.57142857143</v>
      </c>
      <c r="L80" s="153"/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v>10285.714285714286</v>
      </c>
      <c r="L81" s="153"/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7" t="s">
        <v>27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v>8400.0</v>
      </c>
      <c r="L82" s="153"/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v>1916.6666666666667</v>
      </c>
      <c r="L83" s="153"/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v>1666.6666666666667</v>
      </c>
      <c r="L84" s="153"/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v>1900.0</v>
      </c>
      <c r="L85" s="153"/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L86" s="15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v>18000.0</v>
      </c>
      <c r="L87" s="153"/>
      <c r="M87" s="7"/>
      <c r="N87" s="7"/>
    </row>
    <row r="88" ht="15.75" customHeight="1">
      <c r="A88" s="153"/>
      <c r="B88" s="153"/>
      <c r="C88" s="153"/>
      <c r="D88" s="153"/>
      <c r="E88" s="143"/>
      <c r="F88" s="153"/>
      <c r="G88" s="153"/>
      <c r="H88" s="153"/>
      <c r="I88" s="153"/>
      <c r="J88" s="4"/>
      <c r="K88" s="153"/>
      <c r="L88" s="153"/>
      <c r="M88" s="7"/>
      <c r="N88" s="7"/>
    </row>
    <row r="89" ht="15.75" customHeight="1">
      <c r="A89" s="153"/>
      <c r="B89" s="144"/>
      <c r="C89" s="153"/>
      <c r="D89" s="153"/>
      <c r="E89" s="153"/>
      <c r="F89" s="153"/>
      <c r="G89" s="153"/>
      <c r="H89" s="153"/>
      <c r="I89" s="153"/>
      <c r="J89" s="4"/>
      <c r="K89" s="153"/>
      <c r="L89" s="153"/>
      <c r="M89" s="7"/>
      <c r="N89" s="7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4"/>
      <c r="K90" s="153"/>
      <c r="L90" s="153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135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14000.0</v>
      </c>
      <c r="I8" s="64">
        <v>13500.0</v>
      </c>
      <c r="J8" s="56">
        <v>13500.0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15571.42857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22000.0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21750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30000.0</v>
      </c>
      <c r="F24" s="62">
        <v>30000.0</v>
      </c>
      <c r="G24" s="62">
        <v>31000.0</v>
      </c>
      <c r="H24" s="55">
        <v>32000.0</v>
      </c>
      <c r="I24" s="64">
        <v>32000.0</v>
      </c>
      <c r="J24" s="55">
        <v>32000.0</v>
      </c>
      <c r="K24" s="65">
        <f t="shared" si="4"/>
        <v>31000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37000.0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65428.57143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36000.0</v>
      </c>
      <c r="K30" s="65">
        <f t="shared" si="5"/>
        <v>38142.85714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27000.0</v>
      </c>
      <c r="F33" s="62">
        <v>27500.0</v>
      </c>
      <c r="G33" s="62">
        <v>28000.0</v>
      </c>
      <c r="H33" s="64">
        <v>26000.0</v>
      </c>
      <c r="I33" s="64">
        <v>28000.0</v>
      </c>
      <c r="J33" s="55">
        <v>27000.0</v>
      </c>
      <c r="K33" s="65">
        <f t="shared" ref="K33:K34" si="6">AVERAGE(D33:J33)</f>
        <v>27071.42857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1000.0</v>
      </c>
      <c r="E36" s="62">
        <v>1000.0</v>
      </c>
      <c r="F36" s="62">
        <v>3000.0</v>
      </c>
      <c r="G36" s="62">
        <v>3000.0</v>
      </c>
      <c r="H36" s="64">
        <v>4000.0</v>
      </c>
      <c r="I36" s="64">
        <v>15000.0</v>
      </c>
      <c r="J36" s="55">
        <v>3000.0</v>
      </c>
      <c r="K36" s="65">
        <f t="shared" ref="K36:K37" si="7">AVERAGE(D36:J36)</f>
        <v>4285.714286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10000.0</v>
      </c>
      <c r="K43" s="65">
        <f t="shared" ref="K43:K44" si="9">AVERAGE(D43:J43)</f>
        <v>11916.66667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11000.0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9428.571429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17000.0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18000.0</v>
      </c>
      <c r="J56" s="102" t="s">
        <v>27</v>
      </c>
      <c r="K56" s="65">
        <f t="shared" ref="K56:K59" si="12">AVERAGE(D56:J56)</f>
        <v>16833.33333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24000.0</v>
      </c>
      <c r="E58" s="62">
        <v>23000.0</v>
      </c>
      <c r="F58" s="62">
        <v>30000.0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28000.0</v>
      </c>
      <c r="E59" s="62">
        <v>30000.0</v>
      </c>
      <c r="F59" s="62">
        <v>33000.0</v>
      </c>
      <c r="G59" s="62">
        <v>30000.0</v>
      </c>
      <c r="H59" s="64">
        <v>26000.0</v>
      </c>
      <c r="I59" s="64">
        <v>29000.0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30000.0</v>
      </c>
      <c r="E63" s="62">
        <v>30000.0</v>
      </c>
      <c r="F63" s="62">
        <v>32000.0</v>
      </c>
      <c r="G63" s="62">
        <v>30000.0</v>
      </c>
      <c r="H63" s="64">
        <v>25000.0</v>
      </c>
      <c r="I63" s="64">
        <v>35000.0</v>
      </c>
      <c r="J63" s="55">
        <v>30000.0</v>
      </c>
      <c r="K63" s="65">
        <f t="shared" ref="K63:K65" si="13">AVERAGE(D63:J63)</f>
        <v>30285.71429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36000.0</v>
      </c>
      <c r="G64" s="62">
        <v>45000.0</v>
      </c>
      <c r="H64" s="126" t="s">
        <v>27</v>
      </c>
      <c r="I64" s="69">
        <v>35000.0</v>
      </c>
      <c r="J64" s="102" t="s">
        <v>27</v>
      </c>
      <c r="K64" s="65">
        <f t="shared" si="13"/>
        <v>39200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65000.0</v>
      </c>
      <c r="E65" s="62">
        <v>70000.0</v>
      </c>
      <c r="F65" s="62">
        <v>70000.0</v>
      </c>
      <c r="G65" s="62">
        <v>75000.0</v>
      </c>
      <c r="H65" s="64">
        <v>75000.0</v>
      </c>
      <c r="I65" s="64">
        <v>75000.0</v>
      </c>
      <c r="J65" s="55">
        <v>70000.0</v>
      </c>
      <c r="K65" s="65">
        <f t="shared" si="13"/>
        <v>71428.57143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34000.0</v>
      </c>
      <c r="E69" s="62">
        <v>34000.0</v>
      </c>
      <c r="F69" s="62">
        <v>36000.0</v>
      </c>
      <c r="G69" s="62">
        <v>38000.0</v>
      </c>
      <c r="H69" s="64">
        <v>33000.0</v>
      </c>
      <c r="I69" s="64">
        <v>36000.0</v>
      </c>
      <c r="J69" s="55">
        <v>35000.0</v>
      </c>
      <c r="K69" s="65">
        <f t="shared" ref="K69:K72" si="14">AVERAGE(D69:J69)</f>
        <v>35142.85714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32000.0</v>
      </c>
      <c r="E70" s="62">
        <v>30000.0</v>
      </c>
      <c r="F70" s="62">
        <v>32000.0</v>
      </c>
      <c r="G70" s="62">
        <v>28000.0</v>
      </c>
      <c r="H70" s="64">
        <v>28000.0</v>
      </c>
      <c r="I70" s="64">
        <v>30000.0</v>
      </c>
      <c r="J70" s="55">
        <v>28000.0</v>
      </c>
      <c r="K70" s="65">
        <f t="shared" si="14"/>
        <v>29714.28571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33000.0</v>
      </c>
      <c r="E71" s="62">
        <v>35000.0</v>
      </c>
      <c r="F71" s="62">
        <v>34000.0</v>
      </c>
      <c r="G71" s="62">
        <v>40000.0</v>
      </c>
      <c r="H71" s="64">
        <v>22000.0</v>
      </c>
      <c r="I71" s="64">
        <v>33000.0</v>
      </c>
      <c r="J71" s="55">
        <v>35000.0</v>
      </c>
      <c r="K71" s="65">
        <f t="shared" si="14"/>
        <v>33142.85714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22285.71429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12000.0</v>
      </c>
      <c r="J77" s="55">
        <v>8000.0</v>
      </c>
      <c r="K77" s="65">
        <f t="shared" ref="K77:K85" si="16">AVERAGE(D77:J77)</f>
        <v>8714.285714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10000.0</v>
      </c>
      <c r="E78" s="62">
        <v>17000.0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15000.0</v>
      </c>
      <c r="K78" s="65">
        <f t="shared" si="16"/>
        <v>13142.85714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16000.0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10000.0</v>
      </c>
      <c r="K79" s="65">
        <f t="shared" si="16"/>
        <v>14857.14286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16000.0</v>
      </c>
      <c r="H80" s="64">
        <v>10000.0</v>
      </c>
      <c r="I80" s="69">
        <v>8000.0</v>
      </c>
      <c r="J80" s="55">
        <v>10000.0</v>
      </c>
      <c r="K80" s="65">
        <f t="shared" si="16"/>
        <v>12428.57143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60" t="s">
        <v>136</v>
      </c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61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162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8"/>
      <c r="F5" s="28"/>
      <c r="G5" s="29"/>
      <c r="H5" s="25"/>
      <c r="I5" s="25"/>
      <c r="J5" s="26"/>
      <c r="K5" s="28"/>
      <c r="M5" s="7"/>
      <c r="N5" s="7"/>
    </row>
    <row r="6">
      <c r="A6" s="31"/>
      <c r="B6" s="31"/>
      <c r="C6" s="31"/>
      <c r="D6" s="32"/>
      <c r="E6" s="34"/>
      <c r="F6" s="34"/>
      <c r="G6" s="35"/>
      <c r="H6" s="31"/>
      <c r="I6" s="31"/>
      <c r="J6" s="32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14000.0</v>
      </c>
      <c r="I8" s="64">
        <v>13500.0</v>
      </c>
      <c r="J8" s="56">
        <v>13500.0</v>
      </c>
      <c r="K8" s="57">
        <f t="shared" ref="K8:K11" si="1">AVERAGE(D8:J8)</f>
        <v>13328.57143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15571.42857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22000.0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21750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32000.0</v>
      </c>
      <c r="E24" s="62">
        <v>30000.0</v>
      </c>
      <c r="F24" s="62">
        <v>30000.0</v>
      </c>
      <c r="G24" s="62">
        <v>31000.0</v>
      </c>
      <c r="H24" s="55">
        <v>32000.0</v>
      </c>
      <c r="I24" s="64">
        <v>32000.0</v>
      </c>
      <c r="J24" s="55">
        <v>32000.0</v>
      </c>
      <c r="K24" s="65">
        <f t="shared" si="4"/>
        <v>31285.71429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37000.0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65428.57143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36000.0</v>
      </c>
      <c r="K30" s="65">
        <f t="shared" si="5"/>
        <v>38142.85714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27000.0</v>
      </c>
      <c r="F33" s="62">
        <v>27500.0</v>
      </c>
      <c r="G33" s="62">
        <v>28000.0</v>
      </c>
      <c r="H33" s="64">
        <v>26000.0</v>
      </c>
      <c r="I33" s="64">
        <v>28000.0</v>
      </c>
      <c r="J33" s="55">
        <v>27000.0</v>
      </c>
      <c r="K33" s="65">
        <f t="shared" ref="K33:K34" si="6">AVERAGE(D33:J33)</f>
        <v>27071.42857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1000.0</v>
      </c>
      <c r="E36" s="62">
        <v>1000.0</v>
      </c>
      <c r="F36" s="62">
        <v>3000.0</v>
      </c>
      <c r="G36" s="62">
        <v>3000.0</v>
      </c>
      <c r="H36" s="64">
        <v>4000.0</v>
      </c>
      <c r="I36" s="64">
        <v>15000.0</v>
      </c>
      <c r="J36" s="55">
        <v>3000.0</v>
      </c>
      <c r="K36" s="65">
        <f t="shared" ref="K36:K37" si="7">AVERAGE(D36:J36)</f>
        <v>4285.714286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10000.0</v>
      </c>
      <c r="K43" s="65">
        <f t="shared" ref="K43:K44" si="9">AVERAGE(D43:J43)</f>
        <v>11916.66667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11000.0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9428.571429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17000.0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18000.0</v>
      </c>
      <c r="J56" s="102" t="s">
        <v>27</v>
      </c>
      <c r="K56" s="65">
        <f t="shared" ref="K56:K59" si="12">AVERAGE(D56:J56)</f>
        <v>16833.33333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24000.0</v>
      </c>
      <c r="E58" s="62">
        <v>23000.0</v>
      </c>
      <c r="F58" s="62">
        <v>30000.0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28000.0</v>
      </c>
      <c r="E59" s="62">
        <v>30000.0</v>
      </c>
      <c r="F59" s="62">
        <v>33000.0</v>
      </c>
      <c r="G59" s="62">
        <v>30000.0</v>
      </c>
      <c r="H59" s="64">
        <v>26000.0</v>
      </c>
      <c r="I59" s="64">
        <v>29000.0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30000.0</v>
      </c>
      <c r="E63" s="62">
        <v>30000.0</v>
      </c>
      <c r="F63" s="62">
        <v>32000.0</v>
      </c>
      <c r="G63" s="62">
        <v>30000.0</v>
      </c>
      <c r="H63" s="64">
        <v>25000.0</v>
      </c>
      <c r="I63" s="64">
        <v>35000.0</v>
      </c>
      <c r="J63" s="55">
        <v>30000.0</v>
      </c>
      <c r="K63" s="65">
        <f t="shared" ref="K63:K65" si="13">AVERAGE(D63:J63)</f>
        <v>30285.71429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36000.0</v>
      </c>
      <c r="G64" s="62">
        <v>45000.0</v>
      </c>
      <c r="H64" s="126" t="s">
        <v>27</v>
      </c>
      <c r="I64" s="69">
        <v>35000.0</v>
      </c>
      <c r="J64" s="102" t="s">
        <v>27</v>
      </c>
      <c r="K64" s="65">
        <f t="shared" si="13"/>
        <v>39200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75000.0</v>
      </c>
      <c r="E65" s="62">
        <v>70000.0</v>
      </c>
      <c r="F65" s="62">
        <v>70000.0</v>
      </c>
      <c r="G65" s="62">
        <v>75000.0</v>
      </c>
      <c r="H65" s="64">
        <v>75000.0</v>
      </c>
      <c r="I65" s="64">
        <v>75000.0</v>
      </c>
      <c r="J65" s="55">
        <v>70000.0</v>
      </c>
      <c r="K65" s="65">
        <f t="shared" si="13"/>
        <v>72857.14286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34000.0</v>
      </c>
      <c r="E69" s="62">
        <v>34000.0</v>
      </c>
      <c r="F69" s="62">
        <v>36000.0</v>
      </c>
      <c r="G69" s="62">
        <v>38000.0</v>
      </c>
      <c r="H69" s="64">
        <v>33000.0</v>
      </c>
      <c r="I69" s="64">
        <v>36000.0</v>
      </c>
      <c r="J69" s="55">
        <v>35000.0</v>
      </c>
      <c r="K69" s="65">
        <f t="shared" ref="K69:K72" si="14">AVERAGE(D69:J69)</f>
        <v>35142.85714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32000.0</v>
      </c>
      <c r="E70" s="62">
        <v>30000.0</v>
      </c>
      <c r="F70" s="62">
        <v>32000.0</v>
      </c>
      <c r="G70" s="62">
        <v>28000.0</v>
      </c>
      <c r="H70" s="64">
        <v>28000.0</v>
      </c>
      <c r="I70" s="64">
        <v>30000.0</v>
      </c>
      <c r="J70" s="55">
        <v>28000.0</v>
      </c>
      <c r="K70" s="65">
        <f t="shared" si="14"/>
        <v>29714.28571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34000.0</v>
      </c>
      <c r="G71" s="62">
        <v>40000.0</v>
      </c>
      <c r="H71" s="64">
        <v>22000.0</v>
      </c>
      <c r="I71" s="64">
        <v>33000.0</v>
      </c>
      <c r="J71" s="55">
        <v>35000.0</v>
      </c>
      <c r="K71" s="65">
        <f t="shared" si="14"/>
        <v>33000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22285.71429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12000.0</v>
      </c>
      <c r="J77" s="55">
        <v>8000.0</v>
      </c>
      <c r="K77" s="65">
        <f t="shared" ref="K77:K85" si="16">AVERAGE(D77:J77)</f>
        <v>8714.285714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10000.0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15000.0</v>
      </c>
      <c r="K78" s="65">
        <f t="shared" si="16"/>
        <v>12857.14286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10000.0</v>
      </c>
      <c r="K79" s="65">
        <f t="shared" si="16"/>
        <v>14714.28571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16000.0</v>
      </c>
      <c r="H80" s="64">
        <v>10000.0</v>
      </c>
      <c r="I80" s="69">
        <v>8000.0</v>
      </c>
      <c r="J80" s="55">
        <v>10000.0</v>
      </c>
      <c r="K80" s="65">
        <f t="shared" si="16"/>
        <v>12428.57143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137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12000.0</v>
      </c>
      <c r="I8" s="64">
        <v>13500.0</v>
      </c>
      <c r="J8" s="56">
        <v>13500.0</v>
      </c>
      <c r="K8" s="57">
        <f t="shared" ref="K8:K11" si="1">AVERAGE(D8:J8)</f>
        <v>13042.85714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15571.42857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22000.0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21750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32000.0</v>
      </c>
      <c r="E24" s="62">
        <v>30000.0</v>
      </c>
      <c r="F24" s="62">
        <v>32000.0</v>
      </c>
      <c r="G24" s="62">
        <v>31000.0</v>
      </c>
      <c r="H24" s="55">
        <v>32000.0</v>
      </c>
      <c r="I24" s="64">
        <v>32000.0</v>
      </c>
      <c r="J24" s="55">
        <v>32000.0</v>
      </c>
      <c r="K24" s="65">
        <f t="shared" si="4"/>
        <v>31571.42857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37000.0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65428.57143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36000.0</v>
      </c>
      <c r="K30" s="65">
        <f t="shared" si="5"/>
        <v>38142.85714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26000.0</v>
      </c>
      <c r="E33" s="62">
        <v>27000.0</v>
      </c>
      <c r="F33" s="62">
        <v>27000.0</v>
      </c>
      <c r="G33" s="62">
        <v>28000.0</v>
      </c>
      <c r="H33" s="64">
        <v>26000.0</v>
      </c>
      <c r="I33" s="64">
        <v>28000.0</v>
      </c>
      <c r="J33" s="55">
        <v>27000.0</v>
      </c>
      <c r="K33" s="65">
        <f t="shared" ref="K33:K34" si="6">AVERAGE(D33:J33)</f>
        <v>27000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1000.0</v>
      </c>
      <c r="E36" s="62">
        <v>1000.0</v>
      </c>
      <c r="F36" s="62">
        <v>3000.0</v>
      </c>
      <c r="G36" s="62">
        <v>3000.0</v>
      </c>
      <c r="H36" s="64">
        <v>4000.0</v>
      </c>
      <c r="I36" s="64">
        <v>15000.0</v>
      </c>
      <c r="J36" s="55">
        <v>3000.0</v>
      </c>
      <c r="K36" s="65">
        <f t="shared" ref="K36:K37" si="7">AVERAGE(D36:J36)</f>
        <v>4285.714286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10000.0</v>
      </c>
      <c r="K43" s="65">
        <f t="shared" ref="K43:K44" si="9">AVERAGE(D43:J43)</f>
        <v>11916.66667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11000.0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9428.571429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17000.0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18000.0</v>
      </c>
      <c r="J56" s="102" t="s">
        <v>27</v>
      </c>
      <c r="K56" s="65">
        <f t="shared" ref="K56:K59" si="12">AVERAGE(D56:J56)</f>
        <v>16833.33333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24000.0</v>
      </c>
      <c r="E58" s="62">
        <v>23000.0</v>
      </c>
      <c r="F58" s="62">
        <v>30000.0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28000.0</v>
      </c>
      <c r="E59" s="62">
        <v>30000.0</v>
      </c>
      <c r="F59" s="62">
        <v>33000.0</v>
      </c>
      <c r="G59" s="62">
        <v>30000.0</v>
      </c>
      <c r="H59" s="64">
        <v>26000.0</v>
      </c>
      <c r="I59" s="64">
        <v>29000.0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30000.0</v>
      </c>
      <c r="E63" s="62">
        <v>30000.0</v>
      </c>
      <c r="F63" s="62">
        <v>32000.0</v>
      </c>
      <c r="G63" s="62">
        <v>35000.0</v>
      </c>
      <c r="H63" s="64">
        <v>28000.0</v>
      </c>
      <c r="I63" s="64">
        <v>35000.0</v>
      </c>
      <c r="J63" s="55">
        <v>30000.0</v>
      </c>
      <c r="K63" s="65">
        <f t="shared" ref="K63:K65" si="13">AVERAGE(D63:J63)</f>
        <v>31428.57143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36000.0</v>
      </c>
      <c r="G64" s="62">
        <v>45000.0</v>
      </c>
      <c r="H64" s="126" t="s">
        <v>27</v>
      </c>
      <c r="I64" s="69">
        <v>35000.0</v>
      </c>
      <c r="J64" s="102" t="s">
        <v>27</v>
      </c>
      <c r="K64" s="65">
        <f t="shared" si="13"/>
        <v>39200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75000.0</v>
      </c>
      <c r="E65" s="62">
        <v>70000.0</v>
      </c>
      <c r="F65" s="62">
        <v>70000.0</v>
      </c>
      <c r="G65" s="62">
        <v>75000.0</v>
      </c>
      <c r="H65" s="64">
        <v>80000.0</v>
      </c>
      <c r="I65" s="64">
        <v>75000.0</v>
      </c>
      <c r="J65" s="55">
        <v>70000.0</v>
      </c>
      <c r="K65" s="65">
        <f t="shared" si="13"/>
        <v>73571.42857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34000.0</v>
      </c>
      <c r="E69" s="62">
        <v>34000.0</v>
      </c>
      <c r="F69" s="62">
        <v>36000.0</v>
      </c>
      <c r="G69" s="62">
        <v>38000.0</v>
      </c>
      <c r="H69" s="64">
        <v>32000.0</v>
      </c>
      <c r="I69" s="64">
        <v>36000.0</v>
      </c>
      <c r="J69" s="55">
        <v>35000.0</v>
      </c>
      <c r="K69" s="65">
        <f t="shared" ref="K69:K72" si="14">AVERAGE(D69:J69)</f>
        <v>35000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32000.0</v>
      </c>
      <c r="E70" s="62">
        <v>30000.0</v>
      </c>
      <c r="F70" s="62">
        <v>32000.0</v>
      </c>
      <c r="G70" s="62">
        <v>28000.0</v>
      </c>
      <c r="H70" s="64">
        <v>27000.0</v>
      </c>
      <c r="I70" s="64">
        <v>30000.0</v>
      </c>
      <c r="J70" s="55">
        <v>28000.0</v>
      </c>
      <c r="K70" s="65">
        <f t="shared" si="14"/>
        <v>29571.42857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36000.0</v>
      </c>
      <c r="G71" s="62">
        <v>40000.0</v>
      </c>
      <c r="H71" s="64">
        <v>22000.0</v>
      </c>
      <c r="I71" s="64">
        <v>33000.0</v>
      </c>
      <c r="J71" s="55">
        <v>35000.0</v>
      </c>
      <c r="K71" s="65">
        <f t="shared" si="14"/>
        <v>33285.71429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22285.71429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10000.0</v>
      </c>
      <c r="J77" s="55">
        <v>8000.0</v>
      </c>
      <c r="K77" s="65">
        <f t="shared" ref="K77:K85" si="16">AVERAGE(D77:J77)</f>
        <v>8428.571429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10000.0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15000.0</v>
      </c>
      <c r="K78" s="65">
        <f t="shared" si="16"/>
        <v>12857.14286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10000.0</v>
      </c>
      <c r="K79" s="65">
        <f t="shared" si="16"/>
        <v>14714.28571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16000.0</v>
      </c>
      <c r="H80" s="64">
        <v>6000.0</v>
      </c>
      <c r="I80" s="69">
        <v>8000.0</v>
      </c>
      <c r="J80" s="55">
        <v>10000.0</v>
      </c>
      <c r="K80" s="65">
        <f t="shared" si="16"/>
        <v>11857.14286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138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12000.0</v>
      </c>
      <c r="I8" s="64">
        <v>13500.0</v>
      </c>
      <c r="J8" s="56">
        <v>13500.0</v>
      </c>
      <c r="K8" s="57">
        <f t="shared" ref="K8:K11" si="1">AVERAGE(D8:J8)</f>
        <v>13042.85714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15571.42857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15000.0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22000.0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21750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32000.0</v>
      </c>
      <c r="E24" s="62">
        <v>30000.0</v>
      </c>
      <c r="F24" s="62">
        <v>32000.0</v>
      </c>
      <c r="G24" s="62">
        <v>31000.0</v>
      </c>
      <c r="H24" s="55">
        <v>32000.0</v>
      </c>
      <c r="I24" s="64">
        <v>32000.0</v>
      </c>
      <c r="J24" s="55">
        <v>32000.0</v>
      </c>
      <c r="K24" s="65">
        <f t="shared" si="4"/>
        <v>31571.42857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37000.0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65428.57143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36000.0</v>
      </c>
      <c r="K30" s="65">
        <f t="shared" si="5"/>
        <v>38142.85714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27000.0</v>
      </c>
      <c r="E33" s="62">
        <v>27000.0</v>
      </c>
      <c r="F33" s="62">
        <v>27500.0</v>
      </c>
      <c r="G33" s="62">
        <v>28000.0</v>
      </c>
      <c r="H33" s="64">
        <v>26000.0</v>
      </c>
      <c r="I33" s="64">
        <v>28000.0</v>
      </c>
      <c r="J33" s="55">
        <v>28000.0</v>
      </c>
      <c r="K33" s="65">
        <f t="shared" ref="K33:K34" si="6">AVERAGE(D33:J33)</f>
        <v>27357.14286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1000.0</v>
      </c>
      <c r="E36" s="62">
        <v>1000.0</v>
      </c>
      <c r="F36" s="62">
        <v>3000.0</v>
      </c>
      <c r="G36" s="62">
        <v>3000.0</v>
      </c>
      <c r="H36" s="64">
        <v>4000.0</v>
      </c>
      <c r="I36" s="64">
        <v>15000.0</v>
      </c>
      <c r="J36" s="55">
        <v>3000.0</v>
      </c>
      <c r="K36" s="65">
        <f t="shared" ref="K36:K37" si="7">AVERAGE(D36:J36)</f>
        <v>4285.714286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10000.0</v>
      </c>
      <c r="K43" s="65">
        <f t="shared" ref="K43:K44" si="9">AVERAGE(D43:J43)</f>
        <v>11916.66667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11000.0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9428.571429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17000.0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18000.0</v>
      </c>
      <c r="J56" s="102" t="s">
        <v>27</v>
      </c>
      <c r="K56" s="65">
        <f t="shared" ref="K56:K59" si="12">AVERAGE(D56:J56)</f>
        <v>16833.33333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24000.0</v>
      </c>
      <c r="E58" s="62">
        <v>23000.0</v>
      </c>
      <c r="F58" s="62">
        <v>30000.0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28000.0</v>
      </c>
      <c r="E59" s="62">
        <v>30000.0</v>
      </c>
      <c r="F59" s="62">
        <v>33000.0</v>
      </c>
      <c r="G59" s="62">
        <v>30000.0</v>
      </c>
      <c r="H59" s="64">
        <v>26000.0</v>
      </c>
      <c r="I59" s="64">
        <v>29000.0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30000.0</v>
      </c>
      <c r="E63" s="62">
        <v>30000.0</v>
      </c>
      <c r="F63" s="62">
        <v>33000.0</v>
      </c>
      <c r="G63" s="62">
        <v>35000.0</v>
      </c>
      <c r="H63" s="64">
        <v>28000.0</v>
      </c>
      <c r="I63" s="64">
        <v>35000.0</v>
      </c>
      <c r="J63" s="55">
        <v>35000.0</v>
      </c>
      <c r="K63" s="65">
        <f t="shared" ref="K63:K65" si="13">AVERAGE(D63:J63)</f>
        <v>32285.71429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35000.0</v>
      </c>
      <c r="G64" s="62">
        <v>45000.0</v>
      </c>
      <c r="H64" s="126" t="s">
        <v>27</v>
      </c>
      <c r="I64" s="69">
        <v>35000.0</v>
      </c>
      <c r="J64" s="102" t="s">
        <v>27</v>
      </c>
      <c r="K64" s="65">
        <f t="shared" si="13"/>
        <v>39000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75000.0</v>
      </c>
      <c r="E65" s="62">
        <v>70000.0</v>
      </c>
      <c r="F65" s="62">
        <v>70000.0</v>
      </c>
      <c r="G65" s="62">
        <v>75000.0</v>
      </c>
      <c r="H65" s="64">
        <v>80000.0</v>
      </c>
      <c r="I65" s="64">
        <v>75000.0</v>
      </c>
      <c r="J65" s="55">
        <v>75000.0</v>
      </c>
      <c r="K65" s="65">
        <f t="shared" si="13"/>
        <v>74285.71429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34000.0</v>
      </c>
      <c r="E69" s="62">
        <v>34000.0</v>
      </c>
      <c r="F69" s="62">
        <v>36000.0</v>
      </c>
      <c r="G69" s="62">
        <v>38000.0</v>
      </c>
      <c r="H69" s="64">
        <v>32000.0</v>
      </c>
      <c r="I69" s="64">
        <v>36000.0</v>
      </c>
      <c r="J69" s="55">
        <v>38000.0</v>
      </c>
      <c r="K69" s="65">
        <f t="shared" ref="K69:K72" si="14">AVERAGE(D69:J69)</f>
        <v>35428.57143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32000.0</v>
      </c>
      <c r="E70" s="62">
        <v>30000.0</v>
      </c>
      <c r="F70" s="62">
        <v>34000.0</v>
      </c>
      <c r="G70" s="62">
        <v>28000.0</v>
      </c>
      <c r="H70" s="64">
        <v>27000.0</v>
      </c>
      <c r="I70" s="64">
        <v>30000.0</v>
      </c>
      <c r="J70" s="55">
        <v>28000.0</v>
      </c>
      <c r="K70" s="65">
        <f t="shared" si="14"/>
        <v>29857.14286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36000.0</v>
      </c>
      <c r="G71" s="62">
        <v>40000.0</v>
      </c>
      <c r="H71" s="64">
        <v>22000.0</v>
      </c>
      <c r="I71" s="64">
        <v>33000.0</v>
      </c>
      <c r="J71" s="55">
        <v>35000.0</v>
      </c>
      <c r="K71" s="65">
        <f t="shared" si="14"/>
        <v>33285.71429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22285.71429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10000.0</v>
      </c>
      <c r="J77" s="55">
        <v>8000.0</v>
      </c>
      <c r="K77" s="65">
        <f t="shared" ref="K77:K85" si="16">AVERAGE(D77:J77)</f>
        <v>8428.571429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10000.0</v>
      </c>
      <c r="E78" s="62">
        <v>15000.0</v>
      </c>
      <c r="F78" s="62">
        <v>15000.0</v>
      </c>
      <c r="G78" s="62">
        <v>14000.0</v>
      </c>
      <c r="H78" s="64">
        <v>10000.0</v>
      </c>
      <c r="I78" s="69">
        <v>12000.0</v>
      </c>
      <c r="J78" s="55">
        <v>15000.0</v>
      </c>
      <c r="K78" s="65">
        <f t="shared" si="16"/>
        <v>13000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16000.0</v>
      </c>
      <c r="H80" s="64">
        <v>6000.0</v>
      </c>
      <c r="I80" s="69">
        <v>8000.0</v>
      </c>
      <c r="J80" s="55">
        <v>9000.0</v>
      </c>
      <c r="K80" s="65">
        <f t="shared" si="16"/>
        <v>11714.28571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10571.42857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139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52">
        <v>13000.0</v>
      </c>
      <c r="E8" s="62">
        <v>12500.0</v>
      </c>
      <c r="F8" s="62">
        <v>14000.0</v>
      </c>
      <c r="G8" s="62">
        <v>12800.0</v>
      </c>
      <c r="H8" s="62">
        <v>12000.0</v>
      </c>
      <c r="I8" s="64">
        <v>13500.0</v>
      </c>
      <c r="J8" s="56">
        <v>13500.0</v>
      </c>
      <c r="K8" s="57">
        <f t="shared" ref="K8:K11" si="1">AVERAGE(D8:J8)</f>
        <v>13042.85714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15571.42857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f t="shared" ref="K16:K17" si="3">AVERAGE(D16:J16)</f>
        <v>16000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32000.0</v>
      </c>
      <c r="E24" s="62">
        <v>30000.0</v>
      </c>
      <c r="F24" s="62">
        <v>32000.0</v>
      </c>
      <c r="G24" s="62">
        <v>32000.0</v>
      </c>
      <c r="H24" s="55">
        <v>32000.0</v>
      </c>
      <c r="I24" s="64">
        <v>32000.0</v>
      </c>
      <c r="J24" s="55">
        <v>32000.0</v>
      </c>
      <c r="K24" s="65">
        <f t="shared" si="4"/>
        <v>31714.28571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37000.0</v>
      </c>
      <c r="J26" s="55">
        <v>40000.0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f t="shared" si="5"/>
        <v>29142.85714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60000.0</v>
      </c>
      <c r="K28" s="65">
        <f t="shared" si="5"/>
        <v>65428.57143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36000.0</v>
      </c>
      <c r="K30" s="65">
        <f t="shared" si="5"/>
        <v>38142.85714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27000.0</v>
      </c>
      <c r="E33" s="62">
        <v>27000.0</v>
      </c>
      <c r="F33" s="62">
        <v>28000.0</v>
      </c>
      <c r="G33" s="62">
        <v>28000.0</v>
      </c>
      <c r="H33" s="64">
        <v>26000.0</v>
      </c>
      <c r="I33" s="64">
        <v>28000.0</v>
      </c>
      <c r="J33" s="55">
        <v>29000.0</v>
      </c>
      <c r="K33" s="65">
        <f t="shared" ref="K33:K34" si="6">AVERAGE(D33:J33)</f>
        <v>27571.42857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4000.0</v>
      </c>
      <c r="I36" s="64">
        <v>15000.0</v>
      </c>
      <c r="J36" s="55">
        <v>3000.0</v>
      </c>
      <c r="K36" s="65">
        <f t="shared" ref="K36:K37" si="7">AVERAGE(D36:J36)</f>
        <v>8571.428571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10000.0</v>
      </c>
      <c r="K43" s="65">
        <f t="shared" ref="K43:K44" si="9">AVERAGE(D43:J43)</f>
        <v>11916.66667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11000.0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9428.571429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18000.0</v>
      </c>
      <c r="J56" s="102" t="s">
        <v>27</v>
      </c>
      <c r="K56" s="65">
        <f t="shared" ref="K56:K59" si="12">AVERAGE(D56:J56)</f>
        <v>16666.66667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30000.0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28000.0</v>
      </c>
      <c r="E59" s="62">
        <v>30000.0</v>
      </c>
      <c r="F59" s="62">
        <v>33000.0</v>
      </c>
      <c r="G59" s="62">
        <v>30000.0</v>
      </c>
      <c r="H59" s="64">
        <v>26000.0</v>
      </c>
      <c r="I59" s="64">
        <v>29000.0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32000.0</v>
      </c>
      <c r="E63" s="62">
        <v>30000.0</v>
      </c>
      <c r="F63" s="62">
        <v>33000.0</v>
      </c>
      <c r="G63" s="62">
        <v>35000.0</v>
      </c>
      <c r="H63" s="64">
        <v>28000.0</v>
      </c>
      <c r="I63" s="64">
        <v>35000.0</v>
      </c>
      <c r="J63" s="55">
        <v>35000.0</v>
      </c>
      <c r="K63" s="65">
        <f t="shared" ref="K63:K65" si="13">AVERAGE(D63:J63)</f>
        <v>32571.42857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35000.0</v>
      </c>
      <c r="G64" s="62">
        <v>45000.0</v>
      </c>
      <c r="H64" s="126" t="s">
        <v>27</v>
      </c>
      <c r="I64" s="69">
        <v>35000.0</v>
      </c>
      <c r="J64" s="102" t="s">
        <v>27</v>
      </c>
      <c r="K64" s="65">
        <f t="shared" si="13"/>
        <v>39000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75000.0</v>
      </c>
      <c r="E65" s="62">
        <v>70000.0</v>
      </c>
      <c r="F65" s="62">
        <v>72000.0</v>
      </c>
      <c r="G65" s="62">
        <v>75000.0</v>
      </c>
      <c r="H65" s="64">
        <v>80000.0</v>
      </c>
      <c r="I65" s="64">
        <v>75000.0</v>
      </c>
      <c r="J65" s="55">
        <v>75000.0</v>
      </c>
      <c r="K65" s="65">
        <f t="shared" si="13"/>
        <v>74571.42857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31000.0</v>
      </c>
      <c r="E69" s="62">
        <v>34000.0</v>
      </c>
      <c r="F69" s="62">
        <v>36000.0</v>
      </c>
      <c r="G69" s="62">
        <v>38000.0</v>
      </c>
      <c r="H69" s="64">
        <v>32000.0</v>
      </c>
      <c r="I69" s="64">
        <v>36000.0</v>
      </c>
      <c r="J69" s="55">
        <v>38000.0</v>
      </c>
      <c r="K69" s="65">
        <f t="shared" ref="K69:K72" si="14">AVERAGE(D69:J69)</f>
        <v>35000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27000.0</v>
      </c>
      <c r="I70" s="64">
        <v>30000.0</v>
      </c>
      <c r="J70" s="55">
        <v>28000.0</v>
      </c>
      <c r="K70" s="65">
        <f t="shared" si="14"/>
        <v>29000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36000.0</v>
      </c>
      <c r="G71" s="62">
        <v>40000.0</v>
      </c>
      <c r="H71" s="64">
        <v>25000.0</v>
      </c>
      <c r="I71" s="64">
        <v>33000.0</v>
      </c>
      <c r="J71" s="55">
        <v>35000.0</v>
      </c>
      <c r="K71" s="65">
        <f t="shared" si="14"/>
        <v>33714.28571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22285.71429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10000.0</v>
      </c>
      <c r="J77" s="55">
        <v>8000.0</v>
      </c>
      <c r="K77" s="65">
        <f t="shared" ref="K77:K85" si="16">AVERAGE(D77:J77)</f>
        <v>8428.571429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15000.0</v>
      </c>
      <c r="G78" s="62">
        <v>14000.0</v>
      </c>
      <c r="H78" s="64">
        <v>10000.0</v>
      </c>
      <c r="I78" s="69">
        <v>12000.0</v>
      </c>
      <c r="J78" s="55">
        <v>15000.0</v>
      </c>
      <c r="K78" s="65">
        <f t="shared" si="16"/>
        <v>13285.71429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13000.0</v>
      </c>
      <c r="E80" s="62">
        <v>14000.0</v>
      </c>
      <c r="F80" s="62">
        <v>12000.0</v>
      </c>
      <c r="G80" s="62">
        <v>16000.0</v>
      </c>
      <c r="H80" s="64">
        <v>6000.0</v>
      </c>
      <c r="I80" s="69">
        <v>8000.0</v>
      </c>
      <c r="J80" s="55">
        <v>9000.0</v>
      </c>
      <c r="K80" s="65">
        <f t="shared" si="16"/>
        <v>11142.85714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9.14"/>
    <col customWidth="1" min="13" max="13" width="12.43"/>
    <col customWidth="1" min="14" max="14" width="9.14"/>
    <col customWidth="1" min="15" max="26" width="8.71"/>
  </cols>
  <sheetData>
    <row r="1" ht="32.25" customHeight="1">
      <c r="A1" s="163" t="s">
        <v>2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85"/>
      <c r="N1" s="85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85"/>
      <c r="N2" s="8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10" t="s">
        <v>140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  <c r="M3" s="85"/>
      <c r="N3" s="8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14" t="s">
        <v>7</v>
      </c>
      <c r="B4" s="15" t="s">
        <v>8</v>
      </c>
      <c r="C4" s="14" t="s">
        <v>11</v>
      </c>
      <c r="D4" s="164" t="s">
        <v>12</v>
      </c>
      <c r="E4" s="165" t="s">
        <v>13</v>
      </c>
      <c r="F4" s="166" t="s">
        <v>14</v>
      </c>
      <c r="G4" s="167" t="s">
        <v>15</v>
      </c>
      <c r="H4" s="15" t="s">
        <v>16</v>
      </c>
      <c r="I4" s="15" t="s">
        <v>17</v>
      </c>
      <c r="J4" s="168" t="s">
        <v>18</v>
      </c>
      <c r="K4" s="24" t="s">
        <v>19</v>
      </c>
      <c r="L4" s="4"/>
      <c r="M4" s="85"/>
      <c r="N4" s="8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L5" s="4"/>
      <c r="M5" s="85"/>
      <c r="N5" s="8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L6" s="4"/>
      <c r="M6" s="85"/>
      <c r="N6" s="8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0">
        <v>1.0</v>
      </c>
      <c r="B7" s="169" t="s">
        <v>22</v>
      </c>
      <c r="C7" s="170"/>
      <c r="D7" s="171"/>
      <c r="E7" s="172"/>
      <c r="F7" s="172"/>
      <c r="G7" s="173"/>
      <c r="H7" s="174"/>
      <c r="I7" s="175"/>
      <c r="J7" s="174"/>
      <c r="K7" s="176"/>
      <c r="L7" s="4"/>
      <c r="M7" s="85"/>
      <c r="N7" s="8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/>
      <c r="B8" s="87" t="s">
        <v>23</v>
      </c>
      <c r="C8" s="88" t="s">
        <v>24</v>
      </c>
      <c r="D8" s="52">
        <v>13000.0</v>
      </c>
      <c r="E8" s="53">
        <v>12500.0</v>
      </c>
      <c r="F8" s="53">
        <v>14000.0</v>
      </c>
      <c r="G8" s="53">
        <v>12800.0</v>
      </c>
      <c r="H8" s="53">
        <v>12000.0</v>
      </c>
      <c r="I8" s="55">
        <v>13500.0</v>
      </c>
      <c r="J8" s="177">
        <v>13500.0</v>
      </c>
      <c r="K8" s="178">
        <f t="shared" ref="K8:K11" si="1">AVERAGE(D8:J8)</f>
        <v>13042.85714</v>
      </c>
      <c r="L8" s="103"/>
      <c r="M8" s="179"/>
      <c r="N8" s="8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/>
      <c r="B9" s="87" t="s">
        <v>25</v>
      </c>
      <c r="C9" s="88" t="s">
        <v>24</v>
      </c>
      <c r="D9" s="52">
        <v>12000.0</v>
      </c>
      <c r="E9" s="53">
        <v>9000.0</v>
      </c>
      <c r="F9" s="53">
        <v>8800.0</v>
      </c>
      <c r="G9" s="180">
        <v>9000.0</v>
      </c>
      <c r="H9" s="55">
        <v>9000.0</v>
      </c>
      <c r="I9" s="55">
        <v>9000.0</v>
      </c>
      <c r="J9" s="177">
        <v>9000.0</v>
      </c>
      <c r="K9" s="181">
        <f t="shared" si="1"/>
        <v>9400</v>
      </c>
      <c r="L9" s="4"/>
      <c r="M9" s="85"/>
      <c r="N9" s="8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/>
      <c r="B10" s="87" t="s">
        <v>26</v>
      </c>
      <c r="C10" s="88" t="s">
        <v>24</v>
      </c>
      <c r="D10" s="182" t="s">
        <v>27</v>
      </c>
      <c r="E10" s="183">
        <v>10000.0</v>
      </c>
      <c r="F10" s="180">
        <v>12000.0</v>
      </c>
      <c r="G10" s="180">
        <v>12000.0</v>
      </c>
      <c r="H10" s="102" t="s">
        <v>27</v>
      </c>
      <c r="I10" s="104">
        <v>11000.0</v>
      </c>
      <c r="J10" s="177">
        <v>8000.0</v>
      </c>
      <c r="K10" s="181">
        <f t="shared" si="1"/>
        <v>10600</v>
      </c>
      <c r="L10" s="4"/>
      <c r="M10" s="85"/>
      <c r="N10" s="8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1"/>
      <c r="B11" s="87" t="s">
        <v>28</v>
      </c>
      <c r="C11" s="88" t="s">
        <v>24</v>
      </c>
      <c r="D11" s="182" t="s">
        <v>27</v>
      </c>
      <c r="E11" s="183">
        <v>22000.0</v>
      </c>
      <c r="F11" s="180">
        <v>24000.0</v>
      </c>
      <c r="G11" s="180">
        <v>18000.0</v>
      </c>
      <c r="H11" s="102" t="s">
        <v>27</v>
      </c>
      <c r="I11" s="104">
        <v>20000.0</v>
      </c>
      <c r="J11" s="177">
        <v>17000.0</v>
      </c>
      <c r="K11" s="181">
        <f t="shared" si="1"/>
        <v>20200</v>
      </c>
      <c r="L11" s="4"/>
      <c r="M11" s="85"/>
      <c r="N11" s="8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3">
        <v>2.0</v>
      </c>
      <c r="B12" s="184" t="s">
        <v>29</v>
      </c>
      <c r="C12" s="185"/>
      <c r="D12" s="186"/>
      <c r="E12" s="187"/>
      <c r="F12" s="188"/>
      <c r="G12" s="189"/>
      <c r="H12" s="190"/>
      <c r="I12" s="190"/>
      <c r="J12" s="190"/>
      <c r="K12" s="181"/>
      <c r="L12" s="4"/>
      <c r="M12" s="85"/>
      <c r="N12" s="8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/>
      <c r="B13" s="87" t="s">
        <v>91</v>
      </c>
      <c r="C13" s="88" t="s">
        <v>24</v>
      </c>
      <c r="D13" s="52">
        <v>13000.0</v>
      </c>
      <c r="E13" s="53">
        <v>13000.0</v>
      </c>
      <c r="F13" s="53">
        <v>13000.0</v>
      </c>
      <c r="G13" s="53">
        <v>13000.0</v>
      </c>
      <c r="H13" s="55">
        <v>13000.0</v>
      </c>
      <c r="I13" s="55">
        <v>13000.0</v>
      </c>
      <c r="J13" s="55">
        <v>13000.0</v>
      </c>
      <c r="K13" s="181">
        <f t="shared" ref="K13:K14" si="2">AVERAGE(D13:J13)</f>
        <v>13000</v>
      </c>
      <c r="L13" s="4"/>
      <c r="M13" s="85"/>
      <c r="N13" s="8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1"/>
      <c r="B14" s="87" t="s">
        <v>31</v>
      </c>
      <c r="C14" s="88" t="s">
        <v>24</v>
      </c>
      <c r="D14" s="182">
        <v>15000.0</v>
      </c>
      <c r="E14" s="183">
        <v>16000.0</v>
      </c>
      <c r="F14" s="191">
        <v>15000.0</v>
      </c>
      <c r="G14" s="180">
        <v>16000.0</v>
      </c>
      <c r="H14" s="55">
        <v>15000.0</v>
      </c>
      <c r="I14" s="55">
        <v>16000.0</v>
      </c>
      <c r="J14" s="55">
        <v>16000.0</v>
      </c>
      <c r="K14" s="181">
        <f t="shared" si="2"/>
        <v>15571.42857</v>
      </c>
      <c r="L14" s="4"/>
      <c r="M14" s="85"/>
      <c r="N14" s="8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3">
        <v>3.0</v>
      </c>
      <c r="B15" s="184" t="s">
        <v>32</v>
      </c>
      <c r="C15" s="184"/>
      <c r="D15" s="192"/>
      <c r="E15" s="193"/>
      <c r="F15" s="194"/>
      <c r="G15" s="194"/>
      <c r="H15" s="95"/>
      <c r="I15" s="95"/>
      <c r="J15" s="95"/>
      <c r="K15" s="181"/>
      <c r="L15" s="4"/>
      <c r="M15" s="85"/>
      <c r="N15" s="8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9"/>
      <c r="B16" s="87" t="s">
        <v>33</v>
      </c>
      <c r="C16" s="88" t="s">
        <v>24</v>
      </c>
      <c r="D16" s="52">
        <v>16000.0</v>
      </c>
      <c r="E16" s="183">
        <v>16000.0</v>
      </c>
      <c r="F16" s="53">
        <v>17000.0</v>
      </c>
      <c r="G16" s="53">
        <v>16000.0</v>
      </c>
      <c r="H16" s="55">
        <v>14000.0</v>
      </c>
      <c r="I16" s="55">
        <v>17000.0</v>
      </c>
      <c r="J16" s="102" t="s">
        <v>27</v>
      </c>
      <c r="K16" s="181">
        <f t="shared" ref="K16:K17" si="3">AVERAGE(D16:J16)</f>
        <v>16000</v>
      </c>
      <c r="L16" s="4"/>
      <c r="M16" s="85"/>
      <c r="N16" s="8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5"/>
      <c r="B17" s="87" t="s">
        <v>34</v>
      </c>
      <c r="C17" s="88" t="s">
        <v>35</v>
      </c>
      <c r="D17" s="52">
        <v>14000.0</v>
      </c>
      <c r="E17" s="183">
        <v>14000.0</v>
      </c>
      <c r="F17" s="183">
        <v>14000.0</v>
      </c>
      <c r="G17" s="53">
        <v>14000.0</v>
      </c>
      <c r="H17" s="102" t="s">
        <v>27</v>
      </c>
      <c r="I17" s="55">
        <v>14000.0</v>
      </c>
      <c r="J17" s="55">
        <v>16000.0</v>
      </c>
      <c r="K17" s="181">
        <f t="shared" si="3"/>
        <v>14333.33333</v>
      </c>
      <c r="L17" s="4"/>
      <c r="M17" s="85"/>
      <c r="N17" s="8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3">
        <v>4.0</v>
      </c>
      <c r="B18" s="184" t="s">
        <v>36</v>
      </c>
      <c r="C18" s="184"/>
      <c r="D18" s="192"/>
      <c r="E18" s="193"/>
      <c r="F18" s="194"/>
      <c r="G18" s="195"/>
      <c r="H18" s="95"/>
      <c r="I18" s="95"/>
      <c r="J18" s="95"/>
      <c r="K18" s="181"/>
      <c r="L18" s="4"/>
      <c r="M18" s="85"/>
      <c r="N18" s="85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71"/>
      <c r="B19" s="87" t="s">
        <v>37</v>
      </c>
      <c r="C19" s="88" t="s">
        <v>24</v>
      </c>
      <c r="D19" s="182">
        <v>20000.0</v>
      </c>
      <c r="E19" s="183" t="s">
        <v>27</v>
      </c>
      <c r="F19" s="180">
        <v>19000.0</v>
      </c>
      <c r="G19" s="180">
        <v>22000.0</v>
      </c>
      <c r="H19" s="99" t="s">
        <v>27</v>
      </c>
      <c r="I19" s="104">
        <v>24000.0</v>
      </c>
      <c r="J19" s="99" t="s">
        <v>27</v>
      </c>
      <c r="K19" s="181">
        <f>AVERAGE(D19:J19)</f>
        <v>21250</v>
      </c>
      <c r="L19" s="4"/>
      <c r="M19" s="85"/>
      <c r="N19" s="85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3">
        <v>5.0</v>
      </c>
      <c r="B20" s="184" t="s">
        <v>38</v>
      </c>
      <c r="C20" s="184"/>
      <c r="D20" s="192"/>
      <c r="E20" s="188"/>
      <c r="F20" s="194"/>
      <c r="G20" s="195"/>
      <c r="H20" s="95"/>
      <c r="I20" s="101"/>
      <c r="J20" s="101"/>
      <c r="K20" s="181"/>
      <c r="L20" s="4"/>
      <c r="M20" s="85"/>
      <c r="N20" s="8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5"/>
      <c r="B21" s="87" t="s">
        <v>39</v>
      </c>
      <c r="C21" s="88" t="s">
        <v>24</v>
      </c>
      <c r="D21" s="182">
        <v>120000.0</v>
      </c>
      <c r="E21" s="53">
        <v>120000.0</v>
      </c>
      <c r="F21" s="53">
        <v>120000.0</v>
      </c>
      <c r="G21" s="53">
        <v>120000.0</v>
      </c>
      <c r="H21" s="55">
        <v>117000.0</v>
      </c>
      <c r="I21" s="104">
        <v>120000.0</v>
      </c>
      <c r="J21" s="102">
        <v>110000.0</v>
      </c>
      <c r="K21" s="181">
        <f t="shared" ref="K21:K24" si="4">AVERAGE(D21:J21)</f>
        <v>118142.8571</v>
      </c>
      <c r="L21" s="4"/>
      <c r="M21" s="85"/>
      <c r="N21" s="8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5"/>
      <c r="B22" s="87" t="s">
        <v>41</v>
      </c>
      <c r="C22" s="88" t="s">
        <v>24</v>
      </c>
      <c r="D22" s="182">
        <v>110000.0</v>
      </c>
      <c r="E22" s="53">
        <v>110000.0</v>
      </c>
      <c r="F22" s="53">
        <v>110000.0</v>
      </c>
      <c r="G22" s="53">
        <v>110000.0</v>
      </c>
      <c r="H22" s="55">
        <v>114000.0</v>
      </c>
      <c r="I22" s="102">
        <v>110000.0</v>
      </c>
      <c r="J22" s="55">
        <v>100000.0</v>
      </c>
      <c r="K22" s="181">
        <f t="shared" si="4"/>
        <v>109142.8571</v>
      </c>
      <c r="L22" s="4"/>
      <c r="M22" s="85"/>
      <c r="N22" s="85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5"/>
      <c r="B23" s="87" t="s">
        <v>42</v>
      </c>
      <c r="C23" s="88" t="s">
        <v>24</v>
      </c>
      <c r="D23" s="182">
        <v>100000.0</v>
      </c>
      <c r="E23" s="53">
        <v>95000.0</v>
      </c>
      <c r="F23" s="53">
        <v>100000.0</v>
      </c>
      <c r="G23" s="53">
        <v>100000.0</v>
      </c>
      <c r="H23" s="55">
        <v>100000.0</v>
      </c>
      <c r="I23" s="104">
        <v>100000.0</v>
      </c>
      <c r="J23" s="102" t="s">
        <v>27</v>
      </c>
      <c r="K23" s="181">
        <f t="shared" si="4"/>
        <v>99166.66667</v>
      </c>
      <c r="L23" s="4"/>
      <c r="M23" s="85"/>
      <c r="N23" s="85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1"/>
      <c r="B24" s="87" t="s">
        <v>43</v>
      </c>
      <c r="C24" s="88" t="s">
        <v>24</v>
      </c>
      <c r="D24" s="52">
        <v>32000.0</v>
      </c>
      <c r="E24" s="53">
        <v>31000.0</v>
      </c>
      <c r="F24" s="53">
        <v>32000.0</v>
      </c>
      <c r="G24" s="53">
        <v>32000.0</v>
      </c>
      <c r="H24" s="55">
        <v>32000.0</v>
      </c>
      <c r="I24" s="55">
        <v>32000.0</v>
      </c>
      <c r="J24" s="55">
        <v>33000.0</v>
      </c>
      <c r="K24" s="181">
        <f t="shared" si="4"/>
        <v>32000</v>
      </c>
      <c r="L24" s="4"/>
      <c r="M24" s="85"/>
      <c r="N24" s="85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23">
        <v>6.0</v>
      </c>
      <c r="B25" s="184" t="s">
        <v>44</v>
      </c>
      <c r="C25" s="184"/>
      <c r="D25" s="192"/>
      <c r="E25" s="188"/>
      <c r="F25" s="195"/>
      <c r="G25" s="194"/>
      <c r="H25" s="95"/>
      <c r="I25" s="95"/>
      <c r="J25" s="95"/>
      <c r="K25" s="181"/>
      <c r="L25" s="4"/>
      <c r="M25" s="85"/>
      <c r="N25" s="8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5"/>
      <c r="B26" s="87" t="s">
        <v>45</v>
      </c>
      <c r="C26" s="88" t="s">
        <v>24</v>
      </c>
      <c r="D26" s="182">
        <v>35000.0</v>
      </c>
      <c r="E26" s="53">
        <v>38000.0</v>
      </c>
      <c r="F26" s="183" t="s">
        <v>27</v>
      </c>
      <c r="G26" s="53">
        <v>45000.0</v>
      </c>
      <c r="H26" s="55">
        <v>30000.0</v>
      </c>
      <c r="I26" s="102">
        <v>37000.0</v>
      </c>
      <c r="J26" s="55">
        <v>40000.0</v>
      </c>
      <c r="K26" s="181">
        <f t="shared" ref="K26:K31" si="5">AVERAGE(D26:J26)</f>
        <v>37500</v>
      </c>
      <c r="L26" s="4"/>
      <c r="M26" s="85"/>
      <c r="N26" s="8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5"/>
      <c r="B27" s="87" t="s">
        <v>46</v>
      </c>
      <c r="C27" s="88" t="s">
        <v>24</v>
      </c>
      <c r="D27" s="182">
        <v>28000.0</v>
      </c>
      <c r="E27" s="183">
        <v>30000.0</v>
      </c>
      <c r="F27" s="53">
        <v>30000.0</v>
      </c>
      <c r="G27" s="180">
        <v>35000.0</v>
      </c>
      <c r="H27" s="102">
        <v>23000.0</v>
      </c>
      <c r="I27" s="102">
        <v>30000.0</v>
      </c>
      <c r="J27" s="104">
        <v>28000.0</v>
      </c>
      <c r="K27" s="181">
        <f t="shared" si="5"/>
        <v>29142.85714</v>
      </c>
      <c r="L27" s="4" t="s">
        <v>47</v>
      </c>
      <c r="M27" s="85"/>
      <c r="N27" s="8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5"/>
      <c r="B28" s="87" t="s">
        <v>48</v>
      </c>
      <c r="C28" s="88" t="s">
        <v>24</v>
      </c>
      <c r="D28" s="182">
        <v>60000.0</v>
      </c>
      <c r="E28" s="183">
        <v>70000.0</v>
      </c>
      <c r="F28" s="180">
        <v>60000.0</v>
      </c>
      <c r="G28" s="180">
        <v>75000.0</v>
      </c>
      <c r="H28" s="55">
        <v>58000.0</v>
      </c>
      <c r="I28" s="102">
        <v>75000.0</v>
      </c>
      <c r="J28" s="104">
        <v>50000.0</v>
      </c>
      <c r="K28" s="181">
        <f t="shared" si="5"/>
        <v>64000</v>
      </c>
      <c r="L28" s="4"/>
      <c r="M28" s="85"/>
      <c r="N28" s="8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5"/>
      <c r="B29" s="87" t="s">
        <v>49</v>
      </c>
      <c r="C29" s="88" t="s">
        <v>24</v>
      </c>
      <c r="D29" s="182">
        <v>25000.0</v>
      </c>
      <c r="E29" s="183" t="s">
        <v>27</v>
      </c>
      <c r="F29" s="196" t="s">
        <v>27</v>
      </c>
      <c r="G29" s="180">
        <v>25000.0</v>
      </c>
      <c r="H29" s="55">
        <v>23000.0</v>
      </c>
      <c r="I29" s="102">
        <v>24000.0</v>
      </c>
      <c r="J29" s="104">
        <v>26000.0</v>
      </c>
      <c r="K29" s="181">
        <f t="shared" si="5"/>
        <v>24600</v>
      </c>
      <c r="L29" s="4"/>
      <c r="M29" s="85"/>
      <c r="N29" s="8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5"/>
      <c r="B30" s="87" t="s">
        <v>50</v>
      </c>
      <c r="C30" s="88" t="s">
        <v>24</v>
      </c>
      <c r="D30" s="182">
        <v>40000.0</v>
      </c>
      <c r="E30" s="53">
        <v>36000.0</v>
      </c>
      <c r="F30" s="53">
        <v>40000.0</v>
      </c>
      <c r="G30" s="53">
        <v>45000.0</v>
      </c>
      <c r="H30" s="55">
        <v>28000.0</v>
      </c>
      <c r="I30" s="102">
        <v>42000.0</v>
      </c>
      <c r="J30" s="55">
        <v>40000.0</v>
      </c>
      <c r="K30" s="181">
        <f t="shared" si="5"/>
        <v>38714.28571</v>
      </c>
      <c r="L30" s="4"/>
      <c r="M30" s="85"/>
      <c r="N30" s="8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1"/>
      <c r="B31" s="87" t="s">
        <v>51</v>
      </c>
      <c r="C31" s="88" t="s">
        <v>24</v>
      </c>
      <c r="D31" s="182" t="s">
        <v>27</v>
      </c>
      <c r="E31" s="53">
        <v>100000.0</v>
      </c>
      <c r="F31" s="53">
        <v>110000.0</v>
      </c>
      <c r="G31" s="183" t="s">
        <v>27</v>
      </c>
      <c r="H31" s="55">
        <v>80000.0</v>
      </c>
      <c r="I31" s="102" t="s">
        <v>27</v>
      </c>
      <c r="J31" s="104" t="s">
        <v>27</v>
      </c>
      <c r="K31" s="181">
        <f t="shared" si="5"/>
        <v>96666.66667</v>
      </c>
      <c r="L31" s="4"/>
      <c r="M31" s="85"/>
      <c r="N31" s="8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23">
        <v>7.0</v>
      </c>
      <c r="B32" s="184" t="s">
        <v>52</v>
      </c>
      <c r="C32" s="184"/>
      <c r="D32" s="192"/>
      <c r="E32" s="188"/>
      <c r="F32" s="195"/>
      <c r="G32" s="195"/>
      <c r="H32" s="95"/>
      <c r="I32" s="95"/>
      <c r="J32" s="95" t="s">
        <v>53</v>
      </c>
      <c r="K32" s="181"/>
      <c r="L32" s="4"/>
      <c r="M32" s="85"/>
      <c r="N32" s="8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5"/>
      <c r="B33" s="87" t="s">
        <v>54</v>
      </c>
      <c r="C33" s="88" t="s">
        <v>24</v>
      </c>
      <c r="D33" s="52">
        <v>29000.0</v>
      </c>
      <c r="E33" s="53">
        <v>28000.0</v>
      </c>
      <c r="F33" s="53">
        <v>28000.0</v>
      </c>
      <c r="G33" s="53">
        <v>29000.0</v>
      </c>
      <c r="H33" s="55">
        <v>26000.0</v>
      </c>
      <c r="I33" s="55">
        <v>28000.0</v>
      </c>
      <c r="J33" s="55">
        <v>29000.0</v>
      </c>
      <c r="K33" s="181">
        <f t="shared" ref="K33:K34" si="6">AVERAGE(D33:J33)</f>
        <v>28142.85714</v>
      </c>
      <c r="L33" s="4"/>
      <c r="M33" s="85"/>
      <c r="N33" s="8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1"/>
      <c r="B34" s="87" t="s">
        <v>55</v>
      </c>
      <c r="C34" s="88" t="s">
        <v>56</v>
      </c>
      <c r="D34" s="52">
        <v>2500.0</v>
      </c>
      <c r="E34" s="53">
        <v>2000.0</v>
      </c>
      <c r="F34" s="53">
        <v>2500.0</v>
      </c>
      <c r="G34" s="53">
        <v>2200.0</v>
      </c>
      <c r="H34" s="55">
        <v>2000.0</v>
      </c>
      <c r="I34" s="55">
        <v>2500.0</v>
      </c>
      <c r="J34" s="55">
        <v>3000.0</v>
      </c>
      <c r="K34" s="181">
        <f t="shared" si="6"/>
        <v>2385.714286</v>
      </c>
      <c r="L34" s="4"/>
      <c r="M34" s="85"/>
      <c r="N34" s="8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45">
        <v>8.0</v>
      </c>
      <c r="B35" s="184" t="s">
        <v>122</v>
      </c>
      <c r="C35" s="88"/>
      <c r="D35" s="52"/>
      <c r="E35" s="53"/>
      <c r="F35" s="53"/>
      <c r="G35" s="53"/>
      <c r="H35" s="55"/>
      <c r="I35" s="55"/>
      <c r="J35" s="55"/>
      <c r="K35" s="181"/>
      <c r="L35" s="4"/>
      <c r="M35" s="85"/>
      <c r="N35" s="8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45"/>
      <c r="B36" s="87" t="s">
        <v>123</v>
      </c>
      <c r="C36" s="88" t="s">
        <v>24</v>
      </c>
      <c r="D36" s="52">
        <v>10000.0</v>
      </c>
      <c r="E36" s="53">
        <v>10000.0</v>
      </c>
      <c r="F36" s="53">
        <v>9000.0</v>
      </c>
      <c r="G36" s="53">
        <v>9000.0</v>
      </c>
      <c r="H36" s="55">
        <v>4000.0</v>
      </c>
      <c r="I36" s="55">
        <v>15000.0</v>
      </c>
      <c r="J36" s="55">
        <v>3000.0</v>
      </c>
      <c r="K36" s="181">
        <f t="shared" ref="K36:K37" si="7">AVERAGE(D36:J36)</f>
        <v>8571.428571</v>
      </c>
      <c r="L36" s="4"/>
      <c r="M36" s="85"/>
      <c r="N36" s="85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45"/>
      <c r="B37" s="87" t="s">
        <v>124</v>
      </c>
      <c r="C37" s="88" t="s">
        <v>24</v>
      </c>
      <c r="D37" s="182" t="s">
        <v>27</v>
      </c>
      <c r="E37" s="53">
        <v>7000.0</v>
      </c>
      <c r="F37" s="53">
        <v>12000.0</v>
      </c>
      <c r="G37" s="53">
        <v>17000.0</v>
      </c>
      <c r="H37" s="102" t="s">
        <v>27</v>
      </c>
      <c r="I37" s="102">
        <v>13000.0</v>
      </c>
      <c r="J37" s="55">
        <v>12000.0</v>
      </c>
      <c r="K37" s="181">
        <f t="shared" si="7"/>
        <v>12200</v>
      </c>
      <c r="L37" s="4"/>
      <c r="M37" s="85"/>
      <c r="N37" s="8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45">
        <v>9.0</v>
      </c>
      <c r="B38" s="184" t="s">
        <v>125</v>
      </c>
      <c r="C38" s="88"/>
      <c r="D38" s="182"/>
      <c r="E38" s="53"/>
      <c r="F38" s="53"/>
      <c r="G38" s="53"/>
      <c r="H38" s="55"/>
      <c r="I38" s="55"/>
      <c r="J38" s="55"/>
      <c r="K38" s="181"/>
      <c r="L38" s="4"/>
      <c r="M38" s="85"/>
      <c r="N38" s="8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45"/>
      <c r="B39" s="87" t="s">
        <v>126</v>
      </c>
      <c r="C39" s="88" t="s">
        <v>24</v>
      </c>
      <c r="D39" s="182" t="s">
        <v>27</v>
      </c>
      <c r="E39" s="53">
        <v>6000.0</v>
      </c>
      <c r="F39" s="183" t="s">
        <v>27</v>
      </c>
      <c r="G39" s="53">
        <v>16000.0</v>
      </c>
      <c r="H39" s="55">
        <v>2500.0</v>
      </c>
      <c r="I39" s="55">
        <v>15000.0</v>
      </c>
      <c r="J39" s="55">
        <v>15000.0</v>
      </c>
      <c r="K39" s="181">
        <f t="shared" ref="K39:K41" si="8">AVERAGE(D39:J39)</f>
        <v>10900</v>
      </c>
      <c r="L39" s="4"/>
      <c r="M39" s="85"/>
      <c r="N39" s="8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45"/>
      <c r="B40" s="87" t="s">
        <v>127</v>
      </c>
      <c r="C40" s="88" t="s">
        <v>24</v>
      </c>
      <c r="D40" s="52">
        <v>2500.0</v>
      </c>
      <c r="E40" s="53">
        <v>4000.0</v>
      </c>
      <c r="F40" s="53">
        <v>6000.0</v>
      </c>
      <c r="G40" s="183" t="s">
        <v>27</v>
      </c>
      <c r="H40" s="102" t="s">
        <v>27</v>
      </c>
      <c r="I40" s="102" t="s">
        <v>27</v>
      </c>
      <c r="J40" s="102" t="s">
        <v>27</v>
      </c>
      <c r="K40" s="181">
        <f t="shared" si="8"/>
        <v>4166.666667</v>
      </c>
      <c r="L40" s="4"/>
      <c r="M40" s="85"/>
      <c r="N40" s="8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45"/>
      <c r="B41" s="87" t="s">
        <v>128</v>
      </c>
      <c r="C41" s="88" t="s">
        <v>24</v>
      </c>
      <c r="D41" s="182" t="s">
        <v>27</v>
      </c>
      <c r="E41" s="53">
        <v>2000.0</v>
      </c>
      <c r="F41" s="183" t="s">
        <v>27</v>
      </c>
      <c r="G41" s="183" t="s">
        <v>27</v>
      </c>
      <c r="H41" s="102" t="s">
        <v>27</v>
      </c>
      <c r="I41" s="102" t="s">
        <v>27</v>
      </c>
      <c r="J41" s="102" t="s">
        <v>27</v>
      </c>
      <c r="K41" s="181">
        <f t="shared" si="8"/>
        <v>2000</v>
      </c>
      <c r="L41" s="4"/>
      <c r="M41" s="85"/>
      <c r="N41" s="85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23">
        <v>10.0</v>
      </c>
      <c r="B42" s="184" t="s">
        <v>61</v>
      </c>
      <c r="C42" s="184"/>
      <c r="D42" s="192"/>
      <c r="E42" s="188"/>
      <c r="F42" s="195"/>
      <c r="G42" s="194"/>
      <c r="H42" s="95"/>
      <c r="I42" s="95"/>
      <c r="J42" s="108"/>
      <c r="K42" s="181"/>
      <c r="L42" s="4"/>
      <c r="M42" s="85"/>
      <c r="N42" s="85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5"/>
      <c r="B43" s="87" t="s">
        <v>62</v>
      </c>
      <c r="C43" s="88" t="s">
        <v>63</v>
      </c>
      <c r="D43" s="52">
        <v>12500.0</v>
      </c>
      <c r="E43" s="183">
        <v>12000.0</v>
      </c>
      <c r="F43" s="53">
        <v>12500.0</v>
      </c>
      <c r="G43" s="53">
        <v>12000.0</v>
      </c>
      <c r="H43" s="99" t="s">
        <v>27</v>
      </c>
      <c r="I43" s="104">
        <v>12500.0</v>
      </c>
      <c r="J43" s="102">
        <v>12500.0</v>
      </c>
      <c r="K43" s="181">
        <f t="shared" ref="K43:K44" si="9">AVERAGE(D43:J43)</f>
        <v>12333.33333</v>
      </c>
      <c r="L43" s="4"/>
      <c r="M43" s="85"/>
      <c r="N43" s="8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1"/>
      <c r="B44" s="87" t="s">
        <v>64</v>
      </c>
      <c r="C44" s="88" t="s">
        <v>65</v>
      </c>
      <c r="D44" s="182" t="s">
        <v>27</v>
      </c>
      <c r="E44" s="183">
        <v>37900.0</v>
      </c>
      <c r="F44" s="196" t="s">
        <v>27</v>
      </c>
      <c r="G44" s="53">
        <v>42500.0</v>
      </c>
      <c r="H44" s="99" t="s">
        <v>27</v>
      </c>
      <c r="I44" s="104" t="s">
        <v>27</v>
      </c>
      <c r="J44" s="99" t="s">
        <v>27</v>
      </c>
      <c r="K44" s="181">
        <f t="shared" si="9"/>
        <v>40200</v>
      </c>
      <c r="L44" s="4"/>
      <c r="M44" s="85"/>
      <c r="N44" s="8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3">
        <v>11.0</v>
      </c>
      <c r="B45" s="184" t="s">
        <v>66</v>
      </c>
      <c r="C45" s="184"/>
      <c r="D45" s="192"/>
      <c r="E45" s="197"/>
      <c r="F45" s="194"/>
      <c r="G45" s="195"/>
      <c r="H45" s="95"/>
      <c r="I45" s="95"/>
      <c r="J45" s="95"/>
      <c r="K45" s="181"/>
      <c r="L45" s="4"/>
      <c r="M45" s="85"/>
      <c r="N45" s="8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5"/>
      <c r="B46" s="87" t="s">
        <v>67</v>
      </c>
      <c r="C46" s="88" t="s">
        <v>68</v>
      </c>
      <c r="D46" s="182" t="s">
        <v>27</v>
      </c>
      <c r="E46" s="183" t="s">
        <v>27</v>
      </c>
      <c r="F46" s="196" t="s">
        <v>27</v>
      </c>
      <c r="G46" s="180" t="s">
        <v>27</v>
      </c>
      <c r="H46" s="55">
        <v>17500.0</v>
      </c>
      <c r="I46" s="104">
        <v>21000.0</v>
      </c>
      <c r="J46" s="104">
        <v>17500.0</v>
      </c>
      <c r="K46" s="181">
        <f t="shared" ref="K46:K47" si="10">AVERAGE(D46:J46)</f>
        <v>18666.66667</v>
      </c>
      <c r="L46" s="4"/>
      <c r="M46" s="85"/>
      <c r="N46" s="8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39"/>
      <c r="B47" s="87" t="s">
        <v>69</v>
      </c>
      <c r="C47" s="88" t="s">
        <v>70</v>
      </c>
      <c r="D47" s="182" t="s">
        <v>27</v>
      </c>
      <c r="E47" s="183" t="s">
        <v>27</v>
      </c>
      <c r="F47" s="196" t="s">
        <v>27</v>
      </c>
      <c r="G47" s="180" t="s">
        <v>27</v>
      </c>
      <c r="H47" s="55">
        <v>2000.0</v>
      </c>
      <c r="I47" s="104">
        <v>2000.0</v>
      </c>
      <c r="J47" s="104">
        <v>2000.0</v>
      </c>
      <c r="K47" s="181">
        <f t="shared" si="10"/>
        <v>2000</v>
      </c>
      <c r="L47" s="4"/>
      <c r="M47" s="85"/>
      <c r="N47" s="8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45">
        <v>12.0</v>
      </c>
      <c r="B48" s="198" t="s">
        <v>71</v>
      </c>
      <c r="C48" s="88"/>
      <c r="D48" s="199"/>
      <c r="E48" s="187"/>
      <c r="F48" s="187"/>
      <c r="G48" s="200"/>
      <c r="H48" s="114"/>
      <c r="I48" s="114"/>
      <c r="J48" s="114"/>
      <c r="K48" s="181"/>
      <c r="L48" s="4"/>
      <c r="M48" s="85"/>
      <c r="N48" s="8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45"/>
      <c r="B49" s="87" t="s">
        <v>72</v>
      </c>
      <c r="C49" s="88" t="s">
        <v>24</v>
      </c>
      <c r="D49" s="52">
        <v>10000.0</v>
      </c>
      <c r="E49" s="53">
        <v>8000.0</v>
      </c>
      <c r="F49" s="53">
        <v>10000.0</v>
      </c>
      <c r="G49" s="53">
        <v>10000.0</v>
      </c>
      <c r="H49" s="55">
        <v>9000.0</v>
      </c>
      <c r="I49" s="104">
        <v>10000.0</v>
      </c>
      <c r="J49" s="55">
        <v>8000.0</v>
      </c>
      <c r="K49" s="181">
        <f t="shared" ref="K49:K50" si="11">AVERAGE(D49:J49)</f>
        <v>9285.714286</v>
      </c>
      <c r="L49" s="4"/>
      <c r="M49" s="85"/>
      <c r="N49" s="8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52"/>
      <c r="B50" s="87" t="s">
        <v>73</v>
      </c>
      <c r="C50" s="88" t="s">
        <v>24</v>
      </c>
      <c r="D50" s="52">
        <v>9000.0</v>
      </c>
      <c r="E50" s="53">
        <v>10000.0</v>
      </c>
      <c r="F50" s="180">
        <v>9000.0</v>
      </c>
      <c r="G50" s="53">
        <v>9000.0</v>
      </c>
      <c r="H50" s="55">
        <v>6000.0</v>
      </c>
      <c r="I50" s="102" t="s">
        <v>27</v>
      </c>
      <c r="J50" s="55">
        <v>6000.0</v>
      </c>
      <c r="K50" s="181">
        <f t="shared" si="11"/>
        <v>8166.666667</v>
      </c>
      <c r="L50" s="4"/>
      <c r="M50" s="85"/>
      <c r="N50" s="8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23">
        <v>13.0</v>
      </c>
      <c r="B51" s="184" t="s">
        <v>74</v>
      </c>
      <c r="C51" s="184"/>
      <c r="D51" s="192"/>
      <c r="E51" s="188"/>
      <c r="F51" s="195"/>
      <c r="G51" s="195"/>
      <c r="H51" s="95"/>
      <c r="I51" s="95"/>
      <c r="J51" s="108"/>
      <c r="K51" s="181"/>
      <c r="L51" s="4"/>
      <c r="M51" s="85"/>
      <c r="N51" s="8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1"/>
      <c r="B52" s="87" t="s">
        <v>75</v>
      </c>
      <c r="C52" s="88" t="s">
        <v>76</v>
      </c>
      <c r="D52" s="52">
        <v>3000.0</v>
      </c>
      <c r="E52" s="53">
        <v>8000.0</v>
      </c>
      <c r="F52" s="53">
        <v>5000.0</v>
      </c>
      <c r="G52" s="53">
        <v>5000.0</v>
      </c>
      <c r="H52" s="55">
        <v>2500.0</v>
      </c>
      <c r="I52" s="104">
        <v>2000.0</v>
      </c>
      <c r="J52" s="102">
        <v>2500.0</v>
      </c>
      <c r="K52" s="181">
        <f>AVERAGE(D52:J52)</f>
        <v>4000</v>
      </c>
      <c r="L52" s="4"/>
      <c r="M52" s="85"/>
      <c r="N52" s="8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23">
        <v>14.0</v>
      </c>
      <c r="B53" s="184" t="s">
        <v>77</v>
      </c>
      <c r="C53" s="88"/>
      <c r="D53" s="201"/>
      <c r="E53" s="197"/>
      <c r="F53" s="202"/>
      <c r="G53" s="203"/>
      <c r="H53" s="204"/>
      <c r="I53" s="204"/>
      <c r="J53" s="121"/>
      <c r="K53" s="181"/>
      <c r="L53" s="4"/>
      <c r="M53" s="85"/>
      <c r="N53" s="8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1"/>
      <c r="B54" s="87" t="s">
        <v>78</v>
      </c>
      <c r="C54" s="88" t="s">
        <v>24</v>
      </c>
      <c r="D54" s="52">
        <v>10000.0</v>
      </c>
      <c r="E54" s="53">
        <v>10500.0</v>
      </c>
      <c r="F54" s="53">
        <v>13000.0</v>
      </c>
      <c r="G54" s="53">
        <v>11000.0</v>
      </c>
      <c r="H54" s="55">
        <v>11500.0</v>
      </c>
      <c r="I54" s="55">
        <v>11500.0</v>
      </c>
      <c r="J54" s="55">
        <v>7000.0</v>
      </c>
      <c r="K54" s="181">
        <f>AVERAGE(D54:J54)</f>
        <v>10642.85714</v>
      </c>
      <c r="L54" s="4"/>
      <c r="M54" s="85"/>
      <c r="N54" s="8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23">
        <v>15.0</v>
      </c>
      <c r="B55" s="184" t="s">
        <v>79</v>
      </c>
      <c r="C55" s="184"/>
      <c r="D55" s="192"/>
      <c r="E55" s="188"/>
      <c r="F55" s="195"/>
      <c r="G55" s="194"/>
      <c r="H55" s="95"/>
      <c r="I55" s="95"/>
      <c r="J55" s="108"/>
      <c r="K55" s="181"/>
      <c r="L55" s="4"/>
      <c r="M55" s="85"/>
      <c r="N55" s="8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5"/>
      <c r="B56" s="87" t="s">
        <v>80</v>
      </c>
      <c r="C56" s="88" t="s">
        <v>24</v>
      </c>
      <c r="D56" s="52">
        <v>16000.0</v>
      </c>
      <c r="E56" s="53">
        <v>16000.0</v>
      </c>
      <c r="F56" s="53">
        <v>17000.0</v>
      </c>
      <c r="G56" s="53">
        <v>20000.0</v>
      </c>
      <c r="H56" s="55">
        <v>13000.0</v>
      </c>
      <c r="I56" s="102">
        <v>18000.0</v>
      </c>
      <c r="J56" s="102" t="s">
        <v>27</v>
      </c>
      <c r="K56" s="181">
        <f t="shared" ref="K56:K59" si="12">AVERAGE(D56:J56)</f>
        <v>16666.66667</v>
      </c>
      <c r="L56" s="4"/>
      <c r="M56" s="85"/>
      <c r="N56" s="8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5"/>
      <c r="B57" s="87" t="s">
        <v>81</v>
      </c>
      <c r="C57" s="88" t="s">
        <v>24</v>
      </c>
      <c r="D57" s="182" t="s">
        <v>27</v>
      </c>
      <c r="E57" s="53">
        <v>14000.0</v>
      </c>
      <c r="F57" s="180">
        <v>15000.0</v>
      </c>
      <c r="G57" s="205" t="s">
        <v>27</v>
      </c>
      <c r="H57" s="206" t="s">
        <v>27</v>
      </c>
      <c r="I57" s="104" t="s">
        <v>27</v>
      </c>
      <c r="J57" s="102">
        <v>13500.0</v>
      </c>
      <c r="K57" s="181">
        <f t="shared" si="12"/>
        <v>14166.66667</v>
      </c>
      <c r="L57" s="4"/>
      <c r="M57" s="85" t="s">
        <v>82</v>
      </c>
      <c r="N57" s="8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5"/>
      <c r="B58" s="87" t="s">
        <v>83</v>
      </c>
      <c r="C58" s="88" t="s">
        <v>24</v>
      </c>
      <c r="D58" s="52">
        <v>26000.0</v>
      </c>
      <c r="E58" s="53">
        <v>23000.0</v>
      </c>
      <c r="F58" s="53">
        <v>30000.0</v>
      </c>
      <c r="G58" s="53">
        <v>30000.0</v>
      </c>
      <c r="H58" s="55">
        <v>22000.0</v>
      </c>
      <c r="I58" s="55">
        <v>26000.0</v>
      </c>
      <c r="J58" s="102">
        <v>26000.0</v>
      </c>
      <c r="K58" s="181">
        <f t="shared" si="12"/>
        <v>26142.85714</v>
      </c>
      <c r="L58" s="4"/>
      <c r="M58" s="85"/>
      <c r="N58" s="20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1"/>
      <c r="B59" s="87" t="s">
        <v>84</v>
      </c>
      <c r="C59" s="88" t="s">
        <v>24</v>
      </c>
      <c r="D59" s="52">
        <v>30000.0</v>
      </c>
      <c r="E59" s="53">
        <v>30000.0</v>
      </c>
      <c r="F59" s="53">
        <v>33000.0</v>
      </c>
      <c r="G59" s="53">
        <v>30000.0</v>
      </c>
      <c r="H59" s="55">
        <v>26000.0</v>
      </c>
      <c r="I59" s="55">
        <v>30000.0</v>
      </c>
      <c r="J59" s="102">
        <v>28000.0</v>
      </c>
      <c r="K59" s="181">
        <f t="shared" si="12"/>
        <v>29571.42857</v>
      </c>
      <c r="L59" s="4"/>
      <c r="M59" s="85"/>
      <c r="N59" s="8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54">
        <v>16.0</v>
      </c>
      <c r="B60" s="184" t="s">
        <v>85</v>
      </c>
      <c r="C60" s="88"/>
      <c r="D60" s="208"/>
      <c r="E60" s="187"/>
      <c r="F60" s="200"/>
      <c r="G60" s="187"/>
      <c r="H60" s="114"/>
      <c r="I60" s="114"/>
      <c r="J60" s="131"/>
      <c r="K60" s="181"/>
      <c r="L60" s="4"/>
      <c r="M60" s="85"/>
      <c r="N60" s="8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55"/>
      <c r="B61" s="87" t="s">
        <v>86</v>
      </c>
      <c r="C61" s="88" t="s">
        <v>87</v>
      </c>
      <c r="D61" s="52">
        <v>3000.0</v>
      </c>
      <c r="E61" s="53">
        <v>3200.0</v>
      </c>
      <c r="F61" s="53">
        <v>3000.0</v>
      </c>
      <c r="G61" s="53">
        <v>3000.0</v>
      </c>
      <c r="H61" s="99" t="s">
        <v>27</v>
      </c>
      <c r="I61" s="104">
        <v>3500.0</v>
      </c>
      <c r="J61" s="55">
        <v>3500.0</v>
      </c>
      <c r="K61" s="181">
        <f>AVERAGE(D61:J61)</f>
        <v>3200</v>
      </c>
      <c r="L61" s="4"/>
      <c r="M61" s="85"/>
      <c r="N61" s="8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23">
        <v>17.0</v>
      </c>
      <c r="B62" s="184" t="s">
        <v>88</v>
      </c>
      <c r="C62" s="184"/>
      <c r="D62" s="192"/>
      <c r="E62" s="188"/>
      <c r="F62" s="195"/>
      <c r="G62" s="195"/>
      <c r="H62" s="95"/>
      <c r="I62" s="95"/>
      <c r="J62" s="108"/>
      <c r="K62" s="181"/>
      <c r="L62" s="4"/>
      <c r="M62" s="85"/>
      <c r="N62" s="8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5"/>
      <c r="B63" s="87" t="s">
        <v>89</v>
      </c>
      <c r="C63" s="88" t="s">
        <v>24</v>
      </c>
      <c r="D63" s="52">
        <v>32000.0</v>
      </c>
      <c r="E63" s="53">
        <v>30000.0</v>
      </c>
      <c r="F63" s="53">
        <v>34000.0</v>
      </c>
      <c r="G63" s="53">
        <v>35000.0</v>
      </c>
      <c r="H63" s="55">
        <v>30000.0</v>
      </c>
      <c r="I63" s="55">
        <v>35000.0</v>
      </c>
      <c r="J63" s="55">
        <v>35000.0</v>
      </c>
      <c r="K63" s="181">
        <f t="shared" ref="K63:K65" si="13">AVERAGE(D63:J63)</f>
        <v>33000</v>
      </c>
      <c r="L63" s="4"/>
      <c r="M63" s="85"/>
      <c r="N63" s="8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5"/>
      <c r="B64" s="87" t="s">
        <v>90</v>
      </c>
      <c r="C64" s="88" t="s">
        <v>24</v>
      </c>
      <c r="D64" s="182">
        <v>45000.0</v>
      </c>
      <c r="E64" s="53">
        <v>35000.0</v>
      </c>
      <c r="F64" s="53">
        <v>40000.0</v>
      </c>
      <c r="G64" s="53">
        <v>45000.0</v>
      </c>
      <c r="H64" s="206" t="s">
        <v>27</v>
      </c>
      <c r="I64" s="104">
        <v>35000.0</v>
      </c>
      <c r="J64" s="102" t="s">
        <v>27</v>
      </c>
      <c r="K64" s="181">
        <f t="shared" si="13"/>
        <v>40000</v>
      </c>
      <c r="L64" s="4"/>
      <c r="M64" s="85"/>
      <c r="N64" s="8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1"/>
      <c r="B65" s="87" t="s">
        <v>92</v>
      </c>
      <c r="C65" s="88" t="s">
        <v>24</v>
      </c>
      <c r="D65" s="52">
        <v>80000.0</v>
      </c>
      <c r="E65" s="53">
        <v>90000.0</v>
      </c>
      <c r="F65" s="53">
        <v>70000.0</v>
      </c>
      <c r="G65" s="53">
        <v>75000.0</v>
      </c>
      <c r="H65" s="55">
        <v>90000.0</v>
      </c>
      <c r="I65" s="55">
        <v>75000.0</v>
      </c>
      <c r="J65" s="55">
        <v>80000.0</v>
      </c>
      <c r="K65" s="181">
        <f t="shared" si="13"/>
        <v>80000</v>
      </c>
      <c r="L65" s="4"/>
      <c r="M65" s="85"/>
      <c r="N65" s="8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54">
        <v>18.0</v>
      </c>
      <c r="B66" s="184" t="s">
        <v>93</v>
      </c>
      <c r="C66" s="88"/>
      <c r="D66" s="209"/>
      <c r="E66" s="187"/>
      <c r="F66" s="200"/>
      <c r="G66" s="187"/>
      <c r="H66" s="114"/>
      <c r="I66" s="114"/>
      <c r="J66" s="114"/>
      <c r="K66" s="181"/>
      <c r="L66" s="4"/>
      <c r="M66" s="85"/>
      <c r="N66" s="8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55"/>
      <c r="B67" s="87" t="s">
        <v>94</v>
      </c>
      <c r="C67" s="88" t="s">
        <v>95</v>
      </c>
      <c r="D67" s="52">
        <v>19000.0</v>
      </c>
      <c r="E67" s="53">
        <v>18000.0</v>
      </c>
      <c r="F67" s="53">
        <v>18000.0</v>
      </c>
      <c r="G67" s="183">
        <v>18000.0</v>
      </c>
      <c r="H67" s="99" t="s">
        <v>27</v>
      </c>
      <c r="I67" s="102">
        <v>18000.0</v>
      </c>
      <c r="J67" s="104">
        <v>18000.0</v>
      </c>
      <c r="K67" s="181">
        <f>AVERAGE(D67:J67)</f>
        <v>18166.66667</v>
      </c>
      <c r="L67" s="4"/>
      <c r="M67" s="85"/>
      <c r="N67" s="8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23">
        <v>19.0</v>
      </c>
      <c r="B68" s="184" t="s">
        <v>96</v>
      </c>
      <c r="C68" s="184"/>
      <c r="D68" s="192"/>
      <c r="E68" s="188"/>
      <c r="F68" s="194"/>
      <c r="G68" s="194"/>
      <c r="H68" s="95"/>
      <c r="I68" s="95"/>
      <c r="J68" s="95"/>
      <c r="K68" s="181"/>
      <c r="L68" s="4"/>
      <c r="M68" s="85"/>
      <c r="N68" s="8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5"/>
      <c r="B69" s="87" t="s">
        <v>97</v>
      </c>
      <c r="C69" s="88" t="s">
        <v>24</v>
      </c>
      <c r="D69" s="52">
        <v>32000.0</v>
      </c>
      <c r="E69" s="53">
        <v>34000.0</v>
      </c>
      <c r="F69" s="53">
        <v>35000.0</v>
      </c>
      <c r="G69" s="53">
        <v>38000.0</v>
      </c>
      <c r="H69" s="55">
        <v>32000.0</v>
      </c>
      <c r="I69" s="55">
        <v>36000.0</v>
      </c>
      <c r="J69" s="55">
        <v>38000.0</v>
      </c>
      <c r="K69" s="181">
        <f t="shared" ref="K69:K72" si="14">AVERAGE(D69:J69)</f>
        <v>35000</v>
      </c>
      <c r="L69" s="4"/>
      <c r="M69" s="85"/>
      <c r="N69" s="8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5"/>
      <c r="B70" s="87" t="s">
        <v>98</v>
      </c>
      <c r="C70" s="88" t="s">
        <v>24</v>
      </c>
      <c r="D70" s="182">
        <v>30000.0</v>
      </c>
      <c r="E70" s="53">
        <v>30000.0</v>
      </c>
      <c r="F70" s="53">
        <v>32000.0</v>
      </c>
      <c r="G70" s="53">
        <v>28000.0</v>
      </c>
      <c r="H70" s="55">
        <v>27000.0</v>
      </c>
      <c r="I70" s="55">
        <v>30000.0</v>
      </c>
      <c r="J70" s="55">
        <v>28000.0</v>
      </c>
      <c r="K70" s="181">
        <f t="shared" si="14"/>
        <v>29285.71429</v>
      </c>
      <c r="L70" s="4"/>
      <c r="M70" s="85"/>
      <c r="N70" s="8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5"/>
      <c r="B71" s="87" t="s">
        <v>99</v>
      </c>
      <c r="C71" s="88" t="s">
        <v>24</v>
      </c>
      <c r="D71" s="52">
        <v>32000.0</v>
      </c>
      <c r="E71" s="53">
        <v>35000.0</v>
      </c>
      <c r="F71" s="53">
        <v>34000.0</v>
      </c>
      <c r="G71" s="53">
        <v>40000.0</v>
      </c>
      <c r="H71" s="55">
        <v>25000.0</v>
      </c>
      <c r="I71" s="55">
        <v>33000.0</v>
      </c>
      <c r="J71" s="55">
        <v>35000.0</v>
      </c>
      <c r="K71" s="181">
        <f t="shared" si="14"/>
        <v>33428.57143</v>
      </c>
      <c r="L71" s="4"/>
      <c r="M71" s="85"/>
      <c r="N71" s="8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1"/>
      <c r="B72" s="87" t="s">
        <v>100</v>
      </c>
      <c r="C72" s="88" t="s">
        <v>24</v>
      </c>
      <c r="D72" s="52">
        <v>22000.0</v>
      </c>
      <c r="E72" s="183">
        <v>22000.0</v>
      </c>
      <c r="F72" s="180">
        <v>22000.0</v>
      </c>
      <c r="G72" s="180">
        <v>25000.0</v>
      </c>
      <c r="H72" s="55">
        <v>20000.0</v>
      </c>
      <c r="I72" s="102">
        <v>25000.0</v>
      </c>
      <c r="J72" s="102">
        <v>22000.0</v>
      </c>
      <c r="K72" s="181">
        <f t="shared" si="14"/>
        <v>22571.42857</v>
      </c>
      <c r="L72" s="4"/>
      <c r="M72" s="85"/>
      <c r="N72" s="8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54">
        <v>20.0</v>
      </c>
      <c r="B73" s="184" t="s">
        <v>101</v>
      </c>
      <c r="C73" s="88"/>
      <c r="D73" s="209"/>
      <c r="E73" s="196"/>
      <c r="F73" s="187"/>
      <c r="G73" s="210"/>
      <c r="H73" s="114"/>
      <c r="I73" s="114"/>
      <c r="J73" s="131"/>
      <c r="K73" s="181"/>
      <c r="L73" s="4"/>
      <c r="M73" s="85"/>
      <c r="N73" s="8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59"/>
      <c r="B74" s="87" t="s">
        <v>102</v>
      </c>
      <c r="C74" s="88" t="s">
        <v>24</v>
      </c>
      <c r="D74" s="52">
        <v>6000.0</v>
      </c>
      <c r="E74" s="183">
        <v>7000.0</v>
      </c>
      <c r="F74" s="53">
        <v>5000.0</v>
      </c>
      <c r="G74" s="53">
        <v>6000.0</v>
      </c>
      <c r="H74" s="55">
        <v>4000.0</v>
      </c>
      <c r="I74" s="55">
        <v>6000.0</v>
      </c>
      <c r="J74" s="102">
        <v>5000.0</v>
      </c>
      <c r="K74" s="181">
        <f t="shared" ref="K74:K75" si="15">AVERAGE(D74:J74)</f>
        <v>5571.428571</v>
      </c>
      <c r="L74" s="4"/>
      <c r="M74" s="85"/>
      <c r="N74" s="8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55"/>
      <c r="B75" s="87" t="s">
        <v>103</v>
      </c>
      <c r="C75" s="88" t="s">
        <v>24</v>
      </c>
      <c r="D75" s="182">
        <v>6000.0</v>
      </c>
      <c r="E75" s="183" t="s">
        <v>27</v>
      </c>
      <c r="F75" s="180">
        <v>6000.0</v>
      </c>
      <c r="G75" s="180">
        <v>6000.0</v>
      </c>
      <c r="H75" s="55">
        <v>5000.0</v>
      </c>
      <c r="I75" s="102">
        <v>7000.0</v>
      </c>
      <c r="J75" s="104">
        <v>6000.0</v>
      </c>
      <c r="K75" s="181">
        <f t="shared" si="15"/>
        <v>6000</v>
      </c>
      <c r="L75" s="4"/>
      <c r="M75" s="85"/>
      <c r="N75" s="8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54">
        <v>21.0</v>
      </c>
      <c r="B76" s="184" t="s">
        <v>104</v>
      </c>
      <c r="C76" s="88"/>
      <c r="D76" s="199"/>
      <c r="E76" s="187"/>
      <c r="F76" s="187"/>
      <c r="G76" s="200"/>
      <c r="H76" s="114"/>
      <c r="I76" s="114"/>
      <c r="J76" s="114"/>
      <c r="K76" s="181"/>
      <c r="L76" s="4"/>
      <c r="M76" s="85"/>
      <c r="N76" s="8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59"/>
      <c r="B77" s="87" t="s">
        <v>105</v>
      </c>
      <c r="C77" s="88" t="s">
        <v>24</v>
      </c>
      <c r="D77" s="52">
        <v>7000.0</v>
      </c>
      <c r="E77" s="53">
        <v>8000.0</v>
      </c>
      <c r="F77" s="53">
        <v>8000.0</v>
      </c>
      <c r="G77" s="53">
        <v>9000.0</v>
      </c>
      <c r="H77" s="55">
        <v>9000.0</v>
      </c>
      <c r="I77" s="104">
        <v>9000.0</v>
      </c>
      <c r="J77" s="55">
        <v>7000.0</v>
      </c>
      <c r="K77" s="181">
        <f t="shared" ref="K77:K85" si="16">AVERAGE(D77:J77)</f>
        <v>8142.857143</v>
      </c>
      <c r="L77" s="4"/>
      <c r="M77" s="85"/>
      <c r="N77" s="8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59"/>
      <c r="B78" s="87" t="s">
        <v>106</v>
      </c>
      <c r="C78" s="88" t="s">
        <v>24</v>
      </c>
      <c r="D78" s="52">
        <v>12000.0</v>
      </c>
      <c r="E78" s="53">
        <v>15000.0</v>
      </c>
      <c r="F78" s="53">
        <v>15000.0</v>
      </c>
      <c r="G78" s="53">
        <v>14000.0</v>
      </c>
      <c r="H78" s="55">
        <v>10000.0</v>
      </c>
      <c r="I78" s="104">
        <v>12000.0</v>
      </c>
      <c r="J78" s="55">
        <v>14000.0</v>
      </c>
      <c r="K78" s="181">
        <f t="shared" si="16"/>
        <v>13142.85714</v>
      </c>
      <c r="L78" s="4"/>
      <c r="M78" s="85"/>
      <c r="N78" s="8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59"/>
      <c r="B79" s="87" t="s">
        <v>107</v>
      </c>
      <c r="C79" s="88" t="s">
        <v>24</v>
      </c>
      <c r="D79" s="52">
        <v>14000.0</v>
      </c>
      <c r="E79" s="53">
        <v>15000.0</v>
      </c>
      <c r="F79" s="53">
        <v>16000.0</v>
      </c>
      <c r="G79" s="53">
        <v>17000.0</v>
      </c>
      <c r="H79" s="55">
        <v>15000.0</v>
      </c>
      <c r="I79" s="55">
        <v>16000.0</v>
      </c>
      <c r="J79" s="55">
        <v>14000.0</v>
      </c>
      <c r="K79" s="181">
        <f t="shared" si="16"/>
        <v>15285.71429</v>
      </c>
      <c r="L79" s="4"/>
      <c r="M79" s="85"/>
      <c r="N79" s="8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59"/>
      <c r="B80" s="87" t="s">
        <v>108</v>
      </c>
      <c r="C80" s="88" t="s">
        <v>24</v>
      </c>
      <c r="D80" s="52">
        <v>13000.0</v>
      </c>
      <c r="E80" s="53">
        <v>14000.0</v>
      </c>
      <c r="F80" s="53">
        <v>12000.0</v>
      </c>
      <c r="G80" s="53">
        <v>16000.0</v>
      </c>
      <c r="H80" s="55">
        <v>6000.0</v>
      </c>
      <c r="I80" s="104">
        <v>8000.0</v>
      </c>
      <c r="J80" s="55">
        <v>9000.0</v>
      </c>
      <c r="K80" s="181">
        <f t="shared" si="16"/>
        <v>11142.85714</v>
      </c>
      <c r="L80" s="4"/>
      <c r="M80" s="85"/>
      <c r="N80" s="8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59"/>
      <c r="B81" s="87" t="s">
        <v>109</v>
      </c>
      <c r="C81" s="88" t="s">
        <v>24</v>
      </c>
      <c r="D81" s="52">
        <v>8000.0</v>
      </c>
      <c r="E81" s="53">
        <v>10000.0</v>
      </c>
      <c r="F81" s="53">
        <v>10000.0</v>
      </c>
      <c r="G81" s="53">
        <v>12000.0</v>
      </c>
      <c r="H81" s="55">
        <v>10000.0</v>
      </c>
      <c r="I81" s="55">
        <v>12000.0</v>
      </c>
      <c r="J81" s="55">
        <v>10000.0</v>
      </c>
      <c r="K81" s="181">
        <f t="shared" si="16"/>
        <v>10285.71429</v>
      </c>
      <c r="L81" s="4"/>
      <c r="M81" s="85"/>
      <c r="N81" s="8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59"/>
      <c r="B82" s="87" t="s">
        <v>110</v>
      </c>
      <c r="C82" s="88" t="s">
        <v>24</v>
      </c>
      <c r="D82" s="182">
        <v>7000.0</v>
      </c>
      <c r="E82" s="183">
        <v>8000.0</v>
      </c>
      <c r="F82" s="180">
        <v>9000.0</v>
      </c>
      <c r="G82" s="180" t="s">
        <v>27</v>
      </c>
      <c r="H82" s="211">
        <v>9000.0</v>
      </c>
      <c r="I82" s="212">
        <v>10000.0</v>
      </c>
      <c r="J82" s="138">
        <v>8000.0</v>
      </c>
      <c r="K82" s="181">
        <f t="shared" si="16"/>
        <v>8500</v>
      </c>
      <c r="L82" s="4"/>
      <c r="M82" s="85"/>
      <c r="N82" s="8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59"/>
      <c r="B83" s="87" t="s">
        <v>111</v>
      </c>
      <c r="C83" s="88" t="s">
        <v>112</v>
      </c>
      <c r="D83" s="182">
        <v>2000.0</v>
      </c>
      <c r="E83" s="183" t="s">
        <v>27</v>
      </c>
      <c r="F83" s="53">
        <v>2000.0</v>
      </c>
      <c r="G83" s="180">
        <v>2000.0</v>
      </c>
      <c r="H83" s="55">
        <v>1500.0</v>
      </c>
      <c r="I83" s="102">
        <v>2000.0</v>
      </c>
      <c r="J83" s="104">
        <v>2000.0</v>
      </c>
      <c r="K83" s="181">
        <f t="shared" si="16"/>
        <v>1916.666667</v>
      </c>
      <c r="L83" s="4"/>
      <c r="M83" s="85"/>
      <c r="N83" s="8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59"/>
      <c r="B84" s="87" t="s">
        <v>113</v>
      </c>
      <c r="C84" s="88" t="s">
        <v>112</v>
      </c>
      <c r="D84" s="182">
        <v>2000.0</v>
      </c>
      <c r="E84" s="183" t="s">
        <v>27</v>
      </c>
      <c r="F84" s="53">
        <v>1500.0</v>
      </c>
      <c r="G84" s="180">
        <v>2000.0</v>
      </c>
      <c r="H84" s="55">
        <v>1500.0</v>
      </c>
      <c r="I84" s="102">
        <v>1500.0</v>
      </c>
      <c r="J84" s="104">
        <v>1500.0</v>
      </c>
      <c r="K84" s="181">
        <f t="shared" si="16"/>
        <v>1666.666667</v>
      </c>
      <c r="L84" s="4"/>
      <c r="M84" s="85"/>
      <c r="N84" s="8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55"/>
      <c r="B85" s="87" t="s">
        <v>114</v>
      </c>
      <c r="C85" s="88" t="s">
        <v>112</v>
      </c>
      <c r="D85" s="182" t="s">
        <v>27</v>
      </c>
      <c r="E85" s="183" t="s">
        <v>27</v>
      </c>
      <c r="F85" s="53">
        <v>2000.0</v>
      </c>
      <c r="G85" s="180">
        <v>2000.0</v>
      </c>
      <c r="H85" s="55">
        <v>2000.0</v>
      </c>
      <c r="I85" s="102">
        <v>2000.0</v>
      </c>
      <c r="J85" s="104">
        <v>1500.0</v>
      </c>
      <c r="K85" s="181">
        <f t="shared" si="16"/>
        <v>1900</v>
      </c>
      <c r="L85" s="4"/>
      <c r="M85" s="85"/>
      <c r="N85" s="8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54">
        <v>22.0</v>
      </c>
      <c r="B86" s="184" t="s">
        <v>115</v>
      </c>
      <c r="C86" s="88"/>
      <c r="D86" s="213"/>
      <c r="E86" s="196"/>
      <c r="F86" s="187" t="s">
        <v>116</v>
      </c>
      <c r="G86" s="200"/>
      <c r="H86" s="114"/>
      <c r="I86" s="114"/>
      <c r="J86" s="114"/>
      <c r="K86" s="181"/>
      <c r="L86" s="4"/>
      <c r="M86" s="85"/>
      <c r="N86" s="8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55"/>
      <c r="B87" s="87" t="s">
        <v>117</v>
      </c>
      <c r="C87" s="88" t="s">
        <v>118</v>
      </c>
      <c r="D87" s="182">
        <v>18000.0</v>
      </c>
      <c r="E87" s="183" t="s">
        <v>27</v>
      </c>
      <c r="F87" s="183">
        <v>17000.0</v>
      </c>
      <c r="G87" s="180">
        <v>17000.0</v>
      </c>
      <c r="H87" s="99" t="s">
        <v>27</v>
      </c>
      <c r="I87" s="104">
        <v>20000.0</v>
      </c>
      <c r="J87" s="104">
        <v>18000.0</v>
      </c>
      <c r="K87" s="181">
        <f>AVERAGE(D87:J87)</f>
        <v>18000</v>
      </c>
      <c r="L87" s="4"/>
      <c r="M87" s="85"/>
      <c r="N87" s="8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214"/>
      <c r="E88" s="4"/>
      <c r="F88" s="4"/>
      <c r="G88" s="4"/>
      <c r="H88" s="4"/>
      <c r="I88" s="4"/>
      <c r="J88" s="4"/>
      <c r="K88" s="4"/>
      <c r="L88" s="4"/>
      <c r="M88" s="85"/>
      <c r="N88" s="8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215"/>
      <c r="C89" s="4"/>
      <c r="D89" s="214"/>
      <c r="E89" s="4"/>
      <c r="F89" s="4"/>
      <c r="G89" s="4"/>
      <c r="H89" s="4"/>
      <c r="I89" s="4"/>
      <c r="J89" s="4"/>
      <c r="K89" s="4"/>
      <c r="L89" s="4"/>
      <c r="M89" s="85"/>
      <c r="N89" s="8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214"/>
      <c r="E90" s="4"/>
      <c r="F90" s="4"/>
      <c r="G90" s="4"/>
      <c r="H90" s="4"/>
      <c r="I90" s="4"/>
      <c r="J90" s="4"/>
      <c r="K90" s="4"/>
      <c r="L90" s="4"/>
      <c r="M90" s="85"/>
      <c r="N90" s="8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85"/>
      <c r="B91" s="85"/>
      <c r="C91" s="85"/>
      <c r="D91" s="207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21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21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21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21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21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21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21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21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21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21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21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21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21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21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21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21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21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21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21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21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21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21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21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21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21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2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2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2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2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2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2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2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2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2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2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2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2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2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2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2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2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2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2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2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2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2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2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2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2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2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2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2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2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2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2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2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2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2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2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2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2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2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2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2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2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2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2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2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2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2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2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2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2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2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2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2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2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2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2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2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2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2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2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2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2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2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2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2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2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2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2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2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2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2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2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2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2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2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2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2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2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2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2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2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2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2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2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2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2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2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2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2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2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2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2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2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2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2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2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2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2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2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2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2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2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2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2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2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2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2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2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2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2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2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2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2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2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2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2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2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2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2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2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2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2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2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2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2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2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2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2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2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2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2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2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2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2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2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2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2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2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2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2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2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2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2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2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2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2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2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2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2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2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2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2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2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2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2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2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2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2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2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2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2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2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2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2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2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2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2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2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2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2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2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2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2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2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2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2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2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2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2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2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2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2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2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2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2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2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2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2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2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2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2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2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2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2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2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2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2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2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2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2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2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2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21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21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21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21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21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21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21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21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21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21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21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21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21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21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21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21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21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21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21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21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21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21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21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21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21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21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21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21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21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21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21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21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21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21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21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21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21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21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21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21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21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21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21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21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21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21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21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21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21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21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21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21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21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21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21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21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21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21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21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21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21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21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21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21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21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21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21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21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21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21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21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21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21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21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21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21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21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21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21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21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21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21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21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21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21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21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21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21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21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21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21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21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21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21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21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21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21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21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21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21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21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21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21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21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21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21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21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21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21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21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21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21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21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21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21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21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21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21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21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21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21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21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21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21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21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21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21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21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21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21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21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21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21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21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21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21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21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21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21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21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21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21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21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21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21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21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21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21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21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21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21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21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21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21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21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21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21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21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21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21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21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21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21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21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21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21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21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21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21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21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21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21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21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21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21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21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21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21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21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21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21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21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21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21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21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21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21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21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21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21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21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21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21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21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21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21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21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21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21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21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21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21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21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21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21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21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21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21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21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21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21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21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21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21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21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21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21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21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21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21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21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21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21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21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21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21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21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21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21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21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21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21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21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21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21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21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21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21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21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21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21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21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21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21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21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21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21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21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21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21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21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21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21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21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21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21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21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21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21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21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21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21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21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21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21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21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21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21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21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21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21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21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21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21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21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21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21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21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21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21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21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21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21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21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21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21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21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21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21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21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21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21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21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21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21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21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21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21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21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21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21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21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21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21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21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21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21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21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21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21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21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21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21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21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21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21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21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21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21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21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21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21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21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21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21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21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21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21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21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21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21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21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21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21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21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21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21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21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21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21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21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21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21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21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21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21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21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21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21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21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21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21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21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21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21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21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21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21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21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21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21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21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21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21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21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21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21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21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21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21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21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21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21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21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21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21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21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21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21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21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21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21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21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21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21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21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21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21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21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21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21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21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21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21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21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21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21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21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21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21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21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21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21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21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21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21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21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21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21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21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21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21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21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21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21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21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21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21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21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21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21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21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21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21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21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21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21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21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21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21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21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21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21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21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21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21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21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21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21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21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21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21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21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21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21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21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21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21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21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21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21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21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21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21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21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21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21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21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21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21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21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21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21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21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21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21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21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21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21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21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21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21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21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21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21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21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21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21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21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21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21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21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21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21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21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21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21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21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21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21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21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21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21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21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21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21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21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21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21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21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21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21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21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21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21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21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21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21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21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21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21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21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21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21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21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21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21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21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21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21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21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21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21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21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21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21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21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21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21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21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21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21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21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21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21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21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21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21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21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21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21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21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21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21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21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21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21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21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21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21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21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21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21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21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21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21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21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21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21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21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21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21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21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21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21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21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21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21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21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21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21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21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21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21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21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21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21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21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21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21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21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21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21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21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21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21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21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21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21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21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21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21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21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21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21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21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21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21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21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21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21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21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21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21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21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21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21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21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21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21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21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21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21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21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21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21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21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21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21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21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21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21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21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21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21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21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21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21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21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21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21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21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21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21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21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21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21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21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21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21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21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21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21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21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21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21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21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21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21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21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21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21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21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21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21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21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21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21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21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21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21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21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21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21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21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21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21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21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21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21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21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21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21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21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21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21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21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21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21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21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21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21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21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21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141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142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12800.0</v>
      </c>
      <c r="H8" s="62">
        <v>12000.0</v>
      </c>
      <c r="I8" s="64">
        <v>13500.0</v>
      </c>
      <c r="J8" s="56">
        <v>13500.0</v>
      </c>
      <c r="K8" s="57">
        <f t="shared" ref="K8:K11" si="1">AVERAGE(D8:J8)</f>
        <v>13042.85714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15000.0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15571.42857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17000.0</v>
      </c>
      <c r="J16" s="102" t="s">
        <v>27</v>
      </c>
      <c r="K16" s="65">
        <f t="shared" ref="K16:K17" si="3">AVERAGE(D16:J16)</f>
        <v>16000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32000.0</v>
      </c>
      <c r="E24" s="62">
        <v>31000.0</v>
      </c>
      <c r="F24" s="62">
        <v>32000.0</v>
      </c>
      <c r="G24" s="62">
        <v>32000.0</v>
      </c>
      <c r="H24" s="55">
        <v>34000.0</v>
      </c>
      <c r="I24" s="64">
        <v>32000.0</v>
      </c>
      <c r="J24" s="55">
        <v>33000.0</v>
      </c>
      <c r="K24" s="65">
        <f t="shared" si="4"/>
        <v>32285.71429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42000.0</v>
      </c>
      <c r="J26" s="55">
        <v>40000.0</v>
      </c>
      <c r="K26" s="65">
        <f t="shared" ref="K26:K31" si="5">AVERAGE(D26:J26)</f>
        <v>38333.33333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28000.0</v>
      </c>
      <c r="K27" s="65">
        <f t="shared" si="5"/>
        <v>29142.85714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42000.0</v>
      </c>
      <c r="J30" s="55">
        <v>40000.0</v>
      </c>
      <c r="K30" s="65">
        <f t="shared" si="5"/>
        <v>38714.28571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28000.0</v>
      </c>
      <c r="F33" s="62">
        <v>30000.0</v>
      </c>
      <c r="G33" s="62">
        <v>30000.0</v>
      </c>
      <c r="H33" s="64">
        <v>28000.0</v>
      </c>
      <c r="I33" s="64">
        <v>29000.0</v>
      </c>
      <c r="J33" s="55">
        <v>29000.0</v>
      </c>
      <c r="K33" s="65">
        <f t="shared" ref="K33:K34" si="6">AVERAGE(D33:J33)</f>
        <v>29000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12000.0</v>
      </c>
      <c r="I36" s="64">
        <v>15000.0</v>
      </c>
      <c r="J36" s="55">
        <v>9000.0</v>
      </c>
      <c r="K36" s="65">
        <f t="shared" ref="K36:K37" si="7">AVERAGE(D36:J36)</f>
        <v>10571.42857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15000.0</v>
      </c>
      <c r="K37" s="65">
        <f t="shared" si="7"/>
        <v>12800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17000.0</v>
      </c>
      <c r="G56" s="62">
        <v>20000.0</v>
      </c>
      <c r="H56" s="64">
        <v>13000.0</v>
      </c>
      <c r="I56" s="68">
        <v>18000.0</v>
      </c>
      <c r="J56" s="102" t="s">
        <v>27</v>
      </c>
      <c r="K56" s="65">
        <f t="shared" ref="K56:K59" si="12">AVERAGE(D56:J56)</f>
        <v>16666.66667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32000.0</v>
      </c>
      <c r="E63" s="62">
        <v>30000.0</v>
      </c>
      <c r="F63" s="62">
        <v>35000.0</v>
      </c>
      <c r="G63" s="62">
        <v>35000.0</v>
      </c>
      <c r="H63" s="64">
        <v>30000.0</v>
      </c>
      <c r="I63" s="64">
        <v>35000.0</v>
      </c>
      <c r="J63" s="55">
        <v>35000.0</v>
      </c>
      <c r="K63" s="65">
        <f t="shared" ref="K63:K65" si="13">AVERAGE(D63:J63)</f>
        <v>33142.85714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40000.0</v>
      </c>
      <c r="G64" s="62">
        <v>45000.0</v>
      </c>
      <c r="H64" s="126" t="s">
        <v>27</v>
      </c>
      <c r="I64" s="69">
        <v>40000.0</v>
      </c>
      <c r="J64" s="102" t="s">
        <v>27</v>
      </c>
      <c r="K64" s="65">
        <f t="shared" si="13"/>
        <v>41000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90000.0</v>
      </c>
      <c r="F65" s="62">
        <v>80000.0</v>
      </c>
      <c r="G65" s="62">
        <v>75000.0</v>
      </c>
      <c r="H65" s="64">
        <v>85000.0</v>
      </c>
      <c r="I65" s="64">
        <v>80000.0</v>
      </c>
      <c r="J65" s="55">
        <v>80000.0</v>
      </c>
      <c r="K65" s="65">
        <f t="shared" si="13"/>
        <v>81428.57143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34000.0</v>
      </c>
      <c r="F69" s="62">
        <v>35000.0</v>
      </c>
      <c r="G69" s="62">
        <v>38000.0</v>
      </c>
      <c r="H69" s="64">
        <v>33000.0</v>
      </c>
      <c r="I69" s="64">
        <v>38000.0</v>
      </c>
      <c r="J69" s="55">
        <v>38000.0</v>
      </c>
      <c r="K69" s="65">
        <f t="shared" ref="K69:K72" si="14">AVERAGE(D69:J69)</f>
        <v>35428.57143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28857.14286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36000.0</v>
      </c>
      <c r="G71" s="62">
        <v>40000.0</v>
      </c>
      <c r="H71" s="64">
        <v>25000.0</v>
      </c>
      <c r="I71" s="64">
        <v>35000.0</v>
      </c>
      <c r="J71" s="55">
        <v>35000.0</v>
      </c>
      <c r="K71" s="65">
        <f t="shared" si="14"/>
        <v>34000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22000.0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8142.857143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15000.0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13142.85714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13000.0</v>
      </c>
      <c r="E80" s="62">
        <v>14000.0</v>
      </c>
      <c r="F80" s="62">
        <v>12000.0</v>
      </c>
      <c r="G80" s="62">
        <v>16000.0</v>
      </c>
      <c r="H80" s="64">
        <v>8000.0</v>
      </c>
      <c r="I80" s="69">
        <v>12000.0</v>
      </c>
      <c r="J80" s="55">
        <v>9000.0</v>
      </c>
      <c r="K80" s="65">
        <f t="shared" si="16"/>
        <v>12000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143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12800.0</v>
      </c>
      <c r="H8" s="62">
        <v>12000.0</v>
      </c>
      <c r="I8" s="64">
        <v>13500.0</v>
      </c>
      <c r="J8" s="56">
        <v>13500.0</v>
      </c>
      <c r="K8" s="57">
        <f t="shared" ref="K8:K11" si="1">AVERAGE(D8:J8)</f>
        <v>13042.85714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32000.0</v>
      </c>
      <c r="H24" s="55">
        <v>35000.0</v>
      </c>
      <c r="I24" s="64">
        <v>33000.0</v>
      </c>
      <c r="J24" s="55">
        <v>35000.0</v>
      </c>
      <c r="K24" s="65">
        <f t="shared" si="4"/>
        <v>33428.57143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42000.0</v>
      </c>
      <c r="J26" s="55">
        <v>35000.0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f t="shared" si="5"/>
        <v>28857.14286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f t="shared" si="5"/>
        <v>38857.14286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28000.0</v>
      </c>
      <c r="F33" s="62">
        <v>30000.0</v>
      </c>
      <c r="G33" s="62">
        <v>30000.0</v>
      </c>
      <c r="H33" s="64">
        <v>28000.0</v>
      </c>
      <c r="I33" s="64">
        <v>29000.0</v>
      </c>
      <c r="J33" s="55">
        <v>30000.0</v>
      </c>
      <c r="K33" s="65">
        <f t="shared" ref="K33:K34" si="6">AVERAGE(D33:J33)</f>
        <v>29142.85714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12000.0</v>
      </c>
      <c r="I36" s="64">
        <v>15000.0</v>
      </c>
      <c r="J36" s="55">
        <v>9000.0</v>
      </c>
      <c r="K36" s="65">
        <f t="shared" ref="K36:K37" si="7">AVERAGE(D36:J36)</f>
        <v>10571.42857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6000.0</v>
      </c>
      <c r="F39" s="54" t="s">
        <v>27</v>
      </c>
      <c r="G39" s="62">
        <v>16000.0</v>
      </c>
      <c r="H39" s="64">
        <v>2500.0</v>
      </c>
      <c r="I39" s="64">
        <v>15000.0</v>
      </c>
      <c r="J39" s="55">
        <v>15000.0</v>
      </c>
      <c r="K39" s="65">
        <f t="shared" ref="K39:K41" si="8">AVERAGE(D39:J39)</f>
        <v>10900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4000.0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4166.666667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15000.0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16166.66667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f t="shared" si="12"/>
        <v>29285.71429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30000.0</v>
      </c>
      <c r="F63" s="62">
        <v>32000.0</v>
      </c>
      <c r="G63" s="62">
        <v>35000.0</v>
      </c>
      <c r="H63" s="64">
        <v>35000.0</v>
      </c>
      <c r="I63" s="64">
        <v>40000.0</v>
      </c>
      <c r="J63" s="55">
        <v>35000.0</v>
      </c>
      <c r="K63" s="65">
        <f t="shared" ref="K63:K65" si="13">AVERAGE(D63:J63)</f>
        <v>34571.42857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35000.0</v>
      </c>
      <c r="F64" s="62">
        <v>40000.0</v>
      </c>
      <c r="G64" s="62">
        <v>45000.0</v>
      </c>
      <c r="H64" s="126" t="s">
        <v>27</v>
      </c>
      <c r="I64" s="69">
        <v>40000.0</v>
      </c>
      <c r="J64" s="102" t="s">
        <v>27</v>
      </c>
      <c r="K64" s="65">
        <f t="shared" si="13"/>
        <v>41000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90000.0</v>
      </c>
      <c r="F65" s="62">
        <v>75000.0</v>
      </c>
      <c r="G65" s="62">
        <v>75000.0</v>
      </c>
      <c r="H65" s="64">
        <v>80000.0</v>
      </c>
      <c r="I65" s="64">
        <v>80000.0</v>
      </c>
      <c r="J65" s="55">
        <v>80000.0</v>
      </c>
      <c r="K65" s="65">
        <f t="shared" si="13"/>
        <v>80000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34000.0</v>
      </c>
      <c r="F69" s="62">
        <v>34000.0</v>
      </c>
      <c r="G69" s="62">
        <v>38000.0</v>
      </c>
      <c r="H69" s="64">
        <v>30000.0</v>
      </c>
      <c r="I69" s="64">
        <v>38000.0</v>
      </c>
      <c r="J69" s="55">
        <v>38000.0</v>
      </c>
      <c r="K69" s="65">
        <f t="shared" ref="K69:K72" si="14">AVERAGE(D69:J69)</f>
        <v>34857.14286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28857.14286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34000.0</v>
      </c>
      <c r="G71" s="62">
        <v>40000.0</v>
      </c>
      <c r="H71" s="64">
        <v>25000.0</v>
      </c>
      <c r="I71" s="64">
        <v>35000.0</v>
      </c>
      <c r="J71" s="55">
        <v>35000.0</v>
      </c>
      <c r="K71" s="65">
        <f t="shared" si="14"/>
        <v>33714.28571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22000.0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22285.71429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8142.857143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15000.0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13142.85714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14000.0</v>
      </c>
      <c r="G80" s="62">
        <v>16000.0</v>
      </c>
      <c r="H80" s="64">
        <v>9000.0</v>
      </c>
      <c r="I80" s="69">
        <v>12000.0</v>
      </c>
      <c r="J80" s="55">
        <v>9000.0</v>
      </c>
      <c r="K80" s="65">
        <f t="shared" si="16"/>
        <v>12571.42857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144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216">
        <v>13000.0</v>
      </c>
      <c r="E8" s="146">
        <v>12500.0</v>
      </c>
      <c r="F8" s="146">
        <v>14000.0</v>
      </c>
      <c r="G8" s="146">
        <v>13000.0</v>
      </c>
      <c r="H8" s="146">
        <v>12000.0</v>
      </c>
      <c r="I8" s="148">
        <v>13500.0</v>
      </c>
      <c r="J8" s="149">
        <v>13500.0</v>
      </c>
      <c r="K8" s="57">
        <f t="shared" ref="K8:K11" si="1">AVERAGE(D8:J8)</f>
        <v>13071.42857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12000.0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32000.0</v>
      </c>
      <c r="H24" s="55">
        <v>35000.0</v>
      </c>
      <c r="I24" s="64">
        <v>33000.0</v>
      </c>
      <c r="J24" s="55">
        <v>35000.0</v>
      </c>
      <c r="K24" s="65">
        <f t="shared" si="4"/>
        <v>33428.57143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42000.0</v>
      </c>
      <c r="J26" s="55">
        <v>35000.0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f t="shared" si="5"/>
        <v>28857.14286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f t="shared" si="5"/>
        <v>38857.14286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29000.0</v>
      </c>
      <c r="J33" s="55">
        <v>30000.0</v>
      </c>
      <c r="K33" s="65">
        <f t="shared" ref="K33:K34" si="6">AVERAGE(D33:J33)</f>
        <v>29285.71429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2200.0</v>
      </c>
      <c r="H34" s="64">
        <v>2000.0</v>
      </c>
      <c r="I34" s="64">
        <v>2500.0</v>
      </c>
      <c r="J34" s="55">
        <v>3000.0</v>
      </c>
      <c r="K34" s="65">
        <f t="shared" si="6"/>
        <v>2385.714286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f t="shared" ref="K39:K41" si="8">AVERAGE(D39:J39)</f>
        <v>15800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12500.0</v>
      </c>
      <c r="E40" s="62">
        <v>12000.0</v>
      </c>
      <c r="F40" s="62">
        <v>18000.0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14166.66667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6000.0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6000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15000.0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16166.66667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f t="shared" si="12"/>
        <v>29285.71429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38000.0</v>
      </c>
      <c r="F63" s="62">
        <v>32000.0</v>
      </c>
      <c r="G63" s="62">
        <v>35000.0</v>
      </c>
      <c r="H63" s="64">
        <v>40000.0</v>
      </c>
      <c r="I63" s="64">
        <v>40000.0</v>
      </c>
      <c r="J63" s="55">
        <v>35000.0</v>
      </c>
      <c r="K63" s="65">
        <f t="shared" ref="K63:K65" si="13">AVERAGE(D63:J63)</f>
        <v>36428.57143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45000.0</v>
      </c>
      <c r="G64" s="62">
        <v>45000.0</v>
      </c>
      <c r="H64" s="126" t="s">
        <v>27</v>
      </c>
      <c r="I64" s="69">
        <v>40000.0</v>
      </c>
      <c r="J64" s="102" t="s">
        <v>27</v>
      </c>
      <c r="K64" s="65">
        <f t="shared" si="13"/>
        <v>43000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75000.0</v>
      </c>
      <c r="F65" s="62">
        <v>75000.0</v>
      </c>
      <c r="G65" s="62">
        <v>75000.0</v>
      </c>
      <c r="H65" s="64">
        <v>85000.0</v>
      </c>
      <c r="I65" s="64">
        <v>80000.0</v>
      </c>
      <c r="J65" s="55">
        <v>80000.0</v>
      </c>
      <c r="K65" s="65">
        <f t="shared" si="13"/>
        <v>78571.42857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33000.0</v>
      </c>
      <c r="F69" s="62">
        <v>34000.0</v>
      </c>
      <c r="G69" s="62">
        <v>38000.0</v>
      </c>
      <c r="H69" s="64">
        <v>30000.0</v>
      </c>
      <c r="I69" s="64">
        <v>38000.0</v>
      </c>
      <c r="J69" s="55">
        <v>38000.0</v>
      </c>
      <c r="K69" s="65">
        <f t="shared" ref="K69:K72" si="14">AVERAGE(D69:J69)</f>
        <v>34714.28571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25000.0</v>
      </c>
      <c r="I70" s="64">
        <v>30000.0</v>
      </c>
      <c r="J70" s="55">
        <v>28000.0</v>
      </c>
      <c r="K70" s="65">
        <f t="shared" si="14"/>
        <v>28714.28571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32000.0</v>
      </c>
      <c r="F71" s="62">
        <v>34000.0</v>
      </c>
      <c r="G71" s="62">
        <v>35000.0</v>
      </c>
      <c r="H71" s="64">
        <v>24000.0</v>
      </c>
      <c r="I71" s="64">
        <v>35000.0</v>
      </c>
      <c r="J71" s="55">
        <v>35000.0</v>
      </c>
      <c r="K71" s="65">
        <f t="shared" si="14"/>
        <v>32428.57143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8142.857143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15000.0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13142.85714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14000.0</v>
      </c>
      <c r="G80" s="62">
        <v>16000.0</v>
      </c>
      <c r="H80" s="64">
        <v>9000.0</v>
      </c>
      <c r="I80" s="69">
        <v>12000.0</v>
      </c>
      <c r="J80" s="55">
        <v>9000.0</v>
      </c>
      <c r="K80" s="65">
        <f t="shared" si="16"/>
        <v>12571.42857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1.71"/>
    <col customWidth="1" min="3" max="3" width="8.71"/>
    <col customWidth="1" min="4" max="11" width="15.71"/>
    <col customWidth="1" min="12" max="26" width="8.71"/>
  </cols>
  <sheetData>
    <row r="1">
      <c r="A1" s="6" t="s">
        <v>2</v>
      </c>
      <c r="L1" s="153"/>
      <c r="M1" s="7"/>
      <c r="N1" s="7"/>
      <c r="O1" s="153"/>
      <c r="P1" s="153"/>
      <c r="Q1" s="153"/>
      <c r="R1" s="153"/>
      <c r="S1" s="153"/>
      <c r="T1" s="153"/>
      <c r="U1" s="153"/>
      <c r="V1" s="153"/>
      <c r="W1" s="153"/>
    </row>
    <row r="2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L2" s="153"/>
      <c r="M2" s="7"/>
      <c r="N2" s="7"/>
      <c r="O2" s="153"/>
      <c r="P2" s="153"/>
      <c r="Q2" s="153"/>
      <c r="R2" s="153"/>
      <c r="S2" s="153"/>
      <c r="T2" s="153"/>
      <c r="U2" s="153"/>
      <c r="V2" s="153"/>
      <c r="W2" s="153"/>
    </row>
    <row r="3">
      <c r="A3" s="12" t="s">
        <v>145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53"/>
      <c r="M3" s="7"/>
      <c r="N3" s="7"/>
      <c r="O3" s="153"/>
      <c r="P3" s="153"/>
      <c r="Q3" s="153"/>
      <c r="R3" s="153"/>
      <c r="S3" s="153"/>
      <c r="T3" s="153"/>
      <c r="U3" s="153"/>
      <c r="V3" s="153"/>
      <c r="W3" s="153"/>
    </row>
    <row r="4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L4" s="153"/>
      <c r="M4" s="7"/>
      <c r="N4" s="7"/>
      <c r="O4" s="153"/>
      <c r="P4" s="153"/>
      <c r="Q4" s="153"/>
      <c r="R4" s="153"/>
      <c r="S4" s="153"/>
      <c r="T4" s="153"/>
      <c r="U4" s="153"/>
      <c r="V4" s="153"/>
      <c r="W4" s="153"/>
    </row>
    <row r="5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L5" s="153"/>
      <c r="M5" s="7"/>
      <c r="N5" s="7"/>
      <c r="O5" s="153"/>
      <c r="P5" s="153"/>
      <c r="Q5" s="153"/>
      <c r="R5" s="153"/>
      <c r="S5" s="153"/>
      <c r="T5" s="153"/>
      <c r="U5" s="153"/>
      <c r="V5" s="153"/>
      <c r="W5" s="153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L6" s="153"/>
      <c r="M6" s="7"/>
      <c r="N6" s="7"/>
      <c r="O6" s="153"/>
      <c r="P6" s="153"/>
      <c r="Q6" s="153"/>
      <c r="R6" s="153"/>
      <c r="S6" s="153"/>
      <c r="T6" s="153"/>
      <c r="U6" s="153"/>
      <c r="V6" s="153"/>
      <c r="W6" s="153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L7" s="153"/>
      <c r="M7" s="7"/>
      <c r="N7" s="7"/>
      <c r="O7" s="153"/>
      <c r="P7" s="153"/>
      <c r="Q7" s="153"/>
      <c r="R7" s="153"/>
      <c r="S7" s="153"/>
      <c r="T7" s="153"/>
      <c r="U7" s="153"/>
      <c r="V7" s="153"/>
      <c r="W7" s="153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13000.0</v>
      </c>
      <c r="H8" s="62">
        <v>13000.0</v>
      </c>
      <c r="I8" s="64">
        <v>13500.0</v>
      </c>
      <c r="J8" s="56">
        <v>13500.0</v>
      </c>
      <c r="K8" s="57">
        <v>13214.285714285714</v>
      </c>
      <c r="L8" s="58"/>
      <c r="M8" s="59"/>
      <c r="N8" s="7"/>
      <c r="O8" s="153"/>
      <c r="P8" s="153"/>
      <c r="Q8" s="153"/>
      <c r="R8" s="153"/>
      <c r="S8" s="153"/>
      <c r="T8" s="153"/>
      <c r="U8" s="153"/>
      <c r="V8" s="153"/>
      <c r="W8" s="153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v>8971.42857142857</v>
      </c>
      <c r="L9" s="153"/>
      <c r="M9" s="7"/>
      <c r="N9" s="7"/>
      <c r="O9" s="153"/>
      <c r="P9" s="153"/>
      <c r="Q9" s="153"/>
      <c r="R9" s="153"/>
      <c r="S9" s="153"/>
      <c r="T9" s="153"/>
      <c r="U9" s="153"/>
      <c r="V9" s="153"/>
      <c r="W9" s="153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v>10600.0</v>
      </c>
      <c r="L10" s="153"/>
      <c r="M10" s="7"/>
      <c r="N10" s="7"/>
      <c r="O10" s="153"/>
      <c r="P10" s="153"/>
      <c r="Q10" s="153"/>
      <c r="R10" s="153"/>
      <c r="S10" s="153"/>
      <c r="T10" s="153"/>
      <c r="U10" s="153"/>
      <c r="V10" s="153"/>
      <c r="W10" s="153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v>20200.0</v>
      </c>
      <c r="L11" s="153"/>
      <c r="M11" s="7"/>
      <c r="N11" s="7"/>
      <c r="O11" s="153"/>
      <c r="P11" s="153"/>
      <c r="Q11" s="153"/>
      <c r="R11" s="153"/>
      <c r="S11" s="153"/>
      <c r="T11" s="153"/>
      <c r="U11" s="153"/>
      <c r="V11" s="153"/>
      <c r="W11" s="153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L12" s="153"/>
      <c r="M12" s="7"/>
      <c r="N12" s="85"/>
      <c r="O12" s="153"/>
      <c r="P12" s="153"/>
      <c r="Q12" s="153"/>
      <c r="R12" s="153"/>
      <c r="S12" s="153"/>
      <c r="T12" s="153"/>
      <c r="U12" s="153"/>
      <c r="V12" s="153"/>
      <c r="W12" s="153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v>13000.0</v>
      </c>
      <c r="L13" s="153"/>
      <c r="M13" s="7"/>
      <c r="N13" s="7"/>
      <c r="O13" s="153"/>
      <c r="P13" s="153"/>
      <c r="Q13" s="153"/>
      <c r="R13" s="153"/>
      <c r="S13" s="153"/>
      <c r="T13" s="153"/>
      <c r="U13" s="153"/>
      <c r="V13" s="153"/>
      <c r="W13" s="153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v>15714.285714285714</v>
      </c>
      <c r="L14" s="153"/>
      <c r="M14" s="7"/>
      <c r="N14" s="7"/>
      <c r="O14" s="153"/>
      <c r="P14" s="153"/>
      <c r="Q14" s="153"/>
      <c r="R14" s="153"/>
      <c r="S14" s="153"/>
      <c r="T14" s="153"/>
      <c r="U14" s="153"/>
      <c r="V14" s="153"/>
      <c r="W14" s="153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L15" s="153"/>
      <c r="M15" s="7"/>
      <c r="N15" s="7"/>
      <c r="O15" s="153"/>
      <c r="P15" s="153"/>
      <c r="Q15" s="153"/>
      <c r="R15" s="153"/>
      <c r="S15" s="153"/>
      <c r="T15" s="153"/>
      <c r="U15" s="153"/>
      <c r="V15" s="153"/>
      <c r="W15" s="153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 t="s">
        <v>27</v>
      </c>
      <c r="K16" s="65">
        <v>15833.333333333334</v>
      </c>
      <c r="L16" s="153"/>
      <c r="M16" s="7"/>
      <c r="N16" s="7"/>
      <c r="O16" s="153"/>
      <c r="P16" s="153"/>
      <c r="Q16" s="153"/>
      <c r="R16" s="153"/>
      <c r="S16" s="153"/>
      <c r="T16" s="153"/>
      <c r="U16" s="153"/>
      <c r="V16" s="153"/>
      <c r="W16" s="153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v>14333.333333333334</v>
      </c>
      <c r="L17" s="153"/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L18" s="153"/>
      <c r="M18" s="7"/>
      <c r="N18" s="7"/>
    </row>
    <row r="19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v>21250.0</v>
      </c>
      <c r="L19" s="153"/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L20" s="15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v>118571.42857142857</v>
      </c>
      <c r="L21" s="153"/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v>109142.85714285714</v>
      </c>
      <c r="L22" s="153"/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v>99166.66666666667</v>
      </c>
      <c r="L23" s="153"/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33000.0</v>
      </c>
      <c r="G24" s="62">
        <v>32000.0</v>
      </c>
      <c r="H24" s="55">
        <v>35000.0</v>
      </c>
      <c r="I24" s="64">
        <v>33000.0</v>
      </c>
      <c r="J24" s="55">
        <v>35000.0</v>
      </c>
      <c r="K24" s="65">
        <v>33285.71428571428</v>
      </c>
      <c r="L24" s="153"/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L25" s="15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42000.0</v>
      </c>
      <c r="J26" s="55">
        <v>35000.0</v>
      </c>
      <c r="K26" s="65">
        <v>37500.0</v>
      </c>
      <c r="L26" s="153"/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v>28857.14285714286</v>
      </c>
      <c r="L27" s="153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v>64000.0</v>
      </c>
      <c r="L28" s="153"/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v>24600.0</v>
      </c>
      <c r="L29" s="153"/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v>38857.142857142855</v>
      </c>
      <c r="L30" s="153"/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v>96666.66666666667</v>
      </c>
      <c r="L31" s="153"/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L32" s="15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30000.0</v>
      </c>
      <c r="K33" s="65">
        <v>29428.571428571428</v>
      </c>
      <c r="L33" s="153"/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v>2428.5714285714284</v>
      </c>
      <c r="L34" s="153"/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L35" s="153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v>11142.857142857143</v>
      </c>
      <c r="L36" s="153"/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v>12200.0</v>
      </c>
      <c r="L37" s="153"/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L38" s="153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v>15800.0</v>
      </c>
      <c r="L39" s="153"/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v>6833.333333333333</v>
      </c>
      <c r="L40" s="153"/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v>2000.0</v>
      </c>
      <c r="L41" s="153"/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L42" s="15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v>12333.333333333334</v>
      </c>
      <c r="L43" s="153"/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v>40200.0</v>
      </c>
      <c r="L44" s="153"/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L45" s="15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v>18666.666666666668</v>
      </c>
      <c r="L46" s="153"/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v>2000.0</v>
      </c>
      <c r="L47" s="153"/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L48" s="15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v>9285.714285714286</v>
      </c>
      <c r="L49" s="153"/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v>8166.666666666667</v>
      </c>
      <c r="L50" s="153"/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L51" s="15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v>4000.0</v>
      </c>
      <c r="L52" s="153"/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L53" s="15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v>10642.857142857143</v>
      </c>
      <c r="L54" s="153"/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L55" s="15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15000.0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v>16166.666666666666</v>
      </c>
      <c r="L56" s="153"/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v>14166.666666666666</v>
      </c>
      <c r="L57" s="153"/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v>25857.14285714286</v>
      </c>
      <c r="L58" s="153"/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v>29285.714285714286</v>
      </c>
      <c r="L59" s="153"/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L60" s="15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v>3200.0</v>
      </c>
      <c r="L61" s="153"/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L62" s="15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38000.0</v>
      </c>
      <c r="F63" s="62">
        <v>32000.0</v>
      </c>
      <c r="G63" s="62">
        <v>35000.0</v>
      </c>
      <c r="H63" s="64">
        <v>40000.0</v>
      </c>
      <c r="I63" s="64">
        <v>40000.0</v>
      </c>
      <c r="J63" s="55">
        <v>35000.0</v>
      </c>
      <c r="K63" s="65">
        <v>36428.57142857143</v>
      </c>
      <c r="L63" s="153"/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45000.0</v>
      </c>
      <c r="G64" s="62">
        <v>45000.0</v>
      </c>
      <c r="H64" s="126" t="s">
        <v>27</v>
      </c>
      <c r="I64" s="69">
        <v>40000.0</v>
      </c>
      <c r="J64" s="102" t="s">
        <v>27</v>
      </c>
      <c r="K64" s="65">
        <v>43000.0</v>
      </c>
      <c r="L64" s="153"/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75000.0</v>
      </c>
      <c r="F65" s="62">
        <v>80000.0</v>
      </c>
      <c r="G65" s="62">
        <v>75000.0</v>
      </c>
      <c r="H65" s="64">
        <v>85000.0</v>
      </c>
      <c r="I65" s="64">
        <v>80000.0</v>
      </c>
      <c r="J65" s="55">
        <v>80000.0</v>
      </c>
      <c r="K65" s="65">
        <v>79285.71428571429</v>
      </c>
      <c r="L65" s="153"/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L66" s="15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v>18166.666666666668</v>
      </c>
      <c r="L67" s="153"/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L68" s="15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33000.0</v>
      </c>
      <c r="F69" s="62">
        <v>34000.0</v>
      </c>
      <c r="G69" s="62">
        <v>38000.0</v>
      </c>
      <c r="H69" s="64">
        <v>30000.0</v>
      </c>
      <c r="I69" s="64">
        <v>38000.0</v>
      </c>
      <c r="J69" s="55">
        <v>38000.0</v>
      </c>
      <c r="K69" s="65">
        <v>34714.28571428572</v>
      </c>
      <c r="L69" s="153"/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25000.0</v>
      </c>
      <c r="I70" s="64">
        <v>30000.0</v>
      </c>
      <c r="J70" s="55">
        <v>28000.0</v>
      </c>
      <c r="K70" s="65">
        <v>28714.285714285714</v>
      </c>
      <c r="L70" s="153"/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32000.0</v>
      </c>
      <c r="F71" s="62">
        <v>34000.0</v>
      </c>
      <c r="G71" s="62">
        <v>35000.0</v>
      </c>
      <c r="H71" s="64">
        <v>24000.0</v>
      </c>
      <c r="I71" s="64">
        <v>35000.0</v>
      </c>
      <c r="J71" s="55">
        <v>35000.0</v>
      </c>
      <c r="K71" s="65">
        <v>32428.571428571428</v>
      </c>
      <c r="L71" s="153"/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v>22571.428571428572</v>
      </c>
      <c r="L72" s="153"/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L73" s="15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v>5571.428571428572</v>
      </c>
      <c r="L74" s="153"/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v>6000.0</v>
      </c>
      <c r="L75" s="153"/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L76" s="15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v>8142.857142857143</v>
      </c>
      <c r="L77" s="153"/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15000.0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v>13142.857142857143</v>
      </c>
      <c r="L78" s="153"/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v>15285.714285714286</v>
      </c>
      <c r="L79" s="153"/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14000.0</v>
      </c>
      <c r="G80" s="62">
        <v>16000.0</v>
      </c>
      <c r="H80" s="64">
        <v>9000.0</v>
      </c>
      <c r="I80" s="69">
        <v>12000.0</v>
      </c>
      <c r="J80" s="55">
        <v>9000.0</v>
      </c>
      <c r="K80" s="65">
        <v>12571.42857142857</v>
      </c>
      <c r="L80" s="153"/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v>10285.714285714286</v>
      </c>
      <c r="L81" s="153"/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v>8500.0</v>
      </c>
      <c r="L82" s="153"/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v>1916.6666666666667</v>
      </c>
      <c r="L83" s="153"/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v>1666.6666666666667</v>
      </c>
      <c r="L84" s="153"/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v>1900.0</v>
      </c>
      <c r="L85" s="153"/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L86" s="15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v>18000.0</v>
      </c>
      <c r="L87" s="153"/>
      <c r="M87" s="7"/>
      <c r="N87" s="7"/>
    </row>
    <row r="88" ht="15.75" customHeight="1">
      <c r="A88" s="153"/>
      <c r="B88" s="153"/>
      <c r="C88" s="153"/>
      <c r="D88" s="153"/>
      <c r="E88" s="143"/>
      <c r="F88" s="153"/>
      <c r="G88" s="153"/>
      <c r="H88" s="153"/>
      <c r="I88" s="153"/>
      <c r="J88" s="4"/>
      <c r="K88" s="153"/>
      <c r="L88" s="153"/>
      <c r="M88" s="7"/>
      <c r="N88" s="7"/>
    </row>
    <row r="89" ht="15.75" customHeight="1">
      <c r="A89" s="153"/>
      <c r="B89" s="144"/>
      <c r="C89" s="153"/>
      <c r="D89" s="153"/>
      <c r="E89" s="153"/>
      <c r="F89" s="153"/>
      <c r="G89" s="153"/>
      <c r="H89" s="153"/>
      <c r="I89" s="153"/>
      <c r="J89" s="4"/>
      <c r="K89" s="153"/>
      <c r="L89" s="153"/>
      <c r="M89" s="7"/>
      <c r="N89" s="7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4"/>
      <c r="K90" s="153"/>
      <c r="L90" s="153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146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13000.0</v>
      </c>
      <c r="H8" s="62">
        <v>13000.0</v>
      </c>
      <c r="I8" s="64">
        <v>13500.0</v>
      </c>
      <c r="J8" s="56">
        <v>13500.0</v>
      </c>
      <c r="K8" s="57">
        <f t="shared" ref="K8:K11" si="1">AVERAGE(D8:J8)</f>
        <v>13214.28571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16000.0</v>
      </c>
      <c r="K16" s="65">
        <f t="shared" ref="K16:K17" si="3">AVERAGE(D16:J16)</f>
        <v>15857.14286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f t="shared" ref="K21:K24" si="4">AVERAGE(D21:J21)</f>
        <v>118571.4286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32000.0</v>
      </c>
      <c r="H24" s="55">
        <v>35000.0</v>
      </c>
      <c r="I24" s="64">
        <v>33000.0</v>
      </c>
      <c r="J24" s="55">
        <v>35000.0</v>
      </c>
      <c r="K24" s="65">
        <f t="shared" si="4"/>
        <v>33428.57143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42000.0</v>
      </c>
      <c r="J26" s="55">
        <v>35000.0</v>
      </c>
      <c r="K26" s="65">
        <f t="shared" ref="K26:K31" si="5">AVERAGE(D26:J26)</f>
        <v>37500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f t="shared" si="5"/>
        <v>28857.14286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f t="shared" si="5"/>
        <v>38857.14286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30000.0</v>
      </c>
      <c r="K33" s="65">
        <f t="shared" ref="K33:K34" si="6">AVERAGE(D33:J33)</f>
        <v>29428.57143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2428.571429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f t="shared" ref="K39:K41" si="8">AVERAGE(D39:J39)</f>
        <v>15800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f t="shared" si="12"/>
        <v>29285.71429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38000.0</v>
      </c>
      <c r="F63" s="62">
        <v>35000.0</v>
      </c>
      <c r="G63" s="62">
        <v>40000.0</v>
      </c>
      <c r="H63" s="64">
        <v>40000.0</v>
      </c>
      <c r="I63" s="64">
        <v>40000.0</v>
      </c>
      <c r="J63" s="55">
        <v>35000.0</v>
      </c>
      <c r="K63" s="65">
        <f t="shared" ref="K63:K65" si="13">AVERAGE(D63:J63)</f>
        <v>37571.42857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75000.0</v>
      </c>
      <c r="F65" s="62">
        <v>80000.0</v>
      </c>
      <c r="G65" s="62">
        <v>75000.0</v>
      </c>
      <c r="H65" s="64">
        <v>85000.0</v>
      </c>
      <c r="I65" s="64">
        <v>80000.0</v>
      </c>
      <c r="J65" s="55">
        <v>80000.0</v>
      </c>
      <c r="K65" s="65">
        <f t="shared" si="13"/>
        <v>79285.71429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33000.0</v>
      </c>
      <c r="F69" s="62">
        <v>34000.0</v>
      </c>
      <c r="G69" s="62">
        <v>32000.0</v>
      </c>
      <c r="H69" s="64">
        <v>30000.0</v>
      </c>
      <c r="I69" s="64">
        <v>35000.0</v>
      </c>
      <c r="J69" s="55">
        <v>38000.0</v>
      </c>
      <c r="K69" s="65">
        <f t="shared" ref="K69:K72" si="14">AVERAGE(D69:J69)</f>
        <v>33428.57143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25000.0</v>
      </c>
      <c r="I70" s="64">
        <v>30000.0</v>
      </c>
      <c r="J70" s="55">
        <v>28000.0</v>
      </c>
      <c r="K70" s="65">
        <f t="shared" si="14"/>
        <v>28714.28571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32000.0</v>
      </c>
      <c r="F71" s="62">
        <v>35000.0</v>
      </c>
      <c r="G71" s="62">
        <v>35000.0</v>
      </c>
      <c r="H71" s="64">
        <v>24000.0</v>
      </c>
      <c r="I71" s="64">
        <v>38000.0</v>
      </c>
      <c r="J71" s="55">
        <v>35000.0</v>
      </c>
      <c r="K71" s="65">
        <f t="shared" si="14"/>
        <v>33000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8142.857143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13000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15000.0</v>
      </c>
      <c r="H80" s="64">
        <v>9000.0</v>
      </c>
      <c r="I80" s="69">
        <v>12000.0</v>
      </c>
      <c r="J80" s="55">
        <v>9000.0</v>
      </c>
      <c r="K80" s="65">
        <f t="shared" si="16"/>
        <v>12571.42857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147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13000.0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13142.85714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16000.0</v>
      </c>
      <c r="K16" s="65">
        <f t="shared" ref="K16:K17" si="3">AVERAGE(D16:J16)</f>
        <v>15857.14286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32000.0</v>
      </c>
      <c r="H24" s="55">
        <v>35000.0</v>
      </c>
      <c r="I24" s="64">
        <v>33000.0</v>
      </c>
      <c r="J24" s="55">
        <v>35000.0</v>
      </c>
      <c r="K24" s="65">
        <f t="shared" si="4"/>
        <v>33428.57143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36833.33333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f t="shared" si="5"/>
        <v>28857.14286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f t="shared" si="5"/>
        <v>38857.14286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30000.0</v>
      </c>
      <c r="K33" s="65">
        <f t="shared" ref="K33:K34" si="6">AVERAGE(D33:J33)</f>
        <v>29428.57143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2428.571429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f t="shared" ref="K39:K41" si="8">AVERAGE(D39:J39)</f>
        <v>15800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f t="shared" si="12"/>
        <v>29285.71429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38000.0</v>
      </c>
      <c r="F63" s="62">
        <v>35000.0</v>
      </c>
      <c r="G63" s="62">
        <v>40000.0</v>
      </c>
      <c r="H63" s="64">
        <v>35000.0</v>
      </c>
      <c r="I63" s="64">
        <v>40000.0</v>
      </c>
      <c r="J63" s="55">
        <v>40000.0</v>
      </c>
      <c r="K63" s="65">
        <f t="shared" ref="K63:K65" si="13">AVERAGE(D63:J63)</f>
        <v>37571.42857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80000.0</v>
      </c>
      <c r="G65" s="62">
        <v>75000.0</v>
      </c>
      <c r="H65" s="64">
        <v>80000.0</v>
      </c>
      <c r="I65" s="64">
        <v>80000.0</v>
      </c>
      <c r="J65" s="55">
        <v>80000.0</v>
      </c>
      <c r="K65" s="65">
        <f t="shared" si="13"/>
        <v>77857.14286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33000.0</v>
      </c>
      <c r="F69" s="62">
        <v>34000.0</v>
      </c>
      <c r="G69" s="62">
        <v>32000.0</v>
      </c>
      <c r="H69" s="64">
        <v>30000.0</v>
      </c>
      <c r="I69" s="64">
        <v>35000.0</v>
      </c>
      <c r="J69" s="55">
        <v>38000.0</v>
      </c>
      <c r="K69" s="65">
        <f t="shared" ref="K69:K72" si="14">AVERAGE(D69:J69)</f>
        <v>33428.57143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28857.14286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32000.0</v>
      </c>
      <c r="F71" s="62">
        <v>35000.0</v>
      </c>
      <c r="G71" s="62">
        <v>35000.0</v>
      </c>
      <c r="H71" s="64">
        <v>25000.0</v>
      </c>
      <c r="I71" s="64">
        <v>38000.0</v>
      </c>
      <c r="J71" s="55">
        <v>35000.0</v>
      </c>
      <c r="K71" s="65">
        <f t="shared" si="14"/>
        <v>33142.85714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8142.857143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13000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15000.0</v>
      </c>
      <c r="H80" s="64">
        <v>8000.0</v>
      </c>
      <c r="I80" s="69">
        <v>12000.0</v>
      </c>
      <c r="J80" s="55">
        <v>9000.0</v>
      </c>
      <c r="K80" s="65">
        <f t="shared" si="16"/>
        <v>12428.57143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1500.0</v>
      </c>
      <c r="K85" s="65">
        <f t="shared" si="16"/>
        <v>1900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148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13214.28571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 t="s">
        <v>27</v>
      </c>
      <c r="K16" s="65">
        <f t="shared" ref="K16:K17" si="3">AVERAGE(D16:J16)</f>
        <v>15833.33333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16000.0</v>
      </c>
      <c r="K17" s="65">
        <f t="shared" si="3"/>
        <v>14333.33333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33000.0</v>
      </c>
      <c r="H24" s="55">
        <v>35000.0</v>
      </c>
      <c r="I24" s="64">
        <v>33000.0</v>
      </c>
      <c r="J24" s="55">
        <v>35000.0</v>
      </c>
      <c r="K24" s="65">
        <f t="shared" si="4"/>
        <v>33571.42857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36833.33333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f t="shared" si="5"/>
        <v>28857.14286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f t="shared" si="5"/>
        <v>38857.14286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29000.0</v>
      </c>
      <c r="F33" s="62">
        <v>30000.0</v>
      </c>
      <c r="G33" s="62">
        <v>30000.0</v>
      </c>
      <c r="H33" s="64">
        <v>29000.0</v>
      </c>
      <c r="I33" s="64">
        <v>30000.0</v>
      </c>
      <c r="J33" s="55">
        <v>30000.0</v>
      </c>
      <c r="K33" s="65">
        <f t="shared" ref="K33:K34" si="6">AVERAGE(D33:J33)</f>
        <v>29571.42857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2428.571429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f t="shared" ref="K39:K41" si="8">AVERAGE(D39:J39)</f>
        <v>15800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26000.0</v>
      </c>
      <c r="J58" s="102">
        <v>26000.0</v>
      </c>
      <c r="K58" s="65">
        <f t="shared" si="12"/>
        <v>25857.14286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f t="shared" si="12"/>
        <v>29285.71429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38000.0</v>
      </c>
      <c r="F63" s="62">
        <v>35000.0</v>
      </c>
      <c r="G63" s="62">
        <v>40000.0</v>
      </c>
      <c r="H63" s="64">
        <v>30000.0</v>
      </c>
      <c r="I63" s="64">
        <v>40000.0</v>
      </c>
      <c r="J63" s="55">
        <v>40000.0</v>
      </c>
      <c r="K63" s="65">
        <f t="shared" ref="K63:K65" si="13">AVERAGE(D63:J63)</f>
        <v>36857.14286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/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80000.0</v>
      </c>
      <c r="G65" s="62">
        <v>75000.0</v>
      </c>
      <c r="H65" s="64">
        <v>65000.0</v>
      </c>
      <c r="I65" s="64">
        <v>80000.0</v>
      </c>
      <c r="J65" s="55">
        <v>80000.0</v>
      </c>
      <c r="K65" s="65">
        <f t="shared" si="13"/>
        <v>75714.28571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33000.0</v>
      </c>
      <c r="F69" s="62">
        <v>34000.0</v>
      </c>
      <c r="G69" s="62">
        <v>32000.0</v>
      </c>
      <c r="H69" s="64">
        <v>30000.0</v>
      </c>
      <c r="I69" s="64">
        <v>35000.0</v>
      </c>
      <c r="J69" s="55">
        <v>38000.0</v>
      </c>
      <c r="K69" s="65">
        <f t="shared" ref="K69:K72" si="14">AVERAGE(D69:J69)</f>
        <v>33428.57143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27000.0</v>
      </c>
      <c r="I70" s="64">
        <v>30000.0</v>
      </c>
      <c r="J70" s="55">
        <v>28000.0</v>
      </c>
      <c r="K70" s="65">
        <f t="shared" si="14"/>
        <v>29000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32000.0</v>
      </c>
      <c r="F71" s="62">
        <v>35000.0</v>
      </c>
      <c r="G71" s="62">
        <v>35000.0</v>
      </c>
      <c r="H71" s="64">
        <v>25000.0</v>
      </c>
      <c r="I71" s="64">
        <v>38000.0</v>
      </c>
      <c r="J71" s="55">
        <v>35000.0</v>
      </c>
      <c r="K71" s="65">
        <f t="shared" si="14"/>
        <v>33142.85714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7000.0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8142.857143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13000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15285.71429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15000.0</v>
      </c>
      <c r="H80" s="64">
        <v>5000.0</v>
      </c>
      <c r="I80" s="69">
        <v>12000.0</v>
      </c>
      <c r="J80" s="55">
        <v>9000.0</v>
      </c>
      <c r="K80" s="65">
        <f t="shared" si="16"/>
        <v>12000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10285.71429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8500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149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13214.28571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13000.0</v>
      </c>
      <c r="K13" s="65">
        <f t="shared" ref="K13:K14" si="2">AVERAGE(D13:J13)</f>
        <v>13000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16000.0</v>
      </c>
      <c r="K16" s="65">
        <f t="shared" ref="K16:K17" si="3">AVERAGE(D16:J16)</f>
        <v>15857.14286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33000.0</v>
      </c>
      <c r="G24" s="62">
        <v>33000.0</v>
      </c>
      <c r="H24" s="55">
        <v>34000.0</v>
      </c>
      <c r="I24" s="64">
        <v>33000.0</v>
      </c>
      <c r="J24" s="55">
        <v>35000.0</v>
      </c>
      <c r="K24" s="65">
        <f t="shared" si="4"/>
        <v>33285.71429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36833.33333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30000.0</v>
      </c>
      <c r="G27" s="63">
        <v>35000.0</v>
      </c>
      <c r="H27" s="68">
        <v>23000.0</v>
      </c>
      <c r="I27" s="68">
        <v>30000.0</v>
      </c>
      <c r="J27" s="104">
        <v>26000.0</v>
      </c>
      <c r="K27" s="65">
        <f t="shared" si="5"/>
        <v>28857.14286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75000.0</v>
      </c>
      <c r="J28" s="104">
        <v>50000.0</v>
      </c>
      <c r="K28" s="65">
        <f t="shared" si="5"/>
        <v>64000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38000.0</v>
      </c>
      <c r="G30" s="62">
        <v>45000.0</v>
      </c>
      <c r="H30" s="64">
        <v>28000.0</v>
      </c>
      <c r="I30" s="68">
        <v>45000.0</v>
      </c>
      <c r="J30" s="55">
        <v>40000.0</v>
      </c>
      <c r="K30" s="65">
        <f t="shared" si="5"/>
        <v>38857.14286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29000.0</v>
      </c>
      <c r="E33" s="62">
        <v>29000.0</v>
      </c>
      <c r="F33" s="62">
        <v>30000.0</v>
      </c>
      <c r="G33" s="62">
        <v>30000.0</v>
      </c>
      <c r="H33" s="64">
        <v>29000.0</v>
      </c>
      <c r="I33" s="64">
        <v>30000.0</v>
      </c>
      <c r="J33" s="55">
        <v>30000.0</v>
      </c>
      <c r="K33" s="65">
        <f t="shared" ref="K33:K34" si="6">AVERAGE(D33:J33)</f>
        <v>29571.42857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2428.571429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f t="shared" ref="K39:K41" si="8">AVERAGE(D39:J39)</f>
        <v>15800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64</v>
      </c>
      <c r="C44" s="51" t="s">
        <v>65</v>
      </c>
      <c r="D44" s="66" t="s">
        <v>27</v>
      </c>
      <c r="E44" s="54">
        <v>37900.0</v>
      </c>
      <c r="F44" s="67" t="s">
        <v>27</v>
      </c>
      <c r="G44" s="62">
        <v>42500.0</v>
      </c>
      <c r="H44" s="98" t="s">
        <v>27</v>
      </c>
      <c r="I44" s="69" t="s">
        <v>27</v>
      </c>
      <c r="J44" s="99" t="s">
        <v>27</v>
      </c>
      <c r="K44" s="65">
        <f t="shared" si="9"/>
        <v>40200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>
        <v>17500.0</v>
      </c>
      <c r="K46" s="65">
        <f t="shared" ref="K46:K47" si="10">AVERAGE(D46:J46)</f>
        <v>18666.66667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>
        <v>2000.0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10000.0</v>
      </c>
      <c r="E54" s="62">
        <v>10500.0</v>
      </c>
      <c r="F54" s="62">
        <v>13000.0</v>
      </c>
      <c r="G54" s="62">
        <v>11000.0</v>
      </c>
      <c r="H54" s="64">
        <v>11500.0</v>
      </c>
      <c r="I54" s="64">
        <v>11500.0</v>
      </c>
      <c r="J54" s="55">
        <v>7000.0</v>
      </c>
      <c r="K54" s="65">
        <f>AVERAGE(D54:J54)</f>
        <v>10642.85714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31000.0</v>
      </c>
      <c r="J59" s="102">
        <v>28000.0</v>
      </c>
      <c r="K59" s="65">
        <f t="shared" si="12"/>
        <v>29285.71429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38000.0</v>
      </c>
      <c r="F63" s="62">
        <v>40000.0</v>
      </c>
      <c r="G63" s="62">
        <v>40000.0</v>
      </c>
      <c r="H63" s="64">
        <v>35000.0</v>
      </c>
      <c r="I63" s="64">
        <v>40000.0</v>
      </c>
      <c r="J63" s="55">
        <v>40000.0</v>
      </c>
      <c r="K63" s="65">
        <f t="shared" ref="K63:K65" si="13">AVERAGE(D63:J63)</f>
        <v>38285.71429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/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80000.0</v>
      </c>
      <c r="G65" s="62">
        <v>80000.0</v>
      </c>
      <c r="H65" s="64">
        <v>80000.0</v>
      </c>
      <c r="I65" s="64">
        <v>80000.0</v>
      </c>
      <c r="J65" s="55">
        <v>80000.0</v>
      </c>
      <c r="K65" s="65">
        <f t="shared" si="13"/>
        <v>78571.42857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33000.0</v>
      </c>
      <c r="F69" s="62">
        <v>34000.0</v>
      </c>
      <c r="G69" s="62">
        <v>32000.0</v>
      </c>
      <c r="H69" s="64">
        <v>30000.0</v>
      </c>
      <c r="I69" s="64">
        <v>35000.0</v>
      </c>
      <c r="J69" s="55">
        <v>38000.0</v>
      </c>
      <c r="K69" s="65">
        <f t="shared" ref="K69:K72" si="14">AVERAGE(D69:J69)</f>
        <v>33428.57143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30000.0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28857.14286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32000.0</v>
      </c>
      <c r="F71" s="62">
        <v>35000.0</v>
      </c>
      <c r="G71" s="62">
        <v>35000.0</v>
      </c>
      <c r="H71" s="64">
        <v>28000.0</v>
      </c>
      <c r="I71" s="64">
        <v>38000.0</v>
      </c>
      <c r="J71" s="55">
        <v>35000.0</v>
      </c>
      <c r="K71" s="65">
        <f t="shared" si="14"/>
        <v>33571.42857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13000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15000.0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15428.57143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15000.0</v>
      </c>
      <c r="H80" s="64">
        <v>5000.0</v>
      </c>
      <c r="I80" s="69">
        <v>12000.0</v>
      </c>
      <c r="J80" s="55">
        <v>9000.0</v>
      </c>
      <c r="K80" s="65">
        <f t="shared" si="16"/>
        <v>12000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10000.0</v>
      </c>
      <c r="E81" s="62">
        <v>10000.0</v>
      </c>
      <c r="F81" s="62">
        <v>10000.0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10571.42857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8000.0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8666.666667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1500.0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150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12500.0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13214.28571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8800.0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8971.428571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13500.0</v>
      </c>
      <c r="K13" s="65">
        <f t="shared" ref="K13:K14" si="2">AVERAGE(D13:J13)</f>
        <v>13071.42857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16000.0</v>
      </c>
      <c r="K16" s="65">
        <f t="shared" ref="K16:K17" si="3">AVERAGE(D16:J16)</f>
        <v>15857.14286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117000.0</v>
      </c>
      <c r="I21" s="69">
        <v>120000.0</v>
      </c>
      <c r="J21" s="102">
        <v>110000.0</v>
      </c>
      <c r="K21" s="65">
        <f t="shared" ref="K21:K24" si="4">AVERAGE(D21:J21)</f>
        <v>118142.8571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33000.0</v>
      </c>
      <c r="H24" s="55">
        <v>34000.0</v>
      </c>
      <c r="I24" s="64">
        <v>33000.0</v>
      </c>
      <c r="J24" s="55">
        <v>32000.0</v>
      </c>
      <c r="K24" s="65">
        <f t="shared" si="4"/>
        <v>33000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35000.0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36833.33333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32000.0</v>
      </c>
      <c r="G27" s="63">
        <v>35000.0</v>
      </c>
      <c r="H27" s="68">
        <v>23000.0</v>
      </c>
      <c r="I27" s="68">
        <v>32000.0</v>
      </c>
      <c r="J27" s="104">
        <v>26000.0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68000.0</v>
      </c>
      <c r="J28" s="104">
        <v>50000.0</v>
      </c>
      <c r="K28" s="65">
        <f t="shared" si="5"/>
        <v>63000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36000.0</v>
      </c>
      <c r="J30" s="55">
        <v>40000.0</v>
      </c>
      <c r="K30" s="65">
        <f t="shared" si="5"/>
        <v>37857.14286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30000.0</v>
      </c>
      <c r="E33" s="62">
        <v>29000.0</v>
      </c>
      <c r="F33" s="62">
        <v>30000.0</v>
      </c>
      <c r="G33" s="62">
        <v>30000.0</v>
      </c>
      <c r="H33" s="64">
        <v>29000.0</v>
      </c>
      <c r="I33" s="64">
        <v>30000.0</v>
      </c>
      <c r="J33" s="55">
        <v>30000.0</v>
      </c>
      <c r="K33" s="65">
        <f t="shared" ref="K33:K34" si="6">AVERAGE(D33:J33)</f>
        <v>29714.28571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2500.0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2428.571429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15000.0</v>
      </c>
      <c r="I39" s="64">
        <v>15000.0</v>
      </c>
      <c r="J39" s="55">
        <v>15000.0</v>
      </c>
      <c r="K39" s="65">
        <f t="shared" ref="K39:K41" si="8">AVERAGE(D39:J39)</f>
        <v>15800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151</v>
      </c>
      <c r="C44" s="51" t="s">
        <v>63</v>
      </c>
      <c r="D44" s="66">
        <v>12500.0</v>
      </c>
      <c r="E44" s="54">
        <v>13000.0</v>
      </c>
      <c r="F44" s="63">
        <v>12500.0</v>
      </c>
      <c r="G44" s="62">
        <v>12000.0</v>
      </c>
      <c r="H44" s="98" t="s">
        <v>27</v>
      </c>
      <c r="I44" s="69">
        <v>12500.0</v>
      </c>
      <c r="J44" s="104">
        <v>12500.0</v>
      </c>
      <c r="K44" s="65">
        <f t="shared" si="9"/>
        <v>12500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>
        <v>21000.0</v>
      </c>
      <c r="J46" s="104" t="s">
        <v>27</v>
      </c>
      <c r="K46" s="65">
        <f t="shared" ref="K46:K47" si="10">AVERAGE(D46:J46)</f>
        <v>19250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>
        <v>2000.0</v>
      </c>
      <c r="J47" s="104" t="s">
        <v>27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12000.0</v>
      </c>
      <c r="E54" s="62">
        <v>10500.0</v>
      </c>
      <c r="F54" s="62">
        <v>13000.0</v>
      </c>
      <c r="G54" s="62">
        <v>11000.0</v>
      </c>
      <c r="H54" s="64">
        <v>11000.0</v>
      </c>
      <c r="I54" s="64">
        <v>12000.0</v>
      </c>
      <c r="J54" s="55">
        <v>10000.0</v>
      </c>
      <c r="K54" s="65">
        <f>AVERAGE(D54:J54)</f>
        <v>11357.14286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35000.0</v>
      </c>
      <c r="E63" s="62">
        <v>45000.0</v>
      </c>
      <c r="F63" s="62">
        <v>50000.0</v>
      </c>
      <c r="G63" s="62">
        <v>40000.0</v>
      </c>
      <c r="H63" s="64">
        <v>35000.0</v>
      </c>
      <c r="I63" s="64">
        <v>50000.0</v>
      </c>
      <c r="J63" s="55">
        <v>40000.0</v>
      </c>
      <c r="K63" s="65">
        <f t="shared" ref="K63:K65" si="13">AVERAGE(D63:J63)</f>
        <v>42142.85714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70000.0</v>
      </c>
      <c r="G65" s="62">
        <v>80000.0</v>
      </c>
      <c r="H65" s="64">
        <v>80000.0</v>
      </c>
      <c r="I65" s="64">
        <v>80000.0</v>
      </c>
      <c r="J65" s="55">
        <v>75000.0</v>
      </c>
      <c r="K65" s="65">
        <f t="shared" si="13"/>
        <v>76428.57143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35000.0</v>
      </c>
      <c r="F69" s="62">
        <v>36000.0</v>
      </c>
      <c r="G69" s="62">
        <v>32000.0</v>
      </c>
      <c r="H69" s="64">
        <v>30000.0</v>
      </c>
      <c r="I69" s="64">
        <v>35000.0</v>
      </c>
      <c r="J69" s="55">
        <v>35000.0</v>
      </c>
      <c r="K69" s="65">
        <f t="shared" ref="K69:K72" si="14">AVERAGE(D69:J69)</f>
        <v>33571.42857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30000.0</v>
      </c>
      <c r="E70" s="62">
        <v>30000.0</v>
      </c>
      <c r="F70" s="62">
        <v>32000.0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29142.85714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32000.0</v>
      </c>
      <c r="E71" s="62">
        <v>35000.0</v>
      </c>
      <c r="F71" s="62">
        <v>36000.0</v>
      </c>
      <c r="G71" s="62">
        <v>35000.0</v>
      </c>
      <c r="H71" s="64">
        <v>28000.0</v>
      </c>
      <c r="I71" s="64">
        <v>38000.0</v>
      </c>
      <c r="J71" s="55">
        <v>28000.0</v>
      </c>
      <c r="K71" s="65">
        <f t="shared" si="14"/>
        <v>33142.85714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20000.0</v>
      </c>
      <c r="I72" s="68">
        <v>25000.0</v>
      </c>
      <c r="J72" s="102">
        <v>22000.0</v>
      </c>
      <c r="K72" s="65">
        <f t="shared" si="14"/>
        <v>22571.42857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16000.0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13285.71429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15000.0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15428.57143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14000.0</v>
      </c>
      <c r="E80" s="62">
        <v>14000.0</v>
      </c>
      <c r="F80" s="62">
        <v>15000.0</v>
      </c>
      <c r="G80" s="62">
        <v>15000.0</v>
      </c>
      <c r="H80" s="64">
        <v>5000.0</v>
      </c>
      <c r="I80" s="69">
        <v>12000.0</v>
      </c>
      <c r="J80" s="55">
        <v>9000.0</v>
      </c>
      <c r="K80" s="65">
        <f t="shared" si="16"/>
        <v>12000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10000.0</v>
      </c>
      <c r="E81" s="62">
        <v>10000.0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10857.14286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8000.0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8666.666667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2000.0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2000.0</v>
      </c>
      <c r="J84" s="104">
        <v>1500.0</v>
      </c>
      <c r="K84" s="65">
        <f t="shared" si="16"/>
        <v>1750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152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13000.0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13285.71429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9000.0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9000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13500.0</v>
      </c>
      <c r="K13" s="65">
        <f t="shared" ref="K13:K14" si="2">AVERAGE(D13:J13)</f>
        <v>13071.42857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16000.0</v>
      </c>
      <c r="K16" s="65">
        <f t="shared" ref="K16:K17" si="3">AVERAGE(D16:J16)</f>
        <v>15857.14286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f t="shared" ref="K21:K24" si="4">AVERAGE(D21:J21)</f>
        <v>118571.4286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33000.0</v>
      </c>
      <c r="H24" s="55">
        <v>32000.0</v>
      </c>
      <c r="I24" s="64">
        <v>33000.0</v>
      </c>
      <c r="J24" s="55">
        <v>32000.0</v>
      </c>
      <c r="K24" s="65">
        <f t="shared" si="4"/>
        <v>32714.28571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40000.0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37666.66667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32000.0</v>
      </c>
      <c r="G27" s="63">
        <v>35000.0</v>
      </c>
      <c r="H27" s="68">
        <v>23000.0</v>
      </c>
      <c r="I27" s="68">
        <v>32000.0</v>
      </c>
      <c r="J27" s="104">
        <v>26000.0</v>
      </c>
      <c r="K27" s="65">
        <f t="shared" si="5"/>
        <v>29714.28571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68000.0</v>
      </c>
      <c r="J28" s="104">
        <v>50000.0</v>
      </c>
      <c r="K28" s="65">
        <f t="shared" si="5"/>
        <v>63000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36000.0</v>
      </c>
      <c r="J30" s="55">
        <v>40000.0</v>
      </c>
      <c r="K30" s="65">
        <f t="shared" si="5"/>
        <v>37857.14286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30000.0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30000.0</v>
      </c>
      <c r="K33" s="65">
        <f t="shared" ref="K33:K34" si="6">AVERAGE(D33:J33)</f>
        <v>29571.42857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3000.0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2500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14000.0</v>
      </c>
      <c r="I39" s="64">
        <v>15000.0</v>
      </c>
      <c r="J39" s="55">
        <v>15000.0</v>
      </c>
      <c r="K39" s="65">
        <f t="shared" ref="K39:K41" si="8">AVERAGE(D39:J39)</f>
        <v>15600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130</v>
      </c>
      <c r="C44" s="51" t="s">
        <v>63</v>
      </c>
      <c r="D44" s="66">
        <v>12500.0</v>
      </c>
      <c r="E44" s="54">
        <v>13000.0</v>
      </c>
      <c r="F44" s="63">
        <v>12500.0</v>
      </c>
      <c r="G44" s="62">
        <v>12000.0</v>
      </c>
      <c r="H44" s="98" t="s">
        <v>27</v>
      </c>
      <c r="I44" s="69">
        <v>12500.0</v>
      </c>
      <c r="J44" s="104">
        <v>12500.0</v>
      </c>
      <c r="K44" s="65">
        <f t="shared" si="9"/>
        <v>12500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 t="s">
        <v>27</v>
      </c>
      <c r="J46" s="104" t="s">
        <v>27</v>
      </c>
      <c r="K46" s="65">
        <f t="shared" ref="K46:K47" si="10">AVERAGE(D46:J46)</f>
        <v>17500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 t="s">
        <v>27</v>
      </c>
      <c r="J47" s="104" t="s">
        <v>27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12000.0</v>
      </c>
      <c r="E54" s="62">
        <v>10500.0</v>
      </c>
      <c r="F54" s="62">
        <v>13000.0</v>
      </c>
      <c r="G54" s="62">
        <v>11000.0</v>
      </c>
      <c r="H54" s="64">
        <v>11000.0</v>
      </c>
      <c r="I54" s="64">
        <v>12000.0</v>
      </c>
      <c r="J54" s="55">
        <v>10000.0</v>
      </c>
      <c r="K54" s="65">
        <f>AVERAGE(D54:J54)</f>
        <v>11357.14286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48000.0</v>
      </c>
      <c r="E63" s="62">
        <v>45000.0</v>
      </c>
      <c r="F63" s="62">
        <v>50000.0</v>
      </c>
      <c r="G63" s="62">
        <v>40000.0</v>
      </c>
      <c r="H63" s="64">
        <v>30000.0</v>
      </c>
      <c r="I63" s="64">
        <v>50000.0</v>
      </c>
      <c r="J63" s="55">
        <v>40000.0</v>
      </c>
      <c r="K63" s="65">
        <f t="shared" ref="K63:K65" si="13">AVERAGE(D63:J63)</f>
        <v>43285.71429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75000.0</v>
      </c>
      <c r="G65" s="62">
        <v>80000.0</v>
      </c>
      <c r="H65" s="64">
        <v>75000.0</v>
      </c>
      <c r="I65" s="64">
        <v>80000.0</v>
      </c>
      <c r="J65" s="55">
        <v>75000.0</v>
      </c>
      <c r="K65" s="65">
        <f t="shared" si="13"/>
        <v>76428.57143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35000.0</v>
      </c>
      <c r="F69" s="62">
        <v>36000.0</v>
      </c>
      <c r="G69" s="62">
        <v>33000.0</v>
      </c>
      <c r="H69" s="64">
        <v>29000.0</v>
      </c>
      <c r="I69" s="64">
        <v>35000.0</v>
      </c>
      <c r="J69" s="55">
        <v>35000.0</v>
      </c>
      <c r="K69" s="65">
        <f t="shared" ref="K69:K72" si="14">AVERAGE(D69:J69)</f>
        <v>33571.42857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28000.0</v>
      </c>
      <c r="E70" s="62">
        <v>30000.0</v>
      </c>
      <c r="F70" s="62">
        <v>32000.0</v>
      </c>
      <c r="G70" s="62">
        <v>28000.0</v>
      </c>
      <c r="H70" s="64">
        <v>25000.0</v>
      </c>
      <c r="I70" s="64">
        <v>30000.0</v>
      </c>
      <c r="J70" s="55">
        <v>28000.0</v>
      </c>
      <c r="K70" s="65">
        <f t="shared" si="14"/>
        <v>28714.28571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30000.0</v>
      </c>
      <c r="E71" s="62">
        <v>35000.0</v>
      </c>
      <c r="F71" s="62">
        <v>34000.0</v>
      </c>
      <c r="G71" s="62">
        <v>35000.0</v>
      </c>
      <c r="H71" s="64">
        <v>27000.0</v>
      </c>
      <c r="I71" s="64">
        <v>38000.0</v>
      </c>
      <c r="J71" s="55">
        <v>28000.0</v>
      </c>
      <c r="K71" s="65">
        <f t="shared" si="14"/>
        <v>32428.57143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24000.0</v>
      </c>
      <c r="I72" s="68">
        <v>25000.0</v>
      </c>
      <c r="J72" s="102">
        <v>22000.0</v>
      </c>
      <c r="K72" s="65">
        <f t="shared" si="14"/>
        <v>23142.85714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15000.0</v>
      </c>
      <c r="E78" s="62">
        <v>15000.0</v>
      </c>
      <c r="F78" s="62">
        <v>16000.0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13714.28571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15000.0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15428.57143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10000.0</v>
      </c>
      <c r="E80" s="62">
        <v>14000.0</v>
      </c>
      <c r="F80" s="62">
        <v>15000.0</v>
      </c>
      <c r="G80" s="62">
        <v>15000.0</v>
      </c>
      <c r="H80" s="64">
        <v>10000.0</v>
      </c>
      <c r="I80" s="69">
        <v>12000.0</v>
      </c>
      <c r="J80" s="55">
        <v>9000.0</v>
      </c>
      <c r="K80" s="65">
        <f t="shared" si="16"/>
        <v>12142.85714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10571.42857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8000.0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8666.666667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1500.0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2000.0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153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13000.0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13285.71429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9000.0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9000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18000.0</v>
      </c>
      <c r="H11" s="68" t="s">
        <v>27</v>
      </c>
      <c r="I11" s="69">
        <v>20000.0</v>
      </c>
      <c r="J11" s="56">
        <v>17000.0</v>
      </c>
      <c r="K11" s="65">
        <f t="shared" si="1"/>
        <v>20200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13500.0</v>
      </c>
      <c r="K13" s="65">
        <f t="shared" ref="K13:K14" si="2">AVERAGE(D13:J13)</f>
        <v>13071.42857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16000.0</v>
      </c>
      <c r="K16" s="65">
        <f t="shared" ref="K16:K17" si="3">AVERAGE(D16:J16)</f>
        <v>15857.14286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f t="shared" ref="K21:K24" si="4">AVERAGE(D21:J21)</f>
        <v>118571.4286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33000.0</v>
      </c>
      <c r="E24" s="62">
        <v>32000.0</v>
      </c>
      <c r="F24" s="62">
        <v>34000.0</v>
      </c>
      <c r="G24" s="62">
        <v>33000.0</v>
      </c>
      <c r="H24" s="55">
        <v>32000.0</v>
      </c>
      <c r="I24" s="64">
        <v>33000.0</v>
      </c>
      <c r="J24" s="55">
        <v>32000.0</v>
      </c>
      <c r="K24" s="65">
        <f t="shared" si="4"/>
        <v>32714.28571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40000.0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37666.66667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30000.0</v>
      </c>
      <c r="E27" s="54">
        <v>30000.0</v>
      </c>
      <c r="F27" s="62">
        <v>32000.0</v>
      </c>
      <c r="G27" s="63">
        <v>35000.0</v>
      </c>
      <c r="H27" s="68">
        <v>23000.0</v>
      </c>
      <c r="I27" s="68">
        <v>32000.0</v>
      </c>
      <c r="J27" s="104">
        <v>26000.0</v>
      </c>
      <c r="K27" s="65">
        <f t="shared" si="5"/>
        <v>29714.28571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68000.0</v>
      </c>
      <c r="J28" s="104">
        <v>50000.0</v>
      </c>
      <c r="K28" s="65">
        <f t="shared" si="5"/>
        <v>63000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40000.0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36000.0</v>
      </c>
      <c r="J30" s="55">
        <v>40000.0</v>
      </c>
      <c r="K30" s="65">
        <f t="shared" si="5"/>
        <v>37857.14286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30000.0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30000.0</v>
      </c>
      <c r="K33" s="65">
        <f t="shared" ref="K33:K34" si="6">AVERAGE(D33:J33)</f>
        <v>29571.42857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3000.0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2500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14000.0</v>
      </c>
      <c r="I39" s="64">
        <v>15000.0</v>
      </c>
      <c r="J39" s="55">
        <v>15000.0</v>
      </c>
      <c r="K39" s="65">
        <f t="shared" ref="K39:K41" si="8">AVERAGE(D39:J39)</f>
        <v>15600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130</v>
      </c>
      <c r="C44" s="51" t="s">
        <v>63</v>
      </c>
      <c r="D44" s="66">
        <v>12500.0</v>
      </c>
      <c r="E44" s="54">
        <v>13000.0</v>
      </c>
      <c r="F44" s="63">
        <v>12500.0</v>
      </c>
      <c r="G44" s="62">
        <v>12000.0</v>
      </c>
      <c r="H44" s="98" t="s">
        <v>27</v>
      </c>
      <c r="I44" s="69">
        <v>12500.0</v>
      </c>
      <c r="J44" s="104">
        <v>12500.0</v>
      </c>
      <c r="K44" s="65">
        <f t="shared" si="9"/>
        <v>12500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 t="s">
        <v>27</v>
      </c>
      <c r="J46" s="104" t="s">
        <v>27</v>
      </c>
      <c r="K46" s="65">
        <f t="shared" ref="K46:K47" si="10">AVERAGE(D46:J46)</f>
        <v>17500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 t="s">
        <v>27</v>
      </c>
      <c r="J47" s="104" t="s">
        <v>27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12000.0</v>
      </c>
      <c r="E54" s="62">
        <v>10500.0</v>
      </c>
      <c r="F54" s="62">
        <v>13000.0</v>
      </c>
      <c r="G54" s="62">
        <v>11000.0</v>
      </c>
      <c r="H54" s="64">
        <v>11000.0</v>
      </c>
      <c r="I54" s="64">
        <v>12000.0</v>
      </c>
      <c r="J54" s="55">
        <v>10000.0</v>
      </c>
      <c r="K54" s="65">
        <f>AVERAGE(D54:J54)</f>
        <v>11357.14286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48000.0</v>
      </c>
      <c r="E63" s="62">
        <v>45000.0</v>
      </c>
      <c r="F63" s="62">
        <v>50000.0</v>
      </c>
      <c r="G63" s="62">
        <v>40000.0</v>
      </c>
      <c r="H63" s="64">
        <v>30000.0</v>
      </c>
      <c r="I63" s="64">
        <v>50000.0</v>
      </c>
      <c r="J63" s="55">
        <v>40000.0</v>
      </c>
      <c r="K63" s="65">
        <f t="shared" ref="K63:K65" si="13">AVERAGE(D63:J63)</f>
        <v>43285.71429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45000.0</v>
      </c>
      <c r="E64" s="62">
        <v>40000.0</v>
      </c>
      <c r="F64" s="62">
        <v>45000.0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45000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75000.0</v>
      </c>
      <c r="G65" s="62">
        <v>80000.0</v>
      </c>
      <c r="H65" s="64">
        <v>75000.0</v>
      </c>
      <c r="I65" s="64">
        <v>80000.0</v>
      </c>
      <c r="J65" s="55">
        <v>75000.0</v>
      </c>
      <c r="K65" s="65">
        <f t="shared" si="13"/>
        <v>76428.57143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35000.0</v>
      </c>
      <c r="F69" s="62">
        <v>36000.0</v>
      </c>
      <c r="G69" s="62">
        <v>33000.0</v>
      </c>
      <c r="H69" s="64">
        <v>29000.0</v>
      </c>
      <c r="I69" s="64">
        <v>35000.0</v>
      </c>
      <c r="J69" s="55">
        <v>35000.0</v>
      </c>
      <c r="K69" s="65">
        <f t="shared" ref="K69:K72" si="14">AVERAGE(D69:J69)</f>
        <v>33571.42857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28000.0</v>
      </c>
      <c r="E70" s="62">
        <v>30000.0</v>
      </c>
      <c r="F70" s="62">
        <v>32000.0</v>
      </c>
      <c r="G70" s="62">
        <v>28000.0</v>
      </c>
      <c r="H70" s="64">
        <v>25000.0</v>
      </c>
      <c r="I70" s="64">
        <v>30000.0</v>
      </c>
      <c r="J70" s="55">
        <v>28000.0</v>
      </c>
      <c r="K70" s="65">
        <f t="shared" si="14"/>
        <v>28714.28571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30000.0</v>
      </c>
      <c r="E71" s="62">
        <v>35000.0</v>
      </c>
      <c r="F71" s="62">
        <v>34000.0</v>
      </c>
      <c r="G71" s="62">
        <v>35000.0</v>
      </c>
      <c r="H71" s="64">
        <v>27000.0</v>
      </c>
      <c r="I71" s="64">
        <v>38000.0</v>
      </c>
      <c r="J71" s="55">
        <v>28000.0</v>
      </c>
      <c r="K71" s="65">
        <f t="shared" si="14"/>
        <v>32428.57143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20000.0</v>
      </c>
      <c r="E72" s="54">
        <v>24000.0</v>
      </c>
      <c r="F72" s="63">
        <v>22000.0</v>
      </c>
      <c r="G72" s="63">
        <v>25000.0</v>
      </c>
      <c r="H72" s="64">
        <v>24000.0</v>
      </c>
      <c r="I72" s="68">
        <v>25000.0</v>
      </c>
      <c r="J72" s="102">
        <v>22000.0</v>
      </c>
      <c r="K72" s="65">
        <f t="shared" si="14"/>
        <v>23142.85714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15000.0</v>
      </c>
      <c r="E78" s="62">
        <v>15000.0</v>
      </c>
      <c r="F78" s="62">
        <v>16000.0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13714.28571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15000.0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15428.57143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10000.0</v>
      </c>
      <c r="E80" s="62">
        <v>14000.0</v>
      </c>
      <c r="F80" s="62">
        <v>15000.0</v>
      </c>
      <c r="G80" s="62">
        <v>15000.0</v>
      </c>
      <c r="H80" s="64">
        <v>10000.0</v>
      </c>
      <c r="I80" s="69">
        <v>12000.0</v>
      </c>
      <c r="J80" s="55">
        <v>9000.0</v>
      </c>
      <c r="K80" s="65">
        <f t="shared" si="16"/>
        <v>12142.85714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10000.0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10571.42857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8000.0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8666.666667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1500.0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2000.0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154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13000.0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13285.71429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9200.0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9028.571429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20000.0</v>
      </c>
      <c r="H11" s="68" t="s">
        <v>27</v>
      </c>
      <c r="I11" s="69">
        <v>20000.0</v>
      </c>
      <c r="J11" s="56">
        <v>17000.0</v>
      </c>
      <c r="K11" s="65">
        <f t="shared" si="1"/>
        <v>20600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13500.0</v>
      </c>
      <c r="K13" s="65">
        <f t="shared" ref="K13:K14" si="2">AVERAGE(D13:J13)</f>
        <v>13071.42857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15500.0</v>
      </c>
      <c r="K16" s="65">
        <f t="shared" ref="K16:K17" si="3">AVERAGE(D16:J16)</f>
        <v>15785.71429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f t="shared" ref="K21:K24" si="4">AVERAGE(D21:J21)</f>
        <v>118571.4286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32000.0</v>
      </c>
      <c r="E24" s="62">
        <v>32000.0</v>
      </c>
      <c r="F24" s="62">
        <v>34000.0</v>
      </c>
      <c r="G24" s="62">
        <v>30000.0</v>
      </c>
      <c r="H24" s="55">
        <v>35000.0</v>
      </c>
      <c r="I24" s="64">
        <v>33000.0</v>
      </c>
      <c r="J24" s="55">
        <v>32000.0</v>
      </c>
      <c r="K24" s="65">
        <f t="shared" si="4"/>
        <v>32571.42857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38000.0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37333.33333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32000.0</v>
      </c>
      <c r="G27" s="63">
        <v>35000.0</v>
      </c>
      <c r="H27" s="68">
        <v>23000.0</v>
      </c>
      <c r="I27" s="68">
        <v>32000.0</v>
      </c>
      <c r="J27" s="104">
        <v>26000.0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70000.0</v>
      </c>
      <c r="J28" s="104">
        <v>50000.0</v>
      </c>
      <c r="K28" s="65">
        <f t="shared" si="5"/>
        <v>63285.71429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45000.0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37000.0</v>
      </c>
      <c r="J30" s="55">
        <v>40000.0</v>
      </c>
      <c r="K30" s="65">
        <f t="shared" si="5"/>
        <v>38714.28571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30000.0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28500.0</v>
      </c>
      <c r="K33" s="65">
        <f t="shared" ref="K33:K34" si="6">AVERAGE(D33:J33)</f>
        <v>29357.14286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3000.0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2500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14000.0</v>
      </c>
      <c r="I39" s="64">
        <v>15000.0</v>
      </c>
      <c r="J39" s="55">
        <v>15000.0</v>
      </c>
      <c r="K39" s="65">
        <f t="shared" ref="K39:K41" si="8">AVERAGE(D39:J39)</f>
        <v>15600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130</v>
      </c>
      <c r="C44" s="51" t="s">
        <v>63</v>
      </c>
      <c r="D44" s="66">
        <v>12500.0</v>
      </c>
      <c r="E44" s="54">
        <v>13000.0</v>
      </c>
      <c r="F44" s="63">
        <v>12500.0</v>
      </c>
      <c r="G44" s="62">
        <v>12000.0</v>
      </c>
      <c r="H44" s="98" t="s">
        <v>27</v>
      </c>
      <c r="I44" s="69">
        <v>12500.0</v>
      </c>
      <c r="J44" s="104">
        <v>12500.0</v>
      </c>
      <c r="K44" s="65">
        <f t="shared" si="9"/>
        <v>12500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 t="s">
        <v>27</v>
      </c>
      <c r="J46" s="104" t="s">
        <v>27</v>
      </c>
      <c r="K46" s="65">
        <f t="shared" ref="K46:K47" si="10">AVERAGE(D46:J46)</f>
        <v>17500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 t="s">
        <v>27</v>
      </c>
      <c r="J47" s="104" t="s">
        <v>27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12000.0</v>
      </c>
      <c r="E54" s="62">
        <v>10500.0</v>
      </c>
      <c r="F54" s="62">
        <v>13000.0</v>
      </c>
      <c r="G54" s="62">
        <v>11000.0</v>
      </c>
      <c r="H54" s="64">
        <v>11000.0</v>
      </c>
      <c r="I54" s="64">
        <v>12000.0</v>
      </c>
      <c r="J54" s="55">
        <v>10000.0</v>
      </c>
      <c r="K54" s="65">
        <f>AVERAGE(D54:J54)</f>
        <v>11357.14286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46000.0</v>
      </c>
      <c r="E63" s="62">
        <v>45000.0</v>
      </c>
      <c r="F63" s="62">
        <v>45000.0</v>
      </c>
      <c r="G63" s="62">
        <v>40000.0</v>
      </c>
      <c r="H63" s="64">
        <v>30000.0</v>
      </c>
      <c r="I63" s="64">
        <v>50000.0</v>
      </c>
      <c r="J63" s="55">
        <v>40000.0</v>
      </c>
      <c r="K63" s="65">
        <f t="shared" ref="K63:K65" si="13">AVERAGE(D63:J63)</f>
        <v>42285.71429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40000.0</v>
      </c>
      <c r="E64" s="62">
        <v>40000.0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43000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80000.0</v>
      </c>
      <c r="E65" s="62">
        <v>70000.0</v>
      </c>
      <c r="F65" s="62">
        <v>70000.0</v>
      </c>
      <c r="G65" s="62">
        <v>80000.0</v>
      </c>
      <c r="H65" s="64">
        <v>60000.0</v>
      </c>
      <c r="I65" s="64">
        <v>80000.0</v>
      </c>
      <c r="J65" s="55">
        <v>75000.0</v>
      </c>
      <c r="K65" s="65">
        <f t="shared" si="13"/>
        <v>73571.42857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35000.0</v>
      </c>
      <c r="F69" s="62">
        <v>34000.0</v>
      </c>
      <c r="G69" s="62">
        <v>33000.0</v>
      </c>
      <c r="H69" s="64">
        <v>29000.0</v>
      </c>
      <c r="I69" s="64">
        <v>35000.0</v>
      </c>
      <c r="J69" s="55">
        <v>35000.0</v>
      </c>
      <c r="K69" s="65">
        <f t="shared" ref="K69:K72" si="14">AVERAGE(D69:J69)</f>
        <v>33285.71429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28000.0</v>
      </c>
      <c r="E70" s="62">
        <v>30000.0</v>
      </c>
      <c r="F70" s="62">
        <v>30000.0</v>
      </c>
      <c r="G70" s="62">
        <v>28000.0</v>
      </c>
      <c r="H70" s="64">
        <v>25000.0</v>
      </c>
      <c r="I70" s="64">
        <v>30000.0</v>
      </c>
      <c r="J70" s="55">
        <v>28000.0</v>
      </c>
      <c r="K70" s="65">
        <f t="shared" si="14"/>
        <v>28428.57143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30000.0</v>
      </c>
      <c r="E71" s="62">
        <v>35000.0</v>
      </c>
      <c r="F71" s="62">
        <v>35000.0</v>
      </c>
      <c r="G71" s="62">
        <v>35000.0</v>
      </c>
      <c r="H71" s="64">
        <v>27000.0</v>
      </c>
      <c r="I71" s="64">
        <v>38000.0</v>
      </c>
      <c r="J71" s="55">
        <v>28000.0</v>
      </c>
      <c r="K71" s="65">
        <f t="shared" si="14"/>
        <v>32571.42857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18000.0</v>
      </c>
      <c r="E72" s="54">
        <v>24000.0</v>
      </c>
      <c r="F72" s="63">
        <v>22000.0</v>
      </c>
      <c r="G72" s="63">
        <v>25000.0</v>
      </c>
      <c r="H72" s="64">
        <v>24000.0</v>
      </c>
      <c r="I72" s="68">
        <v>25000.0</v>
      </c>
      <c r="J72" s="102">
        <v>22000.0</v>
      </c>
      <c r="K72" s="65">
        <f t="shared" si="14"/>
        <v>22857.14286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14000.0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13285.71429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15000.0</v>
      </c>
      <c r="E79" s="62">
        <v>15000.0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15428.57143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10000.0</v>
      </c>
      <c r="E80" s="62">
        <v>14000.0</v>
      </c>
      <c r="F80" s="62">
        <v>15000.0</v>
      </c>
      <c r="G80" s="62">
        <v>15000.0</v>
      </c>
      <c r="H80" s="64">
        <v>12000.0</v>
      </c>
      <c r="I80" s="69">
        <v>12000.0</v>
      </c>
      <c r="J80" s="55">
        <v>9000.0</v>
      </c>
      <c r="K80" s="65">
        <f t="shared" si="16"/>
        <v>12428.57143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9000.0</v>
      </c>
      <c r="E81" s="62">
        <v>10000.0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10714.28571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8000.0</v>
      </c>
      <c r="E82" s="54">
        <v>8000.0</v>
      </c>
      <c r="F82" s="63">
        <v>9000.0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8666.666667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1500.0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2000.0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155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13000.0</v>
      </c>
      <c r="F8" s="62">
        <v>14000.0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13285.71429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9200.0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9028.571429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20000.0</v>
      </c>
      <c r="H11" s="68" t="s">
        <v>27</v>
      </c>
      <c r="I11" s="69">
        <v>20000.0</v>
      </c>
      <c r="J11" s="56">
        <v>17000.0</v>
      </c>
      <c r="K11" s="65">
        <f t="shared" si="1"/>
        <v>20600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13500.0</v>
      </c>
      <c r="K13" s="65">
        <f t="shared" ref="K13:K14" si="2">AVERAGE(D13:J13)</f>
        <v>13071.42857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15500.0</v>
      </c>
      <c r="K16" s="65">
        <f t="shared" ref="K16:K17" si="3">AVERAGE(D16:J16)</f>
        <v>15785.71429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f t="shared" ref="K21:K24" si="4">AVERAGE(D21:J21)</f>
        <v>118571.4286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32000.0</v>
      </c>
      <c r="F24" s="62">
        <v>34000.0</v>
      </c>
      <c r="G24" s="62">
        <v>30000.0</v>
      </c>
      <c r="H24" s="55">
        <v>30000.0</v>
      </c>
      <c r="I24" s="64">
        <v>33000.0</v>
      </c>
      <c r="J24" s="55">
        <v>32000.0</v>
      </c>
      <c r="K24" s="65">
        <f t="shared" si="4"/>
        <v>31571.42857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38000.0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37333.33333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32000.0</v>
      </c>
      <c r="G27" s="63">
        <v>35000.0</v>
      </c>
      <c r="H27" s="68">
        <v>23000.0</v>
      </c>
      <c r="I27" s="68">
        <v>32000.0</v>
      </c>
      <c r="J27" s="104">
        <v>26000.0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70000.0</v>
      </c>
      <c r="J28" s="104">
        <v>50000.0</v>
      </c>
      <c r="K28" s="65">
        <f t="shared" si="5"/>
        <v>63285.71429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45000.0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37000.0</v>
      </c>
      <c r="J30" s="55">
        <v>40000.0</v>
      </c>
      <c r="K30" s="65">
        <f t="shared" si="5"/>
        <v>38714.28571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30000.0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28500.0</v>
      </c>
      <c r="K33" s="65">
        <f t="shared" ref="K33:K34" si="6">AVERAGE(D33:J33)</f>
        <v>29357.14286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3000.0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2500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14000.0</v>
      </c>
      <c r="I39" s="64">
        <v>15000.0</v>
      </c>
      <c r="J39" s="55">
        <v>15000.0</v>
      </c>
      <c r="K39" s="65">
        <f t="shared" ref="K39:K41" si="8">AVERAGE(D39:J39)</f>
        <v>15600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130</v>
      </c>
      <c r="C44" s="51" t="s">
        <v>63</v>
      </c>
      <c r="D44" s="66">
        <v>12500.0</v>
      </c>
      <c r="E44" s="54">
        <v>13000.0</v>
      </c>
      <c r="F44" s="63">
        <v>12500.0</v>
      </c>
      <c r="G44" s="62">
        <v>12000.0</v>
      </c>
      <c r="H44" s="98" t="s">
        <v>27</v>
      </c>
      <c r="I44" s="69">
        <v>12500.0</v>
      </c>
      <c r="J44" s="104">
        <v>12500.0</v>
      </c>
      <c r="K44" s="65">
        <f t="shared" si="9"/>
        <v>12500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 t="s">
        <v>27</v>
      </c>
      <c r="J46" s="104" t="s">
        <v>27</v>
      </c>
      <c r="K46" s="65">
        <f t="shared" ref="K46:K47" si="10">AVERAGE(D46:J46)</f>
        <v>17500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 t="s">
        <v>27</v>
      </c>
      <c r="J47" s="104" t="s">
        <v>27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12000.0</v>
      </c>
      <c r="E54" s="62">
        <v>10500.0</v>
      </c>
      <c r="F54" s="62">
        <v>13000.0</v>
      </c>
      <c r="G54" s="62">
        <v>11000.0</v>
      </c>
      <c r="H54" s="64">
        <v>11000.0</v>
      </c>
      <c r="I54" s="64">
        <v>12000.0</v>
      </c>
      <c r="J54" s="55">
        <v>10000.0</v>
      </c>
      <c r="K54" s="65">
        <f>AVERAGE(D54:J54)</f>
        <v>11357.14286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28000.0</v>
      </c>
      <c r="E63" s="62">
        <v>45000.0</v>
      </c>
      <c r="F63" s="62">
        <v>35000.0</v>
      </c>
      <c r="G63" s="62">
        <v>40000.0</v>
      </c>
      <c r="H63" s="64">
        <v>25000.0</v>
      </c>
      <c r="I63" s="64">
        <v>50000.0</v>
      </c>
      <c r="J63" s="55">
        <v>40000.0</v>
      </c>
      <c r="K63" s="65">
        <f t="shared" ref="K63:K65" si="13">AVERAGE(D63:J63)</f>
        <v>37571.42857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50000.0</v>
      </c>
      <c r="E64" s="62">
        <v>35000.0</v>
      </c>
      <c r="F64" s="62">
        <v>40000.0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44000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40000.0</v>
      </c>
      <c r="E65" s="62">
        <v>60000.0</v>
      </c>
      <c r="F65" s="62">
        <v>50000.0</v>
      </c>
      <c r="G65" s="62">
        <v>75000.0</v>
      </c>
      <c r="H65" s="64">
        <v>60000.0</v>
      </c>
      <c r="I65" s="64">
        <v>80000.0</v>
      </c>
      <c r="J65" s="55">
        <v>75000.0</v>
      </c>
      <c r="K65" s="65">
        <f t="shared" si="13"/>
        <v>62857.14286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34000.0</v>
      </c>
      <c r="F69" s="62">
        <v>34000.0</v>
      </c>
      <c r="G69" s="62">
        <v>33000.0</v>
      </c>
      <c r="H69" s="64">
        <v>30000.0</v>
      </c>
      <c r="I69" s="64">
        <v>35000.0</v>
      </c>
      <c r="J69" s="55">
        <v>35000.0</v>
      </c>
      <c r="K69" s="65">
        <f t="shared" ref="K69:K72" si="14">AVERAGE(D69:J69)</f>
        <v>33285.71429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28000.0</v>
      </c>
      <c r="E70" s="62">
        <v>32000.0</v>
      </c>
      <c r="F70" s="62">
        <v>28000.0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28571.42857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30000.0</v>
      </c>
      <c r="E71" s="62">
        <v>35000.0</v>
      </c>
      <c r="F71" s="62">
        <v>35000.0</v>
      </c>
      <c r="G71" s="62">
        <v>35000.0</v>
      </c>
      <c r="H71" s="64">
        <v>28000.0</v>
      </c>
      <c r="I71" s="64">
        <v>38000.0</v>
      </c>
      <c r="J71" s="55">
        <v>28000.0</v>
      </c>
      <c r="K71" s="65">
        <f t="shared" si="14"/>
        <v>32714.28571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24000.0</v>
      </c>
      <c r="E72" s="54">
        <v>24000.0</v>
      </c>
      <c r="F72" s="63">
        <v>30000.0</v>
      </c>
      <c r="G72" s="63">
        <v>25000.0</v>
      </c>
      <c r="H72" s="64">
        <v>24000.0</v>
      </c>
      <c r="I72" s="68">
        <v>25000.0</v>
      </c>
      <c r="J72" s="102">
        <v>22000.0</v>
      </c>
      <c r="K72" s="65">
        <f t="shared" si="14"/>
        <v>24857.14286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14000.0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13000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16000.0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14000.0</v>
      </c>
      <c r="K79" s="65">
        <f t="shared" si="16"/>
        <v>15428.57143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16000.0</v>
      </c>
      <c r="E80" s="62">
        <v>14000.0</v>
      </c>
      <c r="F80" s="62">
        <v>15000.0</v>
      </c>
      <c r="G80" s="62">
        <v>15000.0</v>
      </c>
      <c r="H80" s="64">
        <v>12000.0</v>
      </c>
      <c r="I80" s="69">
        <v>12000.0</v>
      </c>
      <c r="J80" s="55">
        <v>9000.0</v>
      </c>
      <c r="K80" s="65">
        <f t="shared" si="16"/>
        <v>13285.71429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12000.0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10857.14286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10000.0</v>
      </c>
      <c r="F82" s="63">
        <v>10000.0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9000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1500.0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2000.0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156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13000.0</v>
      </c>
      <c r="F8" s="62">
        <v>13000.0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1" si="1">AVERAGE(D8:J8)</f>
        <v>13142.85714</v>
      </c>
      <c r="L8" s="58"/>
      <c r="M8" s="59"/>
      <c r="N8" s="7"/>
    </row>
    <row r="9">
      <c r="A9" s="25"/>
      <c r="B9" s="50" t="s">
        <v>25</v>
      </c>
      <c r="C9" s="51" t="s">
        <v>24</v>
      </c>
      <c r="D9" s="61">
        <v>9000.0</v>
      </c>
      <c r="E9" s="62">
        <v>9000.0</v>
      </c>
      <c r="F9" s="62">
        <v>12000.0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9428.571429</v>
      </c>
      <c r="M9" s="7"/>
      <c r="N9" s="7"/>
    </row>
    <row r="10">
      <c r="A10" s="25"/>
      <c r="B10" s="50" t="s">
        <v>26</v>
      </c>
      <c r="C10" s="51" t="s">
        <v>24</v>
      </c>
      <c r="D10" s="66" t="s">
        <v>27</v>
      </c>
      <c r="E10" s="54">
        <v>10000.0</v>
      </c>
      <c r="F10" s="63">
        <v>12000.0</v>
      </c>
      <c r="G10" s="63">
        <v>12000.0</v>
      </c>
      <c r="H10" s="68" t="s">
        <v>27</v>
      </c>
      <c r="I10" s="69">
        <v>11000.0</v>
      </c>
      <c r="J10" s="56">
        <v>8000.0</v>
      </c>
      <c r="K10" s="65">
        <f t="shared" si="1"/>
        <v>10600</v>
      </c>
      <c r="M10" s="7"/>
      <c r="N10" s="7"/>
    </row>
    <row r="11">
      <c r="A11" s="71"/>
      <c r="B11" s="50" t="s">
        <v>28</v>
      </c>
      <c r="C11" s="51" t="s">
        <v>24</v>
      </c>
      <c r="D11" s="66" t="s">
        <v>27</v>
      </c>
      <c r="E11" s="54">
        <v>22000.0</v>
      </c>
      <c r="F11" s="63">
        <v>24000.0</v>
      </c>
      <c r="G11" s="63">
        <v>20000.0</v>
      </c>
      <c r="H11" s="68" t="s">
        <v>27</v>
      </c>
      <c r="I11" s="69">
        <v>20000.0</v>
      </c>
      <c r="J11" s="56">
        <v>17000.0</v>
      </c>
      <c r="K11" s="65">
        <f t="shared" si="1"/>
        <v>20600</v>
      </c>
      <c r="M11" s="7"/>
      <c r="N11" s="7"/>
    </row>
    <row r="12">
      <c r="A12" s="75">
        <v>2.0</v>
      </c>
      <c r="B12" s="76" t="s">
        <v>29</v>
      </c>
      <c r="C12" s="77"/>
      <c r="D12" s="78"/>
      <c r="E12" s="79"/>
      <c r="F12" s="80"/>
      <c r="G12" s="81"/>
      <c r="H12" s="82"/>
      <c r="I12" s="82"/>
      <c r="J12" s="82"/>
      <c r="K12" s="83"/>
      <c r="M12" s="7"/>
      <c r="N12" s="85"/>
    </row>
    <row r="13">
      <c r="A13" s="25"/>
      <c r="B13" s="50" t="s">
        <v>91</v>
      </c>
      <c r="C13" s="51" t="s">
        <v>24</v>
      </c>
      <c r="D13" s="61">
        <v>13000.0</v>
      </c>
      <c r="E13" s="62">
        <v>13000.0</v>
      </c>
      <c r="F13" s="62">
        <v>13000.0</v>
      </c>
      <c r="G13" s="62">
        <v>13000.0</v>
      </c>
      <c r="H13" s="64">
        <v>13000.0</v>
      </c>
      <c r="I13" s="64">
        <v>13000.0</v>
      </c>
      <c r="J13" s="55">
        <v>13500.0</v>
      </c>
      <c r="K13" s="65">
        <f t="shared" ref="K13:K14" si="2">AVERAGE(D13:J13)</f>
        <v>13071.42857</v>
      </c>
      <c r="M13" s="7"/>
      <c r="N13" s="7"/>
    </row>
    <row r="14">
      <c r="A14" s="71"/>
      <c r="B14" s="50" t="s">
        <v>31</v>
      </c>
      <c r="C14" s="51" t="s">
        <v>24</v>
      </c>
      <c r="D14" s="66">
        <v>15000.0</v>
      </c>
      <c r="E14" s="54">
        <v>16000.0</v>
      </c>
      <c r="F14" s="90">
        <v>16000.0</v>
      </c>
      <c r="G14" s="63">
        <v>16000.0</v>
      </c>
      <c r="H14" s="64">
        <v>15000.0</v>
      </c>
      <c r="I14" s="64">
        <v>16000.0</v>
      </c>
      <c r="J14" s="55">
        <v>16000.0</v>
      </c>
      <c r="K14" s="65">
        <f t="shared" si="2"/>
        <v>15714.28571</v>
      </c>
      <c r="M14" s="7"/>
      <c r="N14" s="7"/>
    </row>
    <row r="15">
      <c r="A15" s="75">
        <v>3.0</v>
      </c>
      <c r="B15" s="76" t="s">
        <v>32</v>
      </c>
      <c r="C15" s="76"/>
      <c r="D15" s="91"/>
      <c r="E15" s="92"/>
      <c r="F15" s="93"/>
      <c r="G15" s="93"/>
      <c r="H15" s="94"/>
      <c r="I15" s="94"/>
      <c r="J15" s="95"/>
      <c r="K15" s="83"/>
      <c r="M15" s="7"/>
      <c r="N15" s="7"/>
    </row>
    <row r="16">
      <c r="A16" s="25"/>
      <c r="B16" s="50" t="s">
        <v>33</v>
      </c>
      <c r="C16" s="51" t="s">
        <v>24</v>
      </c>
      <c r="D16" s="61">
        <v>16000.0</v>
      </c>
      <c r="E16" s="54">
        <v>16000.0</v>
      </c>
      <c r="F16" s="62">
        <v>17000.0</v>
      </c>
      <c r="G16" s="62">
        <v>16000.0</v>
      </c>
      <c r="H16" s="64">
        <v>14000.0</v>
      </c>
      <c r="I16" s="64">
        <v>16000.0</v>
      </c>
      <c r="J16" s="102">
        <v>15500.0</v>
      </c>
      <c r="K16" s="65">
        <f t="shared" ref="K16:K17" si="3">AVERAGE(D16:J16)</f>
        <v>15785.71429</v>
      </c>
      <c r="M16" s="7"/>
      <c r="N16" s="7"/>
    </row>
    <row r="17">
      <c r="A17" s="96"/>
      <c r="B17" s="50" t="s">
        <v>34</v>
      </c>
      <c r="C17" s="51" t="s">
        <v>35</v>
      </c>
      <c r="D17" s="61">
        <v>14000.0</v>
      </c>
      <c r="E17" s="54">
        <v>14000.0</v>
      </c>
      <c r="F17" s="54">
        <v>14000.0</v>
      </c>
      <c r="G17" s="62">
        <v>14000.0</v>
      </c>
      <c r="H17" s="68" t="s">
        <v>27</v>
      </c>
      <c r="I17" s="64">
        <v>14000.0</v>
      </c>
      <c r="J17" s="55">
        <v>14000.0</v>
      </c>
      <c r="K17" s="65">
        <f t="shared" si="3"/>
        <v>14000</v>
      </c>
      <c r="M17" s="7"/>
      <c r="N17" s="7"/>
    </row>
    <row r="18">
      <c r="A18" s="75">
        <v>4.0</v>
      </c>
      <c r="B18" s="76" t="s">
        <v>36</v>
      </c>
      <c r="C18" s="76"/>
      <c r="D18" s="91"/>
      <c r="E18" s="92"/>
      <c r="F18" s="93"/>
      <c r="G18" s="97"/>
      <c r="H18" s="94"/>
      <c r="I18" s="94"/>
      <c r="J18" s="95"/>
      <c r="K18" s="83"/>
      <c r="M18" s="7"/>
      <c r="N18" s="7"/>
    </row>
    <row r="19" ht="17.25" customHeight="1">
      <c r="A19" s="71"/>
      <c r="B19" s="50" t="s">
        <v>37</v>
      </c>
      <c r="C19" s="51" t="s">
        <v>24</v>
      </c>
      <c r="D19" s="66">
        <v>20000.0</v>
      </c>
      <c r="E19" s="54" t="s">
        <v>27</v>
      </c>
      <c r="F19" s="63">
        <v>19000.0</v>
      </c>
      <c r="G19" s="63">
        <v>22000.0</v>
      </c>
      <c r="H19" s="98" t="s">
        <v>27</v>
      </c>
      <c r="I19" s="69">
        <v>24000.0</v>
      </c>
      <c r="J19" s="99" t="s">
        <v>27</v>
      </c>
      <c r="K19" s="65">
        <f>AVERAGE(D19:J19)</f>
        <v>21250</v>
      </c>
      <c r="M19" s="7"/>
      <c r="N19" s="7"/>
    </row>
    <row r="20">
      <c r="A20" s="75">
        <v>5.0</v>
      </c>
      <c r="B20" s="76" t="s">
        <v>38</v>
      </c>
      <c r="C20" s="76"/>
      <c r="D20" s="91"/>
      <c r="E20" s="80"/>
      <c r="F20" s="93"/>
      <c r="G20" s="97"/>
      <c r="H20" s="94"/>
      <c r="I20" s="100"/>
      <c r="J20" s="101"/>
      <c r="K20" s="83"/>
      <c r="M20" s="7"/>
      <c r="N20" s="7"/>
    </row>
    <row r="21" ht="15.75" customHeight="1">
      <c r="A21" s="25"/>
      <c r="B21" s="50" t="s">
        <v>39</v>
      </c>
      <c r="C21" s="51" t="s">
        <v>24</v>
      </c>
      <c r="D21" s="66">
        <v>120000.0</v>
      </c>
      <c r="E21" s="62">
        <v>120000.0</v>
      </c>
      <c r="F21" s="62">
        <v>120000.0</v>
      </c>
      <c r="G21" s="62">
        <v>120000.0</v>
      </c>
      <c r="H21" s="64">
        <v>120000.0</v>
      </c>
      <c r="I21" s="69">
        <v>120000.0</v>
      </c>
      <c r="J21" s="102">
        <v>110000.0</v>
      </c>
      <c r="K21" s="65">
        <f t="shared" ref="K21:K24" si="4">AVERAGE(D21:J21)</f>
        <v>118571.4286</v>
      </c>
      <c r="M21" s="7"/>
      <c r="N21" s="7"/>
    </row>
    <row r="22" ht="15.75" customHeight="1">
      <c r="A22" s="25"/>
      <c r="B22" s="50" t="s">
        <v>41</v>
      </c>
      <c r="C22" s="51" t="s">
        <v>24</v>
      </c>
      <c r="D22" s="66">
        <v>110000.0</v>
      </c>
      <c r="E22" s="62">
        <v>110000.0</v>
      </c>
      <c r="F22" s="62">
        <v>110000.0</v>
      </c>
      <c r="G22" s="62">
        <v>110000.0</v>
      </c>
      <c r="H22" s="64">
        <v>114000.0</v>
      </c>
      <c r="I22" s="68">
        <v>110000.0</v>
      </c>
      <c r="J22" s="55">
        <v>100000.0</v>
      </c>
      <c r="K22" s="65">
        <f t="shared" si="4"/>
        <v>109142.8571</v>
      </c>
      <c r="M22" s="7"/>
      <c r="N22" s="7"/>
    </row>
    <row r="23" ht="15.75" customHeight="1">
      <c r="A23" s="25"/>
      <c r="B23" s="50" t="s">
        <v>42</v>
      </c>
      <c r="C23" s="51" t="s">
        <v>24</v>
      </c>
      <c r="D23" s="66">
        <v>100000.0</v>
      </c>
      <c r="E23" s="62">
        <v>95000.0</v>
      </c>
      <c r="F23" s="62">
        <v>100000.0</v>
      </c>
      <c r="G23" s="62">
        <v>100000.0</v>
      </c>
      <c r="H23" s="64">
        <v>100000.0</v>
      </c>
      <c r="I23" s="69">
        <v>100000.0</v>
      </c>
      <c r="J23" s="102" t="s">
        <v>27</v>
      </c>
      <c r="K23" s="65">
        <f t="shared" si="4"/>
        <v>99166.66667</v>
      </c>
      <c r="M23" s="7"/>
      <c r="N23" s="7"/>
    </row>
    <row r="24" ht="15.75" customHeight="1">
      <c r="A24" s="71"/>
      <c r="B24" s="50" t="s">
        <v>43</v>
      </c>
      <c r="C24" s="51" t="s">
        <v>24</v>
      </c>
      <c r="D24" s="61">
        <v>30000.0</v>
      </c>
      <c r="E24" s="62">
        <v>32000.0</v>
      </c>
      <c r="F24" s="62">
        <v>34000.0</v>
      </c>
      <c r="G24" s="62">
        <v>30000.0</v>
      </c>
      <c r="H24" s="55">
        <v>30000.0</v>
      </c>
      <c r="I24" s="64">
        <v>33000.0</v>
      </c>
      <c r="J24" s="55">
        <v>32000.0</v>
      </c>
      <c r="K24" s="65">
        <f t="shared" si="4"/>
        <v>31571.42857</v>
      </c>
      <c r="M24" s="7"/>
      <c r="N24" s="7"/>
    </row>
    <row r="25" ht="15.75" customHeight="1">
      <c r="A25" s="75">
        <v>6.0</v>
      </c>
      <c r="B25" s="76" t="s">
        <v>44</v>
      </c>
      <c r="C25" s="76"/>
      <c r="D25" s="91"/>
      <c r="E25" s="80"/>
      <c r="F25" s="97"/>
      <c r="G25" s="93"/>
      <c r="H25" s="95"/>
      <c r="I25" s="94"/>
      <c r="J25" s="95"/>
      <c r="K25" s="83"/>
      <c r="M25" s="7"/>
      <c r="N25" s="7"/>
    </row>
    <row r="26" ht="15.75" customHeight="1">
      <c r="A26" s="25"/>
      <c r="B26" s="50" t="s">
        <v>45</v>
      </c>
      <c r="C26" s="51" t="s">
        <v>24</v>
      </c>
      <c r="D26" s="66">
        <v>38000.0</v>
      </c>
      <c r="E26" s="62">
        <v>38000.0</v>
      </c>
      <c r="F26" s="54" t="s">
        <v>27</v>
      </c>
      <c r="G26" s="62">
        <v>45000.0</v>
      </c>
      <c r="H26" s="64">
        <v>30000.0</v>
      </c>
      <c r="I26" s="68">
        <v>38000.0</v>
      </c>
      <c r="J26" s="55">
        <v>35000.0</v>
      </c>
      <c r="K26" s="65">
        <f t="shared" ref="K26:K31" si="5">AVERAGE(D26:J26)</f>
        <v>37333.33333</v>
      </c>
      <c r="M26" s="7"/>
      <c r="N26" s="7"/>
    </row>
    <row r="27" ht="15.75" customHeight="1">
      <c r="A27" s="25"/>
      <c r="B27" s="50" t="s">
        <v>46</v>
      </c>
      <c r="C27" s="51" t="s">
        <v>24</v>
      </c>
      <c r="D27" s="66">
        <v>28000.0</v>
      </c>
      <c r="E27" s="54">
        <v>30000.0</v>
      </c>
      <c r="F27" s="62">
        <v>32000.0</v>
      </c>
      <c r="G27" s="63">
        <v>35000.0</v>
      </c>
      <c r="H27" s="68">
        <v>23000.0</v>
      </c>
      <c r="I27" s="68">
        <v>32000.0</v>
      </c>
      <c r="J27" s="104">
        <v>26000.0</v>
      </c>
      <c r="K27" s="65">
        <f t="shared" si="5"/>
        <v>29428.57143</v>
      </c>
      <c r="L27" s="105" t="s">
        <v>47</v>
      </c>
      <c r="M27" s="7"/>
      <c r="N27" s="7"/>
    </row>
    <row r="28" ht="15.75" customHeight="1">
      <c r="A28" s="25"/>
      <c r="B28" s="50" t="s">
        <v>48</v>
      </c>
      <c r="C28" s="51" t="s">
        <v>24</v>
      </c>
      <c r="D28" s="66">
        <v>60000.0</v>
      </c>
      <c r="E28" s="54">
        <v>70000.0</v>
      </c>
      <c r="F28" s="63">
        <v>60000.0</v>
      </c>
      <c r="G28" s="63">
        <v>75000.0</v>
      </c>
      <c r="H28" s="64">
        <v>58000.0</v>
      </c>
      <c r="I28" s="68">
        <v>70000.0</v>
      </c>
      <c r="J28" s="104">
        <v>50000.0</v>
      </c>
      <c r="K28" s="65">
        <f t="shared" si="5"/>
        <v>63285.71429</v>
      </c>
      <c r="M28" s="7"/>
      <c r="N28" s="7"/>
    </row>
    <row r="29" ht="15.75" customHeight="1">
      <c r="A29" s="25"/>
      <c r="B29" s="50" t="s">
        <v>49</v>
      </c>
      <c r="C29" s="51" t="s">
        <v>24</v>
      </c>
      <c r="D29" s="66">
        <v>25000.0</v>
      </c>
      <c r="E29" s="54" t="s">
        <v>27</v>
      </c>
      <c r="F29" s="67" t="s">
        <v>27</v>
      </c>
      <c r="G29" s="63">
        <v>25000.0</v>
      </c>
      <c r="H29" s="64">
        <v>23000.0</v>
      </c>
      <c r="I29" s="68">
        <v>24000.0</v>
      </c>
      <c r="J29" s="104">
        <v>26000.0</v>
      </c>
      <c r="K29" s="65">
        <f t="shared" si="5"/>
        <v>24600</v>
      </c>
      <c r="M29" s="7"/>
      <c r="N29" s="7"/>
    </row>
    <row r="30" ht="15.75" customHeight="1">
      <c r="A30" s="25"/>
      <c r="B30" s="50" t="s">
        <v>50</v>
      </c>
      <c r="C30" s="51" t="s">
        <v>24</v>
      </c>
      <c r="D30" s="66">
        <v>45000.0</v>
      </c>
      <c r="E30" s="62">
        <v>36000.0</v>
      </c>
      <c r="F30" s="62">
        <v>40000.0</v>
      </c>
      <c r="G30" s="62">
        <v>45000.0</v>
      </c>
      <c r="H30" s="64">
        <v>28000.0</v>
      </c>
      <c r="I30" s="68">
        <v>37000.0</v>
      </c>
      <c r="J30" s="55">
        <v>40000.0</v>
      </c>
      <c r="K30" s="65">
        <f t="shared" si="5"/>
        <v>38714.28571</v>
      </c>
      <c r="M30" s="7"/>
      <c r="N30" s="7"/>
    </row>
    <row r="31" ht="15.75" customHeight="1">
      <c r="A31" s="71"/>
      <c r="B31" s="50" t="s">
        <v>51</v>
      </c>
      <c r="C31" s="51" t="s">
        <v>24</v>
      </c>
      <c r="D31" s="66" t="s">
        <v>27</v>
      </c>
      <c r="E31" s="62">
        <v>100000.0</v>
      </c>
      <c r="F31" s="62">
        <v>110000.0</v>
      </c>
      <c r="G31" s="54" t="s">
        <v>27</v>
      </c>
      <c r="H31" s="64">
        <v>80000.0</v>
      </c>
      <c r="I31" s="68" t="s">
        <v>27</v>
      </c>
      <c r="J31" s="104" t="s">
        <v>27</v>
      </c>
      <c r="K31" s="65">
        <f t="shared" si="5"/>
        <v>96666.66667</v>
      </c>
      <c r="M31" s="7"/>
      <c r="N31" s="7"/>
    </row>
    <row r="32" ht="15.75" customHeight="1">
      <c r="A32" s="75">
        <v>7.0</v>
      </c>
      <c r="B32" s="76" t="s">
        <v>52</v>
      </c>
      <c r="C32" s="76"/>
      <c r="D32" s="91"/>
      <c r="E32" s="80"/>
      <c r="F32" s="97"/>
      <c r="G32" s="97"/>
      <c r="H32" s="94"/>
      <c r="I32" s="94"/>
      <c r="J32" s="95" t="s">
        <v>53</v>
      </c>
      <c r="K32" s="83"/>
      <c r="M32" s="7"/>
      <c r="N32" s="7"/>
    </row>
    <row r="33" ht="15.75" customHeight="1">
      <c r="A33" s="25"/>
      <c r="B33" s="50" t="s">
        <v>54</v>
      </c>
      <c r="C33" s="51" t="s">
        <v>24</v>
      </c>
      <c r="D33" s="61">
        <v>30000.0</v>
      </c>
      <c r="E33" s="62">
        <v>29000.0</v>
      </c>
      <c r="F33" s="62">
        <v>30000.0</v>
      </c>
      <c r="G33" s="62">
        <v>30000.0</v>
      </c>
      <c r="H33" s="64">
        <v>28000.0</v>
      </c>
      <c r="I33" s="64">
        <v>30000.0</v>
      </c>
      <c r="J33" s="55">
        <v>28500.0</v>
      </c>
      <c r="K33" s="65">
        <f t="shared" ref="K33:K34" si="6">AVERAGE(D33:J33)</f>
        <v>29357.14286</v>
      </c>
      <c r="M33" s="7"/>
      <c r="N33" s="7"/>
    </row>
    <row r="34" ht="15.75" customHeight="1">
      <c r="A34" s="71"/>
      <c r="B34" s="50" t="s">
        <v>55</v>
      </c>
      <c r="C34" s="51" t="s">
        <v>56</v>
      </c>
      <c r="D34" s="61">
        <v>3000.0</v>
      </c>
      <c r="E34" s="62">
        <v>2000.0</v>
      </c>
      <c r="F34" s="62">
        <v>2500.0</v>
      </c>
      <c r="G34" s="62">
        <v>2500.0</v>
      </c>
      <c r="H34" s="64">
        <v>2000.0</v>
      </c>
      <c r="I34" s="64">
        <v>2500.0</v>
      </c>
      <c r="J34" s="55">
        <v>3000.0</v>
      </c>
      <c r="K34" s="65">
        <f t="shared" si="6"/>
        <v>2500</v>
      </c>
      <c r="M34" s="7"/>
      <c r="N34" s="7"/>
    </row>
    <row r="35" ht="15.75" customHeight="1">
      <c r="A35" s="96">
        <v>8.0</v>
      </c>
      <c r="B35" s="76" t="s">
        <v>122</v>
      </c>
      <c r="C35" s="107"/>
      <c r="D35" s="61"/>
      <c r="E35" s="62"/>
      <c r="F35" s="62"/>
      <c r="G35" s="62"/>
      <c r="H35" s="64"/>
      <c r="I35" s="64"/>
      <c r="J35" s="55"/>
      <c r="K35" s="156"/>
      <c r="M35" s="7"/>
      <c r="N35" s="7"/>
    </row>
    <row r="36" ht="15.75" customHeight="1">
      <c r="A36" s="96"/>
      <c r="B36" s="50" t="s">
        <v>123</v>
      </c>
      <c r="C36" s="51" t="s">
        <v>24</v>
      </c>
      <c r="D36" s="61">
        <v>10000.0</v>
      </c>
      <c r="E36" s="62">
        <v>10000.0</v>
      </c>
      <c r="F36" s="62">
        <v>9000.0</v>
      </c>
      <c r="G36" s="62">
        <v>9000.0</v>
      </c>
      <c r="H36" s="64">
        <v>16000.0</v>
      </c>
      <c r="I36" s="64">
        <v>15000.0</v>
      </c>
      <c r="J36" s="55">
        <v>9000.0</v>
      </c>
      <c r="K36" s="65">
        <f t="shared" ref="K36:K37" si="7">AVERAGE(D36:J36)</f>
        <v>11142.85714</v>
      </c>
      <c r="M36" s="7"/>
      <c r="N36" s="7"/>
    </row>
    <row r="37" ht="15.75" customHeight="1">
      <c r="A37" s="96"/>
      <c r="B37" s="50" t="s">
        <v>124</v>
      </c>
      <c r="C37" s="51" t="s">
        <v>24</v>
      </c>
      <c r="D37" s="66" t="s">
        <v>27</v>
      </c>
      <c r="E37" s="62">
        <v>7000.0</v>
      </c>
      <c r="F37" s="62">
        <v>12000.0</v>
      </c>
      <c r="G37" s="62">
        <v>17000.0</v>
      </c>
      <c r="H37" s="68" t="s">
        <v>27</v>
      </c>
      <c r="I37" s="68">
        <v>13000.0</v>
      </c>
      <c r="J37" s="55">
        <v>12000.0</v>
      </c>
      <c r="K37" s="65">
        <f t="shared" si="7"/>
        <v>12200</v>
      </c>
      <c r="M37" s="7"/>
      <c r="N37" s="7"/>
    </row>
    <row r="38" ht="15.75" customHeight="1">
      <c r="A38" s="96">
        <v>9.0</v>
      </c>
      <c r="B38" s="157" t="s">
        <v>125</v>
      </c>
      <c r="C38" s="158"/>
      <c r="D38" s="66"/>
      <c r="E38" s="62"/>
      <c r="F38" s="62"/>
      <c r="G38" s="62"/>
      <c r="H38" s="64"/>
      <c r="I38" s="64"/>
      <c r="J38" s="55"/>
      <c r="K38" s="156"/>
      <c r="M38" s="7"/>
      <c r="N38" s="7"/>
    </row>
    <row r="39" ht="15.75" customHeight="1">
      <c r="A39" s="96"/>
      <c r="B39" s="50" t="s">
        <v>126</v>
      </c>
      <c r="C39" s="51" t="s">
        <v>24</v>
      </c>
      <c r="D39" s="66" t="s">
        <v>27</v>
      </c>
      <c r="E39" s="62">
        <v>18000.0</v>
      </c>
      <c r="F39" s="54" t="s">
        <v>27</v>
      </c>
      <c r="G39" s="62">
        <v>16000.0</v>
      </c>
      <c r="H39" s="64">
        <v>14000.0</v>
      </c>
      <c r="I39" s="64">
        <v>15000.0</v>
      </c>
      <c r="J39" s="55">
        <v>15000.0</v>
      </c>
      <c r="K39" s="65">
        <f t="shared" ref="K39:K41" si="8">AVERAGE(D39:J39)</f>
        <v>15600</v>
      </c>
      <c r="M39" s="7"/>
      <c r="N39" s="7"/>
    </row>
    <row r="40" ht="15.75" customHeight="1">
      <c r="A40" s="96"/>
      <c r="B40" s="50" t="s">
        <v>127</v>
      </c>
      <c r="C40" s="51" t="s">
        <v>24</v>
      </c>
      <c r="D40" s="61">
        <v>2500.0</v>
      </c>
      <c r="E40" s="62">
        <v>12000.0</v>
      </c>
      <c r="F40" s="62">
        <v>6000.0</v>
      </c>
      <c r="G40" s="54" t="s">
        <v>27</v>
      </c>
      <c r="H40" s="68" t="s">
        <v>27</v>
      </c>
      <c r="I40" s="68" t="s">
        <v>27</v>
      </c>
      <c r="J40" s="102" t="s">
        <v>27</v>
      </c>
      <c r="K40" s="65">
        <f t="shared" si="8"/>
        <v>6833.333333</v>
      </c>
      <c r="M40" s="7"/>
      <c r="N40" s="7"/>
    </row>
    <row r="41" ht="15.75" customHeight="1">
      <c r="A41" s="96"/>
      <c r="B41" s="50" t="s">
        <v>128</v>
      </c>
      <c r="C41" s="51" t="s">
        <v>24</v>
      </c>
      <c r="D41" s="66" t="s">
        <v>27</v>
      </c>
      <c r="E41" s="62">
        <v>2000.0</v>
      </c>
      <c r="F41" s="54" t="s">
        <v>27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2000</v>
      </c>
      <c r="M41" s="7"/>
      <c r="N41" s="7"/>
    </row>
    <row r="42" ht="15.75" customHeight="1">
      <c r="A42" s="75">
        <v>10.0</v>
      </c>
      <c r="B42" s="76" t="s">
        <v>61</v>
      </c>
      <c r="C42" s="76"/>
      <c r="D42" s="91"/>
      <c r="E42" s="80"/>
      <c r="F42" s="97"/>
      <c r="G42" s="93"/>
      <c r="H42" s="94"/>
      <c r="I42" s="94"/>
      <c r="J42" s="108"/>
      <c r="K42" s="83"/>
      <c r="M42" s="7"/>
      <c r="N42" s="7"/>
    </row>
    <row r="43" ht="15.75" customHeight="1">
      <c r="A43" s="25"/>
      <c r="B43" s="50" t="s">
        <v>62</v>
      </c>
      <c r="C43" s="51" t="s">
        <v>63</v>
      </c>
      <c r="D43" s="61">
        <v>12500.0</v>
      </c>
      <c r="E43" s="54">
        <v>12000.0</v>
      </c>
      <c r="F43" s="62">
        <v>12500.0</v>
      </c>
      <c r="G43" s="62">
        <v>12000.0</v>
      </c>
      <c r="H43" s="98" t="s">
        <v>27</v>
      </c>
      <c r="I43" s="69">
        <v>12500.0</v>
      </c>
      <c r="J43" s="102">
        <v>12500.0</v>
      </c>
      <c r="K43" s="65">
        <f t="shared" ref="K43:K44" si="9">AVERAGE(D43:J43)</f>
        <v>12333.33333</v>
      </c>
      <c r="M43" s="7"/>
      <c r="N43" s="7"/>
    </row>
    <row r="44" ht="15.75" customHeight="1">
      <c r="A44" s="71"/>
      <c r="B44" s="50" t="s">
        <v>130</v>
      </c>
      <c r="C44" s="51" t="s">
        <v>63</v>
      </c>
      <c r="D44" s="66">
        <v>12500.0</v>
      </c>
      <c r="E44" s="54">
        <v>13000.0</v>
      </c>
      <c r="F44" s="63">
        <v>12500.0</v>
      </c>
      <c r="G44" s="62">
        <v>12000.0</v>
      </c>
      <c r="H44" s="98" t="s">
        <v>27</v>
      </c>
      <c r="I44" s="69">
        <v>12500.0</v>
      </c>
      <c r="J44" s="104">
        <v>12500.0</v>
      </c>
      <c r="K44" s="65">
        <f t="shared" si="9"/>
        <v>12500</v>
      </c>
      <c r="M44" s="7"/>
      <c r="N44" s="7"/>
    </row>
    <row r="45" ht="15.75" customHeight="1">
      <c r="A45" s="75">
        <v>11.0</v>
      </c>
      <c r="B45" s="76" t="s">
        <v>66</v>
      </c>
      <c r="C45" s="76"/>
      <c r="D45" s="91"/>
      <c r="E45" s="109"/>
      <c r="F45" s="93"/>
      <c r="G45" s="97"/>
      <c r="H45" s="94"/>
      <c r="I45" s="94"/>
      <c r="J45" s="95"/>
      <c r="K45" s="83"/>
      <c r="M45" s="7"/>
      <c r="N45" s="7"/>
    </row>
    <row r="46" ht="15.75" customHeight="1">
      <c r="A46" s="25"/>
      <c r="B46" s="50" t="s">
        <v>67</v>
      </c>
      <c r="C46" s="51" t="s">
        <v>68</v>
      </c>
      <c r="D46" s="66" t="s">
        <v>27</v>
      </c>
      <c r="E46" s="54" t="s">
        <v>27</v>
      </c>
      <c r="F46" s="67" t="s">
        <v>27</v>
      </c>
      <c r="G46" s="63" t="s">
        <v>27</v>
      </c>
      <c r="H46" s="64">
        <v>17500.0</v>
      </c>
      <c r="I46" s="69" t="s">
        <v>27</v>
      </c>
      <c r="J46" s="104" t="s">
        <v>27</v>
      </c>
      <c r="K46" s="65">
        <f t="shared" ref="K46:K47" si="10">AVERAGE(D46:J46)</f>
        <v>17500</v>
      </c>
      <c r="M46" s="7"/>
      <c r="N46" s="7"/>
    </row>
    <row r="47" ht="15.75" customHeight="1">
      <c r="A47" s="25"/>
      <c r="B47" s="50" t="s">
        <v>69</v>
      </c>
      <c r="C47" s="51" t="s">
        <v>70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2000.0</v>
      </c>
      <c r="I47" s="69" t="s">
        <v>27</v>
      </c>
      <c r="J47" s="104" t="s">
        <v>27</v>
      </c>
      <c r="K47" s="65">
        <f t="shared" si="10"/>
        <v>2000</v>
      </c>
      <c r="M47" s="7"/>
      <c r="N47" s="7"/>
    </row>
    <row r="48" ht="15.75" customHeight="1">
      <c r="A48" s="96">
        <v>12.0</v>
      </c>
      <c r="B48" s="110" t="s">
        <v>71</v>
      </c>
      <c r="C48" s="107"/>
      <c r="D48" s="111"/>
      <c r="E48" s="79"/>
      <c r="F48" s="79"/>
      <c r="G48" s="112"/>
      <c r="H48" s="113"/>
      <c r="I48" s="113"/>
      <c r="J48" s="114"/>
      <c r="K48" s="83"/>
      <c r="M48" s="7"/>
      <c r="N48" s="7"/>
    </row>
    <row r="49" ht="15.75" customHeight="1">
      <c r="A49" s="96"/>
      <c r="B49" s="50" t="s">
        <v>72</v>
      </c>
      <c r="C49" s="115" t="s">
        <v>24</v>
      </c>
      <c r="D49" s="61">
        <v>10000.0</v>
      </c>
      <c r="E49" s="62">
        <v>8000.0</v>
      </c>
      <c r="F49" s="62">
        <v>10000.0</v>
      </c>
      <c r="G49" s="62">
        <v>10000.0</v>
      </c>
      <c r="H49" s="64">
        <v>9000.0</v>
      </c>
      <c r="I49" s="69">
        <v>10000.0</v>
      </c>
      <c r="J49" s="55">
        <v>8000.0</v>
      </c>
      <c r="K49" s="65">
        <f t="shared" ref="K49:K50" si="11">AVERAGE(D49:J49)</f>
        <v>9285.714286</v>
      </c>
      <c r="M49" s="7"/>
      <c r="N49" s="7"/>
    </row>
    <row r="50" ht="15.75" customHeight="1">
      <c r="A50" s="116"/>
      <c r="B50" s="50" t="s">
        <v>73</v>
      </c>
      <c r="C50" s="115" t="s">
        <v>24</v>
      </c>
      <c r="D50" s="61">
        <v>9000.0</v>
      </c>
      <c r="E50" s="62">
        <v>10000.0</v>
      </c>
      <c r="F50" s="63">
        <v>9000.0</v>
      </c>
      <c r="G50" s="62">
        <v>9000.0</v>
      </c>
      <c r="H50" s="64">
        <v>6000.0</v>
      </c>
      <c r="I50" s="68" t="s">
        <v>27</v>
      </c>
      <c r="J50" s="55">
        <v>6000.0</v>
      </c>
      <c r="K50" s="65">
        <f t="shared" si="11"/>
        <v>8166.666667</v>
      </c>
      <c r="M50" s="7"/>
      <c r="N50" s="7"/>
    </row>
    <row r="51" ht="15.75" customHeight="1">
      <c r="A51" s="75">
        <v>13.0</v>
      </c>
      <c r="B51" s="76" t="s">
        <v>74</v>
      </c>
      <c r="C51" s="76"/>
      <c r="D51" s="91"/>
      <c r="E51" s="80"/>
      <c r="F51" s="97"/>
      <c r="G51" s="97"/>
      <c r="H51" s="94"/>
      <c r="I51" s="94"/>
      <c r="J51" s="108"/>
      <c r="K51" s="83"/>
      <c r="M51" s="7"/>
      <c r="N51" s="7"/>
    </row>
    <row r="52" ht="15.75" customHeight="1">
      <c r="A52" s="71"/>
      <c r="B52" s="50" t="s">
        <v>75</v>
      </c>
      <c r="C52" s="51" t="s">
        <v>76</v>
      </c>
      <c r="D52" s="61">
        <v>3000.0</v>
      </c>
      <c r="E52" s="62">
        <v>8000.0</v>
      </c>
      <c r="F52" s="62">
        <v>5000.0</v>
      </c>
      <c r="G52" s="62">
        <v>5000.0</v>
      </c>
      <c r="H52" s="64">
        <v>2500.0</v>
      </c>
      <c r="I52" s="69">
        <v>2000.0</v>
      </c>
      <c r="J52" s="102">
        <v>2500.0</v>
      </c>
      <c r="K52" s="65">
        <f>AVERAGE(D52:J52)</f>
        <v>4000</v>
      </c>
      <c r="M52" s="7"/>
      <c r="N52" s="7"/>
    </row>
    <row r="53" ht="15.75" customHeight="1">
      <c r="A53" s="75">
        <v>14.0</v>
      </c>
      <c r="B53" s="76" t="s">
        <v>77</v>
      </c>
      <c r="C53" s="107"/>
      <c r="D53" s="117"/>
      <c r="E53" s="109"/>
      <c r="F53" s="118"/>
      <c r="G53" s="119"/>
      <c r="H53" s="120"/>
      <c r="I53" s="120"/>
      <c r="J53" s="121"/>
      <c r="K53" s="83"/>
      <c r="M53" s="7"/>
      <c r="N53" s="7"/>
    </row>
    <row r="54" ht="15.75" customHeight="1">
      <c r="A54" s="71"/>
      <c r="B54" s="122" t="s">
        <v>78</v>
      </c>
      <c r="C54" s="115" t="s">
        <v>24</v>
      </c>
      <c r="D54" s="61">
        <v>12000.0</v>
      </c>
      <c r="E54" s="62">
        <v>10500.0</v>
      </c>
      <c r="F54" s="62">
        <v>13000.0</v>
      </c>
      <c r="G54" s="62">
        <v>11000.0</v>
      </c>
      <c r="H54" s="64">
        <v>11000.0</v>
      </c>
      <c r="I54" s="64">
        <v>12000.0</v>
      </c>
      <c r="J54" s="55">
        <v>10000.0</v>
      </c>
      <c r="K54" s="65">
        <f>AVERAGE(D54:J54)</f>
        <v>11357.14286</v>
      </c>
      <c r="M54" s="7"/>
      <c r="N54" s="7"/>
    </row>
    <row r="55" ht="15.75" customHeight="1">
      <c r="A55" s="75">
        <v>15.0</v>
      </c>
      <c r="B55" s="76" t="s">
        <v>79</v>
      </c>
      <c r="C55" s="76"/>
      <c r="D55" s="91"/>
      <c r="E55" s="80"/>
      <c r="F55" s="97"/>
      <c r="G55" s="93"/>
      <c r="H55" s="94"/>
      <c r="I55" s="94"/>
      <c r="J55" s="108"/>
      <c r="K55" s="83"/>
      <c r="M55" s="7"/>
      <c r="N55" s="7"/>
    </row>
    <row r="56" ht="15.75" customHeight="1">
      <c r="A56" s="25"/>
      <c r="B56" s="50" t="s">
        <v>80</v>
      </c>
      <c r="C56" s="51" t="s">
        <v>24</v>
      </c>
      <c r="D56" s="61">
        <v>16000.0</v>
      </c>
      <c r="E56" s="62">
        <v>16000.0</v>
      </c>
      <c r="F56" s="62">
        <v>16000.0</v>
      </c>
      <c r="G56" s="62">
        <v>20000.0</v>
      </c>
      <c r="H56" s="64">
        <v>13000.0</v>
      </c>
      <c r="I56" s="68">
        <v>17000.0</v>
      </c>
      <c r="J56" s="102" t="s">
        <v>27</v>
      </c>
      <c r="K56" s="65">
        <f t="shared" ref="K56:K59" si="12">AVERAGE(D56:J56)</f>
        <v>16333.33333</v>
      </c>
      <c r="M56" s="7"/>
      <c r="N56" s="7"/>
    </row>
    <row r="57" ht="15.75" customHeight="1">
      <c r="A57" s="25"/>
      <c r="B57" s="50" t="s">
        <v>81</v>
      </c>
      <c r="C57" s="51" t="s">
        <v>24</v>
      </c>
      <c r="D57" s="66" t="s">
        <v>27</v>
      </c>
      <c r="E57" s="62">
        <v>14000.0</v>
      </c>
      <c r="F57" s="63">
        <v>15000.0</v>
      </c>
      <c r="G57" s="124" t="s">
        <v>27</v>
      </c>
      <c r="H57" s="126" t="s">
        <v>27</v>
      </c>
      <c r="I57" s="69" t="s">
        <v>27</v>
      </c>
      <c r="J57" s="102">
        <v>13500.0</v>
      </c>
      <c r="K57" s="65">
        <f t="shared" si="12"/>
        <v>14166.66667</v>
      </c>
      <c r="M57" s="7" t="s">
        <v>82</v>
      </c>
      <c r="N57" s="7"/>
    </row>
    <row r="58" ht="15.75" customHeight="1">
      <c r="A58" s="25"/>
      <c r="B58" s="50" t="s">
        <v>83</v>
      </c>
      <c r="C58" s="51" t="s">
        <v>24</v>
      </c>
      <c r="D58" s="61">
        <v>26000.0</v>
      </c>
      <c r="E58" s="62">
        <v>23000.0</v>
      </c>
      <c r="F58" s="62">
        <v>28000.0</v>
      </c>
      <c r="G58" s="62">
        <v>30000.0</v>
      </c>
      <c r="H58" s="64">
        <v>22000.0</v>
      </c>
      <c r="I58" s="64">
        <v>28000.0</v>
      </c>
      <c r="J58" s="102">
        <v>26000.0</v>
      </c>
      <c r="K58" s="65">
        <f t="shared" si="12"/>
        <v>26142.85714</v>
      </c>
      <c r="M58" s="7"/>
      <c r="N58" s="128"/>
    </row>
    <row r="59" ht="15.75" customHeight="1">
      <c r="A59" s="71"/>
      <c r="B59" s="50" t="s">
        <v>84</v>
      </c>
      <c r="C59" s="51" t="s">
        <v>24</v>
      </c>
      <c r="D59" s="61">
        <v>30000.0</v>
      </c>
      <c r="E59" s="62">
        <v>30000.0</v>
      </c>
      <c r="F59" s="62">
        <v>30000.0</v>
      </c>
      <c r="G59" s="62">
        <v>30000.0</v>
      </c>
      <c r="H59" s="64">
        <v>26000.0</v>
      </c>
      <c r="I59" s="64">
        <v>30000.0</v>
      </c>
      <c r="J59" s="102">
        <v>28000.0</v>
      </c>
      <c r="K59" s="65">
        <f t="shared" si="12"/>
        <v>29142.85714</v>
      </c>
      <c r="M59" s="7"/>
      <c r="N59" s="7"/>
    </row>
    <row r="60" ht="15.75" customHeight="1">
      <c r="A60" s="129">
        <v>16.0</v>
      </c>
      <c r="B60" s="76" t="s">
        <v>85</v>
      </c>
      <c r="C60" s="107"/>
      <c r="D60" s="130"/>
      <c r="E60" s="79"/>
      <c r="F60" s="112"/>
      <c r="G60" s="79"/>
      <c r="H60" s="113"/>
      <c r="I60" s="113"/>
      <c r="J60" s="131"/>
      <c r="K60" s="83"/>
      <c r="M60" s="7"/>
      <c r="N60" s="7"/>
    </row>
    <row r="61" ht="15.75" customHeight="1">
      <c r="A61" s="132"/>
      <c r="B61" s="50" t="s">
        <v>86</v>
      </c>
      <c r="C61" s="115" t="s">
        <v>87</v>
      </c>
      <c r="D61" s="61">
        <v>3000.0</v>
      </c>
      <c r="E61" s="62">
        <v>3200.0</v>
      </c>
      <c r="F61" s="62">
        <v>3000.0</v>
      </c>
      <c r="G61" s="62">
        <v>3000.0</v>
      </c>
      <c r="H61" s="98" t="s">
        <v>27</v>
      </c>
      <c r="I61" s="69">
        <v>3500.0</v>
      </c>
      <c r="J61" s="55">
        <v>3500.0</v>
      </c>
      <c r="K61" s="65">
        <f>AVERAGE(D61:J61)</f>
        <v>3200</v>
      </c>
      <c r="M61" s="7"/>
      <c r="N61" s="7"/>
    </row>
    <row r="62" ht="15.75" customHeight="1">
      <c r="A62" s="75">
        <v>17.0</v>
      </c>
      <c r="B62" s="76" t="s">
        <v>88</v>
      </c>
      <c r="C62" s="76"/>
      <c r="D62" s="91"/>
      <c r="E62" s="80"/>
      <c r="F62" s="97"/>
      <c r="G62" s="97"/>
      <c r="H62" s="94"/>
      <c r="I62" s="94"/>
      <c r="J62" s="108"/>
      <c r="K62" s="83"/>
      <c r="M62" s="7"/>
      <c r="N62" s="7"/>
    </row>
    <row r="63" ht="15.75" customHeight="1">
      <c r="A63" s="25"/>
      <c r="B63" s="50" t="s">
        <v>89</v>
      </c>
      <c r="C63" s="51" t="s">
        <v>24</v>
      </c>
      <c r="D63" s="61">
        <v>28000.0</v>
      </c>
      <c r="E63" s="62">
        <v>45000.0</v>
      </c>
      <c r="F63" s="62">
        <v>35000.0</v>
      </c>
      <c r="G63" s="62">
        <v>40000.0</v>
      </c>
      <c r="H63" s="64">
        <v>30000.0</v>
      </c>
      <c r="I63" s="64">
        <v>50000.0</v>
      </c>
      <c r="J63" s="55">
        <v>30000.0</v>
      </c>
      <c r="K63" s="65">
        <f t="shared" ref="K63:K65" si="13">AVERAGE(D63:J63)</f>
        <v>36857.14286</v>
      </c>
      <c r="M63" s="7"/>
      <c r="N63" s="7"/>
    </row>
    <row r="64" ht="15.75" customHeight="1">
      <c r="A64" s="25"/>
      <c r="B64" s="50" t="s">
        <v>90</v>
      </c>
      <c r="C64" s="51" t="s">
        <v>24</v>
      </c>
      <c r="D64" s="66">
        <v>50000.0</v>
      </c>
      <c r="E64" s="62">
        <v>35000.0</v>
      </c>
      <c r="F64" s="62">
        <v>45000.0</v>
      </c>
      <c r="G64" s="62">
        <v>45000.0</v>
      </c>
      <c r="H64" s="126" t="s">
        <v>27</v>
      </c>
      <c r="I64" s="69">
        <v>50000.0</v>
      </c>
      <c r="J64" s="102" t="s">
        <v>27</v>
      </c>
      <c r="K64" s="65">
        <f t="shared" si="13"/>
        <v>45000</v>
      </c>
      <c r="M64" s="7"/>
      <c r="N64" s="7"/>
    </row>
    <row r="65" ht="15.75" customHeight="1">
      <c r="A65" s="71"/>
      <c r="B65" s="50" t="s">
        <v>92</v>
      </c>
      <c r="C65" s="51" t="s">
        <v>24</v>
      </c>
      <c r="D65" s="61">
        <v>40000.0</v>
      </c>
      <c r="E65" s="62">
        <v>60000.0</v>
      </c>
      <c r="F65" s="62">
        <v>50000.0</v>
      </c>
      <c r="G65" s="62">
        <v>65000.0</v>
      </c>
      <c r="H65" s="64">
        <v>40000.0</v>
      </c>
      <c r="I65" s="64">
        <v>80000.0</v>
      </c>
      <c r="J65" s="55">
        <v>50000.0</v>
      </c>
      <c r="K65" s="65">
        <f t="shared" si="13"/>
        <v>55000</v>
      </c>
      <c r="M65" s="7"/>
      <c r="N65" s="7"/>
    </row>
    <row r="66" ht="15.75" customHeight="1">
      <c r="A66" s="129">
        <v>18.0</v>
      </c>
      <c r="B66" s="76" t="s">
        <v>93</v>
      </c>
      <c r="C66" s="107"/>
      <c r="D66" s="133"/>
      <c r="E66" s="79"/>
      <c r="F66" s="112"/>
      <c r="G66" s="79"/>
      <c r="H66" s="113"/>
      <c r="I66" s="113"/>
      <c r="J66" s="114"/>
      <c r="K66" s="83"/>
      <c r="M66" s="7"/>
      <c r="N66" s="7"/>
    </row>
    <row r="67" ht="15.75" customHeight="1">
      <c r="A67" s="132"/>
      <c r="B67" s="50" t="s">
        <v>94</v>
      </c>
      <c r="C67" s="51" t="s">
        <v>95</v>
      </c>
      <c r="D67" s="61">
        <v>19000.0</v>
      </c>
      <c r="E67" s="62">
        <v>18000.0</v>
      </c>
      <c r="F67" s="62">
        <v>18000.0</v>
      </c>
      <c r="G67" s="54">
        <v>18000.0</v>
      </c>
      <c r="H67" s="98" t="s">
        <v>27</v>
      </c>
      <c r="I67" s="68">
        <v>18000.0</v>
      </c>
      <c r="J67" s="104">
        <v>18000.0</v>
      </c>
      <c r="K67" s="65">
        <f>AVERAGE(D67:J67)</f>
        <v>18166.66667</v>
      </c>
      <c r="M67" s="7"/>
      <c r="N67" s="7"/>
    </row>
    <row r="68" ht="15.75" customHeight="1">
      <c r="A68" s="75">
        <v>19.0</v>
      </c>
      <c r="B68" s="76" t="s">
        <v>96</v>
      </c>
      <c r="C68" s="76"/>
      <c r="D68" s="91"/>
      <c r="E68" s="80"/>
      <c r="F68" s="93"/>
      <c r="G68" s="93"/>
      <c r="H68" s="94"/>
      <c r="I68" s="94"/>
      <c r="J68" s="95"/>
      <c r="K68" s="83"/>
      <c r="M68" s="7"/>
      <c r="N68" s="7"/>
    </row>
    <row r="69" ht="15.75" customHeight="1">
      <c r="A69" s="25"/>
      <c r="B69" s="50" t="s">
        <v>97</v>
      </c>
      <c r="C69" s="51" t="s">
        <v>24</v>
      </c>
      <c r="D69" s="61">
        <v>32000.0</v>
      </c>
      <c r="E69" s="62">
        <v>34000.0</v>
      </c>
      <c r="F69" s="62">
        <v>35000.0</v>
      </c>
      <c r="G69" s="62">
        <v>33000.0</v>
      </c>
      <c r="H69" s="64">
        <v>30000.0</v>
      </c>
      <c r="I69" s="64">
        <v>35000.0</v>
      </c>
      <c r="J69" s="55">
        <v>35000.0</v>
      </c>
      <c r="K69" s="65">
        <f t="shared" ref="K69:K72" si="14">AVERAGE(D69:J69)</f>
        <v>33428.57143</v>
      </c>
      <c r="M69" s="7"/>
      <c r="N69" s="7"/>
    </row>
    <row r="70" ht="15.75" customHeight="1">
      <c r="A70" s="25"/>
      <c r="B70" s="50" t="s">
        <v>98</v>
      </c>
      <c r="C70" s="51" t="s">
        <v>24</v>
      </c>
      <c r="D70" s="66">
        <v>28000.0</v>
      </c>
      <c r="E70" s="62">
        <v>32000.0</v>
      </c>
      <c r="F70" s="62">
        <v>30000.0</v>
      </c>
      <c r="G70" s="62">
        <v>28000.0</v>
      </c>
      <c r="H70" s="64">
        <v>26000.0</v>
      </c>
      <c r="I70" s="64">
        <v>30000.0</v>
      </c>
      <c r="J70" s="55">
        <v>28000.0</v>
      </c>
      <c r="K70" s="65">
        <f t="shared" si="14"/>
        <v>28857.14286</v>
      </c>
      <c r="M70" s="7"/>
      <c r="N70" s="7"/>
    </row>
    <row r="71" ht="15.75" customHeight="1">
      <c r="A71" s="25"/>
      <c r="B71" s="50" t="s">
        <v>99</v>
      </c>
      <c r="C71" s="51" t="s">
        <v>24</v>
      </c>
      <c r="D71" s="61">
        <v>30000.0</v>
      </c>
      <c r="E71" s="62">
        <v>35000.0</v>
      </c>
      <c r="F71" s="62">
        <v>36000.0</v>
      </c>
      <c r="G71" s="62">
        <v>35000.0</v>
      </c>
      <c r="H71" s="64">
        <v>28000.0</v>
      </c>
      <c r="I71" s="64">
        <v>38000.0</v>
      </c>
      <c r="J71" s="55">
        <v>30000.0</v>
      </c>
      <c r="K71" s="65">
        <f t="shared" si="14"/>
        <v>33142.85714</v>
      </c>
      <c r="M71" s="7"/>
      <c r="N71" s="7"/>
    </row>
    <row r="72" ht="15.75" customHeight="1">
      <c r="A72" s="71"/>
      <c r="B72" s="50" t="s">
        <v>100</v>
      </c>
      <c r="C72" s="51" t="s">
        <v>24</v>
      </c>
      <c r="D72" s="61">
        <v>24000.0</v>
      </c>
      <c r="E72" s="54">
        <v>24000.0</v>
      </c>
      <c r="F72" s="63">
        <v>30000.0</v>
      </c>
      <c r="G72" s="63">
        <v>25000.0</v>
      </c>
      <c r="H72" s="64">
        <v>24000.0</v>
      </c>
      <c r="I72" s="68">
        <v>25000.0</v>
      </c>
      <c r="J72" s="102">
        <v>22000.0</v>
      </c>
      <c r="K72" s="65">
        <f t="shared" si="14"/>
        <v>24857.14286</v>
      </c>
      <c r="M72" s="7"/>
      <c r="N72" s="7"/>
    </row>
    <row r="73" ht="15.75" customHeight="1">
      <c r="A73" s="129">
        <v>20.0</v>
      </c>
      <c r="B73" s="76" t="s">
        <v>101</v>
      </c>
      <c r="C73" s="107"/>
      <c r="D73" s="133"/>
      <c r="E73" s="67"/>
      <c r="F73" s="79"/>
      <c r="G73" s="134"/>
      <c r="H73" s="113"/>
      <c r="I73" s="113"/>
      <c r="J73" s="131"/>
      <c r="K73" s="83"/>
      <c r="M73" s="7"/>
      <c r="N73" s="7"/>
    </row>
    <row r="74" ht="15.75" customHeight="1">
      <c r="A74" s="135"/>
      <c r="B74" s="50" t="s">
        <v>102</v>
      </c>
      <c r="C74" s="115" t="s">
        <v>24</v>
      </c>
      <c r="D74" s="61">
        <v>6000.0</v>
      </c>
      <c r="E74" s="54">
        <v>7000.0</v>
      </c>
      <c r="F74" s="62">
        <v>5000.0</v>
      </c>
      <c r="G74" s="62">
        <v>6000.0</v>
      </c>
      <c r="H74" s="64">
        <v>4000.0</v>
      </c>
      <c r="I74" s="64">
        <v>6000.0</v>
      </c>
      <c r="J74" s="102">
        <v>5000.0</v>
      </c>
      <c r="K74" s="65">
        <f t="shared" ref="K74:K75" si="15">AVERAGE(D74:J74)</f>
        <v>5571.428571</v>
      </c>
      <c r="M74" s="7"/>
      <c r="N74" s="7"/>
    </row>
    <row r="75" ht="15.75" customHeight="1">
      <c r="A75" s="132"/>
      <c r="B75" s="50" t="s">
        <v>103</v>
      </c>
      <c r="C75" s="115" t="s">
        <v>24</v>
      </c>
      <c r="D75" s="66">
        <v>6000.0</v>
      </c>
      <c r="E75" s="54" t="s">
        <v>27</v>
      </c>
      <c r="F75" s="63">
        <v>6000.0</v>
      </c>
      <c r="G75" s="63">
        <v>6000.0</v>
      </c>
      <c r="H75" s="64">
        <v>5000.0</v>
      </c>
      <c r="I75" s="68">
        <v>7000.0</v>
      </c>
      <c r="J75" s="104">
        <v>6000.0</v>
      </c>
      <c r="K75" s="65">
        <f t="shared" si="15"/>
        <v>6000</v>
      </c>
      <c r="M75" s="7"/>
      <c r="N75" s="7"/>
    </row>
    <row r="76" ht="15.75" customHeight="1">
      <c r="A76" s="129">
        <v>21.0</v>
      </c>
      <c r="B76" s="76" t="s">
        <v>104</v>
      </c>
      <c r="C76" s="107"/>
      <c r="D76" s="111"/>
      <c r="E76" s="79"/>
      <c r="F76" s="79"/>
      <c r="G76" s="112"/>
      <c r="H76" s="113"/>
      <c r="I76" s="113"/>
      <c r="J76" s="114"/>
      <c r="K76" s="83"/>
      <c r="M76" s="7"/>
      <c r="N76" s="7"/>
    </row>
    <row r="77" ht="15.75" customHeight="1">
      <c r="A77" s="135"/>
      <c r="B77" s="50" t="s">
        <v>105</v>
      </c>
      <c r="C77" s="115" t="s">
        <v>24</v>
      </c>
      <c r="D77" s="61">
        <v>8000.0</v>
      </c>
      <c r="E77" s="62">
        <v>8000.0</v>
      </c>
      <c r="F77" s="62">
        <v>8000.0</v>
      </c>
      <c r="G77" s="62">
        <v>9000.0</v>
      </c>
      <c r="H77" s="64">
        <v>9000.0</v>
      </c>
      <c r="I77" s="69">
        <v>9000.0</v>
      </c>
      <c r="J77" s="55">
        <v>7000.0</v>
      </c>
      <c r="K77" s="65">
        <f t="shared" ref="K77:K85" si="16">AVERAGE(D77:J77)</f>
        <v>8285.714286</v>
      </c>
      <c r="M77" s="7"/>
      <c r="N77" s="7"/>
    </row>
    <row r="78" ht="15.75" customHeight="1">
      <c r="A78" s="135"/>
      <c r="B78" s="50" t="s">
        <v>106</v>
      </c>
      <c r="C78" s="115" t="s">
        <v>24</v>
      </c>
      <c r="D78" s="61">
        <v>12000.0</v>
      </c>
      <c r="E78" s="62">
        <v>15000.0</v>
      </c>
      <c r="F78" s="62">
        <v>13000.0</v>
      </c>
      <c r="G78" s="62">
        <v>14000.0</v>
      </c>
      <c r="H78" s="64">
        <v>10000.0</v>
      </c>
      <c r="I78" s="69">
        <v>12000.0</v>
      </c>
      <c r="J78" s="55">
        <v>14000.0</v>
      </c>
      <c r="K78" s="65">
        <f t="shared" si="16"/>
        <v>12857.14286</v>
      </c>
      <c r="M78" s="7"/>
      <c r="N78" s="7"/>
    </row>
    <row r="79" ht="15.75" customHeight="1">
      <c r="A79" s="135"/>
      <c r="B79" s="50" t="s">
        <v>107</v>
      </c>
      <c r="C79" s="115" t="s">
        <v>24</v>
      </c>
      <c r="D79" s="61">
        <v>14000.0</v>
      </c>
      <c r="E79" s="62">
        <v>16000.0</v>
      </c>
      <c r="F79" s="62">
        <v>16000.0</v>
      </c>
      <c r="G79" s="62">
        <v>17000.0</v>
      </c>
      <c r="H79" s="64">
        <v>15000.0</v>
      </c>
      <c r="I79" s="64">
        <v>16000.0</v>
      </c>
      <c r="J79" s="55">
        <v>15000.0</v>
      </c>
      <c r="K79" s="65">
        <f t="shared" si="16"/>
        <v>15571.42857</v>
      </c>
      <c r="M79" s="7"/>
      <c r="N79" s="7"/>
    </row>
    <row r="80" ht="15.75" customHeight="1">
      <c r="A80" s="135"/>
      <c r="B80" s="50" t="s">
        <v>108</v>
      </c>
      <c r="C80" s="115" t="s">
        <v>24</v>
      </c>
      <c r="D80" s="61">
        <v>16000.0</v>
      </c>
      <c r="E80" s="62">
        <v>14000.0</v>
      </c>
      <c r="F80" s="62">
        <v>15000.0</v>
      </c>
      <c r="G80" s="62">
        <v>15000.0</v>
      </c>
      <c r="H80" s="64">
        <v>12000.0</v>
      </c>
      <c r="I80" s="69">
        <v>12000.0</v>
      </c>
      <c r="J80" s="55">
        <v>15000.0</v>
      </c>
      <c r="K80" s="65">
        <f t="shared" si="16"/>
        <v>14142.85714</v>
      </c>
      <c r="M80" s="7"/>
      <c r="N80" s="7"/>
    </row>
    <row r="81" ht="15.75" customHeight="1">
      <c r="A81" s="135"/>
      <c r="B81" s="50" t="s">
        <v>109</v>
      </c>
      <c r="C81" s="115" t="s">
        <v>24</v>
      </c>
      <c r="D81" s="61">
        <v>8000.0</v>
      </c>
      <c r="E81" s="62">
        <v>12000.0</v>
      </c>
      <c r="F81" s="62">
        <v>12000.0</v>
      </c>
      <c r="G81" s="62">
        <v>12000.0</v>
      </c>
      <c r="H81" s="64">
        <v>10000.0</v>
      </c>
      <c r="I81" s="64">
        <v>12000.0</v>
      </c>
      <c r="J81" s="55">
        <v>10000.0</v>
      </c>
      <c r="K81" s="65">
        <f t="shared" si="16"/>
        <v>10857.14286</v>
      </c>
      <c r="M81" s="7"/>
      <c r="N81" s="7"/>
    </row>
    <row r="82" ht="15.75" customHeight="1">
      <c r="A82" s="135"/>
      <c r="B82" s="50" t="s">
        <v>110</v>
      </c>
      <c r="C82" s="115" t="s">
        <v>24</v>
      </c>
      <c r="D82" s="66">
        <v>7000.0</v>
      </c>
      <c r="E82" s="54">
        <v>10000.0</v>
      </c>
      <c r="F82" s="63">
        <v>10000.0</v>
      </c>
      <c r="G82" s="63" t="s">
        <v>27</v>
      </c>
      <c r="H82" s="136">
        <v>9000.0</v>
      </c>
      <c r="I82" s="137">
        <v>10000.0</v>
      </c>
      <c r="J82" s="138">
        <v>8000.0</v>
      </c>
      <c r="K82" s="65">
        <f t="shared" si="16"/>
        <v>9000</v>
      </c>
      <c r="M82" s="7"/>
      <c r="N82" s="7"/>
    </row>
    <row r="83" ht="15.75" customHeight="1">
      <c r="A83" s="135"/>
      <c r="B83" s="50" t="s">
        <v>111</v>
      </c>
      <c r="C83" s="115" t="s">
        <v>112</v>
      </c>
      <c r="D83" s="66">
        <v>2000.0</v>
      </c>
      <c r="E83" s="54" t="s">
        <v>27</v>
      </c>
      <c r="F83" s="62">
        <v>2000.0</v>
      </c>
      <c r="G83" s="63">
        <v>2000.0</v>
      </c>
      <c r="H83" s="64">
        <v>1500.0</v>
      </c>
      <c r="I83" s="68">
        <v>2000.0</v>
      </c>
      <c r="J83" s="104">
        <v>2000.0</v>
      </c>
      <c r="K83" s="65">
        <f t="shared" si="16"/>
        <v>1916.666667</v>
      </c>
      <c r="M83" s="7"/>
      <c r="N83" s="7"/>
    </row>
    <row r="84" ht="15.75" customHeight="1">
      <c r="A84" s="135"/>
      <c r="B84" s="50" t="s">
        <v>113</v>
      </c>
      <c r="C84" s="115" t="s">
        <v>112</v>
      </c>
      <c r="D84" s="66">
        <v>1500.0</v>
      </c>
      <c r="E84" s="54" t="s">
        <v>27</v>
      </c>
      <c r="F84" s="62">
        <v>1500.0</v>
      </c>
      <c r="G84" s="63">
        <v>2000.0</v>
      </c>
      <c r="H84" s="64">
        <v>1500.0</v>
      </c>
      <c r="I84" s="68">
        <v>2000.0</v>
      </c>
      <c r="J84" s="104">
        <v>1500.0</v>
      </c>
      <c r="K84" s="65">
        <f t="shared" si="16"/>
        <v>1666.666667</v>
      </c>
      <c r="M84" s="7"/>
      <c r="N84" s="7"/>
    </row>
    <row r="85" ht="15.75" customHeight="1">
      <c r="A85" s="132"/>
      <c r="B85" s="50" t="s">
        <v>114</v>
      </c>
      <c r="C85" s="115" t="s">
        <v>112</v>
      </c>
      <c r="D85" s="66" t="s">
        <v>27</v>
      </c>
      <c r="E85" s="54" t="s">
        <v>27</v>
      </c>
      <c r="F85" s="62">
        <v>2000.0</v>
      </c>
      <c r="G85" s="63">
        <v>2000.0</v>
      </c>
      <c r="H85" s="64">
        <v>2000.0</v>
      </c>
      <c r="I85" s="68">
        <v>2000.0</v>
      </c>
      <c r="J85" s="104">
        <v>2000.0</v>
      </c>
      <c r="K85" s="65">
        <f t="shared" si="16"/>
        <v>2000</v>
      </c>
      <c r="M85" s="7"/>
      <c r="N85" s="7"/>
    </row>
    <row r="86" ht="15.75" customHeight="1">
      <c r="A86" s="129">
        <v>22.0</v>
      </c>
      <c r="B86" s="76" t="s">
        <v>115</v>
      </c>
      <c r="C86" s="107"/>
      <c r="D86" s="140"/>
      <c r="E86" s="67"/>
      <c r="F86" s="79" t="s">
        <v>116</v>
      </c>
      <c r="G86" s="112"/>
      <c r="H86" s="113"/>
      <c r="I86" s="113"/>
      <c r="J86" s="114"/>
      <c r="K86" s="83"/>
      <c r="M86" s="7"/>
      <c r="N86" s="7"/>
    </row>
    <row r="87" ht="15.75" customHeight="1">
      <c r="A87" s="132"/>
      <c r="B87" s="50" t="s">
        <v>117</v>
      </c>
      <c r="C87" s="115" t="s">
        <v>118</v>
      </c>
      <c r="D87" s="66">
        <v>18000.0</v>
      </c>
      <c r="E87" s="54" t="s">
        <v>27</v>
      </c>
      <c r="F87" s="54">
        <v>17000.0</v>
      </c>
      <c r="G87" s="63">
        <v>17000.0</v>
      </c>
      <c r="H87" s="98" t="s">
        <v>27</v>
      </c>
      <c r="I87" s="69">
        <v>20000.0</v>
      </c>
      <c r="J87" s="104">
        <v>18000.0</v>
      </c>
      <c r="K87" s="65">
        <f>AVERAGE(D87:J87)</f>
        <v>18000</v>
      </c>
      <c r="M87" s="7"/>
      <c r="N87" s="7"/>
    </row>
    <row r="88" ht="15.75" customHeight="1">
      <c r="D88" s="142"/>
      <c r="E88" s="143"/>
      <c r="J88" s="4"/>
      <c r="M88" s="7"/>
      <c r="N88" s="7"/>
    </row>
    <row r="89" ht="15.75" customHeight="1">
      <c r="B89" s="144"/>
      <c r="D89" s="142"/>
      <c r="J89" s="4"/>
      <c r="M89" s="7"/>
      <c r="N89" s="7"/>
    </row>
    <row r="90" ht="15.75" customHeight="1">
      <c r="D90" s="142"/>
      <c r="J90" s="4"/>
      <c r="M90" s="7"/>
      <c r="N90" s="7"/>
    </row>
    <row r="91" ht="15.75" customHeight="1">
      <c r="A91" s="7"/>
      <c r="B91" s="7"/>
      <c r="C91" s="7"/>
      <c r="D91" s="128"/>
      <c r="E91" s="7"/>
      <c r="F91" s="7"/>
      <c r="G91" s="7"/>
      <c r="H91" s="7"/>
      <c r="I91" s="7"/>
      <c r="J91" s="85"/>
      <c r="K91" s="7"/>
      <c r="L91" s="7"/>
      <c r="M91" s="7"/>
      <c r="N91" s="7"/>
    </row>
    <row r="92" ht="15.75" customHeight="1">
      <c r="D92" s="142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1"/>
    <mergeCell ref="A12:A14"/>
    <mergeCell ref="A15:A16"/>
    <mergeCell ref="A18:A19"/>
    <mergeCell ref="A20:A24"/>
    <mergeCell ref="A62:A65"/>
    <mergeCell ref="A68:A72"/>
    <mergeCell ref="A25:A31"/>
    <mergeCell ref="A32:A34"/>
    <mergeCell ref="A42:A44"/>
    <mergeCell ref="A45:A47"/>
    <mergeCell ref="A51:A52"/>
    <mergeCell ref="A53:A54"/>
    <mergeCell ref="A55:A59"/>
  </mergeCells>
  <printOptions/>
  <pageMargins bottom="0.75" footer="0.0" header="0.0" left="0.7" right="0.7" top="0.75"/>
  <pageSetup orientation="landscape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157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217" t="s">
        <v>12</v>
      </c>
      <c r="E4" s="218" t="s">
        <v>13</v>
      </c>
      <c r="F4" s="219" t="s">
        <v>14</v>
      </c>
      <c r="G4" s="220" t="s">
        <v>15</v>
      </c>
      <c r="H4" s="221" t="s">
        <v>16</v>
      </c>
      <c r="I4" s="2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 t="s">
        <v>7</v>
      </c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13500.0</v>
      </c>
      <c r="F8" s="62">
        <v>15000.0</v>
      </c>
      <c r="G8" s="62">
        <v>13500.0</v>
      </c>
      <c r="H8" s="62">
        <v>12000.0</v>
      </c>
      <c r="I8" s="64">
        <v>14000.0</v>
      </c>
      <c r="J8" s="56">
        <v>13500.0</v>
      </c>
      <c r="K8" s="57">
        <f t="shared" ref="K8:K12" si="1">AVERAGE(D8:J8)</f>
        <v>13500</v>
      </c>
      <c r="L8" s="58"/>
      <c r="M8" s="59"/>
      <c r="N8" s="7"/>
    </row>
    <row r="9">
      <c r="A9" s="25"/>
      <c r="B9" s="50" t="s">
        <v>40</v>
      </c>
      <c r="C9" s="51" t="s">
        <v>24</v>
      </c>
      <c r="D9" s="66" t="s">
        <v>27</v>
      </c>
      <c r="E9" s="54" t="s">
        <v>27</v>
      </c>
      <c r="F9" s="62">
        <v>13000.0</v>
      </c>
      <c r="G9" s="63" t="s">
        <v>27</v>
      </c>
      <c r="H9" s="64">
        <v>9000.0</v>
      </c>
      <c r="I9" s="64" t="s">
        <v>27</v>
      </c>
      <c r="J9" s="56">
        <v>9000.0</v>
      </c>
      <c r="K9" s="65">
        <f t="shared" si="1"/>
        <v>10333.33333</v>
      </c>
      <c r="M9" s="7"/>
      <c r="N9" s="7"/>
    </row>
    <row r="10">
      <c r="A10" s="25"/>
      <c r="B10" s="50" t="s">
        <v>25</v>
      </c>
      <c r="C10" s="51" t="s">
        <v>24</v>
      </c>
      <c r="D10" s="61">
        <v>11000.0</v>
      </c>
      <c r="E10" s="62">
        <v>11500.0</v>
      </c>
      <c r="F10" s="54" t="s">
        <v>27</v>
      </c>
      <c r="G10" s="63">
        <v>11500.0</v>
      </c>
      <c r="H10" s="68" t="s">
        <v>27</v>
      </c>
      <c r="I10" s="68">
        <v>11500.0</v>
      </c>
      <c r="J10" s="69" t="s">
        <v>27</v>
      </c>
      <c r="K10" s="65">
        <f t="shared" si="1"/>
        <v>11375</v>
      </c>
      <c r="M10" s="7"/>
      <c r="N10" s="7"/>
    </row>
    <row r="11">
      <c r="A11" s="25"/>
      <c r="B11" s="50" t="s">
        <v>26</v>
      </c>
      <c r="C11" s="51" t="s">
        <v>24</v>
      </c>
      <c r="D11" s="66" t="s">
        <v>27</v>
      </c>
      <c r="E11" s="54">
        <v>10000.0</v>
      </c>
      <c r="F11" s="63">
        <v>12000.0</v>
      </c>
      <c r="G11" s="63">
        <v>12000.0</v>
      </c>
      <c r="H11" s="68" t="s">
        <v>27</v>
      </c>
      <c r="I11" s="69">
        <v>11000.0</v>
      </c>
      <c r="J11" s="56">
        <v>8000.0</v>
      </c>
      <c r="K11" s="65">
        <f t="shared" si="1"/>
        <v>10600</v>
      </c>
      <c r="M11" s="7"/>
      <c r="N11" s="7"/>
    </row>
    <row r="12">
      <c r="A12" s="71"/>
      <c r="B12" s="50" t="s">
        <v>28</v>
      </c>
      <c r="C12" s="51" t="s">
        <v>24</v>
      </c>
      <c r="D12" s="66" t="s">
        <v>27</v>
      </c>
      <c r="E12" s="54">
        <v>22000.0</v>
      </c>
      <c r="F12" s="63">
        <v>20000.0</v>
      </c>
      <c r="G12" s="63">
        <v>20000.0</v>
      </c>
      <c r="H12" s="68" t="s">
        <v>27</v>
      </c>
      <c r="I12" s="69">
        <v>22000.0</v>
      </c>
      <c r="J12" s="56">
        <v>17000.0</v>
      </c>
      <c r="K12" s="65">
        <f t="shared" si="1"/>
        <v>20200</v>
      </c>
      <c r="M12" s="7"/>
      <c r="N12" s="7"/>
    </row>
    <row r="13">
      <c r="A13" s="75">
        <v>2.0</v>
      </c>
      <c r="B13" s="76" t="s">
        <v>29</v>
      </c>
      <c r="C13" s="77"/>
      <c r="D13" s="78"/>
      <c r="E13" s="79"/>
      <c r="F13" s="80"/>
      <c r="G13" s="81"/>
      <c r="H13" s="82"/>
      <c r="I13" s="82"/>
      <c r="J13" s="82"/>
      <c r="K13" s="83"/>
      <c r="M13" s="7"/>
      <c r="N13" s="85"/>
    </row>
    <row r="14">
      <c r="A14" s="25"/>
      <c r="B14" s="50" t="s">
        <v>91</v>
      </c>
      <c r="C14" s="51" t="s">
        <v>24</v>
      </c>
      <c r="D14" s="61">
        <v>13000.0</v>
      </c>
      <c r="E14" s="62">
        <v>13000.0</v>
      </c>
      <c r="F14" s="62">
        <v>13000.0</v>
      </c>
      <c r="G14" s="62">
        <v>13000.0</v>
      </c>
      <c r="H14" s="64">
        <v>13000.0</v>
      </c>
      <c r="I14" s="64">
        <v>13000.0</v>
      </c>
      <c r="J14" s="55">
        <v>13500.0</v>
      </c>
      <c r="K14" s="65">
        <f t="shared" ref="K14:K15" si="2">AVERAGE(D14:J14)</f>
        <v>13071.42857</v>
      </c>
      <c r="M14" s="7"/>
      <c r="N14" s="7"/>
    </row>
    <row r="15">
      <c r="A15" s="71"/>
      <c r="B15" s="50" t="s">
        <v>31</v>
      </c>
      <c r="C15" s="51" t="s">
        <v>24</v>
      </c>
      <c r="D15" s="66">
        <v>15000.0</v>
      </c>
      <c r="E15" s="54">
        <v>16000.0</v>
      </c>
      <c r="F15" s="90">
        <v>20000.0</v>
      </c>
      <c r="G15" s="63">
        <v>16000.0</v>
      </c>
      <c r="H15" s="64">
        <v>15000.0</v>
      </c>
      <c r="I15" s="64">
        <v>16000.0</v>
      </c>
      <c r="J15" s="55">
        <v>16000.0</v>
      </c>
      <c r="K15" s="65">
        <f t="shared" si="2"/>
        <v>16285.71429</v>
      </c>
      <c r="M15" s="7"/>
      <c r="N15" s="7"/>
    </row>
    <row r="16">
      <c r="A16" s="75">
        <v>3.0</v>
      </c>
      <c r="B16" s="76" t="s">
        <v>32</v>
      </c>
      <c r="C16" s="76"/>
      <c r="D16" s="91"/>
      <c r="E16" s="92"/>
      <c r="F16" s="93"/>
      <c r="G16" s="93"/>
      <c r="H16" s="94"/>
      <c r="I16" s="94"/>
      <c r="J16" s="95"/>
      <c r="K16" s="83"/>
      <c r="M16" s="7"/>
      <c r="N16" s="7"/>
    </row>
    <row r="17">
      <c r="A17" s="25"/>
      <c r="B17" s="50" t="s">
        <v>33</v>
      </c>
      <c r="C17" s="51" t="s">
        <v>24</v>
      </c>
      <c r="D17" s="61">
        <v>14500.0</v>
      </c>
      <c r="E17" s="54">
        <v>16000.0</v>
      </c>
      <c r="F17" s="62">
        <v>16000.0</v>
      </c>
      <c r="G17" s="62">
        <v>16000.0</v>
      </c>
      <c r="H17" s="64">
        <v>14000.0</v>
      </c>
      <c r="I17" s="64">
        <v>16000.0</v>
      </c>
      <c r="J17" s="102">
        <v>15000.0</v>
      </c>
      <c r="K17" s="65">
        <f t="shared" ref="K17:K18" si="3">AVERAGE(D17:J17)</f>
        <v>15357.14286</v>
      </c>
      <c r="M17" s="7"/>
      <c r="N17" s="7"/>
    </row>
    <row r="18">
      <c r="A18" s="96"/>
      <c r="B18" s="50" t="s">
        <v>34</v>
      </c>
      <c r="C18" s="51" t="s">
        <v>35</v>
      </c>
      <c r="D18" s="61">
        <v>14000.0</v>
      </c>
      <c r="E18" s="54">
        <v>14000.0</v>
      </c>
      <c r="F18" s="54">
        <v>14000.0</v>
      </c>
      <c r="G18" s="62">
        <v>14000.0</v>
      </c>
      <c r="H18" s="68" t="s">
        <v>27</v>
      </c>
      <c r="I18" s="64">
        <v>14000.0</v>
      </c>
      <c r="J18" s="55">
        <v>14000.0</v>
      </c>
      <c r="K18" s="65">
        <f t="shared" si="3"/>
        <v>14000</v>
      </c>
      <c r="M18" s="7"/>
      <c r="N18" s="7"/>
    </row>
    <row r="19">
      <c r="A19" s="75">
        <v>4.0</v>
      </c>
      <c r="B19" s="76" t="s">
        <v>36</v>
      </c>
      <c r="C19" s="76"/>
      <c r="D19" s="91"/>
      <c r="E19" s="92"/>
      <c r="F19" s="93"/>
      <c r="G19" s="97"/>
      <c r="H19" s="94"/>
      <c r="I19" s="94"/>
      <c r="J19" s="95"/>
      <c r="K19" s="83"/>
      <c r="M19" s="7"/>
      <c r="N19" s="7"/>
    </row>
    <row r="20" ht="17.25" customHeight="1">
      <c r="A20" s="71"/>
      <c r="B20" s="50" t="s">
        <v>37</v>
      </c>
      <c r="C20" s="51" t="s">
        <v>24</v>
      </c>
      <c r="D20" s="66">
        <v>20000.0</v>
      </c>
      <c r="E20" s="54" t="s">
        <v>27</v>
      </c>
      <c r="F20" s="63">
        <v>24000.0</v>
      </c>
      <c r="G20" s="63">
        <v>22000.0</v>
      </c>
      <c r="H20" s="98" t="s">
        <v>27</v>
      </c>
      <c r="I20" s="69">
        <v>24000.0</v>
      </c>
      <c r="J20" s="99" t="s">
        <v>27</v>
      </c>
      <c r="K20" s="65">
        <f>AVERAGE(D20:J20)</f>
        <v>22500</v>
      </c>
      <c r="M20" s="7"/>
      <c r="N20" s="7"/>
    </row>
    <row r="21" ht="15.75" customHeight="1">
      <c r="A21" s="75">
        <v>5.0</v>
      </c>
      <c r="B21" s="76" t="s">
        <v>38</v>
      </c>
      <c r="C21" s="76"/>
      <c r="D21" s="91"/>
      <c r="E21" s="80"/>
      <c r="F21" s="93"/>
      <c r="G21" s="97"/>
      <c r="H21" s="94"/>
      <c r="I21" s="100"/>
      <c r="J21" s="101"/>
      <c r="K21" s="83"/>
      <c r="M21" s="7"/>
      <c r="N21" s="7"/>
    </row>
    <row r="22" ht="15.75" customHeight="1">
      <c r="A22" s="25"/>
      <c r="B22" s="50" t="s">
        <v>39</v>
      </c>
      <c r="C22" s="51" t="s">
        <v>24</v>
      </c>
      <c r="D22" s="66">
        <v>120000.0</v>
      </c>
      <c r="E22" s="62">
        <v>120000.0</v>
      </c>
      <c r="F22" s="62">
        <v>130000.0</v>
      </c>
      <c r="G22" s="62">
        <v>125000.0</v>
      </c>
      <c r="H22" s="64">
        <v>120000.0</v>
      </c>
      <c r="I22" s="69">
        <v>120000.0</v>
      </c>
      <c r="J22" s="102">
        <v>125000.0</v>
      </c>
      <c r="K22" s="65">
        <f t="shared" ref="K22:K25" si="4">AVERAGE(D22:J22)</f>
        <v>122857.1429</v>
      </c>
      <c r="M22" s="7"/>
      <c r="N22" s="7"/>
    </row>
    <row r="23" ht="15.75" customHeight="1">
      <c r="A23" s="25"/>
      <c r="B23" s="50" t="s">
        <v>41</v>
      </c>
      <c r="C23" s="51" t="s">
        <v>24</v>
      </c>
      <c r="D23" s="66">
        <v>110000.0</v>
      </c>
      <c r="E23" s="62">
        <v>110000.0</v>
      </c>
      <c r="F23" s="62">
        <v>120000.0</v>
      </c>
      <c r="G23" s="62">
        <v>120000.0</v>
      </c>
      <c r="H23" s="64">
        <v>114000.0</v>
      </c>
      <c r="I23" s="68">
        <v>115000.0</v>
      </c>
      <c r="J23" s="55">
        <v>110000.0</v>
      </c>
      <c r="K23" s="65">
        <f t="shared" si="4"/>
        <v>114142.8571</v>
      </c>
      <c r="M23" s="7"/>
      <c r="N23" s="7"/>
    </row>
    <row r="24" ht="15.75" customHeight="1">
      <c r="A24" s="25"/>
      <c r="B24" s="50" t="s">
        <v>42</v>
      </c>
      <c r="C24" s="51" t="s">
        <v>24</v>
      </c>
      <c r="D24" s="66">
        <v>100000.0</v>
      </c>
      <c r="E24" s="62">
        <v>95000.0</v>
      </c>
      <c r="F24" s="62">
        <v>110000.0</v>
      </c>
      <c r="G24" s="62">
        <v>115000.0</v>
      </c>
      <c r="H24" s="64">
        <v>100000.0</v>
      </c>
      <c r="I24" s="69">
        <v>110000.0</v>
      </c>
      <c r="J24" s="102" t="s">
        <v>27</v>
      </c>
      <c r="K24" s="65">
        <f t="shared" si="4"/>
        <v>105000</v>
      </c>
      <c r="M24" s="7"/>
      <c r="N24" s="7"/>
    </row>
    <row r="25" ht="15.75" customHeight="1">
      <c r="A25" s="71"/>
      <c r="B25" s="50" t="s">
        <v>43</v>
      </c>
      <c r="C25" s="51" t="s">
        <v>24</v>
      </c>
      <c r="D25" s="61">
        <v>36000.0</v>
      </c>
      <c r="E25" s="62">
        <v>34000.0</v>
      </c>
      <c r="F25" s="62">
        <v>38000.0</v>
      </c>
      <c r="G25" s="62">
        <v>37000.0</v>
      </c>
      <c r="H25" s="55">
        <v>36000.0</v>
      </c>
      <c r="I25" s="68">
        <v>35000.0</v>
      </c>
      <c r="J25" s="55">
        <v>40000.0</v>
      </c>
      <c r="K25" s="65">
        <f t="shared" si="4"/>
        <v>36571.42857</v>
      </c>
      <c r="M25" s="7"/>
      <c r="N25" s="7"/>
    </row>
    <row r="26" ht="15.75" customHeight="1">
      <c r="A26" s="75">
        <v>6.0</v>
      </c>
      <c r="B26" s="76" t="s">
        <v>44</v>
      </c>
      <c r="C26" s="76"/>
      <c r="D26" s="91"/>
      <c r="E26" s="80"/>
      <c r="F26" s="97"/>
      <c r="G26" s="93"/>
      <c r="H26" s="95"/>
      <c r="I26" s="94"/>
      <c r="J26" s="95"/>
      <c r="K26" s="83"/>
      <c r="M26" s="7"/>
      <c r="N26" s="7"/>
    </row>
    <row r="27" ht="15.75" customHeight="1">
      <c r="A27" s="25"/>
      <c r="B27" s="50" t="s">
        <v>45</v>
      </c>
      <c r="C27" s="51" t="s">
        <v>24</v>
      </c>
      <c r="D27" s="66">
        <v>45000.0</v>
      </c>
      <c r="E27" s="62">
        <v>38000.0</v>
      </c>
      <c r="F27" s="54">
        <v>12000.0</v>
      </c>
      <c r="G27" s="62">
        <v>45000.0</v>
      </c>
      <c r="H27" s="64">
        <v>30000.0</v>
      </c>
      <c r="I27" s="68">
        <v>40000.0</v>
      </c>
      <c r="J27" s="55">
        <v>40000.0</v>
      </c>
      <c r="K27" s="65">
        <f t="shared" ref="K27:K32" si="5">AVERAGE(D27:J27)</f>
        <v>35714.28571</v>
      </c>
      <c r="M27" s="7"/>
      <c r="N27" s="7"/>
    </row>
    <row r="28" ht="15.75" customHeight="1">
      <c r="A28" s="25"/>
      <c r="B28" s="50" t="s">
        <v>46</v>
      </c>
      <c r="C28" s="51" t="s">
        <v>24</v>
      </c>
      <c r="D28" s="66">
        <v>35000.0</v>
      </c>
      <c r="E28" s="54">
        <v>30000.0</v>
      </c>
      <c r="F28" s="62">
        <v>35000.0</v>
      </c>
      <c r="G28" s="63">
        <v>35000.0</v>
      </c>
      <c r="H28" s="68">
        <v>23000.0</v>
      </c>
      <c r="I28" s="68">
        <v>32000.0</v>
      </c>
      <c r="J28" s="104">
        <v>30000.0</v>
      </c>
      <c r="K28" s="65">
        <f t="shared" si="5"/>
        <v>31428.57143</v>
      </c>
      <c r="L28" s="105" t="s">
        <v>47</v>
      </c>
      <c r="M28" s="7"/>
      <c r="N28" s="7"/>
    </row>
    <row r="29" ht="15.75" customHeight="1">
      <c r="A29" s="25"/>
      <c r="B29" s="50" t="s">
        <v>48</v>
      </c>
      <c r="C29" s="51" t="s">
        <v>24</v>
      </c>
      <c r="D29" s="66">
        <v>80000.0</v>
      </c>
      <c r="E29" s="54">
        <v>60000.0</v>
      </c>
      <c r="F29" s="63">
        <v>70000.0</v>
      </c>
      <c r="G29" s="63">
        <v>75000.0</v>
      </c>
      <c r="H29" s="64">
        <v>58000.0</v>
      </c>
      <c r="I29" s="68">
        <v>67000.0</v>
      </c>
      <c r="J29" s="104">
        <v>60000.0</v>
      </c>
      <c r="K29" s="65">
        <f t="shared" si="5"/>
        <v>67142.85714</v>
      </c>
      <c r="M29" s="7"/>
      <c r="N29" s="7"/>
    </row>
    <row r="30" ht="15.75" customHeight="1">
      <c r="A30" s="25"/>
      <c r="B30" s="50" t="s">
        <v>49</v>
      </c>
      <c r="C30" s="51" t="s">
        <v>24</v>
      </c>
      <c r="D30" s="66">
        <v>25000.0</v>
      </c>
      <c r="E30" s="54" t="s">
        <v>27</v>
      </c>
      <c r="F30" s="67" t="s">
        <v>27</v>
      </c>
      <c r="G30" s="63">
        <v>25000.0</v>
      </c>
      <c r="H30" s="64">
        <v>23000.0</v>
      </c>
      <c r="I30" s="68">
        <v>24000.0</v>
      </c>
      <c r="J30" s="104">
        <v>26000.0</v>
      </c>
      <c r="K30" s="65">
        <f t="shared" si="5"/>
        <v>24600</v>
      </c>
      <c r="M30" s="7"/>
      <c r="N30" s="7"/>
    </row>
    <row r="31" ht="15.75" customHeight="1">
      <c r="A31" s="25"/>
      <c r="B31" s="50" t="s">
        <v>50</v>
      </c>
      <c r="C31" s="51" t="s">
        <v>24</v>
      </c>
      <c r="D31" s="66">
        <v>45000.0</v>
      </c>
      <c r="E31" s="62">
        <v>36000.0</v>
      </c>
      <c r="F31" s="62">
        <v>40000.0</v>
      </c>
      <c r="G31" s="62">
        <v>45000.0</v>
      </c>
      <c r="H31" s="64">
        <v>28000.0</v>
      </c>
      <c r="I31" s="68">
        <v>40000.0</v>
      </c>
      <c r="J31" s="55">
        <v>35000.0</v>
      </c>
      <c r="K31" s="65">
        <f t="shared" si="5"/>
        <v>38428.57143</v>
      </c>
      <c r="M31" s="7"/>
      <c r="N31" s="7"/>
    </row>
    <row r="32" ht="15.75" customHeight="1">
      <c r="A32" s="71"/>
      <c r="B32" s="50" t="s">
        <v>51</v>
      </c>
      <c r="C32" s="51" t="s">
        <v>24</v>
      </c>
      <c r="D32" s="66" t="s">
        <v>27</v>
      </c>
      <c r="E32" s="62">
        <v>100000.0</v>
      </c>
      <c r="F32" s="62">
        <v>130000.0</v>
      </c>
      <c r="G32" s="54" t="s">
        <v>27</v>
      </c>
      <c r="H32" s="64">
        <v>80000.0</v>
      </c>
      <c r="I32" s="68" t="s">
        <v>27</v>
      </c>
      <c r="J32" s="104" t="s">
        <v>27</v>
      </c>
      <c r="K32" s="65">
        <f t="shared" si="5"/>
        <v>103333.3333</v>
      </c>
      <c r="M32" s="7"/>
      <c r="N32" s="7"/>
    </row>
    <row r="33" ht="15.75" customHeight="1">
      <c r="A33" s="75">
        <v>7.0</v>
      </c>
      <c r="B33" s="76" t="s">
        <v>52</v>
      </c>
      <c r="C33" s="76"/>
      <c r="D33" s="91"/>
      <c r="E33" s="80"/>
      <c r="F33" s="97"/>
      <c r="G33" s="97"/>
      <c r="H33" s="94"/>
      <c r="I33" s="94"/>
      <c r="J33" s="95" t="s">
        <v>53</v>
      </c>
      <c r="K33" s="83"/>
      <c r="M33" s="7"/>
      <c r="N33" s="7"/>
    </row>
    <row r="34" ht="15.75" customHeight="1">
      <c r="A34" s="25"/>
      <c r="B34" s="50" t="s">
        <v>54</v>
      </c>
      <c r="C34" s="51" t="s">
        <v>24</v>
      </c>
      <c r="D34" s="61">
        <v>27000.0</v>
      </c>
      <c r="E34" s="62">
        <v>27000.0</v>
      </c>
      <c r="F34" s="62">
        <v>28000.0</v>
      </c>
      <c r="G34" s="62">
        <v>27000.0</v>
      </c>
      <c r="H34" s="64">
        <v>27000.0</v>
      </c>
      <c r="I34" s="64">
        <v>27000.0</v>
      </c>
      <c r="J34" s="55">
        <v>27000.0</v>
      </c>
      <c r="K34" s="65">
        <f t="shared" ref="K34:K35" si="6">AVERAGE(D34:J34)</f>
        <v>27142.85714</v>
      </c>
      <c r="M34" s="7"/>
      <c r="N34" s="7"/>
    </row>
    <row r="35" ht="15.75" customHeight="1">
      <c r="A35" s="71"/>
      <c r="B35" s="50" t="s">
        <v>55</v>
      </c>
      <c r="C35" s="51" t="s">
        <v>56</v>
      </c>
      <c r="D35" s="61">
        <v>3000.0</v>
      </c>
      <c r="E35" s="62">
        <v>2200.0</v>
      </c>
      <c r="F35" s="62">
        <v>2000.0</v>
      </c>
      <c r="G35" s="62">
        <v>2000.0</v>
      </c>
      <c r="H35" s="64">
        <v>2000.0</v>
      </c>
      <c r="I35" s="64">
        <v>2500.0</v>
      </c>
      <c r="J35" s="55">
        <v>3000.0</v>
      </c>
      <c r="K35" s="65">
        <f t="shared" si="6"/>
        <v>2385.714286</v>
      </c>
      <c r="M35" s="7"/>
      <c r="N35" s="7"/>
    </row>
    <row r="36" ht="15.75" customHeight="1">
      <c r="A36" s="96">
        <v>8.0</v>
      </c>
      <c r="B36" s="76" t="s">
        <v>122</v>
      </c>
      <c r="C36" s="107"/>
      <c r="D36" s="61"/>
      <c r="E36" s="62"/>
      <c r="F36" s="62"/>
      <c r="G36" s="62"/>
      <c r="H36" s="64"/>
      <c r="I36" s="64"/>
      <c r="J36" s="55"/>
      <c r="K36" s="156"/>
      <c r="M36" s="7"/>
      <c r="N36" s="7"/>
    </row>
    <row r="37" ht="15.75" customHeight="1">
      <c r="A37" s="96"/>
      <c r="B37" s="50" t="s">
        <v>123</v>
      </c>
      <c r="C37" s="51" t="s">
        <v>24</v>
      </c>
      <c r="D37" s="61">
        <v>10000.0</v>
      </c>
      <c r="E37" s="62">
        <v>10000.0</v>
      </c>
      <c r="F37" s="62">
        <v>12000.0</v>
      </c>
      <c r="G37" s="62">
        <v>9000.0</v>
      </c>
      <c r="H37" s="64">
        <v>16000.0</v>
      </c>
      <c r="I37" s="64">
        <v>12000.0</v>
      </c>
      <c r="J37" s="55">
        <v>9000.0</v>
      </c>
      <c r="K37" s="65">
        <f t="shared" ref="K37:K38" si="7">AVERAGE(D37:J37)</f>
        <v>11142.85714</v>
      </c>
      <c r="M37" s="7"/>
      <c r="N37" s="7"/>
    </row>
    <row r="38" ht="15.75" customHeight="1">
      <c r="A38" s="96"/>
      <c r="B38" s="50" t="s">
        <v>124</v>
      </c>
      <c r="C38" s="51" t="s">
        <v>24</v>
      </c>
      <c r="D38" s="66" t="s">
        <v>27</v>
      </c>
      <c r="E38" s="62">
        <v>7000.0</v>
      </c>
      <c r="F38" s="62">
        <v>13000.0</v>
      </c>
      <c r="G38" s="62">
        <v>17000.0</v>
      </c>
      <c r="H38" s="68" t="s">
        <v>27</v>
      </c>
      <c r="I38" s="68">
        <v>13000.0</v>
      </c>
      <c r="J38" s="55">
        <v>12000.0</v>
      </c>
      <c r="K38" s="65">
        <f t="shared" si="7"/>
        <v>12400</v>
      </c>
      <c r="M38" s="7"/>
      <c r="N38" s="7"/>
    </row>
    <row r="39" ht="15.75" customHeight="1">
      <c r="A39" s="96">
        <v>9.0</v>
      </c>
      <c r="B39" s="157" t="s">
        <v>125</v>
      </c>
      <c r="C39" s="158"/>
      <c r="D39" s="66"/>
      <c r="E39" s="62"/>
      <c r="F39" s="62"/>
      <c r="G39" s="62"/>
      <c r="H39" s="64"/>
      <c r="I39" s="64"/>
      <c r="J39" s="55"/>
      <c r="K39" s="156"/>
      <c r="M39" s="7"/>
      <c r="N39" s="7"/>
    </row>
    <row r="40" ht="15.75" customHeight="1">
      <c r="A40" s="96"/>
      <c r="B40" s="50" t="s">
        <v>126</v>
      </c>
      <c r="C40" s="51" t="s">
        <v>24</v>
      </c>
      <c r="D40" s="66" t="s">
        <v>27</v>
      </c>
      <c r="E40" s="62">
        <v>18000.0</v>
      </c>
      <c r="F40" s="54" t="s">
        <v>27</v>
      </c>
      <c r="G40" s="62">
        <v>16000.0</v>
      </c>
      <c r="H40" s="64">
        <v>14000.0</v>
      </c>
      <c r="I40" s="64">
        <v>15000.0</v>
      </c>
      <c r="J40" s="55">
        <v>15000.0</v>
      </c>
      <c r="K40" s="65">
        <f t="shared" ref="K40:K42" si="8">AVERAGE(D40:J40)</f>
        <v>15600</v>
      </c>
      <c r="M40" s="7"/>
      <c r="N40" s="7"/>
    </row>
    <row r="41" ht="15.75" customHeight="1">
      <c r="A41" s="96"/>
      <c r="B41" s="50" t="s">
        <v>127</v>
      </c>
      <c r="C41" s="51" t="s">
        <v>24</v>
      </c>
      <c r="D41" s="61">
        <v>2500.0</v>
      </c>
      <c r="E41" s="62">
        <v>12000.0</v>
      </c>
      <c r="F41" s="62">
        <v>6000.0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6833.333333</v>
      </c>
      <c r="M41" s="7"/>
      <c r="N41" s="7"/>
    </row>
    <row r="42" ht="15.75" customHeight="1">
      <c r="A42" s="96"/>
      <c r="B42" s="50" t="s">
        <v>128</v>
      </c>
      <c r="C42" s="51" t="s">
        <v>24</v>
      </c>
      <c r="D42" s="66" t="s">
        <v>27</v>
      </c>
      <c r="E42" s="62">
        <v>2000.0</v>
      </c>
      <c r="F42" s="54" t="s">
        <v>27</v>
      </c>
      <c r="G42" s="54" t="s">
        <v>27</v>
      </c>
      <c r="H42" s="68" t="s">
        <v>27</v>
      </c>
      <c r="I42" s="68" t="s">
        <v>27</v>
      </c>
      <c r="J42" s="102" t="s">
        <v>27</v>
      </c>
      <c r="K42" s="65">
        <f t="shared" si="8"/>
        <v>2000</v>
      </c>
      <c r="M42" s="7"/>
      <c r="N42" s="7"/>
    </row>
    <row r="43" ht="15.75" customHeight="1">
      <c r="A43" s="75">
        <v>10.0</v>
      </c>
      <c r="B43" s="76" t="s">
        <v>61</v>
      </c>
      <c r="C43" s="76"/>
      <c r="D43" s="91"/>
      <c r="E43" s="80"/>
      <c r="F43" s="97"/>
      <c r="G43" s="93"/>
      <c r="H43" s="94"/>
      <c r="I43" s="94"/>
      <c r="J43" s="108"/>
      <c r="K43" s="83"/>
      <c r="M43" s="7"/>
      <c r="N43" s="7"/>
    </row>
    <row r="44" ht="15.75" customHeight="1">
      <c r="A44" s="25"/>
      <c r="B44" s="50" t="s">
        <v>62</v>
      </c>
      <c r="C44" s="51" t="s">
        <v>63</v>
      </c>
      <c r="D44" s="61">
        <v>12500.0</v>
      </c>
      <c r="E44" s="54">
        <v>12000.0</v>
      </c>
      <c r="F44" s="62">
        <v>12500.0</v>
      </c>
      <c r="G44" s="62">
        <v>12000.0</v>
      </c>
      <c r="H44" s="98" t="s">
        <v>27</v>
      </c>
      <c r="I44" s="69">
        <v>12500.0</v>
      </c>
      <c r="J44" s="102">
        <v>12500.0</v>
      </c>
      <c r="K44" s="65">
        <f t="shared" ref="K44:K45" si="9">AVERAGE(D44:J44)</f>
        <v>12333.33333</v>
      </c>
      <c r="M44" s="7"/>
      <c r="N44" s="7"/>
    </row>
    <row r="45" ht="15.75" customHeight="1">
      <c r="A45" s="71"/>
      <c r="B45" s="50" t="s">
        <v>130</v>
      </c>
      <c r="C45" s="51" t="s">
        <v>63</v>
      </c>
      <c r="D45" s="66">
        <v>12500.0</v>
      </c>
      <c r="E45" s="54">
        <v>13000.0</v>
      </c>
      <c r="F45" s="63">
        <v>12500.0</v>
      </c>
      <c r="G45" s="62">
        <v>12000.0</v>
      </c>
      <c r="H45" s="98" t="s">
        <v>27</v>
      </c>
      <c r="I45" s="69">
        <v>12500.0</v>
      </c>
      <c r="J45" s="104">
        <v>12500.0</v>
      </c>
      <c r="K45" s="65">
        <f t="shared" si="9"/>
        <v>12500</v>
      </c>
      <c r="M45" s="7"/>
      <c r="N45" s="7"/>
    </row>
    <row r="46" ht="15.75" customHeight="1">
      <c r="A46" s="75">
        <v>11.0</v>
      </c>
      <c r="B46" s="76" t="s">
        <v>66</v>
      </c>
      <c r="C46" s="76"/>
      <c r="D46" s="91"/>
      <c r="E46" s="109"/>
      <c r="F46" s="93"/>
      <c r="G46" s="97"/>
      <c r="H46" s="94"/>
      <c r="I46" s="94"/>
      <c r="J46" s="95"/>
      <c r="K46" s="83"/>
      <c r="M46" s="7"/>
      <c r="N46" s="7"/>
    </row>
    <row r="47" ht="15.75" customHeight="1">
      <c r="A47" s="25"/>
      <c r="B47" s="50" t="s">
        <v>67</v>
      </c>
      <c r="C47" s="51" t="s">
        <v>68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17500.0</v>
      </c>
      <c r="I47" s="69" t="s">
        <v>27</v>
      </c>
      <c r="J47" s="104" t="s">
        <v>27</v>
      </c>
      <c r="K47" s="65">
        <f t="shared" ref="K47:K48" si="10">AVERAGE(D47:J47)</f>
        <v>17500</v>
      </c>
      <c r="M47" s="7"/>
      <c r="N47" s="7"/>
    </row>
    <row r="48" ht="15.75" customHeight="1">
      <c r="A48" s="25"/>
      <c r="B48" s="50" t="s">
        <v>69</v>
      </c>
      <c r="C48" s="51" t="s">
        <v>70</v>
      </c>
      <c r="D48" s="66" t="s">
        <v>27</v>
      </c>
      <c r="E48" s="54" t="s">
        <v>27</v>
      </c>
      <c r="F48" s="67" t="s">
        <v>27</v>
      </c>
      <c r="G48" s="63" t="s">
        <v>27</v>
      </c>
      <c r="H48" s="64">
        <v>2000.0</v>
      </c>
      <c r="I48" s="69" t="s">
        <v>27</v>
      </c>
      <c r="J48" s="104" t="s">
        <v>27</v>
      </c>
      <c r="K48" s="65">
        <f t="shared" si="10"/>
        <v>2000</v>
      </c>
      <c r="M48" s="7"/>
      <c r="N48" s="7"/>
    </row>
    <row r="49" ht="15.75" customHeight="1">
      <c r="A49" s="96">
        <v>12.0</v>
      </c>
      <c r="B49" s="110" t="s">
        <v>71</v>
      </c>
      <c r="C49" s="107"/>
      <c r="D49" s="111"/>
      <c r="E49" s="79"/>
      <c r="F49" s="79"/>
      <c r="G49" s="112"/>
      <c r="H49" s="113"/>
      <c r="I49" s="113"/>
      <c r="J49" s="114"/>
      <c r="K49" s="83"/>
      <c r="M49" s="7"/>
      <c r="N49" s="7"/>
    </row>
    <row r="50" ht="15.75" customHeight="1">
      <c r="A50" s="96"/>
      <c r="B50" s="50" t="s">
        <v>72</v>
      </c>
      <c r="C50" s="115" t="s">
        <v>24</v>
      </c>
      <c r="D50" s="61">
        <v>10000.0</v>
      </c>
      <c r="E50" s="62">
        <v>8000.0</v>
      </c>
      <c r="F50" s="62">
        <v>9000.0</v>
      </c>
      <c r="G50" s="62">
        <v>10000.0</v>
      </c>
      <c r="H50" s="64">
        <v>9000.0</v>
      </c>
      <c r="I50" s="69">
        <v>10000.0</v>
      </c>
      <c r="J50" s="55">
        <v>8000.0</v>
      </c>
      <c r="K50" s="65">
        <f t="shared" ref="K50:K51" si="11">AVERAGE(D50:J50)</f>
        <v>9142.857143</v>
      </c>
      <c r="M50" s="7"/>
      <c r="N50" s="7"/>
    </row>
    <row r="51" ht="15.75" customHeight="1">
      <c r="A51" s="116"/>
      <c r="B51" s="50" t="s">
        <v>73</v>
      </c>
      <c r="C51" s="115" t="s">
        <v>24</v>
      </c>
      <c r="D51" s="61">
        <v>9000.0</v>
      </c>
      <c r="E51" s="62">
        <v>10000.0</v>
      </c>
      <c r="F51" s="63">
        <v>10000.0</v>
      </c>
      <c r="G51" s="62">
        <v>9000.0</v>
      </c>
      <c r="H51" s="64">
        <v>6000.0</v>
      </c>
      <c r="I51" s="68" t="s">
        <v>27</v>
      </c>
      <c r="J51" s="55">
        <v>6000.0</v>
      </c>
      <c r="K51" s="65">
        <f t="shared" si="11"/>
        <v>8333.333333</v>
      </c>
      <c r="M51" s="7"/>
      <c r="N51" s="7"/>
    </row>
    <row r="52" ht="15.75" customHeight="1">
      <c r="A52" s="75">
        <v>13.0</v>
      </c>
      <c r="B52" s="76" t="s">
        <v>74</v>
      </c>
      <c r="C52" s="76"/>
      <c r="D52" s="91"/>
      <c r="E52" s="80"/>
      <c r="F52" s="97"/>
      <c r="G52" s="97"/>
      <c r="H52" s="94"/>
      <c r="I52" s="94"/>
      <c r="J52" s="108"/>
      <c r="K52" s="83"/>
      <c r="M52" s="7"/>
      <c r="N52" s="7"/>
    </row>
    <row r="53" ht="15.75" customHeight="1">
      <c r="A53" s="71"/>
      <c r="B53" s="50" t="s">
        <v>75</v>
      </c>
      <c r="C53" s="51" t="s">
        <v>76</v>
      </c>
      <c r="D53" s="61">
        <v>3000.0</v>
      </c>
      <c r="E53" s="62">
        <v>8000.0</v>
      </c>
      <c r="F53" s="62">
        <v>5000.0</v>
      </c>
      <c r="G53" s="62">
        <v>5000.0</v>
      </c>
      <c r="H53" s="64">
        <v>2500.0</v>
      </c>
      <c r="I53" s="69">
        <v>2000.0</v>
      </c>
      <c r="J53" s="102">
        <v>2500.0</v>
      </c>
      <c r="K53" s="65">
        <f>AVERAGE(D53:J53)</f>
        <v>4000</v>
      </c>
      <c r="M53" s="7"/>
      <c r="N53" s="7"/>
    </row>
    <row r="54" ht="15.75" customHeight="1">
      <c r="A54" s="75">
        <v>14.0</v>
      </c>
      <c r="B54" s="76" t="s">
        <v>77</v>
      </c>
      <c r="C54" s="107"/>
      <c r="D54" s="117"/>
      <c r="E54" s="109"/>
      <c r="F54" s="118"/>
      <c r="G54" s="119"/>
      <c r="H54" s="120"/>
      <c r="I54" s="120"/>
      <c r="J54" s="121"/>
      <c r="K54" s="83"/>
      <c r="M54" s="7"/>
      <c r="N54" s="7"/>
    </row>
    <row r="55" ht="15.75" customHeight="1">
      <c r="A55" s="71"/>
      <c r="B55" s="122" t="s">
        <v>78</v>
      </c>
      <c r="C55" s="115" t="s">
        <v>24</v>
      </c>
      <c r="D55" s="61">
        <v>12000.0</v>
      </c>
      <c r="E55" s="62">
        <v>10500.0</v>
      </c>
      <c r="F55" s="62">
        <v>12500.0</v>
      </c>
      <c r="G55" s="62">
        <v>11000.0</v>
      </c>
      <c r="H55" s="64">
        <v>11000.0</v>
      </c>
      <c r="I55" s="64">
        <v>12000.0</v>
      </c>
      <c r="J55" s="55">
        <v>10000.0</v>
      </c>
      <c r="K55" s="65">
        <f>AVERAGE(D55:J55)</f>
        <v>11285.71429</v>
      </c>
      <c r="M55" s="7"/>
      <c r="N55" s="7"/>
    </row>
    <row r="56" ht="15.75" customHeight="1">
      <c r="A56" s="75">
        <v>15.0</v>
      </c>
      <c r="B56" s="76" t="s">
        <v>79</v>
      </c>
      <c r="C56" s="76"/>
      <c r="D56" s="91"/>
      <c r="E56" s="80"/>
      <c r="F56" s="97"/>
      <c r="G56" s="93"/>
      <c r="H56" s="94"/>
      <c r="I56" s="94"/>
      <c r="J56" s="108"/>
      <c r="K56" s="83"/>
      <c r="M56" s="7"/>
      <c r="N56" s="7"/>
    </row>
    <row r="57" ht="15.75" customHeight="1">
      <c r="A57" s="25"/>
      <c r="B57" s="50" t="s">
        <v>80</v>
      </c>
      <c r="C57" s="51" t="s">
        <v>24</v>
      </c>
      <c r="D57" s="61">
        <v>13000.0</v>
      </c>
      <c r="E57" s="62">
        <v>16000.0</v>
      </c>
      <c r="F57" s="62">
        <v>16000.0</v>
      </c>
      <c r="G57" s="62">
        <v>20000.0</v>
      </c>
      <c r="H57" s="64">
        <v>13000.0</v>
      </c>
      <c r="I57" s="68">
        <v>16000.0</v>
      </c>
      <c r="J57" s="102" t="s">
        <v>27</v>
      </c>
      <c r="K57" s="65">
        <f t="shared" ref="K57:K60" si="12">AVERAGE(D57:J57)</f>
        <v>15666.66667</v>
      </c>
      <c r="M57" s="7"/>
      <c r="N57" s="7"/>
    </row>
    <row r="58" ht="15.75" customHeight="1">
      <c r="A58" s="25"/>
      <c r="B58" s="50" t="s">
        <v>81</v>
      </c>
      <c r="C58" s="51" t="s">
        <v>24</v>
      </c>
      <c r="D58" s="66" t="s">
        <v>27</v>
      </c>
      <c r="E58" s="62">
        <v>14000.0</v>
      </c>
      <c r="F58" s="63">
        <v>15000.0</v>
      </c>
      <c r="G58" s="124" t="s">
        <v>27</v>
      </c>
      <c r="H58" s="126" t="s">
        <v>27</v>
      </c>
      <c r="I58" s="69" t="s">
        <v>27</v>
      </c>
      <c r="J58" s="102">
        <v>13500.0</v>
      </c>
      <c r="K58" s="65">
        <f t="shared" si="12"/>
        <v>14166.66667</v>
      </c>
      <c r="M58" s="7" t="s">
        <v>82</v>
      </c>
      <c r="N58" s="7"/>
    </row>
    <row r="59" ht="15.75" customHeight="1">
      <c r="A59" s="25"/>
      <c r="B59" s="50" t="s">
        <v>83</v>
      </c>
      <c r="C59" s="51" t="s">
        <v>24</v>
      </c>
      <c r="D59" s="61">
        <v>25000.0</v>
      </c>
      <c r="E59" s="62">
        <v>23000.0</v>
      </c>
      <c r="F59" s="62">
        <v>25000.0</v>
      </c>
      <c r="G59" s="62">
        <v>30000.0</v>
      </c>
      <c r="H59" s="64">
        <v>22000.0</v>
      </c>
      <c r="I59" s="64">
        <v>26000.0</v>
      </c>
      <c r="J59" s="102">
        <v>26000.0</v>
      </c>
      <c r="K59" s="65">
        <f t="shared" si="12"/>
        <v>25285.71429</v>
      </c>
      <c r="M59" s="7"/>
      <c r="N59" s="128"/>
    </row>
    <row r="60" ht="15.75" customHeight="1">
      <c r="A60" s="71"/>
      <c r="B60" s="50" t="s">
        <v>84</v>
      </c>
      <c r="C60" s="51" t="s">
        <v>24</v>
      </c>
      <c r="D60" s="61">
        <v>30000.0</v>
      </c>
      <c r="E60" s="62">
        <v>30000.0</v>
      </c>
      <c r="F60" s="62">
        <v>32000.0</v>
      </c>
      <c r="G60" s="62">
        <v>30000.0</v>
      </c>
      <c r="H60" s="64">
        <v>26000.0</v>
      </c>
      <c r="I60" s="64">
        <v>30000.0</v>
      </c>
      <c r="J60" s="102">
        <v>28000.0</v>
      </c>
      <c r="K60" s="65">
        <f t="shared" si="12"/>
        <v>29428.57143</v>
      </c>
      <c r="M60" s="7"/>
      <c r="N60" s="7"/>
    </row>
    <row r="61" ht="15.75" customHeight="1">
      <c r="A61" s="129">
        <v>16.0</v>
      </c>
      <c r="B61" s="76" t="s">
        <v>85</v>
      </c>
      <c r="C61" s="107"/>
      <c r="D61" s="130"/>
      <c r="E61" s="79"/>
      <c r="F61" s="112"/>
      <c r="G61" s="79"/>
      <c r="H61" s="113"/>
      <c r="I61" s="113"/>
      <c r="J61" s="131"/>
      <c r="K61" s="83"/>
      <c r="M61" s="7"/>
      <c r="N61" s="7"/>
    </row>
    <row r="62" ht="15.75" customHeight="1">
      <c r="A62" s="132"/>
      <c r="B62" s="50" t="s">
        <v>86</v>
      </c>
      <c r="C62" s="115" t="s">
        <v>87</v>
      </c>
      <c r="D62" s="61">
        <v>3000.0</v>
      </c>
      <c r="E62" s="62">
        <v>3200.0</v>
      </c>
      <c r="F62" s="62">
        <v>3000.0</v>
      </c>
      <c r="G62" s="62">
        <v>3000.0</v>
      </c>
      <c r="H62" s="98" t="s">
        <v>27</v>
      </c>
      <c r="I62" s="69">
        <v>3500.0</v>
      </c>
      <c r="J62" s="55">
        <v>3500.0</v>
      </c>
      <c r="K62" s="65">
        <f>AVERAGE(D62:J62)</f>
        <v>3200</v>
      </c>
      <c r="M62" s="7"/>
      <c r="N62" s="7"/>
    </row>
    <row r="63" ht="15.75" customHeight="1">
      <c r="A63" s="75">
        <v>17.0</v>
      </c>
      <c r="B63" s="76" t="s">
        <v>88</v>
      </c>
      <c r="C63" s="76"/>
      <c r="D63" s="91"/>
      <c r="E63" s="80"/>
      <c r="F63" s="97"/>
      <c r="G63" s="97"/>
      <c r="H63" s="94"/>
      <c r="I63" s="94"/>
      <c r="J63" s="108"/>
      <c r="K63" s="83"/>
      <c r="M63" s="7"/>
      <c r="N63" s="7"/>
    </row>
    <row r="64" ht="15.75" customHeight="1">
      <c r="A64" s="25"/>
      <c r="B64" s="50" t="s">
        <v>89</v>
      </c>
      <c r="C64" s="51" t="s">
        <v>24</v>
      </c>
      <c r="D64" s="61">
        <v>24000.0</v>
      </c>
      <c r="E64" s="62">
        <v>25000.0</v>
      </c>
      <c r="F64" s="62">
        <v>28000.0</v>
      </c>
      <c r="G64" s="62">
        <v>40000.0</v>
      </c>
      <c r="H64" s="64">
        <v>18000.0</v>
      </c>
      <c r="I64" s="64">
        <v>35000.0</v>
      </c>
      <c r="J64" s="55">
        <v>25000.0</v>
      </c>
      <c r="K64" s="65">
        <f t="shared" ref="K64:K66" si="13">AVERAGE(D64:J64)</f>
        <v>27857.14286</v>
      </c>
      <c r="M64" s="7"/>
      <c r="N64" s="7"/>
    </row>
    <row r="65" ht="15.75" customHeight="1">
      <c r="A65" s="25"/>
      <c r="B65" s="50" t="s">
        <v>90</v>
      </c>
      <c r="C65" s="51" t="s">
        <v>24</v>
      </c>
      <c r="D65" s="66">
        <v>30000.0</v>
      </c>
      <c r="E65" s="62">
        <v>25000.0</v>
      </c>
      <c r="F65" s="62">
        <v>50000.0</v>
      </c>
      <c r="G65" s="62">
        <v>40000.0</v>
      </c>
      <c r="H65" s="126" t="s">
        <v>27</v>
      </c>
      <c r="I65" s="69" t="s">
        <v>27</v>
      </c>
      <c r="J65" s="102" t="s">
        <v>27</v>
      </c>
      <c r="K65" s="65">
        <f t="shared" si="13"/>
        <v>36250</v>
      </c>
      <c r="M65" s="7"/>
      <c r="N65" s="7"/>
    </row>
    <row r="66" ht="15.75" customHeight="1">
      <c r="A66" s="71"/>
      <c r="B66" s="50" t="s">
        <v>92</v>
      </c>
      <c r="C66" s="51" t="s">
        <v>24</v>
      </c>
      <c r="D66" s="61">
        <v>25000.0</v>
      </c>
      <c r="E66" s="62">
        <v>30000.0</v>
      </c>
      <c r="F66" s="62">
        <v>24000.0</v>
      </c>
      <c r="G66" s="62">
        <v>30000.0</v>
      </c>
      <c r="H66" s="64">
        <v>20000.0</v>
      </c>
      <c r="I66" s="64">
        <v>30000.0</v>
      </c>
      <c r="J66" s="55">
        <v>25000.0</v>
      </c>
      <c r="K66" s="65">
        <f t="shared" si="13"/>
        <v>26285.71429</v>
      </c>
      <c r="M66" s="7"/>
      <c r="N66" s="7"/>
    </row>
    <row r="67" ht="15.75" customHeight="1">
      <c r="A67" s="129">
        <v>18.0</v>
      </c>
      <c r="B67" s="76" t="s">
        <v>93</v>
      </c>
      <c r="C67" s="107"/>
      <c r="D67" s="133"/>
      <c r="E67" s="79"/>
      <c r="F67" s="112"/>
      <c r="G67" s="79"/>
      <c r="H67" s="113"/>
      <c r="I67" s="113"/>
      <c r="J67" s="114"/>
      <c r="K67" s="83"/>
      <c r="M67" s="7"/>
      <c r="N67" s="7"/>
    </row>
    <row r="68" ht="15.75" customHeight="1">
      <c r="A68" s="132"/>
      <c r="B68" s="50" t="s">
        <v>94</v>
      </c>
      <c r="C68" s="51" t="s">
        <v>95</v>
      </c>
      <c r="D68" s="61">
        <v>19000.0</v>
      </c>
      <c r="E68" s="62">
        <v>18000.0</v>
      </c>
      <c r="F68" s="62">
        <v>18000.0</v>
      </c>
      <c r="G68" s="54">
        <v>18000.0</v>
      </c>
      <c r="H68" s="98" t="s">
        <v>27</v>
      </c>
      <c r="I68" s="68">
        <v>18000.0</v>
      </c>
      <c r="J68" s="104">
        <v>18000.0</v>
      </c>
      <c r="K68" s="65">
        <f>AVERAGE(D68:J68)</f>
        <v>18166.66667</v>
      </c>
      <c r="M68" s="7"/>
      <c r="N68" s="7"/>
    </row>
    <row r="69" ht="15.75" customHeight="1">
      <c r="A69" s="75">
        <v>19.0</v>
      </c>
      <c r="B69" s="76" t="s">
        <v>96</v>
      </c>
      <c r="C69" s="76"/>
      <c r="D69" s="91"/>
      <c r="E69" s="80"/>
      <c r="F69" s="93"/>
      <c r="G69" s="93"/>
      <c r="H69" s="94"/>
      <c r="I69" s="94"/>
      <c r="J69" s="95"/>
      <c r="K69" s="83"/>
      <c r="M69" s="7"/>
      <c r="N69" s="7"/>
    </row>
    <row r="70" ht="15.75" customHeight="1">
      <c r="A70" s="25"/>
      <c r="B70" s="50" t="s">
        <v>97</v>
      </c>
      <c r="C70" s="51" t="s">
        <v>24</v>
      </c>
      <c r="D70" s="61">
        <v>32000.0</v>
      </c>
      <c r="E70" s="62">
        <v>35000.0</v>
      </c>
      <c r="F70" s="62">
        <v>36000.0</v>
      </c>
      <c r="G70" s="62">
        <v>40000.0</v>
      </c>
      <c r="H70" s="64">
        <v>32000.0</v>
      </c>
      <c r="I70" s="64">
        <v>35000.0</v>
      </c>
      <c r="J70" s="55">
        <v>35000.0</v>
      </c>
      <c r="K70" s="65">
        <f t="shared" ref="K70:K73" si="14">AVERAGE(D70:J70)</f>
        <v>35000</v>
      </c>
      <c r="M70" s="7"/>
      <c r="N70" s="7"/>
    </row>
    <row r="71" ht="15.75" customHeight="1">
      <c r="A71" s="25"/>
      <c r="B71" s="50" t="s">
        <v>98</v>
      </c>
      <c r="C71" s="51" t="s">
        <v>24</v>
      </c>
      <c r="D71" s="66">
        <v>30000.0</v>
      </c>
      <c r="E71" s="62">
        <v>30000.0</v>
      </c>
      <c r="F71" s="62">
        <v>32000.0</v>
      </c>
      <c r="G71" s="62">
        <v>35000.0</v>
      </c>
      <c r="H71" s="64">
        <v>29000.0</v>
      </c>
      <c r="I71" s="64">
        <v>30000.0</v>
      </c>
      <c r="J71" s="55">
        <v>28000.0</v>
      </c>
      <c r="K71" s="65">
        <f t="shared" si="14"/>
        <v>30571.42857</v>
      </c>
      <c r="M71" s="7"/>
      <c r="N71" s="7"/>
    </row>
    <row r="72" ht="15.75" customHeight="1">
      <c r="A72" s="25"/>
      <c r="B72" s="50" t="s">
        <v>99</v>
      </c>
      <c r="C72" s="51" t="s">
        <v>24</v>
      </c>
      <c r="D72" s="61">
        <v>38000.0</v>
      </c>
      <c r="E72" s="62">
        <v>45000.0</v>
      </c>
      <c r="F72" s="62">
        <v>48000.0</v>
      </c>
      <c r="G72" s="62">
        <v>50000.0</v>
      </c>
      <c r="H72" s="64">
        <v>38000.0</v>
      </c>
      <c r="I72" s="64">
        <v>40000.0</v>
      </c>
      <c r="J72" s="55">
        <v>40000.0</v>
      </c>
      <c r="K72" s="65">
        <f t="shared" si="14"/>
        <v>42714.28571</v>
      </c>
      <c r="M72" s="7"/>
      <c r="N72" s="7"/>
    </row>
    <row r="73" ht="15.75" customHeight="1">
      <c r="A73" s="71"/>
      <c r="B73" s="50" t="s">
        <v>100</v>
      </c>
      <c r="C73" s="51" t="s">
        <v>24</v>
      </c>
      <c r="D73" s="61">
        <v>35000.0</v>
      </c>
      <c r="E73" s="54">
        <v>40000.0</v>
      </c>
      <c r="F73" s="63">
        <v>45000.0</v>
      </c>
      <c r="G73" s="63">
        <v>50000.0</v>
      </c>
      <c r="H73" s="64">
        <v>40000.0</v>
      </c>
      <c r="I73" s="68">
        <v>45000.0</v>
      </c>
      <c r="J73" s="102">
        <v>22000.0</v>
      </c>
      <c r="K73" s="65">
        <f t="shared" si="14"/>
        <v>39571.42857</v>
      </c>
      <c r="M73" s="7"/>
      <c r="N73" s="7"/>
    </row>
    <row r="74" ht="15.75" customHeight="1">
      <c r="A74" s="129">
        <v>20.0</v>
      </c>
      <c r="B74" s="76" t="s">
        <v>101</v>
      </c>
      <c r="C74" s="107"/>
      <c r="D74" s="133"/>
      <c r="E74" s="67"/>
      <c r="F74" s="79"/>
      <c r="G74" s="134"/>
      <c r="H74" s="113"/>
      <c r="I74" s="113"/>
      <c r="J74" s="131"/>
      <c r="K74" s="83"/>
      <c r="M74" s="7"/>
      <c r="N74" s="7"/>
    </row>
    <row r="75" ht="15.75" customHeight="1">
      <c r="A75" s="135"/>
      <c r="B75" s="50" t="s">
        <v>102</v>
      </c>
      <c r="C75" s="115" t="s">
        <v>24</v>
      </c>
      <c r="D75" s="61">
        <v>6000.0</v>
      </c>
      <c r="E75" s="54">
        <v>7000.0</v>
      </c>
      <c r="F75" s="62">
        <v>5000.0</v>
      </c>
      <c r="G75" s="62">
        <v>6000.0</v>
      </c>
      <c r="H75" s="64">
        <v>4000.0</v>
      </c>
      <c r="I75" s="64">
        <v>7000.0</v>
      </c>
      <c r="J75" s="102">
        <v>5000.0</v>
      </c>
      <c r="K75" s="65">
        <f t="shared" ref="K75:K76" si="15">AVERAGE(D75:J75)</f>
        <v>5714.285714</v>
      </c>
      <c r="M75" s="7"/>
      <c r="N75" s="7"/>
    </row>
    <row r="76" ht="15.75" customHeight="1">
      <c r="A76" s="132"/>
      <c r="B76" s="50" t="s">
        <v>103</v>
      </c>
      <c r="C76" s="115" t="s">
        <v>24</v>
      </c>
      <c r="D76" s="66">
        <v>6000.0</v>
      </c>
      <c r="E76" s="54" t="s">
        <v>27</v>
      </c>
      <c r="F76" s="63">
        <v>6000.0</v>
      </c>
      <c r="G76" s="63">
        <v>6000.0</v>
      </c>
      <c r="H76" s="64">
        <v>5000.0</v>
      </c>
      <c r="I76" s="68">
        <v>7000.0</v>
      </c>
      <c r="J76" s="104">
        <v>6000.0</v>
      </c>
      <c r="K76" s="65">
        <f t="shared" si="15"/>
        <v>6000</v>
      </c>
      <c r="M76" s="7"/>
      <c r="N76" s="7"/>
    </row>
    <row r="77" ht="15.75" customHeight="1">
      <c r="A77" s="129">
        <v>21.0</v>
      </c>
      <c r="B77" s="76" t="s">
        <v>104</v>
      </c>
      <c r="C77" s="107"/>
      <c r="D77" s="111"/>
      <c r="E77" s="79"/>
      <c r="F77" s="79"/>
      <c r="G77" s="112"/>
      <c r="H77" s="113"/>
      <c r="I77" s="113"/>
      <c r="J77" s="114"/>
      <c r="K77" s="83"/>
      <c r="M77" s="7"/>
      <c r="N77" s="7"/>
    </row>
    <row r="78" ht="15.75" customHeight="1">
      <c r="A78" s="135"/>
      <c r="B78" s="50" t="s">
        <v>105</v>
      </c>
      <c r="C78" s="115" t="s">
        <v>24</v>
      </c>
      <c r="D78" s="61">
        <v>7000.0</v>
      </c>
      <c r="E78" s="62">
        <v>10000.0</v>
      </c>
      <c r="F78" s="62">
        <v>10000.0</v>
      </c>
      <c r="G78" s="62">
        <v>10000.0</v>
      </c>
      <c r="H78" s="64">
        <v>9000.0</v>
      </c>
      <c r="I78" s="69">
        <v>10000.0</v>
      </c>
      <c r="J78" s="55">
        <v>8000.0</v>
      </c>
      <c r="K78" s="65">
        <f t="shared" ref="K78:K86" si="16">AVERAGE(D78:J78)</f>
        <v>9142.857143</v>
      </c>
      <c r="M78" s="7"/>
      <c r="N78" s="7"/>
    </row>
    <row r="79" ht="15.75" customHeight="1">
      <c r="A79" s="135"/>
      <c r="B79" s="50" t="s">
        <v>106</v>
      </c>
      <c r="C79" s="115" t="s">
        <v>24</v>
      </c>
      <c r="D79" s="61">
        <v>10000.0</v>
      </c>
      <c r="E79" s="62">
        <v>20000.0</v>
      </c>
      <c r="F79" s="62">
        <v>14000.0</v>
      </c>
      <c r="G79" s="62">
        <v>15000.0</v>
      </c>
      <c r="H79" s="64">
        <v>10000.0</v>
      </c>
      <c r="I79" s="69">
        <v>15000.0</v>
      </c>
      <c r="J79" s="55">
        <v>15000.0</v>
      </c>
      <c r="K79" s="65">
        <f t="shared" si="16"/>
        <v>14142.85714</v>
      </c>
      <c r="M79" s="7"/>
      <c r="N79" s="7"/>
    </row>
    <row r="80" ht="15.75" customHeight="1">
      <c r="A80" s="135"/>
      <c r="B80" s="50" t="s">
        <v>107</v>
      </c>
      <c r="C80" s="115" t="s">
        <v>24</v>
      </c>
      <c r="D80" s="61">
        <v>15000.0</v>
      </c>
      <c r="E80" s="62">
        <v>15000.0</v>
      </c>
      <c r="F80" s="62">
        <v>16000.0</v>
      </c>
      <c r="G80" s="62">
        <v>15000.0</v>
      </c>
      <c r="H80" s="64">
        <v>15000.0</v>
      </c>
      <c r="I80" s="64">
        <v>16000.0</v>
      </c>
      <c r="J80" s="55">
        <v>15000.0</v>
      </c>
      <c r="K80" s="65">
        <f t="shared" si="16"/>
        <v>15285.71429</v>
      </c>
      <c r="M80" s="7"/>
      <c r="N80" s="7"/>
    </row>
    <row r="81" ht="15.75" customHeight="1">
      <c r="A81" s="135"/>
      <c r="B81" s="50" t="s">
        <v>108</v>
      </c>
      <c r="C81" s="115" t="s">
        <v>24</v>
      </c>
      <c r="D81" s="61">
        <v>11000.0</v>
      </c>
      <c r="E81" s="62">
        <v>20000.0</v>
      </c>
      <c r="F81" s="62">
        <v>14000.0</v>
      </c>
      <c r="G81" s="62">
        <v>20000.0</v>
      </c>
      <c r="H81" s="64">
        <v>8000.0</v>
      </c>
      <c r="I81" s="69">
        <v>18000.0</v>
      </c>
      <c r="J81" s="55">
        <v>15000.0</v>
      </c>
      <c r="K81" s="65">
        <f t="shared" si="16"/>
        <v>15142.85714</v>
      </c>
      <c r="M81" s="7"/>
      <c r="N81" s="7"/>
    </row>
    <row r="82" ht="15.75" customHeight="1">
      <c r="A82" s="135"/>
      <c r="B82" s="50" t="s">
        <v>109</v>
      </c>
      <c r="C82" s="115" t="s">
        <v>24</v>
      </c>
      <c r="D82" s="61">
        <v>9000.0</v>
      </c>
      <c r="E82" s="62">
        <v>14000.0</v>
      </c>
      <c r="F82" s="62">
        <v>10000.0</v>
      </c>
      <c r="G82" s="62">
        <v>15000.0</v>
      </c>
      <c r="H82" s="64">
        <v>10000.0</v>
      </c>
      <c r="I82" s="64">
        <v>13000.0</v>
      </c>
      <c r="J82" s="55">
        <v>10000.0</v>
      </c>
      <c r="K82" s="65">
        <f t="shared" si="16"/>
        <v>11571.42857</v>
      </c>
      <c r="M82" s="7"/>
      <c r="N82" s="7"/>
    </row>
    <row r="83" ht="15.75" customHeight="1">
      <c r="A83" s="135"/>
      <c r="B83" s="50" t="s">
        <v>110</v>
      </c>
      <c r="C83" s="115" t="s">
        <v>24</v>
      </c>
      <c r="D83" s="66">
        <v>7000.0</v>
      </c>
      <c r="E83" s="54">
        <v>10000.0</v>
      </c>
      <c r="F83" s="63">
        <v>10000.0</v>
      </c>
      <c r="G83" s="63" t="s">
        <v>27</v>
      </c>
      <c r="H83" s="136">
        <v>9000.0</v>
      </c>
      <c r="I83" s="137">
        <v>12000.0</v>
      </c>
      <c r="J83" s="138">
        <v>8000.0</v>
      </c>
      <c r="K83" s="65">
        <f t="shared" si="16"/>
        <v>9333.333333</v>
      </c>
      <c r="M83" s="7"/>
      <c r="N83" s="7"/>
    </row>
    <row r="84" ht="15.75" customHeight="1">
      <c r="A84" s="135"/>
      <c r="B84" s="50" t="s">
        <v>111</v>
      </c>
      <c r="C84" s="115" t="s">
        <v>112</v>
      </c>
      <c r="D84" s="66">
        <v>2000.0</v>
      </c>
      <c r="E84" s="54" t="s">
        <v>27</v>
      </c>
      <c r="F84" s="62">
        <v>2000.0</v>
      </c>
      <c r="G84" s="63">
        <v>2000.0</v>
      </c>
      <c r="H84" s="64">
        <v>1500.0</v>
      </c>
      <c r="I84" s="68">
        <v>2000.0</v>
      </c>
      <c r="J84" s="104">
        <v>2000.0</v>
      </c>
      <c r="K84" s="65">
        <f t="shared" si="16"/>
        <v>1916.666667</v>
      </c>
      <c r="M84" s="7"/>
      <c r="N84" s="7"/>
    </row>
    <row r="85" ht="15.75" customHeight="1">
      <c r="A85" s="135"/>
      <c r="B85" s="50" t="s">
        <v>113</v>
      </c>
      <c r="C85" s="115" t="s">
        <v>112</v>
      </c>
      <c r="D85" s="66">
        <v>2000.0</v>
      </c>
      <c r="E85" s="54" t="s">
        <v>27</v>
      </c>
      <c r="F85" s="62">
        <v>1500.0</v>
      </c>
      <c r="G85" s="63">
        <v>2000.0</v>
      </c>
      <c r="H85" s="64">
        <v>1500.0</v>
      </c>
      <c r="I85" s="68">
        <v>1500.0</v>
      </c>
      <c r="J85" s="104">
        <v>1500.0</v>
      </c>
      <c r="K85" s="65">
        <f t="shared" si="16"/>
        <v>1666.666667</v>
      </c>
      <c r="M85" s="7"/>
      <c r="N85" s="7"/>
    </row>
    <row r="86" ht="15.75" customHeight="1">
      <c r="A86" s="132"/>
      <c r="B86" s="50" t="s">
        <v>114</v>
      </c>
      <c r="C86" s="115" t="s">
        <v>112</v>
      </c>
      <c r="D86" s="66" t="s">
        <v>27</v>
      </c>
      <c r="E86" s="54" t="s">
        <v>27</v>
      </c>
      <c r="F86" s="62">
        <v>2000.0</v>
      </c>
      <c r="G86" s="63">
        <v>2000.0</v>
      </c>
      <c r="H86" s="64">
        <v>2000.0</v>
      </c>
      <c r="I86" s="68">
        <v>2000.0</v>
      </c>
      <c r="J86" s="104">
        <v>2000.0</v>
      </c>
      <c r="K86" s="65">
        <f t="shared" si="16"/>
        <v>2000</v>
      </c>
      <c r="M86" s="7"/>
      <c r="N86" s="7"/>
    </row>
    <row r="87" ht="15.75" customHeight="1">
      <c r="A87" s="129">
        <v>22.0</v>
      </c>
      <c r="B87" s="76" t="s">
        <v>115</v>
      </c>
      <c r="C87" s="107"/>
      <c r="D87" s="140"/>
      <c r="E87" s="67"/>
      <c r="F87" s="79" t="s">
        <v>116</v>
      </c>
      <c r="G87" s="112"/>
      <c r="H87" s="113"/>
      <c r="I87" s="113"/>
      <c r="J87" s="114"/>
      <c r="K87" s="83"/>
      <c r="M87" s="7"/>
      <c r="N87" s="7"/>
    </row>
    <row r="88" ht="15.75" customHeight="1">
      <c r="A88" s="132"/>
      <c r="B88" s="50" t="s">
        <v>117</v>
      </c>
      <c r="C88" s="115" t="s">
        <v>118</v>
      </c>
      <c r="D88" s="66">
        <v>18000.0</v>
      </c>
      <c r="E88" s="54" t="s">
        <v>27</v>
      </c>
      <c r="F88" s="54">
        <v>17000.0</v>
      </c>
      <c r="G88" s="63">
        <v>17000.0</v>
      </c>
      <c r="H88" s="98" t="s">
        <v>27</v>
      </c>
      <c r="I88" s="69">
        <v>20000.0</v>
      </c>
      <c r="J88" s="104">
        <v>18000.0</v>
      </c>
      <c r="K88" s="65">
        <f>AVERAGE(D88:J88)</f>
        <v>18000</v>
      </c>
      <c r="M88" s="7"/>
      <c r="N88" s="7"/>
    </row>
    <row r="89" ht="15.75" customHeight="1">
      <c r="D89" s="142"/>
      <c r="E89" s="143"/>
      <c r="J89" s="4"/>
      <c r="M89" s="7"/>
      <c r="N89" s="7"/>
    </row>
    <row r="90" ht="15.75" customHeight="1">
      <c r="B90" s="144"/>
      <c r="D90" s="142"/>
      <c r="J90" s="4"/>
      <c r="M90" s="7"/>
      <c r="N90" s="7"/>
    </row>
    <row r="91" ht="15.75" customHeight="1">
      <c r="D91" s="142"/>
      <c r="J91" s="4"/>
      <c r="M91" s="7"/>
      <c r="N91" s="7"/>
    </row>
    <row r="92" ht="15.75" customHeight="1">
      <c r="A92" s="7"/>
      <c r="B92" s="7"/>
      <c r="C92" s="7"/>
      <c r="D92" s="128"/>
      <c r="E92" s="7"/>
      <c r="F92" s="7"/>
      <c r="G92" s="7"/>
      <c r="H92" s="7"/>
      <c r="I92" s="7"/>
      <c r="J92" s="85"/>
      <c r="K92" s="7"/>
      <c r="L92" s="7"/>
      <c r="M92" s="7"/>
      <c r="N92" s="7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12.14"/>
    <col customWidth="1" min="4" max="4" width="15.29"/>
    <col customWidth="1" min="5" max="5" width="15.14"/>
    <col customWidth="1" min="6" max="6" width="15.43"/>
    <col customWidth="1" min="7" max="7" width="14.57"/>
    <col customWidth="1" min="8" max="8" width="14.71"/>
    <col customWidth="1" min="9" max="9" width="14.29"/>
    <col customWidth="1" min="10" max="10" width="14.14"/>
    <col customWidth="1" min="11" max="11" width="13.0"/>
    <col customWidth="1" min="12" max="12" width="8.71"/>
    <col customWidth="1" min="13" max="13" width="12.43"/>
    <col customWidth="1" min="14" max="26" width="8.71"/>
  </cols>
  <sheetData>
    <row r="1" ht="32.25" customHeight="1">
      <c r="A1" s="6" t="s">
        <v>2</v>
      </c>
      <c r="M1" s="7"/>
      <c r="N1" s="7"/>
    </row>
    <row r="2" ht="27.75" customHeight="1">
      <c r="A2" s="10" t="s">
        <v>4</v>
      </c>
      <c r="B2" s="2"/>
      <c r="C2" s="2"/>
      <c r="D2" s="2"/>
      <c r="E2" s="2"/>
      <c r="F2" s="2"/>
      <c r="G2" s="2"/>
      <c r="H2" s="2"/>
      <c r="I2" s="2"/>
      <c r="J2" s="2"/>
      <c r="K2" s="3"/>
      <c r="M2" s="7"/>
      <c r="N2" s="7"/>
    </row>
    <row r="3" ht="27.75" customHeight="1">
      <c r="A3" s="12" t="s">
        <v>158</v>
      </c>
      <c r="B3" s="13"/>
      <c r="C3" s="13"/>
      <c r="D3" s="13"/>
      <c r="E3" s="13"/>
      <c r="F3" s="13"/>
      <c r="G3" s="13"/>
      <c r="H3" s="13"/>
      <c r="I3" s="13"/>
      <c r="J3" s="13"/>
      <c r="K3" s="13"/>
      <c r="M3" s="7"/>
      <c r="N3" s="7"/>
    </row>
    <row r="4" ht="25.5" customHeight="1">
      <c r="A4" s="14" t="s">
        <v>7</v>
      </c>
      <c r="B4" s="15" t="s">
        <v>8</v>
      </c>
      <c r="C4" s="14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21" t="s">
        <v>16</v>
      </c>
      <c r="I4" s="22" t="s">
        <v>17</v>
      </c>
      <c r="J4" s="23" t="s">
        <v>18</v>
      </c>
      <c r="K4" s="24" t="s">
        <v>19</v>
      </c>
      <c r="M4" s="7"/>
      <c r="N4" s="7"/>
    </row>
    <row r="5" ht="15.0" customHeight="1">
      <c r="A5" s="25"/>
      <c r="B5" s="25"/>
      <c r="C5" s="25"/>
      <c r="D5" s="26"/>
      <c r="E5" s="27"/>
      <c r="F5" s="28"/>
      <c r="G5" s="29"/>
      <c r="H5" s="25"/>
      <c r="I5" s="25"/>
      <c r="J5" s="30"/>
      <c r="K5" s="28"/>
      <c r="M5" s="7"/>
      <c r="N5" s="7"/>
    </row>
    <row r="6">
      <c r="A6" s="31"/>
      <c r="B6" s="31"/>
      <c r="C6" s="31"/>
      <c r="D6" s="32"/>
      <c r="E6" s="33"/>
      <c r="F6" s="34"/>
      <c r="G6" s="35"/>
      <c r="H6" s="31"/>
      <c r="I6" s="31"/>
      <c r="J6" s="36"/>
      <c r="K6" s="37"/>
      <c r="M6" s="7"/>
      <c r="N6" s="7"/>
    </row>
    <row r="7">
      <c r="A7" s="39">
        <v>1.0</v>
      </c>
      <c r="B7" s="41" t="s">
        <v>22</v>
      </c>
      <c r="C7" s="42"/>
      <c r="D7" s="44"/>
      <c r="E7" s="45"/>
      <c r="F7" s="45"/>
      <c r="G7" s="46"/>
      <c r="H7" s="47"/>
      <c r="I7" s="48"/>
      <c r="J7" s="47"/>
      <c r="K7" s="49"/>
      <c r="M7" s="7"/>
      <c r="N7" s="7"/>
    </row>
    <row r="8">
      <c r="A8" s="25"/>
      <c r="B8" s="50" t="s">
        <v>23</v>
      </c>
      <c r="C8" s="51" t="s">
        <v>24</v>
      </c>
      <c r="D8" s="61">
        <v>13000.0</v>
      </c>
      <c r="E8" s="62">
        <v>13000.0</v>
      </c>
      <c r="F8" s="62">
        <v>14000.0</v>
      </c>
      <c r="G8" s="62">
        <v>13500.0</v>
      </c>
      <c r="H8" s="62">
        <v>13000.0</v>
      </c>
      <c r="I8" s="64">
        <v>14000.0</v>
      </c>
      <c r="J8" s="56">
        <v>13500.0</v>
      </c>
      <c r="K8" s="57">
        <f t="shared" ref="K8:K12" si="1">AVERAGE(D8:J8)</f>
        <v>13428.57143</v>
      </c>
      <c r="L8" s="58"/>
      <c r="M8" s="59"/>
      <c r="N8" s="7"/>
    </row>
    <row r="9">
      <c r="A9" s="25"/>
      <c r="B9" s="50" t="s">
        <v>40</v>
      </c>
      <c r="C9" s="51" t="s">
        <v>24</v>
      </c>
      <c r="D9" s="66" t="s">
        <v>27</v>
      </c>
      <c r="E9" s="62">
        <v>9400.0</v>
      </c>
      <c r="F9" s="62">
        <v>12000.0</v>
      </c>
      <c r="G9" s="63">
        <v>9000.0</v>
      </c>
      <c r="H9" s="64">
        <v>9000.0</v>
      </c>
      <c r="I9" s="64">
        <v>9000.0</v>
      </c>
      <c r="J9" s="56">
        <v>9000.0</v>
      </c>
      <c r="K9" s="65">
        <f t="shared" si="1"/>
        <v>9566.666667</v>
      </c>
      <c r="M9" s="7"/>
      <c r="N9" s="7"/>
    </row>
    <row r="10">
      <c r="A10" s="25"/>
      <c r="B10" s="50" t="s">
        <v>25</v>
      </c>
      <c r="C10" s="51" t="s">
        <v>24</v>
      </c>
      <c r="D10" s="61">
        <v>11000.0</v>
      </c>
      <c r="E10" s="62">
        <v>11000.0</v>
      </c>
      <c r="F10" s="54" t="s">
        <v>27</v>
      </c>
      <c r="G10" s="63">
        <v>11500.0</v>
      </c>
      <c r="H10" s="64" t="s">
        <v>27</v>
      </c>
      <c r="I10" s="68" t="s">
        <v>27</v>
      </c>
      <c r="J10" s="69" t="s">
        <v>27</v>
      </c>
      <c r="K10" s="65">
        <f t="shared" si="1"/>
        <v>11166.66667</v>
      </c>
      <c r="M10" s="7"/>
      <c r="N10" s="7"/>
    </row>
    <row r="11">
      <c r="A11" s="25"/>
      <c r="B11" s="50" t="s">
        <v>26</v>
      </c>
      <c r="C11" s="51" t="s">
        <v>24</v>
      </c>
      <c r="D11" s="66" t="s">
        <v>27</v>
      </c>
      <c r="E11" s="54">
        <v>10000.0</v>
      </c>
      <c r="F11" s="63">
        <v>12000.0</v>
      </c>
      <c r="G11" s="63">
        <v>12000.0</v>
      </c>
      <c r="H11" s="68" t="s">
        <v>27</v>
      </c>
      <c r="I11" s="69">
        <v>11000.0</v>
      </c>
      <c r="J11" s="56">
        <v>8000.0</v>
      </c>
      <c r="K11" s="65">
        <f t="shared" si="1"/>
        <v>10600</v>
      </c>
      <c r="M11" s="7"/>
      <c r="N11" s="7"/>
    </row>
    <row r="12">
      <c r="A12" s="71"/>
      <c r="B12" s="50" t="s">
        <v>28</v>
      </c>
      <c r="C12" s="51" t="s">
        <v>24</v>
      </c>
      <c r="D12" s="66" t="s">
        <v>27</v>
      </c>
      <c r="E12" s="54">
        <v>22000.0</v>
      </c>
      <c r="F12" s="63">
        <v>24000.0</v>
      </c>
      <c r="G12" s="63">
        <v>20000.0</v>
      </c>
      <c r="H12" s="68" t="s">
        <v>27</v>
      </c>
      <c r="I12" s="69">
        <v>22000.0</v>
      </c>
      <c r="J12" s="56">
        <v>17000.0</v>
      </c>
      <c r="K12" s="65">
        <f t="shared" si="1"/>
        <v>21000</v>
      </c>
      <c r="M12" s="7"/>
      <c r="N12" s="7"/>
    </row>
    <row r="13">
      <c r="A13" s="75">
        <v>2.0</v>
      </c>
      <c r="B13" s="76" t="s">
        <v>29</v>
      </c>
      <c r="C13" s="77"/>
      <c r="D13" s="78"/>
      <c r="E13" s="79"/>
      <c r="F13" s="80"/>
      <c r="G13" s="81"/>
      <c r="H13" s="82"/>
      <c r="I13" s="82"/>
      <c r="J13" s="82"/>
      <c r="K13" s="83"/>
      <c r="M13" s="7"/>
      <c r="N13" s="85"/>
    </row>
    <row r="14">
      <c r="A14" s="25"/>
      <c r="B14" s="50" t="s">
        <v>91</v>
      </c>
      <c r="C14" s="51" t="s">
        <v>24</v>
      </c>
      <c r="D14" s="61">
        <v>13000.0</v>
      </c>
      <c r="E14" s="62">
        <v>13000.0</v>
      </c>
      <c r="F14" s="62">
        <v>13500.0</v>
      </c>
      <c r="G14" s="62">
        <v>13000.0</v>
      </c>
      <c r="H14" s="64">
        <v>13000.0</v>
      </c>
      <c r="I14" s="64">
        <v>13000.0</v>
      </c>
      <c r="J14" s="55">
        <v>13500.0</v>
      </c>
      <c r="K14" s="65">
        <f t="shared" ref="K14:K15" si="2">AVERAGE(D14:J14)</f>
        <v>13142.85714</v>
      </c>
      <c r="M14" s="7"/>
      <c r="N14" s="7"/>
    </row>
    <row r="15">
      <c r="A15" s="71"/>
      <c r="B15" s="50" t="s">
        <v>31</v>
      </c>
      <c r="C15" s="51" t="s">
        <v>24</v>
      </c>
      <c r="D15" s="66">
        <v>15000.0</v>
      </c>
      <c r="E15" s="54">
        <v>16000.0</v>
      </c>
      <c r="F15" s="90">
        <v>16000.0</v>
      </c>
      <c r="G15" s="63">
        <v>16000.0</v>
      </c>
      <c r="H15" s="64">
        <v>15000.0</v>
      </c>
      <c r="I15" s="64">
        <v>16000.0</v>
      </c>
      <c r="J15" s="55">
        <v>16000.0</v>
      </c>
      <c r="K15" s="65">
        <f t="shared" si="2"/>
        <v>15714.28571</v>
      </c>
      <c r="M15" s="7"/>
      <c r="N15" s="7"/>
    </row>
    <row r="16">
      <c r="A16" s="75">
        <v>3.0</v>
      </c>
      <c r="B16" s="76" t="s">
        <v>32</v>
      </c>
      <c r="C16" s="76"/>
      <c r="D16" s="91"/>
      <c r="E16" s="92"/>
      <c r="F16" s="93"/>
      <c r="G16" s="93"/>
      <c r="H16" s="94"/>
      <c r="I16" s="94"/>
      <c r="J16" s="95"/>
      <c r="K16" s="83"/>
      <c r="M16" s="7"/>
      <c r="N16" s="7"/>
    </row>
    <row r="17">
      <c r="A17" s="25"/>
      <c r="B17" s="50" t="s">
        <v>33</v>
      </c>
      <c r="C17" s="51" t="s">
        <v>24</v>
      </c>
      <c r="D17" s="61">
        <v>16000.0</v>
      </c>
      <c r="E17" s="54">
        <v>16000.0</v>
      </c>
      <c r="F17" s="62">
        <v>17000.0</v>
      </c>
      <c r="G17" s="62">
        <v>16000.0</v>
      </c>
      <c r="H17" s="64">
        <v>14000.0</v>
      </c>
      <c r="I17" s="64">
        <v>16000.0</v>
      </c>
      <c r="J17" s="102">
        <v>15500.0</v>
      </c>
      <c r="K17" s="65">
        <f t="shared" ref="K17:K18" si="3">AVERAGE(D17:J17)</f>
        <v>15785.71429</v>
      </c>
      <c r="M17" s="7"/>
      <c r="N17" s="7"/>
    </row>
    <row r="18">
      <c r="A18" s="96"/>
      <c r="B18" s="50" t="s">
        <v>34</v>
      </c>
      <c r="C18" s="51" t="s">
        <v>35</v>
      </c>
      <c r="D18" s="61">
        <v>14000.0</v>
      </c>
      <c r="E18" s="54">
        <v>14000.0</v>
      </c>
      <c r="F18" s="54">
        <v>14000.0</v>
      </c>
      <c r="G18" s="62">
        <v>14000.0</v>
      </c>
      <c r="H18" s="68" t="s">
        <v>27</v>
      </c>
      <c r="I18" s="64">
        <v>14000.0</v>
      </c>
      <c r="J18" s="55">
        <v>14000.0</v>
      </c>
      <c r="K18" s="65">
        <f t="shared" si="3"/>
        <v>14000</v>
      </c>
      <c r="M18" s="7"/>
      <c r="N18" s="7"/>
    </row>
    <row r="19">
      <c r="A19" s="75">
        <v>4.0</v>
      </c>
      <c r="B19" s="76" t="s">
        <v>36</v>
      </c>
      <c r="C19" s="76"/>
      <c r="D19" s="91"/>
      <c r="E19" s="92"/>
      <c r="F19" s="93"/>
      <c r="G19" s="97"/>
      <c r="H19" s="94"/>
      <c r="I19" s="94"/>
      <c r="J19" s="95"/>
      <c r="K19" s="83"/>
      <c r="M19" s="7"/>
      <c r="N19" s="7"/>
    </row>
    <row r="20" ht="17.25" customHeight="1">
      <c r="A20" s="71"/>
      <c r="B20" s="50" t="s">
        <v>37</v>
      </c>
      <c r="C20" s="51" t="s">
        <v>24</v>
      </c>
      <c r="D20" s="66">
        <v>20000.0</v>
      </c>
      <c r="E20" s="54" t="s">
        <v>27</v>
      </c>
      <c r="F20" s="63">
        <v>19000.0</v>
      </c>
      <c r="G20" s="63">
        <v>22000.0</v>
      </c>
      <c r="H20" s="98" t="s">
        <v>27</v>
      </c>
      <c r="I20" s="69">
        <v>24000.0</v>
      </c>
      <c r="J20" s="99" t="s">
        <v>27</v>
      </c>
      <c r="K20" s="65">
        <f>AVERAGE(D20:J20)</f>
        <v>21250</v>
      </c>
      <c r="M20" s="7"/>
      <c r="N20" s="7"/>
    </row>
    <row r="21" ht="15.75" customHeight="1">
      <c r="A21" s="75">
        <v>5.0</v>
      </c>
      <c r="B21" s="76" t="s">
        <v>38</v>
      </c>
      <c r="C21" s="76"/>
      <c r="D21" s="91"/>
      <c r="E21" s="80"/>
      <c r="F21" s="93"/>
      <c r="G21" s="97"/>
      <c r="H21" s="94"/>
      <c r="I21" s="100"/>
      <c r="J21" s="101"/>
      <c r="K21" s="83"/>
      <c r="M21" s="7"/>
      <c r="N21" s="7"/>
    </row>
    <row r="22" ht="15.75" customHeight="1">
      <c r="A22" s="25"/>
      <c r="B22" s="50" t="s">
        <v>39</v>
      </c>
      <c r="C22" s="51" t="s">
        <v>24</v>
      </c>
      <c r="D22" s="66">
        <v>120000.0</v>
      </c>
      <c r="E22" s="62">
        <v>120000.0</v>
      </c>
      <c r="F22" s="62">
        <v>120000.0</v>
      </c>
      <c r="G22" s="62">
        <v>120000.0</v>
      </c>
      <c r="H22" s="64">
        <v>120000.0</v>
      </c>
      <c r="I22" s="69">
        <v>120000.0</v>
      </c>
      <c r="J22" s="102">
        <v>110000.0</v>
      </c>
      <c r="K22" s="65">
        <f t="shared" ref="K22:K25" si="4">AVERAGE(D22:J22)</f>
        <v>118571.4286</v>
      </c>
      <c r="M22" s="7"/>
      <c r="N22" s="7"/>
    </row>
    <row r="23" ht="15.75" customHeight="1">
      <c r="A23" s="25"/>
      <c r="B23" s="50" t="s">
        <v>41</v>
      </c>
      <c r="C23" s="51" t="s">
        <v>24</v>
      </c>
      <c r="D23" s="66">
        <v>110000.0</v>
      </c>
      <c r="E23" s="62">
        <v>110000.0</v>
      </c>
      <c r="F23" s="62">
        <v>110000.0</v>
      </c>
      <c r="G23" s="62">
        <v>110000.0</v>
      </c>
      <c r="H23" s="64">
        <v>114000.0</v>
      </c>
      <c r="I23" s="68">
        <v>110000.0</v>
      </c>
      <c r="J23" s="55">
        <v>100000.0</v>
      </c>
      <c r="K23" s="65">
        <f t="shared" si="4"/>
        <v>109142.8571</v>
      </c>
      <c r="M23" s="7"/>
      <c r="N23" s="7"/>
    </row>
    <row r="24" ht="15.75" customHeight="1">
      <c r="A24" s="25"/>
      <c r="B24" s="50" t="s">
        <v>42</v>
      </c>
      <c r="C24" s="51" t="s">
        <v>24</v>
      </c>
      <c r="D24" s="66">
        <v>100000.0</v>
      </c>
      <c r="E24" s="62">
        <v>95000.0</v>
      </c>
      <c r="F24" s="62">
        <v>100000.0</v>
      </c>
      <c r="G24" s="62">
        <v>100000.0</v>
      </c>
      <c r="H24" s="64">
        <v>100000.0</v>
      </c>
      <c r="I24" s="69">
        <v>100000.0</v>
      </c>
      <c r="J24" s="102" t="s">
        <v>27</v>
      </c>
      <c r="K24" s="65">
        <f t="shared" si="4"/>
        <v>99166.66667</v>
      </c>
      <c r="M24" s="7"/>
      <c r="N24" s="7"/>
    </row>
    <row r="25" ht="15.75" customHeight="1">
      <c r="A25" s="71"/>
      <c r="B25" s="50" t="s">
        <v>43</v>
      </c>
      <c r="C25" s="51" t="s">
        <v>24</v>
      </c>
      <c r="D25" s="61">
        <v>30000.0</v>
      </c>
      <c r="E25" s="62">
        <v>30000.0</v>
      </c>
      <c r="F25" s="62">
        <v>32000.0</v>
      </c>
      <c r="G25" s="62">
        <v>30000.0</v>
      </c>
      <c r="H25" s="55">
        <v>32000.0</v>
      </c>
      <c r="I25" s="64">
        <v>30000.0</v>
      </c>
      <c r="J25" s="55">
        <v>32000.0</v>
      </c>
      <c r="K25" s="65">
        <f t="shared" si="4"/>
        <v>30857.14286</v>
      </c>
      <c r="M25" s="7"/>
      <c r="N25" s="7"/>
    </row>
    <row r="26" ht="15.75" customHeight="1">
      <c r="A26" s="75">
        <v>6.0</v>
      </c>
      <c r="B26" s="76" t="s">
        <v>44</v>
      </c>
      <c r="C26" s="76"/>
      <c r="D26" s="91"/>
      <c r="E26" s="80"/>
      <c r="F26" s="97"/>
      <c r="G26" s="93"/>
      <c r="H26" s="95"/>
      <c r="I26" s="94"/>
      <c r="J26" s="95"/>
      <c r="K26" s="83"/>
      <c r="M26" s="7"/>
      <c r="N26" s="7"/>
    </row>
    <row r="27" ht="15.75" customHeight="1">
      <c r="A27" s="25"/>
      <c r="B27" s="50" t="s">
        <v>45</v>
      </c>
      <c r="C27" s="51" t="s">
        <v>24</v>
      </c>
      <c r="D27" s="66">
        <v>38000.0</v>
      </c>
      <c r="E27" s="62">
        <v>38000.0</v>
      </c>
      <c r="F27" s="54" t="s">
        <v>27</v>
      </c>
      <c r="G27" s="62">
        <v>45000.0</v>
      </c>
      <c r="H27" s="64">
        <v>30000.0</v>
      </c>
      <c r="I27" s="68">
        <v>38000.0</v>
      </c>
      <c r="J27" s="55">
        <v>35000.0</v>
      </c>
      <c r="K27" s="65">
        <f t="shared" ref="K27:K32" si="5">AVERAGE(D27:J27)</f>
        <v>37333.33333</v>
      </c>
      <c r="M27" s="7"/>
      <c r="N27" s="7"/>
    </row>
    <row r="28" ht="15.75" customHeight="1">
      <c r="A28" s="25"/>
      <c r="B28" s="50" t="s">
        <v>46</v>
      </c>
      <c r="C28" s="51" t="s">
        <v>24</v>
      </c>
      <c r="D28" s="66">
        <v>28000.0</v>
      </c>
      <c r="E28" s="54">
        <v>30000.0</v>
      </c>
      <c r="F28" s="62">
        <v>30000.0</v>
      </c>
      <c r="G28" s="63">
        <v>35000.0</v>
      </c>
      <c r="H28" s="68">
        <v>23000.0</v>
      </c>
      <c r="I28" s="68">
        <v>30000.0</v>
      </c>
      <c r="J28" s="104">
        <v>26000.0</v>
      </c>
      <c r="K28" s="65">
        <f t="shared" si="5"/>
        <v>28857.14286</v>
      </c>
      <c r="L28" s="105" t="s">
        <v>47</v>
      </c>
      <c r="M28" s="7"/>
      <c r="N28" s="7"/>
    </row>
    <row r="29" ht="15.75" customHeight="1">
      <c r="A29" s="25"/>
      <c r="B29" s="50" t="s">
        <v>48</v>
      </c>
      <c r="C29" s="51" t="s">
        <v>24</v>
      </c>
      <c r="D29" s="66">
        <v>60000.0</v>
      </c>
      <c r="E29" s="54">
        <v>70000.0</v>
      </c>
      <c r="F29" s="63">
        <v>70000.0</v>
      </c>
      <c r="G29" s="63">
        <v>75000.0</v>
      </c>
      <c r="H29" s="64">
        <v>58000.0</v>
      </c>
      <c r="I29" s="68">
        <v>65000.0</v>
      </c>
      <c r="J29" s="104">
        <v>50000.0</v>
      </c>
      <c r="K29" s="65">
        <f t="shared" si="5"/>
        <v>64000</v>
      </c>
      <c r="M29" s="7"/>
      <c r="N29" s="7"/>
    </row>
    <row r="30" ht="15.75" customHeight="1">
      <c r="A30" s="25"/>
      <c r="B30" s="50" t="s">
        <v>49</v>
      </c>
      <c r="C30" s="51" t="s">
        <v>24</v>
      </c>
      <c r="D30" s="66">
        <v>25000.0</v>
      </c>
      <c r="E30" s="54" t="s">
        <v>27</v>
      </c>
      <c r="F30" s="67" t="s">
        <v>27</v>
      </c>
      <c r="G30" s="63">
        <v>25000.0</v>
      </c>
      <c r="H30" s="64">
        <v>23000.0</v>
      </c>
      <c r="I30" s="68">
        <v>24000.0</v>
      </c>
      <c r="J30" s="104">
        <v>26000.0</v>
      </c>
      <c r="K30" s="65">
        <f t="shared" si="5"/>
        <v>24600</v>
      </c>
      <c r="M30" s="7"/>
      <c r="N30" s="7"/>
    </row>
    <row r="31" ht="15.75" customHeight="1">
      <c r="A31" s="25"/>
      <c r="B31" s="50" t="s">
        <v>50</v>
      </c>
      <c r="C31" s="51" t="s">
        <v>24</v>
      </c>
      <c r="D31" s="66">
        <v>45000.0</v>
      </c>
      <c r="E31" s="62">
        <v>36000.0</v>
      </c>
      <c r="F31" s="62">
        <v>40000.0</v>
      </c>
      <c r="G31" s="62">
        <v>45000.0</v>
      </c>
      <c r="H31" s="64">
        <v>28000.0</v>
      </c>
      <c r="I31" s="68">
        <v>38000.0</v>
      </c>
      <c r="J31" s="55">
        <v>40000.0</v>
      </c>
      <c r="K31" s="65">
        <f t="shared" si="5"/>
        <v>38857.14286</v>
      </c>
      <c r="M31" s="7"/>
      <c r="N31" s="7"/>
    </row>
    <row r="32" ht="15.75" customHeight="1">
      <c r="A32" s="71"/>
      <c r="B32" s="50" t="s">
        <v>51</v>
      </c>
      <c r="C32" s="51" t="s">
        <v>24</v>
      </c>
      <c r="D32" s="66" t="s">
        <v>27</v>
      </c>
      <c r="E32" s="62">
        <v>100000.0</v>
      </c>
      <c r="F32" s="62">
        <v>110000.0</v>
      </c>
      <c r="G32" s="54" t="s">
        <v>27</v>
      </c>
      <c r="H32" s="64">
        <v>80000.0</v>
      </c>
      <c r="I32" s="68" t="s">
        <v>27</v>
      </c>
      <c r="J32" s="104" t="s">
        <v>27</v>
      </c>
      <c r="K32" s="65">
        <f t="shared" si="5"/>
        <v>96666.66667</v>
      </c>
      <c r="M32" s="7"/>
      <c r="N32" s="7"/>
    </row>
    <row r="33" ht="15.75" customHeight="1">
      <c r="A33" s="75">
        <v>7.0</v>
      </c>
      <c r="B33" s="76" t="s">
        <v>52</v>
      </c>
      <c r="C33" s="76"/>
      <c r="D33" s="91"/>
      <c r="E33" s="80"/>
      <c r="F33" s="97"/>
      <c r="G33" s="97"/>
      <c r="H33" s="94"/>
      <c r="I33" s="94"/>
      <c r="J33" s="95" t="s">
        <v>53</v>
      </c>
      <c r="K33" s="83"/>
      <c r="M33" s="7"/>
      <c r="N33" s="7"/>
    </row>
    <row r="34" ht="15.75" customHeight="1">
      <c r="A34" s="25"/>
      <c r="B34" s="50" t="s">
        <v>54</v>
      </c>
      <c r="C34" s="51" t="s">
        <v>24</v>
      </c>
      <c r="D34" s="61">
        <v>30000.0</v>
      </c>
      <c r="E34" s="62">
        <v>28000.0</v>
      </c>
      <c r="F34" s="62">
        <v>29000.0</v>
      </c>
      <c r="G34" s="62">
        <v>29000.0</v>
      </c>
      <c r="H34" s="64">
        <v>28000.0</v>
      </c>
      <c r="I34" s="64">
        <v>29000.0</v>
      </c>
      <c r="J34" s="55">
        <v>28500.0</v>
      </c>
      <c r="K34" s="65">
        <f t="shared" ref="K34:K35" si="6">AVERAGE(D34:J34)</f>
        <v>28785.71429</v>
      </c>
      <c r="M34" s="7"/>
      <c r="N34" s="7"/>
    </row>
    <row r="35" ht="15.75" customHeight="1">
      <c r="A35" s="71"/>
      <c r="B35" s="50" t="s">
        <v>55</v>
      </c>
      <c r="C35" s="51" t="s">
        <v>56</v>
      </c>
      <c r="D35" s="61">
        <v>3000.0</v>
      </c>
      <c r="E35" s="62">
        <v>2000.0</v>
      </c>
      <c r="F35" s="62">
        <v>2500.0</v>
      </c>
      <c r="G35" s="62">
        <v>2500.0</v>
      </c>
      <c r="H35" s="64">
        <v>2000.0</v>
      </c>
      <c r="I35" s="64">
        <v>2500.0</v>
      </c>
      <c r="J35" s="55">
        <v>3000.0</v>
      </c>
      <c r="K35" s="65">
        <f t="shared" si="6"/>
        <v>2500</v>
      </c>
      <c r="M35" s="7"/>
      <c r="N35" s="7"/>
    </row>
    <row r="36" ht="15.75" customHeight="1">
      <c r="A36" s="96">
        <v>8.0</v>
      </c>
      <c r="B36" s="76" t="s">
        <v>122</v>
      </c>
      <c r="C36" s="107"/>
      <c r="D36" s="61"/>
      <c r="E36" s="62"/>
      <c r="F36" s="62"/>
      <c r="G36" s="62"/>
      <c r="H36" s="64"/>
      <c r="I36" s="64"/>
      <c r="J36" s="55"/>
      <c r="K36" s="156"/>
      <c r="M36" s="7"/>
      <c r="N36" s="7"/>
    </row>
    <row r="37" ht="15.75" customHeight="1">
      <c r="A37" s="96"/>
      <c r="B37" s="50" t="s">
        <v>123</v>
      </c>
      <c r="C37" s="51" t="s">
        <v>24</v>
      </c>
      <c r="D37" s="61">
        <v>10000.0</v>
      </c>
      <c r="E37" s="62">
        <v>10000.0</v>
      </c>
      <c r="F37" s="62">
        <v>9000.0</v>
      </c>
      <c r="G37" s="62">
        <v>9000.0</v>
      </c>
      <c r="H37" s="64">
        <v>16000.0</v>
      </c>
      <c r="I37" s="64">
        <v>15000.0</v>
      </c>
      <c r="J37" s="55">
        <v>9000.0</v>
      </c>
      <c r="K37" s="65">
        <f t="shared" ref="K37:K38" si="7">AVERAGE(D37:J37)</f>
        <v>11142.85714</v>
      </c>
      <c r="M37" s="7"/>
      <c r="N37" s="7"/>
    </row>
    <row r="38" ht="15.75" customHeight="1">
      <c r="A38" s="96"/>
      <c r="B38" s="50" t="s">
        <v>124</v>
      </c>
      <c r="C38" s="51" t="s">
        <v>24</v>
      </c>
      <c r="D38" s="66" t="s">
        <v>27</v>
      </c>
      <c r="E38" s="62">
        <v>7000.0</v>
      </c>
      <c r="F38" s="62">
        <v>12000.0</v>
      </c>
      <c r="G38" s="62">
        <v>17000.0</v>
      </c>
      <c r="H38" s="68" t="s">
        <v>27</v>
      </c>
      <c r="I38" s="68">
        <v>13000.0</v>
      </c>
      <c r="J38" s="55">
        <v>12000.0</v>
      </c>
      <c r="K38" s="65">
        <f t="shared" si="7"/>
        <v>12200</v>
      </c>
      <c r="M38" s="7"/>
      <c r="N38" s="7"/>
    </row>
    <row r="39" ht="15.75" customHeight="1">
      <c r="A39" s="96">
        <v>9.0</v>
      </c>
      <c r="B39" s="157" t="s">
        <v>125</v>
      </c>
      <c r="C39" s="158"/>
      <c r="D39" s="66"/>
      <c r="E39" s="62"/>
      <c r="F39" s="62"/>
      <c r="G39" s="62"/>
      <c r="H39" s="64"/>
      <c r="I39" s="64"/>
      <c r="J39" s="55"/>
      <c r="K39" s="156"/>
      <c r="M39" s="7"/>
      <c r="N39" s="7"/>
    </row>
    <row r="40" ht="15.75" customHeight="1">
      <c r="A40" s="96"/>
      <c r="B40" s="50" t="s">
        <v>126</v>
      </c>
      <c r="C40" s="51" t="s">
        <v>24</v>
      </c>
      <c r="D40" s="66" t="s">
        <v>27</v>
      </c>
      <c r="E40" s="62">
        <v>18000.0</v>
      </c>
      <c r="F40" s="54" t="s">
        <v>27</v>
      </c>
      <c r="G40" s="62">
        <v>16000.0</v>
      </c>
      <c r="H40" s="64">
        <v>14000.0</v>
      </c>
      <c r="I40" s="64">
        <v>15000.0</v>
      </c>
      <c r="J40" s="55">
        <v>15000.0</v>
      </c>
      <c r="K40" s="65">
        <f t="shared" ref="K40:K42" si="8">AVERAGE(D40:J40)</f>
        <v>15600</v>
      </c>
      <c r="M40" s="7"/>
      <c r="N40" s="7"/>
    </row>
    <row r="41" ht="15.75" customHeight="1">
      <c r="A41" s="96"/>
      <c r="B41" s="50" t="s">
        <v>127</v>
      </c>
      <c r="C41" s="51" t="s">
        <v>24</v>
      </c>
      <c r="D41" s="61">
        <v>2500.0</v>
      </c>
      <c r="E41" s="62">
        <v>12000.0</v>
      </c>
      <c r="F41" s="62">
        <v>6000.0</v>
      </c>
      <c r="G41" s="54" t="s">
        <v>27</v>
      </c>
      <c r="H41" s="68" t="s">
        <v>27</v>
      </c>
      <c r="I41" s="68" t="s">
        <v>27</v>
      </c>
      <c r="J41" s="102" t="s">
        <v>27</v>
      </c>
      <c r="K41" s="65">
        <f t="shared" si="8"/>
        <v>6833.333333</v>
      </c>
      <c r="M41" s="7"/>
      <c r="N41" s="7"/>
    </row>
    <row r="42" ht="15.75" customHeight="1">
      <c r="A42" s="96"/>
      <c r="B42" s="50" t="s">
        <v>128</v>
      </c>
      <c r="C42" s="51" t="s">
        <v>24</v>
      </c>
      <c r="D42" s="66" t="s">
        <v>27</v>
      </c>
      <c r="E42" s="62">
        <v>2000.0</v>
      </c>
      <c r="F42" s="54" t="s">
        <v>27</v>
      </c>
      <c r="G42" s="54" t="s">
        <v>27</v>
      </c>
      <c r="H42" s="68" t="s">
        <v>27</v>
      </c>
      <c r="I42" s="68" t="s">
        <v>27</v>
      </c>
      <c r="J42" s="102" t="s">
        <v>27</v>
      </c>
      <c r="K42" s="65">
        <f t="shared" si="8"/>
        <v>2000</v>
      </c>
      <c r="M42" s="7"/>
      <c r="N42" s="7"/>
    </row>
    <row r="43" ht="15.75" customHeight="1">
      <c r="A43" s="75">
        <v>10.0</v>
      </c>
      <c r="B43" s="76" t="s">
        <v>61</v>
      </c>
      <c r="C43" s="76"/>
      <c r="D43" s="91"/>
      <c r="E43" s="80"/>
      <c r="F43" s="97"/>
      <c r="G43" s="93"/>
      <c r="H43" s="94"/>
      <c r="I43" s="94"/>
      <c r="J43" s="108"/>
      <c r="K43" s="83"/>
      <c r="M43" s="7"/>
      <c r="N43" s="7"/>
    </row>
    <row r="44" ht="15.75" customHeight="1">
      <c r="A44" s="25"/>
      <c r="B44" s="50" t="s">
        <v>62</v>
      </c>
      <c r="C44" s="51" t="s">
        <v>63</v>
      </c>
      <c r="D44" s="61">
        <v>12500.0</v>
      </c>
      <c r="E44" s="54">
        <v>12000.0</v>
      </c>
      <c r="F44" s="62">
        <v>12500.0</v>
      </c>
      <c r="G44" s="62">
        <v>12000.0</v>
      </c>
      <c r="H44" s="98" t="s">
        <v>27</v>
      </c>
      <c r="I44" s="69">
        <v>12500.0</v>
      </c>
      <c r="J44" s="102">
        <v>12500.0</v>
      </c>
      <c r="K44" s="65">
        <f t="shared" ref="K44:K45" si="9">AVERAGE(D44:J44)</f>
        <v>12333.33333</v>
      </c>
      <c r="M44" s="7"/>
      <c r="N44" s="7"/>
    </row>
    <row r="45" ht="15.75" customHeight="1">
      <c r="A45" s="71"/>
      <c r="B45" s="50" t="s">
        <v>130</v>
      </c>
      <c r="C45" s="51" t="s">
        <v>63</v>
      </c>
      <c r="D45" s="66">
        <v>12500.0</v>
      </c>
      <c r="E45" s="54">
        <v>13000.0</v>
      </c>
      <c r="F45" s="63">
        <v>12500.0</v>
      </c>
      <c r="G45" s="62">
        <v>12000.0</v>
      </c>
      <c r="H45" s="98" t="s">
        <v>27</v>
      </c>
      <c r="I45" s="69">
        <v>12500.0</v>
      </c>
      <c r="J45" s="104">
        <v>12500.0</v>
      </c>
      <c r="K45" s="65">
        <f t="shared" si="9"/>
        <v>12500</v>
      </c>
      <c r="M45" s="7"/>
      <c r="N45" s="7"/>
    </row>
    <row r="46" ht="15.75" customHeight="1">
      <c r="A46" s="75">
        <v>11.0</v>
      </c>
      <c r="B46" s="76" t="s">
        <v>66</v>
      </c>
      <c r="C46" s="76"/>
      <c r="D46" s="91"/>
      <c r="E46" s="109"/>
      <c r="F46" s="93"/>
      <c r="G46" s="97"/>
      <c r="H46" s="94"/>
      <c r="I46" s="94"/>
      <c r="J46" s="95"/>
      <c r="K46" s="83"/>
      <c r="M46" s="7"/>
      <c r="N46" s="7"/>
    </row>
    <row r="47" ht="15.75" customHeight="1">
      <c r="A47" s="25"/>
      <c r="B47" s="50" t="s">
        <v>67</v>
      </c>
      <c r="C47" s="51" t="s">
        <v>68</v>
      </c>
      <c r="D47" s="66" t="s">
        <v>27</v>
      </c>
      <c r="E47" s="54" t="s">
        <v>27</v>
      </c>
      <c r="F47" s="67" t="s">
        <v>27</v>
      </c>
      <c r="G47" s="63" t="s">
        <v>27</v>
      </c>
      <c r="H47" s="64">
        <v>17500.0</v>
      </c>
      <c r="I47" s="69" t="s">
        <v>27</v>
      </c>
      <c r="J47" s="104" t="s">
        <v>27</v>
      </c>
      <c r="K47" s="65">
        <f t="shared" ref="K47:K48" si="10">AVERAGE(D47:J47)</f>
        <v>17500</v>
      </c>
      <c r="M47" s="7"/>
      <c r="N47" s="7"/>
    </row>
    <row r="48" ht="15.75" customHeight="1">
      <c r="A48" s="25"/>
      <c r="B48" s="50" t="s">
        <v>69</v>
      </c>
      <c r="C48" s="51" t="s">
        <v>70</v>
      </c>
      <c r="D48" s="66" t="s">
        <v>27</v>
      </c>
      <c r="E48" s="54" t="s">
        <v>27</v>
      </c>
      <c r="F48" s="67" t="s">
        <v>27</v>
      </c>
      <c r="G48" s="63" t="s">
        <v>27</v>
      </c>
      <c r="H48" s="64">
        <v>2000.0</v>
      </c>
      <c r="I48" s="69" t="s">
        <v>27</v>
      </c>
      <c r="J48" s="104" t="s">
        <v>27</v>
      </c>
      <c r="K48" s="65">
        <f t="shared" si="10"/>
        <v>2000</v>
      </c>
      <c r="M48" s="7"/>
      <c r="N48" s="7"/>
    </row>
    <row r="49" ht="15.75" customHeight="1">
      <c r="A49" s="96">
        <v>12.0</v>
      </c>
      <c r="B49" s="110" t="s">
        <v>71</v>
      </c>
      <c r="C49" s="107"/>
      <c r="D49" s="111"/>
      <c r="E49" s="79"/>
      <c r="F49" s="79"/>
      <c r="G49" s="112"/>
      <c r="H49" s="113"/>
      <c r="I49" s="113"/>
      <c r="J49" s="114"/>
      <c r="K49" s="83"/>
      <c r="M49" s="7"/>
      <c r="N49" s="7"/>
    </row>
    <row r="50" ht="15.75" customHeight="1">
      <c r="A50" s="96"/>
      <c r="B50" s="50" t="s">
        <v>72</v>
      </c>
      <c r="C50" s="115" t="s">
        <v>24</v>
      </c>
      <c r="D50" s="61">
        <v>10000.0</v>
      </c>
      <c r="E50" s="62">
        <v>8000.0</v>
      </c>
      <c r="F50" s="62">
        <v>10000.0</v>
      </c>
      <c r="G50" s="62">
        <v>10000.0</v>
      </c>
      <c r="H50" s="64">
        <v>9000.0</v>
      </c>
      <c r="I50" s="69">
        <v>10000.0</v>
      </c>
      <c r="J50" s="55">
        <v>8000.0</v>
      </c>
      <c r="K50" s="65">
        <f t="shared" ref="K50:K51" si="11">AVERAGE(D50:J50)</f>
        <v>9285.714286</v>
      </c>
      <c r="M50" s="7"/>
      <c r="N50" s="7"/>
    </row>
    <row r="51" ht="15.75" customHeight="1">
      <c r="A51" s="116"/>
      <c r="B51" s="50" t="s">
        <v>73</v>
      </c>
      <c r="C51" s="115" t="s">
        <v>24</v>
      </c>
      <c r="D51" s="61">
        <v>9000.0</v>
      </c>
      <c r="E51" s="62">
        <v>10000.0</v>
      </c>
      <c r="F51" s="63">
        <v>9000.0</v>
      </c>
      <c r="G51" s="62">
        <v>9000.0</v>
      </c>
      <c r="H51" s="64">
        <v>6000.0</v>
      </c>
      <c r="I51" s="68" t="s">
        <v>27</v>
      </c>
      <c r="J51" s="55">
        <v>6000.0</v>
      </c>
      <c r="K51" s="65">
        <f t="shared" si="11"/>
        <v>8166.666667</v>
      </c>
      <c r="M51" s="7"/>
      <c r="N51" s="7"/>
    </row>
    <row r="52" ht="15.75" customHeight="1">
      <c r="A52" s="75">
        <v>13.0</v>
      </c>
      <c r="B52" s="76" t="s">
        <v>74</v>
      </c>
      <c r="C52" s="76"/>
      <c r="D52" s="91"/>
      <c r="E52" s="80"/>
      <c r="F52" s="97"/>
      <c r="G52" s="97"/>
      <c r="H52" s="94"/>
      <c r="I52" s="94"/>
      <c r="J52" s="108"/>
      <c r="K52" s="83"/>
      <c r="M52" s="7"/>
      <c r="N52" s="7"/>
    </row>
    <row r="53" ht="15.75" customHeight="1">
      <c r="A53" s="71"/>
      <c r="B53" s="50" t="s">
        <v>75</v>
      </c>
      <c r="C53" s="51" t="s">
        <v>76</v>
      </c>
      <c r="D53" s="61">
        <v>3000.0</v>
      </c>
      <c r="E53" s="62">
        <v>8000.0</v>
      </c>
      <c r="F53" s="62">
        <v>5000.0</v>
      </c>
      <c r="G53" s="62">
        <v>5000.0</v>
      </c>
      <c r="H53" s="64">
        <v>2500.0</v>
      </c>
      <c r="I53" s="69">
        <v>2000.0</v>
      </c>
      <c r="J53" s="102">
        <v>2500.0</v>
      </c>
      <c r="K53" s="65">
        <f>AVERAGE(D53:J53)</f>
        <v>4000</v>
      </c>
      <c r="M53" s="7"/>
      <c r="N53" s="7"/>
    </row>
    <row r="54" ht="15.75" customHeight="1">
      <c r="A54" s="75">
        <v>14.0</v>
      </c>
      <c r="B54" s="76" t="s">
        <v>77</v>
      </c>
      <c r="C54" s="107"/>
      <c r="D54" s="117"/>
      <c r="E54" s="109"/>
      <c r="F54" s="118"/>
      <c r="G54" s="119"/>
      <c r="H54" s="120"/>
      <c r="I54" s="120"/>
      <c r="J54" s="121"/>
      <c r="K54" s="83"/>
      <c r="M54" s="7"/>
      <c r="N54" s="7"/>
    </row>
    <row r="55" ht="15.75" customHeight="1">
      <c r="A55" s="71"/>
      <c r="B55" s="122" t="s">
        <v>78</v>
      </c>
      <c r="C55" s="115" t="s">
        <v>24</v>
      </c>
      <c r="D55" s="61">
        <v>12000.0</v>
      </c>
      <c r="E55" s="62">
        <v>10500.0</v>
      </c>
      <c r="F55" s="62">
        <v>13000.0</v>
      </c>
      <c r="G55" s="62">
        <v>11000.0</v>
      </c>
      <c r="H55" s="64">
        <v>11000.0</v>
      </c>
      <c r="I55" s="64">
        <v>12000.0</v>
      </c>
      <c r="J55" s="55">
        <v>10000.0</v>
      </c>
      <c r="K55" s="65">
        <f>AVERAGE(D55:J55)</f>
        <v>11357.14286</v>
      </c>
      <c r="M55" s="7"/>
      <c r="N55" s="7"/>
    </row>
    <row r="56" ht="15.75" customHeight="1">
      <c r="A56" s="75">
        <v>15.0</v>
      </c>
      <c r="B56" s="76" t="s">
        <v>79</v>
      </c>
      <c r="C56" s="76"/>
      <c r="D56" s="91"/>
      <c r="E56" s="80"/>
      <c r="F56" s="97"/>
      <c r="G56" s="93"/>
      <c r="H56" s="94"/>
      <c r="I56" s="94"/>
      <c r="J56" s="108"/>
      <c r="K56" s="83"/>
      <c r="M56" s="7"/>
      <c r="N56" s="7"/>
    </row>
    <row r="57" ht="15.75" customHeight="1">
      <c r="A57" s="25"/>
      <c r="B57" s="50" t="s">
        <v>80</v>
      </c>
      <c r="C57" s="51" t="s">
        <v>24</v>
      </c>
      <c r="D57" s="61">
        <v>16000.0</v>
      </c>
      <c r="E57" s="62">
        <v>16000.0</v>
      </c>
      <c r="F57" s="62">
        <v>16000.0</v>
      </c>
      <c r="G57" s="62">
        <v>20000.0</v>
      </c>
      <c r="H57" s="64">
        <v>13000.0</v>
      </c>
      <c r="I57" s="68">
        <v>17000.0</v>
      </c>
      <c r="J57" s="102" t="s">
        <v>27</v>
      </c>
      <c r="K57" s="65">
        <f t="shared" ref="K57:K60" si="12">AVERAGE(D57:J57)</f>
        <v>16333.33333</v>
      </c>
      <c r="M57" s="7"/>
      <c r="N57" s="7"/>
    </row>
    <row r="58" ht="15.75" customHeight="1">
      <c r="A58" s="25"/>
      <c r="B58" s="50" t="s">
        <v>81</v>
      </c>
      <c r="C58" s="51" t="s">
        <v>24</v>
      </c>
      <c r="D58" s="66" t="s">
        <v>27</v>
      </c>
      <c r="E58" s="62">
        <v>14000.0</v>
      </c>
      <c r="F58" s="63">
        <v>15000.0</v>
      </c>
      <c r="G58" s="124" t="s">
        <v>27</v>
      </c>
      <c r="H58" s="126" t="s">
        <v>27</v>
      </c>
      <c r="I58" s="69" t="s">
        <v>27</v>
      </c>
      <c r="J58" s="102">
        <v>13500.0</v>
      </c>
      <c r="K58" s="65">
        <f t="shared" si="12"/>
        <v>14166.66667</v>
      </c>
      <c r="M58" s="7" t="s">
        <v>82</v>
      </c>
      <c r="N58" s="7"/>
    </row>
    <row r="59" ht="15.75" customHeight="1">
      <c r="A59" s="25"/>
      <c r="B59" s="50" t="s">
        <v>83</v>
      </c>
      <c r="C59" s="51" t="s">
        <v>24</v>
      </c>
      <c r="D59" s="61">
        <v>26000.0</v>
      </c>
      <c r="E59" s="62">
        <v>23000.0</v>
      </c>
      <c r="F59" s="62">
        <v>28000.0</v>
      </c>
      <c r="G59" s="62">
        <v>30000.0</v>
      </c>
      <c r="H59" s="64">
        <v>22000.0</v>
      </c>
      <c r="I59" s="64">
        <v>28000.0</v>
      </c>
      <c r="J59" s="102">
        <v>26000.0</v>
      </c>
      <c r="K59" s="65">
        <f t="shared" si="12"/>
        <v>26142.85714</v>
      </c>
      <c r="M59" s="7"/>
      <c r="N59" s="128"/>
    </row>
    <row r="60" ht="15.75" customHeight="1">
      <c r="A60" s="71"/>
      <c r="B60" s="50" t="s">
        <v>84</v>
      </c>
      <c r="C60" s="51" t="s">
        <v>24</v>
      </c>
      <c r="D60" s="61">
        <v>30000.0</v>
      </c>
      <c r="E60" s="62">
        <v>30000.0</v>
      </c>
      <c r="F60" s="62">
        <v>30000.0</v>
      </c>
      <c r="G60" s="62">
        <v>30000.0</v>
      </c>
      <c r="H60" s="64">
        <v>26000.0</v>
      </c>
      <c r="I60" s="64">
        <v>30000.0</v>
      </c>
      <c r="J60" s="102">
        <v>28000.0</v>
      </c>
      <c r="K60" s="65">
        <f t="shared" si="12"/>
        <v>29142.85714</v>
      </c>
      <c r="M60" s="7"/>
      <c r="N60" s="7"/>
    </row>
    <row r="61" ht="15.75" customHeight="1">
      <c r="A61" s="129">
        <v>16.0</v>
      </c>
      <c r="B61" s="76" t="s">
        <v>85</v>
      </c>
      <c r="C61" s="107"/>
      <c r="D61" s="130"/>
      <c r="E61" s="79"/>
      <c r="F61" s="112"/>
      <c r="G61" s="79"/>
      <c r="H61" s="113"/>
      <c r="I61" s="113"/>
      <c r="J61" s="131"/>
      <c r="K61" s="83"/>
      <c r="M61" s="7"/>
      <c r="N61" s="7"/>
    </row>
    <row r="62" ht="15.75" customHeight="1">
      <c r="A62" s="132"/>
      <c r="B62" s="50" t="s">
        <v>86</v>
      </c>
      <c r="C62" s="115" t="s">
        <v>87</v>
      </c>
      <c r="D62" s="61">
        <v>3000.0</v>
      </c>
      <c r="E62" s="62">
        <v>3200.0</v>
      </c>
      <c r="F62" s="62">
        <v>3000.0</v>
      </c>
      <c r="G62" s="62">
        <v>3000.0</v>
      </c>
      <c r="H62" s="98" t="s">
        <v>27</v>
      </c>
      <c r="I62" s="69">
        <v>3500.0</v>
      </c>
      <c r="J62" s="55">
        <v>3500.0</v>
      </c>
      <c r="K62" s="65">
        <f>AVERAGE(D62:J62)</f>
        <v>3200</v>
      </c>
      <c r="M62" s="7"/>
      <c r="N62" s="7"/>
    </row>
    <row r="63" ht="15.75" customHeight="1">
      <c r="A63" s="75">
        <v>17.0</v>
      </c>
      <c r="B63" s="76" t="s">
        <v>88</v>
      </c>
      <c r="C63" s="76"/>
      <c r="D63" s="91"/>
      <c r="E63" s="80"/>
      <c r="F63" s="97"/>
      <c r="G63" s="97"/>
      <c r="H63" s="94"/>
      <c r="I63" s="94"/>
      <c r="J63" s="108"/>
      <c r="K63" s="83"/>
      <c r="M63" s="7"/>
      <c r="N63" s="7"/>
    </row>
    <row r="64" ht="15.75" customHeight="1">
      <c r="A64" s="25"/>
      <c r="B64" s="50" t="s">
        <v>89</v>
      </c>
      <c r="C64" s="51" t="s">
        <v>24</v>
      </c>
      <c r="D64" s="61">
        <v>28000.0</v>
      </c>
      <c r="E64" s="62">
        <v>30000.0</v>
      </c>
      <c r="F64" s="62">
        <v>28000.0</v>
      </c>
      <c r="G64" s="62">
        <v>40000.0</v>
      </c>
      <c r="H64" s="64">
        <v>25000.0</v>
      </c>
      <c r="I64" s="64">
        <v>30000.0</v>
      </c>
      <c r="J64" s="55">
        <v>30000.0</v>
      </c>
      <c r="K64" s="65">
        <f t="shared" ref="K64:K66" si="13">AVERAGE(D64:J64)</f>
        <v>30142.85714</v>
      </c>
      <c r="M64" s="7"/>
      <c r="N64" s="7"/>
    </row>
    <row r="65" ht="15.75" customHeight="1">
      <c r="A65" s="25"/>
      <c r="B65" s="50" t="s">
        <v>90</v>
      </c>
      <c r="C65" s="51" t="s">
        <v>24</v>
      </c>
      <c r="D65" s="66">
        <v>35000.0</v>
      </c>
      <c r="E65" s="62">
        <v>30000.0</v>
      </c>
      <c r="F65" s="62">
        <v>28000.0</v>
      </c>
      <c r="G65" s="62">
        <v>45000.0</v>
      </c>
      <c r="H65" s="126" t="s">
        <v>27</v>
      </c>
      <c r="I65" s="69">
        <v>30000.0</v>
      </c>
      <c r="J65" s="102" t="s">
        <v>27</v>
      </c>
      <c r="K65" s="65">
        <f t="shared" si="13"/>
        <v>33600</v>
      </c>
      <c r="M65" s="7"/>
      <c r="N65" s="7"/>
    </row>
    <row r="66" ht="15.75" customHeight="1">
      <c r="A66" s="71"/>
      <c r="B66" s="50" t="s">
        <v>92</v>
      </c>
      <c r="C66" s="51" t="s">
        <v>24</v>
      </c>
      <c r="D66" s="61">
        <v>50000.0</v>
      </c>
      <c r="E66" s="62">
        <v>60000.0</v>
      </c>
      <c r="F66" s="62">
        <v>45000.0</v>
      </c>
      <c r="G66" s="62">
        <v>55000.0</v>
      </c>
      <c r="H66" s="64">
        <v>50000.0</v>
      </c>
      <c r="I66" s="64">
        <v>50000.0</v>
      </c>
      <c r="J66" s="55">
        <v>50000.0</v>
      </c>
      <c r="K66" s="65">
        <f t="shared" si="13"/>
        <v>51428.57143</v>
      </c>
      <c r="M66" s="7"/>
      <c r="N66" s="7"/>
    </row>
    <row r="67" ht="15.75" customHeight="1">
      <c r="A67" s="129">
        <v>18.0</v>
      </c>
      <c r="B67" s="76" t="s">
        <v>93</v>
      </c>
      <c r="C67" s="107"/>
      <c r="D67" s="133"/>
      <c r="E67" s="79"/>
      <c r="F67" s="112"/>
      <c r="G67" s="79"/>
      <c r="H67" s="113"/>
      <c r="I67" s="113"/>
      <c r="J67" s="114"/>
      <c r="K67" s="83"/>
      <c r="M67" s="7"/>
      <c r="N67" s="7"/>
    </row>
    <row r="68" ht="15.75" customHeight="1">
      <c r="A68" s="132"/>
      <c r="B68" s="50" t="s">
        <v>94</v>
      </c>
      <c r="C68" s="51" t="s">
        <v>95</v>
      </c>
      <c r="D68" s="61">
        <v>19000.0</v>
      </c>
      <c r="E68" s="62">
        <v>18000.0</v>
      </c>
      <c r="F68" s="62">
        <v>18000.0</v>
      </c>
      <c r="G68" s="54">
        <v>18000.0</v>
      </c>
      <c r="H68" s="98" t="s">
        <v>27</v>
      </c>
      <c r="I68" s="68">
        <v>18000.0</v>
      </c>
      <c r="J68" s="104">
        <v>18000.0</v>
      </c>
      <c r="K68" s="65">
        <f>AVERAGE(D68:J68)</f>
        <v>18166.66667</v>
      </c>
      <c r="M68" s="7"/>
      <c r="N68" s="7"/>
    </row>
    <row r="69" ht="15.75" customHeight="1">
      <c r="A69" s="75">
        <v>19.0</v>
      </c>
      <c r="B69" s="76" t="s">
        <v>96</v>
      </c>
      <c r="C69" s="76"/>
      <c r="D69" s="91"/>
      <c r="E69" s="80"/>
      <c r="F69" s="93"/>
      <c r="G69" s="93"/>
      <c r="H69" s="94"/>
      <c r="I69" s="94"/>
      <c r="J69" s="95"/>
      <c r="K69" s="83"/>
      <c r="M69" s="7"/>
      <c r="N69" s="7"/>
    </row>
    <row r="70" ht="15.75" customHeight="1">
      <c r="A70" s="25"/>
      <c r="B70" s="50" t="s">
        <v>97</v>
      </c>
      <c r="C70" s="51" t="s">
        <v>24</v>
      </c>
      <c r="D70" s="61">
        <v>32000.0</v>
      </c>
      <c r="E70" s="62">
        <v>35000.0</v>
      </c>
      <c r="F70" s="62">
        <v>34000.0</v>
      </c>
      <c r="G70" s="62">
        <v>33000.0</v>
      </c>
      <c r="H70" s="64">
        <v>30000.0</v>
      </c>
      <c r="I70" s="64">
        <v>38000.0</v>
      </c>
      <c r="J70" s="55">
        <v>35000.0</v>
      </c>
      <c r="K70" s="65">
        <f t="shared" ref="K70:K73" si="14">AVERAGE(D70:J70)</f>
        <v>33857.14286</v>
      </c>
      <c r="M70" s="7"/>
      <c r="N70" s="7"/>
    </row>
    <row r="71" ht="15.75" customHeight="1">
      <c r="A71" s="25"/>
      <c r="B71" s="50" t="s">
        <v>98</v>
      </c>
      <c r="C71" s="51" t="s">
        <v>24</v>
      </c>
      <c r="D71" s="66">
        <v>28000.0</v>
      </c>
      <c r="E71" s="62">
        <v>32000.0</v>
      </c>
      <c r="F71" s="62">
        <v>30000.0</v>
      </c>
      <c r="G71" s="62">
        <v>28000.0</v>
      </c>
      <c r="H71" s="64">
        <v>26000.0</v>
      </c>
      <c r="I71" s="64">
        <v>30000.0</v>
      </c>
      <c r="J71" s="55">
        <v>28000.0</v>
      </c>
      <c r="K71" s="65">
        <f t="shared" si="14"/>
        <v>28857.14286</v>
      </c>
      <c r="M71" s="7"/>
      <c r="N71" s="7"/>
    </row>
    <row r="72" ht="15.75" customHeight="1">
      <c r="A72" s="25"/>
      <c r="B72" s="50" t="s">
        <v>99</v>
      </c>
      <c r="C72" s="51" t="s">
        <v>24</v>
      </c>
      <c r="D72" s="61">
        <v>32000.0</v>
      </c>
      <c r="E72" s="62">
        <v>34000.0</v>
      </c>
      <c r="F72" s="62">
        <v>35000.0</v>
      </c>
      <c r="G72" s="62">
        <v>35000.0</v>
      </c>
      <c r="H72" s="64">
        <v>25000.0</v>
      </c>
      <c r="I72" s="64">
        <v>35000.0</v>
      </c>
      <c r="J72" s="55">
        <v>30000.0</v>
      </c>
      <c r="K72" s="65">
        <f t="shared" si="14"/>
        <v>32285.71429</v>
      </c>
      <c r="M72" s="7"/>
      <c r="N72" s="7"/>
    </row>
    <row r="73" ht="15.75" customHeight="1">
      <c r="A73" s="71"/>
      <c r="B73" s="50" t="s">
        <v>100</v>
      </c>
      <c r="C73" s="51" t="s">
        <v>24</v>
      </c>
      <c r="D73" s="61">
        <v>24000.0</v>
      </c>
      <c r="E73" s="54">
        <v>24000.0</v>
      </c>
      <c r="F73" s="63">
        <v>30000.0</v>
      </c>
      <c r="G73" s="63">
        <v>25000.0</v>
      </c>
      <c r="H73" s="64">
        <v>26000.0</v>
      </c>
      <c r="I73" s="68">
        <v>35000.0</v>
      </c>
      <c r="J73" s="102">
        <v>22000.0</v>
      </c>
      <c r="K73" s="65">
        <f t="shared" si="14"/>
        <v>26571.42857</v>
      </c>
      <c r="M73" s="7"/>
      <c r="N73" s="7"/>
    </row>
    <row r="74" ht="15.75" customHeight="1">
      <c r="A74" s="129">
        <v>20.0</v>
      </c>
      <c r="B74" s="76" t="s">
        <v>101</v>
      </c>
      <c r="C74" s="107"/>
      <c r="D74" s="133"/>
      <c r="E74" s="67"/>
      <c r="F74" s="79"/>
      <c r="G74" s="134"/>
      <c r="H74" s="113"/>
      <c r="I74" s="113"/>
      <c r="J74" s="131"/>
      <c r="K74" s="83"/>
      <c r="M74" s="7"/>
      <c r="N74" s="7"/>
    </row>
    <row r="75" ht="15.75" customHeight="1">
      <c r="A75" s="135"/>
      <c r="B75" s="50" t="s">
        <v>102</v>
      </c>
      <c r="C75" s="115" t="s">
        <v>24</v>
      </c>
      <c r="D75" s="61">
        <v>6000.0</v>
      </c>
      <c r="E75" s="54">
        <v>7000.0</v>
      </c>
      <c r="F75" s="62">
        <v>5000.0</v>
      </c>
      <c r="G75" s="62">
        <v>6000.0</v>
      </c>
      <c r="H75" s="64">
        <v>4000.0</v>
      </c>
      <c r="I75" s="64">
        <v>6000.0</v>
      </c>
      <c r="J75" s="102">
        <v>5000.0</v>
      </c>
      <c r="K75" s="65">
        <f t="shared" ref="K75:K76" si="15">AVERAGE(D75:J75)</f>
        <v>5571.428571</v>
      </c>
      <c r="M75" s="7"/>
      <c r="N75" s="7"/>
    </row>
    <row r="76" ht="15.75" customHeight="1">
      <c r="A76" s="132"/>
      <c r="B76" s="50" t="s">
        <v>103</v>
      </c>
      <c r="C76" s="115" t="s">
        <v>24</v>
      </c>
      <c r="D76" s="66">
        <v>6000.0</v>
      </c>
      <c r="E76" s="54" t="s">
        <v>27</v>
      </c>
      <c r="F76" s="63">
        <v>6000.0</v>
      </c>
      <c r="G76" s="63">
        <v>6000.0</v>
      </c>
      <c r="H76" s="64">
        <v>5000.0</v>
      </c>
      <c r="I76" s="68">
        <v>7000.0</v>
      </c>
      <c r="J76" s="104">
        <v>6000.0</v>
      </c>
      <c r="K76" s="65">
        <f t="shared" si="15"/>
        <v>6000</v>
      </c>
      <c r="M76" s="7"/>
      <c r="N76" s="7"/>
    </row>
    <row r="77" ht="15.75" customHeight="1">
      <c r="A77" s="129">
        <v>21.0</v>
      </c>
      <c r="B77" s="76" t="s">
        <v>104</v>
      </c>
      <c r="C77" s="107"/>
      <c r="D77" s="111"/>
      <c r="E77" s="79"/>
      <c r="F77" s="79"/>
      <c r="G77" s="112"/>
      <c r="H77" s="113"/>
      <c r="I77" s="113"/>
      <c r="J77" s="114"/>
      <c r="K77" s="83"/>
      <c r="M77" s="7"/>
      <c r="N77" s="7"/>
    </row>
    <row r="78" ht="15.75" customHeight="1">
      <c r="A78" s="135"/>
      <c r="B78" s="50" t="s">
        <v>105</v>
      </c>
      <c r="C78" s="115" t="s">
        <v>24</v>
      </c>
      <c r="D78" s="61">
        <v>7000.0</v>
      </c>
      <c r="E78" s="62">
        <v>8000.0</v>
      </c>
      <c r="F78" s="62">
        <v>8000.0</v>
      </c>
      <c r="G78" s="62">
        <v>9000.0</v>
      </c>
      <c r="H78" s="64">
        <v>9000.0</v>
      </c>
      <c r="I78" s="69">
        <v>9000.0</v>
      </c>
      <c r="J78" s="55">
        <v>7000.0</v>
      </c>
      <c r="K78" s="65">
        <f t="shared" ref="K78:K86" si="16">AVERAGE(D78:J78)</f>
        <v>8142.857143</v>
      </c>
      <c r="M78" s="7"/>
      <c r="N78" s="7"/>
    </row>
    <row r="79" ht="15.75" customHeight="1">
      <c r="A79" s="135"/>
      <c r="B79" s="50" t="s">
        <v>106</v>
      </c>
      <c r="C79" s="115" t="s">
        <v>24</v>
      </c>
      <c r="D79" s="61">
        <v>12000.0</v>
      </c>
      <c r="E79" s="62">
        <v>15000.0</v>
      </c>
      <c r="F79" s="62">
        <v>16000.0</v>
      </c>
      <c r="G79" s="62">
        <v>14000.0</v>
      </c>
      <c r="H79" s="64">
        <v>10000.0</v>
      </c>
      <c r="I79" s="69">
        <v>12000.0</v>
      </c>
      <c r="J79" s="55">
        <v>14000.0</v>
      </c>
      <c r="K79" s="65">
        <f t="shared" si="16"/>
        <v>13285.71429</v>
      </c>
      <c r="M79" s="7"/>
      <c r="N79" s="7"/>
    </row>
    <row r="80" ht="15.75" customHeight="1">
      <c r="A80" s="135"/>
      <c r="B80" s="50" t="s">
        <v>107</v>
      </c>
      <c r="C80" s="115" t="s">
        <v>24</v>
      </c>
      <c r="D80" s="61">
        <v>14000.0</v>
      </c>
      <c r="E80" s="62">
        <v>16000.0</v>
      </c>
      <c r="F80" s="62">
        <v>16000.0</v>
      </c>
      <c r="G80" s="62">
        <v>17000.0</v>
      </c>
      <c r="H80" s="64">
        <v>15000.0</v>
      </c>
      <c r="I80" s="64">
        <v>16000.0</v>
      </c>
      <c r="J80" s="55">
        <v>15000.0</v>
      </c>
      <c r="K80" s="65">
        <f t="shared" si="16"/>
        <v>15571.42857</v>
      </c>
      <c r="M80" s="7"/>
      <c r="N80" s="7"/>
    </row>
    <row r="81" ht="15.75" customHeight="1">
      <c r="A81" s="135"/>
      <c r="B81" s="50" t="s">
        <v>108</v>
      </c>
      <c r="C81" s="115" t="s">
        <v>24</v>
      </c>
      <c r="D81" s="61">
        <v>16000.0</v>
      </c>
      <c r="E81" s="62">
        <v>14000.0</v>
      </c>
      <c r="F81" s="62">
        <v>15000.0</v>
      </c>
      <c r="G81" s="62">
        <v>15000.0</v>
      </c>
      <c r="H81" s="64">
        <v>12000.0</v>
      </c>
      <c r="I81" s="69">
        <v>15000.0</v>
      </c>
      <c r="J81" s="55">
        <v>15000.0</v>
      </c>
      <c r="K81" s="65">
        <f t="shared" si="16"/>
        <v>14571.42857</v>
      </c>
      <c r="M81" s="7"/>
      <c r="N81" s="7"/>
    </row>
    <row r="82" ht="15.75" customHeight="1">
      <c r="A82" s="135"/>
      <c r="B82" s="50" t="s">
        <v>109</v>
      </c>
      <c r="C82" s="115" t="s">
        <v>24</v>
      </c>
      <c r="D82" s="61">
        <v>8000.0</v>
      </c>
      <c r="E82" s="62">
        <v>12000.0</v>
      </c>
      <c r="F82" s="62">
        <v>12000.0</v>
      </c>
      <c r="G82" s="62">
        <v>12000.0</v>
      </c>
      <c r="H82" s="64">
        <v>10000.0</v>
      </c>
      <c r="I82" s="64">
        <v>12000.0</v>
      </c>
      <c r="J82" s="55">
        <v>10000.0</v>
      </c>
      <c r="K82" s="65">
        <f t="shared" si="16"/>
        <v>10857.14286</v>
      </c>
      <c r="M82" s="7"/>
      <c r="N82" s="7"/>
    </row>
    <row r="83" ht="15.75" customHeight="1">
      <c r="A83" s="135"/>
      <c r="B83" s="50" t="s">
        <v>110</v>
      </c>
      <c r="C83" s="115" t="s">
        <v>24</v>
      </c>
      <c r="D83" s="66">
        <v>7000.0</v>
      </c>
      <c r="E83" s="54">
        <v>10000.0</v>
      </c>
      <c r="F83" s="63">
        <v>10000.0</v>
      </c>
      <c r="G83" s="63" t="s">
        <v>27</v>
      </c>
      <c r="H83" s="136">
        <v>9000.0</v>
      </c>
      <c r="I83" s="137">
        <v>10000.0</v>
      </c>
      <c r="J83" s="138">
        <v>8000.0</v>
      </c>
      <c r="K83" s="65">
        <f t="shared" si="16"/>
        <v>9000</v>
      </c>
      <c r="M83" s="7"/>
      <c r="N83" s="7"/>
    </row>
    <row r="84" ht="15.75" customHeight="1">
      <c r="A84" s="135"/>
      <c r="B84" s="50" t="s">
        <v>111</v>
      </c>
      <c r="C84" s="115" t="s">
        <v>112</v>
      </c>
      <c r="D84" s="66">
        <v>2000.0</v>
      </c>
      <c r="E84" s="54" t="s">
        <v>27</v>
      </c>
      <c r="F84" s="62">
        <v>2000.0</v>
      </c>
      <c r="G84" s="63">
        <v>2000.0</v>
      </c>
      <c r="H84" s="64">
        <v>1500.0</v>
      </c>
      <c r="I84" s="68">
        <v>2000.0</v>
      </c>
      <c r="J84" s="104">
        <v>2000.0</v>
      </c>
      <c r="K84" s="65">
        <f t="shared" si="16"/>
        <v>1916.666667</v>
      </c>
      <c r="M84" s="7"/>
      <c r="N84" s="7"/>
    </row>
    <row r="85" ht="15.75" customHeight="1">
      <c r="A85" s="135"/>
      <c r="B85" s="50" t="s">
        <v>113</v>
      </c>
      <c r="C85" s="115" t="s">
        <v>112</v>
      </c>
      <c r="D85" s="66">
        <v>1500.0</v>
      </c>
      <c r="E85" s="54" t="s">
        <v>27</v>
      </c>
      <c r="F85" s="62">
        <v>1500.0</v>
      </c>
      <c r="G85" s="63">
        <v>2000.0</v>
      </c>
      <c r="H85" s="64">
        <v>1500.0</v>
      </c>
      <c r="I85" s="68">
        <v>2000.0</v>
      </c>
      <c r="J85" s="104">
        <v>1500.0</v>
      </c>
      <c r="K85" s="65">
        <f t="shared" si="16"/>
        <v>1666.666667</v>
      </c>
      <c r="M85" s="7"/>
      <c r="N85" s="7"/>
    </row>
    <row r="86" ht="15.75" customHeight="1">
      <c r="A86" s="132"/>
      <c r="B86" s="50" t="s">
        <v>114</v>
      </c>
      <c r="C86" s="115" t="s">
        <v>112</v>
      </c>
      <c r="D86" s="66" t="s">
        <v>27</v>
      </c>
      <c r="E86" s="54" t="s">
        <v>27</v>
      </c>
      <c r="F86" s="62">
        <v>2000.0</v>
      </c>
      <c r="G86" s="63">
        <v>2000.0</v>
      </c>
      <c r="H86" s="64">
        <v>2000.0</v>
      </c>
      <c r="I86" s="68">
        <v>2000.0</v>
      </c>
      <c r="J86" s="104">
        <v>2000.0</v>
      </c>
      <c r="K86" s="65">
        <f t="shared" si="16"/>
        <v>2000</v>
      </c>
      <c r="M86" s="7"/>
      <c r="N86" s="7"/>
    </row>
    <row r="87" ht="15.75" customHeight="1">
      <c r="A87" s="129">
        <v>22.0</v>
      </c>
      <c r="B87" s="76" t="s">
        <v>115</v>
      </c>
      <c r="C87" s="107"/>
      <c r="D87" s="140"/>
      <c r="E87" s="67"/>
      <c r="F87" s="79" t="s">
        <v>116</v>
      </c>
      <c r="G87" s="112"/>
      <c r="H87" s="113"/>
      <c r="I87" s="113"/>
      <c r="J87" s="114"/>
      <c r="K87" s="83"/>
      <c r="M87" s="7"/>
      <c r="N87" s="7"/>
    </row>
    <row r="88" ht="15.75" customHeight="1">
      <c r="A88" s="132"/>
      <c r="B88" s="50" t="s">
        <v>117</v>
      </c>
      <c r="C88" s="115" t="s">
        <v>118</v>
      </c>
      <c r="D88" s="66">
        <v>18000.0</v>
      </c>
      <c r="E88" s="54" t="s">
        <v>27</v>
      </c>
      <c r="F88" s="54">
        <v>17000.0</v>
      </c>
      <c r="G88" s="63">
        <v>17000.0</v>
      </c>
      <c r="H88" s="98" t="s">
        <v>27</v>
      </c>
      <c r="I88" s="69">
        <v>20000.0</v>
      </c>
      <c r="J88" s="104">
        <v>18000.0</v>
      </c>
      <c r="K88" s="65">
        <f>AVERAGE(D88:J88)</f>
        <v>18000</v>
      </c>
      <c r="M88" s="7"/>
      <c r="N88" s="7"/>
    </row>
    <row r="89" ht="15.75" customHeight="1">
      <c r="D89" s="142"/>
      <c r="E89" s="143"/>
      <c r="J89" s="4"/>
      <c r="M89" s="7"/>
      <c r="N89" s="7"/>
    </row>
    <row r="90" ht="15.75" customHeight="1">
      <c r="B90" s="144"/>
      <c r="D90" s="142"/>
      <c r="J90" s="4"/>
      <c r="M90" s="7"/>
      <c r="N90" s="7"/>
    </row>
    <row r="91" ht="15.75" customHeight="1">
      <c r="D91" s="142"/>
      <c r="J91" s="4"/>
      <c r="M91" s="7"/>
      <c r="N91" s="7"/>
    </row>
    <row r="92" ht="15.75" customHeight="1">
      <c r="A92" s="7"/>
      <c r="B92" s="7"/>
      <c r="C92" s="7"/>
      <c r="D92" s="128"/>
      <c r="E92" s="7"/>
      <c r="F92" s="7"/>
      <c r="G92" s="7"/>
      <c r="H92" s="7"/>
      <c r="I92" s="7"/>
      <c r="J92" s="85"/>
      <c r="K92" s="7"/>
      <c r="L92" s="7"/>
      <c r="M92" s="7"/>
      <c r="N92" s="7"/>
    </row>
    <row r="93" ht="15.75" customHeight="1">
      <c r="D93" s="142"/>
    </row>
    <row r="94" ht="15.75" customHeight="1">
      <c r="D94" s="142"/>
    </row>
    <row r="95" ht="15.75" customHeight="1">
      <c r="D95" s="142"/>
    </row>
    <row r="96" ht="15.75" customHeight="1">
      <c r="D96" s="142"/>
    </row>
    <row r="97" ht="15.75" customHeight="1">
      <c r="D97" s="142"/>
    </row>
    <row r="98" ht="15.75" customHeight="1">
      <c r="D98" s="142"/>
    </row>
    <row r="99" ht="15.75" customHeight="1">
      <c r="D99" s="142"/>
    </row>
    <row r="100" ht="15.75" customHeight="1">
      <c r="D100" s="142"/>
    </row>
    <row r="101" ht="15.75" customHeight="1">
      <c r="D101" s="142"/>
    </row>
    <row r="102" ht="15.75" customHeight="1">
      <c r="D102" s="142"/>
    </row>
    <row r="103" ht="15.75" customHeight="1">
      <c r="D103" s="142"/>
    </row>
    <row r="104" ht="15.75" customHeight="1">
      <c r="D104" s="142"/>
    </row>
    <row r="105" ht="15.75" customHeight="1">
      <c r="D105" s="142"/>
    </row>
    <row r="106" ht="15.75" customHeight="1">
      <c r="D106" s="142"/>
    </row>
    <row r="107" ht="15.75" customHeight="1">
      <c r="D107" s="142"/>
    </row>
    <row r="108" ht="15.75" customHeight="1">
      <c r="D108" s="142"/>
    </row>
    <row r="109" ht="15.75" customHeight="1">
      <c r="D109" s="142"/>
    </row>
    <row r="110" ht="15.75" customHeight="1">
      <c r="D110" s="142"/>
    </row>
    <row r="111" ht="15.75" customHeight="1">
      <c r="D111" s="142"/>
    </row>
    <row r="112" ht="15.75" customHeight="1">
      <c r="D112" s="142"/>
    </row>
    <row r="113" ht="15.75" customHeight="1">
      <c r="D113" s="142"/>
    </row>
    <row r="114" ht="15.75" customHeight="1">
      <c r="D114" s="142"/>
    </row>
    <row r="115" ht="15.75" customHeight="1">
      <c r="D115" s="142"/>
    </row>
    <row r="116" ht="15.75" customHeight="1">
      <c r="D116" s="142"/>
    </row>
    <row r="117" ht="15.75" customHeight="1">
      <c r="D117" s="142"/>
    </row>
    <row r="118" ht="15.75" customHeight="1">
      <c r="D118" s="142"/>
    </row>
    <row r="119" ht="15.75" customHeight="1">
      <c r="D119" s="142"/>
    </row>
    <row r="120" ht="15.75" customHeight="1">
      <c r="D120" s="142"/>
    </row>
    <row r="121" ht="15.75" customHeight="1">
      <c r="D121" s="142"/>
    </row>
    <row r="122" ht="15.75" customHeight="1">
      <c r="D122" s="142"/>
    </row>
    <row r="123" ht="15.75" customHeight="1">
      <c r="D123" s="142"/>
    </row>
    <row r="124" ht="15.75" customHeight="1">
      <c r="D124" s="142"/>
    </row>
    <row r="125" ht="15.75" customHeight="1">
      <c r="D125" s="142"/>
    </row>
    <row r="126" ht="15.75" customHeight="1">
      <c r="D126" s="142"/>
    </row>
    <row r="127" ht="15.75" customHeight="1">
      <c r="D127" s="142"/>
    </row>
    <row r="128" ht="15.75" customHeight="1">
      <c r="D128" s="142"/>
    </row>
    <row r="129" ht="15.75" customHeight="1">
      <c r="D129" s="142"/>
    </row>
    <row r="130" ht="15.75" customHeight="1">
      <c r="D130" s="142"/>
    </row>
    <row r="131" ht="15.75" customHeight="1">
      <c r="D131" s="142"/>
    </row>
    <row r="132" ht="15.75" customHeight="1">
      <c r="D132" s="142"/>
    </row>
    <row r="133" ht="15.75" customHeight="1">
      <c r="D133" s="142"/>
    </row>
    <row r="134" ht="15.75" customHeight="1">
      <c r="D134" s="142"/>
    </row>
    <row r="135" ht="15.75" customHeight="1">
      <c r="D135" s="142"/>
    </row>
    <row r="136" ht="15.75" customHeight="1">
      <c r="D136" s="142"/>
    </row>
    <row r="137" ht="15.75" customHeight="1">
      <c r="D137" s="142"/>
    </row>
    <row r="138" ht="15.75" customHeight="1">
      <c r="D138" s="142"/>
    </row>
    <row r="139" ht="15.75" customHeight="1">
      <c r="D139" s="142"/>
    </row>
    <row r="140" ht="15.75" customHeight="1">
      <c r="D140" s="142"/>
    </row>
    <row r="141" ht="15.75" customHeight="1">
      <c r="D141" s="142"/>
    </row>
    <row r="142" ht="15.75" customHeight="1">
      <c r="D142" s="142"/>
    </row>
    <row r="143" ht="15.75" customHeight="1">
      <c r="D143" s="142"/>
    </row>
    <row r="144" ht="15.75" customHeight="1">
      <c r="D144" s="142"/>
    </row>
    <row r="145" ht="15.75" customHeight="1">
      <c r="D145" s="142"/>
    </row>
    <row r="146" ht="15.75" customHeight="1">
      <c r="D146" s="142"/>
    </row>
    <row r="147" ht="15.75" customHeight="1">
      <c r="D147" s="142"/>
    </row>
    <row r="148" ht="15.75" customHeight="1">
      <c r="D148" s="142"/>
    </row>
    <row r="149" ht="15.75" customHeight="1">
      <c r="D149" s="142"/>
    </row>
    <row r="150" ht="15.75" customHeight="1">
      <c r="D150" s="142"/>
    </row>
    <row r="151" ht="15.75" customHeight="1">
      <c r="D151" s="142"/>
    </row>
    <row r="152" ht="15.75" customHeight="1">
      <c r="D152" s="142"/>
    </row>
    <row r="153" ht="15.75" customHeight="1">
      <c r="D153" s="142"/>
    </row>
    <row r="154" ht="15.75" customHeight="1">
      <c r="D154" s="142"/>
    </row>
    <row r="155" ht="15.75" customHeight="1">
      <c r="D155" s="142"/>
    </row>
    <row r="156" ht="15.75" customHeight="1">
      <c r="D156" s="142"/>
    </row>
    <row r="157" ht="15.75" customHeight="1">
      <c r="D157" s="142"/>
    </row>
    <row r="158" ht="15.75" customHeight="1">
      <c r="D158" s="142"/>
    </row>
    <row r="159" ht="15.75" customHeight="1">
      <c r="D159" s="142"/>
    </row>
    <row r="160" ht="15.75" customHeight="1">
      <c r="D160" s="142"/>
    </row>
    <row r="161" ht="15.75" customHeight="1">
      <c r="D161" s="142"/>
    </row>
    <row r="162" ht="15.75" customHeight="1">
      <c r="D162" s="142"/>
    </row>
    <row r="163" ht="15.75" customHeight="1">
      <c r="D163" s="142"/>
    </row>
    <row r="164" ht="15.75" customHeight="1">
      <c r="D164" s="142"/>
    </row>
    <row r="165" ht="15.75" customHeight="1">
      <c r="D165" s="142"/>
    </row>
    <row r="166" ht="15.75" customHeight="1">
      <c r="D166" s="142"/>
    </row>
    <row r="167" ht="15.75" customHeight="1">
      <c r="D167" s="142"/>
    </row>
    <row r="168" ht="15.75" customHeight="1">
      <c r="D168" s="142"/>
    </row>
    <row r="169" ht="15.75" customHeight="1">
      <c r="D169" s="142"/>
    </row>
    <row r="170" ht="15.75" customHeight="1">
      <c r="D170" s="142"/>
    </row>
    <row r="171" ht="15.75" customHeight="1">
      <c r="D171" s="142"/>
    </row>
    <row r="172" ht="15.75" customHeight="1">
      <c r="D172" s="142"/>
    </row>
    <row r="173" ht="15.75" customHeight="1">
      <c r="D173" s="142"/>
    </row>
    <row r="174" ht="15.75" customHeight="1">
      <c r="D174" s="142"/>
    </row>
    <row r="175" ht="15.75" customHeight="1">
      <c r="D175" s="142"/>
    </row>
    <row r="176" ht="15.75" customHeight="1">
      <c r="D176" s="142"/>
    </row>
    <row r="177" ht="15.75" customHeight="1">
      <c r="D177" s="142"/>
    </row>
    <row r="178" ht="15.75" customHeight="1">
      <c r="D178" s="142"/>
    </row>
    <row r="179" ht="15.75" customHeight="1">
      <c r="D179" s="142"/>
    </row>
    <row r="180" ht="15.75" customHeight="1">
      <c r="D180" s="142"/>
    </row>
    <row r="181" ht="15.75" customHeight="1">
      <c r="D181" s="142"/>
    </row>
    <row r="182" ht="15.75" customHeight="1">
      <c r="D182" s="142"/>
    </row>
    <row r="183" ht="15.75" customHeight="1">
      <c r="D183" s="142"/>
    </row>
    <row r="184" ht="15.75" customHeight="1">
      <c r="D184" s="142"/>
    </row>
    <row r="185" ht="15.75" customHeight="1">
      <c r="D185" s="142"/>
    </row>
    <row r="186" ht="15.75" customHeight="1">
      <c r="D186" s="142"/>
    </row>
    <row r="187" ht="15.75" customHeight="1">
      <c r="D187" s="142"/>
    </row>
    <row r="188" ht="15.75" customHeight="1">
      <c r="D188" s="142"/>
    </row>
    <row r="189" ht="15.75" customHeight="1">
      <c r="D189" s="142"/>
    </row>
    <row r="190" ht="15.75" customHeight="1">
      <c r="D190" s="142"/>
    </row>
    <row r="191" ht="15.75" customHeight="1">
      <c r="D191" s="142"/>
    </row>
    <row r="192" ht="15.75" customHeight="1">
      <c r="D192" s="142"/>
    </row>
    <row r="193" ht="15.75" customHeight="1">
      <c r="D193" s="142"/>
    </row>
    <row r="194" ht="15.75" customHeight="1">
      <c r="D194" s="142"/>
    </row>
    <row r="195" ht="15.75" customHeight="1">
      <c r="D195" s="142"/>
    </row>
    <row r="196" ht="15.75" customHeight="1">
      <c r="D196" s="142"/>
    </row>
    <row r="197" ht="15.75" customHeight="1">
      <c r="D197" s="142"/>
    </row>
    <row r="198" ht="15.75" customHeight="1">
      <c r="D198" s="142"/>
    </row>
    <row r="199" ht="15.75" customHeight="1">
      <c r="D199" s="142"/>
    </row>
    <row r="200" ht="15.75" customHeight="1">
      <c r="D200" s="142"/>
    </row>
    <row r="201" ht="15.75" customHeight="1">
      <c r="D201" s="142"/>
    </row>
    <row r="202" ht="15.75" customHeight="1">
      <c r="D202" s="142"/>
    </row>
    <row r="203" ht="15.75" customHeight="1">
      <c r="D203" s="142"/>
    </row>
    <row r="204" ht="15.75" customHeight="1">
      <c r="D204" s="142"/>
    </row>
    <row r="205" ht="15.75" customHeight="1">
      <c r="D205" s="142"/>
    </row>
    <row r="206" ht="15.75" customHeight="1">
      <c r="D206" s="142"/>
    </row>
    <row r="207" ht="15.75" customHeight="1">
      <c r="D207" s="142"/>
    </row>
    <row r="208" ht="15.75" customHeight="1">
      <c r="D208" s="142"/>
    </row>
    <row r="209" ht="15.75" customHeight="1">
      <c r="D209" s="142"/>
    </row>
    <row r="210" ht="15.75" customHeight="1">
      <c r="D210" s="142"/>
    </row>
    <row r="211" ht="15.75" customHeight="1">
      <c r="D211" s="142"/>
    </row>
    <row r="212" ht="15.75" customHeight="1">
      <c r="D212" s="142"/>
    </row>
    <row r="213" ht="15.75" customHeight="1">
      <c r="D213" s="142"/>
    </row>
    <row r="214" ht="15.75" customHeight="1">
      <c r="D214" s="142"/>
    </row>
    <row r="215" ht="15.75" customHeight="1">
      <c r="D215" s="142"/>
    </row>
    <row r="216" ht="15.75" customHeight="1">
      <c r="D216" s="142"/>
    </row>
    <row r="217" ht="15.75" customHeight="1">
      <c r="D217" s="142"/>
    </row>
    <row r="218" ht="15.75" customHeight="1">
      <c r="D218" s="142"/>
    </row>
    <row r="219" ht="15.75" customHeight="1">
      <c r="D219" s="142"/>
    </row>
    <row r="220" ht="15.75" customHeight="1">
      <c r="D220" s="142"/>
    </row>
    <row r="221" ht="15.75" customHeight="1">
      <c r="D221" s="142"/>
    </row>
    <row r="222" ht="15.75" customHeight="1">
      <c r="D222" s="142"/>
    </row>
    <row r="223" ht="15.75" customHeight="1">
      <c r="D223" s="142"/>
    </row>
    <row r="224" ht="15.75" customHeight="1">
      <c r="D224" s="142"/>
    </row>
    <row r="225" ht="15.75" customHeight="1">
      <c r="D225" s="142"/>
    </row>
    <row r="226" ht="15.75" customHeight="1">
      <c r="D226" s="142"/>
    </row>
    <row r="227" ht="15.75" customHeight="1">
      <c r="D227" s="142"/>
    </row>
    <row r="228" ht="15.75" customHeight="1">
      <c r="D228" s="142"/>
    </row>
    <row r="229" ht="15.75" customHeight="1">
      <c r="D229" s="142"/>
    </row>
    <row r="230" ht="15.75" customHeight="1">
      <c r="D230" s="142"/>
    </row>
    <row r="231" ht="15.75" customHeight="1">
      <c r="D231" s="142"/>
    </row>
    <row r="232" ht="15.75" customHeight="1">
      <c r="D232" s="142"/>
    </row>
    <row r="233" ht="15.75" customHeight="1">
      <c r="D233" s="142"/>
    </row>
    <row r="234" ht="15.75" customHeight="1">
      <c r="D234" s="142"/>
    </row>
    <row r="235" ht="15.75" customHeight="1">
      <c r="D235" s="142"/>
    </row>
    <row r="236" ht="15.75" customHeight="1">
      <c r="D236" s="142"/>
    </row>
    <row r="237" ht="15.75" customHeight="1">
      <c r="D237" s="142"/>
    </row>
    <row r="238" ht="15.75" customHeight="1">
      <c r="D238" s="142"/>
    </row>
    <row r="239" ht="15.75" customHeight="1">
      <c r="D239" s="142"/>
    </row>
    <row r="240" ht="15.75" customHeight="1">
      <c r="D240" s="142"/>
    </row>
    <row r="241" ht="15.75" customHeight="1">
      <c r="D241" s="142"/>
    </row>
    <row r="242" ht="15.75" customHeight="1">
      <c r="D242" s="142"/>
    </row>
    <row r="243" ht="15.75" customHeight="1">
      <c r="D243" s="142"/>
    </row>
    <row r="244" ht="15.75" customHeight="1">
      <c r="D244" s="142"/>
    </row>
    <row r="245" ht="15.75" customHeight="1">
      <c r="D245" s="142"/>
    </row>
    <row r="246" ht="15.75" customHeight="1">
      <c r="D246" s="142"/>
    </row>
    <row r="247" ht="15.75" customHeight="1">
      <c r="D247" s="142"/>
    </row>
    <row r="248" ht="15.75" customHeight="1">
      <c r="D248" s="142"/>
    </row>
    <row r="249" ht="15.75" customHeight="1">
      <c r="D249" s="142"/>
    </row>
    <row r="250" ht="15.75" customHeight="1">
      <c r="D250" s="142"/>
    </row>
    <row r="251" ht="15.75" customHeight="1">
      <c r="D251" s="142"/>
    </row>
    <row r="252" ht="15.75" customHeight="1">
      <c r="D252" s="142"/>
    </row>
    <row r="253" ht="15.75" customHeight="1">
      <c r="D253" s="142"/>
    </row>
    <row r="254" ht="15.75" customHeight="1">
      <c r="D254" s="142"/>
    </row>
    <row r="255" ht="15.75" customHeight="1">
      <c r="D255" s="142"/>
    </row>
    <row r="256" ht="15.75" customHeight="1">
      <c r="D256" s="142"/>
    </row>
    <row r="257" ht="15.75" customHeight="1">
      <c r="D257" s="142"/>
    </row>
    <row r="258" ht="15.75" customHeight="1">
      <c r="D258" s="142"/>
    </row>
    <row r="259" ht="15.75" customHeight="1">
      <c r="D259" s="142"/>
    </row>
    <row r="260" ht="15.75" customHeight="1">
      <c r="D260" s="142"/>
    </row>
    <row r="261" ht="15.75" customHeight="1">
      <c r="D261" s="142"/>
    </row>
    <row r="262" ht="15.75" customHeight="1">
      <c r="D262" s="142"/>
    </row>
    <row r="263" ht="15.75" customHeight="1">
      <c r="D263" s="142"/>
    </row>
    <row r="264" ht="15.75" customHeight="1">
      <c r="D264" s="142"/>
    </row>
    <row r="265" ht="15.75" customHeight="1">
      <c r="D265" s="142"/>
    </row>
    <row r="266" ht="15.75" customHeight="1">
      <c r="D266" s="142"/>
    </row>
    <row r="267" ht="15.75" customHeight="1">
      <c r="D267" s="142"/>
    </row>
    <row r="268" ht="15.75" customHeight="1">
      <c r="D268" s="142"/>
    </row>
    <row r="269" ht="15.75" customHeight="1">
      <c r="D269" s="142"/>
    </row>
    <row r="270" ht="15.75" customHeight="1">
      <c r="D270" s="142"/>
    </row>
    <row r="271" ht="15.75" customHeight="1">
      <c r="D271" s="142"/>
    </row>
    <row r="272" ht="15.75" customHeight="1">
      <c r="D272" s="142"/>
    </row>
    <row r="273" ht="15.75" customHeight="1">
      <c r="D273" s="142"/>
    </row>
    <row r="274" ht="15.75" customHeight="1">
      <c r="D274" s="142"/>
    </row>
    <row r="275" ht="15.75" customHeight="1">
      <c r="D275" s="142"/>
    </row>
    <row r="276" ht="15.75" customHeight="1">
      <c r="D276" s="142"/>
    </row>
    <row r="277" ht="15.75" customHeight="1">
      <c r="D277" s="142"/>
    </row>
    <row r="278" ht="15.75" customHeight="1">
      <c r="D278" s="142"/>
    </row>
    <row r="279" ht="15.75" customHeight="1">
      <c r="D279" s="142"/>
    </row>
    <row r="280" ht="15.75" customHeight="1">
      <c r="D280" s="142"/>
    </row>
    <row r="281" ht="15.75" customHeight="1">
      <c r="D281" s="142"/>
    </row>
    <row r="282" ht="15.75" customHeight="1">
      <c r="D282" s="142"/>
    </row>
    <row r="283" ht="15.75" customHeight="1">
      <c r="D283" s="142"/>
    </row>
    <row r="284" ht="15.75" customHeight="1">
      <c r="D284" s="142"/>
    </row>
    <row r="285" ht="15.75" customHeight="1">
      <c r="D285" s="142"/>
    </row>
    <row r="286" ht="15.75" customHeight="1">
      <c r="D286" s="142"/>
    </row>
    <row r="287" ht="15.75" customHeight="1">
      <c r="D287" s="142"/>
    </row>
    <row r="288" ht="15.75" customHeight="1">
      <c r="D288" s="142"/>
    </row>
    <row r="289" ht="15.75" customHeight="1">
      <c r="D289" s="142"/>
    </row>
    <row r="290" ht="15.75" customHeight="1">
      <c r="D290" s="142"/>
    </row>
    <row r="291" ht="15.75" customHeight="1">
      <c r="D291" s="142"/>
    </row>
    <row r="292" ht="15.75" customHeight="1">
      <c r="D292" s="142"/>
    </row>
    <row r="293" ht="15.75" customHeight="1">
      <c r="D293" s="142"/>
    </row>
    <row r="294" ht="15.75" customHeight="1">
      <c r="D294" s="142"/>
    </row>
    <row r="295" ht="15.75" customHeight="1">
      <c r="D295" s="142"/>
    </row>
    <row r="296" ht="15.75" customHeight="1">
      <c r="D296" s="142"/>
    </row>
    <row r="297" ht="15.75" customHeight="1">
      <c r="D297" s="142"/>
    </row>
    <row r="298" ht="15.75" customHeight="1">
      <c r="D298" s="142"/>
    </row>
    <row r="299" ht="15.75" customHeight="1">
      <c r="D299" s="142"/>
    </row>
    <row r="300" ht="15.75" customHeight="1">
      <c r="D300" s="142"/>
    </row>
    <row r="301" ht="15.75" customHeight="1">
      <c r="D301" s="142"/>
    </row>
    <row r="302" ht="15.75" customHeight="1">
      <c r="D302" s="142"/>
    </row>
    <row r="303" ht="15.75" customHeight="1">
      <c r="D303" s="142"/>
    </row>
    <row r="304" ht="15.75" customHeight="1">
      <c r="D304" s="142"/>
    </row>
    <row r="305" ht="15.75" customHeight="1">
      <c r="D305" s="142"/>
    </row>
    <row r="306" ht="15.75" customHeight="1">
      <c r="D306" s="142"/>
    </row>
    <row r="307" ht="15.75" customHeight="1">
      <c r="D307" s="142"/>
    </row>
    <row r="308" ht="15.75" customHeight="1">
      <c r="D308" s="142"/>
    </row>
    <row r="309" ht="15.75" customHeight="1">
      <c r="D309" s="142"/>
    </row>
    <row r="310" ht="15.75" customHeight="1">
      <c r="D310" s="142"/>
    </row>
    <row r="311" ht="15.75" customHeight="1">
      <c r="D311" s="142"/>
    </row>
    <row r="312" ht="15.75" customHeight="1">
      <c r="D312" s="142"/>
    </row>
    <row r="313" ht="15.75" customHeight="1">
      <c r="D313" s="142"/>
    </row>
    <row r="314" ht="15.75" customHeight="1">
      <c r="D314" s="142"/>
    </row>
    <row r="315" ht="15.75" customHeight="1">
      <c r="D315" s="142"/>
    </row>
    <row r="316" ht="15.75" customHeight="1">
      <c r="D316" s="142"/>
    </row>
    <row r="317" ht="15.75" customHeight="1">
      <c r="D317" s="142"/>
    </row>
    <row r="318" ht="15.75" customHeight="1">
      <c r="D318" s="142"/>
    </row>
    <row r="319" ht="15.75" customHeight="1">
      <c r="D319" s="142"/>
    </row>
    <row r="320" ht="15.75" customHeight="1">
      <c r="D320" s="142"/>
    </row>
    <row r="321" ht="15.75" customHeight="1">
      <c r="D321" s="142"/>
    </row>
    <row r="322" ht="15.75" customHeight="1">
      <c r="D322" s="142"/>
    </row>
    <row r="323" ht="15.75" customHeight="1">
      <c r="D323" s="142"/>
    </row>
    <row r="324" ht="15.75" customHeight="1">
      <c r="D324" s="142"/>
    </row>
    <row r="325" ht="15.75" customHeight="1">
      <c r="D325" s="142"/>
    </row>
    <row r="326" ht="15.75" customHeight="1">
      <c r="D326" s="142"/>
    </row>
    <row r="327" ht="15.75" customHeight="1">
      <c r="D327" s="142"/>
    </row>
    <row r="328" ht="15.75" customHeight="1">
      <c r="D328" s="142"/>
    </row>
    <row r="329" ht="15.75" customHeight="1">
      <c r="D329" s="142"/>
    </row>
    <row r="330" ht="15.75" customHeight="1">
      <c r="D330" s="142"/>
    </row>
    <row r="331" ht="15.75" customHeight="1">
      <c r="D331" s="142"/>
    </row>
    <row r="332" ht="15.75" customHeight="1">
      <c r="D332" s="142"/>
    </row>
    <row r="333" ht="15.75" customHeight="1">
      <c r="D333" s="142"/>
    </row>
    <row r="334" ht="15.75" customHeight="1">
      <c r="D334" s="142"/>
    </row>
    <row r="335" ht="15.75" customHeight="1">
      <c r="D335" s="142"/>
    </row>
    <row r="336" ht="15.75" customHeight="1">
      <c r="D336" s="142"/>
    </row>
    <row r="337" ht="15.75" customHeight="1">
      <c r="D337" s="142"/>
    </row>
    <row r="338" ht="15.75" customHeight="1">
      <c r="D338" s="142"/>
    </row>
    <row r="339" ht="15.75" customHeight="1">
      <c r="D339" s="142"/>
    </row>
    <row r="340" ht="15.75" customHeight="1">
      <c r="D340" s="142"/>
    </row>
    <row r="341" ht="15.75" customHeight="1">
      <c r="D341" s="142"/>
    </row>
    <row r="342" ht="15.75" customHeight="1">
      <c r="D342" s="142"/>
    </row>
    <row r="343" ht="15.75" customHeight="1">
      <c r="D343" s="142"/>
    </row>
    <row r="344" ht="15.75" customHeight="1">
      <c r="D344" s="142"/>
    </row>
    <row r="345" ht="15.75" customHeight="1">
      <c r="D345" s="142"/>
    </row>
    <row r="346" ht="15.75" customHeight="1">
      <c r="D346" s="142"/>
    </row>
    <row r="347" ht="15.75" customHeight="1">
      <c r="D347" s="142"/>
    </row>
    <row r="348" ht="15.75" customHeight="1">
      <c r="D348" s="142"/>
    </row>
    <row r="349" ht="15.75" customHeight="1">
      <c r="D349" s="142"/>
    </row>
    <row r="350" ht="15.75" customHeight="1">
      <c r="D350" s="142"/>
    </row>
    <row r="351" ht="15.75" customHeight="1">
      <c r="D351" s="142"/>
    </row>
    <row r="352" ht="15.75" customHeight="1">
      <c r="D352" s="142"/>
    </row>
    <row r="353" ht="15.75" customHeight="1">
      <c r="D353" s="142"/>
    </row>
    <row r="354" ht="15.75" customHeight="1">
      <c r="D354" s="142"/>
    </row>
    <row r="355" ht="15.75" customHeight="1">
      <c r="D355" s="142"/>
    </row>
    <row r="356" ht="15.75" customHeight="1">
      <c r="D356" s="142"/>
    </row>
    <row r="357" ht="15.75" customHeight="1">
      <c r="D357" s="142"/>
    </row>
    <row r="358" ht="15.75" customHeight="1">
      <c r="D358" s="142"/>
    </row>
    <row r="359" ht="15.75" customHeight="1">
      <c r="D359" s="142"/>
    </row>
    <row r="360" ht="15.75" customHeight="1">
      <c r="D360" s="142"/>
    </row>
    <row r="361" ht="15.75" customHeight="1">
      <c r="D361" s="142"/>
    </row>
    <row r="362" ht="15.75" customHeight="1">
      <c r="D362" s="142"/>
    </row>
    <row r="363" ht="15.75" customHeight="1">
      <c r="D363" s="142"/>
    </row>
    <row r="364" ht="15.75" customHeight="1">
      <c r="D364" s="142"/>
    </row>
    <row r="365" ht="15.75" customHeight="1">
      <c r="D365" s="142"/>
    </row>
    <row r="366" ht="15.75" customHeight="1">
      <c r="D366" s="142"/>
    </row>
    <row r="367" ht="15.75" customHeight="1">
      <c r="D367" s="142"/>
    </row>
    <row r="368" ht="15.75" customHeight="1">
      <c r="D368" s="142"/>
    </row>
    <row r="369" ht="15.75" customHeight="1">
      <c r="D369" s="142"/>
    </row>
    <row r="370" ht="15.75" customHeight="1">
      <c r="D370" s="142"/>
    </row>
    <row r="371" ht="15.75" customHeight="1">
      <c r="D371" s="142"/>
    </row>
    <row r="372" ht="15.75" customHeight="1">
      <c r="D372" s="142"/>
    </row>
    <row r="373" ht="15.75" customHeight="1">
      <c r="D373" s="142"/>
    </row>
    <row r="374" ht="15.75" customHeight="1">
      <c r="D374" s="142"/>
    </row>
    <row r="375" ht="15.75" customHeight="1">
      <c r="D375" s="142"/>
    </row>
    <row r="376" ht="15.75" customHeight="1">
      <c r="D376" s="142"/>
    </row>
    <row r="377" ht="15.75" customHeight="1">
      <c r="D377" s="142"/>
    </row>
    <row r="378" ht="15.75" customHeight="1">
      <c r="D378" s="142"/>
    </row>
    <row r="379" ht="15.75" customHeight="1">
      <c r="D379" s="142"/>
    </row>
    <row r="380" ht="15.75" customHeight="1">
      <c r="D380" s="142"/>
    </row>
    <row r="381" ht="15.75" customHeight="1">
      <c r="D381" s="142"/>
    </row>
    <row r="382" ht="15.75" customHeight="1">
      <c r="D382" s="142"/>
    </row>
    <row r="383" ht="15.75" customHeight="1">
      <c r="D383" s="142"/>
    </row>
    <row r="384" ht="15.75" customHeight="1">
      <c r="D384" s="142"/>
    </row>
    <row r="385" ht="15.75" customHeight="1">
      <c r="D385" s="142"/>
    </row>
    <row r="386" ht="15.75" customHeight="1">
      <c r="D386" s="142"/>
    </row>
    <row r="387" ht="15.75" customHeight="1">
      <c r="D387" s="142"/>
    </row>
    <row r="388" ht="15.75" customHeight="1">
      <c r="D388" s="142"/>
    </row>
    <row r="389" ht="15.75" customHeight="1">
      <c r="D389" s="142"/>
    </row>
    <row r="390" ht="15.75" customHeight="1">
      <c r="D390" s="142"/>
    </row>
    <row r="391" ht="15.75" customHeight="1">
      <c r="D391" s="142"/>
    </row>
    <row r="392" ht="15.75" customHeight="1">
      <c r="D392" s="142"/>
    </row>
    <row r="393" ht="15.75" customHeight="1">
      <c r="D393" s="142"/>
    </row>
    <row r="394" ht="15.75" customHeight="1">
      <c r="D394" s="142"/>
    </row>
    <row r="395" ht="15.75" customHeight="1">
      <c r="D395" s="142"/>
    </row>
    <row r="396" ht="15.75" customHeight="1">
      <c r="D396" s="142"/>
    </row>
    <row r="397" ht="15.75" customHeight="1">
      <c r="D397" s="142"/>
    </row>
    <row r="398" ht="15.75" customHeight="1">
      <c r="D398" s="142"/>
    </row>
    <row r="399" ht="15.75" customHeight="1">
      <c r="D399" s="142"/>
    </row>
    <row r="400" ht="15.75" customHeight="1">
      <c r="D400" s="142"/>
    </row>
    <row r="401" ht="15.75" customHeight="1">
      <c r="D401" s="142"/>
    </row>
    <row r="402" ht="15.75" customHeight="1">
      <c r="D402" s="142"/>
    </row>
    <row r="403" ht="15.75" customHeight="1">
      <c r="D403" s="142"/>
    </row>
    <row r="404" ht="15.75" customHeight="1">
      <c r="D404" s="142"/>
    </row>
    <row r="405" ht="15.75" customHeight="1">
      <c r="D405" s="142"/>
    </row>
    <row r="406" ht="15.75" customHeight="1">
      <c r="D406" s="142"/>
    </row>
    <row r="407" ht="15.75" customHeight="1">
      <c r="D407" s="142"/>
    </row>
    <row r="408" ht="15.75" customHeight="1">
      <c r="D408" s="142"/>
    </row>
    <row r="409" ht="15.75" customHeight="1">
      <c r="D409" s="142"/>
    </row>
    <row r="410" ht="15.75" customHeight="1">
      <c r="D410" s="142"/>
    </row>
    <row r="411" ht="15.75" customHeight="1">
      <c r="D411" s="142"/>
    </row>
    <row r="412" ht="15.75" customHeight="1">
      <c r="D412" s="142"/>
    </row>
    <row r="413" ht="15.75" customHeight="1">
      <c r="D413" s="142"/>
    </row>
    <row r="414" ht="15.75" customHeight="1">
      <c r="D414" s="142"/>
    </row>
    <row r="415" ht="15.75" customHeight="1">
      <c r="D415" s="142"/>
    </row>
    <row r="416" ht="15.75" customHeight="1">
      <c r="D416" s="142"/>
    </row>
    <row r="417" ht="15.75" customHeight="1">
      <c r="D417" s="142"/>
    </row>
    <row r="418" ht="15.75" customHeight="1">
      <c r="D418" s="142"/>
    </row>
    <row r="419" ht="15.75" customHeight="1">
      <c r="D419" s="142"/>
    </row>
    <row r="420" ht="15.75" customHeight="1">
      <c r="D420" s="142"/>
    </row>
    <row r="421" ht="15.75" customHeight="1">
      <c r="D421" s="142"/>
    </row>
    <row r="422" ht="15.75" customHeight="1">
      <c r="D422" s="142"/>
    </row>
    <row r="423" ht="15.75" customHeight="1">
      <c r="D423" s="142"/>
    </row>
    <row r="424" ht="15.75" customHeight="1">
      <c r="D424" s="142"/>
    </row>
    <row r="425" ht="15.75" customHeight="1">
      <c r="D425" s="142"/>
    </row>
    <row r="426" ht="15.75" customHeight="1">
      <c r="D426" s="142"/>
    </row>
    <row r="427" ht="15.75" customHeight="1">
      <c r="D427" s="142"/>
    </row>
    <row r="428" ht="15.75" customHeight="1">
      <c r="D428" s="142"/>
    </row>
    <row r="429" ht="15.75" customHeight="1">
      <c r="D429" s="142"/>
    </row>
    <row r="430" ht="15.75" customHeight="1">
      <c r="D430" s="142"/>
    </row>
    <row r="431" ht="15.75" customHeight="1">
      <c r="D431" s="142"/>
    </row>
    <row r="432" ht="15.75" customHeight="1">
      <c r="D432" s="142"/>
    </row>
    <row r="433" ht="15.75" customHeight="1">
      <c r="D433" s="142"/>
    </row>
    <row r="434" ht="15.75" customHeight="1">
      <c r="D434" s="142"/>
    </row>
    <row r="435" ht="15.75" customHeight="1">
      <c r="D435" s="142"/>
    </row>
    <row r="436" ht="15.75" customHeight="1">
      <c r="D436" s="142"/>
    </row>
    <row r="437" ht="15.75" customHeight="1">
      <c r="D437" s="142"/>
    </row>
    <row r="438" ht="15.75" customHeight="1">
      <c r="D438" s="142"/>
    </row>
    <row r="439" ht="15.75" customHeight="1">
      <c r="D439" s="142"/>
    </row>
    <row r="440" ht="15.75" customHeight="1">
      <c r="D440" s="142"/>
    </row>
    <row r="441" ht="15.75" customHeight="1">
      <c r="D441" s="142"/>
    </row>
    <row r="442" ht="15.75" customHeight="1">
      <c r="D442" s="142"/>
    </row>
    <row r="443" ht="15.75" customHeight="1">
      <c r="D443" s="142"/>
    </row>
    <row r="444" ht="15.75" customHeight="1">
      <c r="D444" s="142"/>
    </row>
    <row r="445" ht="15.75" customHeight="1">
      <c r="D445" s="142"/>
    </row>
    <row r="446" ht="15.75" customHeight="1">
      <c r="D446" s="142"/>
    </row>
    <row r="447" ht="15.75" customHeight="1">
      <c r="D447" s="142"/>
    </row>
    <row r="448" ht="15.75" customHeight="1">
      <c r="D448" s="142"/>
    </row>
    <row r="449" ht="15.75" customHeight="1">
      <c r="D449" s="142"/>
    </row>
    <row r="450" ht="15.75" customHeight="1">
      <c r="D450" s="142"/>
    </row>
    <row r="451" ht="15.75" customHeight="1">
      <c r="D451" s="142"/>
    </row>
    <row r="452" ht="15.75" customHeight="1">
      <c r="D452" s="142"/>
    </row>
    <row r="453" ht="15.75" customHeight="1">
      <c r="D453" s="142"/>
    </row>
    <row r="454" ht="15.75" customHeight="1">
      <c r="D454" s="142"/>
    </row>
    <row r="455" ht="15.75" customHeight="1">
      <c r="D455" s="142"/>
    </row>
    <row r="456" ht="15.75" customHeight="1">
      <c r="D456" s="142"/>
    </row>
    <row r="457" ht="15.75" customHeight="1">
      <c r="D457" s="142"/>
    </row>
    <row r="458" ht="15.75" customHeight="1">
      <c r="D458" s="142"/>
    </row>
    <row r="459" ht="15.75" customHeight="1">
      <c r="D459" s="142"/>
    </row>
    <row r="460" ht="15.75" customHeight="1">
      <c r="D460" s="142"/>
    </row>
    <row r="461" ht="15.75" customHeight="1">
      <c r="D461" s="142"/>
    </row>
    <row r="462" ht="15.75" customHeight="1">
      <c r="D462" s="142"/>
    </row>
    <row r="463" ht="15.75" customHeight="1">
      <c r="D463" s="142"/>
    </row>
    <row r="464" ht="15.75" customHeight="1">
      <c r="D464" s="142"/>
    </row>
    <row r="465" ht="15.75" customHeight="1">
      <c r="D465" s="142"/>
    </row>
    <row r="466" ht="15.75" customHeight="1">
      <c r="D466" s="142"/>
    </row>
    <row r="467" ht="15.75" customHeight="1">
      <c r="D467" s="142"/>
    </row>
    <row r="468" ht="15.75" customHeight="1">
      <c r="D468" s="142"/>
    </row>
    <row r="469" ht="15.75" customHeight="1">
      <c r="D469" s="142"/>
    </row>
    <row r="470" ht="15.75" customHeight="1">
      <c r="D470" s="142"/>
    </row>
    <row r="471" ht="15.75" customHeight="1">
      <c r="D471" s="142"/>
    </row>
    <row r="472" ht="15.75" customHeight="1">
      <c r="D472" s="142"/>
    </row>
    <row r="473" ht="15.75" customHeight="1">
      <c r="D473" s="142"/>
    </row>
    <row r="474" ht="15.75" customHeight="1">
      <c r="D474" s="142"/>
    </row>
    <row r="475" ht="15.75" customHeight="1">
      <c r="D475" s="142"/>
    </row>
    <row r="476" ht="15.75" customHeight="1">
      <c r="D476" s="142"/>
    </row>
    <row r="477" ht="15.75" customHeight="1">
      <c r="D477" s="142"/>
    </row>
    <row r="478" ht="15.75" customHeight="1">
      <c r="D478" s="142"/>
    </row>
    <row r="479" ht="15.75" customHeight="1">
      <c r="D479" s="142"/>
    </row>
    <row r="480" ht="15.75" customHeight="1">
      <c r="D480" s="142"/>
    </row>
    <row r="481" ht="15.75" customHeight="1">
      <c r="D481" s="142"/>
    </row>
    <row r="482" ht="15.75" customHeight="1">
      <c r="D482" s="142"/>
    </row>
    <row r="483" ht="15.75" customHeight="1">
      <c r="D483" s="142"/>
    </row>
    <row r="484" ht="15.75" customHeight="1">
      <c r="D484" s="142"/>
    </row>
    <row r="485" ht="15.75" customHeight="1">
      <c r="D485" s="142"/>
    </row>
    <row r="486" ht="15.75" customHeight="1">
      <c r="D486" s="142"/>
    </row>
    <row r="487" ht="15.75" customHeight="1">
      <c r="D487" s="142"/>
    </row>
    <row r="488" ht="15.75" customHeight="1">
      <c r="D488" s="142"/>
    </row>
    <row r="489" ht="15.75" customHeight="1">
      <c r="D489" s="142"/>
    </row>
    <row r="490" ht="15.75" customHeight="1">
      <c r="D490" s="142"/>
    </row>
    <row r="491" ht="15.75" customHeight="1">
      <c r="D491" s="142"/>
    </row>
    <row r="492" ht="15.75" customHeight="1">
      <c r="D492" s="142"/>
    </row>
    <row r="493" ht="15.75" customHeight="1">
      <c r="D493" s="142"/>
    </row>
    <row r="494" ht="15.75" customHeight="1">
      <c r="D494" s="142"/>
    </row>
    <row r="495" ht="15.75" customHeight="1">
      <c r="D495" s="142"/>
    </row>
    <row r="496" ht="15.75" customHeight="1">
      <c r="D496" s="142"/>
    </row>
    <row r="497" ht="15.75" customHeight="1">
      <c r="D497" s="142"/>
    </row>
    <row r="498" ht="15.75" customHeight="1">
      <c r="D498" s="142"/>
    </row>
    <row r="499" ht="15.75" customHeight="1">
      <c r="D499" s="142"/>
    </row>
    <row r="500" ht="15.75" customHeight="1">
      <c r="D500" s="142"/>
    </row>
    <row r="501" ht="15.75" customHeight="1">
      <c r="D501" s="142"/>
    </row>
    <row r="502" ht="15.75" customHeight="1">
      <c r="D502" s="142"/>
    </row>
    <row r="503" ht="15.75" customHeight="1">
      <c r="D503" s="142"/>
    </row>
    <row r="504" ht="15.75" customHeight="1">
      <c r="D504" s="142"/>
    </row>
    <row r="505" ht="15.75" customHeight="1">
      <c r="D505" s="142"/>
    </row>
    <row r="506" ht="15.75" customHeight="1">
      <c r="D506" s="142"/>
    </row>
    <row r="507" ht="15.75" customHeight="1">
      <c r="D507" s="142"/>
    </row>
    <row r="508" ht="15.75" customHeight="1">
      <c r="D508" s="142"/>
    </row>
    <row r="509" ht="15.75" customHeight="1">
      <c r="D509" s="142"/>
    </row>
    <row r="510" ht="15.75" customHeight="1">
      <c r="D510" s="142"/>
    </row>
    <row r="511" ht="15.75" customHeight="1">
      <c r="D511" s="142"/>
    </row>
    <row r="512" ht="15.75" customHeight="1">
      <c r="D512" s="142"/>
    </row>
    <row r="513" ht="15.75" customHeight="1">
      <c r="D513" s="142"/>
    </row>
    <row r="514" ht="15.75" customHeight="1">
      <c r="D514" s="142"/>
    </row>
    <row r="515" ht="15.75" customHeight="1">
      <c r="D515" s="142"/>
    </row>
    <row r="516" ht="15.75" customHeight="1">
      <c r="D516" s="142"/>
    </row>
    <row r="517" ht="15.75" customHeight="1">
      <c r="D517" s="142"/>
    </row>
    <row r="518" ht="15.75" customHeight="1">
      <c r="D518" s="142"/>
    </row>
    <row r="519" ht="15.75" customHeight="1">
      <c r="D519" s="142"/>
    </row>
    <row r="520" ht="15.75" customHeight="1">
      <c r="D520" s="142"/>
    </row>
    <row r="521" ht="15.75" customHeight="1">
      <c r="D521" s="142"/>
    </row>
    <row r="522" ht="15.75" customHeight="1">
      <c r="D522" s="142"/>
    </row>
    <row r="523" ht="15.75" customHeight="1">
      <c r="D523" s="142"/>
    </row>
    <row r="524" ht="15.75" customHeight="1">
      <c r="D524" s="142"/>
    </row>
    <row r="525" ht="15.75" customHeight="1">
      <c r="D525" s="142"/>
    </row>
    <row r="526" ht="15.75" customHeight="1">
      <c r="D526" s="142"/>
    </row>
    <row r="527" ht="15.75" customHeight="1">
      <c r="D527" s="142"/>
    </row>
    <row r="528" ht="15.75" customHeight="1">
      <c r="D528" s="142"/>
    </row>
    <row r="529" ht="15.75" customHeight="1">
      <c r="D529" s="142"/>
    </row>
    <row r="530" ht="15.75" customHeight="1">
      <c r="D530" s="142"/>
    </row>
    <row r="531" ht="15.75" customHeight="1">
      <c r="D531" s="142"/>
    </row>
    <row r="532" ht="15.75" customHeight="1">
      <c r="D532" s="142"/>
    </row>
    <row r="533" ht="15.75" customHeight="1">
      <c r="D533" s="142"/>
    </row>
    <row r="534" ht="15.75" customHeight="1">
      <c r="D534" s="142"/>
    </row>
    <row r="535" ht="15.75" customHeight="1">
      <c r="D535" s="142"/>
    </row>
    <row r="536" ht="15.75" customHeight="1">
      <c r="D536" s="142"/>
    </row>
    <row r="537" ht="15.75" customHeight="1">
      <c r="D537" s="142"/>
    </row>
    <row r="538" ht="15.75" customHeight="1">
      <c r="D538" s="142"/>
    </row>
    <row r="539" ht="15.75" customHeight="1">
      <c r="D539" s="142"/>
    </row>
    <row r="540" ht="15.75" customHeight="1">
      <c r="D540" s="142"/>
    </row>
    <row r="541" ht="15.75" customHeight="1">
      <c r="D541" s="142"/>
    </row>
    <row r="542" ht="15.75" customHeight="1">
      <c r="D542" s="142"/>
    </row>
    <row r="543" ht="15.75" customHeight="1">
      <c r="D543" s="142"/>
    </row>
    <row r="544" ht="15.75" customHeight="1">
      <c r="D544" s="142"/>
    </row>
    <row r="545" ht="15.75" customHeight="1">
      <c r="D545" s="142"/>
    </row>
    <row r="546" ht="15.75" customHeight="1">
      <c r="D546" s="142"/>
    </row>
    <row r="547" ht="15.75" customHeight="1">
      <c r="D547" s="142"/>
    </row>
    <row r="548" ht="15.75" customHeight="1">
      <c r="D548" s="142"/>
    </row>
    <row r="549" ht="15.75" customHeight="1">
      <c r="D549" s="142"/>
    </row>
    <row r="550" ht="15.75" customHeight="1">
      <c r="D550" s="142"/>
    </row>
    <row r="551" ht="15.75" customHeight="1">
      <c r="D551" s="142"/>
    </row>
    <row r="552" ht="15.75" customHeight="1">
      <c r="D552" s="142"/>
    </row>
    <row r="553" ht="15.75" customHeight="1">
      <c r="D553" s="142"/>
    </row>
    <row r="554" ht="15.75" customHeight="1">
      <c r="D554" s="142"/>
    </row>
    <row r="555" ht="15.75" customHeight="1">
      <c r="D555" s="142"/>
    </row>
    <row r="556" ht="15.75" customHeight="1">
      <c r="D556" s="142"/>
    </row>
    <row r="557" ht="15.75" customHeight="1">
      <c r="D557" s="142"/>
    </row>
    <row r="558" ht="15.75" customHeight="1">
      <c r="D558" s="142"/>
    </row>
    <row r="559" ht="15.75" customHeight="1">
      <c r="D559" s="142"/>
    </row>
    <row r="560" ht="15.75" customHeight="1">
      <c r="D560" s="142"/>
    </row>
    <row r="561" ht="15.75" customHeight="1">
      <c r="D561" s="142"/>
    </row>
    <row r="562" ht="15.75" customHeight="1">
      <c r="D562" s="142"/>
    </row>
    <row r="563" ht="15.75" customHeight="1">
      <c r="D563" s="142"/>
    </row>
    <row r="564" ht="15.75" customHeight="1">
      <c r="D564" s="142"/>
    </row>
    <row r="565" ht="15.75" customHeight="1">
      <c r="D565" s="142"/>
    </row>
    <row r="566" ht="15.75" customHeight="1">
      <c r="D566" s="142"/>
    </row>
    <row r="567" ht="15.75" customHeight="1">
      <c r="D567" s="142"/>
    </row>
    <row r="568" ht="15.75" customHeight="1">
      <c r="D568" s="142"/>
    </row>
    <row r="569" ht="15.75" customHeight="1">
      <c r="D569" s="142"/>
    </row>
    <row r="570" ht="15.75" customHeight="1">
      <c r="D570" s="142"/>
    </row>
    <row r="571" ht="15.75" customHeight="1">
      <c r="D571" s="142"/>
    </row>
    <row r="572" ht="15.75" customHeight="1">
      <c r="D572" s="142"/>
    </row>
    <row r="573" ht="15.75" customHeight="1">
      <c r="D573" s="142"/>
    </row>
    <row r="574" ht="15.75" customHeight="1">
      <c r="D574" s="142"/>
    </row>
    <row r="575" ht="15.75" customHeight="1">
      <c r="D575" s="142"/>
    </row>
    <row r="576" ht="15.75" customHeight="1">
      <c r="D576" s="142"/>
    </row>
    <row r="577" ht="15.75" customHeight="1">
      <c r="D577" s="142"/>
    </row>
    <row r="578" ht="15.75" customHeight="1">
      <c r="D578" s="142"/>
    </row>
    <row r="579" ht="15.75" customHeight="1">
      <c r="D579" s="142"/>
    </row>
    <row r="580" ht="15.75" customHeight="1">
      <c r="D580" s="142"/>
    </row>
    <row r="581" ht="15.75" customHeight="1">
      <c r="D581" s="142"/>
    </row>
    <row r="582" ht="15.75" customHeight="1">
      <c r="D582" s="142"/>
    </row>
    <row r="583" ht="15.75" customHeight="1">
      <c r="D583" s="142"/>
    </row>
    <row r="584" ht="15.75" customHeight="1">
      <c r="D584" s="142"/>
    </row>
    <row r="585" ht="15.75" customHeight="1">
      <c r="D585" s="142"/>
    </row>
    <row r="586" ht="15.75" customHeight="1">
      <c r="D586" s="142"/>
    </row>
    <row r="587" ht="15.75" customHeight="1">
      <c r="D587" s="142"/>
    </row>
    <row r="588" ht="15.75" customHeight="1">
      <c r="D588" s="142"/>
    </row>
    <row r="589" ht="15.75" customHeight="1">
      <c r="D589" s="142"/>
    </row>
    <row r="590" ht="15.75" customHeight="1">
      <c r="D590" s="142"/>
    </row>
    <row r="591" ht="15.75" customHeight="1">
      <c r="D591" s="142"/>
    </row>
    <row r="592" ht="15.75" customHeight="1">
      <c r="D592" s="142"/>
    </row>
    <row r="593" ht="15.75" customHeight="1">
      <c r="D593" s="142"/>
    </row>
    <row r="594" ht="15.75" customHeight="1">
      <c r="D594" s="142"/>
    </row>
    <row r="595" ht="15.75" customHeight="1">
      <c r="D595" s="142"/>
    </row>
    <row r="596" ht="15.75" customHeight="1">
      <c r="D596" s="142"/>
    </row>
    <row r="597" ht="15.75" customHeight="1">
      <c r="D597" s="142"/>
    </row>
    <row r="598" ht="15.75" customHeight="1">
      <c r="D598" s="142"/>
    </row>
    <row r="599" ht="15.75" customHeight="1">
      <c r="D599" s="142"/>
    </row>
    <row r="600" ht="15.75" customHeight="1">
      <c r="D600" s="142"/>
    </row>
    <row r="601" ht="15.75" customHeight="1">
      <c r="D601" s="142"/>
    </row>
    <row r="602" ht="15.75" customHeight="1">
      <c r="D602" s="142"/>
    </row>
    <row r="603" ht="15.75" customHeight="1">
      <c r="D603" s="142"/>
    </row>
    <row r="604" ht="15.75" customHeight="1">
      <c r="D604" s="142"/>
    </row>
    <row r="605" ht="15.75" customHeight="1">
      <c r="D605" s="142"/>
    </row>
    <row r="606" ht="15.75" customHeight="1">
      <c r="D606" s="142"/>
    </row>
    <row r="607" ht="15.75" customHeight="1">
      <c r="D607" s="142"/>
    </row>
    <row r="608" ht="15.75" customHeight="1">
      <c r="D608" s="142"/>
    </row>
    <row r="609" ht="15.75" customHeight="1">
      <c r="D609" s="142"/>
    </row>
    <row r="610" ht="15.75" customHeight="1">
      <c r="D610" s="142"/>
    </row>
    <row r="611" ht="15.75" customHeight="1">
      <c r="D611" s="142"/>
    </row>
    <row r="612" ht="15.75" customHeight="1">
      <c r="D612" s="142"/>
    </row>
    <row r="613" ht="15.75" customHeight="1">
      <c r="D613" s="142"/>
    </row>
    <row r="614" ht="15.75" customHeight="1">
      <c r="D614" s="142"/>
    </row>
    <row r="615" ht="15.75" customHeight="1">
      <c r="D615" s="142"/>
    </row>
    <row r="616" ht="15.75" customHeight="1">
      <c r="D616" s="142"/>
    </row>
    <row r="617" ht="15.75" customHeight="1">
      <c r="D617" s="142"/>
    </row>
    <row r="618" ht="15.75" customHeight="1">
      <c r="D618" s="142"/>
    </row>
    <row r="619" ht="15.75" customHeight="1">
      <c r="D619" s="142"/>
    </row>
    <row r="620" ht="15.75" customHeight="1">
      <c r="D620" s="142"/>
    </row>
    <row r="621" ht="15.75" customHeight="1">
      <c r="D621" s="142"/>
    </row>
    <row r="622" ht="15.75" customHeight="1">
      <c r="D622" s="142"/>
    </row>
    <row r="623" ht="15.75" customHeight="1">
      <c r="D623" s="142"/>
    </row>
    <row r="624" ht="15.75" customHeight="1">
      <c r="D624" s="142"/>
    </row>
    <row r="625" ht="15.75" customHeight="1">
      <c r="D625" s="142"/>
    </row>
    <row r="626" ht="15.75" customHeight="1">
      <c r="D626" s="142"/>
    </row>
    <row r="627" ht="15.75" customHeight="1">
      <c r="D627" s="142"/>
    </row>
    <row r="628" ht="15.75" customHeight="1">
      <c r="D628" s="142"/>
    </row>
    <row r="629" ht="15.75" customHeight="1">
      <c r="D629" s="142"/>
    </row>
    <row r="630" ht="15.75" customHeight="1">
      <c r="D630" s="142"/>
    </row>
    <row r="631" ht="15.75" customHeight="1">
      <c r="D631" s="142"/>
    </row>
    <row r="632" ht="15.75" customHeight="1">
      <c r="D632" s="142"/>
    </row>
    <row r="633" ht="15.75" customHeight="1">
      <c r="D633" s="142"/>
    </row>
    <row r="634" ht="15.75" customHeight="1">
      <c r="D634" s="142"/>
    </row>
    <row r="635" ht="15.75" customHeight="1">
      <c r="D635" s="142"/>
    </row>
    <row r="636" ht="15.75" customHeight="1">
      <c r="D636" s="142"/>
    </row>
    <row r="637" ht="15.75" customHeight="1">
      <c r="D637" s="142"/>
    </row>
    <row r="638" ht="15.75" customHeight="1">
      <c r="D638" s="142"/>
    </row>
    <row r="639" ht="15.75" customHeight="1">
      <c r="D639" s="142"/>
    </row>
    <row r="640" ht="15.75" customHeight="1">
      <c r="D640" s="142"/>
    </row>
    <row r="641" ht="15.75" customHeight="1">
      <c r="D641" s="142"/>
    </row>
    <row r="642" ht="15.75" customHeight="1">
      <c r="D642" s="142"/>
    </row>
    <row r="643" ht="15.75" customHeight="1">
      <c r="D643" s="142"/>
    </row>
    <row r="644" ht="15.75" customHeight="1">
      <c r="D644" s="142"/>
    </row>
    <row r="645" ht="15.75" customHeight="1">
      <c r="D645" s="142"/>
    </row>
    <row r="646" ht="15.75" customHeight="1">
      <c r="D646" s="142"/>
    </row>
    <row r="647" ht="15.75" customHeight="1">
      <c r="D647" s="142"/>
    </row>
    <row r="648" ht="15.75" customHeight="1">
      <c r="D648" s="142"/>
    </row>
    <row r="649" ht="15.75" customHeight="1">
      <c r="D649" s="142"/>
    </row>
    <row r="650" ht="15.75" customHeight="1">
      <c r="D650" s="142"/>
    </row>
    <row r="651" ht="15.75" customHeight="1">
      <c r="D651" s="142"/>
    </row>
    <row r="652" ht="15.75" customHeight="1">
      <c r="D652" s="142"/>
    </row>
    <row r="653" ht="15.75" customHeight="1">
      <c r="D653" s="142"/>
    </row>
    <row r="654" ht="15.75" customHeight="1">
      <c r="D654" s="142"/>
    </row>
    <row r="655" ht="15.75" customHeight="1">
      <c r="D655" s="142"/>
    </row>
    <row r="656" ht="15.75" customHeight="1">
      <c r="D656" s="142"/>
    </row>
    <row r="657" ht="15.75" customHeight="1">
      <c r="D657" s="142"/>
    </row>
    <row r="658" ht="15.75" customHeight="1">
      <c r="D658" s="142"/>
    </row>
    <row r="659" ht="15.75" customHeight="1">
      <c r="D659" s="142"/>
    </row>
    <row r="660" ht="15.75" customHeight="1">
      <c r="D660" s="142"/>
    </row>
    <row r="661" ht="15.75" customHeight="1">
      <c r="D661" s="142"/>
    </row>
    <row r="662" ht="15.75" customHeight="1">
      <c r="D662" s="142"/>
    </row>
    <row r="663" ht="15.75" customHeight="1">
      <c r="D663" s="142"/>
    </row>
    <row r="664" ht="15.75" customHeight="1">
      <c r="D664" s="142"/>
    </row>
    <row r="665" ht="15.75" customHeight="1">
      <c r="D665" s="142"/>
    </row>
    <row r="666" ht="15.75" customHeight="1">
      <c r="D666" s="142"/>
    </row>
    <row r="667" ht="15.75" customHeight="1">
      <c r="D667" s="142"/>
    </row>
    <row r="668" ht="15.75" customHeight="1">
      <c r="D668" s="142"/>
    </row>
    <row r="669" ht="15.75" customHeight="1">
      <c r="D669" s="142"/>
    </row>
    <row r="670" ht="15.75" customHeight="1">
      <c r="D670" s="142"/>
    </row>
    <row r="671" ht="15.75" customHeight="1">
      <c r="D671" s="142"/>
    </row>
    <row r="672" ht="15.75" customHeight="1">
      <c r="D672" s="142"/>
    </row>
    <row r="673" ht="15.75" customHeight="1">
      <c r="D673" s="142"/>
    </row>
    <row r="674" ht="15.75" customHeight="1">
      <c r="D674" s="142"/>
    </row>
    <row r="675" ht="15.75" customHeight="1">
      <c r="D675" s="142"/>
    </row>
    <row r="676" ht="15.75" customHeight="1">
      <c r="D676" s="142"/>
    </row>
    <row r="677" ht="15.75" customHeight="1">
      <c r="D677" s="142"/>
    </row>
    <row r="678" ht="15.75" customHeight="1">
      <c r="D678" s="142"/>
    </row>
    <row r="679" ht="15.75" customHeight="1">
      <c r="D679" s="142"/>
    </row>
    <row r="680" ht="15.75" customHeight="1">
      <c r="D680" s="142"/>
    </row>
    <row r="681" ht="15.75" customHeight="1">
      <c r="D681" s="142"/>
    </row>
    <row r="682" ht="15.75" customHeight="1">
      <c r="D682" s="142"/>
    </row>
    <row r="683" ht="15.75" customHeight="1">
      <c r="D683" s="142"/>
    </row>
    <row r="684" ht="15.75" customHeight="1">
      <c r="D684" s="142"/>
    </row>
    <row r="685" ht="15.75" customHeight="1">
      <c r="D685" s="142"/>
    </row>
    <row r="686" ht="15.75" customHeight="1">
      <c r="D686" s="142"/>
    </row>
    <row r="687" ht="15.75" customHeight="1">
      <c r="D687" s="142"/>
    </row>
    <row r="688" ht="15.75" customHeight="1">
      <c r="D688" s="142"/>
    </row>
    <row r="689" ht="15.75" customHeight="1">
      <c r="D689" s="142"/>
    </row>
    <row r="690" ht="15.75" customHeight="1">
      <c r="D690" s="142"/>
    </row>
    <row r="691" ht="15.75" customHeight="1">
      <c r="D691" s="142"/>
    </row>
    <row r="692" ht="15.75" customHeight="1">
      <c r="D692" s="142"/>
    </row>
    <row r="693" ht="15.75" customHeight="1">
      <c r="D693" s="142"/>
    </row>
    <row r="694" ht="15.75" customHeight="1">
      <c r="D694" s="142"/>
    </row>
    <row r="695" ht="15.75" customHeight="1">
      <c r="D695" s="142"/>
    </row>
    <row r="696" ht="15.75" customHeight="1">
      <c r="D696" s="142"/>
    </row>
    <row r="697" ht="15.75" customHeight="1">
      <c r="D697" s="142"/>
    </row>
    <row r="698" ht="15.75" customHeight="1">
      <c r="D698" s="142"/>
    </row>
    <row r="699" ht="15.75" customHeight="1">
      <c r="D699" s="142"/>
    </row>
    <row r="700" ht="15.75" customHeight="1">
      <c r="D700" s="142"/>
    </row>
    <row r="701" ht="15.75" customHeight="1">
      <c r="D701" s="142"/>
    </row>
    <row r="702" ht="15.75" customHeight="1">
      <c r="D702" s="142"/>
    </row>
    <row r="703" ht="15.75" customHeight="1">
      <c r="D703" s="142"/>
    </row>
    <row r="704" ht="15.75" customHeight="1">
      <c r="D704" s="142"/>
    </row>
    <row r="705" ht="15.75" customHeight="1">
      <c r="D705" s="142"/>
    </row>
    <row r="706" ht="15.75" customHeight="1">
      <c r="D706" s="142"/>
    </row>
    <row r="707" ht="15.75" customHeight="1">
      <c r="D707" s="142"/>
    </row>
    <row r="708" ht="15.75" customHeight="1">
      <c r="D708" s="142"/>
    </row>
    <row r="709" ht="15.75" customHeight="1">
      <c r="D709" s="142"/>
    </row>
    <row r="710" ht="15.75" customHeight="1">
      <c r="D710" s="142"/>
    </row>
    <row r="711" ht="15.75" customHeight="1">
      <c r="D711" s="142"/>
    </row>
    <row r="712" ht="15.75" customHeight="1">
      <c r="D712" s="142"/>
    </row>
    <row r="713" ht="15.75" customHeight="1">
      <c r="D713" s="142"/>
    </row>
    <row r="714" ht="15.75" customHeight="1">
      <c r="D714" s="142"/>
    </row>
    <row r="715" ht="15.75" customHeight="1">
      <c r="D715" s="142"/>
    </row>
    <row r="716" ht="15.75" customHeight="1">
      <c r="D716" s="142"/>
    </row>
    <row r="717" ht="15.75" customHeight="1">
      <c r="D717" s="142"/>
    </row>
    <row r="718" ht="15.75" customHeight="1">
      <c r="D718" s="142"/>
    </row>
    <row r="719" ht="15.75" customHeight="1">
      <c r="D719" s="142"/>
    </row>
    <row r="720" ht="15.75" customHeight="1">
      <c r="D720" s="142"/>
    </row>
    <row r="721" ht="15.75" customHeight="1">
      <c r="D721" s="142"/>
    </row>
    <row r="722" ht="15.75" customHeight="1">
      <c r="D722" s="142"/>
    </row>
    <row r="723" ht="15.75" customHeight="1">
      <c r="D723" s="142"/>
    </row>
    <row r="724" ht="15.75" customHeight="1">
      <c r="D724" s="142"/>
    </row>
    <row r="725" ht="15.75" customHeight="1">
      <c r="D725" s="142"/>
    </row>
    <row r="726" ht="15.75" customHeight="1">
      <c r="D726" s="142"/>
    </row>
    <row r="727" ht="15.75" customHeight="1">
      <c r="D727" s="142"/>
    </row>
    <row r="728" ht="15.75" customHeight="1">
      <c r="D728" s="142"/>
    </row>
    <row r="729" ht="15.75" customHeight="1">
      <c r="D729" s="142"/>
    </row>
    <row r="730" ht="15.75" customHeight="1">
      <c r="D730" s="142"/>
    </row>
    <row r="731" ht="15.75" customHeight="1">
      <c r="D731" s="142"/>
    </row>
    <row r="732" ht="15.75" customHeight="1">
      <c r="D732" s="142"/>
    </row>
    <row r="733" ht="15.75" customHeight="1">
      <c r="D733" s="142"/>
    </row>
    <row r="734" ht="15.75" customHeight="1">
      <c r="D734" s="142"/>
    </row>
    <row r="735" ht="15.75" customHeight="1">
      <c r="D735" s="142"/>
    </row>
    <row r="736" ht="15.75" customHeight="1">
      <c r="D736" s="142"/>
    </row>
    <row r="737" ht="15.75" customHeight="1">
      <c r="D737" s="142"/>
    </row>
    <row r="738" ht="15.75" customHeight="1">
      <c r="D738" s="142"/>
    </row>
    <row r="739" ht="15.75" customHeight="1">
      <c r="D739" s="142"/>
    </row>
    <row r="740" ht="15.75" customHeight="1">
      <c r="D740" s="142"/>
    </row>
    <row r="741" ht="15.75" customHeight="1">
      <c r="D741" s="142"/>
    </row>
    <row r="742" ht="15.75" customHeight="1">
      <c r="D742" s="142"/>
    </row>
    <row r="743" ht="15.75" customHeight="1">
      <c r="D743" s="142"/>
    </row>
    <row r="744" ht="15.75" customHeight="1">
      <c r="D744" s="142"/>
    </row>
    <row r="745" ht="15.75" customHeight="1">
      <c r="D745" s="142"/>
    </row>
    <row r="746" ht="15.75" customHeight="1">
      <c r="D746" s="142"/>
    </row>
    <row r="747" ht="15.75" customHeight="1">
      <c r="D747" s="142"/>
    </row>
    <row r="748" ht="15.75" customHeight="1">
      <c r="D748" s="142"/>
    </row>
    <row r="749" ht="15.75" customHeight="1">
      <c r="D749" s="142"/>
    </row>
    <row r="750" ht="15.75" customHeight="1">
      <c r="D750" s="142"/>
    </row>
    <row r="751" ht="15.75" customHeight="1">
      <c r="D751" s="142"/>
    </row>
    <row r="752" ht="15.75" customHeight="1">
      <c r="D752" s="142"/>
    </row>
    <row r="753" ht="15.75" customHeight="1">
      <c r="D753" s="142"/>
    </row>
    <row r="754" ht="15.75" customHeight="1">
      <c r="D754" s="142"/>
    </row>
    <row r="755" ht="15.75" customHeight="1">
      <c r="D755" s="142"/>
    </row>
    <row r="756" ht="15.75" customHeight="1">
      <c r="D756" s="142"/>
    </row>
    <row r="757" ht="15.75" customHeight="1">
      <c r="D757" s="142"/>
    </row>
    <row r="758" ht="15.75" customHeight="1">
      <c r="D758" s="142"/>
    </row>
    <row r="759" ht="15.75" customHeight="1">
      <c r="D759" s="142"/>
    </row>
    <row r="760" ht="15.75" customHeight="1">
      <c r="D760" s="142"/>
    </row>
    <row r="761" ht="15.75" customHeight="1">
      <c r="D761" s="142"/>
    </row>
    <row r="762" ht="15.75" customHeight="1">
      <c r="D762" s="142"/>
    </row>
    <row r="763" ht="15.75" customHeight="1">
      <c r="D763" s="142"/>
    </row>
    <row r="764" ht="15.75" customHeight="1">
      <c r="D764" s="142"/>
    </row>
    <row r="765" ht="15.75" customHeight="1">
      <c r="D765" s="142"/>
    </row>
    <row r="766" ht="15.75" customHeight="1">
      <c r="D766" s="142"/>
    </row>
    <row r="767" ht="15.75" customHeight="1">
      <c r="D767" s="142"/>
    </row>
    <row r="768" ht="15.75" customHeight="1">
      <c r="D768" s="142"/>
    </row>
    <row r="769" ht="15.75" customHeight="1">
      <c r="D769" s="142"/>
    </row>
    <row r="770" ht="15.75" customHeight="1">
      <c r="D770" s="142"/>
    </row>
    <row r="771" ht="15.75" customHeight="1">
      <c r="D771" s="142"/>
    </row>
    <row r="772" ht="15.75" customHeight="1">
      <c r="D772" s="142"/>
    </row>
    <row r="773" ht="15.75" customHeight="1">
      <c r="D773" s="142"/>
    </row>
    <row r="774" ht="15.75" customHeight="1">
      <c r="D774" s="142"/>
    </row>
    <row r="775" ht="15.75" customHeight="1">
      <c r="D775" s="142"/>
    </row>
    <row r="776" ht="15.75" customHeight="1">
      <c r="D776" s="142"/>
    </row>
    <row r="777" ht="15.75" customHeight="1">
      <c r="D777" s="142"/>
    </row>
    <row r="778" ht="15.75" customHeight="1">
      <c r="D778" s="142"/>
    </row>
    <row r="779" ht="15.75" customHeight="1">
      <c r="D779" s="142"/>
    </row>
    <row r="780" ht="15.75" customHeight="1">
      <c r="D780" s="142"/>
    </row>
    <row r="781" ht="15.75" customHeight="1">
      <c r="D781" s="142"/>
    </row>
    <row r="782" ht="15.75" customHeight="1">
      <c r="D782" s="142"/>
    </row>
    <row r="783" ht="15.75" customHeight="1">
      <c r="D783" s="142"/>
    </row>
    <row r="784" ht="15.75" customHeight="1">
      <c r="D784" s="142"/>
    </row>
    <row r="785" ht="15.75" customHeight="1">
      <c r="D785" s="142"/>
    </row>
    <row r="786" ht="15.75" customHeight="1">
      <c r="D786" s="142"/>
    </row>
    <row r="787" ht="15.75" customHeight="1">
      <c r="D787" s="142"/>
    </row>
    <row r="788" ht="15.75" customHeight="1">
      <c r="D788" s="142"/>
    </row>
    <row r="789" ht="15.75" customHeight="1">
      <c r="D789" s="142"/>
    </row>
    <row r="790" ht="15.75" customHeight="1">
      <c r="D790" s="142"/>
    </row>
    <row r="791" ht="15.75" customHeight="1">
      <c r="D791" s="142"/>
    </row>
    <row r="792" ht="15.75" customHeight="1">
      <c r="D792" s="142"/>
    </row>
    <row r="793" ht="15.75" customHeight="1">
      <c r="D793" s="142"/>
    </row>
    <row r="794" ht="15.75" customHeight="1">
      <c r="D794" s="142"/>
    </row>
    <row r="795" ht="15.75" customHeight="1">
      <c r="D795" s="142"/>
    </row>
    <row r="796" ht="15.75" customHeight="1">
      <c r="D796" s="142"/>
    </row>
    <row r="797" ht="15.75" customHeight="1">
      <c r="D797" s="142"/>
    </row>
    <row r="798" ht="15.75" customHeight="1">
      <c r="D798" s="142"/>
    </row>
    <row r="799" ht="15.75" customHeight="1">
      <c r="D799" s="142"/>
    </row>
    <row r="800" ht="15.75" customHeight="1">
      <c r="D800" s="142"/>
    </row>
    <row r="801" ht="15.75" customHeight="1">
      <c r="D801" s="142"/>
    </row>
    <row r="802" ht="15.75" customHeight="1">
      <c r="D802" s="142"/>
    </row>
    <row r="803" ht="15.75" customHeight="1">
      <c r="D803" s="142"/>
    </row>
    <row r="804" ht="15.75" customHeight="1">
      <c r="D804" s="142"/>
    </row>
    <row r="805" ht="15.75" customHeight="1">
      <c r="D805" s="142"/>
    </row>
    <row r="806" ht="15.75" customHeight="1">
      <c r="D806" s="142"/>
    </row>
    <row r="807" ht="15.75" customHeight="1">
      <c r="D807" s="142"/>
    </row>
    <row r="808" ht="15.75" customHeight="1">
      <c r="D808" s="142"/>
    </row>
    <row r="809" ht="15.75" customHeight="1">
      <c r="D809" s="142"/>
    </row>
    <row r="810" ht="15.75" customHeight="1">
      <c r="D810" s="142"/>
    </row>
    <row r="811" ht="15.75" customHeight="1">
      <c r="D811" s="142"/>
    </row>
    <row r="812" ht="15.75" customHeight="1">
      <c r="D812" s="142"/>
    </row>
    <row r="813" ht="15.75" customHeight="1">
      <c r="D813" s="142"/>
    </row>
    <row r="814" ht="15.75" customHeight="1">
      <c r="D814" s="142"/>
    </row>
    <row r="815" ht="15.75" customHeight="1">
      <c r="D815" s="142"/>
    </row>
    <row r="816" ht="15.75" customHeight="1">
      <c r="D816" s="142"/>
    </row>
    <row r="817" ht="15.75" customHeight="1">
      <c r="D817" s="142"/>
    </row>
    <row r="818" ht="15.75" customHeight="1">
      <c r="D818" s="142"/>
    </row>
    <row r="819" ht="15.75" customHeight="1">
      <c r="D819" s="142"/>
    </row>
    <row r="820" ht="15.75" customHeight="1">
      <c r="D820" s="142"/>
    </row>
    <row r="821" ht="15.75" customHeight="1">
      <c r="D821" s="142"/>
    </row>
    <row r="822" ht="15.75" customHeight="1">
      <c r="D822" s="142"/>
    </row>
    <row r="823" ht="15.75" customHeight="1">
      <c r="D823" s="142"/>
    </row>
    <row r="824" ht="15.75" customHeight="1">
      <c r="D824" s="142"/>
    </row>
    <row r="825" ht="15.75" customHeight="1">
      <c r="D825" s="142"/>
    </row>
    <row r="826" ht="15.75" customHeight="1">
      <c r="D826" s="142"/>
    </row>
    <row r="827" ht="15.75" customHeight="1">
      <c r="D827" s="142"/>
    </row>
    <row r="828" ht="15.75" customHeight="1">
      <c r="D828" s="142"/>
    </row>
    <row r="829" ht="15.75" customHeight="1">
      <c r="D829" s="142"/>
    </row>
    <row r="830" ht="15.75" customHeight="1">
      <c r="D830" s="142"/>
    </row>
    <row r="831" ht="15.75" customHeight="1">
      <c r="D831" s="142"/>
    </row>
    <row r="832" ht="15.75" customHeight="1">
      <c r="D832" s="142"/>
    </row>
    <row r="833" ht="15.75" customHeight="1">
      <c r="D833" s="142"/>
    </row>
    <row r="834" ht="15.75" customHeight="1">
      <c r="D834" s="142"/>
    </row>
    <row r="835" ht="15.75" customHeight="1">
      <c r="D835" s="142"/>
    </row>
    <row r="836" ht="15.75" customHeight="1">
      <c r="D836" s="142"/>
    </row>
    <row r="837" ht="15.75" customHeight="1">
      <c r="D837" s="142"/>
    </row>
    <row r="838" ht="15.75" customHeight="1">
      <c r="D838" s="142"/>
    </row>
    <row r="839" ht="15.75" customHeight="1">
      <c r="D839" s="142"/>
    </row>
    <row r="840" ht="15.75" customHeight="1">
      <c r="D840" s="142"/>
    </row>
    <row r="841" ht="15.75" customHeight="1">
      <c r="D841" s="142"/>
    </row>
    <row r="842" ht="15.75" customHeight="1">
      <c r="D842" s="142"/>
    </row>
    <row r="843" ht="15.75" customHeight="1">
      <c r="D843" s="142"/>
    </row>
    <row r="844" ht="15.75" customHeight="1">
      <c r="D844" s="142"/>
    </row>
    <row r="845" ht="15.75" customHeight="1">
      <c r="D845" s="142"/>
    </row>
    <row r="846" ht="15.75" customHeight="1">
      <c r="D846" s="142"/>
    </row>
    <row r="847" ht="15.75" customHeight="1">
      <c r="D847" s="142"/>
    </row>
    <row r="848" ht="15.75" customHeight="1">
      <c r="D848" s="142"/>
    </row>
    <row r="849" ht="15.75" customHeight="1">
      <c r="D849" s="142"/>
    </row>
    <row r="850" ht="15.75" customHeight="1">
      <c r="D850" s="142"/>
    </row>
    <row r="851" ht="15.75" customHeight="1">
      <c r="D851" s="142"/>
    </row>
    <row r="852" ht="15.75" customHeight="1">
      <c r="D852" s="142"/>
    </row>
    <row r="853" ht="15.75" customHeight="1">
      <c r="D853" s="142"/>
    </row>
    <row r="854" ht="15.75" customHeight="1">
      <c r="D854" s="142"/>
    </row>
    <row r="855" ht="15.75" customHeight="1">
      <c r="D855" s="142"/>
    </row>
    <row r="856" ht="15.75" customHeight="1">
      <c r="D856" s="142"/>
    </row>
    <row r="857" ht="15.75" customHeight="1">
      <c r="D857" s="142"/>
    </row>
    <row r="858" ht="15.75" customHeight="1">
      <c r="D858" s="142"/>
    </row>
    <row r="859" ht="15.75" customHeight="1">
      <c r="D859" s="142"/>
    </row>
    <row r="860" ht="15.75" customHeight="1">
      <c r="D860" s="142"/>
    </row>
    <row r="861" ht="15.75" customHeight="1">
      <c r="D861" s="142"/>
    </row>
    <row r="862" ht="15.75" customHeight="1">
      <c r="D862" s="142"/>
    </row>
    <row r="863" ht="15.75" customHeight="1">
      <c r="D863" s="142"/>
    </row>
    <row r="864" ht="15.75" customHeight="1">
      <c r="D864" s="142"/>
    </row>
    <row r="865" ht="15.75" customHeight="1">
      <c r="D865" s="142"/>
    </row>
    <row r="866" ht="15.75" customHeight="1">
      <c r="D866" s="142"/>
    </row>
    <row r="867" ht="15.75" customHeight="1">
      <c r="D867" s="142"/>
    </row>
    <row r="868" ht="15.75" customHeight="1">
      <c r="D868" s="142"/>
    </row>
    <row r="869" ht="15.75" customHeight="1">
      <c r="D869" s="142"/>
    </row>
    <row r="870" ht="15.75" customHeight="1">
      <c r="D870" s="142"/>
    </row>
    <row r="871" ht="15.75" customHeight="1">
      <c r="D871" s="142"/>
    </row>
    <row r="872" ht="15.75" customHeight="1">
      <c r="D872" s="142"/>
    </row>
    <row r="873" ht="15.75" customHeight="1">
      <c r="D873" s="142"/>
    </row>
    <row r="874" ht="15.75" customHeight="1">
      <c r="D874" s="142"/>
    </row>
    <row r="875" ht="15.75" customHeight="1">
      <c r="D875" s="142"/>
    </row>
    <row r="876" ht="15.75" customHeight="1">
      <c r="D876" s="142"/>
    </row>
    <row r="877" ht="15.75" customHeight="1">
      <c r="D877" s="142"/>
    </row>
    <row r="878" ht="15.75" customHeight="1">
      <c r="D878" s="142"/>
    </row>
    <row r="879" ht="15.75" customHeight="1">
      <c r="D879" s="142"/>
    </row>
    <row r="880" ht="15.75" customHeight="1">
      <c r="D880" s="142"/>
    </row>
    <row r="881" ht="15.75" customHeight="1">
      <c r="D881" s="142"/>
    </row>
    <row r="882" ht="15.75" customHeight="1">
      <c r="D882" s="142"/>
    </row>
    <row r="883" ht="15.75" customHeight="1">
      <c r="D883" s="142"/>
    </row>
    <row r="884" ht="15.75" customHeight="1">
      <c r="D884" s="142"/>
    </row>
    <row r="885" ht="15.75" customHeight="1">
      <c r="D885" s="142"/>
    </row>
    <row r="886" ht="15.75" customHeight="1">
      <c r="D886" s="142"/>
    </row>
    <row r="887" ht="15.75" customHeight="1">
      <c r="D887" s="142"/>
    </row>
    <row r="888" ht="15.75" customHeight="1">
      <c r="D888" s="142"/>
    </row>
    <row r="889" ht="15.75" customHeight="1">
      <c r="D889" s="142"/>
    </row>
    <row r="890" ht="15.75" customHeight="1">
      <c r="D890" s="142"/>
    </row>
    <row r="891" ht="15.75" customHeight="1">
      <c r="D891" s="142"/>
    </row>
    <row r="892" ht="15.75" customHeight="1">
      <c r="D892" s="142"/>
    </row>
    <row r="893" ht="15.75" customHeight="1">
      <c r="D893" s="142"/>
    </row>
    <row r="894" ht="15.75" customHeight="1">
      <c r="D894" s="142"/>
    </row>
    <row r="895" ht="15.75" customHeight="1">
      <c r="D895" s="142"/>
    </row>
    <row r="896" ht="15.75" customHeight="1">
      <c r="D896" s="142"/>
    </row>
    <row r="897" ht="15.75" customHeight="1">
      <c r="D897" s="142"/>
    </row>
    <row r="898" ht="15.75" customHeight="1">
      <c r="D898" s="142"/>
    </row>
    <row r="899" ht="15.75" customHeight="1">
      <c r="D899" s="142"/>
    </row>
    <row r="900" ht="15.75" customHeight="1">
      <c r="D900" s="142"/>
    </row>
    <row r="901" ht="15.75" customHeight="1">
      <c r="D901" s="142"/>
    </row>
    <row r="902" ht="15.75" customHeight="1">
      <c r="D902" s="142"/>
    </row>
    <row r="903" ht="15.75" customHeight="1">
      <c r="D903" s="142"/>
    </row>
    <row r="904" ht="15.75" customHeight="1">
      <c r="D904" s="142"/>
    </row>
    <row r="905" ht="15.75" customHeight="1">
      <c r="D905" s="142"/>
    </row>
    <row r="906" ht="15.75" customHeight="1">
      <c r="D906" s="142"/>
    </row>
    <row r="907" ht="15.75" customHeight="1">
      <c r="D907" s="142"/>
    </row>
    <row r="908" ht="15.75" customHeight="1">
      <c r="D908" s="142"/>
    </row>
    <row r="909" ht="15.75" customHeight="1">
      <c r="D909" s="142"/>
    </row>
    <row r="910" ht="15.75" customHeight="1">
      <c r="D910" s="142"/>
    </row>
    <row r="911" ht="15.75" customHeight="1">
      <c r="D911" s="142"/>
    </row>
    <row r="912" ht="15.75" customHeight="1">
      <c r="D912" s="142"/>
    </row>
    <row r="913" ht="15.75" customHeight="1">
      <c r="D913" s="142"/>
    </row>
    <row r="914" ht="15.75" customHeight="1">
      <c r="D914" s="142"/>
    </row>
    <row r="915" ht="15.75" customHeight="1">
      <c r="D915" s="142"/>
    </row>
    <row r="916" ht="15.75" customHeight="1">
      <c r="D916" s="142"/>
    </row>
    <row r="917" ht="15.75" customHeight="1">
      <c r="D917" s="142"/>
    </row>
    <row r="918" ht="15.75" customHeight="1">
      <c r="D918" s="142"/>
    </row>
    <row r="919" ht="15.75" customHeight="1">
      <c r="D919" s="142"/>
    </row>
    <row r="920" ht="15.75" customHeight="1">
      <c r="D920" s="142"/>
    </row>
    <row r="921" ht="15.75" customHeight="1">
      <c r="D921" s="142"/>
    </row>
    <row r="922" ht="15.75" customHeight="1">
      <c r="D922" s="142"/>
    </row>
    <row r="923" ht="15.75" customHeight="1">
      <c r="D923" s="142"/>
    </row>
    <row r="924" ht="15.75" customHeight="1">
      <c r="D924" s="142"/>
    </row>
    <row r="925" ht="15.75" customHeight="1">
      <c r="D925" s="142"/>
    </row>
    <row r="926" ht="15.75" customHeight="1">
      <c r="D926" s="142"/>
    </row>
    <row r="927" ht="15.75" customHeight="1">
      <c r="D927" s="142"/>
    </row>
    <row r="928" ht="15.75" customHeight="1">
      <c r="D928" s="142"/>
    </row>
    <row r="929" ht="15.75" customHeight="1">
      <c r="D929" s="142"/>
    </row>
    <row r="930" ht="15.75" customHeight="1">
      <c r="D930" s="142"/>
    </row>
    <row r="931" ht="15.75" customHeight="1">
      <c r="D931" s="142"/>
    </row>
    <row r="932" ht="15.75" customHeight="1">
      <c r="D932" s="142"/>
    </row>
    <row r="933" ht="15.75" customHeight="1">
      <c r="D933" s="142"/>
    </row>
    <row r="934" ht="15.75" customHeight="1">
      <c r="D934" s="142"/>
    </row>
    <row r="935" ht="15.75" customHeight="1">
      <c r="D935" s="142"/>
    </row>
    <row r="936" ht="15.75" customHeight="1">
      <c r="D936" s="142"/>
    </row>
    <row r="937" ht="15.75" customHeight="1">
      <c r="D937" s="142"/>
    </row>
    <row r="938" ht="15.75" customHeight="1">
      <c r="D938" s="142"/>
    </row>
    <row r="939" ht="15.75" customHeight="1">
      <c r="D939" s="142"/>
    </row>
    <row r="940" ht="15.75" customHeight="1">
      <c r="D940" s="142"/>
    </row>
    <row r="941" ht="15.75" customHeight="1">
      <c r="D941" s="142"/>
    </row>
    <row r="942" ht="15.75" customHeight="1">
      <c r="D942" s="142"/>
    </row>
    <row r="943" ht="15.75" customHeight="1">
      <c r="D943" s="142"/>
    </row>
    <row r="944" ht="15.75" customHeight="1">
      <c r="D944" s="142"/>
    </row>
    <row r="945" ht="15.75" customHeight="1">
      <c r="D945" s="142"/>
    </row>
    <row r="946" ht="15.75" customHeight="1">
      <c r="D946" s="142"/>
    </row>
    <row r="947" ht="15.75" customHeight="1">
      <c r="D947" s="142"/>
    </row>
    <row r="948" ht="15.75" customHeight="1">
      <c r="D948" s="142"/>
    </row>
    <row r="949" ht="15.75" customHeight="1">
      <c r="D949" s="142"/>
    </row>
    <row r="950" ht="15.75" customHeight="1">
      <c r="D950" s="142"/>
    </row>
    <row r="951" ht="15.75" customHeight="1">
      <c r="D951" s="142"/>
    </row>
    <row r="952" ht="15.75" customHeight="1">
      <c r="D952" s="142"/>
    </row>
    <row r="953" ht="15.75" customHeight="1">
      <c r="D953" s="142"/>
    </row>
    <row r="954" ht="15.75" customHeight="1">
      <c r="D954" s="142"/>
    </row>
    <row r="955" ht="15.75" customHeight="1">
      <c r="D955" s="142"/>
    </row>
    <row r="956" ht="15.75" customHeight="1">
      <c r="D956" s="142"/>
    </row>
    <row r="957" ht="15.75" customHeight="1">
      <c r="D957" s="142"/>
    </row>
    <row r="958" ht="15.75" customHeight="1">
      <c r="D958" s="142"/>
    </row>
    <row r="959" ht="15.75" customHeight="1">
      <c r="D959" s="142"/>
    </row>
    <row r="960" ht="15.75" customHeight="1">
      <c r="D960" s="142"/>
    </row>
    <row r="961" ht="15.75" customHeight="1">
      <c r="D961" s="142"/>
    </row>
    <row r="962" ht="15.75" customHeight="1">
      <c r="D962" s="142"/>
    </row>
    <row r="963" ht="15.75" customHeight="1">
      <c r="D963" s="142"/>
    </row>
    <row r="964" ht="15.75" customHeight="1">
      <c r="D964" s="142"/>
    </row>
    <row r="965" ht="15.75" customHeight="1">
      <c r="D965" s="142"/>
    </row>
    <row r="966" ht="15.75" customHeight="1">
      <c r="D966" s="142"/>
    </row>
    <row r="967" ht="15.75" customHeight="1">
      <c r="D967" s="142"/>
    </row>
    <row r="968" ht="15.75" customHeight="1">
      <c r="D968" s="142"/>
    </row>
    <row r="969" ht="15.75" customHeight="1">
      <c r="D969" s="142"/>
    </row>
    <row r="970" ht="15.75" customHeight="1">
      <c r="D970" s="142"/>
    </row>
    <row r="971" ht="15.75" customHeight="1">
      <c r="D971" s="142"/>
    </row>
    <row r="972" ht="15.75" customHeight="1">
      <c r="D972" s="142"/>
    </row>
    <row r="973" ht="15.75" customHeight="1">
      <c r="D973" s="142"/>
    </row>
    <row r="974" ht="15.75" customHeight="1">
      <c r="D974" s="142"/>
    </row>
    <row r="975" ht="15.75" customHeight="1">
      <c r="D975" s="142"/>
    </row>
    <row r="976" ht="15.75" customHeight="1">
      <c r="D976" s="142"/>
    </row>
    <row r="977" ht="15.75" customHeight="1">
      <c r="D977" s="142"/>
    </row>
    <row r="978" ht="15.75" customHeight="1">
      <c r="D978" s="142"/>
    </row>
    <row r="979" ht="15.75" customHeight="1">
      <c r="D979" s="142"/>
    </row>
    <row r="980" ht="15.75" customHeight="1">
      <c r="D980" s="142"/>
    </row>
    <row r="981" ht="15.75" customHeight="1">
      <c r="D981" s="142"/>
    </row>
    <row r="982" ht="15.75" customHeight="1">
      <c r="D982" s="142"/>
    </row>
    <row r="983" ht="15.75" customHeight="1">
      <c r="D983" s="142"/>
    </row>
    <row r="984" ht="15.75" customHeight="1">
      <c r="D984" s="142"/>
    </row>
    <row r="985" ht="15.75" customHeight="1">
      <c r="D985" s="142"/>
    </row>
    <row r="986" ht="15.75" customHeight="1">
      <c r="D986" s="142"/>
    </row>
    <row r="987" ht="15.75" customHeight="1">
      <c r="D987" s="142"/>
    </row>
    <row r="988" ht="15.75" customHeight="1">
      <c r="D988" s="142"/>
    </row>
    <row r="989" ht="15.75" customHeight="1">
      <c r="D989" s="142"/>
    </row>
    <row r="990" ht="15.75" customHeight="1">
      <c r="D990" s="142"/>
    </row>
    <row r="991" ht="15.75" customHeight="1">
      <c r="D991" s="142"/>
    </row>
    <row r="992" ht="15.75" customHeight="1">
      <c r="D992" s="142"/>
    </row>
    <row r="993" ht="15.75" customHeight="1">
      <c r="D993" s="142"/>
    </row>
    <row r="994" ht="15.75" customHeight="1">
      <c r="D994" s="142"/>
    </row>
    <row r="995" ht="15.75" customHeight="1">
      <c r="D995" s="142"/>
    </row>
    <row r="996" ht="15.75" customHeight="1">
      <c r="D996" s="142"/>
    </row>
    <row r="997" ht="15.75" customHeight="1">
      <c r="D997" s="142"/>
    </row>
    <row r="998" ht="15.75" customHeight="1">
      <c r="D998" s="142"/>
    </row>
    <row r="999" ht="15.75" customHeight="1">
      <c r="D999" s="142"/>
    </row>
    <row r="1000" ht="15.75" customHeight="1">
      <c r="D1000" s="142"/>
    </row>
  </sheetData>
  <mergeCells count="28">
    <mergeCell ref="G4:G6"/>
    <mergeCell ref="H4:H6"/>
    <mergeCell ref="I4:I6"/>
    <mergeCell ref="J4:J6"/>
    <mergeCell ref="A1:K1"/>
    <mergeCell ref="A2:K2"/>
    <mergeCell ref="A3:K3"/>
    <mergeCell ref="A4:A6"/>
    <mergeCell ref="B4:B6"/>
    <mergeCell ref="C4:C6"/>
    <mergeCell ref="D4:D6"/>
    <mergeCell ref="K4:K6"/>
    <mergeCell ref="E4:E6"/>
    <mergeCell ref="F4:F6"/>
    <mergeCell ref="A7:A12"/>
    <mergeCell ref="A13:A15"/>
    <mergeCell ref="A16:A17"/>
    <mergeCell ref="A19:A20"/>
    <mergeCell ref="A21:A25"/>
    <mergeCell ref="A63:A66"/>
    <mergeCell ref="A69:A73"/>
    <mergeCell ref="A26:A32"/>
    <mergeCell ref="A33:A35"/>
    <mergeCell ref="A43:A45"/>
    <mergeCell ref="A46:A48"/>
    <mergeCell ref="A52:A53"/>
    <mergeCell ref="A54:A55"/>
    <mergeCell ref="A56:A60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2022-08-09T08:09:18Z</dcterms:created>
  <dc:creator>LENOVO</dc:creator>
</cp:coreProperties>
</file>