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usni Kerja\BPSDA\Excel Rekap harian PD Pasar\2023\"/>
    </mc:Choice>
  </mc:AlternateContent>
  <xr:revisionPtr revIDLastSave="0" documentId="13_ncr:1_{B1F9981C-B901-46A0-80DC-5BF9254C8D83}" xr6:coauthVersionLast="47" xr6:coauthVersionMax="47" xr10:uidLastSave="{00000000-0000-0000-0000-000000000000}"/>
  <bookViews>
    <workbookView xWindow="-120" yWindow="-120" windowWidth="24240" windowHeight="13140" tabRatio="918" xr2:uid="{4C192097-C7C4-45F9-8F41-4BB5DE9D5F4A}"/>
  </bookViews>
  <sheets>
    <sheet name="REKAPITULASI" sheetId="1" r:id="rId1"/>
    <sheet name="GRAFIK" sheetId="38" r:id="rId2"/>
    <sheet name="1" sheetId="2" r:id="rId3"/>
    <sheet name="2" sheetId="3" r:id="rId4"/>
    <sheet name="3" sheetId="4" r:id="rId5"/>
    <sheet name="4" sheetId="5" r:id="rId6"/>
    <sheet name="5" sheetId="6" r:id="rId7"/>
    <sheet name="6" sheetId="7" r:id="rId8"/>
    <sheet name="7" sheetId="8" r:id="rId9"/>
    <sheet name="8" sheetId="9" r:id="rId10"/>
    <sheet name="9" sheetId="10" r:id="rId11"/>
    <sheet name="10" sheetId="11" r:id="rId12"/>
    <sheet name="11" sheetId="12" r:id="rId13"/>
    <sheet name="12" sheetId="13" r:id="rId14"/>
    <sheet name="13" sheetId="14" r:id="rId15"/>
    <sheet name="14" sheetId="15" r:id="rId16"/>
    <sheet name="15" sheetId="16" r:id="rId17"/>
    <sheet name="16" sheetId="17" r:id="rId18"/>
    <sheet name="17" sheetId="18" r:id="rId19"/>
    <sheet name="18" sheetId="19" r:id="rId20"/>
    <sheet name="19" sheetId="20" r:id="rId21"/>
    <sheet name="20" sheetId="21" r:id="rId22"/>
    <sheet name="21" sheetId="22" r:id="rId23"/>
    <sheet name="22" sheetId="36" r:id="rId24"/>
    <sheet name="23" sheetId="37" r:id="rId25"/>
    <sheet name="24" sheetId="25" r:id="rId26"/>
    <sheet name="25" sheetId="26" r:id="rId27"/>
    <sheet name="26" sheetId="27" r:id="rId28"/>
    <sheet name="27" sheetId="28" r:id="rId29"/>
    <sheet name="28" sheetId="29" r:id="rId30"/>
    <sheet name="29" sheetId="30" r:id="rId31"/>
    <sheet name="30" sheetId="31" r:id="rId32"/>
    <sheet name="31" sheetId="35" r:id="rId3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9" i="1" l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" i="1"/>
  <c r="I93" i="38"/>
  <c r="I92" i="38"/>
  <c r="I91" i="38"/>
  <c r="I90" i="38"/>
  <c r="I71" i="38"/>
  <c r="I70" i="38"/>
  <c r="I69" i="38"/>
  <c r="I45" i="38"/>
  <c r="I25" i="38"/>
  <c r="I5" i="38"/>
  <c r="AH13" i="1"/>
  <c r="AH16" i="1"/>
  <c r="AH19" i="1"/>
  <c r="AH21" i="1"/>
  <c r="AH26" i="1"/>
  <c r="AH33" i="1"/>
  <c r="AH36" i="1"/>
  <c r="AH39" i="1"/>
  <c r="AH43" i="1"/>
  <c r="AH46" i="1"/>
  <c r="AH49" i="1"/>
  <c r="AH52" i="1"/>
  <c r="AH54" i="1"/>
  <c r="AH56" i="1"/>
  <c r="AH61" i="1"/>
  <c r="AH63" i="1"/>
  <c r="AH67" i="1"/>
  <c r="AH69" i="1"/>
  <c r="AH74" i="1"/>
  <c r="AH77" i="1"/>
  <c r="AH87" i="1"/>
  <c r="Z13" i="1"/>
  <c r="Z16" i="1"/>
  <c r="Z19" i="1"/>
  <c r="Z21" i="1"/>
  <c r="Z26" i="1"/>
  <c r="Z33" i="1"/>
  <c r="Z36" i="1"/>
  <c r="Z39" i="1"/>
  <c r="Z43" i="1"/>
  <c r="Z46" i="1"/>
  <c r="Z49" i="1"/>
  <c r="Z52" i="1"/>
  <c r="Z54" i="1"/>
  <c r="Z56" i="1"/>
  <c r="Z61" i="1"/>
  <c r="Z63" i="1"/>
  <c r="Z67" i="1"/>
  <c r="Z69" i="1"/>
  <c r="Z74" i="1"/>
  <c r="Z77" i="1"/>
  <c r="Z87" i="1"/>
  <c r="Y13" i="1"/>
  <c r="Y16" i="1"/>
  <c r="Y19" i="1"/>
  <c r="Y21" i="1"/>
  <c r="Y26" i="1"/>
  <c r="Y33" i="1"/>
  <c r="Y36" i="1"/>
  <c r="Y39" i="1"/>
  <c r="Y43" i="1"/>
  <c r="Y46" i="1"/>
  <c r="Y49" i="1"/>
  <c r="Y52" i="1"/>
  <c r="Y54" i="1"/>
  <c r="Y56" i="1"/>
  <c r="Y61" i="1"/>
  <c r="Y63" i="1"/>
  <c r="Y67" i="1"/>
  <c r="Y69" i="1"/>
  <c r="Y74" i="1"/>
  <c r="Y77" i="1"/>
  <c r="Y87" i="1"/>
  <c r="K88" i="18"/>
  <c r="K86" i="18"/>
  <c r="K85" i="18"/>
  <c r="K84" i="18"/>
  <c r="K83" i="18"/>
  <c r="K82" i="18"/>
  <c r="K81" i="18"/>
  <c r="K80" i="18"/>
  <c r="K79" i="18"/>
  <c r="K78" i="18"/>
  <c r="K76" i="18"/>
  <c r="K75" i="18"/>
  <c r="K73" i="18"/>
  <c r="S93" i="38" s="1"/>
  <c r="K72" i="18"/>
  <c r="S92" i="38" s="1"/>
  <c r="K71" i="18"/>
  <c r="S91" i="38" s="1"/>
  <c r="K70" i="18"/>
  <c r="S90" i="38" s="1"/>
  <c r="K68" i="18"/>
  <c r="K66" i="18"/>
  <c r="S71" i="38" s="1"/>
  <c r="K65" i="18"/>
  <c r="S70" i="38" s="1"/>
  <c r="K64" i="18"/>
  <c r="S69" i="38" s="1"/>
  <c r="K62" i="18"/>
  <c r="K60" i="18"/>
  <c r="K59" i="18"/>
  <c r="K58" i="18"/>
  <c r="K57" i="18"/>
  <c r="K55" i="18"/>
  <c r="K53" i="18"/>
  <c r="K51" i="18"/>
  <c r="K50" i="18"/>
  <c r="K48" i="18"/>
  <c r="K47" i="18"/>
  <c r="K45" i="18"/>
  <c r="K44" i="18"/>
  <c r="K42" i="18"/>
  <c r="K41" i="18"/>
  <c r="K40" i="18"/>
  <c r="K38" i="18"/>
  <c r="K37" i="18"/>
  <c r="K35" i="18"/>
  <c r="K34" i="18"/>
  <c r="S45" i="38" s="1"/>
  <c r="K32" i="18"/>
  <c r="K31" i="18"/>
  <c r="K30" i="18"/>
  <c r="K29" i="18"/>
  <c r="K28" i="18"/>
  <c r="K27" i="18"/>
  <c r="K25" i="18"/>
  <c r="S25" i="38" s="1"/>
  <c r="K24" i="18"/>
  <c r="K23" i="18"/>
  <c r="K22" i="18"/>
  <c r="K20" i="18"/>
  <c r="K18" i="18"/>
  <c r="K17" i="18"/>
  <c r="K15" i="18"/>
  <c r="K14" i="18"/>
  <c r="S5" i="38" s="1"/>
  <c r="K12" i="18"/>
  <c r="K11" i="18"/>
  <c r="K10" i="18"/>
  <c r="K9" i="18"/>
  <c r="K8" i="18"/>
  <c r="K88" i="25" l="1"/>
  <c r="K86" i="25"/>
  <c r="K85" i="25"/>
  <c r="K84" i="25"/>
  <c r="K83" i="25"/>
  <c r="K82" i="25"/>
  <c r="K81" i="25"/>
  <c r="K80" i="25"/>
  <c r="K79" i="25"/>
  <c r="K78" i="25"/>
  <c r="K76" i="25"/>
  <c r="K75" i="25"/>
  <c r="K73" i="25"/>
  <c r="Z93" i="38" s="1"/>
  <c r="K72" i="25"/>
  <c r="Z92" i="38" s="1"/>
  <c r="K71" i="25"/>
  <c r="Z91" i="38" s="1"/>
  <c r="K70" i="25"/>
  <c r="Z90" i="38" s="1"/>
  <c r="K68" i="25"/>
  <c r="K66" i="25"/>
  <c r="Z71" i="38" s="1"/>
  <c r="K65" i="25"/>
  <c r="Z70" i="38" s="1"/>
  <c r="K64" i="25"/>
  <c r="Z69" i="38" s="1"/>
  <c r="K62" i="25"/>
  <c r="K60" i="25"/>
  <c r="K59" i="25"/>
  <c r="K58" i="25"/>
  <c r="K57" i="25"/>
  <c r="K55" i="25"/>
  <c r="K53" i="25"/>
  <c r="K51" i="25"/>
  <c r="K50" i="25"/>
  <c r="K48" i="25"/>
  <c r="K47" i="25"/>
  <c r="K45" i="25"/>
  <c r="K44" i="25"/>
  <c r="K42" i="25"/>
  <c r="K41" i="25"/>
  <c r="K40" i="25"/>
  <c r="K38" i="25"/>
  <c r="K37" i="25"/>
  <c r="K35" i="25"/>
  <c r="K34" i="25"/>
  <c r="Z45" i="38" s="1"/>
  <c r="K32" i="25"/>
  <c r="K31" i="25"/>
  <c r="K30" i="25"/>
  <c r="K29" i="25"/>
  <c r="K28" i="25"/>
  <c r="K27" i="25"/>
  <c r="K25" i="25"/>
  <c r="Z25" i="38" s="1"/>
  <c r="K24" i="25"/>
  <c r="K23" i="25"/>
  <c r="K22" i="25"/>
  <c r="K20" i="25"/>
  <c r="K18" i="25"/>
  <c r="K17" i="25"/>
  <c r="K15" i="25"/>
  <c r="K14" i="25"/>
  <c r="Z5" i="38" s="1"/>
  <c r="K12" i="25"/>
  <c r="K11" i="25"/>
  <c r="K10" i="25"/>
  <c r="K9" i="25"/>
  <c r="K8" i="25"/>
  <c r="K88" i="37"/>
  <c r="Z88" i="1" s="1"/>
  <c r="K86" i="37"/>
  <c r="Z86" i="1" s="1"/>
  <c r="K85" i="37"/>
  <c r="Z85" i="1" s="1"/>
  <c r="K84" i="37"/>
  <c r="Z84" i="1" s="1"/>
  <c r="K83" i="37"/>
  <c r="Z83" i="1" s="1"/>
  <c r="K82" i="37"/>
  <c r="Z82" i="1" s="1"/>
  <c r="K81" i="37"/>
  <c r="Z81" i="1" s="1"/>
  <c r="K80" i="37"/>
  <c r="Z80" i="1" s="1"/>
  <c r="K79" i="37"/>
  <c r="Z79" i="1" s="1"/>
  <c r="K78" i="37"/>
  <c r="Z78" i="1" s="1"/>
  <c r="K76" i="37"/>
  <c r="Z76" i="1" s="1"/>
  <c r="K75" i="37"/>
  <c r="Z75" i="1" s="1"/>
  <c r="K73" i="37"/>
  <c r="K72" i="37"/>
  <c r="K71" i="37"/>
  <c r="K70" i="37"/>
  <c r="K68" i="37"/>
  <c r="Z68" i="1" s="1"/>
  <c r="K66" i="37"/>
  <c r="K65" i="37"/>
  <c r="K64" i="37"/>
  <c r="K62" i="37"/>
  <c r="Z62" i="1" s="1"/>
  <c r="K60" i="37"/>
  <c r="Z60" i="1" s="1"/>
  <c r="K59" i="37"/>
  <c r="Z59" i="1" s="1"/>
  <c r="K58" i="37"/>
  <c r="Z58" i="1" s="1"/>
  <c r="K57" i="37"/>
  <c r="Z57" i="1" s="1"/>
  <c r="K55" i="37"/>
  <c r="Z55" i="1" s="1"/>
  <c r="K53" i="37"/>
  <c r="Z53" i="1" s="1"/>
  <c r="K51" i="37"/>
  <c r="Z51" i="1" s="1"/>
  <c r="K50" i="37"/>
  <c r="Z50" i="1" s="1"/>
  <c r="K48" i="37"/>
  <c r="Z48" i="1" s="1"/>
  <c r="K47" i="37"/>
  <c r="Z47" i="1" s="1"/>
  <c r="K45" i="37"/>
  <c r="Z45" i="1" s="1"/>
  <c r="K44" i="37"/>
  <c r="Z44" i="1" s="1"/>
  <c r="K42" i="37"/>
  <c r="Z42" i="1" s="1"/>
  <c r="K41" i="37"/>
  <c r="Z41" i="1" s="1"/>
  <c r="K40" i="37"/>
  <c r="Z40" i="1" s="1"/>
  <c r="K38" i="37"/>
  <c r="Z38" i="1" s="1"/>
  <c r="K37" i="37"/>
  <c r="Z37" i="1" s="1"/>
  <c r="K35" i="37"/>
  <c r="Z35" i="1" s="1"/>
  <c r="K34" i="37"/>
  <c r="K32" i="37"/>
  <c r="Z32" i="1" s="1"/>
  <c r="K31" i="37"/>
  <c r="Z31" i="1" s="1"/>
  <c r="K30" i="37"/>
  <c r="Z30" i="1" s="1"/>
  <c r="K29" i="37"/>
  <c r="Z29" i="1" s="1"/>
  <c r="K28" i="37"/>
  <c r="Z28" i="1" s="1"/>
  <c r="K27" i="37"/>
  <c r="Z27" i="1" s="1"/>
  <c r="K25" i="37"/>
  <c r="K24" i="37"/>
  <c r="Z24" i="1" s="1"/>
  <c r="K23" i="37"/>
  <c r="Z23" i="1" s="1"/>
  <c r="K22" i="37"/>
  <c r="Z22" i="1" s="1"/>
  <c r="K20" i="37"/>
  <c r="Z20" i="1" s="1"/>
  <c r="K18" i="37"/>
  <c r="Z18" i="1" s="1"/>
  <c r="K17" i="37"/>
  <c r="Z17" i="1" s="1"/>
  <c r="K15" i="37"/>
  <c r="Z15" i="1" s="1"/>
  <c r="K14" i="37"/>
  <c r="K12" i="37"/>
  <c r="Z12" i="1" s="1"/>
  <c r="K11" i="37"/>
  <c r="Z11" i="1" s="1"/>
  <c r="K10" i="37"/>
  <c r="Z10" i="1" s="1"/>
  <c r="K9" i="37"/>
  <c r="Z9" i="1" s="1"/>
  <c r="K8" i="37"/>
  <c r="Z8" i="1" s="1"/>
  <c r="K88" i="36"/>
  <c r="Y88" i="1" s="1"/>
  <c r="K86" i="36"/>
  <c r="Y86" i="1" s="1"/>
  <c r="K85" i="36"/>
  <c r="Y85" i="1" s="1"/>
  <c r="K84" i="36"/>
  <c r="Y84" i="1" s="1"/>
  <c r="K83" i="36"/>
  <c r="Y83" i="1" s="1"/>
  <c r="K82" i="36"/>
  <c r="Y82" i="1" s="1"/>
  <c r="K81" i="36"/>
  <c r="Y81" i="1" s="1"/>
  <c r="K80" i="36"/>
  <c r="Y80" i="1" s="1"/>
  <c r="K79" i="36"/>
  <c r="Y79" i="1" s="1"/>
  <c r="K78" i="36"/>
  <c r="Y78" i="1" s="1"/>
  <c r="K76" i="36"/>
  <c r="Y76" i="1" s="1"/>
  <c r="K75" i="36"/>
  <c r="Y75" i="1" s="1"/>
  <c r="K73" i="36"/>
  <c r="K72" i="36"/>
  <c r="K71" i="36"/>
  <c r="K70" i="36"/>
  <c r="K68" i="36"/>
  <c r="Y68" i="1" s="1"/>
  <c r="K66" i="36"/>
  <c r="K65" i="36"/>
  <c r="K64" i="36"/>
  <c r="K62" i="36"/>
  <c r="Y62" i="1" s="1"/>
  <c r="K60" i="36"/>
  <c r="Y60" i="1" s="1"/>
  <c r="K59" i="36"/>
  <c r="Y59" i="1" s="1"/>
  <c r="K58" i="36"/>
  <c r="Y58" i="1" s="1"/>
  <c r="K57" i="36"/>
  <c r="Y57" i="1" s="1"/>
  <c r="K55" i="36"/>
  <c r="Y55" i="1" s="1"/>
  <c r="K53" i="36"/>
  <c r="Y53" i="1" s="1"/>
  <c r="K51" i="36"/>
  <c r="Y51" i="1" s="1"/>
  <c r="K50" i="36"/>
  <c r="Y50" i="1" s="1"/>
  <c r="K48" i="36"/>
  <c r="Y48" i="1" s="1"/>
  <c r="K47" i="36"/>
  <c r="Y47" i="1" s="1"/>
  <c r="K45" i="36"/>
  <c r="Y45" i="1" s="1"/>
  <c r="K44" i="36"/>
  <c r="Y44" i="1" s="1"/>
  <c r="K42" i="36"/>
  <c r="Y42" i="1" s="1"/>
  <c r="K41" i="36"/>
  <c r="Y41" i="1" s="1"/>
  <c r="K40" i="36"/>
  <c r="Y40" i="1" s="1"/>
  <c r="K38" i="36"/>
  <c r="Y38" i="1" s="1"/>
  <c r="K37" i="36"/>
  <c r="Y37" i="1" s="1"/>
  <c r="K35" i="36"/>
  <c r="Y35" i="1" s="1"/>
  <c r="K34" i="36"/>
  <c r="K32" i="36"/>
  <c r="Y32" i="1" s="1"/>
  <c r="K31" i="36"/>
  <c r="Y31" i="1" s="1"/>
  <c r="K30" i="36"/>
  <c r="Y30" i="1" s="1"/>
  <c r="K29" i="36"/>
  <c r="Y29" i="1" s="1"/>
  <c r="K28" i="36"/>
  <c r="Y28" i="1" s="1"/>
  <c r="K27" i="36"/>
  <c r="Y27" i="1" s="1"/>
  <c r="K25" i="36"/>
  <c r="K24" i="36"/>
  <c r="Y24" i="1" s="1"/>
  <c r="K23" i="36"/>
  <c r="Y23" i="1" s="1"/>
  <c r="K22" i="36"/>
  <c r="Y22" i="1" s="1"/>
  <c r="K20" i="36"/>
  <c r="Y20" i="1" s="1"/>
  <c r="K18" i="36"/>
  <c r="Y18" i="1" s="1"/>
  <c r="K17" i="36"/>
  <c r="Y17" i="1" s="1"/>
  <c r="K15" i="36"/>
  <c r="Y15" i="1" s="1"/>
  <c r="K14" i="36"/>
  <c r="K12" i="36"/>
  <c r="Y12" i="1" s="1"/>
  <c r="K11" i="36"/>
  <c r="Y11" i="1" s="1"/>
  <c r="K10" i="36"/>
  <c r="Y10" i="1" s="1"/>
  <c r="K9" i="36"/>
  <c r="Y9" i="1" s="1"/>
  <c r="K8" i="36"/>
  <c r="Y8" i="1" s="1"/>
  <c r="K88" i="22"/>
  <c r="K86" i="22"/>
  <c r="K85" i="22"/>
  <c r="K84" i="22"/>
  <c r="K83" i="22"/>
  <c r="K82" i="22"/>
  <c r="K81" i="22"/>
  <c r="K80" i="22"/>
  <c r="K79" i="22"/>
  <c r="K78" i="22"/>
  <c r="K76" i="22"/>
  <c r="K75" i="22"/>
  <c r="K73" i="22"/>
  <c r="W93" i="38" s="1"/>
  <c r="K72" i="22"/>
  <c r="W92" i="38" s="1"/>
  <c r="K71" i="22"/>
  <c r="W91" i="38" s="1"/>
  <c r="K70" i="22"/>
  <c r="W90" i="38" s="1"/>
  <c r="K68" i="22"/>
  <c r="K66" i="22"/>
  <c r="W71" i="38" s="1"/>
  <c r="K65" i="22"/>
  <c r="W70" i="38" s="1"/>
  <c r="K64" i="22"/>
  <c r="W69" i="38" s="1"/>
  <c r="K62" i="22"/>
  <c r="K60" i="22"/>
  <c r="K59" i="22"/>
  <c r="K58" i="22"/>
  <c r="K57" i="22"/>
  <c r="K55" i="22"/>
  <c r="K53" i="22"/>
  <c r="K51" i="22"/>
  <c r="K50" i="22"/>
  <c r="K48" i="22"/>
  <c r="K47" i="22"/>
  <c r="K45" i="22"/>
  <c r="K44" i="22"/>
  <c r="K42" i="22"/>
  <c r="K41" i="22"/>
  <c r="K40" i="22"/>
  <c r="K38" i="22"/>
  <c r="K37" i="22"/>
  <c r="K35" i="22"/>
  <c r="K34" i="22"/>
  <c r="W45" i="38" s="1"/>
  <c r="K32" i="22"/>
  <c r="K31" i="22"/>
  <c r="K30" i="22"/>
  <c r="K29" i="22"/>
  <c r="K28" i="22"/>
  <c r="K27" i="22"/>
  <c r="K25" i="22"/>
  <c r="W25" i="38" s="1"/>
  <c r="K24" i="22"/>
  <c r="K23" i="22"/>
  <c r="K22" i="22"/>
  <c r="K20" i="22"/>
  <c r="K18" i="22"/>
  <c r="K17" i="22"/>
  <c r="K15" i="22"/>
  <c r="K14" i="22"/>
  <c r="W5" i="38" s="1"/>
  <c r="K12" i="22"/>
  <c r="K11" i="22"/>
  <c r="K10" i="22"/>
  <c r="K9" i="22"/>
  <c r="K8" i="22"/>
  <c r="K88" i="21"/>
  <c r="K86" i="21"/>
  <c r="K85" i="21"/>
  <c r="K84" i="21"/>
  <c r="K83" i="21"/>
  <c r="K82" i="21"/>
  <c r="K81" i="21"/>
  <c r="K80" i="21"/>
  <c r="K79" i="21"/>
  <c r="K78" i="21"/>
  <c r="K76" i="21"/>
  <c r="K75" i="21"/>
  <c r="K73" i="21"/>
  <c r="V93" i="38" s="1"/>
  <c r="K72" i="21"/>
  <c r="V92" i="38" s="1"/>
  <c r="K71" i="21"/>
  <c r="V91" i="38" s="1"/>
  <c r="K70" i="21"/>
  <c r="V90" i="38" s="1"/>
  <c r="K68" i="21"/>
  <c r="K66" i="21"/>
  <c r="V71" i="38" s="1"/>
  <c r="K65" i="21"/>
  <c r="V70" i="38" s="1"/>
  <c r="K64" i="21"/>
  <c r="V69" i="38" s="1"/>
  <c r="K62" i="21"/>
  <c r="K60" i="21"/>
  <c r="K59" i="21"/>
  <c r="K58" i="21"/>
  <c r="K57" i="21"/>
  <c r="K55" i="21"/>
  <c r="K53" i="21"/>
  <c r="K51" i="21"/>
  <c r="K50" i="21"/>
  <c r="K48" i="21"/>
  <c r="K47" i="21"/>
  <c r="K45" i="21"/>
  <c r="K44" i="21"/>
  <c r="K42" i="21"/>
  <c r="K41" i="21"/>
  <c r="K40" i="21"/>
  <c r="K38" i="21"/>
  <c r="K37" i="21"/>
  <c r="K35" i="21"/>
  <c r="K34" i="21"/>
  <c r="V45" i="38" s="1"/>
  <c r="K32" i="21"/>
  <c r="K31" i="21"/>
  <c r="K30" i="21"/>
  <c r="K29" i="21"/>
  <c r="K28" i="21"/>
  <c r="K27" i="21"/>
  <c r="K25" i="21"/>
  <c r="V25" i="38" s="1"/>
  <c r="K24" i="21"/>
  <c r="K23" i="21"/>
  <c r="K22" i="21"/>
  <c r="K20" i="21"/>
  <c r="K18" i="21"/>
  <c r="K17" i="21"/>
  <c r="K15" i="21"/>
  <c r="K14" i="21"/>
  <c r="V5" i="38" s="1"/>
  <c r="K12" i="21"/>
  <c r="K11" i="21"/>
  <c r="K10" i="21"/>
  <c r="K9" i="21"/>
  <c r="K8" i="21"/>
  <c r="K88" i="20"/>
  <c r="K86" i="20"/>
  <c r="K85" i="20"/>
  <c r="K84" i="20"/>
  <c r="K83" i="20"/>
  <c r="K82" i="20"/>
  <c r="K81" i="20"/>
  <c r="K80" i="20"/>
  <c r="K79" i="20"/>
  <c r="K78" i="20"/>
  <c r="K76" i="20"/>
  <c r="K75" i="20"/>
  <c r="K73" i="20"/>
  <c r="U93" i="38" s="1"/>
  <c r="K72" i="20"/>
  <c r="U92" i="38" s="1"/>
  <c r="K71" i="20"/>
  <c r="U91" i="38" s="1"/>
  <c r="K70" i="20"/>
  <c r="U90" i="38" s="1"/>
  <c r="K68" i="20"/>
  <c r="K66" i="20"/>
  <c r="U71" i="38" s="1"/>
  <c r="K65" i="20"/>
  <c r="U70" i="38" s="1"/>
  <c r="K64" i="20"/>
  <c r="U69" i="38" s="1"/>
  <c r="K62" i="20"/>
  <c r="K60" i="20"/>
  <c r="K59" i="20"/>
  <c r="K58" i="20"/>
  <c r="K57" i="20"/>
  <c r="K55" i="20"/>
  <c r="K53" i="20"/>
  <c r="K51" i="20"/>
  <c r="K50" i="20"/>
  <c r="K48" i="20"/>
  <c r="K47" i="20"/>
  <c r="K45" i="20"/>
  <c r="K44" i="20"/>
  <c r="K42" i="20"/>
  <c r="K41" i="20"/>
  <c r="K40" i="20"/>
  <c r="K38" i="20"/>
  <c r="K37" i="20"/>
  <c r="K35" i="20"/>
  <c r="K34" i="20"/>
  <c r="U45" i="38" s="1"/>
  <c r="K32" i="20"/>
  <c r="K31" i="20"/>
  <c r="K30" i="20"/>
  <c r="K29" i="20"/>
  <c r="K28" i="20"/>
  <c r="K27" i="20"/>
  <c r="K25" i="20"/>
  <c r="U25" i="38" s="1"/>
  <c r="K24" i="20"/>
  <c r="K23" i="20"/>
  <c r="K22" i="20"/>
  <c r="K20" i="20"/>
  <c r="K18" i="20"/>
  <c r="K17" i="20"/>
  <c r="K15" i="20"/>
  <c r="K14" i="20"/>
  <c r="U5" i="38" s="1"/>
  <c r="K12" i="20"/>
  <c r="K11" i="20"/>
  <c r="K10" i="20"/>
  <c r="K9" i="20"/>
  <c r="K8" i="20"/>
  <c r="K88" i="19"/>
  <c r="K86" i="19"/>
  <c r="K85" i="19"/>
  <c r="K84" i="19"/>
  <c r="K83" i="19"/>
  <c r="K82" i="19"/>
  <c r="K81" i="19"/>
  <c r="K80" i="19"/>
  <c r="K79" i="19"/>
  <c r="K78" i="19"/>
  <c r="K76" i="19"/>
  <c r="K75" i="19"/>
  <c r="K73" i="19"/>
  <c r="T93" i="38" s="1"/>
  <c r="K72" i="19"/>
  <c r="T92" i="38" s="1"/>
  <c r="K71" i="19"/>
  <c r="T91" i="38" s="1"/>
  <c r="K70" i="19"/>
  <c r="T90" i="38" s="1"/>
  <c r="K68" i="19"/>
  <c r="K66" i="19"/>
  <c r="T71" i="38" s="1"/>
  <c r="K65" i="19"/>
  <c r="T70" i="38" s="1"/>
  <c r="K64" i="19"/>
  <c r="T69" i="38" s="1"/>
  <c r="K62" i="19"/>
  <c r="K60" i="19"/>
  <c r="K59" i="19"/>
  <c r="K58" i="19"/>
  <c r="K57" i="19"/>
  <c r="K55" i="19"/>
  <c r="K53" i="19"/>
  <c r="K51" i="19"/>
  <c r="K50" i="19"/>
  <c r="K48" i="19"/>
  <c r="K47" i="19"/>
  <c r="K45" i="19"/>
  <c r="K44" i="19"/>
  <c r="K42" i="19"/>
  <c r="K41" i="19"/>
  <c r="K40" i="19"/>
  <c r="K38" i="19"/>
  <c r="K37" i="19"/>
  <c r="K35" i="19"/>
  <c r="K34" i="19"/>
  <c r="T45" i="38" s="1"/>
  <c r="K32" i="19"/>
  <c r="K31" i="19"/>
  <c r="K30" i="19"/>
  <c r="K29" i="19"/>
  <c r="K28" i="19"/>
  <c r="K27" i="19"/>
  <c r="K25" i="19"/>
  <c r="T25" i="38" s="1"/>
  <c r="K24" i="19"/>
  <c r="K23" i="19"/>
  <c r="K22" i="19"/>
  <c r="K20" i="19"/>
  <c r="K18" i="19"/>
  <c r="K17" i="19"/>
  <c r="K15" i="19"/>
  <c r="K14" i="19"/>
  <c r="T5" i="38" s="1"/>
  <c r="K12" i="19"/>
  <c r="K11" i="19"/>
  <c r="K10" i="19"/>
  <c r="K9" i="19"/>
  <c r="K8" i="19"/>
  <c r="X90" i="38" l="1"/>
  <c r="Y70" i="1"/>
  <c r="Y90" i="38"/>
  <c r="Z70" i="1"/>
  <c r="X5" i="38"/>
  <c r="Y14" i="1"/>
  <c r="X25" i="38"/>
  <c r="Y25" i="1"/>
  <c r="X70" i="38"/>
  <c r="Y65" i="1"/>
  <c r="X91" i="38"/>
  <c r="Y71" i="1"/>
  <c r="Y5" i="38"/>
  <c r="Z14" i="1"/>
  <c r="Y25" i="38"/>
  <c r="Z25" i="1"/>
  <c r="Y70" i="38"/>
  <c r="Z65" i="1"/>
  <c r="Y91" i="38"/>
  <c r="Z71" i="1"/>
  <c r="X45" i="38"/>
  <c r="Y34" i="1"/>
  <c r="X69" i="38"/>
  <c r="Y64" i="1"/>
  <c r="Z64" i="1"/>
  <c r="Y69" i="38"/>
  <c r="X71" i="38"/>
  <c r="Y66" i="1"/>
  <c r="X92" i="38"/>
  <c r="Y72" i="1"/>
  <c r="Y71" i="38"/>
  <c r="Z66" i="1"/>
  <c r="Y92" i="38"/>
  <c r="Z72" i="1"/>
  <c r="Y45" i="38"/>
  <c r="Z34" i="1"/>
  <c r="X93" i="38"/>
  <c r="Y73" i="1"/>
  <c r="Y93" i="38"/>
  <c r="Z73" i="1"/>
  <c r="K88" i="17"/>
  <c r="K86" i="17"/>
  <c r="K85" i="17"/>
  <c r="K84" i="17"/>
  <c r="K83" i="17"/>
  <c r="K82" i="17"/>
  <c r="K81" i="17"/>
  <c r="K80" i="17"/>
  <c r="K79" i="17"/>
  <c r="K78" i="17"/>
  <c r="K76" i="17"/>
  <c r="K75" i="17"/>
  <c r="K73" i="17"/>
  <c r="R93" i="38" s="1"/>
  <c r="K72" i="17"/>
  <c r="R92" i="38" s="1"/>
  <c r="K71" i="17"/>
  <c r="R91" i="38" s="1"/>
  <c r="K70" i="17"/>
  <c r="R90" i="38" s="1"/>
  <c r="K68" i="17"/>
  <c r="K66" i="17"/>
  <c r="R71" i="38" s="1"/>
  <c r="K65" i="17"/>
  <c r="R70" i="38" s="1"/>
  <c r="K64" i="17"/>
  <c r="R69" i="38" s="1"/>
  <c r="K62" i="17"/>
  <c r="K60" i="17"/>
  <c r="K59" i="17"/>
  <c r="K58" i="17"/>
  <c r="K57" i="17"/>
  <c r="K55" i="17"/>
  <c r="K53" i="17"/>
  <c r="K51" i="17"/>
  <c r="K50" i="17"/>
  <c r="K48" i="17"/>
  <c r="K47" i="17"/>
  <c r="K45" i="17"/>
  <c r="K44" i="17"/>
  <c r="K42" i="17"/>
  <c r="K41" i="17"/>
  <c r="K40" i="17"/>
  <c r="K38" i="17"/>
  <c r="K37" i="17"/>
  <c r="K35" i="17"/>
  <c r="K34" i="17"/>
  <c r="R45" i="38" s="1"/>
  <c r="K32" i="17"/>
  <c r="K31" i="17"/>
  <c r="K30" i="17"/>
  <c r="K29" i="17"/>
  <c r="K28" i="17"/>
  <c r="K27" i="17"/>
  <c r="K25" i="17"/>
  <c r="R25" i="38" s="1"/>
  <c r="K24" i="17"/>
  <c r="K23" i="17"/>
  <c r="K22" i="17"/>
  <c r="K20" i="17"/>
  <c r="K18" i="17"/>
  <c r="K17" i="17"/>
  <c r="K15" i="17"/>
  <c r="K14" i="17"/>
  <c r="R5" i="38" s="1"/>
  <c r="K12" i="17"/>
  <c r="K11" i="17"/>
  <c r="K10" i="17"/>
  <c r="K9" i="17"/>
  <c r="K8" i="17"/>
  <c r="K88" i="16"/>
  <c r="K86" i="16"/>
  <c r="K85" i="16"/>
  <c r="K84" i="16"/>
  <c r="K83" i="16"/>
  <c r="K82" i="16"/>
  <c r="K81" i="16"/>
  <c r="K80" i="16"/>
  <c r="K79" i="16"/>
  <c r="K78" i="16"/>
  <c r="K76" i="16"/>
  <c r="K75" i="16"/>
  <c r="K73" i="16"/>
  <c r="Q93" i="38" s="1"/>
  <c r="K72" i="16"/>
  <c r="Q92" i="38" s="1"/>
  <c r="K71" i="16"/>
  <c r="Q91" i="38" s="1"/>
  <c r="K70" i="16"/>
  <c r="Q90" i="38" s="1"/>
  <c r="K68" i="16"/>
  <c r="K66" i="16"/>
  <c r="Q71" i="38" s="1"/>
  <c r="K65" i="16"/>
  <c r="Q70" i="38" s="1"/>
  <c r="K64" i="16"/>
  <c r="Q69" i="38" s="1"/>
  <c r="K62" i="16"/>
  <c r="K60" i="16"/>
  <c r="K59" i="16"/>
  <c r="K58" i="16"/>
  <c r="K57" i="16"/>
  <c r="K55" i="16"/>
  <c r="K53" i="16"/>
  <c r="K51" i="16"/>
  <c r="K50" i="16"/>
  <c r="K48" i="16"/>
  <c r="K47" i="16"/>
  <c r="K45" i="16"/>
  <c r="K44" i="16"/>
  <c r="K42" i="16"/>
  <c r="K41" i="16"/>
  <c r="K40" i="16"/>
  <c r="K38" i="16"/>
  <c r="K37" i="16"/>
  <c r="K35" i="16"/>
  <c r="K34" i="16"/>
  <c r="Q45" i="38" s="1"/>
  <c r="K32" i="16"/>
  <c r="K31" i="16"/>
  <c r="K30" i="16"/>
  <c r="K29" i="16"/>
  <c r="K28" i="16"/>
  <c r="K27" i="16"/>
  <c r="K25" i="16"/>
  <c r="Q25" i="38" s="1"/>
  <c r="K24" i="16"/>
  <c r="K23" i="16"/>
  <c r="K22" i="16"/>
  <c r="K20" i="16"/>
  <c r="K18" i="16"/>
  <c r="K17" i="16"/>
  <c r="K15" i="16"/>
  <c r="K14" i="16"/>
  <c r="Q5" i="38" s="1"/>
  <c r="K12" i="16"/>
  <c r="K11" i="16"/>
  <c r="K10" i="16"/>
  <c r="K9" i="16"/>
  <c r="K8" i="16"/>
  <c r="K88" i="15"/>
  <c r="K86" i="15"/>
  <c r="K85" i="15"/>
  <c r="K84" i="15"/>
  <c r="K83" i="15"/>
  <c r="K82" i="15"/>
  <c r="K81" i="15"/>
  <c r="K80" i="15"/>
  <c r="K79" i="15"/>
  <c r="K78" i="15"/>
  <c r="K76" i="15"/>
  <c r="K75" i="15"/>
  <c r="K73" i="15"/>
  <c r="P93" i="38" s="1"/>
  <c r="K72" i="15"/>
  <c r="P92" i="38" s="1"/>
  <c r="K71" i="15"/>
  <c r="P91" i="38" s="1"/>
  <c r="K70" i="15"/>
  <c r="P90" i="38" s="1"/>
  <c r="K68" i="15"/>
  <c r="K66" i="15"/>
  <c r="P71" i="38" s="1"/>
  <c r="K65" i="15"/>
  <c r="P70" i="38" s="1"/>
  <c r="K64" i="15"/>
  <c r="P69" i="38" s="1"/>
  <c r="K62" i="15"/>
  <c r="K60" i="15"/>
  <c r="K59" i="15"/>
  <c r="K58" i="15"/>
  <c r="K57" i="15"/>
  <c r="K55" i="15"/>
  <c r="K53" i="15"/>
  <c r="K51" i="15"/>
  <c r="K50" i="15"/>
  <c r="K48" i="15"/>
  <c r="K47" i="15"/>
  <c r="K45" i="15"/>
  <c r="K44" i="15"/>
  <c r="K42" i="15"/>
  <c r="K41" i="15"/>
  <c r="K40" i="15"/>
  <c r="K38" i="15"/>
  <c r="K37" i="15"/>
  <c r="K35" i="15"/>
  <c r="K34" i="15"/>
  <c r="P45" i="38" s="1"/>
  <c r="K32" i="15"/>
  <c r="K31" i="15"/>
  <c r="K30" i="15"/>
  <c r="K29" i="15"/>
  <c r="K28" i="15"/>
  <c r="K27" i="15"/>
  <c r="K25" i="15"/>
  <c r="P25" i="38" s="1"/>
  <c r="K24" i="15"/>
  <c r="K23" i="15"/>
  <c r="K22" i="15"/>
  <c r="K20" i="15"/>
  <c r="K18" i="15"/>
  <c r="K17" i="15"/>
  <c r="K15" i="15"/>
  <c r="K14" i="15"/>
  <c r="P5" i="38" s="1"/>
  <c r="K12" i="15"/>
  <c r="K11" i="15"/>
  <c r="K10" i="15"/>
  <c r="K9" i="15"/>
  <c r="K8" i="15"/>
  <c r="K88" i="14"/>
  <c r="K86" i="14"/>
  <c r="K85" i="14"/>
  <c r="K84" i="14"/>
  <c r="K83" i="14"/>
  <c r="K82" i="14"/>
  <c r="K81" i="14"/>
  <c r="K80" i="14"/>
  <c r="K79" i="14"/>
  <c r="K78" i="14"/>
  <c r="K76" i="14"/>
  <c r="K75" i="14"/>
  <c r="K73" i="14"/>
  <c r="O93" i="38" s="1"/>
  <c r="K72" i="14"/>
  <c r="O92" i="38" s="1"/>
  <c r="K71" i="14"/>
  <c r="O91" i="38" s="1"/>
  <c r="K70" i="14"/>
  <c r="O90" i="38" s="1"/>
  <c r="K68" i="14"/>
  <c r="K66" i="14"/>
  <c r="O71" i="38" s="1"/>
  <c r="K65" i="14"/>
  <c r="O70" i="38" s="1"/>
  <c r="K64" i="14"/>
  <c r="O69" i="38" s="1"/>
  <c r="K62" i="14"/>
  <c r="K60" i="14"/>
  <c r="K59" i="14"/>
  <c r="K58" i="14"/>
  <c r="K57" i="14"/>
  <c r="K55" i="14"/>
  <c r="K53" i="14"/>
  <c r="K51" i="14"/>
  <c r="K50" i="14"/>
  <c r="K48" i="14"/>
  <c r="K47" i="14"/>
  <c r="K45" i="14"/>
  <c r="K44" i="14"/>
  <c r="K42" i="14"/>
  <c r="K41" i="14"/>
  <c r="K40" i="14"/>
  <c r="K38" i="14"/>
  <c r="K37" i="14"/>
  <c r="K35" i="14"/>
  <c r="K34" i="14"/>
  <c r="O45" i="38" s="1"/>
  <c r="K32" i="14"/>
  <c r="K31" i="14"/>
  <c r="K30" i="14"/>
  <c r="K29" i="14"/>
  <c r="K28" i="14"/>
  <c r="K27" i="14"/>
  <c r="K25" i="14"/>
  <c r="O25" i="38" s="1"/>
  <c r="K24" i="14"/>
  <c r="K23" i="14"/>
  <c r="K22" i="14"/>
  <c r="K20" i="14"/>
  <c r="K18" i="14"/>
  <c r="K17" i="14"/>
  <c r="K15" i="14"/>
  <c r="K14" i="14"/>
  <c r="O5" i="38" s="1"/>
  <c r="K12" i="14"/>
  <c r="K11" i="14"/>
  <c r="K10" i="14"/>
  <c r="K9" i="14"/>
  <c r="K8" i="14"/>
  <c r="K88" i="13"/>
  <c r="K86" i="13"/>
  <c r="K85" i="13"/>
  <c r="K84" i="13"/>
  <c r="K83" i="13"/>
  <c r="K82" i="13"/>
  <c r="K81" i="13"/>
  <c r="K80" i="13"/>
  <c r="K79" i="13"/>
  <c r="K78" i="13"/>
  <c r="K76" i="13"/>
  <c r="K75" i="13"/>
  <c r="K73" i="13"/>
  <c r="N93" i="38" s="1"/>
  <c r="K72" i="13"/>
  <c r="N92" i="38" s="1"/>
  <c r="K71" i="13"/>
  <c r="N91" i="38" s="1"/>
  <c r="K70" i="13"/>
  <c r="N90" i="38" s="1"/>
  <c r="K68" i="13"/>
  <c r="K66" i="13"/>
  <c r="N71" i="38" s="1"/>
  <c r="K65" i="13"/>
  <c r="N70" i="38" s="1"/>
  <c r="K64" i="13"/>
  <c r="N69" i="38" s="1"/>
  <c r="K62" i="13"/>
  <c r="K60" i="13"/>
  <c r="K59" i="13"/>
  <c r="K58" i="13"/>
  <c r="K57" i="13"/>
  <c r="K55" i="13"/>
  <c r="K53" i="13"/>
  <c r="K51" i="13"/>
  <c r="K50" i="13"/>
  <c r="K48" i="13"/>
  <c r="K47" i="13"/>
  <c r="K45" i="13"/>
  <c r="K44" i="13"/>
  <c r="K42" i="13"/>
  <c r="K41" i="13"/>
  <c r="K40" i="13"/>
  <c r="K38" i="13"/>
  <c r="K37" i="13"/>
  <c r="K35" i="13"/>
  <c r="K34" i="13"/>
  <c r="N45" i="38" s="1"/>
  <c r="K32" i="13"/>
  <c r="K31" i="13"/>
  <c r="K30" i="13"/>
  <c r="K29" i="13"/>
  <c r="K28" i="13"/>
  <c r="K27" i="13"/>
  <c r="K25" i="13"/>
  <c r="N25" i="38" s="1"/>
  <c r="K24" i="13"/>
  <c r="K23" i="13"/>
  <c r="K22" i="13"/>
  <c r="K20" i="13"/>
  <c r="K18" i="13"/>
  <c r="K17" i="13"/>
  <c r="K15" i="13"/>
  <c r="K14" i="13"/>
  <c r="N5" i="38" s="1"/>
  <c r="K12" i="13"/>
  <c r="K11" i="13"/>
  <c r="K10" i="13"/>
  <c r="K9" i="13"/>
  <c r="K8" i="13"/>
  <c r="K88" i="12"/>
  <c r="K86" i="12"/>
  <c r="K85" i="12"/>
  <c r="K84" i="12"/>
  <c r="K83" i="12"/>
  <c r="K82" i="12"/>
  <c r="K81" i="12"/>
  <c r="K80" i="12"/>
  <c r="K79" i="12"/>
  <c r="K78" i="12"/>
  <c r="K76" i="12"/>
  <c r="K75" i="12"/>
  <c r="K73" i="12"/>
  <c r="M93" i="38" s="1"/>
  <c r="K72" i="12"/>
  <c r="M92" i="38" s="1"/>
  <c r="K71" i="12"/>
  <c r="M91" i="38" s="1"/>
  <c r="K70" i="12"/>
  <c r="M90" i="38" s="1"/>
  <c r="K68" i="12"/>
  <c r="K66" i="12"/>
  <c r="M71" i="38" s="1"/>
  <c r="K65" i="12"/>
  <c r="M70" i="38" s="1"/>
  <c r="K64" i="12"/>
  <c r="M69" i="38" s="1"/>
  <c r="K62" i="12"/>
  <c r="K60" i="12"/>
  <c r="K59" i="12"/>
  <c r="K58" i="12"/>
  <c r="K57" i="12"/>
  <c r="K55" i="12"/>
  <c r="K53" i="12"/>
  <c r="K51" i="12"/>
  <c r="K50" i="12"/>
  <c r="K48" i="12"/>
  <c r="K47" i="12"/>
  <c r="K45" i="12"/>
  <c r="K44" i="12"/>
  <c r="K42" i="12"/>
  <c r="K41" i="12"/>
  <c r="K40" i="12"/>
  <c r="K38" i="12"/>
  <c r="K37" i="12"/>
  <c r="K35" i="12"/>
  <c r="K34" i="12"/>
  <c r="M45" i="38" s="1"/>
  <c r="K32" i="12"/>
  <c r="K31" i="12"/>
  <c r="K30" i="12"/>
  <c r="K29" i="12"/>
  <c r="K28" i="12"/>
  <c r="K27" i="12"/>
  <c r="K25" i="12"/>
  <c r="M25" i="38" s="1"/>
  <c r="K24" i="12"/>
  <c r="K23" i="12"/>
  <c r="K22" i="12"/>
  <c r="K20" i="12"/>
  <c r="K18" i="12"/>
  <c r="K17" i="12"/>
  <c r="K15" i="12"/>
  <c r="K14" i="12"/>
  <c r="M5" i="38" s="1"/>
  <c r="K12" i="12"/>
  <c r="K11" i="12"/>
  <c r="K10" i="12"/>
  <c r="K9" i="12"/>
  <c r="K8" i="12"/>
  <c r="K88" i="11"/>
  <c r="K86" i="11"/>
  <c r="K85" i="11"/>
  <c r="K84" i="11"/>
  <c r="K83" i="11"/>
  <c r="K82" i="11"/>
  <c r="K81" i="11"/>
  <c r="K80" i="11"/>
  <c r="K79" i="11"/>
  <c r="K78" i="11"/>
  <c r="K76" i="11"/>
  <c r="K75" i="11"/>
  <c r="K73" i="11"/>
  <c r="L93" i="38" s="1"/>
  <c r="K72" i="11"/>
  <c r="L92" i="38" s="1"/>
  <c r="K71" i="11"/>
  <c r="L91" i="38" s="1"/>
  <c r="K70" i="11"/>
  <c r="L90" i="38" s="1"/>
  <c r="K68" i="11"/>
  <c r="K66" i="11"/>
  <c r="L71" i="38" s="1"/>
  <c r="K65" i="11"/>
  <c r="L70" i="38" s="1"/>
  <c r="K64" i="11"/>
  <c r="L69" i="38" s="1"/>
  <c r="K62" i="11"/>
  <c r="K60" i="11"/>
  <c r="K59" i="11"/>
  <c r="K58" i="11"/>
  <c r="K57" i="11"/>
  <c r="K55" i="11"/>
  <c r="K53" i="11"/>
  <c r="K51" i="11"/>
  <c r="K50" i="11"/>
  <c r="K48" i="11"/>
  <c r="K47" i="11"/>
  <c r="K45" i="11"/>
  <c r="K44" i="11"/>
  <c r="K42" i="11"/>
  <c r="K41" i="11"/>
  <c r="K40" i="11"/>
  <c r="K38" i="11"/>
  <c r="K37" i="11"/>
  <c r="K35" i="11"/>
  <c r="K34" i="11"/>
  <c r="L45" i="38" s="1"/>
  <c r="K32" i="11"/>
  <c r="K31" i="11"/>
  <c r="K30" i="11"/>
  <c r="K29" i="11"/>
  <c r="K28" i="11"/>
  <c r="K27" i="11"/>
  <c r="K25" i="11"/>
  <c r="L25" i="38" s="1"/>
  <c r="K24" i="11"/>
  <c r="K23" i="11"/>
  <c r="K22" i="11"/>
  <c r="K20" i="11"/>
  <c r="K18" i="11"/>
  <c r="K17" i="11"/>
  <c r="K15" i="11"/>
  <c r="K14" i="11"/>
  <c r="L5" i="38" s="1"/>
  <c r="K12" i="11"/>
  <c r="K11" i="11"/>
  <c r="K10" i="11"/>
  <c r="K9" i="11"/>
  <c r="K8" i="11"/>
  <c r="K88" i="10" l="1"/>
  <c r="K86" i="10"/>
  <c r="K85" i="10"/>
  <c r="K84" i="10"/>
  <c r="K83" i="10"/>
  <c r="K82" i="10"/>
  <c r="K81" i="10"/>
  <c r="K80" i="10"/>
  <c r="K79" i="10"/>
  <c r="K78" i="10"/>
  <c r="K76" i="10"/>
  <c r="K75" i="10"/>
  <c r="K73" i="10"/>
  <c r="K93" i="38" s="1"/>
  <c r="K72" i="10"/>
  <c r="K92" i="38" s="1"/>
  <c r="K71" i="10"/>
  <c r="K91" i="38" s="1"/>
  <c r="K70" i="10"/>
  <c r="K90" i="38" s="1"/>
  <c r="K68" i="10"/>
  <c r="K66" i="10"/>
  <c r="K71" i="38" s="1"/>
  <c r="K65" i="10"/>
  <c r="K70" i="38" s="1"/>
  <c r="K64" i="10"/>
  <c r="K69" i="38" s="1"/>
  <c r="K62" i="10"/>
  <c r="K60" i="10"/>
  <c r="K59" i="10"/>
  <c r="K58" i="10"/>
  <c r="K57" i="10"/>
  <c r="K55" i="10"/>
  <c r="K53" i="10"/>
  <c r="K51" i="10"/>
  <c r="K50" i="10"/>
  <c r="K48" i="10"/>
  <c r="K47" i="10"/>
  <c r="K45" i="10"/>
  <c r="K44" i="10"/>
  <c r="K42" i="10"/>
  <c r="K41" i="10"/>
  <c r="K40" i="10"/>
  <c r="K38" i="10"/>
  <c r="K37" i="10"/>
  <c r="K35" i="10"/>
  <c r="K34" i="10"/>
  <c r="K45" i="38" s="1"/>
  <c r="K32" i="10"/>
  <c r="K31" i="10"/>
  <c r="K30" i="10"/>
  <c r="K29" i="10"/>
  <c r="K28" i="10"/>
  <c r="K27" i="10"/>
  <c r="K25" i="10"/>
  <c r="K25" i="38" s="1"/>
  <c r="K24" i="10"/>
  <c r="K23" i="10"/>
  <c r="K22" i="10"/>
  <c r="K20" i="10"/>
  <c r="K18" i="10"/>
  <c r="K17" i="10"/>
  <c r="K15" i="10"/>
  <c r="K14" i="10"/>
  <c r="K5" i="38" s="1"/>
  <c r="K12" i="10"/>
  <c r="K11" i="10"/>
  <c r="K10" i="10"/>
  <c r="K9" i="10"/>
  <c r="K8" i="10"/>
  <c r="K88" i="9"/>
  <c r="K86" i="9"/>
  <c r="K85" i="9"/>
  <c r="K84" i="9"/>
  <c r="K83" i="9"/>
  <c r="K82" i="9"/>
  <c r="K81" i="9"/>
  <c r="K80" i="9"/>
  <c r="K79" i="9"/>
  <c r="K78" i="9"/>
  <c r="K76" i="9"/>
  <c r="K75" i="9"/>
  <c r="K73" i="9"/>
  <c r="J93" i="38" s="1"/>
  <c r="K72" i="9"/>
  <c r="J92" i="38" s="1"/>
  <c r="K71" i="9"/>
  <c r="J91" i="38" s="1"/>
  <c r="K70" i="9"/>
  <c r="J90" i="38" s="1"/>
  <c r="K68" i="9"/>
  <c r="K66" i="9"/>
  <c r="J71" i="38" s="1"/>
  <c r="K65" i="9"/>
  <c r="J70" i="38" s="1"/>
  <c r="K64" i="9"/>
  <c r="J69" i="38" s="1"/>
  <c r="K62" i="9"/>
  <c r="K60" i="9"/>
  <c r="K59" i="9"/>
  <c r="K58" i="9"/>
  <c r="K57" i="9"/>
  <c r="K55" i="9"/>
  <c r="K53" i="9"/>
  <c r="K51" i="9"/>
  <c r="K50" i="9"/>
  <c r="K48" i="9"/>
  <c r="K47" i="9"/>
  <c r="K45" i="9"/>
  <c r="K44" i="9"/>
  <c r="K42" i="9"/>
  <c r="K41" i="9"/>
  <c r="K40" i="9"/>
  <c r="K38" i="9"/>
  <c r="K37" i="9"/>
  <c r="K35" i="9"/>
  <c r="K34" i="9"/>
  <c r="J45" i="38" s="1"/>
  <c r="K32" i="9"/>
  <c r="K31" i="9"/>
  <c r="K30" i="9"/>
  <c r="K29" i="9"/>
  <c r="K28" i="9"/>
  <c r="K27" i="9"/>
  <c r="K25" i="9"/>
  <c r="J25" i="38" s="1"/>
  <c r="K24" i="9"/>
  <c r="K23" i="9"/>
  <c r="K22" i="9"/>
  <c r="K20" i="9"/>
  <c r="K18" i="9"/>
  <c r="K17" i="9"/>
  <c r="K15" i="9"/>
  <c r="K14" i="9"/>
  <c r="J5" i="38" s="1"/>
  <c r="K12" i="9"/>
  <c r="K11" i="9"/>
  <c r="K10" i="9"/>
  <c r="K9" i="9"/>
  <c r="K8" i="9"/>
  <c r="K88" i="7"/>
  <c r="K86" i="7"/>
  <c r="K85" i="7"/>
  <c r="K84" i="7"/>
  <c r="K83" i="7"/>
  <c r="K82" i="7"/>
  <c r="K81" i="7"/>
  <c r="K80" i="7"/>
  <c r="K79" i="7"/>
  <c r="K78" i="7"/>
  <c r="K76" i="7"/>
  <c r="K75" i="7"/>
  <c r="K73" i="7"/>
  <c r="H93" i="38" s="1"/>
  <c r="K72" i="7"/>
  <c r="H92" i="38" s="1"/>
  <c r="K71" i="7"/>
  <c r="H91" i="38" s="1"/>
  <c r="K70" i="7"/>
  <c r="H90" i="38" s="1"/>
  <c r="K68" i="7"/>
  <c r="K66" i="7"/>
  <c r="H71" i="38" s="1"/>
  <c r="K65" i="7"/>
  <c r="H70" i="38" s="1"/>
  <c r="K64" i="7"/>
  <c r="H69" i="38" s="1"/>
  <c r="K62" i="7"/>
  <c r="K60" i="7"/>
  <c r="K59" i="7"/>
  <c r="K58" i="7"/>
  <c r="K57" i="7"/>
  <c r="K55" i="7"/>
  <c r="K53" i="7"/>
  <c r="K51" i="7"/>
  <c r="K50" i="7"/>
  <c r="K48" i="7"/>
  <c r="K47" i="7"/>
  <c r="K45" i="7"/>
  <c r="K44" i="7"/>
  <c r="K42" i="7"/>
  <c r="K41" i="7"/>
  <c r="K40" i="7"/>
  <c r="K38" i="7"/>
  <c r="K37" i="7"/>
  <c r="K35" i="7"/>
  <c r="K34" i="7"/>
  <c r="H45" i="38" s="1"/>
  <c r="K32" i="7"/>
  <c r="K31" i="7"/>
  <c r="K30" i="7"/>
  <c r="K29" i="7"/>
  <c r="K28" i="7"/>
  <c r="K27" i="7"/>
  <c r="K25" i="7"/>
  <c r="H25" i="38" s="1"/>
  <c r="K24" i="7"/>
  <c r="K23" i="7"/>
  <c r="K22" i="7"/>
  <c r="K20" i="7"/>
  <c r="K18" i="7"/>
  <c r="K17" i="7"/>
  <c r="K15" i="7"/>
  <c r="K14" i="7"/>
  <c r="H5" i="38" s="1"/>
  <c r="K12" i="7"/>
  <c r="K11" i="7"/>
  <c r="K10" i="7"/>
  <c r="K9" i="7"/>
  <c r="K8" i="7"/>
  <c r="K88" i="6"/>
  <c r="K86" i="6"/>
  <c r="K85" i="6"/>
  <c r="K84" i="6"/>
  <c r="K83" i="6"/>
  <c r="K82" i="6"/>
  <c r="K81" i="6"/>
  <c r="K80" i="6"/>
  <c r="K79" i="6"/>
  <c r="K78" i="6"/>
  <c r="K76" i="6"/>
  <c r="K75" i="6"/>
  <c r="K73" i="6"/>
  <c r="G93" i="38" s="1"/>
  <c r="K72" i="6"/>
  <c r="G92" i="38" s="1"/>
  <c r="K71" i="6"/>
  <c r="G91" i="38" s="1"/>
  <c r="K70" i="6"/>
  <c r="G90" i="38" s="1"/>
  <c r="K68" i="6"/>
  <c r="K66" i="6"/>
  <c r="G71" i="38" s="1"/>
  <c r="K65" i="6"/>
  <c r="G70" i="38" s="1"/>
  <c r="K64" i="6"/>
  <c r="G69" i="38" s="1"/>
  <c r="K62" i="6"/>
  <c r="K60" i="6"/>
  <c r="K59" i="6"/>
  <c r="K58" i="6"/>
  <c r="K57" i="6"/>
  <c r="K55" i="6"/>
  <c r="K53" i="6"/>
  <c r="K51" i="6"/>
  <c r="K50" i="6"/>
  <c r="K48" i="6"/>
  <c r="K47" i="6"/>
  <c r="K45" i="6"/>
  <c r="K44" i="6"/>
  <c r="K42" i="6"/>
  <c r="K41" i="6"/>
  <c r="K40" i="6"/>
  <c r="K38" i="6"/>
  <c r="K37" i="6"/>
  <c r="K35" i="6"/>
  <c r="K34" i="6"/>
  <c r="G45" i="38" s="1"/>
  <c r="K32" i="6"/>
  <c r="K31" i="6"/>
  <c r="K30" i="6"/>
  <c r="K29" i="6"/>
  <c r="K28" i="6"/>
  <c r="K27" i="6"/>
  <c r="K25" i="6"/>
  <c r="G25" i="38" s="1"/>
  <c r="K24" i="6"/>
  <c r="K23" i="6"/>
  <c r="K22" i="6"/>
  <c r="K20" i="6"/>
  <c r="K18" i="6"/>
  <c r="K17" i="6"/>
  <c r="K15" i="6"/>
  <c r="K14" i="6"/>
  <c r="G5" i="38" s="1"/>
  <c r="K12" i="6"/>
  <c r="K11" i="6"/>
  <c r="K10" i="6"/>
  <c r="K9" i="6"/>
  <c r="K8" i="6"/>
  <c r="K88" i="5"/>
  <c r="K86" i="5"/>
  <c r="K85" i="5"/>
  <c r="K84" i="5"/>
  <c r="K83" i="5"/>
  <c r="K82" i="5"/>
  <c r="K81" i="5"/>
  <c r="K80" i="5"/>
  <c r="K79" i="5"/>
  <c r="K78" i="5"/>
  <c r="K76" i="5"/>
  <c r="K75" i="5"/>
  <c r="K73" i="5"/>
  <c r="F93" i="38" s="1"/>
  <c r="K72" i="5"/>
  <c r="F92" i="38" s="1"/>
  <c r="K71" i="5"/>
  <c r="F91" i="38" s="1"/>
  <c r="K70" i="5"/>
  <c r="F90" i="38" s="1"/>
  <c r="K68" i="5"/>
  <c r="K66" i="5"/>
  <c r="F71" i="38" s="1"/>
  <c r="K65" i="5"/>
  <c r="F70" i="38" s="1"/>
  <c r="K64" i="5"/>
  <c r="F69" i="38" s="1"/>
  <c r="K62" i="5"/>
  <c r="K60" i="5"/>
  <c r="K59" i="5"/>
  <c r="K58" i="5"/>
  <c r="K57" i="5"/>
  <c r="K55" i="5"/>
  <c r="K53" i="5"/>
  <c r="K51" i="5"/>
  <c r="K50" i="5"/>
  <c r="K48" i="5"/>
  <c r="K47" i="5"/>
  <c r="K45" i="5"/>
  <c r="K44" i="5"/>
  <c r="K42" i="5"/>
  <c r="K41" i="5"/>
  <c r="K40" i="5"/>
  <c r="K38" i="5"/>
  <c r="K37" i="5"/>
  <c r="K35" i="5"/>
  <c r="K34" i="5"/>
  <c r="F45" i="38" s="1"/>
  <c r="K32" i="5"/>
  <c r="K31" i="5"/>
  <c r="K30" i="5"/>
  <c r="K29" i="5"/>
  <c r="K28" i="5"/>
  <c r="K27" i="5"/>
  <c r="K25" i="5"/>
  <c r="F25" i="38" s="1"/>
  <c r="K24" i="5"/>
  <c r="K23" i="5"/>
  <c r="K22" i="5"/>
  <c r="K20" i="5"/>
  <c r="K18" i="5"/>
  <c r="K17" i="5"/>
  <c r="K15" i="5"/>
  <c r="K14" i="5"/>
  <c r="F5" i="38" s="1"/>
  <c r="K12" i="5"/>
  <c r="K11" i="5"/>
  <c r="K10" i="5"/>
  <c r="K9" i="5"/>
  <c r="K8" i="5"/>
  <c r="K88" i="4"/>
  <c r="K86" i="4"/>
  <c r="K85" i="4"/>
  <c r="K84" i="4"/>
  <c r="K83" i="4"/>
  <c r="K82" i="4"/>
  <c r="K81" i="4"/>
  <c r="K80" i="4"/>
  <c r="K79" i="4"/>
  <c r="K78" i="4"/>
  <c r="K76" i="4"/>
  <c r="K75" i="4"/>
  <c r="K73" i="4"/>
  <c r="E93" i="38" s="1"/>
  <c r="K72" i="4"/>
  <c r="E92" i="38" s="1"/>
  <c r="K71" i="4"/>
  <c r="E91" i="38" s="1"/>
  <c r="K70" i="4"/>
  <c r="E90" i="38" s="1"/>
  <c r="K68" i="4"/>
  <c r="K66" i="4"/>
  <c r="E71" i="38" s="1"/>
  <c r="K65" i="4"/>
  <c r="E70" i="38" s="1"/>
  <c r="K64" i="4"/>
  <c r="E69" i="38" s="1"/>
  <c r="K62" i="4"/>
  <c r="K60" i="4"/>
  <c r="K59" i="4"/>
  <c r="K58" i="4"/>
  <c r="K57" i="4"/>
  <c r="K55" i="4"/>
  <c r="K53" i="4"/>
  <c r="K51" i="4"/>
  <c r="K50" i="4"/>
  <c r="K48" i="4"/>
  <c r="K47" i="4"/>
  <c r="K45" i="4"/>
  <c r="K44" i="4"/>
  <c r="K42" i="4"/>
  <c r="K41" i="4"/>
  <c r="K40" i="4"/>
  <c r="K38" i="4"/>
  <c r="K37" i="4"/>
  <c r="K35" i="4"/>
  <c r="K34" i="4"/>
  <c r="E45" i="38" s="1"/>
  <c r="K32" i="4"/>
  <c r="K31" i="4"/>
  <c r="K30" i="4"/>
  <c r="K29" i="4"/>
  <c r="K28" i="4"/>
  <c r="K27" i="4"/>
  <c r="K25" i="4"/>
  <c r="E25" i="38" s="1"/>
  <c r="K24" i="4"/>
  <c r="K23" i="4"/>
  <c r="K22" i="4"/>
  <c r="K20" i="4"/>
  <c r="K18" i="4"/>
  <c r="K17" i="4"/>
  <c r="K15" i="4"/>
  <c r="K14" i="4"/>
  <c r="E5" i="38" s="1"/>
  <c r="K12" i="4"/>
  <c r="K11" i="4"/>
  <c r="K10" i="4"/>
  <c r="K9" i="4"/>
  <c r="K8" i="4"/>
  <c r="K88" i="3" l="1"/>
  <c r="K86" i="3"/>
  <c r="K85" i="3"/>
  <c r="K84" i="3"/>
  <c r="K83" i="3"/>
  <c r="K82" i="3"/>
  <c r="K81" i="3"/>
  <c r="K80" i="3"/>
  <c r="K79" i="3"/>
  <c r="K78" i="3"/>
  <c r="K76" i="3"/>
  <c r="K75" i="3"/>
  <c r="K73" i="3"/>
  <c r="D93" i="38" s="1"/>
  <c r="K72" i="3"/>
  <c r="D92" i="38" s="1"/>
  <c r="K71" i="3"/>
  <c r="D91" i="38" s="1"/>
  <c r="K70" i="3"/>
  <c r="D90" i="38" s="1"/>
  <c r="K68" i="3"/>
  <c r="K66" i="3"/>
  <c r="D71" i="38" s="1"/>
  <c r="K65" i="3"/>
  <c r="D70" i="38" s="1"/>
  <c r="K64" i="3"/>
  <c r="D69" i="38" s="1"/>
  <c r="K62" i="3"/>
  <c r="K60" i="3"/>
  <c r="K59" i="3"/>
  <c r="K58" i="3"/>
  <c r="K57" i="3"/>
  <c r="K55" i="3"/>
  <c r="K53" i="3"/>
  <c r="K51" i="3"/>
  <c r="K50" i="3"/>
  <c r="K48" i="3"/>
  <c r="K47" i="3"/>
  <c r="K45" i="3"/>
  <c r="K44" i="3"/>
  <c r="K42" i="3"/>
  <c r="K41" i="3"/>
  <c r="K40" i="3"/>
  <c r="K38" i="3"/>
  <c r="K37" i="3"/>
  <c r="K35" i="3"/>
  <c r="K34" i="3"/>
  <c r="D45" i="38" s="1"/>
  <c r="K32" i="3"/>
  <c r="K31" i="3"/>
  <c r="K30" i="3"/>
  <c r="K29" i="3"/>
  <c r="K28" i="3"/>
  <c r="K27" i="3"/>
  <c r="K25" i="3"/>
  <c r="D25" i="38" s="1"/>
  <c r="K24" i="3"/>
  <c r="K23" i="3"/>
  <c r="K22" i="3"/>
  <c r="K20" i="3"/>
  <c r="K18" i="3"/>
  <c r="K17" i="3"/>
  <c r="K15" i="3"/>
  <c r="K14" i="3"/>
  <c r="D5" i="38" s="1"/>
  <c r="K12" i="3"/>
  <c r="K11" i="3"/>
  <c r="K10" i="3"/>
  <c r="K9" i="3"/>
  <c r="K8" i="3"/>
  <c r="K88" i="2"/>
  <c r="K86" i="2"/>
  <c r="K85" i="2"/>
  <c r="K84" i="2"/>
  <c r="K83" i="2"/>
  <c r="K82" i="2"/>
  <c r="K81" i="2"/>
  <c r="K80" i="2"/>
  <c r="K79" i="2"/>
  <c r="K78" i="2"/>
  <c r="K76" i="2"/>
  <c r="K75" i="2"/>
  <c r="K73" i="2"/>
  <c r="C93" i="38" s="1"/>
  <c r="K72" i="2"/>
  <c r="C92" i="38" s="1"/>
  <c r="K71" i="2"/>
  <c r="C91" i="38" s="1"/>
  <c r="K70" i="2"/>
  <c r="C90" i="38" s="1"/>
  <c r="K68" i="2"/>
  <c r="K66" i="2"/>
  <c r="C71" i="38" s="1"/>
  <c r="K65" i="2"/>
  <c r="C70" i="38" s="1"/>
  <c r="K64" i="2"/>
  <c r="C69" i="38" s="1"/>
  <c r="K62" i="2"/>
  <c r="K60" i="2"/>
  <c r="K59" i="2"/>
  <c r="K58" i="2"/>
  <c r="K57" i="2"/>
  <c r="K55" i="2"/>
  <c r="K53" i="2"/>
  <c r="K51" i="2"/>
  <c r="K50" i="2"/>
  <c r="K48" i="2"/>
  <c r="K47" i="2"/>
  <c r="K45" i="2"/>
  <c r="K44" i="2"/>
  <c r="K42" i="2"/>
  <c r="K41" i="2"/>
  <c r="K40" i="2"/>
  <c r="K38" i="2"/>
  <c r="K37" i="2"/>
  <c r="K35" i="2"/>
  <c r="K34" i="2"/>
  <c r="C45" i="38" s="1"/>
  <c r="K32" i="2"/>
  <c r="K31" i="2"/>
  <c r="K30" i="2"/>
  <c r="K29" i="2"/>
  <c r="K28" i="2"/>
  <c r="K27" i="2"/>
  <c r="K25" i="2"/>
  <c r="C25" i="38" s="1"/>
  <c r="K24" i="2"/>
  <c r="K23" i="2"/>
  <c r="K22" i="2"/>
  <c r="K20" i="2"/>
  <c r="K18" i="2"/>
  <c r="K17" i="2"/>
  <c r="K15" i="2"/>
  <c r="K14" i="2"/>
  <c r="C5" i="38" s="1"/>
  <c r="K12" i="2"/>
  <c r="K11" i="2"/>
  <c r="K10" i="2"/>
  <c r="K9" i="2"/>
  <c r="K8" i="2"/>
  <c r="K88" i="35" l="1"/>
  <c r="AH88" i="1" s="1"/>
  <c r="K86" i="35"/>
  <c r="AH86" i="1" s="1"/>
  <c r="K85" i="35"/>
  <c r="AH85" i="1" s="1"/>
  <c r="K84" i="35"/>
  <c r="AH84" i="1" s="1"/>
  <c r="K83" i="35"/>
  <c r="AH83" i="1" s="1"/>
  <c r="K82" i="35"/>
  <c r="AH82" i="1" s="1"/>
  <c r="K81" i="35"/>
  <c r="AH81" i="1" s="1"/>
  <c r="K80" i="35"/>
  <c r="AH80" i="1" s="1"/>
  <c r="K79" i="35"/>
  <c r="AH79" i="1" s="1"/>
  <c r="K78" i="35"/>
  <c r="AH78" i="1" s="1"/>
  <c r="K76" i="35"/>
  <c r="AH76" i="1" s="1"/>
  <c r="K75" i="35"/>
  <c r="AH75" i="1" s="1"/>
  <c r="K73" i="35"/>
  <c r="K72" i="35"/>
  <c r="K71" i="35"/>
  <c r="K70" i="35"/>
  <c r="K68" i="35"/>
  <c r="AH68" i="1" s="1"/>
  <c r="K66" i="35"/>
  <c r="K65" i="35"/>
  <c r="K64" i="35"/>
  <c r="K62" i="35"/>
  <c r="AH62" i="1" s="1"/>
  <c r="K60" i="35"/>
  <c r="AH60" i="1" s="1"/>
  <c r="K59" i="35"/>
  <c r="AH59" i="1" s="1"/>
  <c r="K58" i="35"/>
  <c r="AH58" i="1" s="1"/>
  <c r="K57" i="35"/>
  <c r="AH57" i="1" s="1"/>
  <c r="K55" i="35"/>
  <c r="AH55" i="1" s="1"/>
  <c r="K53" i="35"/>
  <c r="AH53" i="1" s="1"/>
  <c r="K51" i="35"/>
  <c r="AH51" i="1" s="1"/>
  <c r="K50" i="35"/>
  <c r="AH50" i="1" s="1"/>
  <c r="K48" i="35"/>
  <c r="AH48" i="1" s="1"/>
  <c r="K47" i="35"/>
  <c r="AH47" i="1" s="1"/>
  <c r="K45" i="35"/>
  <c r="AH45" i="1" s="1"/>
  <c r="K44" i="35"/>
  <c r="AH44" i="1" s="1"/>
  <c r="K42" i="35"/>
  <c r="AH42" i="1" s="1"/>
  <c r="K41" i="35"/>
  <c r="AH41" i="1" s="1"/>
  <c r="K40" i="35"/>
  <c r="AH40" i="1" s="1"/>
  <c r="K38" i="35"/>
  <c r="AH38" i="1" s="1"/>
  <c r="K37" i="35"/>
  <c r="AH37" i="1" s="1"/>
  <c r="K35" i="35"/>
  <c r="AH35" i="1" s="1"/>
  <c r="K34" i="35"/>
  <c r="K32" i="35"/>
  <c r="AH32" i="1" s="1"/>
  <c r="K31" i="35"/>
  <c r="AH31" i="1" s="1"/>
  <c r="K30" i="35"/>
  <c r="AH30" i="1" s="1"/>
  <c r="K29" i="35"/>
  <c r="AH29" i="1" s="1"/>
  <c r="K28" i="35"/>
  <c r="AH28" i="1" s="1"/>
  <c r="K27" i="35"/>
  <c r="AH27" i="1" s="1"/>
  <c r="K25" i="35"/>
  <c r="K24" i="35"/>
  <c r="AH24" i="1" s="1"/>
  <c r="K23" i="35"/>
  <c r="AH23" i="1" s="1"/>
  <c r="K22" i="35"/>
  <c r="AH22" i="1" s="1"/>
  <c r="K20" i="35"/>
  <c r="AH20" i="1" s="1"/>
  <c r="K18" i="35"/>
  <c r="AH18" i="1" s="1"/>
  <c r="K17" i="35"/>
  <c r="AH17" i="1" s="1"/>
  <c r="K15" i="35"/>
  <c r="AH15" i="1" s="1"/>
  <c r="K14" i="35"/>
  <c r="K12" i="35"/>
  <c r="AH12" i="1" s="1"/>
  <c r="K11" i="35"/>
  <c r="AH11" i="1" s="1"/>
  <c r="K10" i="35"/>
  <c r="AH10" i="1" s="1"/>
  <c r="K9" i="35"/>
  <c r="AH9" i="1" s="1"/>
  <c r="K8" i="35"/>
  <c r="AH8" i="1" s="1"/>
  <c r="K88" i="31"/>
  <c r="K86" i="31"/>
  <c r="K85" i="31"/>
  <c r="K84" i="31"/>
  <c r="K83" i="31"/>
  <c r="K82" i="31"/>
  <c r="K81" i="31"/>
  <c r="K80" i="31"/>
  <c r="K79" i="31"/>
  <c r="K78" i="31"/>
  <c r="K76" i="31"/>
  <c r="K75" i="31"/>
  <c r="K73" i="31"/>
  <c r="AF93" i="38" s="1"/>
  <c r="K72" i="31"/>
  <c r="AF92" i="38" s="1"/>
  <c r="K71" i="31"/>
  <c r="AF91" i="38" s="1"/>
  <c r="K70" i="31"/>
  <c r="AF90" i="38" s="1"/>
  <c r="K68" i="31"/>
  <c r="K66" i="31"/>
  <c r="AF71" i="38" s="1"/>
  <c r="K65" i="31"/>
  <c r="AF70" i="38" s="1"/>
  <c r="K64" i="31"/>
  <c r="AF69" i="38" s="1"/>
  <c r="K62" i="31"/>
  <c r="K60" i="31"/>
  <c r="K59" i="31"/>
  <c r="K58" i="31"/>
  <c r="K57" i="31"/>
  <c r="K55" i="31"/>
  <c r="K53" i="31"/>
  <c r="K51" i="31"/>
  <c r="K50" i="31"/>
  <c r="K48" i="31"/>
  <c r="K47" i="31"/>
  <c r="K45" i="31"/>
  <c r="K44" i="31"/>
  <c r="K42" i="31"/>
  <c r="K41" i="31"/>
  <c r="K40" i="31"/>
  <c r="K38" i="31"/>
  <c r="K37" i="31"/>
  <c r="K35" i="31"/>
  <c r="K34" i="31"/>
  <c r="AF45" i="38" s="1"/>
  <c r="K32" i="31"/>
  <c r="K31" i="31"/>
  <c r="K30" i="31"/>
  <c r="K29" i="31"/>
  <c r="K28" i="31"/>
  <c r="K27" i="31"/>
  <c r="K25" i="31"/>
  <c r="AF25" i="38" s="1"/>
  <c r="K24" i="31"/>
  <c r="K23" i="31"/>
  <c r="K22" i="31"/>
  <c r="K20" i="31"/>
  <c r="K18" i="31"/>
  <c r="K17" i="31"/>
  <c r="K15" i="31"/>
  <c r="K14" i="31"/>
  <c r="AF5" i="38" s="1"/>
  <c r="K12" i="31"/>
  <c r="K11" i="31"/>
  <c r="K10" i="31"/>
  <c r="K9" i="31"/>
  <c r="K8" i="31"/>
  <c r="K88" i="30"/>
  <c r="K86" i="30"/>
  <c r="K85" i="30"/>
  <c r="K84" i="30"/>
  <c r="AF84" i="1" s="1"/>
  <c r="K83" i="30"/>
  <c r="K82" i="30"/>
  <c r="K81" i="30"/>
  <c r="K80" i="30"/>
  <c r="AF80" i="1" s="1"/>
  <c r="K79" i="30"/>
  <c r="K78" i="30"/>
  <c r="K76" i="30"/>
  <c r="K75" i="30"/>
  <c r="AF75" i="1" s="1"/>
  <c r="K73" i="30"/>
  <c r="AE93" i="38" s="1"/>
  <c r="K72" i="30"/>
  <c r="AE92" i="38" s="1"/>
  <c r="K71" i="30"/>
  <c r="AE91" i="38" s="1"/>
  <c r="K70" i="30"/>
  <c r="AE90" i="38" s="1"/>
  <c r="K68" i="30"/>
  <c r="K66" i="30"/>
  <c r="AE71" i="38" s="1"/>
  <c r="K65" i="30"/>
  <c r="AE70" i="38" s="1"/>
  <c r="K64" i="30"/>
  <c r="AE69" i="38" s="1"/>
  <c r="K62" i="30"/>
  <c r="K60" i="30"/>
  <c r="K59" i="30"/>
  <c r="K58" i="30"/>
  <c r="AF58" i="1" s="1"/>
  <c r="K57" i="30"/>
  <c r="K55" i="30"/>
  <c r="K53" i="30"/>
  <c r="K51" i="30"/>
  <c r="AF51" i="1" s="1"/>
  <c r="K50" i="30"/>
  <c r="K48" i="30"/>
  <c r="K47" i="30"/>
  <c r="K45" i="30"/>
  <c r="AF45" i="1" s="1"/>
  <c r="K44" i="30"/>
  <c r="K42" i="30"/>
  <c r="K41" i="30"/>
  <c r="K40" i="30"/>
  <c r="AF40" i="1" s="1"/>
  <c r="K38" i="30"/>
  <c r="K37" i="30"/>
  <c r="K35" i="30"/>
  <c r="K34" i="30"/>
  <c r="AE45" i="38" s="1"/>
  <c r="K32" i="30"/>
  <c r="K31" i="30"/>
  <c r="K30" i="30"/>
  <c r="K29" i="30"/>
  <c r="AF29" i="1" s="1"/>
  <c r="K28" i="30"/>
  <c r="K27" i="30"/>
  <c r="K25" i="30"/>
  <c r="AE25" i="38" s="1"/>
  <c r="K24" i="30"/>
  <c r="AF24" i="1" s="1"/>
  <c r="K23" i="30"/>
  <c r="K22" i="30"/>
  <c r="K20" i="30"/>
  <c r="K18" i="30"/>
  <c r="AF18" i="1" s="1"/>
  <c r="K17" i="30"/>
  <c r="K15" i="30"/>
  <c r="K14" i="30"/>
  <c r="AE5" i="38" s="1"/>
  <c r="K12" i="30"/>
  <c r="AF12" i="1" s="1"/>
  <c r="K11" i="30"/>
  <c r="K10" i="30"/>
  <c r="K9" i="30"/>
  <c r="K8" i="30"/>
  <c r="K88" i="29"/>
  <c r="K86" i="29"/>
  <c r="K85" i="29"/>
  <c r="K84" i="29"/>
  <c r="AE84" i="1" s="1"/>
  <c r="K83" i="29"/>
  <c r="K82" i="29"/>
  <c r="K81" i="29"/>
  <c r="K80" i="29"/>
  <c r="AE80" i="1" s="1"/>
  <c r="K79" i="29"/>
  <c r="K78" i="29"/>
  <c r="K76" i="29"/>
  <c r="K75" i="29"/>
  <c r="AE75" i="1" s="1"/>
  <c r="K73" i="29"/>
  <c r="AD93" i="38" s="1"/>
  <c r="K72" i="29"/>
  <c r="AD92" i="38" s="1"/>
  <c r="K71" i="29"/>
  <c r="AD91" i="38" s="1"/>
  <c r="K70" i="29"/>
  <c r="AD90" i="38" s="1"/>
  <c r="K68" i="29"/>
  <c r="K66" i="29"/>
  <c r="AD71" i="38" s="1"/>
  <c r="K65" i="29"/>
  <c r="AD70" i="38" s="1"/>
  <c r="K64" i="29"/>
  <c r="AD69" i="38" s="1"/>
  <c r="K62" i="29"/>
  <c r="K60" i="29"/>
  <c r="K59" i="29"/>
  <c r="K58" i="29"/>
  <c r="AE58" i="1" s="1"/>
  <c r="K57" i="29"/>
  <c r="K55" i="29"/>
  <c r="K53" i="29"/>
  <c r="K51" i="29"/>
  <c r="AE51" i="1" s="1"/>
  <c r="K50" i="29"/>
  <c r="K48" i="29"/>
  <c r="K47" i="29"/>
  <c r="K45" i="29"/>
  <c r="AE45" i="1" s="1"/>
  <c r="K44" i="29"/>
  <c r="K42" i="29"/>
  <c r="K41" i="29"/>
  <c r="K40" i="29"/>
  <c r="AE40" i="1" s="1"/>
  <c r="K38" i="29"/>
  <c r="K37" i="29"/>
  <c r="K35" i="29"/>
  <c r="K34" i="29"/>
  <c r="AD45" i="38" s="1"/>
  <c r="K32" i="29"/>
  <c r="K31" i="29"/>
  <c r="K30" i="29"/>
  <c r="K29" i="29"/>
  <c r="AE29" i="1" s="1"/>
  <c r="K28" i="29"/>
  <c r="K27" i="29"/>
  <c r="K25" i="29"/>
  <c r="AD25" i="38" s="1"/>
  <c r="K24" i="29"/>
  <c r="AE24" i="1" s="1"/>
  <c r="K23" i="29"/>
  <c r="K22" i="29"/>
  <c r="K20" i="29"/>
  <c r="K18" i="29"/>
  <c r="AE18" i="1" s="1"/>
  <c r="K17" i="29"/>
  <c r="K15" i="29"/>
  <c r="K14" i="29"/>
  <c r="AD5" i="38" s="1"/>
  <c r="K12" i="29"/>
  <c r="AE12" i="1" s="1"/>
  <c r="K11" i="29"/>
  <c r="K10" i="29"/>
  <c r="K9" i="29"/>
  <c r="K8" i="29"/>
  <c r="K88" i="28"/>
  <c r="K86" i="28"/>
  <c r="K85" i="28"/>
  <c r="K84" i="28"/>
  <c r="AD84" i="1" s="1"/>
  <c r="K83" i="28"/>
  <c r="K82" i="28"/>
  <c r="K81" i="28"/>
  <c r="K80" i="28"/>
  <c r="AD80" i="1" s="1"/>
  <c r="K79" i="28"/>
  <c r="K78" i="28"/>
  <c r="K76" i="28"/>
  <c r="K75" i="28"/>
  <c r="AD75" i="1" s="1"/>
  <c r="K73" i="28"/>
  <c r="AC93" i="38" s="1"/>
  <c r="K72" i="28"/>
  <c r="AC92" i="38" s="1"/>
  <c r="K71" i="28"/>
  <c r="AC91" i="38" s="1"/>
  <c r="K70" i="28"/>
  <c r="AC90" i="38" s="1"/>
  <c r="K68" i="28"/>
  <c r="K66" i="28"/>
  <c r="AC71" i="38" s="1"/>
  <c r="K65" i="28"/>
  <c r="AC70" i="38" s="1"/>
  <c r="K64" i="28"/>
  <c r="AC69" i="38" s="1"/>
  <c r="K62" i="28"/>
  <c r="K60" i="28"/>
  <c r="K59" i="28"/>
  <c r="K58" i="28"/>
  <c r="AD58" i="1" s="1"/>
  <c r="K57" i="28"/>
  <c r="K55" i="28"/>
  <c r="K53" i="28"/>
  <c r="K51" i="28"/>
  <c r="AD51" i="1" s="1"/>
  <c r="K50" i="28"/>
  <c r="K48" i="28"/>
  <c r="K47" i="28"/>
  <c r="K45" i="28"/>
  <c r="AD45" i="1" s="1"/>
  <c r="K44" i="28"/>
  <c r="K42" i="28"/>
  <c r="K41" i="28"/>
  <c r="K40" i="28"/>
  <c r="AD40" i="1" s="1"/>
  <c r="K38" i="28"/>
  <c r="K37" i="28"/>
  <c r="K35" i="28"/>
  <c r="K34" i="28"/>
  <c r="AC45" i="38" s="1"/>
  <c r="K32" i="28"/>
  <c r="K31" i="28"/>
  <c r="K30" i="28"/>
  <c r="K29" i="28"/>
  <c r="AD29" i="1" s="1"/>
  <c r="K28" i="28"/>
  <c r="K27" i="28"/>
  <c r="K25" i="28"/>
  <c r="AC25" i="38" s="1"/>
  <c r="K24" i="28"/>
  <c r="AD24" i="1" s="1"/>
  <c r="K23" i="28"/>
  <c r="K22" i="28"/>
  <c r="K20" i="28"/>
  <c r="K18" i="28"/>
  <c r="AD18" i="1" s="1"/>
  <c r="K17" i="28"/>
  <c r="K15" i="28"/>
  <c r="K14" i="28"/>
  <c r="AC5" i="38" s="1"/>
  <c r="K12" i="28"/>
  <c r="AD12" i="1" s="1"/>
  <c r="K11" i="28"/>
  <c r="K10" i="28"/>
  <c r="K9" i="28"/>
  <c r="K8" i="28"/>
  <c r="K88" i="27"/>
  <c r="K86" i="27"/>
  <c r="K85" i="27"/>
  <c r="K84" i="27"/>
  <c r="K83" i="27"/>
  <c r="K82" i="27"/>
  <c r="K81" i="27"/>
  <c r="K80" i="27"/>
  <c r="K79" i="27"/>
  <c r="K78" i="27"/>
  <c r="K76" i="27"/>
  <c r="K75" i="27"/>
  <c r="K73" i="27"/>
  <c r="AB93" i="38" s="1"/>
  <c r="K72" i="27"/>
  <c r="AB92" i="38" s="1"/>
  <c r="K71" i="27"/>
  <c r="AB91" i="38" s="1"/>
  <c r="K70" i="27"/>
  <c r="AB90" i="38" s="1"/>
  <c r="K68" i="27"/>
  <c r="K66" i="27"/>
  <c r="AB71" i="38" s="1"/>
  <c r="K65" i="27"/>
  <c r="AB70" i="38" s="1"/>
  <c r="K64" i="27"/>
  <c r="AB69" i="38" s="1"/>
  <c r="K62" i="27"/>
  <c r="K60" i="27"/>
  <c r="K59" i="27"/>
  <c r="K58" i="27"/>
  <c r="K57" i="27"/>
  <c r="K55" i="27"/>
  <c r="K53" i="27"/>
  <c r="K51" i="27"/>
  <c r="K50" i="27"/>
  <c r="K48" i="27"/>
  <c r="K47" i="27"/>
  <c r="K45" i="27"/>
  <c r="K44" i="27"/>
  <c r="K42" i="27"/>
  <c r="K41" i="27"/>
  <c r="K40" i="27"/>
  <c r="K38" i="27"/>
  <c r="K37" i="27"/>
  <c r="K35" i="27"/>
  <c r="K34" i="27"/>
  <c r="AB45" i="38" s="1"/>
  <c r="K32" i="27"/>
  <c r="K31" i="27"/>
  <c r="K30" i="27"/>
  <c r="K29" i="27"/>
  <c r="K28" i="27"/>
  <c r="K27" i="27"/>
  <c r="K25" i="27"/>
  <c r="AB25" i="38" s="1"/>
  <c r="K24" i="27"/>
  <c r="K23" i="27"/>
  <c r="K22" i="27"/>
  <c r="K20" i="27"/>
  <c r="K18" i="27"/>
  <c r="K17" i="27"/>
  <c r="K15" i="27"/>
  <c r="K14" i="27"/>
  <c r="AB5" i="38" s="1"/>
  <c r="K12" i="27"/>
  <c r="K11" i="27"/>
  <c r="K10" i="27"/>
  <c r="K9" i="27"/>
  <c r="K8" i="27"/>
  <c r="K88" i="26"/>
  <c r="K86" i="26"/>
  <c r="K85" i="26"/>
  <c r="K84" i="26"/>
  <c r="AB84" i="1" s="1"/>
  <c r="K83" i="26"/>
  <c r="K82" i="26"/>
  <c r="K81" i="26"/>
  <c r="K80" i="26"/>
  <c r="AB80" i="1" s="1"/>
  <c r="K79" i="26"/>
  <c r="K78" i="26"/>
  <c r="K76" i="26"/>
  <c r="K75" i="26"/>
  <c r="AB75" i="1" s="1"/>
  <c r="K73" i="26"/>
  <c r="AA93" i="38" s="1"/>
  <c r="K72" i="26"/>
  <c r="AA92" i="38" s="1"/>
  <c r="K71" i="26"/>
  <c r="AA91" i="38" s="1"/>
  <c r="K70" i="26"/>
  <c r="AA90" i="38" s="1"/>
  <c r="K68" i="26"/>
  <c r="K66" i="26"/>
  <c r="AA71" i="38" s="1"/>
  <c r="K65" i="26"/>
  <c r="AA70" i="38" s="1"/>
  <c r="K64" i="26"/>
  <c r="AA69" i="38" s="1"/>
  <c r="K62" i="26"/>
  <c r="K60" i="26"/>
  <c r="K59" i="26"/>
  <c r="K58" i="26"/>
  <c r="AB58" i="1" s="1"/>
  <c r="K57" i="26"/>
  <c r="K55" i="26"/>
  <c r="K53" i="26"/>
  <c r="K51" i="26"/>
  <c r="AB51" i="1" s="1"/>
  <c r="K50" i="26"/>
  <c r="K48" i="26"/>
  <c r="K47" i="26"/>
  <c r="K45" i="26"/>
  <c r="AB45" i="1" s="1"/>
  <c r="K44" i="26"/>
  <c r="K42" i="26"/>
  <c r="K41" i="26"/>
  <c r="K40" i="26"/>
  <c r="AB40" i="1" s="1"/>
  <c r="K38" i="26"/>
  <c r="K37" i="26"/>
  <c r="K35" i="26"/>
  <c r="K34" i="26"/>
  <c r="AA45" i="38" s="1"/>
  <c r="K32" i="26"/>
  <c r="K31" i="26"/>
  <c r="K30" i="26"/>
  <c r="K29" i="26"/>
  <c r="AB29" i="1" s="1"/>
  <c r="K28" i="26"/>
  <c r="K27" i="26"/>
  <c r="K25" i="26"/>
  <c r="AA25" i="38" s="1"/>
  <c r="K24" i="26"/>
  <c r="AB24" i="1" s="1"/>
  <c r="K23" i="26"/>
  <c r="K22" i="26"/>
  <c r="K20" i="26"/>
  <c r="K18" i="26"/>
  <c r="AB18" i="1" s="1"/>
  <c r="K17" i="26"/>
  <c r="K15" i="26"/>
  <c r="K14" i="26"/>
  <c r="AA5" i="38" s="1"/>
  <c r="K12" i="26"/>
  <c r="AB12" i="1" s="1"/>
  <c r="K11" i="26"/>
  <c r="K10" i="26"/>
  <c r="K9" i="26"/>
  <c r="K8" i="26"/>
  <c r="D9" i="1"/>
  <c r="AJ9" i="1" s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AA9" i="1"/>
  <c r="AB9" i="1"/>
  <c r="AC9" i="1"/>
  <c r="AD9" i="1"/>
  <c r="AE9" i="1"/>
  <c r="AF9" i="1"/>
  <c r="AG9" i="1"/>
  <c r="D10" i="1"/>
  <c r="AJ10" i="1" s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AA10" i="1"/>
  <c r="AB10" i="1"/>
  <c r="AC10" i="1"/>
  <c r="AD10" i="1"/>
  <c r="AE10" i="1"/>
  <c r="AF10" i="1"/>
  <c r="AG10" i="1"/>
  <c r="D11" i="1"/>
  <c r="AJ11" i="1" s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AA11" i="1"/>
  <c r="AB11" i="1"/>
  <c r="AC11" i="1"/>
  <c r="AD11" i="1"/>
  <c r="AE11" i="1"/>
  <c r="AF11" i="1"/>
  <c r="AG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AA12" i="1"/>
  <c r="AC12" i="1"/>
  <c r="AG12" i="1"/>
  <c r="D13" i="1"/>
  <c r="AJ13" i="1" s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AA13" i="1"/>
  <c r="AB13" i="1"/>
  <c r="AC13" i="1"/>
  <c r="AD13" i="1"/>
  <c r="AE13" i="1"/>
  <c r="AF13" i="1"/>
  <c r="AG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AA14" i="1"/>
  <c r="AB14" i="1"/>
  <c r="AC14" i="1"/>
  <c r="AD14" i="1"/>
  <c r="AE14" i="1"/>
  <c r="AF14" i="1"/>
  <c r="AG14" i="1"/>
  <c r="D15" i="1"/>
  <c r="AJ15" i="1" s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AA15" i="1"/>
  <c r="AB15" i="1"/>
  <c r="AC15" i="1"/>
  <c r="AD15" i="1"/>
  <c r="AE15" i="1"/>
  <c r="AF15" i="1"/>
  <c r="AG15" i="1"/>
  <c r="D16" i="1"/>
  <c r="AJ16" i="1" s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AA16" i="1"/>
  <c r="AB16" i="1"/>
  <c r="AC16" i="1"/>
  <c r="AD16" i="1"/>
  <c r="AE16" i="1"/>
  <c r="AF16" i="1"/>
  <c r="AG16" i="1"/>
  <c r="D17" i="1"/>
  <c r="AJ17" i="1" s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AA17" i="1"/>
  <c r="AB17" i="1"/>
  <c r="AC17" i="1"/>
  <c r="AD17" i="1"/>
  <c r="AE17" i="1"/>
  <c r="AF17" i="1"/>
  <c r="AG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AA18" i="1"/>
  <c r="AC18" i="1"/>
  <c r="AG18" i="1"/>
  <c r="D19" i="1"/>
  <c r="AJ19" i="1" s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AA19" i="1"/>
  <c r="AB19" i="1"/>
  <c r="AC19" i="1"/>
  <c r="AD19" i="1"/>
  <c r="AE19" i="1"/>
  <c r="AF19" i="1"/>
  <c r="AG19" i="1"/>
  <c r="D20" i="1"/>
  <c r="AJ20" i="1" s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AA20" i="1"/>
  <c r="AB20" i="1"/>
  <c r="AC20" i="1"/>
  <c r="AD20" i="1"/>
  <c r="AE20" i="1"/>
  <c r="AF20" i="1"/>
  <c r="AG20" i="1"/>
  <c r="D21" i="1"/>
  <c r="AJ21" i="1" s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AA21" i="1"/>
  <c r="AB21" i="1"/>
  <c r="AC21" i="1"/>
  <c r="AD21" i="1"/>
  <c r="AE21" i="1"/>
  <c r="AF21" i="1"/>
  <c r="AG21" i="1"/>
  <c r="D22" i="1"/>
  <c r="AJ22" i="1" s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AA22" i="1"/>
  <c r="AB22" i="1"/>
  <c r="AC22" i="1"/>
  <c r="AD22" i="1"/>
  <c r="AE22" i="1"/>
  <c r="AF22" i="1"/>
  <c r="AG22" i="1"/>
  <c r="D23" i="1"/>
  <c r="AJ23" i="1" s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AA23" i="1"/>
  <c r="AB23" i="1"/>
  <c r="AC23" i="1"/>
  <c r="AD23" i="1"/>
  <c r="AE23" i="1"/>
  <c r="AF23" i="1"/>
  <c r="AG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AA24" i="1"/>
  <c r="AC24" i="1"/>
  <c r="AG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AA25" i="1"/>
  <c r="AB25" i="1"/>
  <c r="AC25" i="1"/>
  <c r="AD25" i="1"/>
  <c r="AE25" i="1"/>
  <c r="AF25" i="1"/>
  <c r="AG25" i="1"/>
  <c r="D26" i="1"/>
  <c r="AJ26" i="1" s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AA26" i="1"/>
  <c r="AB26" i="1"/>
  <c r="AC26" i="1"/>
  <c r="AD26" i="1"/>
  <c r="AE26" i="1"/>
  <c r="AF26" i="1"/>
  <c r="AG26" i="1"/>
  <c r="D27" i="1"/>
  <c r="AJ27" i="1" s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AA27" i="1"/>
  <c r="AB27" i="1"/>
  <c r="AC27" i="1"/>
  <c r="AD27" i="1"/>
  <c r="AE27" i="1"/>
  <c r="AF27" i="1"/>
  <c r="AG27" i="1"/>
  <c r="D28" i="1"/>
  <c r="AJ28" i="1" s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AA28" i="1"/>
  <c r="AB28" i="1"/>
  <c r="AC28" i="1"/>
  <c r="AD28" i="1"/>
  <c r="AE28" i="1"/>
  <c r="AF28" i="1"/>
  <c r="AG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AA29" i="1"/>
  <c r="AC29" i="1"/>
  <c r="AG29" i="1"/>
  <c r="D30" i="1"/>
  <c r="AJ30" i="1" s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AA30" i="1"/>
  <c r="AB30" i="1"/>
  <c r="AC30" i="1"/>
  <c r="AD30" i="1"/>
  <c r="AE30" i="1"/>
  <c r="AF30" i="1"/>
  <c r="AG30" i="1"/>
  <c r="D31" i="1"/>
  <c r="AJ31" i="1" s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AA31" i="1"/>
  <c r="AB31" i="1"/>
  <c r="AC31" i="1"/>
  <c r="AD31" i="1"/>
  <c r="AE31" i="1"/>
  <c r="AF31" i="1"/>
  <c r="AG31" i="1"/>
  <c r="D32" i="1"/>
  <c r="AJ32" i="1" s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AA32" i="1"/>
  <c r="AB32" i="1"/>
  <c r="AC32" i="1"/>
  <c r="AD32" i="1"/>
  <c r="AE32" i="1"/>
  <c r="AF32" i="1"/>
  <c r="AG32" i="1"/>
  <c r="D33" i="1"/>
  <c r="AJ33" i="1" s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AA33" i="1"/>
  <c r="AB33" i="1"/>
  <c r="AC33" i="1"/>
  <c r="AD33" i="1"/>
  <c r="AE33" i="1"/>
  <c r="AF33" i="1"/>
  <c r="AG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AA34" i="1"/>
  <c r="AC34" i="1"/>
  <c r="AG34" i="1"/>
  <c r="D35" i="1"/>
  <c r="AJ35" i="1" s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AA35" i="1"/>
  <c r="AB35" i="1"/>
  <c r="AC35" i="1"/>
  <c r="AD35" i="1"/>
  <c r="AE35" i="1"/>
  <c r="AF35" i="1"/>
  <c r="AG35" i="1"/>
  <c r="D36" i="1"/>
  <c r="AJ36" i="1" s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AA36" i="1"/>
  <c r="AB36" i="1"/>
  <c r="AC36" i="1"/>
  <c r="AD36" i="1"/>
  <c r="AE36" i="1"/>
  <c r="AF36" i="1"/>
  <c r="AG36" i="1"/>
  <c r="D37" i="1"/>
  <c r="AJ37" i="1" s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AA37" i="1"/>
  <c r="AB37" i="1"/>
  <c r="AC37" i="1"/>
  <c r="AD37" i="1"/>
  <c r="AE37" i="1"/>
  <c r="AF37" i="1"/>
  <c r="AG37" i="1"/>
  <c r="D38" i="1"/>
  <c r="AJ38" i="1" s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AA38" i="1"/>
  <c r="AB38" i="1"/>
  <c r="AC38" i="1"/>
  <c r="AD38" i="1"/>
  <c r="AE38" i="1"/>
  <c r="AF38" i="1"/>
  <c r="AG38" i="1"/>
  <c r="D39" i="1"/>
  <c r="AJ39" i="1" s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AA39" i="1"/>
  <c r="AB39" i="1"/>
  <c r="AC39" i="1"/>
  <c r="AD39" i="1"/>
  <c r="AE39" i="1"/>
  <c r="AF39" i="1"/>
  <c r="AG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AA40" i="1"/>
  <c r="AC40" i="1"/>
  <c r="AG40" i="1"/>
  <c r="D41" i="1"/>
  <c r="AJ41" i="1" s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AA41" i="1"/>
  <c r="AB41" i="1"/>
  <c r="AC41" i="1"/>
  <c r="AD41" i="1"/>
  <c r="AE41" i="1"/>
  <c r="AF41" i="1"/>
  <c r="AG41" i="1"/>
  <c r="D42" i="1"/>
  <c r="AJ42" i="1" s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AA42" i="1"/>
  <c r="AB42" i="1"/>
  <c r="AC42" i="1"/>
  <c r="AD42" i="1"/>
  <c r="AE42" i="1"/>
  <c r="AF42" i="1"/>
  <c r="AG42" i="1"/>
  <c r="D43" i="1"/>
  <c r="AJ43" i="1" s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AA43" i="1"/>
  <c r="AB43" i="1"/>
  <c r="AC43" i="1"/>
  <c r="AD43" i="1"/>
  <c r="AE43" i="1"/>
  <c r="AF43" i="1"/>
  <c r="AG43" i="1"/>
  <c r="D44" i="1"/>
  <c r="AJ44" i="1" s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AA44" i="1"/>
  <c r="AB44" i="1"/>
  <c r="AC44" i="1"/>
  <c r="AD44" i="1"/>
  <c r="AE44" i="1"/>
  <c r="AF44" i="1"/>
  <c r="AG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AA45" i="1"/>
  <c r="AC45" i="1"/>
  <c r="AG45" i="1"/>
  <c r="D46" i="1"/>
  <c r="AJ46" i="1" s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AA46" i="1"/>
  <c r="AB46" i="1"/>
  <c r="AC46" i="1"/>
  <c r="AD46" i="1"/>
  <c r="AE46" i="1"/>
  <c r="AF46" i="1"/>
  <c r="AG46" i="1"/>
  <c r="D47" i="1"/>
  <c r="AJ47" i="1" s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AA47" i="1"/>
  <c r="AB47" i="1"/>
  <c r="AC47" i="1"/>
  <c r="AD47" i="1"/>
  <c r="AE47" i="1"/>
  <c r="AF47" i="1"/>
  <c r="AG47" i="1"/>
  <c r="D48" i="1"/>
  <c r="AJ48" i="1" s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AA48" i="1"/>
  <c r="AB48" i="1"/>
  <c r="AC48" i="1"/>
  <c r="AD48" i="1"/>
  <c r="AE48" i="1"/>
  <c r="AF48" i="1"/>
  <c r="AG48" i="1"/>
  <c r="D49" i="1"/>
  <c r="AJ49" i="1" s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AA49" i="1"/>
  <c r="AB49" i="1"/>
  <c r="AC49" i="1"/>
  <c r="AD49" i="1"/>
  <c r="AE49" i="1"/>
  <c r="AF49" i="1"/>
  <c r="AG49" i="1"/>
  <c r="D50" i="1"/>
  <c r="AJ50" i="1" s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AA50" i="1"/>
  <c r="AB50" i="1"/>
  <c r="AC50" i="1"/>
  <c r="AD50" i="1"/>
  <c r="AE50" i="1"/>
  <c r="AF50" i="1"/>
  <c r="AG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AA51" i="1"/>
  <c r="AC51" i="1"/>
  <c r="AG51" i="1"/>
  <c r="D52" i="1"/>
  <c r="AJ52" i="1" s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AA52" i="1"/>
  <c r="AB52" i="1"/>
  <c r="AC52" i="1"/>
  <c r="AD52" i="1"/>
  <c r="AE52" i="1"/>
  <c r="AF52" i="1"/>
  <c r="AG52" i="1"/>
  <c r="D53" i="1"/>
  <c r="AJ53" i="1" s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AA53" i="1"/>
  <c r="AB53" i="1"/>
  <c r="AC53" i="1"/>
  <c r="AD53" i="1"/>
  <c r="AE53" i="1"/>
  <c r="AF53" i="1"/>
  <c r="AG53" i="1"/>
  <c r="D54" i="1"/>
  <c r="AJ54" i="1" s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AA54" i="1"/>
  <c r="AB54" i="1"/>
  <c r="AC54" i="1"/>
  <c r="AD54" i="1"/>
  <c r="AE54" i="1"/>
  <c r="AF54" i="1"/>
  <c r="AG54" i="1"/>
  <c r="D55" i="1"/>
  <c r="AJ55" i="1" s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AA55" i="1"/>
  <c r="AB55" i="1"/>
  <c r="AC55" i="1"/>
  <c r="AD55" i="1"/>
  <c r="AE55" i="1"/>
  <c r="AF55" i="1"/>
  <c r="AG55" i="1"/>
  <c r="D56" i="1"/>
  <c r="AJ56" i="1" s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AA56" i="1"/>
  <c r="AB56" i="1"/>
  <c r="AC56" i="1"/>
  <c r="AD56" i="1"/>
  <c r="AE56" i="1"/>
  <c r="AF56" i="1"/>
  <c r="AG56" i="1"/>
  <c r="D57" i="1"/>
  <c r="AJ57" i="1" s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AA57" i="1"/>
  <c r="AB57" i="1"/>
  <c r="AC57" i="1"/>
  <c r="AD57" i="1"/>
  <c r="AE57" i="1"/>
  <c r="AF57" i="1"/>
  <c r="AG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AA58" i="1"/>
  <c r="AC58" i="1"/>
  <c r="AG58" i="1"/>
  <c r="D59" i="1"/>
  <c r="AJ59" i="1" s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AA59" i="1"/>
  <c r="AB59" i="1"/>
  <c r="AC59" i="1"/>
  <c r="AD59" i="1"/>
  <c r="AE59" i="1"/>
  <c r="AF59" i="1"/>
  <c r="AG59" i="1"/>
  <c r="D60" i="1"/>
  <c r="AJ60" i="1" s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AA60" i="1"/>
  <c r="AB60" i="1"/>
  <c r="AC60" i="1"/>
  <c r="AD60" i="1"/>
  <c r="AE60" i="1"/>
  <c r="AF60" i="1"/>
  <c r="AG60" i="1"/>
  <c r="D61" i="1"/>
  <c r="AJ61" i="1" s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AA61" i="1"/>
  <c r="AB61" i="1"/>
  <c r="AC61" i="1"/>
  <c r="AD61" i="1"/>
  <c r="AE61" i="1"/>
  <c r="AF61" i="1"/>
  <c r="AG61" i="1"/>
  <c r="D62" i="1"/>
  <c r="AJ62" i="1" s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AA62" i="1"/>
  <c r="AB62" i="1"/>
  <c r="AC62" i="1"/>
  <c r="AD62" i="1"/>
  <c r="AE62" i="1"/>
  <c r="AF62" i="1"/>
  <c r="AG62" i="1"/>
  <c r="D63" i="1"/>
  <c r="AJ63" i="1" s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AA63" i="1"/>
  <c r="AB63" i="1"/>
  <c r="AC63" i="1"/>
  <c r="AD63" i="1"/>
  <c r="AE63" i="1"/>
  <c r="AF63" i="1"/>
  <c r="AG63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AA64" i="1"/>
  <c r="AC64" i="1"/>
  <c r="AG64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AA65" i="1"/>
  <c r="AB65" i="1"/>
  <c r="AC65" i="1"/>
  <c r="AD65" i="1"/>
  <c r="AE65" i="1"/>
  <c r="AF65" i="1"/>
  <c r="AG65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AA66" i="1"/>
  <c r="AB66" i="1"/>
  <c r="AC66" i="1"/>
  <c r="AD66" i="1"/>
  <c r="AE66" i="1"/>
  <c r="AF66" i="1"/>
  <c r="AG66" i="1"/>
  <c r="D67" i="1"/>
  <c r="AJ67" i="1" s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AA67" i="1"/>
  <c r="AB67" i="1"/>
  <c r="AC67" i="1"/>
  <c r="AD67" i="1"/>
  <c r="AE67" i="1"/>
  <c r="AF67" i="1"/>
  <c r="AG67" i="1"/>
  <c r="D68" i="1"/>
  <c r="AJ68" i="1" s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AA68" i="1"/>
  <c r="AB68" i="1"/>
  <c r="AC68" i="1"/>
  <c r="AD68" i="1"/>
  <c r="AE68" i="1"/>
  <c r="AF68" i="1"/>
  <c r="AG68" i="1"/>
  <c r="D69" i="1"/>
  <c r="AJ69" i="1" s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AA69" i="1"/>
  <c r="AB69" i="1"/>
  <c r="AC69" i="1"/>
  <c r="AD69" i="1"/>
  <c r="AE69" i="1"/>
  <c r="AF69" i="1"/>
  <c r="AG69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AA70" i="1"/>
  <c r="AC70" i="1"/>
  <c r="AG70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AA71" i="1"/>
  <c r="AB71" i="1"/>
  <c r="AC71" i="1"/>
  <c r="AD71" i="1"/>
  <c r="AE71" i="1"/>
  <c r="AF71" i="1"/>
  <c r="AG71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AA72" i="1"/>
  <c r="AB72" i="1"/>
  <c r="AC72" i="1"/>
  <c r="AD72" i="1"/>
  <c r="AE72" i="1"/>
  <c r="AF72" i="1"/>
  <c r="AG72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AA73" i="1"/>
  <c r="AB73" i="1"/>
  <c r="AC73" i="1"/>
  <c r="AD73" i="1"/>
  <c r="AE73" i="1"/>
  <c r="AF73" i="1"/>
  <c r="AG73" i="1"/>
  <c r="D74" i="1"/>
  <c r="AJ74" i="1" s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AA74" i="1"/>
  <c r="AB74" i="1"/>
  <c r="AC74" i="1"/>
  <c r="AD74" i="1"/>
  <c r="AE74" i="1"/>
  <c r="AF74" i="1"/>
  <c r="AG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AA75" i="1"/>
  <c r="AC75" i="1"/>
  <c r="AG75" i="1"/>
  <c r="D76" i="1"/>
  <c r="AJ76" i="1" s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AA76" i="1"/>
  <c r="AB76" i="1"/>
  <c r="AC76" i="1"/>
  <c r="AD76" i="1"/>
  <c r="AE76" i="1"/>
  <c r="AF76" i="1"/>
  <c r="AG76" i="1"/>
  <c r="D77" i="1"/>
  <c r="AJ77" i="1" s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AA77" i="1"/>
  <c r="AB77" i="1"/>
  <c r="AC77" i="1"/>
  <c r="AD77" i="1"/>
  <c r="AE77" i="1"/>
  <c r="AF77" i="1"/>
  <c r="AG77" i="1"/>
  <c r="D78" i="1"/>
  <c r="AJ78" i="1" s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AA78" i="1"/>
  <c r="AB78" i="1"/>
  <c r="AC78" i="1"/>
  <c r="AD78" i="1"/>
  <c r="AE78" i="1"/>
  <c r="AF78" i="1"/>
  <c r="AG78" i="1"/>
  <c r="D79" i="1"/>
  <c r="AJ79" i="1" s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AA79" i="1"/>
  <c r="AB79" i="1"/>
  <c r="AC79" i="1"/>
  <c r="AD79" i="1"/>
  <c r="AE79" i="1"/>
  <c r="AF79" i="1"/>
  <c r="AG79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AA80" i="1"/>
  <c r="AC80" i="1"/>
  <c r="AG80" i="1"/>
  <c r="D81" i="1"/>
  <c r="AJ81" i="1" s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AA81" i="1"/>
  <c r="AB81" i="1"/>
  <c r="AC81" i="1"/>
  <c r="AD81" i="1"/>
  <c r="AE81" i="1"/>
  <c r="AF81" i="1"/>
  <c r="AG81" i="1"/>
  <c r="D82" i="1"/>
  <c r="AJ82" i="1" s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AA82" i="1"/>
  <c r="AB82" i="1"/>
  <c r="AC82" i="1"/>
  <c r="AD82" i="1"/>
  <c r="AE82" i="1"/>
  <c r="AF82" i="1"/>
  <c r="AG82" i="1"/>
  <c r="D83" i="1"/>
  <c r="AJ83" i="1" s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AA83" i="1"/>
  <c r="AB83" i="1"/>
  <c r="AC83" i="1"/>
  <c r="AD83" i="1"/>
  <c r="AE83" i="1"/>
  <c r="AF83" i="1"/>
  <c r="AG83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AA84" i="1"/>
  <c r="AC84" i="1"/>
  <c r="AG84" i="1"/>
  <c r="D85" i="1"/>
  <c r="AJ85" i="1" s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AA85" i="1"/>
  <c r="AB85" i="1"/>
  <c r="AC85" i="1"/>
  <c r="AD85" i="1"/>
  <c r="AE85" i="1"/>
  <c r="AF85" i="1"/>
  <c r="AG85" i="1"/>
  <c r="D86" i="1"/>
  <c r="AJ86" i="1" s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AA86" i="1"/>
  <c r="AB86" i="1"/>
  <c r="AC86" i="1"/>
  <c r="AD86" i="1"/>
  <c r="AE86" i="1"/>
  <c r="AF86" i="1"/>
  <c r="AG86" i="1"/>
  <c r="D87" i="1"/>
  <c r="AJ87" i="1" s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AA87" i="1"/>
  <c r="AB87" i="1"/>
  <c r="AC87" i="1"/>
  <c r="AD87" i="1"/>
  <c r="AE87" i="1"/>
  <c r="AF87" i="1"/>
  <c r="AG87" i="1"/>
  <c r="D88" i="1"/>
  <c r="AJ88" i="1" s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AA88" i="1"/>
  <c r="AB88" i="1"/>
  <c r="AC88" i="1"/>
  <c r="AD88" i="1"/>
  <c r="AE88" i="1"/>
  <c r="AF88" i="1"/>
  <c r="AG88" i="1"/>
  <c r="AF70" i="1" l="1"/>
  <c r="AB70" i="1"/>
  <c r="AF64" i="1"/>
  <c r="AB64" i="1"/>
  <c r="AF34" i="1"/>
  <c r="AB34" i="1"/>
  <c r="AG5" i="38"/>
  <c r="AH14" i="1"/>
  <c r="AJ14" i="1" s="1"/>
  <c r="AG25" i="38"/>
  <c r="AH25" i="1"/>
  <c r="AG70" i="38"/>
  <c r="AH65" i="1"/>
  <c r="AJ65" i="1" s="1"/>
  <c r="AH71" i="1"/>
  <c r="AG91" i="38"/>
  <c r="AG45" i="38"/>
  <c r="AH34" i="1"/>
  <c r="AJ34" i="1" s="1"/>
  <c r="AG69" i="38"/>
  <c r="AH64" i="1"/>
  <c r="AG90" i="38"/>
  <c r="AH70" i="1"/>
  <c r="AJ70" i="1" s="1"/>
  <c r="AE70" i="1"/>
  <c r="AE64" i="1"/>
  <c r="AE34" i="1"/>
  <c r="AG71" i="38"/>
  <c r="AH66" i="1"/>
  <c r="AG92" i="38"/>
  <c r="AH72" i="1"/>
  <c r="AJ84" i="1"/>
  <c r="AJ80" i="1"/>
  <c r="AJ75" i="1"/>
  <c r="AJ72" i="1"/>
  <c r="AJ71" i="1"/>
  <c r="AD70" i="1"/>
  <c r="AJ66" i="1"/>
  <c r="AD64" i="1"/>
  <c r="AJ64" i="1"/>
  <c r="AJ58" i="1"/>
  <c r="AJ51" i="1"/>
  <c r="AJ45" i="1"/>
  <c r="AJ40" i="1"/>
  <c r="AD34" i="1"/>
  <c r="AJ29" i="1"/>
  <c r="AJ25" i="1"/>
  <c r="AJ24" i="1"/>
  <c r="AJ18" i="1"/>
  <c r="AJ12" i="1"/>
  <c r="AG93" i="38"/>
  <c r="AH73" i="1"/>
  <c r="AJ73" i="1" s="1"/>
  <c r="AG8" i="1"/>
  <c r="G8" i="1" l="1"/>
  <c r="F8" i="1"/>
  <c r="E8" i="1"/>
  <c r="D8" i="1"/>
  <c r="AJ8" i="1" s="1"/>
  <c r="AF8" i="1"/>
  <c r="AE8" i="1"/>
  <c r="AD8" i="1"/>
  <c r="AC8" i="1"/>
  <c r="AB8" i="1"/>
  <c r="AA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Litbang21</author>
  </authors>
  <commentList>
    <comment ref="B86" authorId="0" shapeId="0" xr:uid="{77315835-BDCD-4F24-AC7A-F43443D491A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Litbang21</author>
  </authors>
  <commentList>
    <comment ref="A106" authorId="0" shapeId="0" xr:uid="{512B6529-5F52-44E7-84BD-3534A9586AB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1CE8B8C-0BB5-43BA-B004-0C7E348D04CC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5E2A55A-550F-4492-8FBE-CAA76850A53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D071B69-11A9-415B-9C94-819EEC1DFAF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C21378AE-710E-4138-86EF-E04DDFEFB6F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C7DA516D-3949-4764-B49B-2E5D36CF7E5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DA4942F6-9018-431E-BF11-1524B181B39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2834C857-CA87-49A0-9400-28E4F2F074F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BE0E73FF-BB74-4063-B0B0-E3FBC672FF2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9C4BFA2-CAD3-4317-93B5-A0EFE901021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8B67C109-A0D3-4BBF-B79E-E1CE42227F6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B35174FC-7F49-4749-A927-73F072F8A30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8097943-8E85-4FD0-98C1-3EA33D6522B3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F38FDE25-06D4-4A8E-B018-3689BDA5818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EC2CFA61-1FB2-4712-9095-4E887C265BA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3780298E-EA42-4B1B-B0BA-785B56217E3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5CBDF2F-6639-493F-9018-2B48DDACC82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F32075A-9056-4BB3-AC60-2D257CAD853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3AAF833F-4957-48C3-AF23-7E6317DB1342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D6161CB-4869-4954-87D7-95F56A7D00F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4B25EA36-010B-4434-A45F-51B6722D9C0D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525D8124-5358-4F7B-8A03-0D237AEEC93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EEEBEE4D-D94F-45EA-B8EF-6AFA90AD979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43B62CB7-8A44-47F8-8344-F59AA310277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DFE7E92C-4ACB-44E8-BEC5-D119A953429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2169FA20-0ABC-40D2-BA41-05D8A8BF29C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F72FDD8F-28B2-480E-B6E7-06DA3567D79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F6E697BB-D4A1-4451-AD4E-99E8055D67F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8EFB323-E1D3-4A2F-AAB8-BAA385DEC80F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BC3AA9C5-D574-4D6E-ABC4-F03AE2110D4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D0D0EAB5-EAF3-49FF-9159-F7083D71210D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2BCB734-70D9-4009-A6FC-1714EBF89F3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0407F11-CD80-4D93-8BC0-FD40BDF2542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C6D1BF1-7D36-409F-A5E6-63654EE9890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310EE6A-09A3-4D2D-B36E-DA05B7BB58B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9ADF3D7-646C-4D9F-A71E-247C93E40FE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3A2EDE91-A2BC-411E-BA32-24F49B8A2693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9DF4C1F-1172-49ED-8295-687CF5599C5A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DC0FBD94-163B-469B-B349-2CED08D95F9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26613E2-EF4A-4A8D-A50C-3E89EAECA6D5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8B11CCBF-30EB-4C6C-8BC5-0351C8021FD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2A1163A2-5903-4697-9D65-67FDCBADB83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F81CC8F5-EE12-4253-B64E-7577D617BBA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BA842280-E10A-4E28-A8A4-5F4F5895CCA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38BA8A0A-A119-4F2A-BC8E-C8C4BAB24DC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FEBE5F90-2130-47A2-AD97-B7661AE39233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0D7CC3D-5777-4587-9D6C-2B8B5DD9E99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445DB8B1-9EF8-46F3-B04B-CECCFE9A7E4D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DCA08871-FB3B-4429-B084-01AF4FF971F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907EF3C7-8A38-4FE9-A3F3-D2DDD045176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EC5D6531-4385-42EB-AA88-9EB20E5C4AD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65E31A3A-DA5C-4ED0-97C7-C9799EEC509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5D6B86CC-C4C0-4C46-B65A-29D613C6A70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D8A0427-E21F-4611-AD6F-8BC4D97A88D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229D3223-233C-4345-83D7-209866AB1F3D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10955962-4EF2-4B7D-A8ED-8873F0A5BE8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2CA68361-ED3D-45B7-851B-123BBB301569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2C8E100F-A7B1-4F61-AACA-D0B5A081057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BC7D5F8-CF16-4E84-BE59-A3C66A27D1F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9D099197-5723-4944-B772-138FCC6AFB4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6C5C44B5-30FC-4C34-99F0-84CE7780910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A6A1C02B-D1E3-4571-A32D-AB71B74CF41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8B45AF3-31C8-4D7A-9974-C1B65417110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F3B1CCF-F997-4735-B83F-B544AB0C8F9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EE78C5D0-1E49-4752-9C9D-0DE6AF90CBC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96D165AF-FBBC-49C4-974C-0925E5BA2B4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66FC182E-EE45-490E-9530-E39E983694E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5060E78A-1EB4-4B27-B8AB-8357E81CE68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2DD59562-78EB-43D0-B0F6-63F85C5B649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C8CCF5F-9E61-49AF-9BC1-A8232A0A466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4C517CE-401F-4822-BD15-EA7CB6AE06C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24ED475-E559-4BBE-B5B6-2C445A30CD5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C52C699-702B-40D0-BDAF-00363B4831A8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C6B6773C-7195-430E-A16B-75A8B79B42BA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56736D78-526B-4C62-9F3A-3883C18490E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D8CA8BDE-5581-4DF4-8B11-99443C0246B0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7BB730C3-3530-421B-A092-44F41149C36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2BF2299D-0C38-4B2F-9544-F9FEB617EEB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51BD2347-8EC8-4482-BFD1-357AEF0C5FF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BE56715C-BB04-41C8-86AC-61D8AA35A04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51CFE03A-671A-4B9D-A14F-1970EF0B125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FBB2DF7B-6544-4B20-B817-7C91CE36ED50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D834851-4AA5-422B-8F39-05292D0C1ABE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EB5C29E-AF8D-49CE-8FD2-8AC118C84C78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0E87828-073D-4338-ADE9-D2744691126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59891423-F186-45E1-B581-23E3AE3F086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D78C9908-D8E1-4820-A78C-2E7665B05B3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6C6CEFAB-25E0-4044-A954-B77C5F22650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3403C04E-7E53-4241-B1FC-BAE456DBBDE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32BE4E6E-D4FC-468C-AAF7-E7B2F9635F0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CE0E51BA-717E-4DCB-94FE-6CDACA660A8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797B2EFB-9CB1-4222-89A9-B8F002B7DB3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DB2938BD-C1E8-4C71-A88D-77E140B9D0CD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3FC7B948-1045-4427-87A0-4EC9DCFC63C8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AD096E96-89F9-49DC-8FC7-19D956811CC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27012255-DEB4-4B9B-9B89-D91816DF406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0C1A0DD6-1010-45E1-A8AC-CE890993A12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BBCA74F2-5BE5-47C2-9D35-27DE46F0F7A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750F34F9-6A74-4D4D-BFE3-2B8DE76639F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5CF7C676-9A3E-4E59-A427-F8CAFCF3BC9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5CE5C3F-CDB6-4172-B01E-6D065E1EFC3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F92598B3-9B0F-4A81-AF43-72C88781E4ED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F58C1B67-4485-499B-955F-E262B482E657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EB6AADB9-FCFD-423D-A8A0-4F3B882ACBC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C920743A-9420-4BF5-850B-D7AC7F62D55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DA2790A3-2255-4A5D-AD08-14789839379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5339269-8569-4979-97D1-CB1163317FA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D5E18EDD-AC1E-4BCB-8681-DA78497A354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647A705D-7DC9-402E-86FA-1A8927D35417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709CA1A-8C08-4543-883D-49BF061EC121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75161365-986F-47F9-BA39-0C57FEC3E73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109C8EF7-DCF6-488F-B400-21888549837A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948E0353-F5D7-4241-AE53-A36BEC8CD46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E61BB254-689F-4B9E-8720-CBAE0245554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B00AAD14-46A0-4761-AEA9-97A581C8414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E44B0B4-90A0-4816-9FC8-605F2EA8C75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6F14ADB9-EB7D-4BCE-9C5D-ADED561F5AF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20F2B8D-6EB9-4FF7-BB9A-7EFB35EC20E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7DF568D3-EF1C-4790-9D98-A4D3AE9F319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4D092091-87B2-49CC-9A3B-7095226100A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A5530079-887B-452E-AC61-53C8E2E51E57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5568D73E-68A5-491F-952B-02BFC6719C2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EABDF06-DAA8-4C4B-A72D-4AB45C5436C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21B79C06-5BB4-48A6-A328-BA269344266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12BB2044-55F1-49D0-938F-E8C70D4DB22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6C0C959B-C02D-418A-B15C-54C282D20C0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4A4920A3-7DA5-48E9-9B72-0ADC14EA4B1C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CE10B9B3-AED7-42A1-BD06-4EA85CBF328F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73593D6-A277-422F-981B-8F939553D687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B47B1ACC-D2FC-4534-BA41-6F23AA80A507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035291D6-825E-4F13-A354-5C0E3EE6440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441BAFC-6793-4678-B739-1A69C8E9846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7EF64B80-4722-4155-8737-F6E89DBC141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3F645E7D-48D4-4C48-B1A1-561F046C0B3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F7DBEDA-9C91-4F45-8DD9-9E0DDB6176A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E04B130A-6E57-4A10-9FE8-960191F6D2D3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303D639E-ECAF-4C4B-9616-675AC2DA40BF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450F0BDE-6184-4485-B30B-72A22CCF828D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4000FB85-4D1D-4AB2-B994-E8744F6374D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125F2BB-6991-44F1-8A42-2E68F4E3E42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5F1364AA-3FC8-4A73-9AA6-EB92E92835E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311B5958-7A15-49BC-ACB2-FF4E3AC37A5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65AC5A98-2245-4856-B095-AE4C89B2913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A308363-D7F5-459F-BC8D-8901549C5DC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D79712FF-8DDC-447A-BE39-26C9677F803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EF98367-3B75-413B-B059-45051B7E5D35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56FF6B68-0710-441D-9038-69046ABD535B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8A5666DD-5015-42EE-96D5-C2766F1F8CDB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7CF1C4B5-C38C-4455-9555-F5D9547062E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32D9DBCC-2462-4D5E-8FD4-F894C8C1EB7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487E2C99-70B8-45BE-970B-B5A8F5486C9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5BB4E0F0-6587-48B3-B714-252E00DB15B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94666CB5-D6C0-4A0C-97F0-B12E8B44721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ED29694A-7A58-45D8-B143-D2AF5970CA2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1A4AD54-24E8-463B-BE4A-ECC82F72772E}">
      <text>
        <r>
          <rPr>
            <b/>
            <sz val="9"/>
            <rFont val="Tahoma"/>
            <family val="2"/>
          </rPr>
          <t>litbang 0:</t>
        </r>
        <r>
          <rPr>
            <sz val="9"/>
            <rFont val="Tahoma"/>
            <family val="2"/>
          </rPr>
          <t xml:space="preserve">
susu Bendera 
</t>
        </r>
      </text>
    </comment>
    <comment ref="D53" authorId="1" shapeId="0" xr:uid="{89824B5A-A9CC-415A-A6B5-AAA7D37DAE64}">
      <text>
        <r>
          <rPr>
            <b/>
            <sz val="9"/>
            <rFont val="Tahoma"/>
            <family val="2"/>
          </rPr>
          <t>Yayuk:</t>
        </r>
        <r>
          <rPr>
            <sz val="9"/>
            <rFont val="Tahoma"/>
            <family val="2"/>
          </rPr>
          <t xml:space="preserve">
ukuran 500gr
</t>
        </r>
      </text>
    </comment>
    <comment ref="E53" authorId="2" shapeId="0" xr:uid="{37EFCAFA-993C-4CBC-B67E-33267D33E71C}">
      <text>
        <r>
          <rPr>
            <b/>
            <sz val="9"/>
            <rFont val="Tahoma"/>
            <family val="2"/>
          </rPr>
          <t>AJUDAN-FARAH:</t>
        </r>
        <r>
          <rPr>
            <sz val="9"/>
            <rFont val="Tahoma"/>
            <family val="2"/>
          </rPr>
          <t xml:space="preserve">
ukuran 1kg</t>
        </r>
      </text>
    </comment>
    <comment ref="F53" authorId="3" shapeId="0" xr:uid="{05E06C5C-243B-4314-81AD-FF22D4D4A134}">
      <text>
        <r>
          <rPr>
            <b/>
            <sz val="9"/>
            <rFont val="Tahoma"/>
            <family val="2"/>
          </rPr>
          <t>Litbang3:</t>
        </r>
        <r>
          <rPr>
            <sz val="9"/>
            <rFont val="Tahoma"/>
            <family val="2"/>
          </rPr>
          <t xml:space="preserve">
ukuran 500 gr</t>
        </r>
      </text>
    </comment>
    <comment ref="G53" authorId="3" shapeId="0" xr:uid="{9A97679D-951C-49D3-BE68-64EE58FA41E5}">
      <text>
        <r>
          <rPr>
            <b/>
            <sz val="9"/>
            <rFont val="Tahoma"/>
            <family val="2"/>
          </rPr>
          <t>Litbang3:</t>
        </r>
        <r>
          <rPr>
            <sz val="9"/>
            <rFont val="Tahoma"/>
            <family val="2"/>
          </rPr>
          <t xml:space="preserve">
ukuran 500 gr</t>
        </r>
      </text>
    </comment>
    <comment ref="H53" authorId="3" shapeId="0" xr:uid="{54FA992C-3E5F-437D-8D14-3A943F4AE04A}">
      <text>
        <r>
          <rPr>
            <b/>
            <sz val="9"/>
            <rFont val="Tahoma"/>
            <family val="2"/>
          </rPr>
          <t>Litbang3:</t>
        </r>
        <r>
          <rPr>
            <sz val="9"/>
            <rFont val="Tahoma"/>
            <family val="2"/>
          </rPr>
          <t xml:space="preserve">
ukuran 200 gram</t>
        </r>
      </text>
    </comment>
    <comment ref="I53" authorId="3" shapeId="0" xr:uid="{F0F9FE24-8988-46DD-8F3F-CCFEEE59BFBF}">
      <text>
        <r>
          <rPr>
            <b/>
            <sz val="9"/>
            <rFont val="Tahoma"/>
            <family val="2"/>
          </rPr>
          <t>Litbang3:</t>
        </r>
        <r>
          <rPr>
            <sz val="9"/>
            <rFont val="Tahoma"/>
            <family val="2"/>
          </rPr>
          <t xml:space="preserve">
ukuran 500 gr</t>
        </r>
      </text>
    </comment>
    <comment ref="J53" authorId="3" shapeId="0" xr:uid="{CEAC80C5-8341-4262-8D88-24854102BB88}">
      <text>
        <r>
          <rPr>
            <b/>
            <sz val="9"/>
            <rFont val="Tahoma"/>
            <family val="2"/>
          </rPr>
          <t>Litbang3:</t>
        </r>
        <r>
          <rPr>
            <sz val="9"/>
            <rFont val="Tahoma"/>
            <family val="2"/>
          </rPr>
          <t xml:space="preserve">
ukuran 200 gram</t>
        </r>
      </text>
    </comment>
    <comment ref="B86" authorId="4" shapeId="0" xr:uid="{13883EB0-846C-423E-BCD9-906335ABEFB7}">
      <text>
        <r>
          <rPr>
            <b/>
            <sz val="9"/>
            <rFont val="Tahoma"/>
            <family val="2"/>
          </rPr>
          <t>Litbang21: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74FDA9E1-C161-4C0D-BD11-C78DC76495F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CB2E420B-B859-499C-9E3A-375C773267C1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2A6EA664-8E1F-4422-ADD9-BC2F04C4FAE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72AC7EB4-9090-4B62-B3A3-BFC933AC9B7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611F1929-B0AE-4FFE-A610-7E6747AC44D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9257591F-54DE-4E4C-B883-58D45AC0273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ACD461F1-0062-43DF-9EF8-52241FD67CC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2B5777CC-5C77-4F58-90E0-292836678A2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ABB74CE-2314-4573-B2D7-4F66F456439A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279C569A-2550-43FA-BDDF-5DFFC024784C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8449352F-822B-4053-8D69-EDD4D1F71D4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5825F617-B0D8-40F9-A70D-822E889BD714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9CBCCA24-96AB-4306-959F-C9B0A33733F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2EDCCD77-27B2-4857-8884-D5D504CD6F6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8D14A9A4-10B0-4903-8FBA-3F8C88CA9FC4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2B6D39D4-0C2A-43AE-BE35-81502B8CD19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32A28763-6EF0-4C30-8DCC-E444C372A1F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E2AF0692-01AB-4948-8BEC-C7FD9F5502F6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B780A731-165E-4EF3-A9AA-76B4DA9002D9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B16BE99B-AB00-4286-A93E-136D71CCE3DF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AED72272-9BBE-412D-8E26-9F4ECC827FBC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9627FF62-F5E0-4F2A-9B33-E9CCE1329D8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77769CD0-7AD6-443C-8075-21F5DC1FCE2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62F31214-CE1F-4FDD-9310-658519289C2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AC735C99-A148-4400-94C0-8F49CDEC998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E3D090F4-5129-4C36-9928-66FF8C9BBFA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487CD399-8CD8-487B-8E12-5BB1302DDC9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6CB9EEE2-9A8F-4934-B046-83C3E1D8089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227B3311-0C6E-4457-8D71-09111A24723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C3680C95-85CF-47A3-B30B-5009072E68B7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E610E854-88C8-460A-8E1D-9C3D2A0EF79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A1CC41D7-BD9E-4495-B2AC-64817B7DB1E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1039D085-BA99-48E4-91C3-8090DCAFA88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E267F2DD-7E95-4133-AAC6-8F875798233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75525E85-0B1F-4395-82B4-58FA6EDD25D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34A3E14F-0558-4870-BFA9-F5F6A51E768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91F2AC3-6F62-4F81-82BE-3AF832D99497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179FFA2D-DEA4-4775-BE40-672BA874E900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9889D62-E667-468D-AAAA-C60BEC98D8A7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AB1F598F-B215-4CD7-936B-E4202BA464B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61127321-FA08-4B51-99A7-A483CE7AFD2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A7B299FB-BC70-402E-BC4F-4B574CE06E4F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89D40FA3-822C-471C-A431-1B3ACD09B0E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C920B9CF-C4AA-4EE4-AD7B-EFD012FEB21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78DB8397-8141-4A98-AF8D-898D06FFC2BF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EFE1B503-E946-403B-ABC7-68E21EE75B28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116B2BE1-D941-44F6-BF72-3ED694573E2E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92A657AE-07B4-426B-86AD-7F847C75A4A1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482AA7F9-11D7-4EE8-88D7-7793B25AA89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1DEE936E-0177-4DF8-B1E6-FD021FFF927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CFF15E86-4265-45E1-8417-C71C03045548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B5A6C992-0002-4BB7-859D-8DD21DCEB53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3ECF4C10-29AA-490C-9A3F-6536847D040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1FB4368-B4D9-44BC-80C9-21DBC3282E9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64F21DF0-E718-4E83-837C-4D93D8CA23E4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48C6A22B-3B17-4802-9D40-CE7BFA746A3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C5BE04C-4596-443E-8507-50FCBBEB31E5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6983E019-0646-4C51-8A52-4BAEFE93E42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6FECC688-2A64-4B61-965E-F88DE5AED9D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8B3E2049-6CC0-4603-981B-18BA5F3459B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FC135341-8A40-427A-901E-DB5E0A3FBA6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1FDC2C7D-897D-4BD1-8C88-69096A5DC4C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8AB129E9-4FD0-4E63-BFAA-550500471F5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0CB26B76-FBE5-496C-B933-37A29EE3433E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037C1B44-C434-4698-91DB-FDF34B8E7757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08A4436F-C548-40B6-8244-23062AA5DC35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291D7348-92DD-4281-80C1-D91EC6D6CE5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4453F687-947A-406E-BDC6-F565D1AF8190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38E22A39-9321-4AE6-A894-0DE908BDECF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EEA2A07E-AA4D-4950-ACBC-0AE19CC04AE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B374587D-A1BE-4EE0-9EB5-E0397C836C4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B0D1A0EC-F8DE-4728-B7DC-58166A44644B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F6B4342A-0C78-41E9-A5EB-2D8AB9025762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ABA99AA9-4458-400B-A00D-CA9AEDD73DEC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A3FC896-1662-47B6-92C8-9CC86E2B34A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B08F6332-AD60-41F8-97CC-0CA78EA63C6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E540C2CB-F75E-47F8-97D4-2255D2962AF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73191A34-9353-45A9-AA82-76CCA006ED8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484E2146-46C5-436B-941C-73CC239EC10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5AA8C3EB-854B-4390-8DA1-D37B47E101D9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6EDB4AF1-4E2E-458C-A1BE-0062F9E44849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A5BEDDA1-6295-4ABE-A10C-FF475D9CEF23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70057A63-9B79-409D-B68B-E7B268407EC2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C205FBAB-F8C9-4B4A-A9DF-0EC43813BB9D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D4E5F943-372C-43E7-90F3-F517545BC8FA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F6AF9151-3C8E-4F8D-963E-FCC9FAD176A3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A07C21C7-8763-4DAB-909B-632804210A1E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4DDD88D1-58FD-430A-8EE7-7E62F5411CC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9F2A5F2-D9A8-4308-97D4-06AC4D204F0C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00718BE0-0424-4E43-833A-FBE721D2AB84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9FF8A759-983F-4249-BE5E-FEB11B3EF426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D1BF2C32-288E-42F2-A618-01C96B1B8516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A51F72D3-832E-48E2-8407-E6038D575143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E56808A8-B866-48C0-AAD7-852B5569DED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DCEDE9E3-75A1-4147-8B1F-631C4C32BA26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3B36C629-E5DA-4F37-959A-02392663B902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B06DF496-3D92-45E0-BFB4-10449E7E3A6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0E7BDF7D-0F89-4CC7-A77F-F3A196CC533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9134F084-14A2-430C-984E-BF17E7151DFE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litbang 0</author>
    <author>Yayuk</author>
    <author>AJUDAN-FARAH</author>
    <author>Litbang3</author>
    <author>Litbang21</author>
  </authors>
  <commentList>
    <comment ref="G45" authorId="0" shapeId="0" xr:uid="{45B35C19-7A4C-4D8F-AA01-958815AC139D}">
      <text>
        <r>
          <rPr>
            <b/>
            <sz val="9"/>
            <color indexed="81"/>
            <rFont val="Tahoma"/>
            <family val="2"/>
          </rPr>
          <t>litbang 0:</t>
        </r>
        <r>
          <rPr>
            <sz val="9"/>
            <color indexed="81"/>
            <rFont val="Tahoma"/>
            <family val="2"/>
          </rPr>
          <t xml:space="preserve">
susu Bendera 
</t>
        </r>
      </text>
    </comment>
    <comment ref="D53" authorId="1" shapeId="0" xr:uid="{99482A6E-7E38-4D64-A872-454A2A3D0487}">
      <text>
        <r>
          <rPr>
            <b/>
            <sz val="9"/>
            <color indexed="81"/>
            <rFont val="Tahoma"/>
            <family val="2"/>
          </rPr>
          <t>Yayuk:</t>
        </r>
        <r>
          <rPr>
            <sz val="9"/>
            <color indexed="81"/>
            <rFont val="Tahoma"/>
            <family val="2"/>
          </rPr>
          <t xml:space="preserve">
ukuran 500gr
</t>
        </r>
      </text>
    </comment>
    <comment ref="E53" authorId="2" shapeId="0" xr:uid="{7885F717-E700-4586-9D3B-58BE808EB662}">
      <text>
        <r>
          <rPr>
            <b/>
            <sz val="9"/>
            <color indexed="81"/>
            <rFont val="Tahoma"/>
            <family val="2"/>
          </rPr>
          <t>AJUDAN-FARAH:</t>
        </r>
        <r>
          <rPr>
            <sz val="9"/>
            <color indexed="81"/>
            <rFont val="Tahoma"/>
            <family val="2"/>
          </rPr>
          <t xml:space="preserve">
ukuran 1kg</t>
        </r>
      </text>
    </comment>
    <comment ref="F53" authorId="3" shapeId="0" xr:uid="{9EEB69F9-8F7C-448F-9465-367CA52F4CF1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G53" authorId="3" shapeId="0" xr:uid="{085C6007-38DA-4535-A633-C7611F11B435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H53" authorId="3" shapeId="0" xr:uid="{F330344C-4088-483B-858C-45BF1AB4E44B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I53" authorId="3" shapeId="0" xr:uid="{0D559C70-D91E-4243-A4F7-F7FB977BB49D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500 gr</t>
        </r>
      </text>
    </comment>
    <comment ref="J53" authorId="3" shapeId="0" xr:uid="{D26912BD-71E1-4B52-AC1E-494F6AB5AD77}">
      <text>
        <r>
          <rPr>
            <b/>
            <sz val="9"/>
            <color indexed="81"/>
            <rFont val="Tahoma"/>
            <family val="2"/>
          </rPr>
          <t>Litbang3:</t>
        </r>
        <r>
          <rPr>
            <sz val="9"/>
            <color indexed="81"/>
            <rFont val="Tahoma"/>
            <family val="2"/>
          </rPr>
          <t xml:space="preserve">
ukuran 200 gram</t>
        </r>
      </text>
    </comment>
    <comment ref="B86" authorId="4" shapeId="0" xr:uid="{188F1933-6396-4075-9AB2-BCF275300115}">
      <text>
        <r>
          <rPr>
            <b/>
            <sz val="9"/>
            <color indexed="81"/>
            <rFont val="Tahoma"/>
            <family val="2"/>
          </rPr>
          <t>Litbang21: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<sst xmlns="http://schemas.openxmlformats.org/spreadsheetml/2006/main" count="7255" uniqueCount="151">
  <si>
    <t>LAPORAN HARGA BAHAN POKOK DI KOTA SURABAYA</t>
  </si>
  <si>
    <t xml:space="preserve"> </t>
  </si>
  <si>
    <t>NAMA BAHAN POKOK DAN PENTING LAINNYA</t>
  </si>
  <si>
    <t>SAT</t>
  </si>
  <si>
    <t>BERAS</t>
  </si>
  <si>
    <t>Kg</t>
  </si>
  <si>
    <t>- Beras Jagung</t>
  </si>
  <si>
    <t>- Beras Ketan (Jenis Siyem)</t>
  </si>
  <si>
    <t>GULA</t>
  </si>
  <si>
    <t>- Gula Jawa/Merah (Bahan Kelapa)</t>
  </si>
  <si>
    <t>MINYAK GORENG</t>
  </si>
  <si>
    <t>- Minyak Goreng Curah (Bening)</t>
  </si>
  <si>
    <t>MENTEGA</t>
  </si>
  <si>
    <t>- Mentega Curah (Amanda)</t>
  </si>
  <si>
    <t>DAGING</t>
  </si>
  <si>
    <t>- Daging Sapi Grade Atas</t>
  </si>
  <si>
    <t>- Daging Sapi Grade Sedang</t>
  </si>
  <si>
    <t>- Daging Sapi Grade Bawah</t>
  </si>
  <si>
    <t>- Daging Ayam Broiler</t>
  </si>
  <si>
    <t>I K A N</t>
  </si>
  <si>
    <t>- Ikan Tongkol Segar (Uk. Sedang)</t>
  </si>
  <si>
    <t>- Ikan Mujair Segar (Uk. Sedang)</t>
  </si>
  <si>
    <t>- Udang Segar (Uk. Sedang)</t>
  </si>
  <si>
    <t>- Ikan Lele Segar (Ukuran Sedang)</t>
  </si>
  <si>
    <t>- Ikan Bandeng Segar (Uk. Sedang)</t>
  </si>
  <si>
    <t>- Ikan Teri Asin (Bukan Teri Medan)</t>
  </si>
  <si>
    <t>TELUR</t>
  </si>
  <si>
    <t>- Telur Ayam Broiler</t>
  </si>
  <si>
    <t>- Telur Ayam Kampung</t>
  </si>
  <si>
    <t>Butir</t>
  </si>
  <si>
    <t>S U S U</t>
  </si>
  <si>
    <t>- Susu Kental Manis "INDOMILK" Putih</t>
  </si>
  <si>
    <t>390 Gr/kaleng</t>
  </si>
  <si>
    <t>SABUN CUCI</t>
  </si>
  <si>
    <t>- Sabun Detergen Rinso (Anti Noda)</t>
  </si>
  <si>
    <t>900 Gram</t>
  </si>
  <si>
    <t>- Sabun Colek "Wing's Biru"</t>
  </si>
  <si>
    <t>350 Gram</t>
  </si>
  <si>
    <t>JAGUNG</t>
  </si>
  <si>
    <t>- Jagung Pipilan Kering (Jenis Kecil)</t>
  </si>
  <si>
    <t>- Jagung Pipilan Kering (Jenis Besar)</t>
  </si>
  <si>
    <t>GARAM BERYODIUM</t>
  </si>
  <si>
    <t>- Garam Halus (Cap Kapal)</t>
  </si>
  <si>
    <t>250 Gr/Bngks</t>
  </si>
  <si>
    <t>TEPUNG TERIGU</t>
  </si>
  <si>
    <t>- Tepung Terigu "Segitiga Biru" Curah</t>
  </si>
  <si>
    <t>KACANG-KACANGAN</t>
  </si>
  <si>
    <t>- Kacang Kedelai (Kualitas Import)</t>
  </si>
  <si>
    <t>- Kacang Kedelai (Kualitas Lokal)</t>
  </si>
  <si>
    <t>- Kacang Hijau</t>
  </si>
  <si>
    <t>- Kacang Tanah (Jenis Besar)</t>
  </si>
  <si>
    <t>MIE INSTAN</t>
  </si>
  <si>
    <t>- Indomie Goreng</t>
  </si>
  <si>
    <t>86 Gr/Bngks</t>
  </si>
  <si>
    <t>C A B E</t>
  </si>
  <si>
    <t>- Cabe Merah Besar</t>
  </si>
  <si>
    <t>- Cabe Merah Kriting</t>
  </si>
  <si>
    <t>- Cabe Merah Kecil-Rawit</t>
  </si>
  <si>
    <t>BAHAN BAKAR GAS LPG</t>
  </si>
  <si>
    <t>- Gas LPG Tabung (3 Kg.)</t>
  </si>
  <si>
    <t>Per Tabung</t>
  </si>
  <si>
    <t>BAWANG</t>
  </si>
  <si>
    <t>- Bawang Putih (Jenis Kating)</t>
  </si>
  <si>
    <t>- Bawang Putih (Jenis Sinco)</t>
  </si>
  <si>
    <t>- Bawang Merah (Kualitas Lokal)</t>
  </si>
  <si>
    <t>- Bawang Bombay</t>
  </si>
  <si>
    <t>UBI-UBIAN</t>
  </si>
  <si>
    <t>- Ketela Pohon</t>
  </si>
  <si>
    <t>- Ubi Jalar</t>
  </si>
  <si>
    <t>SAYUR-SAYURAN</t>
  </si>
  <si>
    <t>- Kubis</t>
  </si>
  <si>
    <t>- Buncis</t>
  </si>
  <si>
    <t>- Kentang</t>
  </si>
  <si>
    <t>- Tomat</t>
  </si>
  <si>
    <t>- Wortel (Kualitas Lokal)</t>
  </si>
  <si>
    <t>- Terong Ungu (Jenis Sayur)</t>
  </si>
  <si>
    <t>- Bayam (Jenis Sayur)</t>
  </si>
  <si>
    <t>Ikat Kecil</t>
  </si>
  <si>
    <t>- Kangkung (Jenis Panjang)</t>
  </si>
  <si>
    <t>- Sawi (Jenis Hijau)</t>
  </si>
  <si>
    <t>AIR MINERAL</t>
  </si>
  <si>
    <t>- Air Mineral (Aqua Galon)</t>
  </si>
  <si>
    <t>19 Ltr/Galon</t>
  </si>
  <si>
    <t xml:space="preserve">HARGA BAHAN-BAHAN POKOK </t>
  </si>
  <si>
    <t>DI PASAR TRADISIONAL KOTA SURABAYA</t>
  </si>
  <si>
    <t>SATUAN</t>
  </si>
  <si>
    <t>Pasar Tambahrejo</t>
  </si>
  <si>
    <t>Pasar Pucang Anom</t>
  </si>
  <si>
    <t>Pasar Wonokromo</t>
  </si>
  <si>
    <t>Pasar Genteng Baru</t>
  </si>
  <si>
    <t>Pasar Pabean</t>
  </si>
  <si>
    <t>Pasar Kembang</t>
  </si>
  <si>
    <t>Pasar Balongsari</t>
  </si>
  <si>
    <t>Rata-Rata</t>
  </si>
  <si>
    <t>-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</si>
  <si>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</si>
  <si>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</si>
  <si>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</t>
  </si>
  <si>
    <t xml:space="preserve">  </t>
  </si>
  <si>
    <t>FLUKTUASI</t>
  </si>
  <si>
    <t>BAGIAN PEREKONOMIAN DAN SUMBER DAYA ALAM</t>
  </si>
  <si>
    <t>HET/HAPK (Harga Eceran Tertinggi)</t>
  </si>
  <si>
    <t>- Beras Premium</t>
  </si>
  <si>
    <t>- Beras Medium Bulog</t>
  </si>
  <si>
    <t>- Beras Medium</t>
  </si>
  <si>
    <t>- Gula pasir lokal curah</t>
  </si>
  <si>
    <t>- Minyak Kita</t>
  </si>
  <si>
    <t>Liter</t>
  </si>
  <si>
    <t xml:space="preserve">TAHU </t>
  </si>
  <si>
    <t>- Tahu biasa</t>
  </si>
  <si>
    <t>- Tahu susu</t>
  </si>
  <si>
    <t>TEMPE</t>
  </si>
  <si>
    <t>- Tempe Kw I (campuran kedelai)</t>
  </si>
  <si>
    <t>- Tempe Kw II (campuran jagung)</t>
  </si>
  <si>
    <t>- Tempe Kw III (campuran kulit)</t>
  </si>
  <si>
    <t>- Susu Kental Manis "BENDERA" Putih</t>
  </si>
  <si>
    <t>390 Gr/Klg</t>
  </si>
  <si>
    <t>390 Gr/klg</t>
  </si>
  <si>
    <t>HARI / TANGGAL :  Kamis  / 25 Mei 2023</t>
  </si>
  <si>
    <t>HARI / TANGGAL :  Jumat  / 26 Mei 2023</t>
  </si>
  <si>
    <t>HARI / TANGGAL :  Sabtu  / 27 Mei 2023</t>
  </si>
  <si>
    <t>HARI / TANGGAL :  Minggu  / 28 Mei 2023</t>
  </si>
  <si>
    <t>HARI / TANGGAL :  Senin  / 29  Mei 2023</t>
  </si>
  <si>
    <t>HARI / TANGGAL :  Selasa  / 30  Mei 2023</t>
  </si>
  <si>
    <t>HARI / TANGGAL :  Rabu  / 31  Mei 2023</t>
  </si>
  <si>
    <t>HARI / TANGGAL :  Senin  /  01 Mei  2023</t>
  </si>
  <si>
    <t>HARI / TANGGAL :  Selasa  /  02 Mei  2023</t>
  </si>
  <si>
    <t>HARI / TANGGAL :  Rabu  /  03  Mei  2023</t>
  </si>
  <si>
    <t>HARI / TANGGAL :  Kamis  /  04  Mei  2023</t>
  </si>
  <si>
    <t>HARI / TANGGAL :  Jumat  /  05  Mei  2023</t>
  </si>
  <si>
    <t>HARI / TANGGAL :  Sabtu  /  06  Mei  2023</t>
  </si>
  <si>
    <t>HARI / TANGGAL :  Minggu  /  07  Mei  2023</t>
  </si>
  <si>
    <t>HARI / TANGGAL :  Senin /  08  Mei  2023</t>
  </si>
  <si>
    <t>HARI / TANGGAL :  Selasa  /  09  Mei  2023</t>
  </si>
  <si>
    <t>HARI / TANGGAL :  Rabu  /  10  Mei  2023</t>
  </si>
  <si>
    <t>HARI / TANGGAL :  Kamis   /  11  Mei  2023</t>
  </si>
  <si>
    <t>HARI / TANGGAL :  Jumat   /  12  Mei  2023</t>
  </si>
  <si>
    <t>HARI / TANGGAL :  Sabtu   /  13  Mei  2023</t>
  </si>
  <si>
    <t>HARI / TANGGAL :  Minggu   /  14  Mei  2023</t>
  </si>
  <si>
    <t>HARI / TANGGAL :  Senin   /  15  Mei  2023</t>
  </si>
  <si>
    <t>HARI / TANGGAL :  Selasa   /  16  Mei  2023</t>
  </si>
  <si>
    <t>HARI / TANGGAL :  Kamis   /  18  Mei  2023</t>
  </si>
  <si>
    <t>HARI / TANGGAL :  Jumat  /  19  Mei  2023</t>
  </si>
  <si>
    <t>HARI / TANGGAL :  Sabtu / 20 Mei 2023</t>
  </si>
  <si>
    <t>HARI / TANGGAL :  Minggu / 21 Mei 2023</t>
  </si>
  <si>
    <t>HARI / TANGGAL :  Senin / 22 Mei 2023</t>
  </si>
  <si>
    <t>HARI / TANGGAL :  Selasa  / 23 Mei 2023</t>
  </si>
  <si>
    <t>HARI / TANGGAL :  Rabu  / 24 Mei 2023</t>
  </si>
  <si>
    <t>HARI / TANGGAL :  Rabu   /  17  Mei  2023</t>
  </si>
  <si>
    <t>GRAFIK LAPORAN HARGA BAHAN POKOK DI KOTA SURABAYA</t>
  </si>
  <si>
    <t>PERIODE MEI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</si>
</sst>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29" x14ac:knownFonts="1">
    <font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0"/>
      <name val="Arial"/>
      <family val="2"/>
    </font>
    <font>
      <b/>
      <sz val="11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Tahoma"/>
      <family val="2"/>
    </font>
    <font>
      <sz val="12"/>
      <color theme="1"/>
      <name val="Calibri"/>
      <family val="2"/>
      <charset val="1"/>
      <scheme val="minor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Arial"/>
      <family val="2"/>
    </font>
    <font>
      <b/>
      <sz val="11"/>
      <color theme="1" tint="4.9989318521683403E-2"/>
      <name val="Tahoma"/>
      <family val="2"/>
    </font>
    <font>
      <b/>
      <sz val="11"/>
      <name val="Arial"/>
      <family val="2"/>
    </font>
    <font>
      <b/>
      <sz val="11"/>
      <color theme="5" tint="-0.249977111117893"/>
      <name val="Tahoma"/>
      <family val="2"/>
    </font>
    <font>
      <sz val="11"/>
      <color theme="5" tint="-0.249977111117893"/>
      <name val="Tahoma"/>
      <family val="2"/>
    </font>
    <font>
      <sz val="11"/>
      <color theme="1" tint="4.9989318521683403E-2"/>
      <name val="Tahoma"/>
      <family val="2"/>
    </font>
    <font>
      <sz val="12"/>
      <color rgb="FFFF00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20" fillId="0" borderId="0"/>
  </cellStyleXfs>
  <cellXfs count="239">
    <xf numFmtId="0" fontId="0" fillId="0" borderId="0" xfId="0"/>
    <xf numFmtId="164" fontId="0" fillId="0" borderId="0" xfId="0" applyNumberFormat="1"/>
    <xf numFmtId="0" fontId="0" fillId="2" borderId="0" xfId="0" applyFill="1"/>
    <xf numFmtId="0" fontId="8" fillId="0" borderId="0" xfId="0" applyFont="1"/>
    <xf numFmtId="0" fontId="0" fillId="6" borderId="0" xfId="0" applyFill="1"/>
    <xf numFmtId="0" fontId="10" fillId="0" borderId="0" xfId="0" applyFont="1"/>
    <xf numFmtId="0" fontId="3" fillId="3" borderId="4" xfId="1" applyFont="1" applyFill="1" applyBorder="1" applyAlignment="1">
      <alignment vertical="center"/>
    </xf>
    <xf numFmtId="0" fontId="11" fillId="3" borderId="4" xfId="1" applyFont="1" applyFill="1" applyBorder="1" applyAlignment="1">
      <alignment vertical="center"/>
    </xf>
    <xf numFmtId="0" fontId="12" fillId="0" borderId="21" xfId="1" applyFont="1" applyBorder="1" applyAlignment="1">
      <alignment vertical="center"/>
    </xf>
    <xf numFmtId="0" fontId="11" fillId="0" borderId="22" xfId="1" applyFont="1" applyBorder="1" applyAlignment="1">
      <alignment vertical="center"/>
    </xf>
    <xf numFmtId="0" fontId="13" fillId="0" borderId="22" xfId="1" applyFont="1" applyBorder="1"/>
    <xf numFmtId="0" fontId="13" fillId="0" borderId="23" xfId="1" applyFont="1" applyBorder="1"/>
    <xf numFmtId="0" fontId="11" fillId="0" borderId="2" xfId="1" applyFont="1" applyBorder="1" applyAlignment="1">
      <alignment horizontal="center" vertical="top"/>
    </xf>
    <xf numFmtId="0" fontId="11" fillId="0" borderId="6" xfId="1" quotePrefix="1" applyFont="1" applyBorder="1" applyAlignment="1">
      <alignment vertical="center"/>
    </xf>
    <xf numFmtId="0" fontId="11" fillId="0" borderId="6" xfId="1" applyFont="1" applyBorder="1" applyAlignment="1">
      <alignment horizontal="center" vertical="center"/>
    </xf>
    <xf numFmtId="164" fontId="14" fillId="0" borderId="25" xfId="2" applyFont="1" applyFill="1" applyBorder="1" applyAlignment="1">
      <alignment vertical="center"/>
    </xf>
    <xf numFmtId="164" fontId="14" fillId="0" borderId="26" xfId="2" applyFont="1" applyFill="1" applyBorder="1" applyAlignment="1">
      <alignment vertical="center"/>
    </xf>
    <xf numFmtId="164" fontId="15" fillId="0" borderId="27" xfId="2" applyFont="1" applyBorder="1" applyAlignment="1">
      <alignment vertical="center"/>
    </xf>
    <xf numFmtId="164" fontId="10" fillId="0" borderId="0" xfId="0" applyNumberFormat="1" applyFont="1"/>
    <xf numFmtId="164" fontId="9" fillId="0" borderId="25" xfId="2" applyFont="1" applyFill="1" applyBorder="1" applyAlignment="1">
      <alignment horizontal="center" vertical="center"/>
    </xf>
    <xf numFmtId="164" fontId="15" fillId="0" borderId="27" xfId="2" applyFont="1" applyBorder="1"/>
    <xf numFmtId="164" fontId="14" fillId="0" borderId="24" xfId="2" applyFont="1" applyFill="1" applyBorder="1" applyAlignment="1">
      <alignment vertical="center"/>
    </xf>
    <xf numFmtId="164" fontId="3" fillId="0" borderId="25" xfId="2" applyFont="1" applyFill="1" applyBorder="1" applyAlignment="1">
      <alignment vertical="center"/>
    </xf>
    <xf numFmtId="164" fontId="14" fillId="0" borderId="26" xfId="2" applyFont="1" applyFill="1" applyBorder="1" applyAlignment="1">
      <alignment horizontal="center" vertical="center"/>
    </xf>
    <xf numFmtId="164" fontId="3" fillId="0" borderId="26" xfId="2" applyFont="1" applyFill="1" applyBorder="1" applyAlignment="1">
      <alignment horizontal="center" vertical="center"/>
    </xf>
    <xf numFmtId="164" fontId="3" fillId="2" borderId="26" xfId="2" applyFont="1" applyFill="1" applyBorder="1" applyAlignment="1">
      <alignment horizontal="center" vertical="center"/>
    </xf>
    <xf numFmtId="164" fontId="14" fillId="0" borderId="25" xfId="2" applyFont="1" applyFill="1" applyBorder="1" applyAlignment="1">
      <alignment horizontal="center" vertical="center"/>
    </xf>
    <xf numFmtId="164" fontId="11" fillId="0" borderId="25" xfId="2" applyFont="1" applyFill="1" applyBorder="1" applyAlignment="1">
      <alignment horizontal="center" vertical="center"/>
    </xf>
    <xf numFmtId="0" fontId="11" fillId="0" borderId="7" xfId="1" applyFont="1" applyBorder="1" applyAlignment="1">
      <alignment horizontal="center" vertical="top"/>
    </xf>
    <xf numFmtId="0" fontId="3" fillId="3" borderId="6" xfId="1" applyFont="1" applyFill="1" applyBorder="1" applyAlignment="1">
      <alignment vertical="center"/>
    </xf>
    <xf numFmtId="0" fontId="11" fillId="4" borderId="6" xfId="1" applyFont="1" applyFill="1" applyBorder="1" applyAlignment="1">
      <alignment vertical="center"/>
    </xf>
    <xf numFmtId="0" fontId="12" fillId="0" borderId="24" xfId="1" applyFont="1" applyBorder="1" applyAlignment="1">
      <alignment vertical="center"/>
    </xf>
    <xf numFmtId="164" fontId="11" fillId="0" borderId="25" xfId="2" applyFont="1" applyFill="1" applyBorder="1" applyAlignment="1">
      <alignment vertical="center"/>
    </xf>
    <xf numFmtId="0" fontId="11" fillId="0" borderId="25" xfId="1" applyFont="1" applyBorder="1" applyAlignment="1">
      <alignment vertical="center"/>
    </xf>
    <xf numFmtId="164" fontId="13" fillId="0" borderId="25" xfId="2" applyFont="1" applyFill="1" applyBorder="1" applyAlignment="1"/>
    <xf numFmtId="164" fontId="13" fillId="0" borderId="26" xfId="2" applyFont="1" applyFill="1" applyBorder="1" applyAlignment="1"/>
    <xf numFmtId="164" fontId="15" fillId="4" borderId="27" xfId="2" applyFont="1" applyFill="1" applyBorder="1"/>
    <xf numFmtId="0" fontId="10" fillId="2" borderId="0" xfId="0" applyFont="1" applyFill="1"/>
    <xf numFmtId="164" fontId="14" fillId="2" borderId="26" xfId="2" applyFont="1" applyFill="1" applyBorder="1" applyAlignment="1">
      <alignment vertical="center"/>
    </xf>
    <xf numFmtId="164" fontId="14" fillId="0" borderId="24" xfId="2" applyFont="1" applyFill="1" applyBorder="1" applyAlignment="1">
      <alignment horizontal="center" vertical="center"/>
    </xf>
    <xf numFmtId="0" fontId="3" fillId="4" borderId="6" xfId="1" applyFont="1" applyFill="1" applyBorder="1" applyAlignment="1">
      <alignment vertical="center"/>
    </xf>
    <xf numFmtId="0" fontId="9" fillId="0" borderId="24" xfId="1" applyFont="1" applyBorder="1" applyAlignment="1">
      <alignment vertical="center"/>
    </xf>
    <xf numFmtId="0" fontId="3" fillId="0" borderId="25" xfId="1" applyFont="1" applyBorder="1" applyAlignment="1">
      <alignment horizontal="center" vertical="center"/>
    </xf>
    <xf numFmtId="0" fontId="3" fillId="0" borderId="25" xfId="1" applyFont="1" applyBorder="1" applyAlignment="1">
      <alignment vertical="center"/>
    </xf>
    <xf numFmtId="0" fontId="3" fillId="0" borderId="26" xfId="1" applyFont="1" applyBorder="1" applyAlignment="1">
      <alignment vertical="center"/>
    </xf>
    <xf numFmtId="0" fontId="3" fillId="2" borderId="26" xfId="1" applyFont="1" applyFill="1" applyBorder="1" applyAlignment="1">
      <alignment vertical="center"/>
    </xf>
    <xf numFmtId="0" fontId="16" fillId="0" borderId="25" xfId="1" applyFont="1" applyBorder="1" applyAlignment="1">
      <alignment vertical="center"/>
    </xf>
    <xf numFmtId="164" fontId="11" fillId="0" borderId="26" xfId="2" applyFont="1" applyFill="1" applyBorder="1" applyAlignment="1">
      <alignment horizontal="center" vertical="center"/>
    </xf>
    <xf numFmtId="164" fontId="11" fillId="2" borderId="26" xfId="2" applyFont="1" applyFill="1" applyBorder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2" borderId="26" xfId="1" applyFont="1" applyFill="1" applyBorder="1" applyAlignment="1">
      <alignment horizontal="center" vertical="center"/>
    </xf>
    <xf numFmtId="164" fontId="9" fillId="0" borderId="26" xfId="2" applyFont="1" applyFill="1" applyBorder="1" applyAlignment="1">
      <alignment horizontal="center" vertical="center"/>
    </xf>
    <xf numFmtId="164" fontId="14" fillId="2" borderId="26" xfId="2" applyFont="1" applyFill="1" applyBorder="1" applyAlignment="1">
      <alignment horizontal="center" vertical="center"/>
    </xf>
    <xf numFmtId="164" fontId="9" fillId="2" borderId="26" xfId="2" applyFont="1" applyFill="1" applyBorder="1" applyAlignment="1">
      <alignment horizontal="center" vertical="center"/>
    </xf>
    <xf numFmtId="164" fontId="3" fillId="0" borderId="25" xfId="2" applyFont="1" applyFill="1" applyBorder="1" applyAlignment="1">
      <alignment horizontal="center" vertical="center"/>
    </xf>
    <xf numFmtId="0" fontId="14" fillId="2" borderId="26" xfId="1" applyFont="1" applyFill="1" applyBorder="1" applyAlignment="1">
      <alignment vertical="center"/>
    </xf>
    <xf numFmtId="0" fontId="11" fillId="0" borderId="25" xfId="1" applyFont="1" applyBorder="1" applyAlignment="1">
      <alignment horizontal="center" vertical="center"/>
    </xf>
    <xf numFmtId="0" fontId="3" fillId="3" borderId="6" xfId="1" applyFont="1" applyFill="1" applyBorder="1" applyAlignment="1">
      <alignment horizontal="left" vertical="center"/>
    </xf>
    <xf numFmtId="0" fontId="11" fillId="4" borderId="6" xfId="1" applyFont="1" applyFill="1" applyBorder="1" applyAlignment="1">
      <alignment horizontal="center" vertical="center"/>
    </xf>
    <xf numFmtId="164" fontId="12" fillId="0" borderId="24" xfId="2" applyFont="1" applyFill="1" applyBorder="1" applyAlignment="1">
      <alignment vertical="center"/>
    </xf>
    <xf numFmtId="164" fontId="17" fillId="0" borderId="25" xfId="2" applyFont="1" applyFill="1" applyBorder="1" applyAlignment="1">
      <alignment vertical="center"/>
    </xf>
    <xf numFmtId="164" fontId="11" fillId="0" borderId="26" xfId="2" applyFont="1" applyFill="1" applyBorder="1" applyAlignment="1">
      <alignment vertical="center"/>
    </xf>
    <xf numFmtId="164" fontId="11" fillId="2" borderId="26" xfId="2" applyFont="1" applyFill="1" applyBorder="1" applyAlignment="1">
      <alignment vertical="center"/>
    </xf>
    <xf numFmtId="0" fontId="11" fillId="5" borderId="6" xfId="1" applyFont="1" applyFill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7" fillId="0" borderId="25" xfId="1" applyFont="1" applyBorder="1" applyAlignment="1">
      <alignment horizontal="center" vertical="center"/>
    </xf>
    <xf numFmtId="0" fontId="17" fillId="0" borderId="25" xfId="1" applyFont="1" applyBorder="1" applyAlignment="1">
      <alignment vertical="center"/>
    </xf>
    <xf numFmtId="0" fontId="11" fillId="0" borderId="26" xfId="1" applyFont="1" applyBorder="1" applyAlignment="1">
      <alignment vertical="center"/>
    </xf>
    <xf numFmtId="0" fontId="18" fillId="2" borderId="26" xfId="1" applyFont="1" applyFill="1" applyBorder="1" applyAlignment="1">
      <alignment vertical="center"/>
    </xf>
    <xf numFmtId="0" fontId="11" fillId="5" borderId="6" xfId="1" quotePrefix="1" applyFont="1" applyFill="1" applyBorder="1" applyAlignment="1">
      <alignment vertical="center"/>
    </xf>
    <xf numFmtId="164" fontId="17" fillId="0" borderId="25" xfId="2" applyFont="1" applyFill="1" applyBorder="1" applyAlignment="1">
      <alignment horizontal="center" vertical="center"/>
    </xf>
    <xf numFmtId="164" fontId="18" fillId="0" borderId="26" xfId="2" applyFont="1" applyFill="1" applyBorder="1" applyAlignment="1">
      <alignment horizontal="center" vertical="center"/>
    </xf>
    <xf numFmtId="0" fontId="19" fillId="0" borderId="0" xfId="0" applyFont="1"/>
    <xf numFmtId="0" fontId="11" fillId="0" borderId="8" xfId="1" applyFont="1" applyBorder="1" applyAlignment="1">
      <alignment horizontal="center" vertical="center"/>
    </xf>
    <xf numFmtId="164" fontId="16" fillId="0" borderId="24" xfId="2" applyFont="1" applyFill="1" applyBorder="1" applyAlignment="1">
      <alignment vertical="center"/>
    </xf>
    <xf numFmtId="164" fontId="18" fillId="2" borderId="26" xfId="2" applyFont="1" applyFill="1" applyBorder="1" applyAlignment="1">
      <alignment vertical="center"/>
    </xf>
    <xf numFmtId="0" fontId="11" fillId="0" borderId="7" xfId="1" applyFont="1" applyBorder="1" applyAlignment="1">
      <alignment horizontal="center" vertical="center"/>
    </xf>
    <xf numFmtId="164" fontId="18" fillId="0" borderId="24" xfId="2" applyFont="1" applyFill="1" applyBorder="1" applyAlignment="1">
      <alignment vertical="center"/>
    </xf>
    <xf numFmtId="0" fontId="11" fillId="3" borderId="6" xfId="1" applyFont="1" applyFill="1" applyBorder="1" applyAlignment="1">
      <alignment horizontal="center" vertical="center"/>
    </xf>
    <xf numFmtId="164" fontId="16" fillId="0" borderId="25" xfId="2" applyFont="1" applyFill="1" applyBorder="1" applyAlignment="1">
      <alignment vertical="center"/>
    </xf>
    <xf numFmtId="0" fontId="11" fillId="0" borderId="2" xfId="1" applyFont="1" applyBorder="1" applyAlignment="1">
      <alignment horizontal="center" vertical="center"/>
    </xf>
    <xf numFmtId="164" fontId="14" fillId="0" borderId="26" xfId="2" applyFont="1" applyFill="1" applyBorder="1" applyAlignment="1"/>
    <xf numFmtId="164" fontId="3" fillId="0" borderId="26" xfId="2" applyFont="1" applyFill="1" applyBorder="1" applyAlignment="1">
      <alignment horizontal="center"/>
    </xf>
    <xf numFmtId="164" fontId="14" fillId="2" borderId="26" xfId="2" applyFont="1" applyFill="1" applyBorder="1" applyAlignment="1">
      <alignment horizontal="center"/>
    </xf>
    <xf numFmtId="164" fontId="17" fillId="0" borderId="24" xfId="2" applyFont="1" applyFill="1" applyBorder="1" applyAlignment="1">
      <alignment vertical="center"/>
    </xf>
    <xf numFmtId="0" fontId="11" fillId="0" borderId="0" xfId="1" applyFont="1" applyAlignment="1">
      <alignment vertical="center"/>
    </xf>
    <xf numFmtId="0" fontId="13" fillId="4" borderId="33" xfId="1" applyFont="1" applyFill="1" applyBorder="1"/>
    <xf numFmtId="164" fontId="3" fillId="0" borderId="26" xfId="2" applyFont="1" applyFill="1" applyBorder="1" applyAlignment="1">
      <alignment vertical="center"/>
    </xf>
    <xf numFmtId="0" fontId="9" fillId="0" borderId="1" xfId="1" applyFont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164" fontId="5" fillId="2" borderId="6" xfId="2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164" fontId="15" fillId="12" borderId="27" xfId="2" applyFont="1" applyFill="1" applyBorder="1"/>
    <xf numFmtId="0" fontId="3" fillId="12" borderId="6" xfId="1" applyFont="1" applyFill="1" applyBorder="1" applyAlignment="1">
      <alignment vertical="center"/>
    </xf>
    <xf numFmtId="0" fontId="11" fillId="12" borderId="6" xfId="1" applyFont="1" applyFill="1" applyBorder="1" applyAlignment="1">
      <alignment horizontal="center" vertical="center"/>
    </xf>
    <xf numFmtId="0" fontId="20" fillId="0" borderId="0" xfId="3"/>
    <xf numFmtId="0" fontId="10" fillId="0" borderId="0" xfId="3" applyFont="1"/>
    <xf numFmtId="164" fontId="20" fillId="0" borderId="0" xfId="3" applyNumberFormat="1"/>
    <xf numFmtId="164" fontId="10" fillId="0" borderId="0" xfId="3" applyNumberFormat="1" applyFont="1"/>
    <xf numFmtId="0" fontId="10" fillId="2" borderId="0" xfId="3" applyFont="1" applyFill="1"/>
    <xf numFmtId="0" fontId="19" fillId="0" borderId="0" xfId="3" applyFont="1"/>
    <xf numFmtId="0" fontId="20" fillId="6" borderId="0" xfId="3" applyFill="1"/>
    <xf numFmtId="0" fontId="20" fillId="2" borderId="0" xfId="3" applyFill="1"/>
    <xf numFmtId="16" fontId="4" fillId="2" borderId="1" xfId="1" applyNumberFormat="1" applyFont="1" applyFill="1" applyBorder="1" applyAlignment="1">
      <alignment horizontal="center" vertical="center" wrapText="1"/>
    </xf>
    <xf numFmtId="16" fontId="4" fillId="2" borderId="3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top"/>
    </xf>
    <xf numFmtId="0" fontId="11" fillId="2" borderId="6" xfId="1" quotePrefix="1" applyFont="1" applyFill="1" applyBorder="1" applyAlignment="1">
      <alignment vertical="center"/>
    </xf>
    <xf numFmtId="0" fontId="11" fillId="2" borderId="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top"/>
    </xf>
    <xf numFmtId="0" fontId="11" fillId="2" borderId="8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3" fillId="16" borderId="4" xfId="1" applyFont="1" applyFill="1" applyBorder="1" applyAlignment="1">
      <alignment vertical="center"/>
    </xf>
    <xf numFmtId="0" fontId="11" fillId="16" borderId="4" xfId="1" applyFont="1" applyFill="1" applyBorder="1" applyAlignment="1">
      <alignment vertical="center"/>
    </xf>
    <xf numFmtId="0" fontId="2" fillId="16" borderId="5" xfId="1" applyFill="1" applyBorder="1"/>
    <xf numFmtId="0" fontId="3" fillId="16" borderId="6" xfId="1" applyFont="1" applyFill="1" applyBorder="1" applyAlignment="1">
      <alignment vertical="center"/>
    </xf>
    <xf numFmtId="0" fontId="11" fillId="16" borderId="6" xfId="1" applyFont="1" applyFill="1" applyBorder="1" applyAlignment="1">
      <alignment vertical="center"/>
    </xf>
    <xf numFmtId="164" fontId="5" fillId="16" borderId="6" xfId="2" applyFont="1" applyFill="1" applyBorder="1" applyAlignment="1">
      <alignment vertical="center"/>
    </xf>
    <xf numFmtId="0" fontId="11" fillId="16" borderId="6" xfId="1" applyFont="1" applyFill="1" applyBorder="1" applyAlignment="1">
      <alignment horizontal="center" vertical="center"/>
    </xf>
    <xf numFmtId="0" fontId="3" fillId="16" borderId="6" xfId="1" applyFont="1" applyFill="1" applyBorder="1" applyAlignment="1">
      <alignment horizontal="left" vertical="center"/>
    </xf>
    <xf numFmtId="0" fontId="25" fillId="0" borderId="0" xfId="0" applyFont="1"/>
    <xf numFmtId="164" fontId="25" fillId="0" borderId="0" xfId="0" applyNumberFormat="1" applyFont="1"/>
    <xf numFmtId="0" fontId="25" fillId="2" borderId="0" xfId="0" applyFont="1" applyFill="1"/>
    <xf numFmtId="0" fontId="26" fillId="0" borderId="0" xfId="0" applyFont="1"/>
    <xf numFmtId="0" fontId="24" fillId="0" borderId="0" xfId="0" applyFont="1"/>
    <xf numFmtId="164" fontId="5" fillId="12" borderId="6" xfId="2" applyFont="1" applyFill="1" applyBorder="1" applyAlignment="1">
      <alignment vertical="center"/>
    </xf>
    <xf numFmtId="0" fontId="5" fillId="12" borderId="5" xfId="1" applyFont="1" applyFill="1" applyBorder="1"/>
    <xf numFmtId="0" fontId="2" fillId="12" borderId="5" xfId="1" applyFill="1" applyBorder="1"/>
    <xf numFmtId="0" fontId="11" fillId="2" borderId="0" xfId="1" quotePrefix="1" applyFont="1" applyFill="1" applyAlignment="1">
      <alignment vertical="center"/>
    </xf>
    <xf numFmtId="0" fontId="11" fillId="2" borderId="0" xfId="1" applyFont="1" applyFill="1" applyAlignment="1">
      <alignment horizontal="center" vertical="center"/>
    </xf>
    <xf numFmtId="164" fontId="5" fillId="2" borderId="0" xfId="2" applyFont="1" applyFill="1" applyBorder="1" applyAlignment="1">
      <alignment vertical="center"/>
    </xf>
    <xf numFmtId="0" fontId="11" fillId="2" borderId="34" xfId="1" quotePrefix="1" applyFont="1" applyFill="1" applyBorder="1" applyAlignment="1">
      <alignment vertical="center"/>
    </xf>
    <xf numFmtId="0" fontId="11" fillId="2" borderId="34" xfId="1" applyFont="1" applyFill="1" applyBorder="1" applyAlignment="1">
      <alignment horizontal="center" vertical="center"/>
    </xf>
    <xf numFmtId="164" fontId="5" fillId="2" borderId="34" xfId="2" applyFont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34" xfId="1" applyFont="1" applyFill="1" applyBorder="1" applyAlignment="1">
      <alignment vertical="center"/>
    </xf>
    <xf numFmtId="0" fontId="3" fillId="2" borderId="0" xfId="1" applyFont="1" applyFill="1" applyAlignment="1">
      <alignment horizontal="left"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16" fontId="21" fillId="2" borderId="1" xfId="1" applyNumberFormat="1" applyFont="1" applyFill="1" applyBorder="1" applyAlignment="1">
      <alignment horizontal="center" vertical="center" wrapText="1"/>
    </xf>
    <xf numFmtId="0" fontId="21" fillId="2" borderId="2" xfId="1" applyFont="1" applyFill="1" applyBorder="1" applyAlignment="1">
      <alignment horizontal="center" vertical="center" wrapText="1"/>
    </xf>
    <xf numFmtId="0" fontId="21" fillId="2" borderId="3" xfId="1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1" fillId="2" borderId="8" xfId="1" applyFont="1" applyFill="1" applyBorder="1" applyAlignment="1">
      <alignment horizontal="center" vertical="top"/>
    </xf>
    <xf numFmtId="0" fontId="11" fillId="2" borderId="2" xfId="1" applyFont="1" applyFill="1" applyBorder="1" applyAlignment="1">
      <alignment horizontal="center" vertical="top"/>
    </xf>
    <xf numFmtId="0" fontId="11" fillId="2" borderId="7" xfId="1" applyFont="1" applyFill="1" applyBorder="1" applyAlignment="1">
      <alignment horizontal="center" vertical="top"/>
    </xf>
    <xf numFmtId="0" fontId="21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top"/>
    </xf>
    <xf numFmtId="0" fontId="11" fillId="0" borderId="8" xfId="1" applyFont="1" applyBorder="1" applyAlignment="1">
      <alignment horizontal="center" vertical="top"/>
    </xf>
    <xf numFmtId="0" fontId="11" fillId="0" borderId="2" xfId="1" applyFont="1" applyBorder="1" applyAlignment="1">
      <alignment horizontal="center" vertical="top"/>
    </xf>
    <xf numFmtId="0" fontId="11" fillId="0" borderId="7" xfId="1" applyFont="1" applyBorder="1" applyAlignment="1">
      <alignment horizontal="center" vertical="top"/>
    </xf>
    <xf numFmtId="0" fontId="9" fillId="0" borderId="0" xfId="0" applyFont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9" fillId="12" borderId="28" xfId="1" applyFont="1" applyFill="1" applyBorder="1" applyAlignment="1">
      <alignment horizontal="center" vertical="center" wrapText="1"/>
    </xf>
    <xf numFmtId="0" fontId="9" fillId="12" borderId="30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9" fillId="10" borderId="10" xfId="1" applyFont="1" applyFill="1" applyBorder="1" applyAlignment="1">
      <alignment horizontal="center" vertical="center" wrapText="1"/>
    </xf>
    <xf numFmtId="0" fontId="9" fillId="10" borderId="13" xfId="1" applyFont="1" applyFill="1" applyBorder="1" applyAlignment="1">
      <alignment horizontal="center" vertical="center" wrapText="1"/>
    </xf>
    <xf numFmtId="0" fontId="9" fillId="10" borderId="17" xfId="1" applyFont="1" applyFill="1" applyBorder="1" applyAlignment="1">
      <alignment horizontal="center" vertical="center" wrapText="1"/>
    </xf>
    <xf numFmtId="0" fontId="9" fillId="9" borderId="11" xfId="1" applyFont="1" applyFill="1" applyBorder="1" applyAlignment="1">
      <alignment horizontal="center" vertical="center" wrapText="1"/>
    </xf>
    <xf numFmtId="0" fontId="9" fillId="9" borderId="14" xfId="1" applyFont="1" applyFill="1" applyBorder="1" applyAlignment="1">
      <alignment horizontal="center" vertical="center" wrapText="1"/>
    </xf>
    <xf numFmtId="0" fontId="9" fillId="9" borderId="18" xfId="1" applyFont="1" applyFill="1" applyBorder="1" applyAlignment="1">
      <alignment horizontal="center" vertical="center" wrapText="1"/>
    </xf>
    <xf numFmtId="0" fontId="9" fillId="7" borderId="11" xfId="1" applyFont="1" applyFill="1" applyBorder="1" applyAlignment="1">
      <alignment horizontal="center" vertical="center" wrapText="1"/>
    </xf>
    <xf numFmtId="0" fontId="9" fillId="7" borderId="15" xfId="1" applyFont="1" applyFill="1" applyBorder="1" applyAlignment="1">
      <alignment horizontal="center" vertical="center" wrapText="1"/>
    </xf>
    <xf numFmtId="0" fontId="9" fillId="7" borderId="19" xfId="1" applyFont="1" applyFill="1" applyBorder="1" applyAlignment="1">
      <alignment horizontal="center" vertical="center" wrapText="1"/>
    </xf>
    <xf numFmtId="0" fontId="9" fillId="13" borderId="12" xfId="1" applyFont="1" applyFill="1" applyBorder="1" applyAlignment="1">
      <alignment horizontal="center" vertical="center" wrapText="1"/>
    </xf>
    <xf numFmtId="0" fontId="9" fillId="13" borderId="16" xfId="1" applyFont="1" applyFill="1" applyBorder="1" applyAlignment="1">
      <alignment horizontal="center" vertical="center" wrapText="1"/>
    </xf>
    <xf numFmtId="0" fontId="9" fillId="13" borderId="20" xfId="1" applyFont="1" applyFill="1" applyBorder="1" applyAlignment="1">
      <alignment horizontal="center" vertical="center" wrapText="1"/>
    </xf>
    <xf numFmtId="0" fontId="9" fillId="14" borderId="1" xfId="1" applyFont="1" applyFill="1" applyBorder="1" applyAlignment="1">
      <alignment horizontal="center" vertical="center" wrapText="1"/>
    </xf>
    <xf numFmtId="0" fontId="9" fillId="14" borderId="2" xfId="1" applyFont="1" applyFill="1" applyBorder="1" applyAlignment="1">
      <alignment horizontal="center" vertical="center" wrapText="1"/>
    </xf>
    <xf numFmtId="0" fontId="9" fillId="14" borderId="3" xfId="1" applyFont="1" applyFill="1" applyBorder="1" applyAlignment="1">
      <alignment horizontal="center" vertical="center" wrapText="1"/>
    </xf>
    <xf numFmtId="0" fontId="9" fillId="15" borderId="1" xfId="1" applyFont="1" applyFill="1" applyBorder="1" applyAlignment="1">
      <alignment horizontal="center" vertical="center" wrapText="1"/>
    </xf>
    <xf numFmtId="0" fontId="9" fillId="15" borderId="2" xfId="1" applyFont="1" applyFill="1" applyBorder="1" applyAlignment="1">
      <alignment horizontal="center" vertical="center" wrapText="1"/>
    </xf>
    <xf numFmtId="0" fontId="9" fillId="15" borderId="3" xfId="1" applyFont="1" applyFill="1" applyBorder="1" applyAlignment="1">
      <alignment horizontal="center" vertical="center" wrapText="1"/>
    </xf>
    <xf numFmtId="0" fontId="3" fillId="2" borderId="29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0" fontId="3" fillId="2" borderId="32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top"/>
    </xf>
    <xf numFmtId="0" fontId="9" fillId="27" borderId="28" xfId="1" applyFont="1" applyFill="1" applyBorder="1" applyAlignment="1">
      <alignment horizontal="center" vertical="center" wrapText="1"/>
    </xf>
    <xf numFmtId="0" fontId="9" fillId="27" borderId="30" xfId="1" applyFont="1" applyFill="1" applyBorder="1" applyAlignment="1">
      <alignment horizontal="center" vertical="center" wrapText="1"/>
    </xf>
    <xf numFmtId="0" fontId="9" fillId="27" borderId="31" xfId="1" applyFont="1" applyFill="1" applyBorder="1" applyAlignment="1">
      <alignment horizontal="center" vertical="center" wrapText="1"/>
    </xf>
    <xf numFmtId="0" fontId="9" fillId="24" borderId="10" xfId="1" applyFont="1" applyFill="1" applyBorder="1" applyAlignment="1">
      <alignment horizontal="center" vertical="center" wrapText="1"/>
    </xf>
    <xf numFmtId="0" fontId="9" fillId="24" borderId="13" xfId="1" applyFont="1" applyFill="1" applyBorder="1" applyAlignment="1">
      <alignment horizontal="center" vertical="center" wrapText="1"/>
    </xf>
    <xf numFmtId="0" fontId="9" fillId="24" borderId="17" xfId="1" applyFont="1" applyFill="1" applyBorder="1" applyAlignment="1">
      <alignment horizontal="center" vertical="center" wrapText="1"/>
    </xf>
    <xf numFmtId="0" fontId="9" fillId="11" borderId="11" xfId="1" applyFont="1" applyFill="1" applyBorder="1" applyAlignment="1">
      <alignment horizontal="center" vertical="center" wrapText="1"/>
    </xf>
    <xf numFmtId="0" fontId="9" fillId="11" borderId="14" xfId="1" applyFont="1" applyFill="1" applyBorder="1" applyAlignment="1">
      <alignment horizontal="center" vertical="center" wrapText="1"/>
    </xf>
    <xf numFmtId="0" fontId="9" fillId="11" borderId="18" xfId="1" applyFont="1" applyFill="1" applyBorder="1" applyAlignment="1">
      <alignment horizontal="center" vertical="center" wrapText="1"/>
    </xf>
    <xf numFmtId="0" fontId="9" fillId="25" borderId="11" xfId="1" applyFont="1" applyFill="1" applyBorder="1" applyAlignment="1">
      <alignment horizontal="center" vertical="center" wrapText="1"/>
    </xf>
    <xf numFmtId="0" fontId="9" fillId="25" borderId="15" xfId="1" applyFont="1" applyFill="1" applyBorder="1" applyAlignment="1">
      <alignment horizontal="center" vertical="center" wrapText="1"/>
    </xf>
    <xf numFmtId="0" fontId="9" fillId="25" borderId="19" xfId="1" applyFont="1" applyFill="1" applyBorder="1" applyAlignment="1">
      <alignment horizontal="center" vertical="center" wrapText="1"/>
    </xf>
    <xf numFmtId="0" fontId="9" fillId="8" borderId="12" xfId="1" applyFont="1" applyFill="1" applyBorder="1" applyAlignment="1">
      <alignment horizontal="center" vertical="center" wrapText="1"/>
    </xf>
    <xf numFmtId="0" fontId="9" fillId="8" borderId="16" xfId="1" applyFont="1" applyFill="1" applyBorder="1" applyAlignment="1">
      <alignment horizontal="center" vertical="center" wrapText="1"/>
    </xf>
    <xf numFmtId="0" fontId="9" fillId="8" borderId="20" xfId="1" applyFont="1" applyFill="1" applyBorder="1" applyAlignment="1">
      <alignment horizontal="center" vertical="center" wrapText="1"/>
    </xf>
    <xf numFmtId="0" fontId="9" fillId="26" borderId="1" xfId="1" applyFont="1" applyFill="1" applyBorder="1" applyAlignment="1">
      <alignment horizontal="center" vertical="center" wrapText="1"/>
    </xf>
    <xf numFmtId="0" fontId="9" fillId="26" borderId="2" xfId="1" applyFont="1" applyFill="1" applyBorder="1" applyAlignment="1">
      <alignment horizontal="center" vertical="center" wrapText="1"/>
    </xf>
    <xf numFmtId="0" fontId="9" fillId="26" borderId="3" xfId="1" applyFont="1" applyFill="1" applyBorder="1" applyAlignment="1">
      <alignment horizontal="center" vertical="center" wrapText="1"/>
    </xf>
    <xf numFmtId="0" fontId="9" fillId="0" borderId="0" xfId="3" applyFont="1" applyAlignment="1">
      <alignment horizontal="center"/>
    </xf>
    <xf numFmtId="0" fontId="9" fillId="9" borderId="15" xfId="1" applyFont="1" applyFill="1" applyBorder="1" applyAlignment="1">
      <alignment horizontal="center" vertical="center" wrapText="1"/>
    </xf>
    <xf numFmtId="0" fontId="9" fillId="9" borderId="19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9" fillId="12" borderId="13" xfId="1" applyFont="1" applyFill="1" applyBorder="1" applyAlignment="1">
      <alignment horizontal="center" vertical="center" wrapText="1"/>
    </xf>
    <xf numFmtId="0" fontId="9" fillId="12" borderId="17" xfId="1" applyFont="1" applyFill="1" applyBorder="1" applyAlignment="1">
      <alignment horizontal="center" vertical="center" wrapText="1"/>
    </xf>
    <xf numFmtId="0" fontId="9" fillId="17" borderId="10" xfId="1" applyFont="1" applyFill="1" applyBorder="1" applyAlignment="1">
      <alignment horizontal="center" vertical="center" wrapText="1"/>
    </xf>
    <xf numFmtId="0" fontId="9" fillId="17" borderId="13" xfId="1" applyFont="1" applyFill="1" applyBorder="1" applyAlignment="1">
      <alignment horizontal="center" vertical="center" wrapText="1"/>
    </xf>
    <xf numFmtId="0" fontId="9" fillId="17" borderId="17" xfId="1" applyFont="1" applyFill="1" applyBorder="1" applyAlignment="1">
      <alignment horizontal="center" vertical="center" wrapText="1"/>
    </xf>
    <xf numFmtId="0" fontId="9" fillId="18" borderId="11" xfId="1" applyFont="1" applyFill="1" applyBorder="1" applyAlignment="1">
      <alignment horizontal="center" vertical="center" wrapText="1"/>
    </xf>
    <xf numFmtId="0" fontId="9" fillId="18" borderId="14" xfId="1" applyFont="1" applyFill="1" applyBorder="1" applyAlignment="1">
      <alignment horizontal="center" vertical="center" wrapText="1"/>
    </xf>
    <xf numFmtId="0" fontId="9" fillId="18" borderId="18" xfId="1" applyFont="1" applyFill="1" applyBorder="1" applyAlignment="1">
      <alignment horizontal="center" vertical="center" wrapText="1"/>
    </xf>
    <xf numFmtId="0" fontId="9" fillId="19" borderId="11" xfId="1" applyFont="1" applyFill="1" applyBorder="1" applyAlignment="1">
      <alignment horizontal="center" vertical="center" wrapText="1"/>
    </xf>
    <xf numFmtId="0" fontId="9" fillId="19" borderId="15" xfId="1" applyFont="1" applyFill="1" applyBorder="1" applyAlignment="1">
      <alignment horizontal="center" vertical="center" wrapText="1"/>
    </xf>
    <xf numFmtId="0" fontId="9" fillId="19" borderId="19" xfId="1" applyFont="1" applyFill="1" applyBorder="1" applyAlignment="1">
      <alignment horizontal="center" vertical="center" wrapText="1"/>
    </xf>
    <xf numFmtId="0" fontId="9" fillId="20" borderId="12" xfId="1" applyFont="1" applyFill="1" applyBorder="1" applyAlignment="1">
      <alignment horizontal="center" vertical="center" wrapText="1"/>
    </xf>
    <xf numFmtId="0" fontId="9" fillId="20" borderId="16" xfId="1" applyFont="1" applyFill="1" applyBorder="1" applyAlignment="1">
      <alignment horizontal="center" vertical="center" wrapText="1"/>
    </xf>
    <xf numFmtId="0" fontId="9" fillId="20" borderId="20" xfId="1" applyFont="1" applyFill="1" applyBorder="1" applyAlignment="1">
      <alignment horizontal="center" vertical="center" wrapText="1"/>
    </xf>
    <xf numFmtId="0" fontId="9" fillId="8" borderId="1" xfId="1" applyFont="1" applyFill="1" applyBorder="1" applyAlignment="1">
      <alignment horizontal="center" vertical="center" wrapText="1"/>
    </xf>
    <xf numFmtId="0" fontId="9" fillId="8" borderId="2" xfId="1" applyFont="1" applyFill="1" applyBorder="1" applyAlignment="1">
      <alignment horizontal="center" vertical="center" wrapText="1"/>
    </xf>
    <xf numFmtId="0" fontId="9" fillId="8" borderId="3" xfId="1" applyFont="1" applyFill="1" applyBorder="1" applyAlignment="1">
      <alignment horizontal="center" vertical="center" wrapText="1"/>
    </xf>
    <xf numFmtId="0" fontId="9" fillId="21" borderId="1" xfId="1" applyFont="1" applyFill="1" applyBorder="1" applyAlignment="1">
      <alignment horizontal="center" vertical="center" wrapText="1"/>
    </xf>
    <xf numFmtId="0" fontId="9" fillId="21" borderId="2" xfId="1" applyFont="1" applyFill="1" applyBorder="1" applyAlignment="1">
      <alignment horizontal="center" vertical="center" wrapText="1"/>
    </xf>
    <xf numFmtId="0" fontId="9" fillId="21" borderId="3" xfId="1" applyFont="1" applyFill="1" applyBorder="1" applyAlignment="1">
      <alignment horizontal="center" vertical="center" wrapText="1"/>
    </xf>
    <xf numFmtId="0" fontId="9" fillId="22" borderId="28" xfId="1" applyFont="1" applyFill="1" applyBorder="1" applyAlignment="1">
      <alignment horizontal="center" vertical="center" wrapText="1"/>
    </xf>
    <xf numFmtId="0" fontId="9" fillId="22" borderId="30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3" fillId="23" borderId="29" xfId="1" applyFont="1" applyFill="1" applyBorder="1" applyAlignment="1">
      <alignment horizontal="center" vertical="center" wrapText="1"/>
    </xf>
    <xf numFmtId="0" fontId="3" fillId="23" borderId="15" xfId="1" applyFont="1" applyFill="1" applyBorder="1" applyAlignment="1">
      <alignment horizontal="center" vertical="center" wrapText="1"/>
    </xf>
    <xf numFmtId="0" fontId="3" fillId="23" borderId="32" xfId="1" applyFont="1" applyFill="1" applyBorder="1" applyAlignment="1">
      <alignment horizontal="center" vertical="center" wrapText="1"/>
    </xf>
    <xf numFmtId="164" fontId="0" fillId="2" borderId="0" xfId="0" applyNumberFormat="1" applyFill="1"/>
  </cellXfs>
  <cellStyles count="4">
    <cellStyle name="Comma [0] 2" xfId="2" xr:uid="{54257AA9-09FB-4CDB-BB9F-ADCA14978239}"/>
    <cellStyle name="Normal" xfId="0" builtinId="0"/>
    <cellStyle name="Normal 2" xfId="1" xr:uid="{C69555B4-32D4-43B7-87AF-B7902BB4B85A}"/>
    <cellStyle name="Normal 3" xfId="3" xr:uid="{45FC9A72-026A-4729-8A06-57B43C3E5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GRAFIK!$A$5:$B$5</c:f>
              <c:strCache>
                <c:ptCount val="2"/>
                <c:pt idx="0">
                  <c:v>- Gula pasir lokal curah</c:v>
                </c:pt>
                <c:pt idx="1">
                  <c:v>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GRAFIK!$C$4:$AG$4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GRAFIK!$C$5:$AG$5</c:f>
              <c:numCache>
                <c:formatCode>_(* #,##0_);_(* \(#,##0\);_(* "-"_);_(@_)</c:formatCode>
                <c:ptCount val="31"/>
                <c:pt idx="0">
                  <c:v>13071.428571428571</c:v>
                </c:pt>
                <c:pt idx="1">
                  <c:v>13214.285714285714</c:v>
                </c:pt>
                <c:pt idx="2">
                  <c:v>13142.857142857143</c:v>
                </c:pt>
                <c:pt idx="3">
                  <c:v>13214.285714285714</c:v>
                </c:pt>
                <c:pt idx="4">
                  <c:v>13214.285714285714</c:v>
                </c:pt>
                <c:pt idx="5">
                  <c:v>13285.714285714286</c:v>
                </c:pt>
                <c:pt idx="6">
                  <c:v>13357.142857142857</c:v>
                </c:pt>
                <c:pt idx="7">
                  <c:v>13285.714285714286</c:v>
                </c:pt>
                <c:pt idx="8">
                  <c:v>13357.142857142857</c:v>
                </c:pt>
                <c:pt idx="9">
                  <c:v>13357.142857142857</c:v>
                </c:pt>
                <c:pt idx="10">
                  <c:v>13357.142857142857</c:v>
                </c:pt>
                <c:pt idx="11">
                  <c:v>13357.142857142857</c:v>
                </c:pt>
                <c:pt idx="12">
                  <c:v>13357.142857142857</c:v>
                </c:pt>
                <c:pt idx="13">
                  <c:v>13357.142857142857</c:v>
                </c:pt>
                <c:pt idx="14">
                  <c:v>13357.142857142857</c:v>
                </c:pt>
                <c:pt idx="15">
                  <c:v>13357.142857142857</c:v>
                </c:pt>
                <c:pt idx="16">
                  <c:v>13357.142857142857</c:v>
                </c:pt>
                <c:pt idx="17">
                  <c:v>13357.142857142857</c:v>
                </c:pt>
                <c:pt idx="18">
                  <c:v>13500</c:v>
                </c:pt>
                <c:pt idx="19">
                  <c:v>13428.571428571429</c:v>
                </c:pt>
                <c:pt idx="20">
                  <c:v>13428.571428571429</c:v>
                </c:pt>
                <c:pt idx="21">
                  <c:v>13571.428571428571</c:v>
                </c:pt>
                <c:pt idx="22">
                  <c:v>13571.428571428571</c:v>
                </c:pt>
                <c:pt idx="23">
                  <c:v>13571.428571428571</c:v>
                </c:pt>
                <c:pt idx="24">
                  <c:v>13571.428571428571</c:v>
                </c:pt>
                <c:pt idx="25">
                  <c:v>13571.428571428571</c:v>
                </c:pt>
                <c:pt idx="26">
                  <c:v>13500</c:v>
                </c:pt>
                <c:pt idx="27">
                  <c:v>13500</c:v>
                </c:pt>
                <c:pt idx="28">
                  <c:v>13571.428571428571</c:v>
                </c:pt>
                <c:pt idx="29">
                  <c:v>13571.428571428571</c:v>
                </c:pt>
                <c:pt idx="30">
                  <c:v>13571.428571428571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9-4F3A-991E-093753EA4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115256"/>
        <c:axId val="647115576"/>
      </c:barChart>
      <c:catAx>
        <c:axId val="64711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47115576"/>
        <c:crosses val="autoZero"/>
        <c:auto val="1"/>
        <c:lblAlgn val="ctr"/>
        <c:lblOffset val="100"/>
        <c:noMultiLvlLbl val="0"/>
      </c:catAx>
      <c:valAx>
        <c:axId val="64711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47115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GRAFIK!$A$25:$B$25</c:f>
              <c:strCache>
                <c:ptCount val="2"/>
                <c:pt idx="0">
                  <c:v>- Daging Ayam Broiler</c:v>
                </c:pt>
                <c:pt idx="1">
                  <c:v>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GRAFIK!$C$24:$AG$24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GRAFIK!$C$25:$AG$25</c:f>
              <c:numCache>
                <c:formatCode>_(* #,##0_);_(* \(#,##0\);_(* "-"_);_(@_)</c:formatCode>
                <c:ptCount val="31"/>
                <c:pt idx="0">
                  <c:v>36000</c:v>
                </c:pt>
                <c:pt idx="1">
                  <c:v>34000</c:v>
                </c:pt>
                <c:pt idx="2">
                  <c:v>33571.428571428572</c:v>
                </c:pt>
                <c:pt idx="3">
                  <c:v>33571.428571428572</c:v>
                </c:pt>
                <c:pt idx="4">
                  <c:v>33000</c:v>
                </c:pt>
                <c:pt idx="5">
                  <c:v>33000</c:v>
                </c:pt>
                <c:pt idx="6">
                  <c:v>33000</c:v>
                </c:pt>
                <c:pt idx="7">
                  <c:v>32857.142857142855</c:v>
                </c:pt>
                <c:pt idx="8">
                  <c:v>32857.142857142855</c:v>
                </c:pt>
                <c:pt idx="9">
                  <c:v>33428.571428571428</c:v>
                </c:pt>
                <c:pt idx="10">
                  <c:v>33857.142857142855</c:v>
                </c:pt>
                <c:pt idx="11">
                  <c:v>34000</c:v>
                </c:pt>
                <c:pt idx="12">
                  <c:v>34000</c:v>
                </c:pt>
                <c:pt idx="13">
                  <c:v>34000</c:v>
                </c:pt>
                <c:pt idx="14">
                  <c:v>34571.428571428572</c:v>
                </c:pt>
                <c:pt idx="15">
                  <c:v>34142.857142857145</c:v>
                </c:pt>
                <c:pt idx="16">
                  <c:v>34428.571428571428</c:v>
                </c:pt>
                <c:pt idx="17">
                  <c:v>34571.428571428572</c:v>
                </c:pt>
                <c:pt idx="18">
                  <c:v>34571.428571428572</c:v>
                </c:pt>
                <c:pt idx="19">
                  <c:v>34714.285714285717</c:v>
                </c:pt>
                <c:pt idx="20">
                  <c:v>34857.142857142855</c:v>
                </c:pt>
                <c:pt idx="21">
                  <c:v>35285.714285714283</c:v>
                </c:pt>
                <c:pt idx="22">
                  <c:v>35571.428571428572</c:v>
                </c:pt>
                <c:pt idx="23">
                  <c:v>35857.142857142855</c:v>
                </c:pt>
                <c:pt idx="24">
                  <c:v>36571.428571428572</c:v>
                </c:pt>
                <c:pt idx="25">
                  <c:v>36428.571428571428</c:v>
                </c:pt>
                <c:pt idx="26">
                  <c:v>36285.714285714283</c:v>
                </c:pt>
                <c:pt idx="27">
                  <c:v>36428.571428571428</c:v>
                </c:pt>
                <c:pt idx="28">
                  <c:v>35857.142857142855</c:v>
                </c:pt>
                <c:pt idx="29">
                  <c:v>35714.285714285717</c:v>
                </c:pt>
                <c:pt idx="30">
                  <c:v>35857.142857142855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C-4544-AE16-DEA0DFA9A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130936"/>
        <c:axId val="647127096"/>
      </c:barChart>
      <c:catAx>
        <c:axId val="647130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47127096"/>
        <c:crosses val="autoZero"/>
        <c:auto val="1"/>
        <c:lblAlgn val="ctr"/>
        <c:lblOffset val="100"/>
        <c:noMultiLvlLbl val="0"/>
      </c:catAx>
      <c:valAx>
        <c:axId val="647127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47130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GRAFIK!$A$45:$B$45</c:f>
              <c:strCache>
                <c:ptCount val="2"/>
                <c:pt idx="0">
                  <c:v>- Telur Ayam Broiler</c:v>
                </c:pt>
                <c:pt idx="1">
                  <c:v>Kg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GRAFIK!$C$44:$AG$44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GRAFIK!$C$45:$AG$45</c:f>
              <c:numCache>
                <c:formatCode>_(* #,##0_);_(* \(#,##0\);_(* "-"_);_(@_)</c:formatCode>
                <c:ptCount val="31"/>
                <c:pt idx="0">
                  <c:v>27142.857142857141</c:v>
                </c:pt>
                <c:pt idx="1">
                  <c:v>26714.285714285714</c:v>
                </c:pt>
                <c:pt idx="2">
                  <c:v>27000</c:v>
                </c:pt>
                <c:pt idx="3">
                  <c:v>27285.714285714286</c:v>
                </c:pt>
                <c:pt idx="4">
                  <c:v>27785.714285714286</c:v>
                </c:pt>
                <c:pt idx="5">
                  <c:v>28214.285714285714</c:v>
                </c:pt>
                <c:pt idx="6">
                  <c:v>28214.285714285714</c:v>
                </c:pt>
                <c:pt idx="7">
                  <c:v>28142.857142857141</c:v>
                </c:pt>
                <c:pt idx="8">
                  <c:v>28714.285714285714</c:v>
                </c:pt>
                <c:pt idx="9">
                  <c:v>29000</c:v>
                </c:pt>
                <c:pt idx="10">
                  <c:v>29142.857142857141</c:v>
                </c:pt>
                <c:pt idx="11">
                  <c:v>29428.571428571428</c:v>
                </c:pt>
                <c:pt idx="12">
                  <c:v>30142.857142857141</c:v>
                </c:pt>
                <c:pt idx="13">
                  <c:v>30428.571428571428</c:v>
                </c:pt>
                <c:pt idx="14">
                  <c:v>30714.285714285714</c:v>
                </c:pt>
                <c:pt idx="15">
                  <c:v>31428.571428571428</c:v>
                </c:pt>
                <c:pt idx="16">
                  <c:v>31142.857142857141</c:v>
                </c:pt>
                <c:pt idx="17">
                  <c:v>30857.142857142859</c:v>
                </c:pt>
                <c:pt idx="18">
                  <c:v>31285.714285714286</c:v>
                </c:pt>
                <c:pt idx="19">
                  <c:v>31571.428571428572</c:v>
                </c:pt>
                <c:pt idx="20">
                  <c:v>31714.285714285714</c:v>
                </c:pt>
                <c:pt idx="21">
                  <c:v>31357.142857142859</c:v>
                </c:pt>
                <c:pt idx="22">
                  <c:v>31214.285714285714</c:v>
                </c:pt>
                <c:pt idx="23">
                  <c:v>30642.857142857141</c:v>
                </c:pt>
                <c:pt idx="24">
                  <c:v>30571.428571428572</c:v>
                </c:pt>
                <c:pt idx="25">
                  <c:v>30428.571428571428</c:v>
                </c:pt>
                <c:pt idx="26">
                  <c:v>30428.571428571428</c:v>
                </c:pt>
                <c:pt idx="27">
                  <c:v>30571.428571428572</c:v>
                </c:pt>
                <c:pt idx="28">
                  <c:v>30214.285714285714</c:v>
                </c:pt>
                <c:pt idx="29">
                  <c:v>30214.285714285714</c:v>
                </c:pt>
                <c:pt idx="30">
                  <c:v>29928.571428571428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0-4858-8773-EF7199BC1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305208"/>
        <c:axId val="537305528"/>
      </c:barChart>
      <c:catAx>
        <c:axId val="537305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37305528"/>
        <c:crosses val="autoZero"/>
        <c:auto val="1"/>
        <c:lblAlgn val="ctr"/>
        <c:lblOffset val="100"/>
        <c:noMultiLvlLbl val="0"/>
      </c:catAx>
      <c:valAx>
        <c:axId val="537305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37305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GRAFIK!$C$68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GRAFIK!$C$69:$C$71</c:f>
              <c:numCache>
                <c:formatCode>_(* #,##0_);_(* \(#,##0\);_(* "-"_);_(@_)</c:formatCode>
                <c:ptCount val="3"/>
                <c:pt idx="0">
                  <c:v>28857.142857142859</c:v>
                </c:pt>
                <c:pt idx="1">
                  <c:v>36250</c:v>
                </c:pt>
                <c:pt idx="2">
                  <c:v>26285.714285714286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A-4CD3-8ABD-A904FD5F3325}"/>
            </c:ext>
          </c:extLst>
        </c:ser>
        <c:ser>
          <c:idx val="1"/>
          <c:order val="1"/>
          <c:tx>
            <c:strRef>
              <c:f>GRAFIK!$D$68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GRAFIK!$D$69:$D$71</c:f>
              <c:numCache>
                <c:formatCode>_(* #,##0_);_(* \(#,##0\);_(* "-"_);_(@_)</c:formatCode>
                <c:ptCount val="3"/>
                <c:pt idx="0">
                  <c:v>29857.142857142859</c:v>
                </c:pt>
                <c:pt idx="1">
                  <c:v>30750</c:v>
                </c:pt>
                <c:pt idx="2">
                  <c:v>27857.142857142859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A-4CD3-8ABD-A904FD5F3325}"/>
            </c:ext>
          </c:extLst>
        </c:ser>
        <c:ser>
          <c:idx val="2"/>
          <c:order val="2"/>
          <c:tx>
            <c:strRef>
              <c:f>GRAFIK!$E$68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GRAFIK!$E$69:$E$71</c:f>
              <c:numCache>
                <c:formatCode>_(* #,##0_);_(* \(#,##0\);_(* "-"_);_(@_)</c:formatCode>
                <c:ptCount val="3"/>
                <c:pt idx="0">
                  <c:v>29571.428571428572</c:v>
                </c:pt>
                <c:pt idx="1">
                  <c:v>31250</c:v>
                </c:pt>
                <c:pt idx="2">
                  <c:v>26428.571428571428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5A-4CD3-8ABD-A904FD5F3325}"/>
            </c:ext>
          </c:extLst>
        </c:ser>
        <c:ser>
          <c:idx val="3"/>
          <c:order val="3"/>
          <c:tx>
            <c:strRef>
              <c:f>GRAFIK!$F$68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GRAFIK!$F$69:$F$71</c:f>
              <c:numCache>
                <c:formatCode>_(* #,##0_);_(* \(#,##0\);_(* "-"_);_(@_)</c:formatCode>
                <c:ptCount val="3"/>
                <c:pt idx="0">
                  <c:v>29714.285714285714</c:v>
                </c:pt>
                <c:pt idx="1">
                  <c:v>31250</c:v>
                </c:pt>
                <c:pt idx="2">
                  <c:v>26857.142857142859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5A-4CD3-8ABD-A904FD5F3325}"/>
            </c:ext>
          </c:extLst>
        </c:ser>
        <c:ser>
          <c:idx val="4"/>
          <c:order val="4"/>
          <c:tx>
            <c:strRef>
              <c:f>GRAFIK!$G$68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GRAFIK!$G$69:$G$71</c:f>
              <c:numCache>
                <c:formatCode>_(* #,##0_);_(* \(#,##0\);_(* "-"_);_(@_)</c:formatCode>
                <c:ptCount val="3"/>
                <c:pt idx="0">
                  <c:v>29285.714285714286</c:v>
                </c:pt>
                <c:pt idx="1">
                  <c:v>31250</c:v>
                </c:pt>
                <c:pt idx="2">
                  <c:v>27142.857142857141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5A-4CD3-8ABD-A904FD5F3325}"/>
            </c:ext>
          </c:extLst>
        </c:ser>
        <c:ser>
          <c:idx val="5"/>
          <c:order val="5"/>
          <c:tx>
            <c:strRef>
              <c:f>GRAFIK!$H$68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GRAFIK!$H$69:$H$71</c:f>
              <c:numCache>
                <c:formatCode>_(* #,##0_);_(* \(#,##0\);_(* "-"_);_(@_)</c:formatCode>
                <c:ptCount val="3"/>
                <c:pt idx="0">
                  <c:v>30714.285714285714</c:v>
                </c:pt>
                <c:pt idx="1">
                  <c:v>31250</c:v>
                </c:pt>
                <c:pt idx="2">
                  <c:v>27857.142857142859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5A-4CD3-8ABD-A904FD5F3325}"/>
            </c:ext>
          </c:extLst>
        </c:ser>
        <c:ser>
          <c:idx val="6"/>
          <c:order val="6"/>
          <c:tx>
            <c:strRef>
              <c:f>GRAFIK!$I$68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GRAFIK!$I$69:$I$71</c:f>
              <c:numCache>
                <c:formatCode>_(* #,##0_);_(* \(#,##0\);_(* "-"_);_(@_)</c:formatCode>
                <c:ptCount val="3"/>
                <c:pt idx="0">
                  <c:v>30000</c:v>
                </c:pt>
                <c:pt idx="1">
                  <c:v>33000</c:v>
                </c:pt>
                <c:pt idx="2">
                  <c:v>26428.571428571428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5A-4CD3-8ABD-A904FD5F3325}"/>
            </c:ext>
          </c:extLst>
        </c:ser>
        <c:ser>
          <c:idx val="7"/>
          <c:order val="7"/>
          <c:tx>
            <c:strRef>
              <c:f>GRAFIK!$J$68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GRAFIK!$J$69:$J$71</c:f>
              <c:numCache>
                <c:formatCode>_(* #,##0_);_(* \(#,##0\);_(* "-"_);_(@_)</c:formatCode>
                <c:ptCount val="3"/>
                <c:pt idx="0">
                  <c:v>28714.285714285714</c:v>
                </c:pt>
                <c:pt idx="1">
                  <c:v>31000</c:v>
                </c:pt>
                <c:pt idx="2">
                  <c:v>26428.571428571428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5A-4CD3-8ABD-A904FD5F3325}"/>
            </c:ext>
          </c:extLst>
        </c:ser>
        <c:ser>
          <c:idx val="8"/>
          <c:order val="8"/>
          <c:tx>
            <c:strRef>
              <c:f>GRAFIK!$K$68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GRAFIK!$K$69:$K$71</c:f>
              <c:numCache>
                <c:formatCode>_(* #,##0_);_(* \(#,##0\);_(* "-"_);_(@_)</c:formatCode>
                <c:ptCount val="3"/>
                <c:pt idx="0">
                  <c:v>31571.428571428572</c:v>
                </c:pt>
                <c:pt idx="1">
                  <c:v>34000</c:v>
                </c:pt>
                <c:pt idx="2">
                  <c:v>27142.857142857141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5A-4CD3-8ABD-A904FD5F3325}"/>
            </c:ext>
          </c:extLst>
        </c:ser>
        <c:ser>
          <c:idx val="9"/>
          <c:order val="9"/>
          <c:tx>
            <c:strRef>
              <c:f>GRAFIK!$L$68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GRAFIK!$L$69:$L$71</c:f>
              <c:numCache>
                <c:formatCode>_(* #,##0_);_(* \(#,##0\);_(* "-"_);_(@_)</c:formatCode>
                <c:ptCount val="3"/>
                <c:pt idx="0">
                  <c:v>31857.142857142859</c:v>
                </c:pt>
                <c:pt idx="1">
                  <c:v>31000</c:v>
                </c:pt>
                <c:pt idx="2">
                  <c:v>28571.428571428572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5A-4CD3-8ABD-A904FD5F3325}"/>
            </c:ext>
          </c:extLst>
        </c:ser>
        <c:ser>
          <c:idx val="10"/>
          <c:order val="10"/>
          <c:tx>
            <c:strRef>
              <c:f>GRAFIK!$M$68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GRAFIK!$M$69:$M$71</c:f>
              <c:numCache>
                <c:formatCode>_(* #,##0_);_(* \(#,##0\);_(* "-"_);_(@_)</c:formatCode>
                <c:ptCount val="3"/>
                <c:pt idx="0">
                  <c:v>31857.142857142859</c:v>
                </c:pt>
                <c:pt idx="1">
                  <c:v>31000</c:v>
                </c:pt>
                <c:pt idx="2">
                  <c:v>29571.428571428572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5A-4CD3-8ABD-A904FD5F3325}"/>
            </c:ext>
          </c:extLst>
        </c:ser>
        <c:ser>
          <c:idx val="11"/>
          <c:order val="11"/>
          <c:tx>
            <c:strRef>
              <c:f>GRAFIK!$N$68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GRAFIK!$N$69:$N$71</c:f>
              <c:numCache>
                <c:formatCode>_(* #,##0_);_(* \(#,##0\);_(* "-"_);_(@_)</c:formatCode>
                <c:ptCount val="3"/>
                <c:pt idx="0">
                  <c:v>32571.428571428572</c:v>
                </c:pt>
                <c:pt idx="1">
                  <c:v>31000</c:v>
                </c:pt>
                <c:pt idx="2">
                  <c:v>31142.857142857141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E5A-4CD3-8ABD-A904FD5F3325}"/>
            </c:ext>
          </c:extLst>
        </c:ser>
        <c:ser>
          <c:idx val="12"/>
          <c:order val="12"/>
          <c:tx>
            <c:strRef>
              <c:f>GRAFIK!$O$68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GRAFIK!$O$69:$O$71</c:f>
              <c:numCache>
                <c:formatCode>_(* #,##0_);_(* \(#,##0\);_(* "-"_);_(@_)</c:formatCode>
                <c:ptCount val="3"/>
                <c:pt idx="0">
                  <c:v>32857.142857142855</c:v>
                </c:pt>
                <c:pt idx="1">
                  <c:v>30000</c:v>
                </c:pt>
                <c:pt idx="2">
                  <c:v>31142.857142857141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E5A-4CD3-8ABD-A904FD5F3325}"/>
            </c:ext>
          </c:extLst>
        </c:ser>
        <c:ser>
          <c:idx val="13"/>
          <c:order val="13"/>
          <c:tx>
            <c:strRef>
              <c:f>GRAFIK!$P$68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GRAFIK!$P$69:$P$71</c:f>
              <c:numCache>
                <c:formatCode>_(* #,##0_);_(* \(#,##0\);_(* "-"_);_(@_)</c:formatCode>
                <c:ptCount val="3"/>
                <c:pt idx="0">
                  <c:v>32857.142857142855</c:v>
                </c:pt>
                <c:pt idx="1">
                  <c:v>30000</c:v>
                </c:pt>
                <c:pt idx="2">
                  <c:v>31857.142857142859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5A-4CD3-8ABD-A904FD5F3325}"/>
            </c:ext>
          </c:extLst>
        </c:ser>
        <c:ser>
          <c:idx val="14"/>
          <c:order val="14"/>
          <c:tx>
            <c:strRef>
              <c:f>GRAFIK!$Q$68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GRAFIK!$Q$69:$Q$71</c:f>
              <c:numCache>
                <c:formatCode>_(* #,##0_);_(* \(#,##0\);_(* "-"_);_(@_)</c:formatCode>
                <c:ptCount val="3"/>
                <c:pt idx="0">
                  <c:v>33285.714285714283</c:v>
                </c:pt>
                <c:pt idx="1">
                  <c:v>30000</c:v>
                </c:pt>
                <c:pt idx="2">
                  <c:v>31857.142857142859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E5A-4CD3-8ABD-A904FD5F3325}"/>
            </c:ext>
          </c:extLst>
        </c:ser>
        <c:ser>
          <c:idx val="15"/>
          <c:order val="15"/>
          <c:tx>
            <c:strRef>
              <c:f>GRAFIK!$R$68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GRAFIK!$R$69:$R$71</c:f>
              <c:numCache>
                <c:formatCode>_(* #,##0_);_(* \(#,##0\);_(* "-"_);_(@_)</c:formatCode>
                <c:ptCount val="3"/>
                <c:pt idx="0">
                  <c:v>34000</c:v>
                </c:pt>
                <c:pt idx="1">
                  <c:v>30000</c:v>
                </c:pt>
                <c:pt idx="2">
                  <c:v>32571.428571428572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E5A-4CD3-8ABD-A904FD5F3325}"/>
            </c:ext>
          </c:extLst>
        </c:ser>
        <c:ser>
          <c:idx val="16"/>
          <c:order val="16"/>
          <c:tx>
            <c:strRef>
              <c:f>GRAFIK!$S$68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GRAFIK!$S$69:$S$71</c:f>
              <c:numCache>
                <c:formatCode>_(* #,##0_);_(* \(#,##0\);_(* "-"_);_(@_)</c:formatCode>
                <c:ptCount val="3"/>
                <c:pt idx="0">
                  <c:v>34285.714285714283</c:v>
                </c:pt>
                <c:pt idx="1">
                  <c:v>30000</c:v>
                </c:pt>
                <c:pt idx="2">
                  <c:v>32714.285714285714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E5A-4CD3-8ABD-A904FD5F3325}"/>
            </c:ext>
          </c:extLst>
        </c:ser>
        <c:ser>
          <c:idx val="17"/>
          <c:order val="17"/>
          <c:tx>
            <c:strRef>
              <c:f>GRAFIK!$T$68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GRAFIK!$T$69:$T$71</c:f>
              <c:numCache>
                <c:formatCode>_(* #,##0_);_(* \(#,##0\);_(* "-"_);_(@_)</c:formatCode>
                <c:ptCount val="3"/>
                <c:pt idx="0">
                  <c:v>34285.714285714283</c:v>
                </c:pt>
                <c:pt idx="1">
                  <c:v>30000</c:v>
                </c:pt>
                <c:pt idx="2">
                  <c:v>32428.571428571428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E5A-4CD3-8ABD-A904FD5F3325}"/>
            </c:ext>
          </c:extLst>
        </c:ser>
        <c:ser>
          <c:idx val="18"/>
          <c:order val="18"/>
          <c:tx>
            <c:strRef>
              <c:f>GRAFIK!$U$68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GRAFIK!$U$69:$U$71</c:f>
              <c:numCache>
                <c:formatCode>_(* #,##0_);_(* \(#,##0\);_(* "-"_);_(@_)</c:formatCode>
                <c:ptCount val="3"/>
                <c:pt idx="0">
                  <c:v>32142.857142857141</c:v>
                </c:pt>
                <c:pt idx="1">
                  <c:v>28000</c:v>
                </c:pt>
                <c:pt idx="2">
                  <c:v>34285.714285714283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E5A-4CD3-8ABD-A904FD5F3325}"/>
            </c:ext>
          </c:extLst>
        </c:ser>
        <c:ser>
          <c:idx val="19"/>
          <c:order val="19"/>
          <c:tx>
            <c:strRef>
              <c:f>GRAFIK!$V$68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GRAFIK!$V$69:$V$71</c:f>
              <c:numCache>
                <c:formatCode>_(* #,##0_);_(* \(#,##0\);_(* "-"_);_(@_)</c:formatCode>
                <c:ptCount val="3"/>
                <c:pt idx="0">
                  <c:v>32857.142857142855</c:v>
                </c:pt>
                <c:pt idx="1">
                  <c:v>30000</c:v>
                </c:pt>
                <c:pt idx="2">
                  <c:v>34428.571428571428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E5A-4CD3-8ABD-A904FD5F3325}"/>
            </c:ext>
          </c:extLst>
        </c:ser>
        <c:ser>
          <c:idx val="20"/>
          <c:order val="20"/>
          <c:tx>
            <c:strRef>
              <c:f>GRAFIK!$W$68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GRAFIK!$W$69:$W$71</c:f>
              <c:numCache>
                <c:formatCode>_(* #,##0_);_(* \(#,##0\);_(* "-"_);_(@_)</c:formatCode>
                <c:ptCount val="3"/>
                <c:pt idx="0">
                  <c:v>33142.857142857145</c:v>
                </c:pt>
                <c:pt idx="1">
                  <c:v>29000</c:v>
                </c:pt>
                <c:pt idx="2">
                  <c:v>35714.285714285717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E5A-4CD3-8ABD-A904FD5F3325}"/>
            </c:ext>
          </c:extLst>
        </c:ser>
        <c:ser>
          <c:idx val="21"/>
          <c:order val="21"/>
          <c:tx>
            <c:strRef>
              <c:f>GRAFIK!$X$68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GRAFIK!$X$69:$X$71</c:f>
              <c:numCache>
                <c:formatCode>_(* #,##0_);_(* \(#,##0\);_(* "-"_);_(@_)</c:formatCode>
                <c:ptCount val="3"/>
                <c:pt idx="0">
                  <c:v>32428.571428571428</c:v>
                </c:pt>
                <c:pt idx="1">
                  <c:v>29000</c:v>
                </c:pt>
                <c:pt idx="2">
                  <c:v>35428.571428571428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E5A-4CD3-8ABD-A904FD5F3325}"/>
            </c:ext>
          </c:extLst>
        </c:ser>
        <c:ser>
          <c:idx val="22"/>
          <c:order val="22"/>
          <c:tx>
            <c:strRef>
              <c:f>GRAFIK!$Y$68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GRAFIK!$Y$69:$Y$71</c:f>
              <c:numCache>
                <c:formatCode>_(* #,##0_);_(* \(#,##0\);_(* "-"_);_(@_)</c:formatCode>
                <c:ptCount val="3"/>
                <c:pt idx="0">
                  <c:v>32571.428571428572</c:v>
                </c:pt>
                <c:pt idx="1">
                  <c:v>29000</c:v>
                </c:pt>
                <c:pt idx="2">
                  <c:v>35428.571428571428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E5A-4CD3-8ABD-A904FD5F3325}"/>
            </c:ext>
          </c:extLst>
        </c:ser>
        <c:ser>
          <c:idx val="23"/>
          <c:order val="23"/>
          <c:tx>
            <c:strRef>
              <c:f>GRAFIK!$Z$68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GRAFIK!$Z$69:$Z$71</c:f>
              <c:numCache>
                <c:formatCode>_(* #,##0_);_(* \(#,##0\);_(* "-"_);_(@_)</c:formatCode>
                <c:ptCount val="3"/>
                <c:pt idx="0">
                  <c:v>31285.714285714286</c:v>
                </c:pt>
                <c:pt idx="1">
                  <c:v>29000</c:v>
                </c:pt>
                <c:pt idx="2">
                  <c:v>35428.571428571428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E5A-4CD3-8ABD-A904FD5F3325}"/>
            </c:ext>
          </c:extLst>
        </c:ser>
        <c:ser>
          <c:idx val="24"/>
          <c:order val="24"/>
          <c:tx>
            <c:strRef>
              <c:f>GRAFIK!$AA$68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GRAFIK!$AA$69:$AA$71</c:f>
              <c:numCache>
                <c:formatCode>_(* #,##0_);_(* \(#,##0\);_(* "-"_);_(@_)</c:formatCode>
                <c:ptCount val="3"/>
                <c:pt idx="0">
                  <c:v>30142.857142857141</c:v>
                </c:pt>
                <c:pt idx="1">
                  <c:v>29000</c:v>
                </c:pt>
                <c:pt idx="2">
                  <c:v>36428.571428571428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E5A-4CD3-8ABD-A904FD5F3325}"/>
            </c:ext>
          </c:extLst>
        </c:ser>
        <c:ser>
          <c:idx val="25"/>
          <c:order val="25"/>
          <c:tx>
            <c:strRef>
              <c:f>GRAFIK!$AB$68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GRAFIK!$AB$69:$AB$71</c:f>
              <c:numCache>
                <c:formatCode>_(* #,##0_);_(* \(#,##0\);_(* "-"_);_(@_)</c:formatCode>
                <c:ptCount val="3"/>
                <c:pt idx="0">
                  <c:v>30857.142857142859</c:v>
                </c:pt>
                <c:pt idx="1">
                  <c:v>28800</c:v>
                </c:pt>
                <c:pt idx="2">
                  <c:v>37857.142857142855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E5A-4CD3-8ABD-A904FD5F3325}"/>
            </c:ext>
          </c:extLst>
        </c:ser>
        <c:ser>
          <c:idx val="26"/>
          <c:order val="26"/>
          <c:tx>
            <c:strRef>
              <c:f>GRAFIK!$AC$68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GRAFIK!$AC$69:$AC$71</c:f>
              <c:numCache>
                <c:formatCode>_(* #,##0_);_(* \(#,##0\);_(* "-"_);_(@_)</c:formatCode>
                <c:ptCount val="3"/>
                <c:pt idx="0">
                  <c:v>32142.857142857141</c:v>
                </c:pt>
                <c:pt idx="1">
                  <c:v>30000</c:v>
                </c:pt>
                <c:pt idx="2">
                  <c:v>35714.285714285717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E5A-4CD3-8ABD-A904FD5F3325}"/>
            </c:ext>
          </c:extLst>
        </c:ser>
        <c:ser>
          <c:idx val="27"/>
          <c:order val="27"/>
          <c:tx>
            <c:strRef>
              <c:f>GRAFIK!$AD$68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GRAFIK!$AD$69:$AD$71</c:f>
              <c:numCache>
                <c:formatCode>_(* #,##0_);_(* \(#,##0\);_(* "-"_);_(@_)</c:formatCode>
                <c:ptCount val="3"/>
                <c:pt idx="0">
                  <c:v>30714.285714285714</c:v>
                </c:pt>
                <c:pt idx="1">
                  <c:v>27000</c:v>
                </c:pt>
                <c:pt idx="2">
                  <c:v>35714.285714285717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E5A-4CD3-8ABD-A904FD5F3325}"/>
            </c:ext>
          </c:extLst>
        </c:ser>
        <c:ser>
          <c:idx val="28"/>
          <c:order val="28"/>
          <c:tx>
            <c:strRef>
              <c:f>GRAFIK!$AE$68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GRAFIK!$AE$69:$AE$71</c:f>
              <c:numCache>
                <c:formatCode>_(* #,##0_);_(* \(#,##0\);_(* "-"_);_(@_)</c:formatCode>
                <c:ptCount val="3"/>
                <c:pt idx="0">
                  <c:v>30714.285714285714</c:v>
                </c:pt>
                <c:pt idx="1">
                  <c:v>27600</c:v>
                </c:pt>
                <c:pt idx="2">
                  <c:v>36857.142857142855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E5A-4CD3-8ABD-A904FD5F3325}"/>
            </c:ext>
          </c:extLst>
        </c:ser>
        <c:ser>
          <c:idx val="29"/>
          <c:order val="29"/>
          <c:tx>
            <c:strRef>
              <c:f>GRAFIK!$AF$68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GRAFIK!$AF$69:$AF$71</c:f>
              <c:numCache>
                <c:formatCode>_(* #,##0_);_(* \(#,##0\);_(* "-"_);_(@_)</c:formatCode>
                <c:ptCount val="3"/>
                <c:pt idx="0">
                  <c:v>31428.571428571428</c:v>
                </c:pt>
                <c:pt idx="1">
                  <c:v>26600</c:v>
                </c:pt>
                <c:pt idx="2">
                  <c:v>37428.571428571428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E5A-4CD3-8ABD-A904FD5F3325}"/>
            </c:ext>
          </c:extLst>
        </c:ser>
        <c:ser>
          <c:idx val="30"/>
          <c:order val="30"/>
          <c:tx>
            <c:strRef>
              <c:f>GRAFIK!$AG$68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GRAFIK!$A$69:$B$71</c15:sqref>
                  </c15:fullRef>
                  <c15:levelRef>
                    <c15:sqref>GRAFIK!$A$69:$A$71</c15:sqref>
                  </c15:levelRef>
                </c:ext>
              </c:extLst>
              <c:f>GRAFIK!$A$69:$A$71</c:f>
              <c:strCache>
                <c:ptCount val="3"/>
                <c:pt idx="0">
                  <c:v>- Cabe Merah Besar</c:v>
                </c:pt>
                <c:pt idx="1">
                  <c:v>- Cabe Merah Kriting</c:v>
                </c:pt>
                <c:pt idx="2">
                  <c:v>- Cabe Merah Kecil-Rawit</c:v>
                </c:pt>
              </c:strCache>
            </c:strRef>
          </c:cat>
          <c:val>
            <c:numRef>
              <c:f>GRAFIK!$AG$69:$AG$71</c:f>
              <c:numCache>
                <c:formatCode>_(* #,##0_);_(* \(#,##0\);_(* "-"_);_(@_)</c:formatCode>
                <c:ptCount val="3"/>
                <c:pt idx="0">
                  <c:v>31428.571428571428</c:v>
                </c:pt>
                <c:pt idx="1">
                  <c:v>26000</c:v>
                </c:pt>
                <c:pt idx="2">
                  <c:v>37857.142857142855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E5A-4CD3-8ABD-A904FD5F3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121336"/>
        <c:axId val="647125816"/>
      </c:barChart>
      <c:catAx>
        <c:axId val="647121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47125816"/>
        <c:crosses val="autoZero"/>
        <c:auto val="1"/>
        <c:lblAlgn val="ctr"/>
        <c:lblOffset val="100"/>
        <c:noMultiLvlLbl val="0"/>
      </c:catAx>
      <c:valAx>
        <c:axId val="64712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47121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ANEKA BAWANG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GRAFIK!$C$89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GRAFIK!$C$90:$C$93</c:f>
              <c:numCache>
                <c:formatCode>_(* #,##0_);_(* \(#,##0\);_(* "-"_);_(@_)</c:formatCode>
                <c:ptCount val="4"/>
                <c:pt idx="0">
                  <c:v>34857.142857142855</c:v>
                </c:pt>
                <c:pt idx="1">
                  <c:v>30571.428571428572</c:v>
                </c:pt>
                <c:pt idx="2">
                  <c:v>42285.714285714283</c:v>
                </c:pt>
                <c:pt idx="3">
                  <c:v>39571.428571428572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F-477C-A1B9-7594D9D171B7}"/>
            </c:ext>
          </c:extLst>
        </c:ser>
        <c:ser>
          <c:idx val="1"/>
          <c:order val="1"/>
          <c:tx>
            <c:strRef>
              <c:f>GRAFIK!$D$89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GRAFIK!$D$90:$D$93</c:f>
              <c:numCache>
                <c:formatCode>_(* #,##0_);_(* \(#,##0\);_(* "-"_);_(@_)</c:formatCode>
                <c:ptCount val="4"/>
                <c:pt idx="0">
                  <c:v>35000</c:v>
                </c:pt>
                <c:pt idx="1">
                  <c:v>30142.857142857141</c:v>
                </c:pt>
                <c:pt idx="2">
                  <c:v>41428.571428571428</c:v>
                </c:pt>
                <c:pt idx="3">
                  <c:v>40285.714285714283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BF-477C-A1B9-7594D9D171B7}"/>
            </c:ext>
          </c:extLst>
        </c:ser>
        <c:ser>
          <c:idx val="2"/>
          <c:order val="2"/>
          <c:tx>
            <c:strRef>
              <c:f>GRAFIK!$E$89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GRAFIK!$E$90:$E$93</c:f>
              <c:numCache>
                <c:formatCode>_(* #,##0_);_(* \(#,##0\);_(* "-"_);_(@_)</c:formatCode>
                <c:ptCount val="4"/>
                <c:pt idx="0">
                  <c:v>35428.571428571428</c:v>
                </c:pt>
                <c:pt idx="1">
                  <c:v>31142.857142857141</c:v>
                </c:pt>
                <c:pt idx="2">
                  <c:v>40857.142857142855</c:v>
                </c:pt>
                <c:pt idx="3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BF-477C-A1B9-7594D9D171B7}"/>
            </c:ext>
          </c:extLst>
        </c:ser>
        <c:ser>
          <c:idx val="3"/>
          <c:order val="3"/>
          <c:tx>
            <c:strRef>
              <c:f>GRAFIK!$F$89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GRAFIK!$F$90:$F$93</c:f>
              <c:numCache>
                <c:formatCode>_(* #,##0_);_(* \(#,##0\);_(* "-"_);_(@_)</c:formatCode>
                <c:ptCount val="4"/>
                <c:pt idx="0">
                  <c:v>34571.428571428572</c:v>
                </c:pt>
                <c:pt idx="1">
                  <c:v>30857.142857142859</c:v>
                </c:pt>
                <c:pt idx="2">
                  <c:v>40428.571428571428</c:v>
                </c:pt>
                <c:pt idx="3">
                  <c:v>41428.571428571428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BF-477C-A1B9-7594D9D171B7}"/>
            </c:ext>
          </c:extLst>
        </c:ser>
        <c:ser>
          <c:idx val="4"/>
          <c:order val="4"/>
          <c:tx>
            <c:strRef>
              <c:f>GRAFIK!$G$89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GRAFIK!$G$90:$G$93</c:f>
              <c:numCache>
                <c:formatCode>_(* #,##0_);_(* \(#,##0\);_(* "-"_);_(@_)</c:formatCode>
                <c:ptCount val="4"/>
                <c:pt idx="0">
                  <c:v>34428.571428571428</c:v>
                </c:pt>
                <c:pt idx="1">
                  <c:v>31142.857142857141</c:v>
                </c:pt>
                <c:pt idx="2">
                  <c:v>40714.285714285717</c:v>
                </c:pt>
                <c:pt idx="3">
                  <c:v>40714.285714285717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BF-477C-A1B9-7594D9D171B7}"/>
            </c:ext>
          </c:extLst>
        </c:ser>
        <c:ser>
          <c:idx val="5"/>
          <c:order val="5"/>
          <c:tx>
            <c:strRef>
              <c:f>GRAFIK!$H$89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GRAFIK!$H$90:$H$93</c:f>
              <c:numCache>
                <c:formatCode>_(* #,##0_);_(* \(#,##0\);_(* "-"_);_(@_)</c:formatCode>
                <c:ptCount val="4"/>
                <c:pt idx="0">
                  <c:v>35428.571428571428</c:v>
                </c:pt>
                <c:pt idx="1">
                  <c:v>31714.285714285714</c:v>
                </c:pt>
                <c:pt idx="2">
                  <c:v>40857.142857142855</c:v>
                </c:pt>
                <c:pt idx="3">
                  <c:v>41428.571428571428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BF-477C-A1B9-7594D9D171B7}"/>
            </c:ext>
          </c:extLst>
        </c:ser>
        <c:ser>
          <c:idx val="6"/>
          <c:order val="6"/>
          <c:tx>
            <c:strRef>
              <c:f>GRAFIK!$I$89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GRAFIK!$I$90:$I$93</c:f>
              <c:numCache>
                <c:formatCode>_(* #,##0_);_(* \(#,##0\);_(* "-"_);_(@_)</c:formatCode>
                <c:ptCount val="4"/>
                <c:pt idx="0">
                  <c:v>35428.571428571428</c:v>
                </c:pt>
                <c:pt idx="1">
                  <c:v>31714.285714285714</c:v>
                </c:pt>
                <c:pt idx="2">
                  <c:v>40857.142857142855</c:v>
                </c:pt>
                <c:pt idx="3">
                  <c:v>41428.571428571428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BF-477C-A1B9-7594D9D171B7}"/>
            </c:ext>
          </c:extLst>
        </c:ser>
        <c:ser>
          <c:idx val="7"/>
          <c:order val="7"/>
          <c:tx>
            <c:strRef>
              <c:f>GRAFIK!$J$89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GRAFIK!$J$90:$J$93</c:f>
              <c:numCache>
                <c:formatCode>_(* #,##0_);_(* \(#,##0\);_(* "-"_);_(@_)</c:formatCode>
                <c:ptCount val="4"/>
                <c:pt idx="0">
                  <c:v>35857.142857142855</c:v>
                </c:pt>
                <c:pt idx="1">
                  <c:v>31428.571428571428</c:v>
                </c:pt>
                <c:pt idx="2">
                  <c:v>40000</c:v>
                </c:pt>
                <c:pt idx="3">
                  <c:v>40285.714285714283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BF-477C-A1B9-7594D9D171B7}"/>
            </c:ext>
          </c:extLst>
        </c:ser>
        <c:ser>
          <c:idx val="8"/>
          <c:order val="8"/>
          <c:tx>
            <c:strRef>
              <c:f>GRAFIK!$K$89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GRAFIK!$K$90:$K$93</c:f>
              <c:numCache>
                <c:formatCode>_(* #,##0_);_(* \(#,##0\);_(* "-"_);_(@_)</c:formatCode>
                <c:ptCount val="4"/>
                <c:pt idx="0">
                  <c:v>36000</c:v>
                </c:pt>
                <c:pt idx="1">
                  <c:v>31714.285714285714</c:v>
                </c:pt>
                <c:pt idx="2">
                  <c:v>39857.142857142855</c:v>
                </c:pt>
                <c:pt idx="3">
                  <c:v>40285.714285714283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BF-477C-A1B9-7594D9D171B7}"/>
            </c:ext>
          </c:extLst>
        </c:ser>
        <c:ser>
          <c:idx val="9"/>
          <c:order val="9"/>
          <c:tx>
            <c:strRef>
              <c:f>GRAFIK!$L$89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GRAFIK!$L$90:$L$93</c:f>
              <c:numCache>
                <c:formatCode>_(* #,##0_);_(* \(#,##0\);_(* "-"_);_(@_)</c:formatCode>
                <c:ptCount val="4"/>
                <c:pt idx="0">
                  <c:v>35857.142857142855</c:v>
                </c:pt>
                <c:pt idx="1">
                  <c:v>32428.571428571428</c:v>
                </c:pt>
                <c:pt idx="2">
                  <c:v>39428.571428571428</c:v>
                </c:pt>
                <c:pt idx="3">
                  <c:v>40285.714285714283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5BF-477C-A1B9-7594D9D171B7}"/>
            </c:ext>
          </c:extLst>
        </c:ser>
        <c:ser>
          <c:idx val="10"/>
          <c:order val="10"/>
          <c:tx>
            <c:strRef>
              <c:f>GRAFIK!$M$89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GRAFIK!$M$90:$M$93</c:f>
              <c:numCache>
                <c:formatCode>_(* #,##0_);_(* \(#,##0\);_(* "-"_);_(@_)</c:formatCode>
                <c:ptCount val="4"/>
                <c:pt idx="0">
                  <c:v>36000</c:v>
                </c:pt>
                <c:pt idx="1">
                  <c:v>32714.285714285714</c:v>
                </c:pt>
                <c:pt idx="2">
                  <c:v>39000</c:v>
                </c:pt>
                <c:pt idx="3">
                  <c:v>40285.714285714283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5BF-477C-A1B9-7594D9D171B7}"/>
            </c:ext>
          </c:extLst>
        </c:ser>
        <c:ser>
          <c:idx val="11"/>
          <c:order val="11"/>
          <c:tx>
            <c:strRef>
              <c:f>GRAFIK!$N$89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GRAFIK!$N$90:$N$93</c:f>
              <c:numCache>
                <c:formatCode>_(* #,##0_);_(* \(#,##0\);_(* "-"_);_(@_)</c:formatCode>
                <c:ptCount val="4"/>
                <c:pt idx="0">
                  <c:v>35714.285714285717</c:v>
                </c:pt>
                <c:pt idx="1">
                  <c:v>33000</c:v>
                </c:pt>
                <c:pt idx="2">
                  <c:v>38142.857142857145</c:v>
                </c:pt>
                <c:pt idx="3">
                  <c:v>40285.714285714283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5BF-477C-A1B9-7594D9D171B7}"/>
            </c:ext>
          </c:extLst>
        </c:ser>
        <c:ser>
          <c:idx val="12"/>
          <c:order val="12"/>
          <c:tx>
            <c:strRef>
              <c:f>GRAFIK!$O$89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GRAFIK!$O$90:$O$93</c:f>
              <c:numCache>
                <c:formatCode>_(* #,##0_);_(* \(#,##0\);_(* "-"_);_(@_)</c:formatCode>
                <c:ptCount val="4"/>
                <c:pt idx="0">
                  <c:v>36000</c:v>
                </c:pt>
                <c:pt idx="1">
                  <c:v>32714.285714285714</c:v>
                </c:pt>
                <c:pt idx="2">
                  <c:v>37428.571428571428</c:v>
                </c:pt>
                <c:pt idx="3">
                  <c:v>40285.714285714283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5BF-477C-A1B9-7594D9D171B7}"/>
            </c:ext>
          </c:extLst>
        </c:ser>
        <c:ser>
          <c:idx val="13"/>
          <c:order val="13"/>
          <c:tx>
            <c:strRef>
              <c:f>GRAFIK!$P$89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GRAFIK!$P$90:$P$93</c:f>
              <c:numCache>
                <c:formatCode>_(* #,##0_);_(* \(#,##0\);_(* "-"_);_(@_)</c:formatCode>
                <c:ptCount val="4"/>
                <c:pt idx="0">
                  <c:v>36000</c:v>
                </c:pt>
                <c:pt idx="1">
                  <c:v>32714.285714285714</c:v>
                </c:pt>
                <c:pt idx="2">
                  <c:v>37428.571428571428</c:v>
                </c:pt>
                <c:pt idx="3">
                  <c:v>40285.714285714283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5BF-477C-A1B9-7594D9D171B7}"/>
            </c:ext>
          </c:extLst>
        </c:ser>
        <c:ser>
          <c:idx val="14"/>
          <c:order val="14"/>
          <c:tx>
            <c:strRef>
              <c:f>GRAFIK!$Q$89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GRAFIK!$Q$90:$Q$93</c:f>
              <c:numCache>
                <c:formatCode>_(* #,##0_);_(* \(#,##0\);_(* "-"_);_(@_)</c:formatCode>
                <c:ptCount val="4"/>
                <c:pt idx="0">
                  <c:v>36428.571428571428</c:v>
                </c:pt>
                <c:pt idx="1">
                  <c:v>33142.857142857145</c:v>
                </c:pt>
                <c:pt idx="2">
                  <c:v>36714.285714285717</c:v>
                </c:pt>
                <c:pt idx="3">
                  <c:v>41714.285714285717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5BF-477C-A1B9-7594D9D171B7}"/>
            </c:ext>
          </c:extLst>
        </c:ser>
        <c:ser>
          <c:idx val="15"/>
          <c:order val="15"/>
          <c:tx>
            <c:strRef>
              <c:f>GRAFIK!$R$89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GRAFIK!$R$90:$R$93</c:f>
              <c:numCache>
                <c:formatCode>_(* #,##0_);_(* \(#,##0\);_(* "-"_);_(@_)</c:formatCode>
                <c:ptCount val="4"/>
                <c:pt idx="0">
                  <c:v>35714.285714285717</c:v>
                </c:pt>
                <c:pt idx="1">
                  <c:v>32285.714285714286</c:v>
                </c:pt>
                <c:pt idx="2">
                  <c:v>36714.285714285717</c:v>
                </c:pt>
                <c:pt idx="3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5BF-477C-A1B9-7594D9D171B7}"/>
            </c:ext>
          </c:extLst>
        </c:ser>
        <c:ser>
          <c:idx val="16"/>
          <c:order val="16"/>
          <c:tx>
            <c:strRef>
              <c:f>GRAFIK!$S$89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GRAFIK!$S$90:$S$93</c:f>
              <c:numCache>
                <c:formatCode>_(* #,##0_);_(* \(#,##0\);_(* "-"_);_(@_)</c:formatCode>
                <c:ptCount val="4"/>
                <c:pt idx="0">
                  <c:v>35857.142857142855</c:v>
                </c:pt>
                <c:pt idx="1">
                  <c:v>32142.857142857141</c:v>
                </c:pt>
                <c:pt idx="2">
                  <c:v>37714.285714285717</c:v>
                </c:pt>
                <c:pt idx="3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5BF-477C-A1B9-7594D9D171B7}"/>
            </c:ext>
          </c:extLst>
        </c:ser>
        <c:ser>
          <c:idx val="17"/>
          <c:order val="17"/>
          <c:tx>
            <c:strRef>
              <c:f>GRAFIK!$T$89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GRAFIK!$T$90:$T$93</c:f>
              <c:numCache>
                <c:formatCode>_(* #,##0_);_(* \(#,##0\);_(* "-"_);_(@_)</c:formatCode>
                <c:ptCount val="4"/>
                <c:pt idx="0">
                  <c:v>35857.142857142855</c:v>
                </c:pt>
                <c:pt idx="1">
                  <c:v>32142.857142857141</c:v>
                </c:pt>
                <c:pt idx="2">
                  <c:v>37714.285714285717</c:v>
                </c:pt>
                <c:pt idx="3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5BF-477C-A1B9-7594D9D171B7}"/>
            </c:ext>
          </c:extLst>
        </c:ser>
        <c:ser>
          <c:idx val="18"/>
          <c:order val="18"/>
          <c:tx>
            <c:strRef>
              <c:f>GRAFIK!$U$89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GRAFIK!$U$90:$U$93</c:f>
              <c:numCache>
                <c:formatCode>_(* #,##0_);_(* \(#,##0\);_(* "-"_);_(@_)</c:formatCode>
                <c:ptCount val="4"/>
                <c:pt idx="0">
                  <c:v>36142.857142857145</c:v>
                </c:pt>
                <c:pt idx="1">
                  <c:v>32571.428571428572</c:v>
                </c:pt>
                <c:pt idx="2">
                  <c:v>37142.857142857145</c:v>
                </c:pt>
                <c:pt idx="3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5BF-477C-A1B9-7594D9D171B7}"/>
            </c:ext>
          </c:extLst>
        </c:ser>
        <c:ser>
          <c:idx val="19"/>
          <c:order val="19"/>
          <c:tx>
            <c:strRef>
              <c:f>GRAFIK!$V$89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GRAFIK!$V$90:$V$93</c:f>
              <c:numCache>
                <c:formatCode>_(* #,##0_);_(* \(#,##0\);_(* "-"_);_(@_)</c:formatCode>
                <c:ptCount val="4"/>
                <c:pt idx="0">
                  <c:v>36000</c:v>
                </c:pt>
                <c:pt idx="1">
                  <c:v>32571.428571428572</c:v>
                </c:pt>
                <c:pt idx="2">
                  <c:v>37142.857142857145</c:v>
                </c:pt>
                <c:pt idx="3">
                  <c:v>40285.714285714283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5BF-477C-A1B9-7594D9D171B7}"/>
            </c:ext>
          </c:extLst>
        </c:ser>
        <c:ser>
          <c:idx val="20"/>
          <c:order val="20"/>
          <c:tx>
            <c:strRef>
              <c:f>GRAFIK!$W$89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GRAFIK!$W$90:$W$93</c:f>
              <c:numCache>
                <c:formatCode>_(* #,##0_);_(* \(#,##0\);_(* "-"_);_(@_)</c:formatCode>
                <c:ptCount val="4"/>
                <c:pt idx="0">
                  <c:v>36142.857142857145</c:v>
                </c:pt>
                <c:pt idx="1">
                  <c:v>32714.285714285714</c:v>
                </c:pt>
                <c:pt idx="2">
                  <c:v>37000</c:v>
                </c:pt>
                <c:pt idx="3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5BF-477C-A1B9-7594D9D171B7}"/>
            </c:ext>
          </c:extLst>
        </c:ser>
        <c:ser>
          <c:idx val="21"/>
          <c:order val="21"/>
          <c:tx>
            <c:strRef>
              <c:f>GRAFIK!$X$89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GRAFIK!$X$90:$X$93</c:f>
              <c:numCache>
                <c:formatCode>_(* #,##0_);_(* \(#,##0\);_(* "-"_);_(@_)</c:formatCode>
                <c:ptCount val="4"/>
                <c:pt idx="0">
                  <c:v>36714.285714285717</c:v>
                </c:pt>
                <c:pt idx="1">
                  <c:v>32714.285714285714</c:v>
                </c:pt>
                <c:pt idx="2">
                  <c:v>37142.857142857145</c:v>
                </c:pt>
                <c:pt idx="3">
                  <c:v>42142.857142857145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5BF-477C-A1B9-7594D9D171B7}"/>
            </c:ext>
          </c:extLst>
        </c:ser>
        <c:ser>
          <c:idx val="22"/>
          <c:order val="22"/>
          <c:tx>
            <c:strRef>
              <c:f>GRAFIK!$Y$89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GRAFIK!$Y$90:$Y$93</c:f>
              <c:numCache>
                <c:formatCode>_(* #,##0_);_(* \(#,##0\);_(* "-"_);_(@_)</c:formatCode>
                <c:ptCount val="4"/>
                <c:pt idx="0">
                  <c:v>37000</c:v>
                </c:pt>
                <c:pt idx="1">
                  <c:v>33285.714285714283</c:v>
                </c:pt>
                <c:pt idx="2">
                  <c:v>37142.857142857145</c:v>
                </c:pt>
                <c:pt idx="3">
                  <c:v>42142.857142857145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5BF-477C-A1B9-7594D9D171B7}"/>
            </c:ext>
          </c:extLst>
        </c:ser>
        <c:ser>
          <c:idx val="23"/>
          <c:order val="23"/>
          <c:tx>
            <c:strRef>
              <c:f>GRAFIK!$Z$89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GRAFIK!$Z$90:$Z$93</c:f>
              <c:numCache>
                <c:formatCode>_(* #,##0_);_(* \(#,##0\);_(* "-"_);_(@_)</c:formatCode>
                <c:ptCount val="4"/>
                <c:pt idx="0">
                  <c:v>36142.857142857145</c:v>
                </c:pt>
                <c:pt idx="1">
                  <c:v>32714.285714285714</c:v>
                </c:pt>
                <c:pt idx="2">
                  <c:v>37571.428571428572</c:v>
                </c:pt>
                <c:pt idx="3">
                  <c:v>42142.857142857145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5BF-477C-A1B9-7594D9D171B7}"/>
            </c:ext>
          </c:extLst>
        </c:ser>
        <c:ser>
          <c:idx val="24"/>
          <c:order val="24"/>
          <c:tx>
            <c:strRef>
              <c:f>GRAFIK!$AA$89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GRAFIK!$AA$90:$AA$93</c:f>
              <c:numCache>
                <c:formatCode>_(* #,##0_);_(* \(#,##0\);_(* "-"_);_(@_)</c:formatCode>
                <c:ptCount val="4"/>
                <c:pt idx="0">
                  <c:v>35857.142857142855</c:v>
                </c:pt>
                <c:pt idx="1">
                  <c:v>32714.285714285714</c:v>
                </c:pt>
                <c:pt idx="2">
                  <c:v>37285.714285714283</c:v>
                </c:pt>
                <c:pt idx="3">
                  <c:v>42142.857142857145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5BF-477C-A1B9-7594D9D171B7}"/>
            </c:ext>
          </c:extLst>
        </c:ser>
        <c:ser>
          <c:idx val="25"/>
          <c:order val="25"/>
          <c:tx>
            <c:strRef>
              <c:f>GRAFIK!$AB$89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GRAFIK!$AB$90:$AB$93</c:f>
              <c:numCache>
                <c:formatCode>_(* #,##0_);_(* \(#,##0\);_(* "-"_);_(@_)</c:formatCode>
                <c:ptCount val="4"/>
                <c:pt idx="0">
                  <c:v>36285.714285714283</c:v>
                </c:pt>
                <c:pt idx="1">
                  <c:v>32714.285714285714</c:v>
                </c:pt>
                <c:pt idx="2">
                  <c:v>36714.285714285717</c:v>
                </c:pt>
                <c:pt idx="3">
                  <c:v>42142.857142857145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5BF-477C-A1B9-7594D9D171B7}"/>
            </c:ext>
          </c:extLst>
        </c:ser>
        <c:ser>
          <c:idx val="26"/>
          <c:order val="26"/>
          <c:tx>
            <c:strRef>
              <c:f>GRAFIK!$AC$89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GRAFIK!$AC$90:$AC$93</c:f>
              <c:numCache>
                <c:formatCode>_(* #,##0_);_(* \(#,##0\);_(* "-"_);_(@_)</c:formatCode>
                <c:ptCount val="4"/>
                <c:pt idx="0">
                  <c:v>36142.857142857145</c:v>
                </c:pt>
                <c:pt idx="1">
                  <c:v>32714.285714285714</c:v>
                </c:pt>
                <c:pt idx="2">
                  <c:v>37857.142857142855</c:v>
                </c:pt>
                <c:pt idx="3">
                  <c:v>42142.857142857145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5BF-477C-A1B9-7594D9D171B7}"/>
            </c:ext>
          </c:extLst>
        </c:ser>
        <c:ser>
          <c:idx val="27"/>
          <c:order val="27"/>
          <c:tx>
            <c:strRef>
              <c:f>GRAFIK!$AD$89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GRAFIK!$AD$90:$AD$93</c:f>
              <c:numCache>
                <c:formatCode>_(* #,##0_);_(* \(#,##0\);_(* "-"_);_(@_)</c:formatCode>
                <c:ptCount val="4"/>
                <c:pt idx="0">
                  <c:v>36142.857142857145</c:v>
                </c:pt>
                <c:pt idx="1">
                  <c:v>32714.285714285714</c:v>
                </c:pt>
                <c:pt idx="2">
                  <c:v>35714.285714285717</c:v>
                </c:pt>
                <c:pt idx="3">
                  <c:v>41428.571428571428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5BF-477C-A1B9-7594D9D171B7}"/>
            </c:ext>
          </c:extLst>
        </c:ser>
        <c:ser>
          <c:idx val="28"/>
          <c:order val="28"/>
          <c:tx>
            <c:strRef>
              <c:f>GRAFIK!$AE$89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GRAFIK!$AE$90:$AE$93</c:f>
              <c:numCache>
                <c:formatCode>_(* #,##0_);_(* \(#,##0\);_(* "-"_);_(@_)</c:formatCode>
                <c:ptCount val="4"/>
                <c:pt idx="0">
                  <c:v>36142.857142857145</c:v>
                </c:pt>
                <c:pt idx="1">
                  <c:v>33428.571428571428</c:v>
                </c:pt>
                <c:pt idx="2">
                  <c:v>35000</c:v>
                </c:pt>
                <c:pt idx="3">
                  <c:v>42142.857142857145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5BF-477C-A1B9-7594D9D171B7}"/>
            </c:ext>
          </c:extLst>
        </c:ser>
        <c:ser>
          <c:idx val="29"/>
          <c:order val="29"/>
          <c:tx>
            <c:strRef>
              <c:f>GRAFIK!$AF$89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GRAFIK!$AF$90:$AF$93</c:f>
              <c:numCache>
                <c:formatCode>_(* #,##0_);_(* \(#,##0\);_(* "-"_);_(@_)</c:formatCode>
                <c:ptCount val="4"/>
                <c:pt idx="0">
                  <c:v>36428.571428571428</c:v>
                </c:pt>
                <c:pt idx="1">
                  <c:v>34000</c:v>
                </c:pt>
                <c:pt idx="2">
                  <c:v>35428.571428571428</c:v>
                </c:pt>
                <c:pt idx="3">
                  <c:v>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5BF-477C-A1B9-7594D9D171B7}"/>
            </c:ext>
          </c:extLst>
        </c:ser>
        <c:ser>
          <c:idx val="30"/>
          <c:order val="30"/>
          <c:tx>
            <c:strRef>
              <c:f>GRAFIK!$AG$89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GRAFIK!$A$90:$B$93</c15:sqref>
                  </c15:fullRef>
                  <c15:levelRef>
                    <c15:sqref>GRAFIK!$A$90:$A$93</c15:sqref>
                  </c15:levelRef>
                </c:ext>
              </c:extLst>
              <c:f>GRAFIK!$A$90:$A$93</c:f>
              <c:strCache>
                <c:ptCount val="4"/>
                <c:pt idx="0">
                  <c:v>- Bawang Putih (Jenis Kating)</c:v>
                </c:pt>
                <c:pt idx="1">
                  <c:v>- Bawang Putih (Jenis Sinco)</c:v>
                </c:pt>
                <c:pt idx="2">
                  <c:v>- Bawang Merah (Kualitas Lokal)</c:v>
                </c:pt>
                <c:pt idx="3">
                  <c:v>- Bawang Bombay</c:v>
                </c:pt>
              </c:strCache>
            </c:strRef>
          </c:cat>
          <c:val>
            <c:numRef>
              <c:f>GRAFIK!$AG$90:$AG$93</c:f>
              <c:numCache>
                <c:formatCode>_(* #,##0_);_(* \(#,##0\);_(* "-"_);_(@_)</c:formatCode>
                <c:ptCount val="4"/>
                <c:pt idx="0">
                  <c:v>36428.571428571428</c:v>
                </c:pt>
                <c:pt idx="1">
                  <c:v>33714.285714285717</c:v>
                </c:pt>
                <c:pt idx="2">
                  <c:v>35000</c:v>
                </c:pt>
                <c:pt idx="3">
                  <c:v>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5BF-477C-A1B9-7594D9D17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119736"/>
        <c:axId val="647116856"/>
      </c:barChart>
      <c:catAx>
        <c:axId val="64711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47116856"/>
        <c:crosses val="autoZero"/>
        <c:auto val="1"/>
        <c:lblAlgn val="ctr"/>
        <c:lblOffset val="100"/>
        <c:noMultiLvlLbl val="0"/>
      </c:catAx>
      <c:valAx>
        <c:axId val="64711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4711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1076325</xdr:colOff>
      <xdr:row>5</xdr:row>
      <xdr:rowOff>185737</xdr:rowOff>
    </xdr:from>
    <xdr:to>
      <xdr:col>10</xdr:col>
      <xdr:colOff>571500</xdr:colOff>
      <xdr:row>22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5E00C-78FE-109D-C79C-52AAAE50E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1133474</xdr:colOff>
      <xdr:row>26</xdr:row>
      <xdr:rowOff>80962</xdr:rowOff>
    </xdr:from>
    <xdr:to>
      <xdr:col>11</xdr:col>
      <xdr:colOff>104774</xdr:colOff>
      <xdr:row>40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4F2529-82DF-DBDE-ABDC-48779E53C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1171574</xdr:colOff>
      <xdr:row>46</xdr:row>
      <xdr:rowOff>14287</xdr:rowOff>
    </xdr:from>
    <xdr:to>
      <xdr:col>11</xdr:col>
      <xdr:colOff>85724</xdr:colOff>
      <xdr:row>60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219E49-6B8A-D941-9FA5-9010CF780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1162050</xdr:colOff>
      <xdr:row>72</xdr:row>
      <xdr:rowOff>80962</xdr:rowOff>
    </xdr:from>
    <xdr:to>
      <xdr:col>17</xdr:col>
      <xdr:colOff>200025</xdr:colOff>
      <xdr:row>86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A5CECE-8705-3376-E204-FBB9B2CB3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1123949</xdr:colOff>
      <xdr:row>94</xdr:row>
      <xdr:rowOff>100012</xdr:rowOff>
    </xdr:from>
    <xdr:to>
      <xdr:col>22</xdr:col>
      <xdr:colOff>219075</xdr:colOff>
      <xdr:row>108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1D20ED-AEFF-ECC1-9826-52BC23245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3E34D0-396A-4A3D-8ACA-91D6E6A5496E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6EE480-B570-45BC-864B-4D80029B50E4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95DC56-8999-4A23-BA17-61DC4300CF19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D3ED18E-A56E-42D8-9DBB-09D4024A775C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790575</xdr:colOff>
      <xdr:row>0</xdr:row>
      <xdr:rowOff>19050</xdr:rowOff>
    </xdr:from>
    <xdr:ext cx="1647825" cy="1466850"/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C794F56F-D135-4ED8-B9A5-CAABE75B2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8DE13B-0A98-459A-BEA0-9CB890B300F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B8A2818B-8731-4A47-BA6C-88E221342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90D85E-9C51-487C-8452-22B534ACD31F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64574D6-91A5-4D3F-9116-A5A75D8EE68A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F7A5146-9FED-4CE2-9EDF-5406ECF6ECD7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3C9723-F68C-41BC-B8E6-36DD47D3DD16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39526B-2547-40F3-AFC7-74F93DCE105A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97A9CE-08E9-4187-A003-48A702BAE034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411BF9-A655-4645-A34C-7903B6BA970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4</xdr:row>
      <xdr:rowOff>47625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D9B50A5-8DD2-4F43-A178-7D1B243CF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775FAE7-B4DF-4EA9-A8A6-63F32E2AF73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F8FCD260-5805-4606-A10A-C9B32CB11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483178A-46EC-41DF-BDF3-7142DAD618F0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DA4855AD-4A5A-4B4C-BF97-ECC7A759D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A8D4037-29DD-4CF4-8ECD-97DE5CC25D8A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E34DC8CE-A9C0-4A3C-8F34-5C87B31AB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B053CE0-6AD1-4BD3-9B4E-AFD5E19A749F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DFC23DEE-60F4-4820-9177-E2F3E69C9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C5B0A3-7DB4-4F9F-979F-5050A867B5A4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9E39FC-2F6F-411A-BA9C-B9A83593E966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256242-8FB6-4F5A-AA01-8691E0F025F5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138F2D-3E76-4E4A-AED0-D05D661EDA6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4</xdr:row>
      <xdr:rowOff>47625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2FECDA26-2BE9-4F4D-8E80-74337591D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D41F9F0-F90D-4B12-A594-3170CDD7137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13AB70A7-9535-4BDA-B345-64C147FBE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959E53F-3991-4D40-8126-D31E221D607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4CEFEFEA-78D9-428C-B58B-CFE344340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19A70C9-2491-4D28-9FC6-34A91035A4C4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721384B5-ABB6-4D03-A703-215CB153C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00FEEE4-3F2E-4441-87A6-35B7BA4061D4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4</xdr:row>
      <xdr:rowOff>114300</xdr:rowOff>
    </xdr:to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4D44A494-E304-4649-B3FD-FD4F5EA86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743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7CA2B1-E157-49A1-80C7-D3ED30433030}"/>
            </a:ext>
          </a:extLst>
        </xdr:cNvPr>
        <xdr:cNvSpPr txBox="1"/>
      </xdr:nvSpPr>
      <xdr:spPr>
        <a:xfrm>
          <a:off x="3344008" y="932717"/>
          <a:ext cx="187971" cy="2743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9CB4D9-48C6-4BA0-902C-410BB05657DE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9A824D5-E11C-4151-AD84-5E32E2C566DA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73A8D5F-62FD-4D80-B9BE-624F11F4897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B2AA6248-5811-4424-BE19-8116364BB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DD5C6B-0D01-46C2-BF32-772C0A5E738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49EE8698-00AA-4CCC-8141-AD2D68B73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BBC7FF2-79DF-418E-858B-A9497B01439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8CDCD64C-BA0C-4040-9D3F-E53C17FEF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042AF04-21D0-41E9-806B-2890CC0EFEA8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DE0BDE61-C1B8-4EAF-B6D4-0C7C519C9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8DDFE08-C8BD-4147-AD66-9306EA52D7C1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4</xdr:row>
      <xdr:rowOff>114300</xdr:rowOff>
    </xdr:to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03BE20FB-96AC-4F97-B53E-F00074BB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349FEE-4F7E-4B4E-BA41-9905EC083841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A9C16F-C8B2-465E-B1F5-F7B6E2D703F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EA46095-DE2A-4852-A06A-C6E56CB2221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5F10B98-76DC-4AA9-8E55-E93CA9AEA6FF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7F83B9BD-3417-4258-897D-336B5AAF8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DF2CF9-A296-4401-8792-A1DC448010B3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701B7691-14FD-4BC7-B8FA-F0086F376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7277835-CB8E-4247-9207-B74F84155057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82FBF7AB-F7A8-48DC-A34D-467898A48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550A015-5541-49F3-A530-29DD19210405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2BAD1A17-7E68-4C27-ACA4-7C0B5860F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727D3B9-7759-414B-83B9-6A45D20D69AE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4</xdr:row>
      <xdr:rowOff>114300</xdr:rowOff>
    </xdr:to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33AA644A-B07D-47C7-A80B-B7B2569B2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0EB7BB-AC53-454C-8243-722C3BC6C3A0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1FE8990-0A4D-4291-9B14-1B12310A946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BCCBC9-13CF-4278-AC55-DE793C95F7E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FB2F970-A012-4F3E-BB06-D548C5ED768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51DCA2E-8DC7-41F9-9296-D0FF96D2E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7BBB1E0-D79E-4A3D-8D00-9A0681B30F6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8B6CB1D8-9FDA-4AAE-A0FB-0FEE4DF91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A7BABBE-2ECE-4438-8EC0-7415E9E78B0E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C4BF3514-1CED-420A-8A17-DA3D55F5F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96C4BB3-7C8B-44D2-8E05-D3D7CEC9E88C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931F6E06-23EC-498B-99B4-64E082367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B83AF5C-4E7E-4183-88FF-C505D7F1DFD1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46C6D82F-18DA-469D-A04C-974D25F32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3352E4-3AE5-4991-BF15-EB49255E8F1D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AA9F745-FFA5-44FD-AC99-CB0C2F9D572C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46F698-1DBD-4762-A1AF-142E2F5BF6A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CDD09-8DD6-4A12-B2F4-5654976B395A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590550</xdr:colOff>
      <xdr:row>3</xdr:row>
      <xdr:rowOff>0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8AFCFAF-467F-44D0-BAB9-C5FA456F0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0F64257-3D7E-40C2-8EB7-03DA0E74E2A4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590550</xdr:colOff>
      <xdr:row>3</xdr:row>
      <xdr:rowOff>0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0AB5CBFA-847B-4974-BF3F-32DC79D2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22A10FD-482B-4E53-835B-65C3F761F6A1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590550</xdr:colOff>
      <xdr:row>3</xdr:row>
      <xdr:rowOff>0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1B0D6884-AF42-4BBD-AB75-CB944C0C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A5C0E70-4D9F-436E-AE79-E35177ADCC2B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57150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7D79055D-CAB0-4F59-AFCC-A8A337A9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5BCD48-2B85-4A8C-9729-869FCBED1160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D33300-D2DC-42E9-8E1C-15DDDACAC517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DB95D8-2C99-4AF7-9D83-3522F621307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7D74BE0-25BD-4E45-BB8D-72FD4DE974F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33EF8245-DA2B-4184-845B-641BD4ED4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7D92DDD-D99F-42A2-B581-BAF6106AC11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7AD0A692-0580-4817-BFF3-051C2806C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4440BFD-5C8F-48E8-A64D-B9195CF550E9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8D0CFF25-8F99-4E2C-9E7F-485E1BC87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2E6605F-117F-40AA-8730-7DCF391B9288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7174B63C-EE5D-482C-A5FF-F9515DA2B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61BF3E4-F4A0-4937-9289-F0C455276FA0}"/>
            </a:ext>
          </a:extLst>
        </xdr:cNvPr>
        <xdr:cNvSpPr txBox="1"/>
      </xdr:nvSpPr>
      <xdr:spPr>
        <a:xfrm>
          <a:off x="36964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ED6C2B60-3B6C-4A93-8003-E8FF7446B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1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24263D-5A42-4ADD-96E2-60E196DEF165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32E497-2A9A-46BA-AF12-8AE5C43A8A79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CD8F89-DB36-4C9A-8CAC-426B0453864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4D56FA-0F68-4FF9-865F-F24D34595FC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386F14BF-3655-431A-A067-72B7BDBAE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BE617FC-B85D-4CF6-BA16-805EFA98012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BDC92090-9906-467E-A20A-D233664D5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2EAC947-1ACC-400B-9655-1364D0B45D8A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E58EE312-5AEA-4E6A-A119-149D14AFC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A477DE9-3B62-4A74-84D0-3F49F9B5713A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74CEB02E-7F3E-4AB7-8746-375A4A4AF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FFAF63A-BBA3-41B9-8A1D-49D8C62ECE7A}"/>
            </a:ext>
          </a:extLst>
        </xdr:cNvPr>
        <xdr:cNvSpPr txBox="1"/>
      </xdr:nvSpPr>
      <xdr:spPr>
        <a:xfrm>
          <a:off x="36964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CB2042A4-5A2D-4BDB-BFE8-7ABB06AA9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1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8234BF-3549-48F1-97B9-6D11E6DED2E8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C96E06-ACE7-4EB4-8CC8-62BFB84187E6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B89809-E5E5-4054-977A-9CE69239041C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ED0B976-E53A-4874-AE72-822CFBD482A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589D31E4-3EE9-48C4-8F54-633901BB0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BAEFA9-B979-4E0D-B231-FE9627F70DAF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75CA4EFF-D3BF-4038-8E83-F746EFD28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7797BF1-6B85-4827-A79D-3D69683EF344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73E41BC7-FDC0-4C79-AF7A-C66932305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19E03BF-C0CD-4100-8501-6972FFBA3C46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F846E230-2B7C-4C9F-B936-1C4C53FBC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12591CB-22B1-4957-9E76-E7ACC593D5B8}"/>
            </a:ext>
          </a:extLst>
        </xdr:cNvPr>
        <xdr:cNvSpPr txBox="1"/>
      </xdr:nvSpPr>
      <xdr:spPr>
        <a:xfrm>
          <a:off x="36964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7A17D900-6EF4-4C72-9C47-5A8B6F1EE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1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73F19F-3736-47E4-A26F-F5A127C6A56D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4D7F0A-AE84-4AD5-BD34-D374E27A916A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C8905B8-AC08-4AC1-9659-0013F19E2892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707939-0E46-4CBF-A43D-4DC3E7FF168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15EE4689-4586-46A0-AC27-DE52BD3A6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A351E9-3E48-4D64-AD1E-31ABC81F018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C9BDEAF9-1AFA-4719-A3D2-6C2D9CFE0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3CD1BEA-92C3-4272-9E34-8A29C7381093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4EAE8919-40F0-4F5F-82E6-323F6F499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BD6CEA1-0A76-4939-8730-3DED22201A21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83A980E7-E16E-4D5C-9586-0DBB1DE57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AFD6A11-ECF3-4DFF-B402-F0ABBC78F828}"/>
            </a:ext>
          </a:extLst>
        </xdr:cNvPr>
        <xdr:cNvSpPr txBox="1"/>
      </xdr:nvSpPr>
      <xdr:spPr>
        <a:xfrm>
          <a:off x="36964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26CA5CEF-488C-4FF7-BB8B-9ED4F409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1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DF54D0-1B60-4080-8027-63B4F9656F85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D7744A-DC8F-4A0F-97E2-61B77B48752A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C6738C3-5A93-43BE-9955-3514741E01F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A55729D-4175-429B-9670-C54120E4E3DC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622CFA3D-7F83-48C9-8429-538EFF17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7F26AB7-DDB4-4E05-B6B2-E78145C6B256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F0E5F23F-5F85-4A19-A50C-F560A6904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39CFC30-5CE1-41DC-B143-DC73A0DBC3A9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0" name="Picture 9" descr="Logo PD Pasar">
          <a:extLst>
            <a:ext uri="{FF2B5EF4-FFF2-40B4-BE49-F238E27FC236}">
              <a16:creationId xmlns:a16="http://schemas.microsoft.com/office/drawing/2014/main" id="{A06CC573-A1D8-4D4A-86D2-2D3A7162D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8DA84EF-2B2C-4201-9BDB-FDF1247FEC8B}"/>
            </a:ext>
          </a:extLst>
        </xdr:cNvPr>
        <xdr:cNvSpPr txBox="1"/>
      </xdr:nvSpPr>
      <xdr:spPr>
        <a:xfrm>
          <a:off x="36964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7E4E5399-0EB8-4F4D-B2A9-16CFD5685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1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75DE31-39BD-4277-94C4-052858509197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616166C-9533-42DC-B32B-EA5FF4B4EA2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1A61B7-D59A-4A65-A50C-F2EFE5A706B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C9B6CE-FF9D-42BA-81D0-3E460AC76EF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F1D21A91-9C6B-4033-A753-F1320D613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BB997C-F6C7-44D4-9FBB-B3407F808B41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63BC6C96-1794-4B4E-9F6C-49167DE00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59603DD-76A9-4045-83EF-328599950F9E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0" name="Picture 9" descr="Logo PD Pasar">
          <a:extLst>
            <a:ext uri="{FF2B5EF4-FFF2-40B4-BE49-F238E27FC236}">
              <a16:creationId xmlns:a16="http://schemas.microsoft.com/office/drawing/2014/main" id="{1C5D435B-C4D1-4B23-A205-419ABFD56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40F6972-C812-44C8-BE7A-8D9630975D49}"/>
            </a:ext>
          </a:extLst>
        </xdr:cNvPr>
        <xdr:cNvSpPr txBox="1"/>
      </xdr:nvSpPr>
      <xdr:spPr>
        <a:xfrm>
          <a:off x="36964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EB0EAFDD-3663-4754-BA07-01B656333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1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FC85A4-91E4-4143-B9D9-610D36BE2E0B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A12A04-680A-406B-B3A4-BF9730CED196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27D809-9548-4F5D-8215-F7D053C9558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42E7849-7A0B-4196-ABD1-6E57BEBCA1D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F5862D77-BF9C-49EE-8C0B-42602DC77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1E3E484-C34B-4F0A-B183-1A4D5EFEA36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17967D78-F030-4B7E-9F38-E6B3A1BC2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96048C-77BF-4548-A39F-5B4C5767B13F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274D3BA8-95A8-408A-BF27-8F15AC09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769D049-8F90-490E-AE0A-F5F7DCF9817D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B8BAB027-AA35-4859-9A22-3BD6DC5BE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E3D6F71-D292-48CD-B531-47B13842409B}"/>
            </a:ext>
          </a:extLst>
        </xdr:cNvPr>
        <xdr:cNvSpPr txBox="1"/>
      </xdr:nvSpPr>
      <xdr:spPr>
        <a:xfrm>
          <a:off x="36964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F72FBF7B-FC26-47FA-9E68-B016A94A5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1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4F0A4C-FEC2-40EF-927A-35A73570E18C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BC916C-5373-4821-A042-4DE3E4BA64A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8FB9A5-1489-4A43-AE36-98FAF8121AA8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3</xdr:row>
      <xdr:rowOff>0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190AECE4-8A76-4567-93F6-C8BE4A5BE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D45533-4590-4BFF-A75D-8CB38A0A1D9F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8</xdr:row>
      <xdr:rowOff>28575</xdr:rowOff>
    </xdr:to>
    <xdr:pic>
      <xdr:nvPicPr>
        <xdr:cNvPr id="7" name="Picture 6" descr="Logo PD Pasar">
          <a:extLst>
            <a:ext uri="{FF2B5EF4-FFF2-40B4-BE49-F238E27FC236}">
              <a16:creationId xmlns:a16="http://schemas.microsoft.com/office/drawing/2014/main" id="{58A64B7D-38B9-4D2D-8CCF-6D42F7F2B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94453" cy="2740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AEE593-CDBC-4E7D-9958-D8A7D418C90C}"/>
            </a:ext>
          </a:extLst>
        </xdr:cNvPr>
        <xdr:cNvSpPr txBox="1"/>
      </xdr:nvSpPr>
      <xdr:spPr>
        <a:xfrm>
          <a:off x="3363058" y="1066067"/>
          <a:ext cx="194453" cy="274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1A0ACA-E25C-4191-90DA-F6DE0E852182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B1D6310-8991-42A8-B653-B2BDD9FC5AC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F83F17-FBDD-414C-9E5C-6705D8E7E948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3</xdr:row>
      <xdr:rowOff>0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EDF6F52D-4667-4BCC-8DC9-36A0AD11E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356D293-1A21-4B67-99C5-C8C3FD5277E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3</xdr:row>
      <xdr:rowOff>0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CCBF9DE9-DB56-451C-B9A5-A019F9A1A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02A9704-E301-48B1-B101-94BE3D9637CD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8</xdr:row>
      <xdr:rowOff>28575</xdr:rowOff>
    </xdr:to>
    <xdr:pic>
      <xdr:nvPicPr>
        <xdr:cNvPr id="10" name="Picture 9" descr="Logo PD Pasar">
          <a:extLst>
            <a:ext uri="{FF2B5EF4-FFF2-40B4-BE49-F238E27FC236}">
              <a16:creationId xmlns:a16="http://schemas.microsoft.com/office/drawing/2014/main" id="{4BF52B6F-EA73-4E3F-8AD1-5D293E497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72B31F-B46E-43D1-97E8-1D40CAD12C4F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97CB40-951F-45E3-A78E-D9D6A64BEB71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E6AD6D-B44F-4AE9-BF59-A72E50268A5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0DF713-5896-4510-B9F8-661F76FEE09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4D78FAB6-11FE-4BC8-B986-9B5E4A11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B3E70-7B83-4F9C-8A59-58DC1B683743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C2CDCC3C-532B-41A6-B023-89E0ED4D7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FD89804-A438-473C-9AE9-FDB614AAF24A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0" name="Picture 9" descr="Logo PD Pasar">
          <a:extLst>
            <a:ext uri="{FF2B5EF4-FFF2-40B4-BE49-F238E27FC236}">
              <a16:creationId xmlns:a16="http://schemas.microsoft.com/office/drawing/2014/main" id="{E353B29C-E67F-4C7F-BCA7-666745A9A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820E172-9733-425C-8538-4B8BA2545BC9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F762E838-B059-478E-A933-97DEF4330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262E0F-3BAA-4715-B67D-BD8DABD4323D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74A211-0F95-45E9-BB5C-4D7508075FC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177CA62-E7C9-4F68-B39B-6548BBC6FC09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BC5193-A3A4-4216-B291-2E63DB81560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CA6B79BE-0839-4079-9ECD-EC0515B39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941CB5-92BA-44F4-B19F-645E31B9996A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53AD8A0D-9EB2-4F3A-9725-9C73612A6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12D4F9B-43C9-4D3F-BDA0-DCFBE7F710D4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896F8606-FD0E-4C27-A412-91EC03252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2227364-A186-4614-83F9-40CB2835F573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B8026CC4-8E63-4433-9FCA-4FFB41759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D2F0BDF-7394-40CA-9895-50BD5D83C244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10</xdr:col>
      <xdr:colOff>0</xdr:colOff>
      <xdr:row>2</xdr:row>
      <xdr:rowOff>209550</xdr:rowOff>
    </xdr:to>
    <xdr:pic>
      <xdr:nvPicPr>
        <xdr:cNvPr id="14" name="Picture 2" descr="Logo PD Pasar">
          <a:extLst>
            <a:ext uri="{FF2B5EF4-FFF2-40B4-BE49-F238E27FC236}">
              <a16:creationId xmlns:a16="http://schemas.microsoft.com/office/drawing/2014/main" id="{62EE244C-840D-4E29-9917-FC829DCFC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3B29351-8D69-48E9-AA07-84076C9E082A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6" name="Picture 15" descr="Logo PD Pasar">
          <a:extLst>
            <a:ext uri="{FF2B5EF4-FFF2-40B4-BE49-F238E27FC236}">
              <a16:creationId xmlns:a16="http://schemas.microsoft.com/office/drawing/2014/main" id="{596DB1EA-3735-4F7F-A51C-9AD912F87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2C1B9D-3999-4F0B-A9BB-E5A3AD8C1471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AF98AB-2C42-4940-BD69-7E0BAB8A09E7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CA70C24-79FF-49E5-8575-849C3E7DB61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76DB18-652B-4020-9EA8-4ED5CC208E1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50D4F8C3-BF8F-4503-8EC7-096788673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9741F3F-EC22-4BFB-8248-ADA171EEC36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9E400E48-517E-4ABD-B616-8602270BA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D8A1D3B-C0CE-43BC-B45C-B03E5874A448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20E4CC46-1CEB-4D77-8345-8F9E5E020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753863D-03EF-477C-B447-074CCB853D84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3D1276EF-4119-42CD-A2C2-22F317370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93C6B0B-204D-4825-B90C-91FC07E5BA05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10</xdr:col>
      <xdr:colOff>0</xdr:colOff>
      <xdr:row>2</xdr:row>
      <xdr:rowOff>209550</xdr:rowOff>
    </xdr:to>
    <xdr:pic>
      <xdr:nvPicPr>
        <xdr:cNvPr id="14" name="Picture 2" descr="Logo PD Pasar">
          <a:extLst>
            <a:ext uri="{FF2B5EF4-FFF2-40B4-BE49-F238E27FC236}">
              <a16:creationId xmlns:a16="http://schemas.microsoft.com/office/drawing/2014/main" id="{0038B89F-5695-4D5A-8E0D-0365703A6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8FF9B9F-9D52-473E-8251-4DF2429DC92C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6" name="Picture 15" descr="Logo PD Pasar">
          <a:extLst>
            <a:ext uri="{FF2B5EF4-FFF2-40B4-BE49-F238E27FC236}">
              <a16:creationId xmlns:a16="http://schemas.microsoft.com/office/drawing/2014/main" id="{8A2437DD-6E77-4FE9-A62D-D44E7B4D8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259891-D17E-446F-9F7A-8C6F378CB2FC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C6BD16-2EC0-48A9-932A-EF47F1DF64C2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DF0AD0-4ECD-443E-81FF-28838234D47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D36EE5-3276-4426-A752-C0D72E5B021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9F7A2F43-2870-486D-BEF3-15B32A9D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EAAC44-B847-444A-A8A3-998A68A94F4B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C411D861-8DB8-48E6-9EA7-EDDEC6D5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B15FB91-B443-4151-8F23-B647558CA8BD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006B33D9-C98F-4B6F-9881-3EE47E1F5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4AD966F-F540-4CDD-A76E-7B5D82FD8E39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77013E7B-BC21-4C08-8319-990D06E4A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2C77841-8762-4D11-A162-655578F62281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10</xdr:col>
      <xdr:colOff>0</xdr:colOff>
      <xdr:row>2</xdr:row>
      <xdr:rowOff>209550</xdr:rowOff>
    </xdr:to>
    <xdr:pic>
      <xdr:nvPicPr>
        <xdr:cNvPr id="14" name="Picture 2" descr="Logo PD Pasar">
          <a:extLst>
            <a:ext uri="{FF2B5EF4-FFF2-40B4-BE49-F238E27FC236}">
              <a16:creationId xmlns:a16="http://schemas.microsoft.com/office/drawing/2014/main" id="{E4050074-2F30-4F65-A81E-B597DF8C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9EB39E0-C3C9-486A-AB84-7AECDBF300B0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6" name="Picture 15" descr="Logo PD Pasar">
          <a:extLst>
            <a:ext uri="{FF2B5EF4-FFF2-40B4-BE49-F238E27FC236}">
              <a16:creationId xmlns:a16="http://schemas.microsoft.com/office/drawing/2014/main" id="{E601D9C2-0576-4480-9BAB-FB014A7A8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172183</xdr:colOff>
      <xdr:row>4</xdr:row>
      <xdr:rowOff>151667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DCA80E-1B44-47D6-A740-093DDA172C9B}"/>
            </a:ext>
          </a:extLst>
        </xdr:cNvPr>
        <xdr:cNvSpPr txBox="1"/>
      </xdr:nvSpPr>
      <xdr:spPr>
        <a:xfrm>
          <a:off x="3363058" y="1066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1128D6-E842-4774-BA98-E50657A815F4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1646DD-7D15-47AE-BCBE-573D6BA87E57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4</xdr:row>
      <xdr:rowOff>47625</xdr:rowOff>
    </xdr:to>
    <xdr:pic>
      <xdr:nvPicPr>
        <xdr:cNvPr id="5" name="Picture 2" descr="Logo PD Pasar">
          <a:extLst>
            <a:ext uri="{FF2B5EF4-FFF2-40B4-BE49-F238E27FC236}">
              <a16:creationId xmlns:a16="http://schemas.microsoft.com/office/drawing/2014/main" id="{27772979-C29A-406D-B73D-75A3630CF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B7A84A7-5BB7-43CC-97AD-82435A90CEE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7" name="Picture 2" descr="Logo PD Pasar">
          <a:extLst>
            <a:ext uri="{FF2B5EF4-FFF2-40B4-BE49-F238E27FC236}">
              <a16:creationId xmlns:a16="http://schemas.microsoft.com/office/drawing/2014/main" id="{215036E4-9015-49E2-B902-EF523A5FC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987885F-D33D-4B0F-AB76-FB2A645F459D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9" name="Picture 2" descr="Logo PD Pasar">
          <a:extLst>
            <a:ext uri="{FF2B5EF4-FFF2-40B4-BE49-F238E27FC236}">
              <a16:creationId xmlns:a16="http://schemas.microsoft.com/office/drawing/2014/main" id="{47388F03-EDF7-443A-A882-454553632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0CB159-D6F1-4715-ADCB-42815BF9A470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9</xdr:col>
      <xdr:colOff>419100</xdr:colOff>
      <xdr:row>2</xdr:row>
      <xdr:rowOff>109538</xdr:rowOff>
    </xdr:to>
    <xdr:pic>
      <xdr:nvPicPr>
        <xdr:cNvPr id="11" name="Picture 10" descr="Logo PD Pasar">
          <a:extLst>
            <a:ext uri="{FF2B5EF4-FFF2-40B4-BE49-F238E27FC236}">
              <a16:creationId xmlns:a16="http://schemas.microsoft.com/office/drawing/2014/main" id="{08B42DBE-04C8-4682-AD3B-A8A00B66E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971550" cy="7286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9F7133-C1C6-45D3-B185-259612D7B7E1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3" name="Picture 12" descr="Logo PD Pasar">
          <a:extLst>
            <a:ext uri="{FF2B5EF4-FFF2-40B4-BE49-F238E27FC236}">
              <a16:creationId xmlns:a16="http://schemas.microsoft.com/office/drawing/2014/main" id="{5F382DEC-D23B-4A5E-AD61-8F2EAE831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3B7133-17D8-46A4-B45D-2849E313C219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400051</xdr:colOff>
      <xdr:row>0</xdr:row>
      <xdr:rowOff>142875</xdr:rowOff>
    </xdr:from>
    <xdr:to>
      <xdr:col>8</xdr:col>
      <xdr:colOff>514351</xdr:colOff>
      <xdr:row>0</xdr:row>
      <xdr:rowOff>247314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52E8FCDD-00E8-4A0B-BAA9-8F92E054B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6" y="142875"/>
          <a:ext cx="114300" cy="104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CE9366-35A1-47FD-9C1E-EB6FF9F59623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142876</xdr:rowOff>
    </xdr:from>
    <xdr:to>
      <xdr:col>9</xdr:col>
      <xdr:colOff>698473</xdr:colOff>
      <xdr:row>3</xdr:row>
      <xdr:rowOff>171451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AA21C21F-729B-4447-84EA-D2011732E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6"/>
          <a:ext cx="1250923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58EB5B-AEEC-4D46-9F0E-A3D0D93C95F3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4CB7DE-CE8F-4537-8BE8-8F563692A8B5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A6382B9-B114-447A-A3A2-9E200B04C36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C678A6-4590-4CE4-8484-DFFF19F959E4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3</xdr:row>
      <xdr:rowOff>0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9442BF39-C37E-4A1C-BB47-86F50091B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AF3B77-24A8-4CC0-AF8F-1C9C13D3B9F8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3</xdr:row>
      <xdr:rowOff>0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D9C14A81-9F7D-4D5E-AFF6-4E70DA93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17E90C6-DD90-461F-97B2-6978FDCC5FC6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3</xdr:row>
      <xdr:rowOff>0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6FA36B41-1137-41D5-B6D2-6B9894C1D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06031AD-DF9C-41D2-B7B0-52C03C7E1068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10</xdr:col>
      <xdr:colOff>238125</xdr:colOff>
      <xdr:row>4</xdr:row>
      <xdr:rowOff>161925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EC532036-5B74-4A67-A73C-65B0D23CC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1733550" cy="145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8</xdr:row>
      <xdr:rowOff>65942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14D7090-DFB6-41C7-B9C0-8137FECAAACD}"/>
            </a:ext>
          </a:extLst>
        </xdr:cNvPr>
        <xdr:cNvSpPr txBox="1"/>
      </xdr:nvSpPr>
      <xdr:spPr>
        <a:xfrm>
          <a:off x="3734533" y="168519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400051</xdr:colOff>
      <xdr:row>0</xdr:row>
      <xdr:rowOff>142875</xdr:rowOff>
    </xdr:from>
    <xdr:ext cx="1257300" cy="779033"/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68E2276B-DB37-4034-A81D-10D7FAAA7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6" y="142875"/>
          <a:ext cx="1257300" cy="7790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D3E2AF-46B0-41AC-AEA6-AFD18C057F37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5E217D-A013-4445-8C63-6D3FAFACA79F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D8A6F7-A98F-4547-AA7C-A43BEB056064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1AC9065-7F06-4B89-9D7C-8D4488902731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F7DC7720-5E2D-4E34-A4A1-3DA910B68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0E3678-0E2F-41EB-B276-8C51394BF2A3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97BFB827-9588-491A-BAF5-B7E978630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AE4EA7D-0E68-42A0-BE4C-CEB0383F4507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FB69A63F-50D8-497B-815E-725966C9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5E08815-AB0C-4D97-ABAC-8681C0C3B1C2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9DD1D503-5849-4322-90D8-DF20F4752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054C126-9ED2-47A4-A828-E627236C86AC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10</xdr:col>
      <xdr:colOff>0</xdr:colOff>
      <xdr:row>2</xdr:row>
      <xdr:rowOff>209550</xdr:rowOff>
    </xdr:to>
    <xdr:pic>
      <xdr:nvPicPr>
        <xdr:cNvPr id="14" name="Picture 2" descr="Logo PD Pasar">
          <a:extLst>
            <a:ext uri="{FF2B5EF4-FFF2-40B4-BE49-F238E27FC236}">
              <a16:creationId xmlns:a16="http://schemas.microsoft.com/office/drawing/2014/main" id="{F6A1ADF6-3BCD-4C72-9869-9275C9696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14954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DBFBEA3-8CF3-4378-8F9D-8AF523E76B7E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6" name="Picture 15" descr="Logo PD Pasar">
          <a:extLst>
            <a:ext uri="{FF2B5EF4-FFF2-40B4-BE49-F238E27FC236}">
              <a16:creationId xmlns:a16="http://schemas.microsoft.com/office/drawing/2014/main" id="{3D796346-6A12-4AD3-B5B8-EF78E75C6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E539C5-A5FB-462D-A470-1F251576B8C3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073130-B6B3-445B-9B0B-5538505B206E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F2540C-1171-4D3D-A589-DAF9714FD0EE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E730964-4C24-4C61-969A-956E76B6268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AD70E83F-5366-4583-89E8-C1F011AE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67C6FAD-D721-43BC-9320-7A329E9C8E82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317D4E10-A626-42A2-A43E-8237D5CAA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FF64FA-CD44-45EA-9A7F-10D1C7C4FB99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0176D152-5C74-42F7-94B2-ED5BF1D78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D228CDE-B843-4425-A1E7-7391BABC6ECB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DBF67F38-FC07-4957-BF22-AEF8353FD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65D8177-DE94-468E-85BE-12ADEB8FC1E4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BC0C61C9-4F49-461C-A174-0AAC74D6D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C366F3-D1A8-4A5A-A0D1-91FBD8E18FAB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2F3C8D-987F-4559-A6CA-934F698F06F5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2ABF4A-9B80-4D2C-8996-18B85C9CB760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4119C0-CC48-4656-8B24-8BB3BF828B52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A6A5241A-CB4A-406E-9E97-D5981A320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FB1E46-4D89-4B15-813A-A6F82C402CF5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3BEFB6C2-A484-454C-A44A-DF3C9F555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93CC74-B5FF-4F39-AAC3-494A75D3E98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EE17AA6C-2F21-49EC-8B76-5DC8764AB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A25CB27-BDA9-4B06-9CFA-254C59BD48BB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21895A10-1486-4984-AD12-70B3C4160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E46EC53-DE75-4173-A375-E365101E3407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7834BE2F-D5FA-464C-89F6-D2EAF2CE1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F4F4B9-7F34-4884-9838-66952C6A607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150595D-ADE4-4C32-A45C-4AC5222E88C9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182099-7240-4A2A-95E4-4857F79A2E7D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DC0BB82-4976-4C8B-BD36-014E014418F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754A52D1-A832-4363-8336-25A4EAD98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24B1EF4-5607-4401-AF76-E538073DF9D0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DC4CDF55-04C4-4683-95BB-73F46687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E4178CB-EE4B-46A3-827C-C4D989121DDF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BE8BE5D5-2BEE-46D7-929B-CCB45D008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B50E94A-8A15-4AEF-B6A7-17269E8BDDEA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4D770D17-3D88-4CB3-93E3-4FAF23E5E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0F99C77-49BF-4698-81C9-BA2D4ECA367A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9BEC041A-49EE-4B9E-8642-38796C23D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5F0936-451A-4C08-B592-84399DD59628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EFF7AE-A8D1-460A-A1A1-916167C6CA8C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272DB4-F12C-481D-B04B-A20F41387DA5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4E1110-EFD5-404C-A8A6-C34C5C71EFD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5B9ACE25-3869-417E-9BD2-0304A4BEE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172AFDF-3063-46E9-AB2D-08B4FC20601C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BBD629E3-BCF8-4558-A8B0-B27FD6C64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78B0A1C-0134-4255-AA99-5D043B821223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939B74D2-9F58-41F5-ADDE-195E7546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CB9E90D-A4B0-417F-BD07-AAE02FC6D888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A7B4AD27-6B0E-4DC2-BC29-2E631B580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A06CE08-44F7-40ED-9F0F-CFF418798891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F648CFC2-305F-4D56-A6BB-CC252FE96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65053C-C057-46DC-AD84-222921EF0917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0C1BD7-A69D-4EF6-93C8-CD317CB29422}"/>
            </a:ext>
          </a:extLst>
        </xdr:cNvPr>
        <xdr:cNvSpPr txBox="1"/>
      </xdr:nvSpPr>
      <xdr:spPr>
        <a:xfrm>
          <a:off x="3344008" y="1085117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6D801F0-D210-4BD9-BA5F-8E61D4BECA12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153133</xdr:colOff>
      <xdr:row>4</xdr:row>
      <xdr:rowOff>151667</xdr:rowOff>
    </xdr:from>
    <xdr:ext cx="187971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0275F1D-2C3C-43A7-83D8-5249357A0696}"/>
            </a:ext>
          </a:extLst>
        </xdr:cNvPr>
        <xdr:cNvSpPr txBox="1"/>
      </xdr:nvSpPr>
      <xdr:spPr>
        <a:xfrm>
          <a:off x="3344008" y="1589942"/>
          <a:ext cx="187971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6" name="Picture 2" descr="Logo PD Pasar">
          <a:extLst>
            <a:ext uri="{FF2B5EF4-FFF2-40B4-BE49-F238E27FC236}">
              <a16:creationId xmlns:a16="http://schemas.microsoft.com/office/drawing/2014/main" id="{C85871E6-EB6E-4BF6-9E17-C9D707CB3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876498D-270C-44AE-8065-BFDD2E7D3454}"/>
            </a:ext>
          </a:extLst>
        </xdr:cNvPr>
        <xdr:cNvSpPr txBox="1"/>
      </xdr:nvSpPr>
      <xdr:spPr>
        <a:xfrm>
          <a:off x="1970503" y="913667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id="8" name="Picture 2" descr="Logo PD Pasar">
          <a:extLst>
            <a:ext uri="{FF2B5EF4-FFF2-40B4-BE49-F238E27FC236}">
              <a16:creationId xmlns:a16="http://schemas.microsoft.com/office/drawing/2014/main" id="{E7BB4D83-D6D0-4983-948C-851D85A7A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141703</xdr:colOff>
      <xdr:row>4</xdr:row>
      <xdr:rowOff>151667</xdr:rowOff>
    </xdr:from>
    <xdr:ext cx="189949" cy="28530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CAB0523-58A8-4833-8019-94F7177F5435}"/>
            </a:ext>
          </a:extLst>
        </xdr:cNvPr>
        <xdr:cNvSpPr txBox="1"/>
      </xdr:nvSpPr>
      <xdr:spPr>
        <a:xfrm>
          <a:off x="3332578" y="1589942"/>
          <a:ext cx="189949" cy="2853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7</xdr:col>
      <xdr:colOff>790575</xdr:colOff>
      <xdr:row>0</xdr:row>
      <xdr:rowOff>19050</xdr:rowOff>
    </xdr:from>
    <xdr:to>
      <xdr:col>9</xdr:col>
      <xdr:colOff>504825</xdr:colOff>
      <xdr:row>2</xdr:row>
      <xdr:rowOff>219075</xdr:rowOff>
    </xdr:to>
    <xdr:pic>
      <xdr:nvPicPr>
        <xdr:cNvPr id="10" name="Picture 2" descr="Logo PD Pasar">
          <a:extLst>
            <a:ext uri="{FF2B5EF4-FFF2-40B4-BE49-F238E27FC236}">
              <a16:creationId xmlns:a16="http://schemas.microsoft.com/office/drawing/2014/main" id="{0335367E-11F4-418B-90AC-5DD2B4A30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19050"/>
          <a:ext cx="16478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3026827-DEE9-470F-B7EF-64651B61C21D}"/>
            </a:ext>
          </a:extLst>
        </xdr:cNvPr>
        <xdr:cNvSpPr txBox="1"/>
      </xdr:nvSpPr>
      <xdr:spPr>
        <a:xfrm>
          <a:off x="32773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2" name="Picture 11" descr="Logo PD Pasar">
          <a:extLst>
            <a:ext uri="{FF2B5EF4-FFF2-40B4-BE49-F238E27FC236}">
              <a16:creationId xmlns:a16="http://schemas.microsoft.com/office/drawing/2014/main" id="{E2E7216D-DF6F-42E7-8FDC-82B3200C8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0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B56F49C-CB79-4A52-8E15-0C01C6B59841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11</xdr:col>
      <xdr:colOff>66675</xdr:colOff>
      <xdr:row>5</xdr:row>
      <xdr:rowOff>19050</xdr:rowOff>
    </xdr:to>
    <xdr:pic>
      <xdr:nvPicPr>
        <xdr:cNvPr id="14" name="Picture 13" descr="Logo PD Pasar">
          <a:extLst>
            <a:ext uri="{FF2B5EF4-FFF2-40B4-BE49-F238E27FC236}">
              <a16:creationId xmlns:a16="http://schemas.microsoft.com/office/drawing/2014/main" id="{F0A94DB5-EC9A-4D74-B862-07F3B17CF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24288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86458</xdr:colOff>
      <xdr:row>4</xdr:row>
      <xdr:rowOff>151667</xdr:rowOff>
    </xdr:from>
    <xdr:ext cx="194454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F3327B-2A00-413D-8A56-DEE4A9A205C6}"/>
            </a:ext>
          </a:extLst>
        </xdr:cNvPr>
        <xdr:cNvSpPr txBox="1"/>
      </xdr:nvSpPr>
      <xdr:spPr>
        <a:xfrm>
          <a:off x="3734533" y="1589942"/>
          <a:ext cx="194454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8</xdr:col>
      <xdr:colOff>400050</xdr:colOff>
      <xdr:row>0</xdr:row>
      <xdr:rowOff>142875</xdr:rowOff>
    </xdr:from>
    <xdr:to>
      <xdr:col>9</xdr:col>
      <xdr:colOff>657225</xdr:colOff>
      <xdr:row>3</xdr:row>
      <xdr:rowOff>133761</xdr:rowOff>
    </xdr:to>
    <xdr:pic>
      <xdr:nvPicPr>
        <xdr:cNvPr id="3" name="Picture 2" descr="Logo PD Pasar">
          <a:extLst>
            <a:ext uri="{FF2B5EF4-FFF2-40B4-BE49-F238E27FC236}">
              <a16:creationId xmlns:a16="http://schemas.microsoft.com/office/drawing/2014/main" id="{4BA34E06-9F53-468E-A32D-36B05D008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875"/>
          <a:ext cx="1209675" cy="11053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3AFA-D7FB-42D2-88E0-704FBCF2DCA2}">
  <dimension ref="A1:AK88"/>
  <sheetViews>
    <sheetView tabSelected="1" zoomScale="85" zoomScaleNormal="85" workbookViewId="0">
      <pane xSplit="2" ySplit="3" topLeftCell="AD63" activePane="bottomRight" state="frozen"/>
      <selection pane="topRight" activeCell="C1" sqref="C1"/>
      <selection pane="bottomLeft" activeCell="A4" sqref="A4"/>
      <selection pane="bottomRight" activeCell="B64" sqref="A64:XFD64"/>
    </sheetView>
  </sheetViews>
  <sheetFormatPr defaultRowHeight="15" x14ac:dyDescent="0.25"/>
  <cols>
    <col min="1" max="1" width="3.375" style="2" customWidth="1"/>
    <col min="2" max="2" width="32.25" style="2" customWidth="1"/>
    <col min="3" max="3" width="13" style="2" customWidth="1"/>
    <col min="4" max="16" width="9.125" style="2"/>
    <col min="17" max="34" width="8.875" style="2" customWidth="1"/>
    <col min="35" max="36" width="10.25" style="2" customWidth="1"/>
    <col min="37" max="38" width="8.125" style="2" customWidth="1"/>
    <col min="39" max="254" width="9.125" style="2"/>
    <col min="255" max="255" width="3.375" style="2" customWidth="1"/>
    <col min="256" max="256" width="32.25" style="2" customWidth="1"/>
    <col min="257" max="257" width="13" style="2" customWidth="1"/>
    <col min="258" max="264" width="9.625" style="2" customWidth="1"/>
    <col min="265" max="266" width="11.375" style="2" customWidth="1"/>
    <col min="267" max="268" width="9.125" style="2"/>
    <col min="269" max="269" width="18.375" style="2" customWidth="1"/>
    <col min="270" max="510" width="9.125" style="2"/>
    <col min="511" max="511" width="3.375" style="2" customWidth="1"/>
    <col min="512" max="512" width="32.25" style="2" customWidth="1"/>
    <col min="513" max="513" width="13" style="2" customWidth="1"/>
    <col min="514" max="520" width="9.625" style="2" customWidth="1"/>
    <col min="521" max="522" width="11.375" style="2" customWidth="1"/>
    <col min="523" max="524" width="9.125" style="2"/>
    <col min="525" max="525" width="18.375" style="2" customWidth="1"/>
    <col min="526" max="766" width="9.125" style="2"/>
    <col min="767" max="767" width="3.375" style="2" customWidth="1"/>
    <col min="768" max="768" width="32.25" style="2" customWidth="1"/>
    <col min="769" max="769" width="13" style="2" customWidth="1"/>
    <col min="770" max="776" width="9.625" style="2" customWidth="1"/>
    <col min="777" max="778" width="11.375" style="2" customWidth="1"/>
    <col min="779" max="780" width="9.125" style="2"/>
    <col min="781" max="781" width="18.375" style="2" customWidth="1"/>
    <col min="782" max="1022" width="9.125" style="2"/>
    <col min="1023" max="1023" width="3.375" style="2" customWidth="1"/>
    <col min="1024" max="1024" width="32.25" style="2" customWidth="1"/>
    <col min="1025" max="1025" width="13" style="2" customWidth="1"/>
    <col min="1026" max="1032" width="9.625" style="2" customWidth="1"/>
    <col min="1033" max="1034" width="11.375" style="2" customWidth="1"/>
    <col min="1035" max="1036" width="9.125" style="2"/>
    <col min="1037" max="1037" width="18.375" style="2" customWidth="1"/>
    <col min="1038" max="1278" width="9.125" style="2"/>
    <col min="1279" max="1279" width="3.375" style="2" customWidth="1"/>
    <col min="1280" max="1280" width="32.25" style="2" customWidth="1"/>
    <col min="1281" max="1281" width="13" style="2" customWidth="1"/>
    <col min="1282" max="1288" width="9.625" style="2" customWidth="1"/>
    <col min="1289" max="1290" width="11.375" style="2" customWidth="1"/>
    <col min="1291" max="1292" width="9.125" style="2"/>
    <col min="1293" max="1293" width="18.375" style="2" customWidth="1"/>
    <col min="1294" max="1534" width="9.125" style="2"/>
    <col min="1535" max="1535" width="3.375" style="2" customWidth="1"/>
    <col min="1536" max="1536" width="32.25" style="2" customWidth="1"/>
    <col min="1537" max="1537" width="13" style="2" customWidth="1"/>
    <col min="1538" max="1544" width="9.625" style="2" customWidth="1"/>
    <col min="1545" max="1546" width="11.375" style="2" customWidth="1"/>
    <col min="1547" max="1548" width="9.125" style="2"/>
    <col min="1549" max="1549" width="18.375" style="2" customWidth="1"/>
    <col min="1550" max="1790" width="9.125" style="2"/>
    <col min="1791" max="1791" width="3.375" style="2" customWidth="1"/>
    <col min="1792" max="1792" width="32.25" style="2" customWidth="1"/>
    <col min="1793" max="1793" width="13" style="2" customWidth="1"/>
    <col min="1794" max="1800" width="9.625" style="2" customWidth="1"/>
    <col min="1801" max="1802" width="11.375" style="2" customWidth="1"/>
    <col min="1803" max="1804" width="9.125" style="2"/>
    <col min="1805" max="1805" width="18.375" style="2" customWidth="1"/>
    <col min="1806" max="2046" width="9.125" style="2"/>
    <col min="2047" max="2047" width="3.375" style="2" customWidth="1"/>
    <col min="2048" max="2048" width="32.25" style="2" customWidth="1"/>
    <col min="2049" max="2049" width="13" style="2" customWidth="1"/>
    <col min="2050" max="2056" width="9.625" style="2" customWidth="1"/>
    <col min="2057" max="2058" width="11.375" style="2" customWidth="1"/>
    <col min="2059" max="2060" width="9.125" style="2"/>
    <col min="2061" max="2061" width="18.375" style="2" customWidth="1"/>
    <col min="2062" max="2302" width="9.125" style="2"/>
    <col min="2303" max="2303" width="3.375" style="2" customWidth="1"/>
    <col min="2304" max="2304" width="32.25" style="2" customWidth="1"/>
    <col min="2305" max="2305" width="13" style="2" customWidth="1"/>
    <col min="2306" max="2312" width="9.625" style="2" customWidth="1"/>
    <col min="2313" max="2314" width="11.375" style="2" customWidth="1"/>
    <col min="2315" max="2316" width="9.125" style="2"/>
    <col min="2317" max="2317" width="18.375" style="2" customWidth="1"/>
    <col min="2318" max="2558" width="9.125" style="2"/>
    <col min="2559" max="2559" width="3.375" style="2" customWidth="1"/>
    <col min="2560" max="2560" width="32.25" style="2" customWidth="1"/>
    <col min="2561" max="2561" width="13" style="2" customWidth="1"/>
    <col min="2562" max="2568" width="9.625" style="2" customWidth="1"/>
    <col min="2569" max="2570" width="11.375" style="2" customWidth="1"/>
    <col min="2571" max="2572" width="9.125" style="2"/>
    <col min="2573" max="2573" width="18.375" style="2" customWidth="1"/>
    <col min="2574" max="2814" width="9.125" style="2"/>
    <col min="2815" max="2815" width="3.375" style="2" customWidth="1"/>
    <col min="2816" max="2816" width="32.25" style="2" customWidth="1"/>
    <col min="2817" max="2817" width="13" style="2" customWidth="1"/>
    <col min="2818" max="2824" width="9.625" style="2" customWidth="1"/>
    <col min="2825" max="2826" width="11.375" style="2" customWidth="1"/>
    <col min="2827" max="2828" width="9.125" style="2"/>
    <col min="2829" max="2829" width="18.375" style="2" customWidth="1"/>
    <col min="2830" max="3070" width="9.125" style="2"/>
    <col min="3071" max="3071" width="3.375" style="2" customWidth="1"/>
    <col min="3072" max="3072" width="32.25" style="2" customWidth="1"/>
    <col min="3073" max="3073" width="13" style="2" customWidth="1"/>
    <col min="3074" max="3080" width="9.625" style="2" customWidth="1"/>
    <col min="3081" max="3082" width="11.375" style="2" customWidth="1"/>
    <col min="3083" max="3084" width="9.125" style="2"/>
    <col min="3085" max="3085" width="18.375" style="2" customWidth="1"/>
    <col min="3086" max="3326" width="9.125" style="2"/>
    <col min="3327" max="3327" width="3.375" style="2" customWidth="1"/>
    <col min="3328" max="3328" width="32.25" style="2" customWidth="1"/>
    <col min="3329" max="3329" width="13" style="2" customWidth="1"/>
    <col min="3330" max="3336" width="9.625" style="2" customWidth="1"/>
    <col min="3337" max="3338" width="11.375" style="2" customWidth="1"/>
    <col min="3339" max="3340" width="9.125" style="2"/>
    <col min="3341" max="3341" width="18.375" style="2" customWidth="1"/>
    <col min="3342" max="3582" width="9.125" style="2"/>
    <col min="3583" max="3583" width="3.375" style="2" customWidth="1"/>
    <col min="3584" max="3584" width="32.25" style="2" customWidth="1"/>
    <col min="3585" max="3585" width="13" style="2" customWidth="1"/>
    <col min="3586" max="3592" width="9.625" style="2" customWidth="1"/>
    <col min="3593" max="3594" width="11.375" style="2" customWidth="1"/>
    <col min="3595" max="3596" width="9.125" style="2"/>
    <col min="3597" max="3597" width="18.375" style="2" customWidth="1"/>
    <col min="3598" max="3838" width="9.125" style="2"/>
    <col min="3839" max="3839" width="3.375" style="2" customWidth="1"/>
    <col min="3840" max="3840" width="32.25" style="2" customWidth="1"/>
    <col min="3841" max="3841" width="13" style="2" customWidth="1"/>
    <col min="3842" max="3848" width="9.625" style="2" customWidth="1"/>
    <col min="3849" max="3850" width="11.375" style="2" customWidth="1"/>
    <col min="3851" max="3852" width="9.125" style="2"/>
    <col min="3853" max="3853" width="18.375" style="2" customWidth="1"/>
    <col min="3854" max="4094" width="9.125" style="2"/>
    <col min="4095" max="4095" width="3.375" style="2" customWidth="1"/>
    <col min="4096" max="4096" width="32.25" style="2" customWidth="1"/>
    <col min="4097" max="4097" width="13" style="2" customWidth="1"/>
    <col min="4098" max="4104" width="9.625" style="2" customWidth="1"/>
    <col min="4105" max="4106" width="11.375" style="2" customWidth="1"/>
    <col min="4107" max="4108" width="9.125" style="2"/>
    <col min="4109" max="4109" width="18.375" style="2" customWidth="1"/>
    <col min="4110" max="4350" width="9.125" style="2"/>
    <col min="4351" max="4351" width="3.375" style="2" customWidth="1"/>
    <col min="4352" max="4352" width="32.25" style="2" customWidth="1"/>
    <col min="4353" max="4353" width="13" style="2" customWidth="1"/>
    <col min="4354" max="4360" width="9.625" style="2" customWidth="1"/>
    <col min="4361" max="4362" width="11.375" style="2" customWidth="1"/>
    <col min="4363" max="4364" width="9.125" style="2"/>
    <col min="4365" max="4365" width="18.375" style="2" customWidth="1"/>
    <col min="4366" max="4606" width="9.125" style="2"/>
    <col min="4607" max="4607" width="3.375" style="2" customWidth="1"/>
    <col min="4608" max="4608" width="32.25" style="2" customWidth="1"/>
    <col min="4609" max="4609" width="13" style="2" customWidth="1"/>
    <col min="4610" max="4616" width="9.625" style="2" customWidth="1"/>
    <col min="4617" max="4618" width="11.375" style="2" customWidth="1"/>
    <col min="4619" max="4620" width="9.125" style="2"/>
    <col min="4621" max="4621" width="18.375" style="2" customWidth="1"/>
    <col min="4622" max="4862" width="9.125" style="2"/>
    <col min="4863" max="4863" width="3.375" style="2" customWidth="1"/>
    <col min="4864" max="4864" width="32.25" style="2" customWidth="1"/>
    <col min="4865" max="4865" width="13" style="2" customWidth="1"/>
    <col min="4866" max="4872" width="9.625" style="2" customWidth="1"/>
    <col min="4873" max="4874" width="11.375" style="2" customWidth="1"/>
    <col min="4875" max="4876" width="9.125" style="2"/>
    <col min="4877" max="4877" width="18.375" style="2" customWidth="1"/>
    <col min="4878" max="5118" width="9.125" style="2"/>
    <col min="5119" max="5119" width="3.375" style="2" customWidth="1"/>
    <col min="5120" max="5120" width="32.25" style="2" customWidth="1"/>
    <col min="5121" max="5121" width="13" style="2" customWidth="1"/>
    <col min="5122" max="5128" width="9.625" style="2" customWidth="1"/>
    <col min="5129" max="5130" width="11.375" style="2" customWidth="1"/>
    <col min="5131" max="5132" width="9.125" style="2"/>
    <col min="5133" max="5133" width="18.375" style="2" customWidth="1"/>
    <col min="5134" max="5374" width="9.125" style="2"/>
    <col min="5375" max="5375" width="3.375" style="2" customWidth="1"/>
    <col min="5376" max="5376" width="32.25" style="2" customWidth="1"/>
    <col min="5377" max="5377" width="13" style="2" customWidth="1"/>
    <col min="5378" max="5384" width="9.625" style="2" customWidth="1"/>
    <col min="5385" max="5386" width="11.375" style="2" customWidth="1"/>
    <col min="5387" max="5388" width="9.125" style="2"/>
    <col min="5389" max="5389" width="18.375" style="2" customWidth="1"/>
    <col min="5390" max="5630" width="9.125" style="2"/>
    <col min="5631" max="5631" width="3.375" style="2" customWidth="1"/>
    <col min="5632" max="5632" width="32.25" style="2" customWidth="1"/>
    <col min="5633" max="5633" width="13" style="2" customWidth="1"/>
    <col min="5634" max="5640" width="9.625" style="2" customWidth="1"/>
    <col min="5641" max="5642" width="11.375" style="2" customWidth="1"/>
    <col min="5643" max="5644" width="9.125" style="2"/>
    <col min="5645" max="5645" width="18.375" style="2" customWidth="1"/>
    <col min="5646" max="5886" width="9.125" style="2"/>
    <col min="5887" max="5887" width="3.375" style="2" customWidth="1"/>
    <col min="5888" max="5888" width="32.25" style="2" customWidth="1"/>
    <col min="5889" max="5889" width="13" style="2" customWidth="1"/>
    <col min="5890" max="5896" width="9.625" style="2" customWidth="1"/>
    <col min="5897" max="5898" width="11.375" style="2" customWidth="1"/>
    <col min="5899" max="5900" width="9.125" style="2"/>
    <col min="5901" max="5901" width="18.375" style="2" customWidth="1"/>
    <col min="5902" max="6142" width="9.125" style="2"/>
    <col min="6143" max="6143" width="3.375" style="2" customWidth="1"/>
    <col min="6144" max="6144" width="32.25" style="2" customWidth="1"/>
    <col min="6145" max="6145" width="13" style="2" customWidth="1"/>
    <col min="6146" max="6152" width="9.625" style="2" customWidth="1"/>
    <col min="6153" max="6154" width="11.375" style="2" customWidth="1"/>
    <col min="6155" max="6156" width="9.125" style="2"/>
    <col min="6157" max="6157" width="18.375" style="2" customWidth="1"/>
    <col min="6158" max="6398" width="9.125" style="2"/>
    <col min="6399" max="6399" width="3.375" style="2" customWidth="1"/>
    <col min="6400" max="6400" width="32.25" style="2" customWidth="1"/>
    <col min="6401" max="6401" width="13" style="2" customWidth="1"/>
    <col min="6402" max="6408" width="9.625" style="2" customWidth="1"/>
    <col min="6409" max="6410" width="11.375" style="2" customWidth="1"/>
    <col min="6411" max="6412" width="9.125" style="2"/>
    <col min="6413" max="6413" width="18.375" style="2" customWidth="1"/>
    <col min="6414" max="6654" width="9.125" style="2"/>
    <col min="6655" max="6655" width="3.375" style="2" customWidth="1"/>
    <col min="6656" max="6656" width="32.25" style="2" customWidth="1"/>
    <col min="6657" max="6657" width="13" style="2" customWidth="1"/>
    <col min="6658" max="6664" width="9.625" style="2" customWidth="1"/>
    <col min="6665" max="6666" width="11.375" style="2" customWidth="1"/>
    <col min="6667" max="6668" width="9.125" style="2"/>
    <col min="6669" max="6669" width="18.375" style="2" customWidth="1"/>
    <col min="6670" max="6910" width="9.125" style="2"/>
    <col min="6911" max="6911" width="3.375" style="2" customWidth="1"/>
    <col min="6912" max="6912" width="32.25" style="2" customWidth="1"/>
    <col min="6913" max="6913" width="13" style="2" customWidth="1"/>
    <col min="6914" max="6920" width="9.625" style="2" customWidth="1"/>
    <col min="6921" max="6922" width="11.375" style="2" customWidth="1"/>
    <col min="6923" max="6924" width="9.125" style="2"/>
    <col min="6925" max="6925" width="18.375" style="2" customWidth="1"/>
    <col min="6926" max="7166" width="9.125" style="2"/>
    <col min="7167" max="7167" width="3.375" style="2" customWidth="1"/>
    <col min="7168" max="7168" width="32.25" style="2" customWidth="1"/>
    <col min="7169" max="7169" width="13" style="2" customWidth="1"/>
    <col min="7170" max="7176" width="9.625" style="2" customWidth="1"/>
    <col min="7177" max="7178" width="11.375" style="2" customWidth="1"/>
    <col min="7179" max="7180" width="9.125" style="2"/>
    <col min="7181" max="7181" width="18.375" style="2" customWidth="1"/>
    <col min="7182" max="7422" width="9.125" style="2"/>
    <col min="7423" max="7423" width="3.375" style="2" customWidth="1"/>
    <col min="7424" max="7424" width="32.25" style="2" customWidth="1"/>
    <col min="7425" max="7425" width="13" style="2" customWidth="1"/>
    <col min="7426" max="7432" width="9.625" style="2" customWidth="1"/>
    <col min="7433" max="7434" width="11.375" style="2" customWidth="1"/>
    <col min="7435" max="7436" width="9.125" style="2"/>
    <col min="7437" max="7437" width="18.375" style="2" customWidth="1"/>
    <col min="7438" max="7678" width="9.125" style="2"/>
    <col min="7679" max="7679" width="3.375" style="2" customWidth="1"/>
    <col min="7680" max="7680" width="32.25" style="2" customWidth="1"/>
    <col min="7681" max="7681" width="13" style="2" customWidth="1"/>
    <col min="7682" max="7688" width="9.625" style="2" customWidth="1"/>
    <col min="7689" max="7690" width="11.375" style="2" customWidth="1"/>
    <col min="7691" max="7692" width="9.125" style="2"/>
    <col min="7693" max="7693" width="18.375" style="2" customWidth="1"/>
    <col min="7694" max="7934" width="9.125" style="2"/>
    <col min="7935" max="7935" width="3.375" style="2" customWidth="1"/>
    <col min="7936" max="7936" width="32.25" style="2" customWidth="1"/>
    <col min="7937" max="7937" width="13" style="2" customWidth="1"/>
    <col min="7938" max="7944" width="9.625" style="2" customWidth="1"/>
    <col min="7945" max="7946" width="11.375" style="2" customWidth="1"/>
    <col min="7947" max="7948" width="9.125" style="2"/>
    <col min="7949" max="7949" width="18.375" style="2" customWidth="1"/>
    <col min="7950" max="8190" width="9.125" style="2"/>
    <col min="8191" max="8191" width="3.375" style="2" customWidth="1"/>
    <col min="8192" max="8192" width="32.25" style="2" customWidth="1"/>
    <col min="8193" max="8193" width="13" style="2" customWidth="1"/>
    <col min="8194" max="8200" width="9.625" style="2" customWidth="1"/>
    <col min="8201" max="8202" width="11.375" style="2" customWidth="1"/>
    <col min="8203" max="8204" width="9.125" style="2"/>
    <col min="8205" max="8205" width="18.375" style="2" customWidth="1"/>
    <col min="8206" max="8446" width="9.125" style="2"/>
    <col min="8447" max="8447" width="3.375" style="2" customWidth="1"/>
    <col min="8448" max="8448" width="32.25" style="2" customWidth="1"/>
    <col min="8449" max="8449" width="13" style="2" customWidth="1"/>
    <col min="8450" max="8456" width="9.625" style="2" customWidth="1"/>
    <col min="8457" max="8458" width="11.375" style="2" customWidth="1"/>
    <col min="8459" max="8460" width="9.125" style="2"/>
    <col min="8461" max="8461" width="18.375" style="2" customWidth="1"/>
    <col min="8462" max="8702" width="9.125" style="2"/>
    <col min="8703" max="8703" width="3.375" style="2" customWidth="1"/>
    <col min="8704" max="8704" width="32.25" style="2" customWidth="1"/>
    <col min="8705" max="8705" width="13" style="2" customWidth="1"/>
    <col min="8706" max="8712" width="9.625" style="2" customWidth="1"/>
    <col min="8713" max="8714" width="11.375" style="2" customWidth="1"/>
    <col min="8715" max="8716" width="9.125" style="2"/>
    <col min="8717" max="8717" width="18.375" style="2" customWidth="1"/>
    <col min="8718" max="8958" width="9.125" style="2"/>
    <col min="8959" max="8959" width="3.375" style="2" customWidth="1"/>
    <col min="8960" max="8960" width="32.25" style="2" customWidth="1"/>
    <col min="8961" max="8961" width="13" style="2" customWidth="1"/>
    <col min="8962" max="8968" width="9.625" style="2" customWidth="1"/>
    <col min="8969" max="8970" width="11.375" style="2" customWidth="1"/>
    <col min="8971" max="8972" width="9.125" style="2"/>
    <col min="8973" max="8973" width="18.375" style="2" customWidth="1"/>
    <col min="8974" max="9214" width="9.125" style="2"/>
    <col min="9215" max="9215" width="3.375" style="2" customWidth="1"/>
    <col min="9216" max="9216" width="32.25" style="2" customWidth="1"/>
    <col min="9217" max="9217" width="13" style="2" customWidth="1"/>
    <col min="9218" max="9224" width="9.625" style="2" customWidth="1"/>
    <col min="9225" max="9226" width="11.375" style="2" customWidth="1"/>
    <col min="9227" max="9228" width="9.125" style="2"/>
    <col min="9229" max="9229" width="18.375" style="2" customWidth="1"/>
    <col min="9230" max="9470" width="9.125" style="2"/>
    <col min="9471" max="9471" width="3.375" style="2" customWidth="1"/>
    <col min="9472" max="9472" width="32.25" style="2" customWidth="1"/>
    <col min="9473" max="9473" width="13" style="2" customWidth="1"/>
    <col min="9474" max="9480" width="9.625" style="2" customWidth="1"/>
    <col min="9481" max="9482" width="11.375" style="2" customWidth="1"/>
    <col min="9483" max="9484" width="9.125" style="2"/>
    <col min="9485" max="9485" width="18.375" style="2" customWidth="1"/>
    <col min="9486" max="9726" width="9.125" style="2"/>
    <col min="9727" max="9727" width="3.375" style="2" customWidth="1"/>
    <col min="9728" max="9728" width="32.25" style="2" customWidth="1"/>
    <col min="9729" max="9729" width="13" style="2" customWidth="1"/>
    <col min="9730" max="9736" width="9.625" style="2" customWidth="1"/>
    <col min="9737" max="9738" width="11.375" style="2" customWidth="1"/>
    <col min="9739" max="9740" width="9.125" style="2"/>
    <col min="9741" max="9741" width="18.375" style="2" customWidth="1"/>
    <col min="9742" max="9982" width="9.125" style="2"/>
    <col min="9983" max="9983" width="3.375" style="2" customWidth="1"/>
    <col min="9984" max="9984" width="32.25" style="2" customWidth="1"/>
    <col min="9985" max="9985" width="13" style="2" customWidth="1"/>
    <col min="9986" max="9992" width="9.625" style="2" customWidth="1"/>
    <col min="9993" max="9994" width="11.375" style="2" customWidth="1"/>
    <col min="9995" max="9996" width="9.125" style="2"/>
    <col min="9997" max="9997" width="18.375" style="2" customWidth="1"/>
    <col min="9998" max="10238" width="9.125" style="2"/>
    <col min="10239" max="10239" width="3.375" style="2" customWidth="1"/>
    <col min="10240" max="10240" width="32.25" style="2" customWidth="1"/>
    <col min="10241" max="10241" width="13" style="2" customWidth="1"/>
    <col min="10242" max="10248" width="9.625" style="2" customWidth="1"/>
    <col min="10249" max="10250" width="11.375" style="2" customWidth="1"/>
    <col min="10251" max="10252" width="9.125" style="2"/>
    <col min="10253" max="10253" width="18.375" style="2" customWidth="1"/>
    <col min="10254" max="10494" width="9.125" style="2"/>
    <col min="10495" max="10495" width="3.375" style="2" customWidth="1"/>
    <col min="10496" max="10496" width="32.25" style="2" customWidth="1"/>
    <col min="10497" max="10497" width="13" style="2" customWidth="1"/>
    <col min="10498" max="10504" width="9.625" style="2" customWidth="1"/>
    <col min="10505" max="10506" width="11.375" style="2" customWidth="1"/>
    <col min="10507" max="10508" width="9.125" style="2"/>
    <col min="10509" max="10509" width="18.375" style="2" customWidth="1"/>
    <col min="10510" max="10750" width="9.125" style="2"/>
    <col min="10751" max="10751" width="3.375" style="2" customWidth="1"/>
    <col min="10752" max="10752" width="32.25" style="2" customWidth="1"/>
    <col min="10753" max="10753" width="13" style="2" customWidth="1"/>
    <col min="10754" max="10760" width="9.625" style="2" customWidth="1"/>
    <col min="10761" max="10762" width="11.375" style="2" customWidth="1"/>
    <col min="10763" max="10764" width="9.125" style="2"/>
    <col min="10765" max="10765" width="18.375" style="2" customWidth="1"/>
    <col min="10766" max="11006" width="9.125" style="2"/>
    <col min="11007" max="11007" width="3.375" style="2" customWidth="1"/>
    <col min="11008" max="11008" width="32.25" style="2" customWidth="1"/>
    <col min="11009" max="11009" width="13" style="2" customWidth="1"/>
    <col min="11010" max="11016" width="9.625" style="2" customWidth="1"/>
    <col min="11017" max="11018" width="11.375" style="2" customWidth="1"/>
    <col min="11019" max="11020" width="9.125" style="2"/>
    <col min="11021" max="11021" width="18.375" style="2" customWidth="1"/>
    <col min="11022" max="11262" width="9.125" style="2"/>
    <col min="11263" max="11263" width="3.375" style="2" customWidth="1"/>
    <col min="11264" max="11264" width="32.25" style="2" customWidth="1"/>
    <col min="11265" max="11265" width="13" style="2" customWidth="1"/>
    <col min="11266" max="11272" width="9.625" style="2" customWidth="1"/>
    <col min="11273" max="11274" width="11.375" style="2" customWidth="1"/>
    <col min="11275" max="11276" width="9.125" style="2"/>
    <col min="11277" max="11277" width="18.375" style="2" customWidth="1"/>
    <col min="11278" max="11518" width="9.125" style="2"/>
    <col min="11519" max="11519" width="3.375" style="2" customWidth="1"/>
    <col min="11520" max="11520" width="32.25" style="2" customWidth="1"/>
    <col min="11521" max="11521" width="13" style="2" customWidth="1"/>
    <col min="11522" max="11528" width="9.625" style="2" customWidth="1"/>
    <col min="11529" max="11530" width="11.375" style="2" customWidth="1"/>
    <col min="11531" max="11532" width="9.125" style="2"/>
    <col min="11533" max="11533" width="18.375" style="2" customWidth="1"/>
    <col min="11534" max="11774" width="9.125" style="2"/>
    <col min="11775" max="11775" width="3.375" style="2" customWidth="1"/>
    <col min="11776" max="11776" width="32.25" style="2" customWidth="1"/>
    <col min="11777" max="11777" width="13" style="2" customWidth="1"/>
    <col min="11778" max="11784" width="9.625" style="2" customWidth="1"/>
    <col min="11785" max="11786" width="11.375" style="2" customWidth="1"/>
    <col min="11787" max="11788" width="9.125" style="2"/>
    <col min="11789" max="11789" width="18.375" style="2" customWidth="1"/>
    <col min="11790" max="12030" width="9.125" style="2"/>
    <col min="12031" max="12031" width="3.375" style="2" customWidth="1"/>
    <col min="12032" max="12032" width="32.25" style="2" customWidth="1"/>
    <col min="12033" max="12033" width="13" style="2" customWidth="1"/>
    <col min="12034" max="12040" width="9.625" style="2" customWidth="1"/>
    <col min="12041" max="12042" width="11.375" style="2" customWidth="1"/>
    <col min="12043" max="12044" width="9.125" style="2"/>
    <col min="12045" max="12045" width="18.375" style="2" customWidth="1"/>
    <col min="12046" max="12286" width="9.125" style="2"/>
    <col min="12287" max="12287" width="3.375" style="2" customWidth="1"/>
    <col min="12288" max="12288" width="32.25" style="2" customWidth="1"/>
    <col min="12289" max="12289" width="13" style="2" customWidth="1"/>
    <col min="12290" max="12296" width="9.625" style="2" customWidth="1"/>
    <col min="12297" max="12298" width="11.375" style="2" customWidth="1"/>
    <col min="12299" max="12300" width="9.125" style="2"/>
    <col min="12301" max="12301" width="18.375" style="2" customWidth="1"/>
    <col min="12302" max="12542" width="9.125" style="2"/>
    <col min="12543" max="12543" width="3.375" style="2" customWidth="1"/>
    <col min="12544" max="12544" width="32.25" style="2" customWidth="1"/>
    <col min="12545" max="12545" width="13" style="2" customWidth="1"/>
    <col min="12546" max="12552" width="9.625" style="2" customWidth="1"/>
    <col min="12553" max="12554" width="11.375" style="2" customWidth="1"/>
    <col min="12555" max="12556" width="9.125" style="2"/>
    <col min="12557" max="12557" width="18.375" style="2" customWidth="1"/>
    <col min="12558" max="12798" width="9.125" style="2"/>
    <col min="12799" max="12799" width="3.375" style="2" customWidth="1"/>
    <col min="12800" max="12800" width="32.25" style="2" customWidth="1"/>
    <col min="12801" max="12801" width="13" style="2" customWidth="1"/>
    <col min="12802" max="12808" width="9.625" style="2" customWidth="1"/>
    <col min="12809" max="12810" width="11.375" style="2" customWidth="1"/>
    <col min="12811" max="12812" width="9.125" style="2"/>
    <col min="12813" max="12813" width="18.375" style="2" customWidth="1"/>
    <col min="12814" max="13054" width="9.125" style="2"/>
    <col min="13055" max="13055" width="3.375" style="2" customWidth="1"/>
    <col min="13056" max="13056" width="32.25" style="2" customWidth="1"/>
    <col min="13057" max="13057" width="13" style="2" customWidth="1"/>
    <col min="13058" max="13064" width="9.625" style="2" customWidth="1"/>
    <col min="13065" max="13066" width="11.375" style="2" customWidth="1"/>
    <col min="13067" max="13068" width="9.125" style="2"/>
    <col min="13069" max="13069" width="18.375" style="2" customWidth="1"/>
    <col min="13070" max="13310" width="9.125" style="2"/>
    <col min="13311" max="13311" width="3.375" style="2" customWidth="1"/>
    <col min="13312" max="13312" width="32.25" style="2" customWidth="1"/>
    <col min="13313" max="13313" width="13" style="2" customWidth="1"/>
    <col min="13314" max="13320" width="9.625" style="2" customWidth="1"/>
    <col min="13321" max="13322" width="11.375" style="2" customWidth="1"/>
    <col min="13323" max="13324" width="9.125" style="2"/>
    <col min="13325" max="13325" width="18.375" style="2" customWidth="1"/>
    <col min="13326" max="13566" width="9.125" style="2"/>
    <col min="13567" max="13567" width="3.375" style="2" customWidth="1"/>
    <col min="13568" max="13568" width="32.25" style="2" customWidth="1"/>
    <col min="13569" max="13569" width="13" style="2" customWidth="1"/>
    <col min="13570" max="13576" width="9.625" style="2" customWidth="1"/>
    <col min="13577" max="13578" width="11.375" style="2" customWidth="1"/>
    <col min="13579" max="13580" width="9.125" style="2"/>
    <col min="13581" max="13581" width="18.375" style="2" customWidth="1"/>
    <col min="13582" max="13822" width="9.125" style="2"/>
    <col min="13823" max="13823" width="3.375" style="2" customWidth="1"/>
    <col min="13824" max="13824" width="32.25" style="2" customWidth="1"/>
    <col min="13825" max="13825" width="13" style="2" customWidth="1"/>
    <col min="13826" max="13832" width="9.625" style="2" customWidth="1"/>
    <col min="13833" max="13834" width="11.375" style="2" customWidth="1"/>
    <col min="13835" max="13836" width="9.125" style="2"/>
    <col min="13837" max="13837" width="18.375" style="2" customWidth="1"/>
    <col min="13838" max="14078" width="9.125" style="2"/>
    <col min="14079" max="14079" width="3.375" style="2" customWidth="1"/>
    <col min="14080" max="14080" width="32.25" style="2" customWidth="1"/>
    <col min="14081" max="14081" width="13" style="2" customWidth="1"/>
    <col min="14082" max="14088" width="9.625" style="2" customWidth="1"/>
    <col min="14089" max="14090" width="11.375" style="2" customWidth="1"/>
    <col min="14091" max="14092" width="9.125" style="2"/>
    <col min="14093" max="14093" width="18.375" style="2" customWidth="1"/>
    <col min="14094" max="14334" width="9.125" style="2"/>
    <col min="14335" max="14335" width="3.375" style="2" customWidth="1"/>
    <col min="14336" max="14336" width="32.25" style="2" customWidth="1"/>
    <col min="14337" max="14337" width="13" style="2" customWidth="1"/>
    <col min="14338" max="14344" width="9.625" style="2" customWidth="1"/>
    <col min="14345" max="14346" width="11.375" style="2" customWidth="1"/>
    <col min="14347" max="14348" width="9.125" style="2"/>
    <col min="14349" max="14349" width="18.375" style="2" customWidth="1"/>
    <col min="14350" max="14590" width="9.125" style="2"/>
    <col min="14591" max="14591" width="3.375" style="2" customWidth="1"/>
    <col min="14592" max="14592" width="32.25" style="2" customWidth="1"/>
    <col min="14593" max="14593" width="13" style="2" customWidth="1"/>
    <col min="14594" max="14600" width="9.625" style="2" customWidth="1"/>
    <col min="14601" max="14602" width="11.375" style="2" customWidth="1"/>
    <col min="14603" max="14604" width="9.125" style="2"/>
    <col min="14605" max="14605" width="18.375" style="2" customWidth="1"/>
    <col min="14606" max="14846" width="9.125" style="2"/>
    <col min="14847" max="14847" width="3.375" style="2" customWidth="1"/>
    <col min="14848" max="14848" width="32.25" style="2" customWidth="1"/>
    <col min="14849" max="14849" width="13" style="2" customWidth="1"/>
    <col min="14850" max="14856" width="9.625" style="2" customWidth="1"/>
    <col min="14857" max="14858" width="11.375" style="2" customWidth="1"/>
    <col min="14859" max="14860" width="9.125" style="2"/>
    <col min="14861" max="14861" width="18.375" style="2" customWidth="1"/>
    <col min="14862" max="15102" width="9.125" style="2"/>
    <col min="15103" max="15103" width="3.375" style="2" customWidth="1"/>
    <col min="15104" max="15104" width="32.25" style="2" customWidth="1"/>
    <col min="15105" max="15105" width="13" style="2" customWidth="1"/>
    <col min="15106" max="15112" width="9.625" style="2" customWidth="1"/>
    <col min="15113" max="15114" width="11.375" style="2" customWidth="1"/>
    <col min="15115" max="15116" width="9.125" style="2"/>
    <col min="15117" max="15117" width="18.375" style="2" customWidth="1"/>
    <col min="15118" max="15358" width="9.125" style="2"/>
    <col min="15359" max="15359" width="3.375" style="2" customWidth="1"/>
    <col min="15360" max="15360" width="32.25" style="2" customWidth="1"/>
    <col min="15361" max="15361" width="13" style="2" customWidth="1"/>
    <col min="15362" max="15368" width="9.625" style="2" customWidth="1"/>
    <col min="15369" max="15370" width="11.375" style="2" customWidth="1"/>
    <col min="15371" max="15372" width="9.125" style="2"/>
    <col min="15373" max="15373" width="18.375" style="2" customWidth="1"/>
    <col min="15374" max="15614" width="9.125" style="2"/>
    <col min="15615" max="15615" width="3.375" style="2" customWidth="1"/>
    <col min="15616" max="15616" width="32.25" style="2" customWidth="1"/>
    <col min="15617" max="15617" width="13" style="2" customWidth="1"/>
    <col min="15618" max="15624" width="9.625" style="2" customWidth="1"/>
    <col min="15625" max="15626" width="11.375" style="2" customWidth="1"/>
    <col min="15627" max="15628" width="9.125" style="2"/>
    <col min="15629" max="15629" width="18.375" style="2" customWidth="1"/>
    <col min="15630" max="15870" width="9.125" style="2"/>
    <col min="15871" max="15871" width="3.375" style="2" customWidth="1"/>
    <col min="15872" max="15872" width="32.25" style="2" customWidth="1"/>
    <col min="15873" max="15873" width="13" style="2" customWidth="1"/>
    <col min="15874" max="15880" width="9.625" style="2" customWidth="1"/>
    <col min="15881" max="15882" width="11.375" style="2" customWidth="1"/>
    <col min="15883" max="15884" width="9.125" style="2"/>
    <col min="15885" max="15885" width="18.375" style="2" customWidth="1"/>
    <col min="15886" max="16126" width="9.125" style="2"/>
    <col min="16127" max="16127" width="3.375" style="2" customWidth="1"/>
    <col min="16128" max="16128" width="32.25" style="2" customWidth="1"/>
    <col min="16129" max="16129" width="13" style="2" customWidth="1"/>
    <col min="16130" max="16136" width="9.625" style="2" customWidth="1"/>
    <col min="16137" max="16138" width="11.375" style="2" customWidth="1"/>
    <col min="16139" max="16140" width="9.125" style="2"/>
    <col min="16141" max="16141" width="18.375" style="2" customWidth="1"/>
    <col min="16142" max="16384" width="9.125" style="2"/>
  </cols>
  <sheetData>
    <row r="1" spans="1:37" ht="18.75" x14ac:dyDescent="0.3">
      <c r="A1" s="144" t="s">
        <v>100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</row>
    <row r="2" spans="1:37" ht="18.75" x14ac:dyDescent="0.3">
      <c r="A2" s="145" t="s">
        <v>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</row>
    <row r="3" spans="1:37" ht="19.5" thickBot="1" x14ac:dyDescent="0.35">
      <c r="A3" s="146" t="s">
        <v>150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46"/>
    </row>
    <row r="4" spans="1:37" ht="15" customHeight="1" x14ac:dyDescent="0.25">
      <c r="A4" s="151" t="s">
        <v>1</v>
      </c>
      <c r="B4" s="154" t="s">
        <v>2</v>
      </c>
      <c r="C4" s="151" t="s">
        <v>3</v>
      </c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50" t="s">
        <v>101</v>
      </c>
      <c r="AJ4" s="141" t="s">
        <v>99</v>
      </c>
    </row>
    <row r="5" spans="1:37" x14ac:dyDescent="0.25">
      <c r="A5" s="152"/>
      <c r="B5" s="155"/>
      <c r="C5" s="152"/>
      <c r="D5" s="89">
        <v>1</v>
      </c>
      <c r="E5" s="89">
        <v>2</v>
      </c>
      <c r="F5" s="89">
        <v>3</v>
      </c>
      <c r="G5" s="89">
        <v>4</v>
      </c>
      <c r="H5" s="89">
        <v>5</v>
      </c>
      <c r="I5" s="89">
        <v>6</v>
      </c>
      <c r="J5" s="89">
        <v>7</v>
      </c>
      <c r="K5" s="89">
        <v>8</v>
      </c>
      <c r="L5" s="89">
        <v>9</v>
      </c>
      <c r="M5" s="89">
        <v>10</v>
      </c>
      <c r="N5" s="89">
        <v>11</v>
      </c>
      <c r="O5" s="89">
        <v>12</v>
      </c>
      <c r="P5" s="89">
        <v>13</v>
      </c>
      <c r="Q5" s="89">
        <v>14</v>
      </c>
      <c r="R5" s="89">
        <v>15</v>
      </c>
      <c r="S5" s="89">
        <v>16</v>
      </c>
      <c r="T5" s="89">
        <v>17</v>
      </c>
      <c r="U5" s="89">
        <v>18</v>
      </c>
      <c r="V5" s="89">
        <v>19</v>
      </c>
      <c r="W5" s="89">
        <v>20</v>
      </c>
      <c r="X5" s="89">
        <v>21</v>
      </c>
      <c r="Y5" s="89">
        <v>22</v>
      </c>
      <c r="Z5" s="89">
        <v>23</v>
      </c>
      <c r="AA5" s="89">
        <v>24</v>
      </c>
      <c r="AB5" s="89">
        <v>25</v>
      </c>
      <c r="AC5" s="89">
        <v>26</v>
      </c>
      <c r="AD5" s="89">
        <v>27</v>
      </c>
      <c r="AE5" s="89">
        <v>28</v>
      </c>
      <c r="AF5" s="89">
        <v>29</v>
      </c>
      <c r="AG5" s="89">
        <v>30</v>
      </c>
      <c r="AH5" s="89">
        <v>31</v>
      </c>
      <c r="AI5" s="142"/>
      <c r="AJ5" s="142"/>
    </row>
    <row r="6" spans="1:37" ht="21" customHeight="1" thickBot="1" x14ac:dyDescent="0.3">
      <c r="A6" s="153"/>
      <c r="B6" s="156"/>
      <c r="C6" s="153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43"/>
      <c r="AJ6" s="143"/>
    </row>
    <row r="7" spans="1:37" x14ac:dyDescent="0.25">
      <c r="A7" s="157">
        <v>1</v>
      </c>
      <c r="B7" s="113" t="s">
        <v>4</v>
      </c>
      <c r="C7" s="114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27"/>
      <c r="AJ7" s="128"/>
    </row>
    <row r="8" spans="1:37" x14ac:dyDescent="0.25">
      <c r="A8" s="148"/>
      <c r="B8" s="107" t="s">
        <v>102</v>
      </c>
      <c r="C8" s="108" t="s">
        <v>5</v>
      </c>
      <c r="D8" s="90">
        <f>'1'!K8</f>
        <v>13500</v>
      </c>
      <c r="E8" s="90">
        <f>'2'!K8</f>
        <v>13500</v>
      </c>
      <c r="F8" s="90">
        <f>'3'!K8</f>
        <v>13642.857142857143</v>
      </c>
      <c r="G8" s="90">
        <f>'4'!K8</f>
        <v>13285.714285714286</v>
      </c>
      <c r="H8" s="90">
        <f>'5'!K8</f>
        <v>13357.142857142857</v>
      </c>
      <c r="I8" s="90">
        <f>'6'!K8</f>
        <v>13642.857142857143</v>
      </c>
      <c r="J8" s="90">
        <f>'7'!K8</f>
        <v>13642.857142857143</v>
      </c>
      <c r="K8" s="90">
        <f>'8'!K8</f>
        <v>13357.142857142857</v>
      </c>
      <c r="L8" s="90">
        <f>'9'!K8</f>
        <v>13357.142857142857</v>
      </c>
      <c r="M8" s="90">
        <f>'10'!K8</f>
        <v>13357.142857142857</v>
      </c>
      <c r="N8" s="90">
        <f>'11'!K8</f>
        <v>13357.142857142857</v>
      </c>
      <c r="O8" s="90">
        <f>'12'!K8</f>
        <v>13357.142857142857</v>
      </c>
      <c r="P8" s="90">
        <f>'13'!K8</f>
        <v>13357.142857142857</v>
      </c>
      <c r="Q8" s="90">
        <f>'14'!K8</f>
        <v>13357.142857142857</v>
      </c>
      <c r="R8" s="90">
        <f>'15'!K8</f>
        <v>13357.142857142857</v>
      </c>
      <c r="S8" s="90">
        <f>'16'!K8</f>
        <v>13357.142857142857</v>
      </c>
      <c r="T8" s="90">
        <f>'17'!K8</f>
        <v>13357.142857142857</v>
      </c>
      <c r="U8" s="90">
        <f>'18'!K8</f>
        <v>13357.142857142857</v>
      </c>
      <c r="V8" s="90">
        <f>'19'!K8</f>
        <v>13357.142857142857</v>
      </c>
      <c r="W8" s="90">
        <f>'20'!K8</f>
        <v>13357.142857142857</v>
      </c>
      <c r="X8" s="90">
        <f>'21'!K8</f>
        <v>13357.142857142857</v>
      </c>
      <c r="Y8" s="90">
        <f>'22'!K8</f>
        <v>13357.142857142857</v>
      </c>
      <c r="Z8" s="90">
        <f>'23'!K8</f>
        <v>13357.142857142857</v>
      </c>
      <c r="AA8" s="90">
        <f>'24'!K8</f>
        <v>13357.142857142857</v>
      </c>
      <c r="AB8" s="90">
        <f>'25'!K8</f>
        <v>13357.142857142857</v>
      </c>
      <c r="AC8" s="90">
        <f>'26'!K8</f>
        <v>13357.142857142857</v>
      </c>
      <c r="AD8" s="90">
        <f>'27'!K8</f>
        <v>13357.142857142857</v>
      </c>
      <c r="AE8" s="90">
        <f>'28'!K8</f>
        <v>13357.142857142857</v>
      </c>
      <c r="AF8" s="90">
        <f>'29'!K8</f>
        <v>13357.142857142857</v>
      </c>
      <c r="AG8" s="90">
        <f>'30'!K8</f>
        <v>13357.142857142857</v>
      </c>
      <c r="AH8" s="90">
        <f>'31'!K8</f>
        <v>13357.142857142857</v>
      </c>
      <c r="AI8" s="90">
        <v>12800</v>
      </c>
      <c r="AJ8" s="90">
        <f>AH8-D8</f>
        <v>-142.85714285714312</v>
      </c>
      <c r="AK8" s="238">
        <f>AVERAGE(D8:AH8)</f>
        <v>13391.705069124422</v>
      </c>
    </row>
    <row r="9" spans="1:37" x14ac:dyDescent="0.25">
      <c r="A9" s="148"/>
      <c r="B9" s="107" t="s">
        <v>103</v>
      </c>
      <c r="C9" s="108" t="s">
        <v>5</v>
      </c>
      <c r="D9" s="90">
        <f>'1'!K9</f>
        <v>10333.333333333334</v>
      </c>
      <c r="E9" s="90">
        <f>'2'!K9</f>
        <v>10333.333333333334</v>
      </c>
      <c r="F9" s="90">
        <f>'3'!K9</f>
        <v>10000</v>
      </c>
      <c r="G9" s="90">
        <f>'4'!K9</f>
        <v>9666.6666666666661</v>
      </c>
      <c r="H9" s="90">
        <f>'5'!K9</f>
        <v>10000</v>
      </c>
      <c r="I9" s="90">
        <f>'6'!K9</f>
        <v>10000</v>
      </c>
      <c r="J9" s="90">
        <f>'7'!K9</f>
        <v>10000</v>
      </c>
      <c r="K9" s="90">
        <f>'8'!K9</f>
        <v>8933.3333333333339</v>
      </c>
      <c r="L9" s="90">
        <f>'9'!K9</f>
        <v>9000</v>
      </c>
      <c r="M9" s="90">
        <f>'10'!K9</f>
        <v>9000</v>
      </c>
      <c r="N9" s="90">
        <f>'11'!K9</f>
        <v>9000</v>
      </c>
      <c r="O9" s="90">
        <f>'12'!K9</f>
        <v>9000</v>
      </c>
      <c r="P9" s="90">
        <f>'13'!K9</f>
        <v>9000</v>
      </c>
      <c r="Q9" s="90">
        <f>'14'!K9</f>
        <v>9000</v>
      </c>
      <c r="R9" s="90">
        <f>'15'!K9</f>
        <v>9000</v>
      </c>
      <c r="S9" s="90">
        <f>'16'!K9</f>
        <v>9166.6666666666661</v>
      </c>
      <c r="T9" s="90">
        <f>'17'!K9</f>
        <v>9166.6666666666661</v>
      </c>
      <c r="U9" s="90">
        <f>'18'!K9</f>
        <v>9166.6666666666661</v>
      </c>
      <c r="V9" s="90">
        <f>'19'!K9</f>
        <v>9166.6666666666661</v>
      </c>
      <c r="W9" s="90">
        <f>'20'!K9</f>
        <v>9166.6666666666661</v>
      </c>
      <c r="X9" s="90">
        <f>'21'!K9</f>
        <v>9333.3333333333339</v>
      </c>
      <c r="Y9" s="90">
        <f>'22'!K9</f>
        <v>9333.3333333333339</v>
      </c>
      <c r="Z9" s="90">
        <f>'23'!K9</f>
        <v>9333.3333333333339</v>
      </c>
      <c r="AA9" s="90">
        <f>'24'!K9</f>
        <v>9333.3333333333339</v>
      </c>
      <c r="AB9" s="90">
        <f>'25'!K9</f>
        <v>9666.6666666666661</v>
      </c>
      <c r="AC9" s="90">
        <f>'26'!K9</f>
        <v>9666.6666666666661</v>
      </c>
      <c r="AD9" s="90">
        <f>'27'!K9</f>
        <v>9666.6666666666661</v>
      </c>
      <c r="AE9" s="90">
        <f>'28'!K9</f>
        <v>9666.6666666666661</v>
      </c>
      <c r="AF9" s="90">
        <f>'29'!K9</f>
        <v>10000</v>
      </c>
      <c r="AG9" s="90">
        <f>'30'!K9</f>
        <v>9000</v>
      </c>
      <c r="AH9" s="90">
        <f>'31'!K9</f>
        <v>9000</v>
      </c>
      <c r="AI9" s="90"/>
      <c r="AJ9" s="90">
        <f t="shared" ref="AJ9:AJ72" si="0">AH9-D9</f>
        <v>-1333.3333333333339</v>
      </c>
      <c r="AK9" s="238">
        <f t="shared" ref="AK9:AK72" si="1">AVERAGE(D9:AH9)</f>
        <v>9422.5806451612898</v>
      </c>
    </row>
    <row r="10" spans="1:37" x14ac:dyDescent="0.25">
      <c r="A10" s="148"/>
      <c r="B10" s="107" t="s">
        <v>104</v>
      </c>
      <c r="C10" s="108" t="s">
        <v>5</v>
      </c>
      <c r="D10" s="90">
        <f>'1'!K10</f>
        <v>11375</v>
      </c>
      <c r="E10" s="90">
        <f>'2'!K10</f>
        <v>11375</v>
      </c>
      <c r="F10" s="90">
        <f>'3'!K10</f>
        <v>11375</v>
      </c>
      <c r="G10" s="90">
        <f>'4'!K10</f>
        <v>11375</v>
      </c>
      <c r="H10" s="90">
        <f>'5'!K10</f>
        <v>11375</v>
      </c>
      <c r="I10" s="90">
        <f>'6'!K10</f>
        <v>11375</v>
      </c>
      <c r="J10" s="90">
        <f>'7'!K10</f>
        <v>11375</v>
      </c>
      <c r="K10" s="90">
        <f>'8'!K10</f>
        <v>11375</v>
      </c>
      <c r="L10" s="90">
        <f>'9'!K10</f>
        <v>11700</v>
      </c>
      <c r="M10" s="90">
        <f>'10'!K10</f>
        <v>11900</v>
      </c>
      <c r="N10" s="90">
        <f>'11'!K10</f>
        <v>11700</v>
      </c>
      <c r="O10" s="90">
        <f>'12'!K10</f>
        <v>11700</v>
      </c>
      <c r="P10" s="90">
        <f>'13'!K10</f>
        <v>11700</v>
      </c>
      <c r="Q10" s="90">
        <f>'14'!K10</f>
        <v>11700</v>
      </c>
      <c r="R10" s="90">
        <f>'15'!K10</f>
        <v>11700</v>
      </c>
      <c r="S10" s="90">
        <f>'16'!K10</f>
        <v>11700</v>
      </c>
      <c r="T10" s="90">
        <f>'17'!K10</f>
        <v>11700</v>
      </c>
      <c r="U10" s="90">
        <f>'18'!K10</f>
        <v>11700</v>
      </c>
      <c r="V10" s="90">
        <f>'19'!K10</f>
        <v>11700</v>
      </c>
      <c r="W10" s="90">
        <f>'20'!K10</f>
        <v>11500</v>
      </c>
      <c r="X10" s="90">
        <f>'21'!K10</f>
        <v>11500</v>
      </c>
      <c r="Y10" s="90">
        <f>'22'!K10</f>
        <v>11500</v>
      </c>
      <c r="Z10" s="90">
        <f>'23'!K10</f>
        <v>11500</v>
      </c>
      <c r="AA10" s="90">
        <f>'24'!K10</f>
        <v>11500</v>
      </c>
      <c r="AB10" s="90">
        <f>'25'!K10</f>
        <v>11700</v>
      </c>
      <c r="AC10" s="90">
        <f>'26'!K10</f>
        <v>11700</v>
      </c>
      <c r="AD10" s="90">
        <f>'27'!K10</f>
        <v>11900</v>
      </c>
      <c r="AE10" s="90">
        <f>'28'!K10</f>
        <v>11916.666666666666</v>
      </c>
      <c r="AF10" s="90">
        <f>'29'!K10</f>
        <v>12000</v>
      </c>
      <c r="AG10" s="90">
        <f>'30'!K10</f>
        <v>12000</v>
      </c>
      <c r="AH10" s="90">
        <f>'31'!K10</f>
        <v>12000</v>
      </c>
      <c r="AI10" s="90">
        <v>9450</v>
      </c>
      <c r="AJ10" s="90">
        <f t="shared" si="0"/>
        <v>625</v>
      </c>
      <c r="AK10" s="238">
        <f t="shared" si="1"/>
        <v>11632.795698924732</v>
      </c>
    </row>
    <row r="11" spans="1:37" x14ac:dyDescent="0.25">
      <c r="A11" s="148"/>
      <c r="B11" s="107" t="s">
        <v>6</v>
      </c>
      <c r="C11" s="108" t="s">
        <v>5</v>
      </c>
      <c r="D11" s="90">
        <f>'1'!K11</f>
        <v>10600</v>
      </c>
      <c r="E11" s="90">
        <f>'2'!K11</f>
        <v>10600</v>
      </c>
      <c r="F11" s="90">
        <f>'3'!K11</f>
        <v>10600</v>
      </c>
      <c r="G11" s="90">
        <f>'4'!K11</f>
        <v>10600</v>
      </c>
      <c r="H11" s="90">
        <f>'5'!K11</f>
        <v>10600</v>
      </c>
      <c r="I11" s="90">
        <f>'6'!K11</f>
        <v>10600</v>
      </c>
      <c r="J11" s="90">
        <f>'7'!K11</f>
        <v>10600</v>
      </c>
      <c r="K11" s="90">
        <f>'8'!K11</f>
        <v>10600</v>
      </c>
      <c r="L11" s="90">
        <f>'9'!K11</f>
        <v>10600</v>
      </c>
      <c r="M11" s="90">
        <f>'10'!K11</f>
        <v>10600</v>
      </c>
      <c r="N11" s="90">
        <f>'11'!K11</f>
        <v>10600</v>
      </c>
      <c r="O11" s="90">
        <f>'12'!K11</f>
        <v>10600</v>
      </c>
      <c r="P11" s="90">
        <f>'13'!K11</f>
        <v>10600</v>
      </c>
      <c r="Q11" s="90">
        <f>'14'!K11</f>
        <v>10600</v>
      </c>
      <c r="R11" s="90">
        <f>'15'!K11</f>
        <v>10600</v>
      </c>
      <c r="S11" s="90">
        <f>'16'!K11</f>
        <v>10600</v>
      </c>
      <c r="T11" s="90">
        <f>'17'!K11</f>
        <v>10600</v>
      </c>
      <c r="U11" s="90">
        <f>'18'!K11</f>
        <v>10600</v>
      </c>
      <c r="V11" s="90">
        <f>'19'!K11</f>
        <v>10600</v>
      </c>
      <c r="W11" s="90">
        <f>'20'!K11</f>
        <v>10600</v>
      </c>
      <c r="X11" s="90">
        <f>'21'!K11</f>
        <v>10600</v>
      </c>
      <c r="Y11" s="90">
        <f>'22'!K11</f>
        <v>10600</v>
      </c>
      <c r="Z11" s="90">
        <f>'23'!K11</f>
        <v>10600</v>
      </c>
      <c r="AA11" s="90">
        <f>'24'!K11</f>
        <v>10600</v>
      </c>
      <c r="AB11" s="90">
        <f>'25'!K11</f>
        <v>10600</v>
      </c>
      <c r="AC11" s="90">
        <f>'26'!K11</f>
        <v>10600</v>
      </c>
      <c r="AD11" s="90">
        <f>'27'!K11</f>
        <v>10600</v>
      </c>
      <c r="AE11" s="90">
        <f>'28'!K11</f>
        <v>10600</v>
      </c>
      <c r="AF11" s="90">
        <f>'29'!K11</f>
        <v>10600</v>
      </c>
      <c r="AG11" s="90">
        <f>'30'!K11</f>
        <v>10600</v>
      </c>
      <c r="AH11" s="90">
        <f>'31'!K11</f>
        <v>10600</v>
      </c>
      <c r="AI11" s="90"/>
      <c r="AJ11" s="90">
        <f t="shared" si="0"/>
        <v>0</v>
      </c>
      <c r="AK11" s="238">
        <f t="shared" si="1"/>
        <v>10600</v>
      </c>
    </row>
    <row r="12" spans="1:37" x14ac:dyDescent="0.25">
      <c r="A12" s="149"/>
      <c r="B12" s="107" t="s">
        <v>7</v>
      </c>
      <c r="C12" s="108" t="s">
        <v>5</v>
      </c>
      <c r="D12" s="90">
        <f>'1'!K12</f>
        <v>20600</v>
      </c>
      <c r="E12" s="90">
        <f>'2'!K12</f>
        <v>21000</v>
      </c>
      <c r="F12" s="90">
        <f>'3'!K12</f>
        <v>20200</v>
      </c>
      <c r="G12" s="90">
        <f>'4'!K12</f>
        <v>20200</v>
      </c>
      <c r="H12" s="90">
        <f>'5'!K12</f>
        <v>21000</v>
      </c>
      <c r="I12" s="90">
        <f>'6'!K12</f>
        <v>20200</v>
      </c>
      <c r="J12" s="90">
        <f>'7'!K12</f>
        <v>19800</v>
      </c>
      <c r="K12" s="90">
        <f>'8'!K12</f>
        <v>20600</v>
      </c>
      <c r="L12" s="90">
        <f>'9'!K12</f>
        <v>20600</v>
      </c>
      <c r="M12" s="90">
        <f>'10'!K12</f>
        <v>19800</v>
      </c>
      <c r="N12" s="90">
        <f>'11'!K12</f>
        <v>20600</v>
      </c>
      <c r="O12" s="90">
        <f>'12'!K12</f>
        <v>20600</v>
      </c>
      <c r="P12" s="90">
        <f>'13'!K12</f>
        <v>19800</v>
      </c>
      <c r="Q12" s="90">
        <f>'14'!K12</f>
        <v>19800</v>
      </c>
      <c r="R12" s="90">
        <f>'15'!K12</f>
        <v>20600</v>
      </c>
      <c r="S12" s="90">
        <f>'16'!K12</f>
        <v>19800</v>
      </c>
      <c r="T12" s="90">
        <f>'17'!K12</f>
        <v>19800</v>
      </c>
      <c r="U12" s="90">
        <f>'18'!K12</f>
        <v>19800</v>
      </c>
      <c r="V12" s="90">
        <f>'19'!K12</f>
        <v>20200</v>
      </c>
      <c r="W12" s="90">
        <f>'20'!K12</f>
        <v>19400</v>
      </c>
      <c r="X12" s="90">
        <f>'21'!K12</f>
        <v>19800</v>
      </c>
      <c r="Y12" s="90">
        <f>'22'!K12</f>
        <v>20200</v>
      </c>
      <c r="Z12" s="90">
        <f>'23'!K12</f>
        <v>20200</v>
      </c>
      <c r="AA12" s="90">
        <f>'24'!K12</f>
        <v>20200</v>
      </c>
      <c r="AB12" s="90">
        <f>'25'!K12</f>
        <v>20200</v>
      </c>
      <c r="AC12" s="90">
        <f>'26'!K12</f>
        <v>20200</v>
      </c>
      <c r="AD12" s="90">
        <f>'27'!K12</f>
        <v>19800</v>
      </c>
      <c r="AE12" s="90">
        <f>'28'!K12</f>
        <v>19800</v>
      </c>
      <c r="AF12" s="90">
        <f>'29'!K12</f>
        <v>20200</v>
      </c>
      <c r="AG12" s="90">
        <f>'30'!K12</f>
        <v>20200</v>
      </c>
      <c r="AH12" s="90">
        <f>'31'!K12</f>
        <v>20200</v>
      </c>
      <c r="AI12" s="90"/>
      <c r="AJ12" s="90">
        <f t="shared" si="0"/>
        <v>-400</v>
      </c>
      <c r="AK12" s="238">
        <f t="shared" si="1"/>
        <v>20174.193548387098</v>
      </c>
    </row>
    <row r="13" spans="1:37" x14ac:dyDescent="0.25">
      <c r="A13" s="147">
        <v>2</v>
      </c>
      <c r="B13" s="116" t="s">
        <v>8</v>
      </c>
      <c r="C13" s="117"/>
      <c r="D13" s="118">
        <f>'1'!K13</f>
        <v>0</v>
      </c>
      <c r="E13" s="118">
        <f>'2'!K13</f>
        <v>0</v>
      </c>
      <c r="F13" s="118">
        <f>'3'!K13</f>
        <v>0</v>
      </c>
      <c r="G13" s="118">
        <f>'4'!K13</f>
        <v>0</v>
      </c>
      <c r="H13" s="118">
        <f>'5'!K13</f>
        <v>0</v>
      </c>
      <c r="I13" s="118">
        <f>'6'!K13</f>
        <v>0</v>
      </c>
      <c r="J13" s="118">
        <f>'7'!K13</f>
        <v>0</v>
      </c>
      <c r="K13" s="118">
        <f>'8'!K13</f>
        <v>0</v>
      </c>
      <c r="L13" s="118">
        <f>'9'!K13</f>
        <v>0</v>
      </c>
      <c r="M13" s="118">
        <f>'10'!K13</f>
        <v>0</v>
      </c>
      <c r="N13" s="118">
        <f>'11'!K13</f>
        <v>0</v>
      </c>
      <c r="O13" s="118">
        <f>'12'!K13</f>
        <v>0</v>
      </c>
      <c r="P13" s="118">
        <f>'13'!K13</f>
        <v>0</v>
      </c>
      <c r="Q13" s="118">
        <f>'14'!K13</f>
        <v>0</v>
      </c>
      <c r="R13" s="118">
        <f>'15'!K13</f>
        <v>0</v>
      </c>
      <c r="S13" s="118">
        <f>'16'!K13</f>
        <v>0</v>
      </c>
      <c r="T13" s="118">
        <f>'17'!K13</f>
        <v>0</v>
      </c>
      <c r="U13" s="118">
        <f>'18'!K13</f>
        <v>0</v>
      </c>
      <c r="V13" s="118">
        <f>'19'!K13</f>
        <v>0</v>
      </c>
      <c r="W13" s="118">
        <f>'20'!K13</f>
        <v>0</v>
      </c>
      <c r="X13" s="118">
        <f>'21'!K13</f>
        <v>0</v>
      </c>
      <c r="Y13" s="126">
        <f>'22'!K13</f>
        <v>0</v>
      </c>
      <c r="Z13" s="126">
        <f>'23'!K13</f>
        <v>0</v>
      </c>
      <c r="AA13" s="126">
        <f>'24'!K13</f>
        <v>0</v>
      </c>
      <c r="AB13" s="126">
        <f>'25'!K13</f>
        <v>0</v>
      </c>
      <c r="AC13" s="126">
        <f>'26'!K13</f>
        <v>0</v>
      </c>
      <c r="AD13" s="126">
        <f>'27'!K13</f>
        <v>0</v>
      </c>
      <c r="AE13" s="126">
        <f>'28'!K13</f>
        <v>0</v>
      </c>
      <c r="AF13" s="126">
        <f>'29'!K13</f>
        <v>0</v>
      </c>
      <c r="AG13" s="126">
        <f>'30'!K13</f>
        <v>0</v>
      </c>
      <c r="AH13" s="126">
        <f>'31'!K13</f>
        <v>0</v>
      </c>
      <c r="AI13" s="126"/>
      <c r="AJ13" s="126">
        <f t="shared" si="0"/>
        <v>0</v>
      </c>
      <c r="AK13" s="238">
        <f t="shared" si="1"/>
        <v>0</v>
      </c>
    </row>
    <row r="14" spans="1:37" x14ac:dyDescent="0.25">
      <c r="A14" s="148"/>
      <c r="B14" s="107" t="s">
        <v>105</v>
      </c>
      <c r="C14" s="108" t="s">
        <v>5</v>
      </c>
      <c r="D14" s="90">
        <f>'1'!K14</f>
        <v>13071.428571428571</v>
      </c>
      <c r="E14" s="90">
        <f>'2'!K14</f>
        <v>13214.285714285714</v>
      </c>
      <c r="F14" s="90">
        <f>'3'!K14</f>
        <v>13142.857142857143</v>
      </c>
      <c r="G14" s="90">
        <f>'4'!K14</f>
        <v>13214.285714285714</v>
      </c>
      <c r="H14" s="90">
        <f>'5'!K14</f>
        <v>13214.285714285714</v>
      </c>
      <c r="I14" s="90">
        <f>'6'!K14</f>
        <v>13285.714285714286</v>
      </c>
      <c r="J14" s="90">
        <f>'7'!K14</f>
        <v>13357.142857142857</v>
      </c>
      <c r="K14" s="90">
        <f>'8'!K14</f>
        <v>13285.714285714286</v>
      </c>
      <c r="L14" s="90">
        <f>'9'!K14</f>
        <v>13357.142857142857</v>
      </c>
      <c r="M14" s="90">
        <f>'10'!K14</f>
        <v>13357.142857142857</v>
      </c>
      <c r="N14" s="90">
        <f>'11'!K14</f>
        <v>13357.142857142857</v>
      </c>
      <c r="O14" s="90">
        <f>'12'!K14</f>
        <v>13357.142857142857</v>
      </c>
      <c r="P14" s="90">
        <f>'13'!K14</f>
        <v>13357.142857142857</v>
      </c>
      <c r="Q14" s="90">
        <f>'14'!K14</f>
        <v>13357.142857142857</v>
      </c>
      <c r="R14" s="90">
        <f>'15'!K14</f>
        <v>13357.142857142857</v>
      </c>
      <c r="S14" s="90">
        <f>'16'!K14</f>
        <v>13357.142857142857</v>
      </c>
      <c r="T14" s="90">
        <f>'17'!K14</f>
        <v>13357.142857142857</v>
      </c>
      <c r="U14" s="90">
        <f>'18'!K14</f>
        <v>13357.142857142857</v>
      </c>
      <c r="V14" s="90">
        <f>'19'!K14</f>
        <v>13500</v>
      </c>
      <c r="W14" s="90">
        <f>'20'!K14</f>
        <v>13428.571428571429</v>
      </c>
      <c r="X14" s="90">
        <f>'21'!K14</f>
        <v>13428.571428571429</v>
      </c>
      <c r="Y14" s="90">
        <f>'22'!K14</f>
        <v>13571.428571428571</v>
      </c>
      <c r="Z14" s="90">
        <f>'23'!K14</f>
        <v>13571.428571428571</v>
      </c>
      <c r="AA14" s="90">
        <f>'24'!K14</f>
        <v>13571.428571428571</v>
      </c>
      <c r="AB14" s="90">
        <f>'25'!K14</f>
        <v>13571.428571428571</v>
      </c>
      <c r="AC14" s="90">
        <f>'26'!K14</f>
        <v>13571.428571428571</v>
      </c>
      <c r="AD14" s="90">
        <f>'27'!K14</f>
        <v>13500</v>
      </c>
      <c r="AE14" s="90">
        <f>'28'!K14</f>
        <v>13500</v>
      </c>
      <c r="AF14" s="90">
        <f>'29'!K14</f>
        <v>13571.428571428571</v>
      </c>
      <c r="AG14" s="90">
        <f>'30'!K14</f>
        <v>13571.428571428571</v>
      </c>
      <c r="AH14" s="90">
        <f>'31'!K14</f>
        <v>13571.428571428571</v>
      </c>
      <c r="AI14" s="90">
        <v>13500</v>
      </c>
      <c r="AJ14" s="90">
        <f t="shared" si="0"/>
        <v>500</v>
      </c>
      <c r="AK14" s="238">
        <f t="shared" si="1"/>
        <v>13396.313364055304</v>
      </c>
    </row>
    <row r="15" spans="1:37" x14ac:dyDescent="0.25">
      <c r="A15" s="149"/>
      <c r="B15" s="107" t="s">
        <v>9</v>
      </c>
      <c r="C15" s="108" t="s">
        <v>5</v>
      </c>
      <c r="D15" s="90">
        <f>'1'!K15</f>
        <v>16285.714285714286</v>
      </c>
      <c r="E15" s="90">
        <f>'2'!K15</f>
        <v>15571.428571428571</v>
      </c>
      <c r="F15" s="90">
        <f>'3'!K15</f>
        <v>15857.142857142857</v>
      </c>
      <c r="G15" s="90">
        <f>'4'!K15</f>
        <v>16000</v>
      </c>
      <c r="H15" s="90">
        <f>'5'!K15</f>
        <v>15571.428571428571</v>
      </c>
      <c r="I15" s="90">
        <f>'6'!K15</f>
        <v>16000</v>
      </c>
      <c r="J15" s="90">
        <f>'7'!K15</f>
        <v>16000</v>
      </c>
      <c r="K15" s="90">
        <f>'8'!K15</f>
        <v>15571.428571428571</v>
      </c>
      <c r="L15" s="90">
        <f>'9'!K15</f>
        <v>15571.428571428571</v>
      </c>
      <c r="M15" s="90">
        <f>'10'!K15</f>
        <v>15714.285714285714</v>
      </c>
      <c r="N15" s="90">
        <f>'11'!K15</f>
        <v>15571.428571428571</v>
      </c>
      <c r="O15" s="90">
        <f>'12'!K15</f>
        <v>15571.428571428571</v>
      </c>
      <c r="P15" s="90">
        <f>'13'!K15</f>
        <v>16000</v>
      </c>
      <c r="Q15" s="90">
        <f>'14'!K15</f>
        <v>16000</v>
      </c>
      <c r="R15" s="90">
        <f>'15'!K15</f>
        <v>15571.428571428571</v>
      </c>
      <c r="S15" s="90">
        <f>'16'!K15</f>
        <v>16285.714285714286</v>
      </c>
      <c r="T15" s="90">
        <f>'17'!K15</f>
        <v>16571.428571428572</v>
      </c>
      <c r="U15" s="90">
        <f>'18'!K15</f>
        <v>16571.428571428572</v>
      </c>
      <c r="V15" s="90">
        <f>'19'!K15</f>
        <v>15857.142857142857</v>
      </c>
      <c r="W15" s="90">
        <f>'20'!K15</f>
        <v>16142.857142857143</v>
      </c>
      <c r="X15" s="90">
        <f>'21'!K15</f>
        <v>16857.142857142859</v>
      </c>
      <c r="Y15" s="90">
        <f>'22'!K15</f>
        <v>15857.142857142857</v>
      </c>
      <c r="Z15" s="90">
        <f>'23'!K15</f>
        <v>15857.142857142857</v>
      </c>
      <c r="AA15" s="90">
        <f>'24'!K15</f>
        <v>15857.142857142857</v>
      </c>
      <c r="AB15" s="90">
        <f>'25'!K15</f>
        <v>15857.142857142857</v>
      </c>
      <c r="AC15" s="90">
        <f>'26'!K15</f>
        <v>15857.142857142857</v>
      </c>
      <c r="AD15" s="90">
        <f>'27'!K15</f>
        <v>16571.428571428572</v>
      </c>
      <c r="AE15" s="90">
        <f>'28'!K15</f>
        <v>16571.428571428572</v>
      </c>
      <c r="AF15" s="90">
        <f>'29'!K15</f>
        <v>15857.142857142857</v>
      </c>
      <c r="AG15" s="90">
        <f>'30'!K15</f>
        <v>15857.142857142857</v>
      </c>
      <c r="AH15" s="90">
        <f>'31'!K15</f>
        <v>15857.142857142857</v>
      </c>
      <c r="AI15" s="90"/>
      <c r="AJ15" s="90">
        <f t="shared" si="0"/>
        <v>-428.57142857142935</v>
      </c>
      <c r="AK15" s="238">
        <f t="shared" si="1"/>
        <v>15972.350230414744</v>
      </c>
    </row>
    <row r="16" spans="1:37" x14ac:dyDescent="0.25">
      <c r="A16" s="147">
        <v>3</v>
      </c>
      <c r="B16" s="116" t="s">
        <v>10</v>
      </c>
      <c r="C16" s="116"/>
      <c r="D16" s="118">
        <f>'1'!K16</f>
        <v>0</v>
      </c>
      <c r="E16" s="118">
        <f>'2'!K16</f>
        <v>0</v>
      </c>
      <c r="F16" s="118">
        <f>'3'!K16</f>
        <v>0</v>
      </c>
      <c r="G16" s="118">
        <f>'4'!K16</f>
        <v>0</v>
      </c>
      <c r="H16" s="118">
        <f>'5'!K16</f>
        <v>0</v>
      </c>
      <c r="I16" s="118">
        <f>'6'!K16</f>
        <v>0</v>
      </c>
      <c r="J16" s="118">
        <f>'7'!K16</f>
        <v>0</v>
      </c>
      <c r="K16" s="118">
        <f>'8'!K16</f>
        <v>0</v>
      </c>
      <c r="L16" s="118">
        <f>'9'!K16</f>
        <v>0</v>
      </c>
      <c r="M16" s="118">
        <f>'10'!K16</f>
        <v>0</v>
      </c>
      <c r="N16" s="118">
        <f>'11'!K16</f>
        <v>0</v>
      </c>
      <c r="O16" s="118">
        <f>'12'!K16</f>
        <v>0</v>
      </c>
      <c r="P16" s="118">
        <f>'13'!K16</f>
        <v>0</v>
      </c>
      <c r="Q16" s="118">
        <f>'14'!K16</f>
        <v>0</v>
      </c>
      <c r="R16" s="118">
        <f>'15'!K16</f>
        <v>0</v>
      </c>
      <c r="S16" s="118">
        <f>'16'!K16</f>
        <v>0</v>
      </c>
      <c r="T16" s="118">
        <f>'17'!K16</f>
        <v>0</v>
      </c>
      <c r="U16" s="118">
        <f>'18'!K16</f>
        <v>0</v>
      </c>
      <c r="V16" s="118">
        <f>'19'!K16</f>
        <v>0</v>
      </c>
      <c r="W16" s="118">
        <f>'20'!K16</f>
        <v>0</v>
      </c>
      <c r="X16" s="118">
        <f>'21'!K16</f>
        <v>0</v>
      </c>
      <c r="Y16" s="126">
        <f>'22'!K16</f>
        <v>0</v>
      </c>
      <c r="Z16" s="126">
        <f>'23'!K16</f>
        <v>0</v>
      </c>
      <c r="AA16" s="126">
        <f>'24'!K16</f>
        <v>0</v>
      </c>
      <c r="AB16" s="126">
        <f>'25'!K16</f>
        <v>0</v>
      </c>
      <c r="AC16" s="126">
        <f>'26'!K16</f>
        <v>0</v>
      </c>
      <c r="AD16" s="126">
        <f>'27'!K16</f>
        <v>0</v>
      </c>
      <c r="AE16" s="126">
        <f>'28'!K16</f>
        <v>0</v>
      </c>
      <c r="AF16" s="126">
        <f>'29'!K16</f>
        <v>0</v>
      </c>
      <c r="AG16" s="126">
        <f>'30'!K16</f>
        <v>0</v>
      </c>
      <c r="AH16" s="126">
        <f>'31'!K16</f>
        <v>0</v>
      </c>
      <c r="AI16" s="126"/>
      <c r="AJ16" s="126">
        <f t="shared" si="0"/>
        <v>0</v>
      </c>
      <c r="AK16" s="238">
        <f t="shared" si="1"/>
        <v>0</v>
      </c>
    </row>
    <row r="17" spans="1:37" x14ac:dyDescent="0.25">
      <c r="A17" s="148"/>
      <c r="B17" s="107" t="s">
        <v>11</v>
      </c>
      <c r="C17" s="108" t="s">
        <v>5</v>
      </c>
      <c r="D17" s="90">
        <f>'1'!K17</f>
        <v>15357.142857142857</v>
      </c>
      <c r="E17" s="90">
        <f>'2'!K17</f>
        <v>15500</v>
      </c>
      <c r="F17" s="90">
        <f>'3'!K17</f>
        <v>15357.142857142857</v>
      </c>
      <c r="G17" s="90">
        <f>'4'!K17</f>
        <v>15357.142857142857</v>
      </c>
      <c r="H17" s="90">
        <f>'5'!K17</f>
        <v>15500</v>
      </c>
      <c r="I17" s="90">
        <f>'6'!K17</f>
        <v>15500</v>
      </c>
      <c r="J17" s="90">
        <f>'7'!K17</f>
        <v>15500</v>
      </c>
      <c r="K17" s="90">
        <f>'8'!K17</f>
        <v>15500</v>
      </c>
      <c r="L17" s="90">
        <f>'9'!K17</f>
        <v>15642.857142857143</v>
      </c>
      <c r="M17" s="90">
        <f>'10'!K17</f>
        <v>15642.857142857143</v>
      </c>
      <c r="N17" s="90">
        <f>'11'!K17</f>
        <v>15642.857142857143</v>
      </c>
      <c r="O17" s="90">
        <f>'12'!K17</f>
        <v>15642.857142857143</v>
      </c>
      <c r="P17" s="90">
        <f>'13'!K17</f>
        <v>15642.857142857143</v>
      </c>
      <c r="Q17" s="90">
        <f>'14'!K17</f>
        <v>15642.857142857143</v>
      </c>
      <c r="R17" s="90">
        <f>'15'!K17</f>
        <v>15642.857142857143</v>
      </c>
      <c r="S17" s="90">
        <f>'16'!K17</f>
        <v>15642.857142857143</v>
      </c>
      <c r="T17" s="90">
        <f>'17'!K17</f>
        <v>15642.857142857143</v>
      </c>
      <c r="U17" s="90">
        <f>'18'!K17</f>
        <v>15642.857142857143</v>
      </c>
      <c r="V17" s="90">
        <f>'19'!K17</f>
        <v>15642.857142857143</v>
      </c>
      <c r="W17" s="90">
        <f>'20'!K17</f>
        <v>15500</v>
      </c>
      <c r="X17" s="90">
        <f>'21'!K17</f>
        <v>15500</v>
      </c>
      <c r="Y17" s="90">
        <f>'22'!K17</f>
        <v>15571.428571428571</v>
      </c>
      <c r="Z17" s="90">
        <f>'23'!K17</f>
        <v>15571.428571428571</v>
      </c>
      <c r="AA17" s="90">
        <f>'24'!K17</f>
        <v>15571.428571428571</v>
      </c>
      <c r="AB17" s="90">
        <f>'25'!K17</f>
        <v>15571.428571428571</v>
      </c>
      <c r="AC17" s="90">
        <f>'26'!K17</f>
        <v>15571.428571428571</v>
      </c>
      <c r="AD17" s="90">
        <f>'27'!K17</f>
        <v>15571.428571428571</v>
      </c>
      <c r="AE17" s="90">
        <f>'28'!K17</f>
        <v>15571.428571428571</v>
      </c>
      <c r="AF17" s="90">
        <f>'29'!K17</f>
        <v>15571.428571428571</v>
      </c>
      <c r="AG17" s="90">
        <f>'30'!K17</f>
        <v>15571.428571428571</v>
      </c>
      <c r="AH17" s="90">
        <f>'31'!K17</f>
        <v>15571.428571428571</v>
      </c>
      <c r="AI17" s="90">
        <v>15500</v>
      </c>
      <c r="AJ17" s="90">
        <f t="shared" si="0"/>
        <v>214.28571428571377</v>
      </c>
      <c r="AK17" s="238">
        <f t="shared" si="1"/>
        <v>15559.907834101385</v>
      </c>
    </row>
    <row r="18" spans="1:37" x14ac:dyDescent="0.25">
      <c r="A18" s="106"/>
      <c r="B18" s="107" t="s">
        <v>106</v>
      </c>
      <c r="C18" s="108" t="s">
        <v>107</v>
      </c>
      <c r="D18" s="90">
        <f>'1'!K18</f>
        <v>14000</v>
      </c>
      <c r="E18" s="90">
        <f>'2'!K18</f>
        <v>14000</v>
      </c>
      <c r="F18" s="90">
        <f>'3'!K18</f>
        <v>14000</v>
      </c>
      <c r="G18" s="90">
        <f>'4'!K18</f>
        <v>14000</v>
      </c>
      <c r="H18" s="90">
        <f>'5'!K18</f>
        <v>14000</v>
      </c>
      <c r="I18" s="90">
        <f>'6'!K18</f>
        <v>14000</v>
      </c>
      <c r="J18" s="90">
        <f>'7'!K18</f>
        <v>14000</v>
      </c>
      <c r="K18" s="90">
        <f>'8'!K18</f>
        <v>14000</v>
      </c>
      <c r="L18" s="90">
        <f>'9'!K18</f>
        <v>14000</v>
      </c>
      <c r="M18" s="90">
        <f>'10'!K18</f>
        <v>14000</v>
      </c>
      <c r="N18" s="90">
        <f>'11'!K18</f>
        <v>14000</v>
      </c>
      <c r="O18" s="90">
        <f>'12'!K18</f>
        <v>14000</v>
      </c>
      <c r="P18" s="90">
        <f>'13'!K18</f>
        <v>14000</v>
      </c>
      <c r="Q18" s="90">
        <f>'14'!K18</f>
        <v>14000</v>
      </c>
      <c r="R18" s="90">
        <f>'15'!K18</f>
        <v>14000</v>
      </c>
      <c r="S18" s="90">
        <f>'16'!K18</f>
        <v>14000</v>
      </c>
      <c r="T18" s="90">
        <f>'17'!K18</f>
        <v>14000</v>
      </c>
      <c r="U18" s="90">
        <f>'18'!K18</f>
        <v>14000</v>
      </c>
      <c r="V18" s="90">
        <f>'19'!K18</f>
        <v>14000</v>
      </c>
      <c r="W18" s="90">
        <f>'20'!K18</f>
        <v>14000</v>
      </c>
      <c r="X18" s="90">
        <f>'21'!K18</f>
        <v>14000</v>
      </c>
      <c r="Y18" s="90">
        <f>'22'!K18</f>
        <v>14000</v>
      </c>
      <c r="Z18" s="90">
        <f>'23'!K18</f>
        <v>14000</v>
      </c>
      <c r="AA18" s="90">
        <f>'24'!K18</f>
        <v>14000</v>
      </c>
      <c r="AB18" s="90">
        <f>'25'!K18</f>
        <v>14000</v>
      </c>
      <c r="AC18" s="90">
        <f>'26'!K18</f>
        <v>14000</v>
      </c>
      <c r="AD18" s="90">
        <f>'27'!K18</f>
        <v>14000</v>
      </c>
      <c r="AE18" s="90">
        <f>'28'!K18</f>
        <v>14000</v>
      </c>
      <c r="AF18" s="90">
        <f>'29'!K18</f>
        <v>14000</v>
      </c>
      <c r="AG18" s="90">
        <f>'30'!K18</f>
        <v>14000</v>
      </c>
      <c r="AH18" s="90">
        <f>'31'!K18</f>
        <v>14000</v>
      </c>
      <c r="AI18" s="90">
        <v>14000</v>
      </c>
      <c r="AJ18" s="90">
        <f t="shared" si="0"/>
        <v>0</v>
      </c>
      <c r="AK18" s="238">
        <f t="shared" si="1"/>
        <v>14000</v>
      </c>
    </row>
    <row r="19" spans="1:37" x14ac:dyDescent="0.25">
      <c r="A19" s="147">
        <v>4</v>
      </c>
      <c r="B19" s="116" t="s">
        <v>12</v>
      </c>
      <c r="C19" s="116"/>
      <c r="D19" s="118">
        <f>'1'!K19</f>
        <v>0</v>
      </c>
      <c r="E19" s="118">
        <f>'2'!K19</f>
        <v>0</v>
      </c>
      <c r="F19" s="118">
        <f>'3'!K19</f>
        <v>0</v>
      </c>
      <c r="G19" s="118">
        <f>'4'!K19</f>
        <v>0</v>
      </c>
      <c r="H19" s="118">
        <f>'5'!K19</f>
        <v>0</v>
      </c>
      <c r="I19" s="118">
        <f>'6'!K19</f>
        <v>0</v>
      </c>
      <c r="J19" s="118">
        <f>'7'!K19</f>
        <v>0</v>
      </c>
      <c r="K19" s="118">
        <f>'8'!K19</f>
        <v>0</v>
      </c>
      <c r="L19" s="118">
        <f>'9'!K19</f>
        <v>0</v>
      </c>
      <c r="M19" s="118">
        <f>'10'!K19</f>
        <v>0</v>
      </c>
      <c r="N19" s="118">
        <f>'11'!K19</f>
        <v>0</v>
      </c>
      <c r="O19" s="118">
        <f>'12'!K19</f>
        <v>0</v>
      </c>
      <c r="P19" s="118">
        <f>'13'!K19</f>
        <v>0</v>
      </c>
      <c r="Q19" s="118">
        <f>'14'!K19</f>
        <v>0</v>
      </c>
      <c r="R19" s="118">
        <f>'15'!K19</f>
        <v>0</v>
      </c>
      <c r="S19" s="118">
        <f>'16'!K19</f>
        <v>0</v>
      </c>
      <c r="T19" s="118">
        <f>'17'!K19</f>
        <v>0</v>
      </c>
      <c r="U19" s="118">
        <f>'18'!K19</f>
        <v>0</v>
      </c>
      <c r="V19" s="118">
        <f>'19'!K19</f>
        <v>0</v>
      </c>
      <c r="W19" s="118">
        <f>'20'!K19</f>
        <v>0</v>
      </c>
      <c r="X19" s="118">
        <f>'21'!K19</f>
        <v>0</v>
      </c>
      <c r="Y19" s="126">
        <f>'22'!K19</f>
        <v>0</v>
      </c>
      <c r="Z19" s="126">
        <f>'23'!K19</f>
        <v>0</v>
      </c>
      <c r="AA19" s="126">
        <f>'24'!K19</f>
        <v>0</v>
      </c>
      <c r="AB19" s="126">
        <f>'25'!K19</f>
        <v>0</v>
      </c>
      <c r="AC19" s="126">
        <f>'26'!K19</f>
        <v>0</v>
      </c>
      <c r="AD19" s="126">
        <f>'27'!K19</f>
        <v>0</v>
      </c>
      <c r="AE19" s="126">
        <f>'28'!K19</f>
        <v>0</v>
      </c>
      <c r="AF19" s="126">
        <f>'29'!K19</f>
        <v>0</v>
      </c>
      <c r="AG19" s="126">
        <f>'30'!K19</f>
        <v>0</v>
      </c>
      <c r="AH19" s="126">
        <f>'31'!K19</f>
        <v>0</v>
      </c>
      <c r="AI19" s="126"/>
      <c r="AJ19" s="126">
        <f t="shared" si="0"/>
        <v>0</v>
      </c>
      <c r="AK19" s="238">
        <f t="shared" si="1"/>
        <v>0</v>
      </c>
    </row>
    <row r="20" spans="1:37" x14ac:dyDescent="0.25">
      <c r="A20" s="149"/>
      <c r="B20" s="107" t="s">
        <v>13</v>
      </c>
      <c r="C20" s="108" t="s">
        <v>5</v>
      </c>
      <c r="D20" s="90">
        <f>'1'!K20</f>
        <v>22500</v>
      </c>
      <c r="E20" s="90">
        <f>'2'!K20</f>
        <v>21250</v>
      </c>
      <c r="F20" s="90">
        <f>'3'!K20</f>
        <v>22500</v>
      </c>
      <c r="G20" s="90">
        <f>'4'!K20</f>
        <v>22500</v>
      </c>
      <c r="H20" s="90">
        <f>'5'!K20</f>
        <v>21250</v>
      </c>
      <c r="I20" s="90">
        <f>'6'!K20</f>
        <v>22500</v>
      </c>
      <c r="J20" s="90">
        <f>'7'!K20</f>
        <v>22500</v>
      </c>
      <c r="K20" s="90">
        <f>'8'!K20</f>
        <v>21250</v>
      </c>
      <c r="L20" s="90">
        <f>'9'!K20</f>
        <v>21250</v>
      </c>
      <c r="M20" s="90">
        <f>'10'!K20</f>
        <v>21250</v>
      </c>
      <c r="N20" s="90">
        <f>'11'!K20</f>
        <v>21250</v>
      </c>
      <c r="O20" s="90">
        <f>'12'!K20</f>
        <v>21250</v>
      </c>
      <c r="P20" s="90">
        <f>'13'!K20</f>
        <v>21250</v>
      </c>
      <c r="Q20" s="90">
        <f>'14'!K20</f>
        <v>21250</v>
      </c>
      <c r="R20" s="90">
        <f>'15'!K20</f>
        <v>21250</v>
      </c>
      <c r="S20" s="90">
        <f>'16'!K20</f>
        <v>21250</v>
      </c>
      <c r="T20" s="90">
        <f>'17'!K20</f>
        <v>21500</v>
      </c>
      <c r="U20" s="90">
        <f>'18'!K20</f>
        <v>21500</v>
      </c>
      <c r="V20" s="90">
        <f>'19'!K20</f>
        <v>21250</v>
      </c>
      <c r="W20" s="90">
        <f>'20'!K20</f>
        <v>21250</v>
      </c>
      <c r="X20" s="90">
        <f>'21'!K20</f>
        <v>21250</v>
      </c>
      <c r="Y20" s="90">
        <f>'22'!K20</f>
        <v>21250</v>
      </c>
      <c r="Z20" s="90">
        <f>'23'!K20</f>
        <v>21250</v>
      </c>
      <c r="AA20" s="90">
        <f>'24'!K20</f>
        <v>21250</v>
      </c>
      <c r="AB20" s="90">
        <f>'25'!K20</f>
        <v>21250</v>
      </c>
      <c r="AC20" s="90">
        <f>'26'!K20</f>
        <v>21250</v>
      </c>
      <c r="AD20" s="90">
        <f>'27'!K20</f>
        <v>21500</v>
      </c>
      <c r="AE20" s="90">
        <f>'28'!K20</f>
        <v>21500</v>
      </c>
      <c r="AF20" s="90">
        <f>'29'!K20</f>
        <v>21250</v>
      </c>
      <c r="AG20" s="90">
        <f>'30'!K20</f>
        <v>21250</v>
      </c>
      <c r="AH20" s="90">
        <f>'31'!K20</f>
        <v>21250</v>
      </c>
      <c r="AI20" s="90"/>
      <c r="AJ20" s="90">
        <f t="shared" si="0"/>
        <v>-1250</v>
      </c>
      <c r="AK20" s="238">
        <f t="shared" si="1"/>
        <v>21483.870967741936</v>
      </c>
    </row>
    <row r="21" spans="1:37" x14ac:dyDescent="0.25">
      <c r="A21" s="147">
        <v>5</v>
      </c>
      <c r="B21" s="116" t="s">
        <v>14</v>
      </c>
      <c r="C21" s="116"/>
      <c r="D21" s="118">
        <f>'1'!K21</f>
        <v>0</v>
      </c>
      <c r="E21" s="118">
        <f>'2'!K21</f>
        <v>0</v>
      </c>
      <c r="F21" s="118">
        <f>'3'!K21</f>
        <v>0</v>
      </c>
      <c r="G21" s="118">
        <f>'4'!K21</f>
        <v>0</v>
      </c>
      <c r="H21" s="118">
        <f>'5'!K21</f>
        <v>0</v>
      </c>
      <c r="I21" s="118">
        <f>'6'!K21</f>
        <v>0</v>
      </c>
      <c r="J21" s="118">
        <f>'7'!K21</f>
        <v>0</v>
      </c>
      <c r="K21" s="118">
        <f>'8'!K21</f>
        <v>0</v>
      </c>
      <c r="L21" s="118">
        <f>'9'!K21</f>
        <v>0</v>
      </c>
      <c r="M21" s="118">
        <f>'10'!K21</f>
        <v>0</v>
      </c>
      <c r="N21" s="118">
        <f>'11'!K21</f>
        <v>0</v>
      </c>
      <c r="O21" s="118">
        <f>'12'!K21</f>
        <v>0</v>
      </c>
      <c r="P21" s="118">
        <f>'13'!K21</f>
        <v>0</v>
      </c>
      <c r="Q21" s="118">
        <f>'14'!K21</f>
        <v>0</v>
      </c>
      <c r="R21" s="118">
        <f>'15'!K21</f>
        <v>0</v>
      </c>
      <c r="S21" s="118">
        <f>'16'!K21</f>
        <v>0</v>
      </c>
      <c r="T21" s="118">
        <f>'17'!K21</f>
        <v>0</v>
      </c>
      <c r="U21" s="118">
        <f>'18'!K21</f>
        <v>0</v>
      </c>
      <c r="V21" s="118">
        <f>'19'!K21</f>
        <v>0</v>
      </c>
      <c r="W21" s="118">
        <f>'20'!K21</f>
        <v>0</v>
      </c>
      <c r="X21" s="118">
        <f>'21'!K21</f>
        <v>0</v>
      </c>
      <c r="Y21" s="126">
        <f>'22'!K21</f>
        <v>0</v>
      </c>
      <c r="Z21" s="126">
        <f>'23'!K21</f>
        <v>0</v>
      </c>
      <c r="AA21" s="126">
        <f>'24'!K21</f>
        <v>0</v>
      </c>
      <c r="AB21" s="126">
        <f>'25'!K21</f>
        <v>0</v>
      </c>
      <c r="AC21" s="126">
        <f>'26'!K21</f>
        <v>0</v>
      </c>
      <c r="AD21" s="126">
        <f>'27'!K21</f>
        <v>0</v>
      </c>
      <c r="AE21" s="126">
        <f>'28'!K21</f>
        <v>0</v>
      </c>
      <c r="AF21" s="126">
        <f>'29'!K21</f>
        <v>0</v>
      </c>
      <c r="AG21" s="126">
        <f>'30'!K21</f>
        <v>0</v>
      </c>
      <c r="AH21" s="126">
        <f>'31'!K21</f>
        <v>0</v>
      </c>
      <c r="AI21" s="126"/>
      <c r="AJ21" s="126">
        <f t="shared" si="0"/>
        <v>0</v>
      </c>
      <c r="AK21" s="238">
        <f t="shared" si="1"/>
        <v>0</v>
      </c>
    </row>
    <row r="22" spans="1:37" x14ac:dyDescent="0.25">
      <c r="A22" s="148"/>
      <c r="B22" s="107" t="s">
        <v>15</v>
      </c>
      <c r="C22" s="108" t="s">
        <v>5</v>
      </c>
      <c r="D22" s="90">
        <f>'1'!K22</f>
        <v>122500</v>
      </c>
      <c r="E22" s="90">
        <f>'2'!K22</f>
        <v>120833.33333333333</v>
      </c>
      <c r="F22" s="90">
        <f>'3'!K22</f>
        <v>122500</v>
      </c>
      <c r="G22" s="90">
        <f>'4'!K22</f>
        <v>120833.33333333333</v>
      </c>
      <c r="H22" s="90">
        <f>'5'!K22</f>
        <v>120833.33333333333</v>
      </c>
      <c r="I22" s="90">
        <f>'6'!K22</f>
        <v>120833.33333333333</v>
      </c>
      <c r="J22" s="90">
        <f>'7'!K22</f>
        <v>120833.33333333333</v>
      </c>
      <c r="K22" s="90">
        <f>'8'!K22</f>
        <v>120833.33333333333</v>
      </c>
      <c r="L22" s="90">
        <f>'9'!K22</f>
        <v>120000</v>
      </c>
      <c r="M22" s="90">
        <f>'10'!K22</f>
        <v>120000</v>
      </c>
      <c r="N22" s="90">
        <f>'11'!K22</f>
        <v>120000</v>
      </c>
      <c r="O22" s="90">
        <f>'12'!K22</f>
        <v>120000</v>
      </c>
      <c r="P22" s="90">
        <f>'13'!K22</f>
        <v>120000</v>
      </c>
      <c r="Q22" s="90">
        <f>'14'!K22</f>
        <v>120000</v>
      </c>
      <c r="R22" s="90">
        <f>'15'!K22</f>
        <v>120000</v>
      </c>
      <c r="S22" s="90">
        <f>'16'!K22</f>
        <v>120000</v>
      </c>
      <c r="T22" s="90">
        <f>'17'!K22</f>
        <v>120000</v>
      </c>
      <c r="U22" s="90">
        <f>'18'!K22</f>
        <v>120000</v>
      </c>
      <c r="V22" s="90">
        <f>'19'!K22</f>
        <v>120000</v>
      </c>
      <c r="W22" s="90">
        <f>'20'!K22</f>
        <v>120000</v>
      </c>
      <c r="X22" s="90">
        <f>'21'!K22</f>
        <v>120000</v>
      </c>
      <c r="Y22" s="90">
        <f>'22'!K22</f>
        <v>120000</v>
      </c>
      <c r="Z22" s="90">
        <f>'23'!K22</f>
        <v>120000</v>
      </c>
      <c r="AA22" s="90">
        <f>'24'!K22</f>
        <v>120000</v>
      </c>
      <c r="AB22" s="90">
        <f>'25'!K22</f>
        <v>120000</v>
      </c>
      <c r="AC22" s="90">
        <f>'26'!K22</f>
        <v>120000</v>
      </c>
      <c r="AD22" s="90">
        <f>'27'!K22</f>
        <v>120000</v>
      </c>
      <c r="AE22" s="90">
        <f>'28'!K22</f>
        <v>120000</v>
      </c>
      <c r="AF22" s="90">
        <f>'29'!K22</f>
        <v>120000</v>
      </c>
      <c r="AG22" s="90">
        <f>'30'!K22</f>
        <v>120000</v>
      </c>
      <c r="AH22" s="90">
        <f>'31'!K22</f>
        <v>120000</v>
      </c>
      <c r="AI22" s="90">
        <v>105000</v>
      </c>
      <c r="AJ22" s="90">
        <f t="shared" si="0"/>
        <v>-2500</v>
      </c>
      <c r="AK22" s="238">
        <f t="shared" si="1"/>
        <v>120322.58064516129</v>
      </c>
    </row>
    <row r="23" spans="1:37" x14ac:dyDescent="0.25">
      <c r="A23" s="148"/>
      <c r="B23" s="107" t="s">
        <v>16</v>
      </c>
      <c r="C23" s="108" t="s">
        <v>5</v>
      </c>
      <c r="D23" s="90">
        <f>'1'!K23</f>
        <v>114857.14285714286</v>
      </c>
      <c r="E23" s="90">
        <f>'2'!K23</f>
        <v>112714.28571428571</v>
      </c>
      <c r="F23" s="90">
        <f>'3'!K23</f>
        <v>114142.85714285714</v>
      </c>
      <c r="G23" s="90">
        <f>'4'!K23</f>
        <v>112714.28571428571</v>
      </c>
      <c r="H23" s="90">
        <f>'5'!K23</f>
        <v>112714.28571428571</v>
      </c>
      <c r="I23" s="90">
        <f>'6'!K23</f>
        <v>112714.28571428571</v>
      </c>
      <c r="J23" s="90">
        <f>'7'!K23</f>
        <v>112714.28571428571</v>
      </c>
      <c r="K23" s="90">
        <f>'8'!K23</f>
        <v>112714.28571428571</v>
      </c>
      <c r="L23" s="90">
        <f>'9'!K23</f>
        <v>112714.28571428571</v>
      </c>
      <c r="M23" s="90">
        <f>'10'!K23</f>
        <v>112714.28571428571</v>
      </c>
      <c r="N23" s="90">
        <f>'11'!K23</f>
        <v>112714.28571428571</v>
      </c>
      <c r="O23" s="90">
        <f>'12'!K23</f>
        <v>112714.28571428571</v>
      </c>
      <c r="P23" s="90">
        <f>'13'!K23</f>
        <v>112714.28571428571</v>
      </c>
      <c r="Q23" s="90">
        <f>'14'!K23</f>
        <v>112000</v>
      </c>
      <c r="R23" s="90">
        <f>'15'!K23</f>
        <v>112000</v>
      </c>
      <c r="S23" s="90">
        <f>'16'!K23</f>
        <v>112000</v>
      </c>
      <c r="T23" s="90">
        <f>'17'!K23</f>
        <v>112000</v>
      </c>
      <c r="U23" s="90">
        <f>'18'!K23</f>
        <v>112000</v>
      </c>
      <c r="V23" s="90">
        <f>'19'!K23</f>
        <v>112000</v>
      </c>
      <c r="W23" s="90">
        <f>'20'!K23</f>
        <v>112000</v>
      </c>
      <c r="X23" s="90">
        <f>'21'!K23</f>
        <v>112000</v>
      </c>
      <c r="Y23" s="90">
        <f>'22'!K23</f>
        <v>112000</v>
      </c>
      <c r="Z23" s="90">
        <f>'23'!K23</f>
        <v>112000</v>
      </c>
      <c r="AA23" s="90">
        <f>'24'!K23</f>
        <v>112000</v>
      </c>
      <c r="AB23" s="90">
        <f>'25'!K23</f>
        <v>112000</v>
      </c>
      <c r="AC23" s="90">
        <f>'26'!K23</f>
        <v>112000</v>
      </c>
      <c r="AD23" s="90">
        <f>'27'!K23</f>
        <v>112000</v>
      </c>
      <c r="AE23" s="90">
        <f>'28'!K23</f>
        <v>112000</v>
      </c>
      <c r="AF23" s="90">
        <f>'29'!K23</f>
        <v>112000</v>
      </c>
      <c r="AG23" s="90">
        <f>'30'!K23</f>
        <v>112000</v>
      </c>
      <c r="AH23" s="90">
        <f>'31'!K23</f>
        <v>112000</v>
      </c>
      <c r="AI23" s="90">
        <v>80000</v>
      </c>
      <c r="AJ23" s="90">
        <f t="shared" si="0"/>
        <v>-2857.1428571428551</v>
      </c>
      <c r="AK23" s="238">
        <f t="shared" si="1"/>
        <v>112414.74654377879</v>
      </c>
    </row>
    <row r="24" spans="1:37" x14ac:dyDescent="0.25">
      <c r="A24" s="148"/>
      <c r="B24" s="107" t="s">
        <v>17</v>
      </c>
      <c r="C24" s="108" t="s">
        <v>5</v>
      </c>
      <c r="D24" s="90">
        <f>'1'!K24</f>
        <v>105000</v>
      </c>
      <c r="E24" s="90">
        <f>'2'!K24</f>
        <v>102857.14285714286</v>
      </c>
      <c r="F24" s="90">
        <f>'3'!K24</f>
        <v>103571.42857142857</v>
      </c>
      <c r="G24" s="90">
        <f>'4'!K24</f>
        <v>102857.14285714286</v>
      </c>
      <c r="H24" s="90">
        <f>'5'!K24</f>
        <v>102857.14285714286</v>
      </c>
      <c r="I24" s="90">
        <f>'6'!K24</f>
        <v>102857.14285714286</v>
      </c>
      <c r="J24" s="90">
        <f>'7'!K24</f>
        <v>102857.14285714286</v>
      </c>
      <c r="K24" s="90">
        <f>'8'!K24</f>
        <v>102857.14285714286</v>
      </c>
      <c r="L24" s="90">
        <f>'9'!K24</f>
        <v>102857.14285714286</v>
      </c>
      <c r="M24" s="90">
        <f>'10'!K24</f>
        <v>102142.85714285714</v>
      </c>
      <c r="N24" s="90">
        <f>'11'!K24</f>
        <v>102857.14285714286</v>
      </c>
      <c r="O24" s="90">
        <f>'12'!K24</f>
        <v>102857.14285714286</v>
      </c>
      <c r="P24" s="90">
        <f>'13'!K24</f>
        <v>102857.14285714286</v>
      </c>
      <c r="Q24" s="90">
        <f>'14'!K24</f>
        <v>102857.14285714286</v>
      </c>
      <c r="R24" s="90">
        <f>'15'!K24</f>
        <v>102857.14285714286</v>
      </c>
      <c r="S24" s="90">
        <f>'16'!K24</f>
        <v>102857.14285714286</v>
      </c>
      <c r="T24" s="90">
        <f>'17'!K24</f>
        <v>102857.14285714286</v>
      </c>
      <c r="U24" s="90">
        <f>'18'!K24</f>
        <v>102857.14285714286</v>
      </c>
      <c r="V24" s="90">
        <f>'19'!K24</f>
        <v>102857.14285714286</v>
      </c>
      <c r="W24" s="90">
        <f>'20'!K24</f>
        <v>102857.14285714286</v>
      </c>
      <c r="X24" s="90">
        <f>'21'!K24</f>
        <v>102857.14285714286</v>
      </c>
      <c r="Y24" s="90">
        <f>'22'!K24</f>
        <v>102857.14285714286</v>
      </c>
      <c r="Z24" s="90">
        <f>'23'!K24</f>
        <v>102857.14285714286</v>
      </c>
      <c r="AA24" s="90">
        <f>'24'!K24</f>
        <v>102857.14285714286</v>
      </c>
      <c r="AB24" s="90">
        <f>'25'!K24</f>
        <v>102857.14285714286</v>
      </c>
      <c r="AC24" s="90">
        <f>'26'!K24</f>
        <v>102857.14285714286</v>
      </c>
      <c r="AD24" s="90">
        <f>'27'!K24</f>
        <v>102857.14285714286</v>
      </c>
      <c r="AE24" s="90">
        <f>'28'!K24</f>
        <v>102857.14285714286</v>
      </c>
      <c r="AF24" s="90">
        <f>'29'!K24</f>
        <v>102857.14285714286</v>
      </c>
      <c r="AG24" s="90">
        <f>'30'!K24</f>
        <v>102857.14285714286</v>
      </c>
      <c r="AH24" s="90">
        <f>'31'!K24</f>
        <v>102857.14285714286</v>
      </c>
      <c r="AI24" s="90">
        <v>80000</v>
      </c>
      <c r="AJ24" s="90">
        <f t="shared" si="0"/>
        <v>-2142.8571428571449</v>
      </c>
      <c r="AK24" s="238">
        <f t="shared" si="1"/>
        <v>102926.26728110599</v>
      </c>
    </row>
    <row r="25" spans="1:37" x14ac:dyDescent="0.25">
      <c r="A25" s="149"/>
      <c r="B25" s="107" t="s">
        <v>18</v>
      </c>
      <c r="C25" s="108" t="s">
        <v>5</v>
      </c>
      <c r="D25" s="90">
        <f>'1'!K25</f>
        <v>36000</v>
      </c>
      <c r="E25" s="90">
        <f>'2'!K25</f>
        <v>34000</v>
      </c>
      <c r="F25" s="90">
        <f>'3'!K25</f>
        <v>33571.428571428572</v>
      </c>
      <c r="G25" s="90">
        <f>'4'!K25</f>
        <v>33571.428571428572</v>
      </c>
      <c r="H25" s="90">
        <f>'5'!K25</f>
        <v>33000</v>
      </c>
      <c r="I25" s="90">
        <f>'6'!K25</f>
        <v>33000</v>
      </c>
      <c r="J25" s="90">
        <f>'7'!K25</f>
        <v>33000</v>
      </c>
      <c r="K25" s="90">
        <f>'8'!K25</f>
        <v>32857.142857142855</v>
      </c>
      <c r="L25" s="90">
        <f>'9'!K25</f>
        <v>32857.142857142855</v>
      </c>
      <c r="M25" s="90">
        <f>'10'!K25</f>
        <v>33428.571428571428</v>
      </c>
      <c r="N25" s="90">
        <f>'11'!K25</f>
        <v>33857.142857142855</v>
      </c>
      <c r="O25" s="90">
        <f>'12'!K25</f>
        <v>34000</v>
      </c>
      <c r="P25" s="90">
        <f>'13'!K25</f>
        <v>34000</v>
      </c>
      <c r="Q25" s="90">
        <f>'14'!K25</f>
        <v>34000</v>
      </c>
      <c r="R25" s="90">
        <f>'15'!K25</f>
        <v>34571.428571428572</v>
      </c>
      <c r="S25" s="90">
        <f>'16'!K25</f>
        <v>34142.857142857145</v>
      </c>
      <c r="T25" s="90">
        <f>'17'!K25</f>
        <v>34428.571428571428</v>
      </c>
      <c r="U25" s="90">
        <f>'18'!K25</f>
        <v>34571.428571428572</v>
      </c>
      <c r="V25" s="90">
        <f>'19'!K25</f>
        <v>34571.428571428572</v>
      </c>
      <c r="W25" s="90">
        <f>'20'!K25</f>
        <v>34714.285714285717</v>
      </c>
      <c r="X25" s="90">
        <f>'21'!K25</f>
        <v>34857.142857142855</v>
      </c>
      <c r="Y25" s="90">
        <f>'22'!K25</f>
        <v>35285.714285714283</v>
      </c>
      <c r="Z25" s="90">
        <f>'23'!K25</f>
        <v>35571.428571428572</v>
      </c>
      <c r="AA25" s="90">
        <f>'24'!K25</f>
        <v>35857.142857142855</v>
      </c>
      <c r="AB25" s="90">
        <f>'25'!K25</f>
        <v>36571.428571428572</v>
      </c>
      <c r="AC25" s="90">
        <f>'26'!K25</f>
        <v>36428.571428571428</v>
      </c>
      <c r="AD25" s="90">
        <f>'27'!K25</f>
        <v>36285.714285714283</v>
      </c>
      <c r="AE25" s="90">
        <f>'28'!K25</f>
        <v>36428.571428571428</v>
      </c>
      <c r="AF25" s="90">
        <f>'29'!K25</f>
        <v>35857.142857142855</v>
      </c>
      <c r="AG25" s="90">
        <f>'30'!K25</f>
        <v>35714.285714285717</v>
      </c>
      <c r="AH25" s="90">
        <f>'31'!K25</f>
        <v>35857.142857142855</v>
      </c>
      <c r="AI25" s="90">
        <v>36750</v>
      </c>
      <c r="AJ25" s="90">
        <f t="shared" si="0"/>
        <v>-142.85714285714494</v>
      </c>
      <c r="AK25" s="238">
        <f t="shared" si="1"/>
        <v>34608.294930875571</v>
      </c>
    </row>
    <row r="26" spans="1:37" x14ac:dyDescent="0.25">
      <c r="A26" s="147">
        <v>6</v>
      </c>
      <c r="B26" s="116" t="s">
        <v>19</v>
      </c>
      <c r="C26" s="116"/>
      <c r="D26" s="118">
        <f>'1'!K26</f>
        <v>0</v>
      </c>
      <c r="E26" s="118">
        <f>'2'!K26</f>
        <v>0</v>
      </c>
      <c r="F26" s="118">
        <f>'3'!K26</f>
        <v>0</v>
      </c>
      <c r="G26" s="118">
        <f>'4'!K26</f>
        <v>0</v>
      </c>
      <c r="H26" s="118">
        <f>'5'!K26</f>
        <v>0</v>
      </c>
      <c r="I26" s="118">
        <f>'6'!K26</f>
        <v>0</v>
      </c>
      <c r="J26" s="118">
        <f>'7'!K26</f>
        <v>0</v>
      </c>
      <c r="K26" s="118">
        <f>'8'!K26</f>
        <v>0</v>
      </c>
      <c r="L26" s="118">
        <f>'9'!K26</f>
        <v>0</v>
      </c>
      <c r="M26" s="118">
        <f>'10'!K26</f>
        <v>0</v>
      </c>
      <c r="N26" s="118">
        <f>'11'!K26</f>
        <v>0</v>
      </c>
      <c r="O26" s="118">
        <f>'12'!K26</f>
        <v>0</v>
      </c>
      <c r="P26" s="118">
        <f>'13'!K26</f>
        <v>0</v>
      </c>
      <c r="Q26" s="118">
        <f>'14'!K26</f>
        <v>0</v>
      </c>
      <c r="R26" s="118">
        <f>'15'!K26</f>
        <v>0</v>
      </c>
      <c r="S26" s="118">
        <f>'16'!K26</f>
        <v>0</v>
      </c>
      <c r="T26" s="118">
        <f>'17'!K26</f>
        <v>0</v>
      </c>
      <c r="U26" s="118">
        <f>'18'!K26</f>
        <v>0</v>
      </c>
      <c r="V26" s="118">
        <f>'19'!K26</f>
        <v>0</v>
      </c>
      <c r="W26" s="118">
        <f>'20'!K26</f>
        <v>0</v>
      </c>
      <c r="X26" s="118">
        <f>'21'!K26</f>
        <v>0</v>
      </c>
      <c r="Y26" s="126">
        <f>'22'!K26</f>
        <v>0</v>
      </c>
      <c r="Z26" s="126">
        <f>'23'!K26</f>
        <v>0</v>
      </c>
      <c r="AA26" s="126">
        <f>'24'!K26</f>
        <v>0</v>
      </c>
      <c r="AB26" s="126">
        <f>'25'!K26</f>
        <v>0</v>
      </c>
      <c r="AC26" s="126">
        <f>'26'!K26</f>
        <v>0</v>
      </c>
      <c r="AD26" s="126">
        <f>'27'!K26</f>
        <v>0</v>
      </c>
      <c r="AE26" s="126">
        <f>'28'!K26</f>
        <v>0</v>
      </c>
      <c r="AF26" s="126">
        <f>'29'!K26</f>
        <v>0</v>
      </c>
      <c r="AG26" s="126">
        <f>'30'!K26</f>
        <v>0</v>
      </c>
      <c r="AH26" s="126">
        <f>'31'!K26</f>
        <v>0</v>
      </c>
      <c r="AI26" s="126"/>
      <c r="AJ26" s="126">
        <f t="shared" si="0"/>
        <v>0</v>
      </c>
      <c r="AK26" s="238">
        <f t="shared" si="1"/>
        <v>0</v>
      </c>
    </row>
    <row r="27" spans="1:37" x14ac:dyDescent="0.25">
      <c r="A27" s="148"/>
      <c r="B27" s="107" t="s">
        <v>20</v>
      </c>
      <c r="C27" s="108" t="s">
        <v>5</v>
      </c>
      <c r="D27" s="90">
        <f>'1'!K27</f>
        <v>35714.285714285717</v>
      </c>
      <c r="E27" s="90">
        <f>'2'!K27</f>
        <v>35714.285714285717</v>
      </c>
      <c r="F27" s="90">
        <f>'3'!K27</f>
        <v>35714.285714285717</v>
      </c>
      <c r="G27" s="90">
        <f>'4'!K27</f>
        <v>35714.285714285717</v>
      </c>
      <c r="H27" s="90">
        <f>'5'!K27</f>
        <v>35714.285714285717</v>
      </c>
      <c r="I27" s="90">
        <f>'6'!K27</f>
        <v>35714.285714285717</v>
      </c>
      <c r="J27" s="90">
        <f>'7'!K27</f>
        <v>35714.285714285717</v>
      </c>
      <c r="K27" s="90">
        <f>'8'!K27</f>
        <v>39666.666666666664</v>
      </c>
      <c r="L27" s="90">
        <f>'9'!K27</f>
        <v>38833.333333333336</v>
      </c>
      <c r="M27" s="90">
        <f>'10'!K27</f>
        <v>38285.714285714283</v>
      </c>
      <c r="N27" s="90">
        <f>'11'!K27</f>
        <v>38833.333333333336</v>
      </c>
      <c r="O27" s="90">
        <f>'12'!K27</f>
        <v>38833.333333333336</v>
      </c>
      <c r="P27" s="90">
        <f>'13'!K27</f>
        <v>38833.333333333336</v>
      </c>
      <c r="Q27" s="90">
        <f>'14'!K27</f>
        <v>38833.333333333336</v>
      </c>
      <c r="R27" s="90">
        <f>'15'!K27</f>
        <v>38833.333333333336</v>
      </c>
      <c r="S27" s="90">
        <f>'16'!K27</f>
        <v>38833.333333333336</v>
      </c>
      <c r="T27" s="90">
        <f>'17'!K27</f>
        <v>38833.333333333336</v>
      </c>
      <c r="U27" s="90">
        <f>'18'!K27</f>
        <v>38833.333333333336</v>
      </c>
      <c r="V27" s="90">
        <f>'19'!K27</f>
        <v>39166.666666666664</v>
      </c>
      <c r="W27" s="90">
        <f>'20'!K27</f>
        <v>39166.666666666664</v>
      </c>
      <c r="X27" s="90">
        <f>'21'!K27</f>
        <v>39166.666666666664</v>
      </c>
      <c r="Y27" s="90">
        <f>'22'!K27</f>
        <v>39166.666666666664</v>
      </c>
      <c r="Z27" s="90">
        <f>'23'!K27</f>
        <v>39166.666666666664</v>
      </c>
      <c r="AA27" s="90">
        <f>'24'!K27</f>
        <v>39166.666666666664</v>
      </c>
      <c r="AB27" s="90">
        <f>'25'!K27</f>
        <v>39166.666666666664</v>
      </c>
      <c r="AC27" s="90">
        <f>'26'!K27</f>
        <v>39166.666666666664</v>
      </c>
      <c r="AD27" s="90">
        <f>'27'!K27</f>
        <v>39166.666666666664</v>
      </c>
      <c r="AE27" s="90">
        <f>'28'!K27</f>
        <v>39166.666666666664</v>
      </c>
      <c r="AF27" s="90">
        <f>'29'!K27</f>
        <v>39166.666666666664</v>
      </c>
      <c r="AG27" s="90">
        <f>'30'!K27</f>
        <v>39166.666666666664</v>
      </c>
      <c r="AH27" s="90">
        <f>'31'!K27</f>
        <v>36666.666666666664</v>
      </c>
      <c r="AI27" s="90"/>
      <c r="AJ27" s="90">
        <f t="shared" si="0"/>
        <v>952.38095238094684</v>
      </c>
      <c r="AK27" s="238">
        <f t="shared" si="1"/>
        <v>38197.388632872506</v>
      </c>
    </row>
    <row r="28" spans="1:37" x14ac:dyDescent="0.25">
      <c r="A28" s="148"/>
      <c r="B28" s="107" t="s">
        <v>21</v>
      </c>
      <c r="C28" s="108" t="s">
        <v>5</v>
      </c>
      <c r="D28" s="90">
        <f>'1'!K28</f>
        <v>31428.571428571428</v>
      </c>
      <c r="E28" s="90">
        <f>'2'!K28</f>
        <v>31142.857142857141</v>
      </c>
      <c r="F28" s="90">
        <f>'3'!K28</f>
        <v>31142.857142857141</v>
      </c>
      <c r="G28" s="90">
        <f>'4'!K28</f>
        <v>30571.428571428572</v>
      </c>
      <c r="H28" s="90">
        <f>'5'!K28</f>
        <v>29571.428571428572</v>
      </c>
      <c r="I28" s="90">
        <f>'6'!K28</f>
        <v>30571.428571428572</v>
      </c>
      <c r="J28" s="90">
        <f>'7'!K28</f>
        <v>30571.428571428572</v>
      </c>
      <c r="K28" s="90">
        <f>'8'!K28</f>
        <v>29571.428571428572</v>
      </c>
      <c r="L28" s="90">
        <f>'9'!K28</f>
        <v>29000</v>
      </c>
      <c r="M28" s="90">
        <f>'10'!K28</f>
        <v>29000</v>
      </c>
      <c r="N28" s="90">
        <f>'11'!K28</f>
        <v>29000</v>
      </c>
      <c r="O28" s="90">
        <f>'12'!K28</f>
        <v>29714.285714285714</v>
      </c>
      <c r="P28" s="90">
        <f>'13'!K28</f>
        <v>29714.285714285714</v>
      </c>
      <c r="Q28" s="90">
        <f>'14'!K28</f>
        <v>29714.285714285714</v>
      </c>
      <c r="R28" s="90">
        <f>'15'!K28</f>
        <v>29714.285714285714</v>
      </c>
      <c r="S28" s="90">
        <f>'16'!K28</f>
        <v>29714.285714285714</v>
      </c>
      <c r="T28" s="90">
        <f>'17'!K28</f>
        <v>29714.285714285714</v>
      </c>
      <c r="U28" s="90">
        <f>'18'!K28</f>
        <v>29714.285714285714</v>
      </c>
      <c r="V28" s="90">
        <f>'19'!K28</f>
        <v>29142.857142857141</v>
      </c>
      <c r="W28" s="90">
        <f>'20'!K28</f>
        <v>29142.857142857141</v>
      </c>
      <c r="X28" s="90">
        <f>'21'!K28</f>
        <v>29142.857142857141</v>
      </c>
      <c r="Y28" s="90">
        <f>'22'!K28</f>
        <v>29142.857142857141</v>
      </c>
      <c r="Z28" s="90">
        <f>'23'!K28</f>
        <v>29142.857142857141</v>
      </c>
      <c r="AA28" s="90">
        <f>'24'!K28</f>
        <v>29142.857142857141</v>
      </c>
      <c r="AB28" s="90">
        <f>'25'!K28</f>
        <v>29142.857142857141</v>
      </c>
      <c r="AC28" s="90">
        <f>'26'!K28</f>
        <v>29428.571428571428</v>
      </c>
      <c r="AD28" s="90">
        <f>'27'!K28</f>
        <v>29714.285714285714</v>
      </c>
      <c r="AE28" s="90">
        <f>'28'!K28</f>
        <v>29714.285714285714</v>
      </c>
      <c r="AF28" s="90">
        <f>'29'!K28</f>
        <v>29428.571428571428</v>
      </c>
      <c r="AG28" s="90">
        <f>'30'!K28</f>
        <v>29428.571428571428</v>
      </c>
      <c r="AH28" s="90">
        <f>'31'!K28</f>
        <v>27714.285714285714</v>
      </c>
      <c r="AI28" s="90"/>
      <c r="AJ28" s="90">
        <f t="shared" si="0"/>
        <v>-3714.2857142857138</v>
      </c>
      <c r="AK28" s="238">
        <f t="shared" si="1"/>
        <v>29645.161290322591</v>
      </c>
    </row>
    <row r="29" spans="1:37" x14ac:dyDescent="0.25">
      <c r="A29" s="148"/>
      <c r="B29" s="107" t="s">
        <v>22</v>
      </c>
      <c r="C29" s="108" t="s">
        <v>5</v>
      </c>
      <c r="D29" s="90">
        <f>'1'!K29</f>
        <v>67142.857142857145</v>
      </c>
      <c r="E29" s="90">
        <f>'2'!K29</f>
        <v>66142.857142857145</v>
      </c>
      <c r="F29" s="90">
        <f>'3'!K29</f>
        <v>67571.428571428565</v>
      </c>
      <c r="G29" s="90">
        <f>'4'!K29</f>
        <v>67285.71428571429</v>
      </c>
      <c r="H29" s="90">
        <f>'5'!K29</f>
        <v>65857.142857142855</v>
      </c>
      <c r="I29" s="90">
        <f>'6'!K29</f>
        <v>67285.71428571429</v>
      </c>
      <c r="J29" s="90">
        <f>'7'!K29</f>
        <v>67285.71428571429</v>
      </c>
      <c r="K29" s="90">
        <f>'8'!K29</f>
        <v>65857.142857142855</v>
      </c>
      <c r="L29" s="90">
        <f>'9'!K29</f>
        <v>65857.142857142855</v>
      </c>
      <c r="M29" s="90">
        <f>'10'!K29</f>
        <v>65857.142857142855</v>
      </c>
      <c r="N29" s="90">
        <f>'11'!K29</f>
        <v>65857.142857142855</v>
      </c>
      <c r="O29" s="90">
        <f>'12'!K29</f>
        <v>65857.142857142855</v>
      </c>
      <c r="P29" s="90">
        <f>'13'!K29</f>
        <v>65857.142857142855</v>
      </c>
      <c r="Q29" s="90">
        <f>'14'!K29</f>
        <v>65857.142857142855</v>
      </c>
      <c r="R29" s="90">
        <f>'15'!K29</f>
        <v>65857.142857142855</v>
      </c>
      <c r="S29" s="90">
        <f>'16'!K29</f>
        <v>64714.285714285717</v>
      </c>
      <c r="T29" s="90">
        <f>'17'!K29</f>
        <v>64714.285714285717</v>
      </c>
      <c r="U29" s="90">
        <f>'18'!K29</f>
        <v>64714.285714285717</v>
      </c>
      <c r="V29" s="90">
        <f>'19'!K29</f>
        <v>64714.285714285717</v>
      </c>
      <c r="W29" s="90">
        <f>'20'!K29</f>
        <v>64714.285714285717</v>
      </c>
      <c r="X29" s="90">
        <f>'21'!K29</f>
        <v>64714.285714285717</v>
      </c>
      <c r="Y29" s="90">
        <f>'22'!K29</f>
        <v>64714.285714285717</v>
      </c>
      <c r="Z29" s="90">
        <f>'23'!K29</f>
        <v>64714.285714285717</v>
      </c>
      <c r="AA29" s="90">
        <f>'24'!K29</f>
        <v>64714.285714285717</v>
      </c>
      <c r="AB29" s="90">
        <f>'25'!K29</f>
        <v>64714.285714285717</v>
      </c>
      <c r="AC29" s="90">
        <f>'26'!K29</f>
        <v>64714.285714285717</v>
      </c>
      <c r="AD29" s="90">
        <f>'27'!K29</f>
        <v>64714.285714285717</v>
      </c>
      <c r="AE29" s="90">
        <f>'28'!K29</f>
        <v>64714.285714285717</v>
      </c>
      <c r="AF29" s="90">
        <f>'29'!K29</f>
        <v>64714.285714285717</v>
      </c>
      <c r="AG29" s="90">
        <f>'30'!K29</f>
        <v>64714.285714285717</v>
      </c>
      <c r="AH29" s="90">
        <f>'31'!K29</f>
        <v>64714.285714285717</v>
      </c>
      <c r="AI29" s="90"/>
      <c r="AJ29" s="90">
        <f t="shared" si="0"/>
        <v>-2428.5714285714275</v>
      </c>
      <c r="AK29" s="238">
        <f t="shared" si="1"/>
        <v>65511.52073732717</v>
      </c>
    </row>
    <row r="30" spans="1:37" x14ac:dyDescent="0.25">
      <c r="A30" s="148"/>
      <c r="B30" s="107" t="s">
        <v>23</v>
      </c>
      <c r="C30" s="108" t="s">
        <v>5</v>
      </c>
      <c r="D30" s="90">
        <f>'1'!K30</f>
        <v>24600</v>
      </c>
      <c r="E30" s="90">
        <f>'2'!K30</f>
        <v>24600</v>
      </c>
      <c r="F30" s="90">
        <f>'3'!K30</f>
        <v>24600</v>
      </c>
      <c r="G30" s="90">
        <f>'4'!K30</f>
        <v>24600</v>
      </c>
      <c r="H30" s="90">
        <f>'5'!K30</f>
        <v>24600</v>
      </c>
      <c r="I30" s="90">
        <f>'6'!K30</f>
        <v>24600</v>
      </c>
      <c r="J30" s="90">
        <f>'7'!K30</f>
        <v>24600</v>
      </c>
      <c r="K30" s="90">
        <f>'8'!K30</f>
        <v>24600</v>
      </c>
      <c r="L30" s="90">
        <f>'9'!K30</f>
        <v>24600</v>
      </c>
      <c r="M30" s="90">
        <f>'10'!K30</f>
        <v>24600</v>
      </c>
      <c r="N30" s="90">
        <f>'11'!K30</f>
        <v>24600</v>
      </c>
      <c r="O30" s="90">
        <f>'12'!K30</f>
        <v>24600</v>
      </c>
      <c r="P30" s="90">
        <f>'13'!K30</f>
        <v>24600</v>
      </c>
      <c r="Q30" s="90">
        <f>'14'!K30</f>
        <v>24600</v>
      </c>
      <c r="R30" s="90">
        <f>'15'!K30</f>
        <v>24600</v>
      </c>
      <c r="S30" s="90">
        <f>'16'!K30</f>
        <v>24600</v>
      </c>
      <c r="T30" s="90">
        <f>'17'!K30</f>
        <v>24600</v>
      </c>
      <c r="U30" s="90">
        <f>'18'!K30</f>
        <v>24600</v>
      </c>
      <c r="V30" s="90">
        <f>'19'!K30</f>
        <v>24600</v>
      </c>
      <c r="W30" s="90">
        <f>'20'!K30</f>
        <v>24600</v>
      </c>
      <c r="X30" s="90">
        <f>'21'!K30</f>
        <v>24600</v>
      </c>
      <c r="Y30" s="90">
        <f>'22'!K30</f>
        <v>24600</v>
      </c>
      <c r="Z30" s="90">
        <f>'23'!K30</f>
        <v>24600</v>
      </c>
      <c r="AA30" s="90">
        <f>'24'!K30</f>
        <v>24600</v>
      </c>
      <c r="AB30" s="90">
        <f>'25'!K30</f>
        <v>24600</v>
      </c>
      <c r="AC30" s="90">
        <f>'26'!K30</f>
        <v>24600</v>
      </c>
      <c r="AD30" s="90">
        <f>'27'!K30</f>
        <v>24600</v>
      </c>
      <c r="AE30" s="90">
        <f>'28'!K30</f>
        <v>24600</v>
      </c>
      <c r="AF30" s="90">
        <f>'29'!K30</f>
        <v>24600</v>
      </c>
      <c r="AG30" s="90">
        <f>'30'!K30</f>
        <v>24600</v>
      </c>
      <c r="AH30" s="90">
        <f>'31'!K30</f>
        <v>24600</v>
      </c>
      <c r="AI30" s="90"/>
      <c r="AJ30" s="90">
        <f t="shared" si="0"/>
        <v>0</v>
      </c>
      <c r="AK30" s="238">
        <f t="shared" si="1"/>
        <v>24600</v>
      </c>
    </row>
    <row r="31" spans="1:37" x14ac:dyDescent="0.25">
      <c r="A31" s="148"/>
      <c r="B31" s="107" t="s">
        <v>24</v>
      </c>
      <c r="C31" s="108" t="s">
        <v>5</v>
      </c>
      <c r="D31" s="90">
        <f>'1'!K31</f>
        <v>38428.571428571428</v>
      </c>
      <c r="E31" s="90">
        <f>'2'!K31</f>
        <v>38428.571428571428</v>
      </c>
      <c r="F31" s="90">
        <f>'3'!K31</f>
        <v>38428.571428571428</v>
      </c>
      <c r="G31" s="90">
        <f>'4'!K31</f>
        <v>38428.571428571428</v>
      </c>
      <c r="H31" s="90">
        <f>'5'!K31</f>
        <v>38428.571428571428</v>
      </c>
      <c r="I31" s="90">
        <f>'6'!K31</f>
        <v>38428.571428571428</v>
      </c>
      <c r="J31" s="90">
        <f>'7'!K31</f>
        <v>38428.571428571428</v>
      </c>
      <c r="K31" s="90">
        <f>'8'!K31</f>
        <v>38428.571428571428</v>
      </c>
      <c r="L31" s="90">
        <f>'9'!K31</f>
        <v>39142.857142857145</v>
      </c>
      <c r="M31" s="90">
        <f>'10'!K31</f>
        <v>38428.571428571428</v>
      </c>
      <c r="N31" s="90">
        <f>'11'!K31</f>
        <v>39142.857142857145</v>
      </c>
      <c r="O31" s="90">
        <f>'12'!K31</f>
        <v>39142.857142857145</v>
      </c>
      <c r="P31" s="90">
        <f>'13'!K31</f>
        <v>39142.857142857145</v>
      </c>
      <c r="Q31" s="90">
        <f>'14'!K31</f>
        <v>39142.857142857145</v>
      </c>
      <c r="R31" s="90">
        <f>'15'!K31</f>
        <v>39142.857142857145</v>
      </c>
      <c r="S31" s="90">
        <f>'16'!K31</f>
        <v>39428.571428571428</v>
      </c>
      <c r="T31" s="90">
        <f>'17'!K31</f>
        <v>39428.571428571428</v>
      </c>
      <c r="U31" s="90">
        <f>'18'!K31</f>
        <v>39428.571428571428</v>
      </c>
      <c r="V31" s="90">
        <f>'19'!K31</f>
        <v>39285.714285714283</v>
      </c>
      <c r="W31" s="90">
        <f>'20'!K31</f>
        <v>39285.714285714283</v>
      </c>
      <c r="X31" s="90">
        <f>'21'!K31</f>
        <v>39285.714285714283</v>
      </c>
      <c r="Y31" s="90">
        <f>'22'!K31</f>
        <v>39285.714285714283</v>
      </c>
      <c r="Z31" s="90">
        <f>'23'!K31</f>
        <v>39285.714285714283</v>
      </c>
      <c r="AA31" s="90">
        <f>'24'!K31</f>
        <v>39285.714285714283</v>
      </c>
      <c r="AB31" s="90">
        <f>'25'!K31</f>
        <v>39285.714285714283</v>
      </c>
      <c r="AC31" s="90">
        <f>'26'!K31</f>
        <v>39000</v>
      </c>
      <c r="AD31" s="90">
        <f>'27'!K31</f>
        <v>39000</v>
      </c>
      <c r="AE31" s="90">
        <f>'28'!K31</f>
        <v>39000</v>
      </c>
      <c r="AF31" s="90">
        <f>'29'!K31</f>
        <v>39000</v>
      </c>
      <c r="AG31" s="90">
        <f>'30'!K31</f>
        <v>39000</v>
      </c>
      <c r="AH31" s="90">
        <f>'31'!K31</f>
        <v>37000</v>
      </c>
      <c r="AI31" s="90"/>
      <c r="AJ31" s="90">
        <f t="shared" si="0"/>
        <v>-1428.5714285714275</v>
      </c>
      <c r="AK31" s="238">
        <f t="shared" si="1"/>
        <v>38903.225806451628</v>
      </c>
    </row>
    <row r="32" spans="1:37" x14ac:dyDescent="0.25">
      <c r="A32" s="149"/>
      <c r="B32" s="107" t="s">
        <v>25</v>
      </c>
      <c r="C32" s="108" t="s">
        <v>5</v>
      </c>
      <c r="D32" s="90">
        <f>'1'!K32</f>
        <v>103333.33333333333</v>
      </c>
      <c r="E32" s="90">
        <f>'2'!K32</f>
        <v>96666.666666666672</v>
      </c>
      <c r="F32" s="90">
        <f>'3'!K32</f>
        <v>103333.33333333333</v>
      </c>
      <c r="G32" s="90">
        <f>'4'!K32</f>
        <v>91666.666666666672</v>
      </c>
      <c r="H32" s="90">
        <f>'5'!K32</f>
        <v>96666.666666666672</v>
      </c>
      <c r="I32" s="90">
        <f>'6'!K32</f>
        <v>91666.666666666672</v>
      </c>
      <c r="J32" s="90">
        <f>'7'!K32</f>
        <v>91666.666666666672</v>
      </c>
      <c r="K32" s="90">
        <f>'8'!K32</f>
        <v>96666.666666666672</v>
      </c>
      <c r="L32" s="90">
        <f>'9'!K32</f>
        <v>96666.666666666672</v>
      </c>
      <c r="M32" s="90">
        <f>'10'!K32</f>
        <v>96666.666666666672</v>
      </c>
      <c r="N32" s="90">
        <f>'11'!K32</f>
        <v>96666.666666666672</v>
      </c>
      <c r="O32" s="90">
        <f>'12'!K32</f>
        <v>96666.666666666672</v>
      </c>
      <c r="P32" s="90">
        <f>'13'!K32</f>
        <v>91000</v>
      </c>
      <c r="Q32" s="90">
        <f>'14'!K32</f>
        <v>91000</v>
      </c>
      <c r="R32" s="90">
        <f>'15'!K32</f>
        <v>96666.666666666672</v>
      </c>
      <c r="S32" s="90">
        <f>'16'!K32</f>
        <v>96666.666666666672</v>
      </c>
      <c r="T32" s="90">
        <f>'17'!K32</f>
        <v>96666.666666666672</v>
      </c>
      <c r="U32" s="90">
        <f>'18'!K32</f>
        <v>96666.666666666672</v>
      </c>
      <c r="V32" s="90">
        <f>'19'!K32</f>
        <v>96666.666666666672</v>
      </c>
      <c r="W32" s="90">
        <f>'20'!K32</f>
        <v>96666.666666666672</v>
      </c>
      <c r="X32" s="90">
        <f>'21'!K32</f>
        <v>96666.666666666672</v>
      </c>
      <c r="Y32" s="90">
        <f>'22'!K32</f>
        <v>96666.666666666672</v>
      </c>
      <c r="Z32" s="90">
        <f>'23'!K32</f>
        <v>96666.666666666672</v>
      </c>
      <c r="AA32" s="90">
        <f>'24'!K32</f>
        <v>96666.666666666672</v>
      </c>
      <c r="AB32" s="90">
        <f>'25'!K32</f>
        <v>96666.666666666672</v>
      </c>
      <c r="AC32" s="90">
        <f>'26'!K32</f>
        <v>96666.666666666672</v>
      </c>
      <c r="AD32" s="90">
        <f>'27'!K32</f>
        <v>96666.666666666672</v>
      </c>
      <c r="AE32" s="90">
        <f>'28'!K32</f>
        <v>96666.666666666672</v>
      </c>
      <c r="AF32" s="90">
        <f>'29'!K32</f>
        <v>96666.666666666672</v>
      </c>
      <c r="AG32" s="90">
        <f>'30'!K32</f>
        <v>96666.666666666672</v>
      </c>
      <c r="AH32" s="90">
        <f>'31'!K32</f>
        <v>96666.666666666672</v>
      </c>
      <c r="AI32" s="90"/>
      <c r="AJ32" s="90">
        <f t="shared" si="0"/>
        <v>-6666.666666666657</v>
      </c>
      <c r="AK32" s="238">
        <f t="shared" si="1"/>
        <v>96247.311827956961</v>
      </c>
    </row>
    <row r="33" spans="1:37" x14ac:dyDescent="0.25">
      <c r="A33" s="147">
        <v>7</v>
      </c>
      <c r="B33" s="116" t="s">
        <v>26</v>
      </c>
      <c r="C33" s="116"/>
      <c r="D33" s="118">
        <f>'1'!K33</f>
        <v>0</v>
      </c>
      <c r="E33" s="118">
        <f>'2'!K33</f>
        <v>0</v>
      </c>
      <c r="F33" s="118">
        <f>'3'!K33</f>
        <v>0</v>
      </c>
      <c r="G33" s="118">
        <f>'4'!K33</f>
        <v>0</v>
      </c>
      <c r="H33" s="118">
        <f>'5'!K33</f>
        <v>0</v>
      </c>
      <c r="I33" s="118">
        <f>'6'!K33</f>
        <v>0</v>
      </c>
      <c r="J33" s="118">
        <f>'7'!K33</f>
        <v>0</v>
      </c>
      <c r="K33" s="118">
        <f>'8'!K33</f>
        <v>0</v>
      </c>
      <c r="L33" s="118">
        <f>'9'!K33</f>
        <v>0</v>
      </c>
      <c r="M33" s="118">
        <f>'10'!K33</f>
        <v>0</v>
      </c>
      <c r="N33" s="118">
        <f>'11'!K33</f>
        <v>0</v>
      </c>
      <c r="O33" s="118">
        <f>'12'!K33</f>
        <v>0</v>
      </c>
      <c r="P33" s="118">
        <f>'13'!K33</f>
        <v>0</v>
      </c>
      <c r="Q33" s="118">
        <f>'14'!K33</f>
        <v>0</v>
      </c>
      <c r="R33" s="118">
        <f>'15'!K33</f>
        <v>0</v>
      </c>
      <c r="S33" s="118">
        <f>'16'!K33</f>
        <v>0</v>
      </c>
      <c r="T33" s="118">
        <f>'17'!K33</f>
        <v>0</v>
      </c>
      <c r="U33" s="118">
        <f>'18'!K33</f>
        <v>0</v>
      </c>
      <c r="V33" s="118">
        <f>'19'!K33</f>
        <v>0</v>
      </c>
      <c r="W33" s="118">
        <f>'20'!K33</f>
        <v>0</v>
      </c>
      <c r="X33" s="118">
        <f>'21'!K33</f>
        <v>0</v>
      </c>
      <c r="Y33" s="126">
        <f>'22'!K33</f>
        <v>0</v>
      </c>
      <c r="Z33" s="126">
        <f>'23'!K33</f>
        <v>0</v>
      </c>
      <c r="AA33" s="126">
        <f>'24'!K33</f>
        <v>0</v>
      </c>
      <c r="AB33" s="126">
        <f>'25'!K33</f>
        <v>0</v>
      </c>
      <c r="AC33" s="126">
        <f>'26'!K33</f>
        <v>0</v>
      </c>
      <c r="AD33" s="126">
        <f>'27'!K33</f>
        <v>0</v>
      </c>
      <c r="AE33" s="126">
        <f>'28'!K33</f>
        <v>0</v>
      </c>
      <c r="AF33" s="126">
        <f>'29'!K33</f>
        <v>0</v>
      </c>
      <c r="AG33" s="126">
        <f>'30'!K33</f>
        <v>0</v>
      </c>
      <c r="AH33" s="126">
        <f>'31'!K33</f>
        <v>0</v>
      </c>
      <c r="AI33" s="126"/>
      <c r="AJ33" s="126">
        <f t="shared" si="0"/>
        <v>0</v>
      </c>
      <c r="AK33" s="238">
        <f t="shared" si="1"/>
        <v>0</v>
      </c>
    </row>
    <row r="34" spans="1:37" x14ac:dyDescent="0.25">
      <c r="A34" s="148"/>
      <c r="B34" s="107" t="s">
        <v>27</v>
      </c>
      <c r="C34" s="108" t="s">
        <v>5</v>
      </c>
      <c r="D34" s="90">
        <f>'1'!K34</f>
        <v>27142.857142857141</v>
      </c>
      <c r="E34" s="90">
        <f>'2'!K34</f>
        <v>26714.285714285714</v>
      </c>
      <c r="F34" s="90">
        <f>'3'!K34</f>
        <v>27000</v>
      </c>
      <c r="G34" s="90">
        <f>'4'!K34</f>
        <v>27285.714285714286</v>
      </c>
      <c r="H34" s="90">
        <f>'5'!K34</f>
        <v>27785.714285714286</v>
      </c>
      <c r="I34" s="90">
        <f>'6'!K34</f>
        <v>28214.285714285714</v>
      </c>
      <c r="J34" s="90">
        <f>'7'!K34</f>
        <v>28214.285714285714</v>
      </c>
      <c r="K34" s="90">
        <f>'8'!K34</f>
        <v>28142.857142857141</v>
      </c>
      <c r="L34" s="90">
        <f>'9'!K34</f>
        <v>28714.285714285714</v>
      </c>
      <c r="M34" s="90">
        <f>'10'!K34</f>
        <v>29000</v>
      </c>
      <c r="N34" s="90">
        <f>'11'!K34</f>
        <v>29142.857142857141</v>
      </c>
      <c r="O34" s="90">
        <f>'12'!K34</f>
        <v>29428.571428571428</v>
      </c>
      <c r="P34" s="90">
        <f>'13'!K34</f>
        <v>30142.857142857141</v>
      </c>
      <c r="Q34" s="90">
        <f>'14'!K34</f>
        <v>30428.571428571428</v>
      </c>
      <c r="R34" s="90">
        <f>'15'!K34</f>
        <v>30714.285714285714</v>
      </c>
      <c r="S34" s="90">
        <f>'16'!K34</f>
        <v>31428.571428571428</v>
      </c>
      <c r="T34" s="90">
        <f>'17'!K34</f>
        <v>31142.857142857141</v>
      </c>
      <c r="U34" s="90">
        <f>'18'!K34</f>
        <v>30857.142857142859</v>
      </c>
      <c r="V34" s="90">
        <f>'19'!K34</f>
        <v>31285.714285714286</v>
      </c>
      <c r="W34" s="90">
        <f>'20'!K34</f>
        <v>31571.428571428572</v>
      </c>
      <c r="X34" s="90">
        <f>'21'!K34</f>
        <v>31714.285714285714</v>
      </c>
      <c r="Y34" s="90">
        <f>'22'!K34</f>
        <v>31357.142857142859</v>
      </c>
      <c r="Z34" s="90">
        <f>'23'!K34</f>
        <v>31214.285714285714</v>
      </c>
      <c r="AA34" s="90">
        <f>'24'!K34</f>
        <v>30642.857142857141</v>
      </c>
      <c r="AB34" s="90">
        <f>'25'!K34</f>
        <v>30571.428571428572</v>
      </c>
      <c r="AC34" s="90">
        <f>'26'!K34</f>
        <v>30428.571428571428</v>
      </c>
      <c r="AD34" s="90">
        <f>'27'!K34</f>
        <v>30428.571428571428</v>
      </c>
      <c r="AE34" s="90">
        <f>'28'!K34</f>
        <v>30571.428571428572</v>
      </c>
      <c r="AF34" s="90">
        <f>'29'!K34</f>
        <v>30214.285714285714</v>
      </c>
      <c r="AG34" s="90">
        <f>'30'!K34</f>
        <v>30214.285714285714</v>
      </c>
      <c r="AH34" s="90">
        <f>'31'!K34</f>
        <v>29928.571428571428</v>
      </c>
      <c r="AI34" s="90">
        <v>27000</v>
      </c>
      <c r="AJ34" s="90">
        <f t="shared" si="0"/>
        <v>2785.7142857142862</v>
      </c>
      <c r="AK34" s="238">
        <f t="shared" si="1"/>
        <v>29730.414746543775</v>
      </c>
    </row>
    <row r="35" spans="1:37" x14ac:dyDescent="0.25">
      <c r="A35" s="149"/>
      <c r="B35" s="107" t="s">
        <v>28</v>
      </c>
      <c r="C35" s="108" t="s">
        <v>29</v>
      </c>
      <c r="D35" s="90">
        <f>'1'!K35</f>
        <v>2457.1428571428573</v>
      </c>
      <c r="E35" s="90">
        <f>'2'!K35</f>
        <v>2385.7142857142858</v>
      </c>
      <c r="F35" s="90">
        <f>'3'!K35</f>
        <v>2457.1428571428573</v>
      </c>
      <c r="G35" s="90">
        <f>'4'!K35</f>
        <v>2385.7142857142858</v>
      </c>
      <c r="H35" s="90">
        <f>'5'!K35</f>
        <v>2385.7142857142858</v>
      </c>
      <c r="I35" s="90">
        <f>'6'!K35</f>
        <v>2385.7142857142858</v>
      </c>
      <c r="J35" s="90">
        <f>'7'!K35</f>
        <v>2385.7142857142858</v>
      </c>
      <c r="K35" s="90">
        <f>'8'!K35</f>
        <v>2385.7142857142858</v>
      </c>
      <c r="L35" s="90">
        <f>'9'!K35</f>
        <v>2385.7142857142858</v>
      </c>
      <c r="M35" s="90">
        <f>'10'!K35</f>
        <v>2485.7142857142858</v>
      </c>
      <c r="N35" s="90">
        <f>'11'!K35</f>
        <v>2414.2857142857142</v>
      </c>
      <c r="O35" s="90">
        <f>'12'!K35</f>
        <v>2414.2857142857142</v>
      </c>
      <c r="P35" s="90">
        <f>'13'!K35</f>
        <v>2414.2857142857142</v>
      </c>
      <c r="Q35" s="90">
        <f>'14'!K35</f>
        <v>2414.2857142857142</v>
      </c>
      <c r="R35" s="90">
        <f>'15'!K35</f>
        <v>2414.2857142857142</v>
      </c>
      <c r="S35" s="90">
        <f>'16'!K35</f>
        <v>2414.2857142857142</v>
      </c>
      <c r="T35" s="90">
        <f>'17'!K35</f>
        <v>2414.2857142857142</v>
      </c>
      <c r="U35" s="90">
        <f>'18'!K35</f>
        <v>2414.2857142857142</v>
      </c>
      <c r="V35" s="90">
        <f>'19'!K35</f>
        <v>2414.2857142857142</v>
      </c>
      <c r="W35" s="90">
        <f>'20'!K35</f>
        <v>2414.2857142857142</v>
      </c>
      <c r="X35" s="90">
        <f>'21'!K35</f>
        <v>2414.2857142857142</v>
      </c>
      <c r="Y35" s="90">
        <f>'22'!K35</f>
        <v>2414.2857142857142</v>
      </c>
      <c r="Z35" s="90">
        <f>'23'!K35</f>
        <v>2414.2857142857142</v>
      </c>
      <c r="AA35" s="90">
        <f>'24'!K35</f>
        <v>2414.2857142857142</v>
      </c>
      <c r="AB35" s="90">
        <f>'25'!K35</f>
        <v>2414.2857142857142</v>
      </c>
      <c r="AC35" s="90">
        <f>'26'!K35</f>
        <v>2414.2857142857142</v>
      </c>
      <c r="AD35" s="90">
        <f>'27'!K35</f>
        <v>2414.2857142857142</v>
      </c>
      <c r="AE35" s="90">
        <f>'28'!K35</f>
        <v>2414.2857142857142</v>
      </c>
      <c r="AF35" s="90">
        <f>'29'!K35</f>
        <v>2414.2857142857142</v>
      </c>
      <c r="AG35" s="90">
        <f>'30'!K35</f>
        <v>2414.2857142857142</v>
      </c>
      <c r="AH35" s="90">
        <f>'31'!K35</f>
        <v>2414.2857142857142</v>
      </c>
      <c r="AI35" s="90"/>
      <c r="AJ35" s="90">
        <f t="shared" si="0"/>
        <v>-42.857142857143117</v>
      </c>
      <c r="AK35" s="238">
        <f t="shared" si="1"/>
        <v>2412.9032258064526</v>
      </c>
    </row>
    <row r="36" spans="1:37" x14ac:dyDescent="0.25">
      <c r="A36" s="106">
        <v>8</v>
      </c>
      <c r="B36" s="116" t="s">
        <v>108</v>
      </c>
      <c r="C36" s="119"/>
      <c r="D36" s="118">
        <f>'1'!K36</f>
        <v>0</v>
      </c>
      <c r="E36" s="118">
        <f>'2'!K36</f>
        <v>0</v>
      </c>
      <c r="F36" s="118">
        <f>'3'!K36</f>
        <v>0</v>
      </c>
      <c r="G36" s="118">
        <f>'4'!K36</f>
        <v>0</v>
      </c>
      <c r="H36" s="118">
        <f>'5'!K36</f>
        <v>0</v>
      </c>
      <c r="I36" s="118">
        <f>'6'!K36</f>
        <v>0</v>
      </c>
      <c r="J36" s="118">
        <f>'7'!K36</f>
        <v>0</v>
      </c>
      <c r="K36" s="118">
        <f>'8'!K36</f>
        <v>0</v>
      </c>
      <c r="L36" s="118">
        <f>'9'!K36</f>
        <v>0</v>
      </c>
      <c r="M36" s="118">
        <f>'10'!K36</f>
        <v>0</v>
      </c>
      <c r="N36" s="118">
        <f>'11'!K36</f>
        <v>0</v>
      </c>
      <c r="O36" s="118">
        <f>'12'!K36</f>
        <v>0</v>
      </c>
      <c r="P36" s="118">
        <f>'13'!K36</f>
        <v>0</v>
      </c>
      <c r="Q36" s="118">
        <f>'14'!K36</f>
        <v>0</v>
      </c>
      <c r="R36" s="118">
        <f>'15'!K36</f>
        <v>0</v>
      </c>
      <c r="S36" s="118">
        <f>'16'!K36</f>
        <v>0</v>
      </c>
      <c r="T36" s="118">
        <f>'17'!K36</f>
        <v>0</v>
      </c>
      <c r="U36" s="118">
        <f>'18'!K36</f>
        <v>0</v>
      </c>
      <c r="V36" s="118">
        <f>'19'!K36</f>
        <v>0</v>
      </c>
      <c r="W36" s="118">
        <f>'20'!K36</f>
        <v>0</v>
      </c>
      <c r="X36" s="118">
        <f>'21'!K36</f>
        <v>0</v>
      </c>
      <c r="Y36" s="126">
        <f>'22'!K36</f>
        <v>0</v>
      </c>
      <c r="Z36" s="126">
        <f>'23'!K36</f>
        <v>0</v>
      </c>
      <c r="AA36" s="126">
        <f>'24'!K36</f>
        <v>0</v>
      </c>
      <c r="AB36" s="126">
        <f>'25'!K36</f>
        <v>0</v>
      </c>
      <c r="AC36" s="126">
        <f>'26'!K36</f>
        <v>0</v>
      </c>
      <c r="AD36" s="126">
        <f>'27'!K36</f>
        <v>0</v>
      </c>
      <c r="AE36" s="126">
        <f>'28'!K36</f>
        <v>0</v>
      </c>
      <c r="AF36" s="126">
        <f>'29'!K36</f>
        <v>0</v>
      </c>
      <c r="AG36" s="126">
        <f>'30'!K36</f>
        <v>0</v>
      </c>
      <c r="AH36" s="126">
        <f>'31'!K36</f>
        <v>0</v>
      </c>
      <c r="AI36" s="126"/>
      <c r="AJ36" s="126">
        <f t="shared" si="0"/>
        <v>0</v>
      </c>
      <c r="AK36" s="238">
        <f t="shared" si="1"/>
        <v>0</v>
      </c>
    </row>
    <row r="37" spans="1:37" x14ac:dyDescent="0.25">
      <c r="A37" s="106"/>
      <c r="B37" s="107" t="s">
        <v>109</v>
      </c>
      <c r="C37" s="108" t="s">
        <v>5</v>
      </c>
      <c r="D37" s="90">
        <f>'1'!K37</f>
        <v>11142.857142857143</v>
      </c>
      <c r="E37" s="90">
        <f>'2'!K37</f>
        <v>11142.857142857143</v>
      </c>
      <c r="F37" s="90">
        <f>'3'!K37</f>
        <v>11142.857142857143</v>
      </c>
      <c r="G37" s="90">
        <f>'4'!K37</f>
        <v>11142.857142857143</v>
      </c>
      <c r="H37" s="90">
        <f>'5'!K37</f>
        <v>11142.857142857143</v>
      </c>
      <c r="I37" s="90">
        <f>'6'!K37</f>
        <v>10714.285714285714</v>
      </c>
      <c r="J37" s="90">
        <f>'7'!K37</f>
        <v>9857.1428571428569</v>
      </c>
      <c r="K37" s="90">
        <f>'8'!K37</f>
        <v>10714.285714285714</v>
      </c>
      <c r="L37" s="90">
        <f>'9'!K37</f>
        <v>10714.285714285714</v>
      </c>
      <c r="M37" s="90">
        <f>'10'!K37</f>
        <v>10714.285714285714</v>
      </c>
      <c r="N37" s="90">
        <f>'11'!K37</f>
        <v>10714.285714285714</v>
      </c>
      <c r="O37" s="90">
        <f>'12'!K37</f>
        <v>10714.285714285714</v>
      </c>
      <c r="P37" s="90">
        <f>'13'!K37</f>
        <v>10714.285714285714</v>
      </c>
      <c r="Q37" s="90">
        <f>'14'!K37</f>
        <v>10285.714285714286</v>
      </c>
      <c r="R37" s="90">
        <f>'15'!K37</f>
        <v>10714.285714285714</v>
      </c>
      <c r="S37" s="90">
        <f>'16'!K37</f>
        <v>10714.285714285714</v>
      </c>
      <c r="T37" s="90">
        <f>'17'!K37</f>
        <v>10714.285714285714</v>
      </c>
      <c r="U37" s="90">
        <f>'18'!K37</f>
        <v>10714.285714285714</v>
      </c>
      <c r="V37" s="90">
        <f>'19'!K37</f>
        <v>10714.285714285714</v>
      </c>
      <c r="W37" s="90">
        <f>'20'!K37</f>
        <v>10714.285714285714</v>
      </c>
      <c r="X37" s="90">
        <f>'21'!K37</f>
        <v>10714.285714285714</v>
      </c>
      <c r="Y37" s="90">
        <f>'22'!K37</f>
        <v>10714.285714285714</v>
      </c>
      <c r="Z37" s="90">
        <f>'23'!K37</f>
        <v>10714.285714285714</v>
      </c>
      <c r="AA37" s="90">
        <f>'24'!K37</f>
        <v>10714.285714285714</v>
      </c>
      <c r="AB37" s="90">
        <f>'25'!K37</f>
        <v>10714.285714285714</v>
      </c>
      <c r="AC37" s="90">
        <f>'26'!K37</f>
        <v>10714.285714285714</v>
      </c>
      <c r="AD37" s="90">
        <f>'27'!K37</f>
        <v>9857.1428571428569</v>
      </c>
      <c r="AE37" s="90">
        <f>'28'!K37</f>
        <v>9857.1428571428569</v>
      </c>
      <c r="AF37" s="90">
        <f>'29'!K37</f>
        <v>9857.1428571428569</v>
      </c>
      <c r="AG37" s="90">
        <f>'30'!K37</f>
        <v>9857.1428571428569</v>
      </c>
      <c r="AH37" s="90">
        <f>'31'!K37</f>
        <v>9857.1428571428569</v>
      </c>
      <c r="AI37" s="90"/>
      <c r="AJ37" s="90">
        <f t="shared" si="0"/>
        <v>-1285.7142857142862</v>
      </c>
      <c r="AK37" s="238">
        <f t="shared" si="1"/>
        <v>10603.686635944698</v>
      </c>
    </row>
    <row r="38" spans="1:37" x14ac:dyDescent="0.25">
      <c r="A38" s="106"/>
      <c r="B38" s="107" t="s">
        <v>110</v>
      </c>
      <c r="C38" s="108" t="s">
        <v>5</v>
      </c>
      <c r="D38" s="90">
        <f>'1'!K38</f>
        <v>12400</v>
      </c>
      <c r="E38" s="90">
        <f>'2'!K38</f>
        <v>12600</v>
      </c>
      <c r="F38" s="90">
        <f>'3'!K38</f>
        <v>12800</v>
      </c>
      <c r="G38" s="90">
        <f>'4'!K38</f>
        <v>12600</v>
      </c>
      <c r="H38" s="90">
        <f>'5'!K38</f>
        <v>12600</v>
      </c>
      <c r="I38" s="90">
        <f>'6'!K38</f>
        <v>12600</v>
      </c>
      <c r="J38" s="90">
        <f>'7'!K38</f>
        <v>12600</v>
      </c>
      <c r="K38" s="90">
        <f>'8'!K38</f>
        <v>12600</v>
      </c>
      <c r="L38" s="90">
        <f>'9'!K38</f>
        <v>12600</v>
      </c>
      <c r="M38" s="90">
        <f>'10'!K38</f>
        <v>12600</v>
      </c>
      <c r="N38" s="90">
        <f>'11'!K38</f>
        <v>12600</v>
      </c>
      <c r="O38" s="90">
        <f>'12'!K38</f>
        <v>12600</v>
      </c>
      <c r="P38" s="90">
        <f>'13'!K38</f>
        <v>12600</v>
      </c>
      <c r="Q38" s="90">
        <f>'14'!K38</f>
        <v>12600</v>
      </c>
      <c r="R38" s="90">
        <f>'15'!K38</f>
        <v>12600</v>
      </c>
      <c r="S38" s="90">
        <f>'16'!K38</f>
        <v>12600</v>
      </c>
      <c r="T38" s="90">
        <f>'17'!K38</f>
        <v>12600</v>
      </c>
      <c r="U38" s="90">
        <f>'18'!K38</f>
        <v>12600</v>
      </c>
      <c r="V38" s="90">
        <f>'19'!K38</f>
        <v>12600</v>
      </c>
      <c r="W38" s="90">
        <f>'20'!K38</f>
        <v>12600</v>
      </c>
      <c r="X38" s="90">
        <f>'21'!K38</f>
        <v>12600</v>
      </c>
      <c r="Y38" s="90">
        <f>'22'!K38</f>
        <v>12600</v>
      </c>
      <c r="Z38" s="90">
        <f>'23'!K38</f>
        <v>12600</v>
      </c>
      <c r="AA38" s="90">
        <f>'24'!K38</f>
        <v>12600</v>
      </c>
      <c r="AB38" s="90">
        <f>'25'!K38</f>
        <v>12600</v>
      </c>
      <c r="AC38" s="90">
        <f>'26'!K38</f>
        <v>12600</v>
      </c>
      <c r="AD38" s="90">
        <f>'27'!K38</f>
        <v>12600</v>
      </c>
      <c r="AE38" s="90">
        <f>'28'!K38</f>
        <v>12600</v>
      </c>
      <c r="AF38" s="90">
        <f>'29'!K38</f>
        <v>12600</v>
      </c>
      <c r="AG38" s="90">
        <f>'30'!K38</f>
        <v>12600</v>
      </c>
      <c r="AH38" s="90">
        <f>'31'!K38</f>
        <v>12600</v>
      </c>
      <c r="AI38" s="90"/>
      <c r="AJ38" s="90">
        <f t="shared" si="0"/>
        <v>200</v>
      </c>
      <c r="AK38" s="238">
        <f t="shared" si="1"/>
        <v>12600</v>
      </c>
    </row>
    <row r="39" spans="1:37" x14ac:dyDescent="0.25">
      <c r="A39" s="106">
        <v>9</v>
      </c>
      <c r="B39" s="116" t="s">
        <v>111</v>
      </c>
      <c r="C39" s="119"/>
      <c r="D39" s="118">
        <f>'1'!K39</f>
        <v>0</v>
      </c>
      <c r="E39" s="118">
        <f>'2'!K39</f>
        <v>0</v>
      </c>
      <c r="F39" s="118">
        <f>'3'!K39</f>
        <v>0</v>
      </c>
      <c r="G39" s="118">
        <f>'4'!K39</f>
        <v>0</v>
      </c>
      <c r="H39" s="118">
        <f>'5'!K39</f>
        <v>0</v>
      </c>
      <c r="I39" s="118">
        <f>'6'!K39</f>
        <v>0</v>
      </c>
      <c r="J39" s="118">
        <f>'7'!K39</f>
        <v>0</v>
      </c>
      <c r="K39" s="118">
        <f>'8'!K39</f>
        <v>0</v>
      </c>
      <c r="L39" s="118">
        <f>'9'!K39</f>
        <v>0</v>
      </c>
      <c r="M39" s="118">
        <f>'10'!K39</f>
        <v>0</v>
      </c>
      <c r="N39" s="118">
        <f>'11'!K39</f>
        <v>0</v>
      </c>
      <c r="O39" s="118">
        <f>'12'!K39</f>
        <v>0</v>
      </c>
      <c r="P39" s="118">
        <f>'13'!K39</f>
        <v>0</v>
      </c>
      <c r="Q39" s="118">
        <f>'14'!K39</f>
        <v>0</v>
      </c>
      <c r="R39" s="118">
        <f>'15'!K39</f>
        <v>0</v>
      </c>
      <c r="S39" s="118">
        <f>'16'!K39</f>
        <v>0</v>
      </c>
      <c r="T39" s="118">
        <f>'17'!K39</f>
        <v>0</v>
      </c>
      <c r="U39" s="118">
        <f>'18'!K39</f>
        <v>0</v>
      </c>
      <c r="V39" s="118">
        <f>'19'!K39</f>
        <v>0</v>
      </c>
      <c r="W39" s="118">
        <f>'20'!K39</f>
        <v>0</v>
      </c>
      <c r="X39" s="118">
        <f>'21'!K39</f>
        <v>0</v>
      </c>
      <c r="Y39" s="126">
        <f>'22'!K39</f>
        <v>0</v>
      </c>
      <c r="Z39" s="126">
        <f>'23'!K39</f>
        <v>0</v>
      </c>
      <c r="AA39" s="126">
        <f>'24'!K39</f>
        <v>0</v>
      </c>
      <c r="AB39" s="126">
        <f>'25'!K39</f>
        <v>0</v>
      </c>
      <c r="AC39" s="126">
        <f>'26'!K39</f>
        <v>0</v>
      </c>
      <c r="AD39" s="126">
        <f>'27'!K39</f>
        <v>0</v>
      </c>
      <c r="AE39" s="126">
        <f>'28'!K39</f>
        <v>0</v>
      </c>
      <c r="AF39" s="126">
        <f>'29'!K39</f>
        <v>0</v>
      </c>
      <c r="AG39" s="126">
        <f>'30'!K39</f>
        <v>0</v>
      </c>
      <c r="AH39" s="126">
        <f>'31'!K39</f>
        <v>0</v>
      </c>
      <c r="AI39" s="126"/>
      <c r="AJ39" s="126">
        <f t="shared" si="0"/>
        <v>0</v>
      </c>
      <c r="AK39" s="238">
        <f t="shared" si="1"/>
        <v>0</v>
      </c>
    </row>
    <row r="40" spans="1:37" x14ac:dyDescent="0.25">
      <c r="A40" s="106"/>
      <c r="B40" s="107" t="s">
        <v>112</v>
      </c>
      <c r="C40" s="108" t="s">
        <v>5</v>
      </c>
      <c r="D40" s="90">
        <f>'1'!K40</f>
        <v>15600</v>
      </c>
      <c r="E40" s="90">
        <f>'2'!K40</f>
        <v>15600</v>
      </c>
      <c r="F40" s="90">
        <f>'3'!K40</f>
        <v>15600</v>
      </c>
      <c r="G40" s="90">
        <f>'4'!K40</f>
        <v>15600</v>
      </c>
      <c r="H40" s="90">
        <f>'5'!K40</f>
        <v>15600</v>
      </c>
      <c r="I40" s="90">
        <f>'6'!K40</f>
        <v>15600</v>
      </c>
      <c r="J40" s="90">
        <f>'7'!K40</f>
        <v>15600</v>
      </c>
      <c r="K40" s="90">
        <f>'8'!K40</f>
        <v>15600</v>
      </c>
      <c r="L40" s="90">
        <f>'9'!K40</f>
        <v>15600</v>
      </c>
      <c r="M40" s="90">
        <f>'10'!K40</f>
        <v>15600</v>
      </c>
      <c r="N40" s="90">
        <f>'11'!K40</f>
        <v>15600</v>
      </c>
      <c r="O40" s="90">
        <f>'12'!K40</f>
        <v>15600</v>
      </c>
      <c r="P40" s="90">
        <f>'13'!K40</f>
        <v>15600</v>
      </c>
      <c r="Q40" s="90">
        <f>'14'!K40</f>
        <v>15600</v>
      </c>
      <c r="R40" s="90">
        <f>'15'!K40</f>
        <v>15600</v>
      </c>
      <c r="S40" s="90">
        <f>'16'!K40</f>
        <v>15600</v>
      </c>
      <c r="T40" s="90">
        <f>'17'!K40</f>
        <v>15600</v>
      </c>
      <c r="U40" s="90">
        <f>'18'!K40</f>
        <v>15600</v>
      </c>
      <c r="V40" s="90">
        <f>'19'!K40</f>
        <v>15600</v>
      </c>
      <c r="W40" s="90">
        <f>'20'!K40</f>
        <v>15600</v>
      </c>
      <c r="X40" s="90">
        <f>'21'!K40</f>
        <v>15600</v>
      </c>
      <c r="Y40" s="90">
        <f>'22'!K40</f>
        <v>15600</v>
      </c>
      <c r="Z40" s="90">
        <f>'23'!K40</f>
        <v>15600</v>
      </c>
      <c r="AA40" s="90">
        <f>'24'!K40</f>
        <v>15600</v>
      </c>
      <c r="AB40" s="90">
        <f>'25'!K40</f>
        <v>15600</v>
      </c>
      <c r="AC40" s="90">
        <f>'26'!K40</f>
        <v>15600</v>
      </c>
      <c r="AD40" s="90">
        <f>'27'!K40</f>
        <v>15600</v>
      </c>
      <c r="AE40" s="90">
        <f>'28'!K40</f>
        <v>15600</v>
      </c>
      <c r="AF40" s="90">
        <f>'29'!K40</f>
        <v>15600</v>
      </c>
      <c r="AG40" s="90">
        <f>'30'!K40</f>
        <v>15600</v>
      </c>
      <c r="AH40" s="90">
        <f>'31'!K40</f>
        <v>15600</v>
      </c>
      <c r="AI40" s="90"/>
      <c r="AJ40" s="90">
        <f t="shared" si="0"/>
        <v>0</v>
      </c>
      <c r="AK40" s="238">
        <f t="shared" si="1"/>
        <v>15600</v>
      </c>
    </row>
    <row r="41" spans="1:37" x14ac:dyDescent="0.25">
      <c r="A41" s="106"/>
      <c r="B41" s="107" t="s">
        <v>113</v>
      </c>
      <c r="C41" s="108" t="s">
        <v>5</v>
      </c>
      <c r="D41" s="90">
        <f>'1'!K41</f>
        <v>6833.333333333333</v>
      </c>
      <c r="E41" s="90">
        <f>'2'!K41</f>
        <v>6833.333333333333</v>
      </c>
      <c r="F41" s="90">
        <f>'3'!K41</f>
        <v>6833.333333333333</v>
      </c>
      <c r="G41" s="90">
        <f>'4'!K41</f>
        <v>6833.333333333333</v>
      </c>
      <c r="H41" s="90">
        <f>'5'!K41</f>
        <v>6833.333333333333</v>
      </c>
      <c r="I41" s="90">
        <f>'6'!K41</f>
        <v>6833.333333333333</v>
      </c>
      <c r="J41" s="90">
        <f>'7'!K41</f>
        <v>6833.333333333333</v>
      </c>
      <c r="K41" s="90">
        <f>'8'!K41</f>
        <v>6833.333333333333</v>
      </c>
      <c r="L41" s="90">
        <f>'9'!K41</f>
        <v>6833.333333333333</v>
      </c>
      <c r="M41" s="90">
        <f>'10'!K41</f>
        <v>6833.333333333333</v>
      </c>
      <c r="N41" s="90">
        <f>'11'!K41</f>
        <v>6833.333333333333</v>
      </c>
      <c r="O41" s="90">
        <f>'12'!K41</f>
        <v>6833.333333333333</v>
      </c>
      <c r="P41" s="90">
        <f>'13'!K41</f>
        <v>6833.333333333333</v>
      </c>
      <c r="Q41" s="90">
        <f>'14'!K41</f>
        <v>6833.333333333333</v>
      </c>
      <c r="R41" s="90">
        <f>'15'!K41</f>
        <v>6833.333333333333</v>
      </c>
      <c r="S41" s="90">
        <f>'16'!K41</f>
        <v>6833.333333333333</v>
      </c>
      <c r="T41" s="90">
        <f>'17'!K41</f>
        <v>6833.333333333333</v>
      </c>
      <c r="U41" s="90">
        <f>'18'!K41</f>
        <v>6833.333333333333</v>
      </c>
      <c r="V41" s="90">
        <f>'19'!K41</f>
        <v>6833.333333333333</v>
      </c>
      <c r="W41" s="90">
        <f>'20'!K41</f>
        <v>6833.333333333333</v>
      </c>
      <c r="X41" s="90">
        <f>'21'!K41</f>
        <v>6833.333333333333</v>
      </c>
      <c r="Y41" s="90">
        <f>'22'!K41</f>
        <v>6833.333333333333</v>
      </c>
      <c r="Z41" s="90">
        <f>'23'!K41</f>
        <v>6833.333333333333</v>
      </c>
      <c r="AA41" s="90">
        <f>'24'!K41</f>
        <v>6833.333333333333</v>
      </c>
      <c r="AB41" s="90">
        <f>'25'!K41</f>
        <v>6833.333333333333</v>
      </c>
      <c r="AC41" s="90">
        <f>'26'!K41</f>
        <v>6833.333333333333</v>
      </c>
      <c r="AD41" s="90">
        <f>'27'!K41</f>
        <v>6833.333333333333</v>
      </c>
      <c r="AE41" s="90">
        <f>'28'!K41</f>
        <v>6833.333333333333</v>
      </c>
      <c r="AF41" s="90">
        <f>'29'!K41</f>
        <v>6833.333333333333</v>
      </c>
      <c r="AG41" s="90">
        <f>'30'!K41</f>
        <v>6833.333333333333</v>
      </c>
      <c r="AH41" s="90">
        <f>'31'!K41</f>
        <v>6833.333333333333</v>
      </c>
      <c r="AI41" s="90"/>
      <c r="AJ41" s="90">
        <f t="shared" si="0"/>
        <v>0</v>
      </c>
      <c r="AK41" s="238">
        <f t="shared" si="1"/>
        <v>6833.3333333333358</v>
      </c>
    </row>
    <row r="42" spans="1:37" x14ac:dyDescent="0.25">
      <c r="A42" s="106"/>
      <c r="B42" s="107" t="s">
        <v>114</v>
      </c>
      <c r="C42" s="108" t="s">
        <v>5</v>
      </c>
      <c r="D42" s="90">
        <f>'1'!K42</f>
        <v>2000</v>
      </c>
      <c r="E42" s="90">
        <f>'2'!K42</f>
        <v>2000</v>
      </c>
      <c r="F42" s="90">
        <f>'3'!K42</f>
        <v>2000</v>
      </c>
      <c r="G42" s="90">
        <f>'4'!K42</f>
        <v>2000</v>
      </c>
      <c r="H42" s="90">
        <f>'5'!K42</f>
        <v>2000</v>
      </c>
      <c r="I42" s="90">
        <f>'6'!K42</f>
        <v>2000</v>
      </c>
      <c r="J42" s="90">
        <f>'7'!K42</f>
        <v>2000</v>
      </c>
      <c r="K42" s="90">
        <f>'8'!K42</f>
        <v>2000</v>
      </c>
      <c r="L42" s="90">
        <f>'9'!K42</f>
        <v>2000</v>
      </c>
      <c r="M42" s="90">
        <f>'10'!K42</f>
        <v>2000</v>
      </c>
      <c r="N42" s="90">
        <f>'11'!K42</f>
        <v>2000</v>
      </c>
      <c r="O42" s="90">
        <f>'12'!K42</f>
        <v>2000</v>
      </c>
      <c r="P42" s="90">
        <f>'13'!K42</f>
        <v>2000</v>
      </c>
      <c r="Q42" s="90">
        <f>'14'!K42</f>
        <v>2000</v>
      </c>
      <c r="R42" s="90">
        <f>'15'!K42</f>
        <v>2000</v>
      </c>
      <c r="S42" s="90">
        <f>'16'!K42</f>
        <v>2000</v>
      </c>
      <c r="T42" s="90">
        <f>'17'!K42</f>
        <v>2000</v>
      </c>
      <c r="U42" s="90">
        <f>'18'!K42</f>
        <v>2000</v>
      </c>
      <c r="V42" s="90">
        <f>'19'!K42</f>
        <v>2000</v>
      </c>
      <c r="W42" s="90">
        <f>'20'!K42</f>
        <v>2000</v>
      </c>
      <c r="X42" s="90">
        <f>'21'!K42</f>
        <v>2000</v>
      </c>
      <c r="Y42" s="90">
        <f>'22'!K42</f>
        <v>2000</v>
      </c>
      <c r="Z42" s="90">
        <f>'23'!K42</f>
        <v>2000</v>
      </c>
      <c r="AA42" s="90">
        <f>'24'!K42</f>
        <v>2000</v>
      </c>
      <c r="AB42" s="90">
        <f>'25'!K42</f>
        <v>2000</v>
      </c>
      <c r="AC42" s="90">
        <f>'26'!K42</f>
        <v>2000</v>
      </c>
      <c r="AD42" s="90">
        <f>'27'!K42</f>
        <v>2000</v>
      </c>
      <c r="AE42" s="90">
        <f>'28'!K42</f>
        <v>2000</v>
      </c>
      <c r="AF42" s="90">
        <f>'29'!K42</f>
        <v>2000</v>
      </c>
      <c r="AG42" s="90">
        <f>'30'!K42</f>
        <v>2000</v>
      </c>
      <c r="AH42" s="90">
        <f>'31'!K42</f>
        <v>2000</v>
      </c>
      <c r="AI42" s="90"/>
      <c r="AJ42" s="90">
        <f t="shared" si="0"/>
        <v>0</v>
      </c>
      <c r="AK42" s="238">
        <f t="shared" si="1"/>
        <v>2000</v>
      </c>
    </row>
    <row r="43" spans="1:37" x14ac:dyDescent="0.25">
      <c r="A43" s="147">
        <v>10</v>
      </c>
      <c r="B43" s="116" t="s">
        <v>30</v>
      </c>
      <c r="C43" s="116"/>
      <c r="D43" s="118">
        <f>'1'!K43</f>
        <v>0</v>
      </c>
      <c r="E43" s="118">
        <f>'2'!K43</f>
        <v>0</v>
      </c>
      <c r="F43" s="118">
        <f>'3'!K43</f>
        <v>0</v>
      </c>
      <c r="G43" s="118">
        <f>'4'!K43</f>
        <v>0</v>
      </c>
      <c r="H43" s="118">
        <f>'5'!K43</f>
        <v>0</v>
      </c>
      <c r="I43" s="118">
        <f>'6'!K43</f>
        <v>0</v>
      </c>
      <c r="J43" s="118">
        <f>'7'!K43</f>
        <v>0</v>
      </c>
      <c r="K43" s="118">
        <f>'8'!K43</f>
        <v>0</v>
      </c>
      <c r="L43" s="118">
        <f>'9'!K43</f>
        <v>0</v>
      </c>
      <c r="M43" s="118">
        <f>'10'!K43</f>
        <v>0</v>
      </c>
      <c r="N43" s="118">
        <f>'11'!K43</f>
        <v>0</v>
      </c>
      <c r="O43" s="118">
        <f>'12'!K43</f>
        <v>0</v>
      </c>
      <c r="P43" s="118">
        <f>'13'!K43</f>
        <v>0</v>
      </c>
      <c r="Q43" s="118">
        <f>'14'!K43</f>
        <v>0</v>
      </c>
      <c r="R43" s="118">
        <f>'15'!K43</f>
        <v>0</v>
      </c>
      <c r="S43" s="118">
        <f>'16'!K43</f>
        <v>0</v>
      </c>
      <c r="T43" s="118">
        <f>'17'!K43</f>
        <v>0</v>
      </c>
      <c r="U43" s="118">
        <f>'18'!K43</f>
        <v>0</v>
      </c>
      <c r="V43" s="118">
        <f>'19'!K43</f>
        <v>0</v>
      </c>
      <c r="W43" s="118">
        <f>'20'!K43</f>
        <v>0</v>
      </c>
      <c r="X43" s="118">
        <f>'21'!K43</f>
        <v>0</v>
      </c>
      <c r="Y43" s="126">
        <f>'22'!K43</f>
        <v>0</v>
      </c>
      <c r="Z43" s="126">
        <f>'23'!K43</f>
        <v>0</v>
      </c>
      <c r="AA43" s="126">
        <f>'24'!K43</f>
        <v>0</v>
      </c>
      <c r="AB43" s="126">
        <f>'25'!K43</f>
        <v>0</v>
      </c>
      <c r="AC43" s="126">
        <f>'26'!K43</f>
        <v>0</v>
      </c>
      <c r="AD43" s="126">
        <f>'27'!K43</f>
        <v>0</v>
      </c>
      <c r="AE43" s="126">
        <f>'28'!K43</f>
        <v>0</v>
      </c>
      <c r="AF43" s="126">
        <f>'29'!K43</f>
        <v>0</v>
      </c>
      <c r="AG43" s="126">
        <f>'30'!K43</f>
        <v>0</v>
      </c>
      <c r="AH43" s="126">
        <f>'31'!K43</f>
        <v>0</v>
      </c>
      <c r="AI43" s="126"/>
      <c r="AJ43" s="126">
        <f t="shared" si="0"/>
        <v>0</v>
      </c>
      <c r="AK43" s="238">
        <f t="shared" si="1"/>
        <v>0</v>
      </c>
    </row>
    <row r="44" spans="1:37" x14ac:dyDescent="0.25">
      <c r="A44" s="148"/>
      <c r="B44" s="107" t="s">
        <v>31</v>
      </c>
      <c r="C44" s="108" t="s">
        <v>116</v>
      </c>
      <c r="D44" s="90">
        <f>'1'!K44</f>
        <v>12333.333333333334</v>
      </c>
      <c r="E44" s="90">
        <f>'2'!K44</f>
        <v>12333.333333333334</v>
      </c>
      <c r="F44" s="90">
        <f>'3'!K44</f>
        <v>12333.333333333334</v>
      </c>
      <c r="G44" s="90">
        <f>'4'!K44</f>
        <v>12416.666666666666</v>
      </c>
      <c r="H44" s="90">
        <f>'5'!K44</f>
        <v>12333.333333333334</v>
      </c>
      <c r="I44" s="90">
        <f>'6'!K44</f>
        <v>12416.666666666666</v>
      </c>
      <c r="J44" s="90">
        <f>'7'!K44</f>
        <v>12416.666666666666</v>
      </c>
      <c r="K44" s="90">
        <f>'8'!K44</f>
        <v>12333.333333333334</v>
      </c>
      <c r="L44" s="90">
        <f>'9'!K44</f>
        <v>12333.333333333334</v>
      </c>
      <c r="M44" s="90">
        <f>'10'!K44</f>
        <v>12333.333333333334</v>
      </c>
      <c r="N44" s="90">
        <f>'11'!K44</f>
        <v>12333.333333333334</v>
      </c>
      <c r="O44" s="90">
        <f>'12'!K44</f>
        <v>12333.333333333334</v>
      </c>
      <c r="P44" s="90">
        <f>'13'!K44</f>
        <v>12333.333333333334</v>
      </c>
      <c r="Q44" s="90">
        <f>'14'!K44</f>
        <v>12333.333333333334</v>
      </c>
      <c r="R44" s="90">
        <f>'15'!K44</f>
        <v>12333.333333333334</v>
      </c>
      <c r="S44" s="90">
        <f>'16'!K44</f>
        <v>12416.666666666666</v>
      </c>
      <c r="T44" s="90">
        <f>'17'!K44</f>
        <v>12416.666666666666</v>
      </c>
      <c r="U44" s="90">
        <f>'18'!K44</f>
        <v>12416.666666666666</v>
      </c>
      <c r="V44" s="90">
        <f>'19'!K44</f>
        <v>12333.333333333334</v>
      </c>
      <c r="W44" s="90">
        <f>'20'!K44</f>
        <v>12333.333333333334</v>
      </c>
      <c r="X44" s="90">
        <f>'21'!K44</f>
        <v>12333.333333333334</v>
      </c>
      <c r="Y44" s="90">
        <f>'22'!K44</f>
        <v>12333.333333333334</v>
      </c>
      <c r="Z44" s="90">
        <f>'23'!K44</f>
        <v>12333.333333333334</v>
      </c>
      <c r="AA44" s="90">
        <f>'24'!K44</f>
        <v>12333.333333333334</v>
      </c>
      <c r="AB44" s="90">
        <f>'25'!K44</f>
        <v>12333.333333333334</v>
      </c>
      <c r="AC44" s="90">
        <f>'26'!K44</f>
        <v>12333.333333333334</v>
      </c>
      <c r="AD44" s="90">
        <f>'27'!K44</f>
        <v>12416.666666666666</v>
      </c>
      <c r="AE44" s="90">
        <f>'28'!K44</f>
        <v>12416.666666666666</v>
      </c>
      <c r="AF44" s="90">
        <f>'29'!K44</f>
        <v>12333.333333333334</v>
      </c>
      <c r="AG44" s="90">
        <f>'30'!K44</f>
        <v>12333.333333333334</v>
      </c>
      <c r="AH44" s="90">
        <f>'31'!K44</f>
        <v>12333.333333333334</v>
      </c>
      <c r="AI44" s="90"/>
      <c r="AJ44" s="90">
        <f t="shared" si="0"/>
        <v>0</v>
      </c>
      <c r="AK44" s="238">
        <f t="shared" si="1"/>
        <v>12354.838709677417</v>
      </c>
    </row>
    <row r="45" spans="1:37" x14ac:dyDescent="0.25">
      <c r="A45" s="149"/>
      <c r="B45" s="107" t="s">
        <v>115</v>
      </c>
      <c r="C45" s="108" t="s">
        <v>117</v>
      </c>
      <c r="D45" s="90">
        <f>'1'!K45</f>
        <v>12500</v>
      </c>
      <c r="E45" s="90">
        <f>'2'!K45</f>
        <v>12500</v>
      </c>
      <c r="F45" s="90">
        <f>'3'!K45</f>
        <v>12500</v>
      </c>
      <c r="G45" s="90">
        <f>'4'!K45</f>
        <v>12583.333333333334</v>
      </c>
      <c r="H45" s="90">
        <f>'5'!K45</f>
        <v>12500</v>
      </c>
      <c r="I45" s="90">
        <f>'6'!K45</f>
        <v>12583.333333333334</v>
      </c>
      <c r="J45" s="90">
        <f>'7'!K45</f>
        <v>12583.333333333334</v>
      </c>
      <c r="K45" s="90">
        <f>'8'!K45</f>
        <v>12500</v>
      </c>
      <c r="L45" s="90">
        <f>'9'!K45</f>
        <v>12500</v>
      </c>
      <c r="M45" s="90">
        <f>'10'!K45</f>
        <v>12500</v>
      </c>
      <c r="N45" s="90">
        <f>'11'!K45</f>
        <v>12500</v>
      </c>
      <c r="O45" s="90">
        <f>'12'!K45</f>
        <v>12500</v>
      </c>
      <c r="P45" s="90">
        <f>'13'!K45</f>
        <v>12500</v>
      </c>
      <c r="Q45" s="90">
        <f>'14'!K45</f>
        <v>12500</v>
      </c>
      <c r="R45" s="90">
        <f>'15'!K45</f>
        <v>12500</v>
      </c>
      <c r="S45" s="90">
        <f>'16'!K45</f>
        <v>12583.333333333334</v>
      </c>
      <c r="T45" s="90">
        <f>'17'!K45</f>
        <v>12583.333333333334</v>
      </c>
      <c r="U45" s="90">
        <f>'18'!K45</f>
        <v>12583.333333333334</v>
      </c>
      <c r="V45" s="90">
        <f>'19'!K45</f>
        <v>12500</v>
      </c>
      <c r="W45" s="90">
        <f>'20'!K45</f>
        <v>12500</v>
      </c>
      <c r="X45" s="90">
        <f>'21'!K45</f>
        <v>12500</v>
      </c>
      <c r="Y45" s="90">
        <f>'22'!K45</f>
        <v>12500</v>
      </c>
      <c r="Z45" s="90">
        <f>'23'!K45</f>
        <v>12500</v>
      </c>
      <c r="AA45" s="90">
        <f>'24'!K45</f>
        <v>12500</v>
      </c>
      <c r="AB45" s="90">
        <f>'25'!K45</f>
        <v>12500</v>
      </c>
      <c r="AC45" s="90">
        <f>'26'!K45</f>
        <v>12500</v>
      </c>
      <c r="AD45" s="90">
        <f>'27'!K45</f>
        <v>12583.333333333334</v>
      </c>
      <c r="AE45" s="90">
        <f>'28'!K45</f>
        <v>12583.333333333334</v>
      </c>
      <c r="AF45" s="90">
        <f>'29'!K45</f>
        <v>12500</v>
      </c>
      <c r="AG45" s="90">
        <f>'30'!K45</f>
        <v>12500</v>
      </c>
      <c r="AH45" s="90">
        <f>'31'!K45</f>
        <v>12500</v>
      </c>
      <c r="AI45" s="90"/>
      <c r="AJ45" s="90">
        <f t="shared" si="0"/>
        <v>0</v>
      </c>
      <c r="AK45" s="238">
        <f t="shared" si="1"/>
        <v>12521.505376344085</v>
      </c>
    </row>
    <row r="46" spans="1:37" x14ac:dyDescent="0.25">
      <c r="A46" s="147">
        <v>11</v>
      </c>
      <c r="B46" s="116" t="s">
        <v>33</v>
      </c>
      <c r="C46" s="116"/>
      <c r="D46" s="118">
        <f>'1'!K46</f>
        <v>0</v>
      </c>
      <c r="E46" s="118">
        <f>'2'!K46</f>
        <v>0</v>
      </c>
      <c r="F46" s="118">
        <f>'3'!K46</f>
        <v>0</v>
      </c>
      <c r="G46" s="118">
        <f>'4'!K46</f>
        <v>0</v>
      </c>
      <c r="H46" s="118">
        <f>'5'!K46</f>
        <v>0</v>
      </c>
      <c r="I46" s="118">
        <f>'6'!K46</f>
        <v>0</v>
      </c>
      <c r="J46" s="118">
        <f>'7'!K46</f>
        <v>0</v>
      </c>
      <c r="K46" s="118">
        <f>'8'!K46</f>
        <v>0</v>
      </c>
      <c r="L46" s="118">
        <f>'9'!K46</f>
        <v>0</v>
      </c>
      <c r="M46" s="118">
        <f>'10'!K46</f>
        <v>0</v>
      </c>
      <c r="N46" s="118">
        <f>'11'!K46</f>
        <v>0</v>
      </c>
      <c r="O46" s="118">
        <f>'12'!K46</f>
        <v>0</v>
      </c>
      <c r="P46" s="118">
        <f>'13'!K46</f>
        <v>0</v>
      </c>
      <c r="Q46" s="118">
        <f>'14'!K46</f>
        <v>0</v>
      </c>
      <c r="R46" s="118">
        <f>'15'!K46</f>
        <v>0</v>
      </c>
      <c r="S46" s="118">
        <f>'16'!K46</f>
        <v>0</v>
      </c>
      <c r="T46" s="118">
        <f>'17'!K46</f>
        <v>0</v>
      </c>
      <c r="U46" s="118">
        <f>'18'!K46</f>
        <v>0</v>
      </c>
      <c r="V46" s="118">
        <f>'19'!K46</f>
        <v>0</v>
      </c>
      <c r="W46" s="118">
        <f>'20'!K46</f>
        <v>0</v>
      </c>
      <c r="X46" s="118">
        <f>'21'!K46</f>
        <v>0</v>
      </c>
      <c r="Y46" s="126">
        <f>'22'!K46</f>
        <v>0</v>
      </c>
      <c r="Z46" s="126">
        <f>'23'!K46</f>
        <v>0</v>
      </c>
      <c r="AA46" s="126">
        <f>'24'!K46</f>
        <v>0</v>
      </c>
      <c r="AB46" s="126">
        <f>'25'!K46</f>
        <v>0</v>
      </c>
      <c r="AC46" s="126">
        <f>'26'!K46</f>
        <v>0</v>
      </c>
      <c r="AD46" s="126">
        <f>'27'!K46</f>
        <v>0</v>
      </c>
      <c r="AE46" s="126">
        <f>'28'!K46</f>
        <v>0</v>
      </c>
      <c r="AF46" s="126">
        <f>'29'!K46</f>
        <v>0</v>
      </c>
      <c r="AG46" s="126">
        <f>'30'!K46</f>
        <v>0</v>
      </c>
      <c r="AH46" s="126">
        <f>'31'!K46</f>
        <v>0</v>
      </c>
      <c r="AI46" s="126"/>
      <c r="AJ46" s="126">
        <f t="shared" si="0"/>
        <v>0</v>
      </c>
      <c r="AK46" s="238">
        <f t="shared" si="1"/>
        <v>0</v>
      </c>
    </row>
    <row r="47" spans="1:37" x14ac:dyDescent="0.25">
      <c r="A47" s="148"/>
      <c r="B47" s="107" t="s">
        <v>34</v>
      </c>
      <c r="C47" s="108" t="s">
        <v>35</v>
      </c>
      <c r="D47" s="90">
        <f>'1'!K47</f>
        <v>17500</v>
      </c>
      <c r="E47" s="90">
        <f>'2'!K47</f>
        <v>17500</v>
      </c>
      <c r="F47" s="90">
        <f>'3'!K47</f>
        <v>17500</v>
      </c>
      <c r="G47" s="90">
        <f>'4'!K47</f>
        <v>17500</v>
      </c>
      <c r="H47" s="90">
        <f>'5'!K47</f>
        <v>17500</v>
      </c>
      <c r="I47" s="90">
        <f>'6'!K47</f>
        <v>17500</v>
      </c>
      <c r="J47" s="90">
        <f>'7'!K47</f>
        <v>17500</v>
      </c>
      <c r="K47" s="90">
        <f>'8'!K47</f>
        <v>17500</v>
      </c>
      <c r="L47" s="90">
        <f>'9'!K47</f>
        <v>17500</v>
      </c>
      <c r="M47" s="90">
        <f>'10'!K47</f>
        <v>17500</v>
      </c>
      <c r="N47" s="90">
        <f>'11'!K47</f>
        <v>17500</v>
      </c>
      <c r="O47" s="90">
        <f>'12'!K47</f>
        <v>17500</v>
      </c>
      <c r="P47" s="90">
        <f>'13'!K47</f>
        <v>17500</v>
      </c>
      <c r="Q47" s="90">
        <f>'14'!K47</f>
        <v>17500</v>
      </c>
      <c r="R47" s="90">
        <f>'15'!K47</f>
        <v>17500</v>
      </c>
      <c r="S47" s="90">
        <f>'16'!K47</f>
        <v>17500</v>
      </c>
      <c r="T47" s="90">
        <f>'17'!K47</f>
        <v>17500</v>
      </c>
      <c r="U47" s="90">
        <f>'18'!K47</f>
        <v>17500</v>
      </c>
      <c r="V47" s="90">
        <f>'19'!K47</f>
        <v>17500</v>
      </c>
      <c r="W47" s="90">
        <f>'20'!K47</f>
        <v>17500</v>
      </c>
      <c r="X47" s="90">
        <f>'21'!K47</f>
        <v>17500</v>
      </c>
      <c r="Y47" s="90">
        <f>'22'!K47</f>
        <v>17500</v>
      </c>
      <c r="Z47" s="90">
        <f>'23'!K47</f>
        <v>17500</v>
      </c>
      <c r="AA47" s="90">
        <f>'24'!K47</f>
        <v>17500</v>
      </c>
      <c r="AB47" s="90">
        <f>'25'!K47</f>
        <v>17500</v>
      </c>
      <c r="AC47" s="90">
        <f>'26'!K47</f>
        <v>17500</v>
      </c>
      <c r="AD47" s="90">
        <f>'27'!K47</f>
        <v>17500</v>
      </c>
      <c r="AE47" s="90">
        <f>'28'!K47</f>
        <v>17500</v>
      </c>
      <c r="AF47" s="90">
        <f>'29'!K47</f>
        <v>17500</v>
      </c>
      <c r="AG47" s="90">
        <f>'30'!K47</f>
        <v>17500</v>
      </c>
      <c r="AH47" s="90">
        <f>'31'!K47</f>
        <v>17500</v>
      </c>
      <c r="AI47" s="90"/>
      <c r="AJ47" s="90">
        <f t="shared" si="0"/>
        <v>0</v>
      </c>
      <c r="AK47" s="238">
        <f t="shared" si="1"/>
        <v>17500</v>
      </c>
    </row>
    <row r="48" spans="1:37" x14ac:dyDescent="0.25">
      <c r="A48" s="148"/>
      <c r="B48" s="107" t="s">
        <v>36</v>
      </c>
      <c r="C48" s="108" t="s">
        <v>37</v>
      </c>
      <c r="D48" s="90">
        <f>'1'!K48</f>
        <v>2000</v>
      </c>
      <c r="E48" s="90">
        <f>'2'!K48</f>
        <v>2000</v>
      </c>
      <c r="F48" s="90">
        <f>'3'!K48</f>
        <v>2000</v>
      </c>
      <c r="G48" s="90">
        <f>'4'!K48</f>
        <v>2000</v>
      </c>
      <c r="H48" s="90">
        <f>'5'!K48</f>
        <v>2000</v>
      </c>
      <c r="I48" s="90">
        <f>'6'!K48</f>
        <v>2000</v>
      </c>
      <c r="J48" s="90">
        <f>'7'!K48</f>
        <v>2000</v>
      </c>
      <c r="K48" s="90">
        <f>'8'!K48</f>
        <v>2000</v>
      </c>
      <c r="L48" s="90">
        <f>'9'!K48</f>
        <v>2000</v>
      </c>
      <c r="M48" s="90">
        <f>'10'!K48</f>
        <v>2000</v>
      </c>
      <c r="N48" s="90">
        <f>'11'!K48</f>
        <v>2000</v>
      </c>
      <c r="O48" s="90">
        <f>'12'!K48</f>
        <v>2000</v>
      </c>
      <c r="P48" s="90">
        <f>'13'!K48</f>
        <v>2000</v>
      </c>
      <c r="Q48" s="90">
        <f>'14'!K48</f>
        <v>2000</v>
      </c>
      <c r="R48" s="90">
        <f>'15'!K48</f>
        <v>2000</v>
      </c>
      <c r="S48" s="90">
        <f>'16'!K48</f>
        <v>2000</v>
      </c>
      <c r="T48" s="90">
        <f>'17'!K48</f>
        <v>2000</v>
      </c>
      <c r="U48" s="90">
        <f>'18'!K48</f>
        <v>2000</v>
      </c>
      <c r="V48" s="90">
        <f>'19'!K48</f>
        <v>2000</v>
      </c>
      <c r="W48" s="90">
        <f>'20'!K48</f>
        <v>2000</v>
      </c>
      <c r="X48" s="90">
        <f>'21'!K48</f>
        <v>2000</v>
      </c>
      <c r="Y48" s="90">
        <f>'22'!K48</f>
        <v>2000</v>
      </c>
      <c r="Z48" s="90">
        <f>'23'!K48</f>
        <v>2000</v>
      </c>
      <c r="AA48" s="90">
        <f>'24'!K48</f>
        <v>2000</v>
      </c>
      <c r="AB48" s="90">
        <f>'25'!K48</f>
        <v>2000</v>
      </c>
      <c r="AC48" s="90">
        <f>'26'!K48</f>
        <v>2000</v>
      </c>
      <c r="AD48" s="90">
        <f>'27'!K48</f>
        <v>2000</v>
      </c>
      <c r="AE48" s="90">
        <f>'28'!K48</f>
        <v>2000</v>
      </c>
      <c r="AF48" s="90">
        <f>'29'!K48</f>
        <v>2000</v>
      </c>
      <c r="AG48" s="90">
        <f>'30'!K48</f>
        <v>2000</v>
      </c>
      <c r="AH48" s="90">
        <f>'31'!K48</f>
        <v>2000</v>
      </c>
      <c r="AI48" s="90"/>
      <c r="AJ48" s="90">
        <f t="shared" si="0"/>
        <v>0</v>
      </c>
      <c r="AK48" s="238">
        <f t="shared" si="1"/>
        <v>2000</v>
      </c>
    </row>
    <row r="49" spans="1:37" x14ac:dyDescent="0.25">
      <c r="A49" s="106">
        <v>12</v>
      </c>
      <c r="B49" s="120" t="s">
        <v>38</v>
      </c>
      <c r="C49" s="119"/>
      <c r="D49" s="118">
        <f>'1'!K49</f>
        <v>0</v>
      </c>
      <c r="E49" s="118">
        <f>'2'!K49</f>
        <v>0</v>
      </c>
      <c r="F49" s="118">
        <f>'3'!K49</f>
        <v>0</v>
      </c>
      <c r="G49" s="118">
        <f>'4'!K49</f>
        <v>0</v>
      </c>
      <c r="H49" s="118">
        <f>'5'!K49</f>
        <v>0</v>
      </c>
      <c r="I49" s="118">
        <f>'6'!K49</f>
        <v>0</v>
      </c>
      <c r="J49" s="118">
        <f>'7'!K49</f>
        <v>0</v>
      </c>
      <c r="K49" s="118">
        <f>'8'!K49</f>
        <v>0</v>
      </c>
      <c r="L49" s="118">
        <f>'9'!K49</f>
        <v>0</v>
      </c>
      <c r="M49" s="118">
        <f>'10'!K49</f>
        <v>0</v>
      </c>
      <c r="N49" s="118">
        <f>'11'!K49</f>
        <v>0</v>
      </c>
      <c r="O49" s="118">
        <f>'12'!K49</f>
        <v>0</v>
      </c>
      <c r="P49" s="118">
        <f>'13'!K49</f>
        <v>0</v>
      </c>
      <c r="Q49" s="118">
        <f>'14'!K49</f>
        <v>0</v>
      </c>
      <c r="R49" s="118">
        <f>'15'!K49</f>
        <v>0</v>
      </c>
      <c r="S49" s="118">
        <f>'16'!K49</f>
        <v>0</v>
      </c>
      <c r="T49" s="118">
        <f>'17'!K49</f>
        <v>0</v>
      </c>
      <c r="U49" s="118">
        <f>'18'!K49</f>
        <v>0</v>
      </c>
      <c r="V49" s="118">
        <f>'19'!K49</f>
        <v>0</v>
      </c>
      <c r="W49" s="118">
        <f>'20'!K49</f>
        <v>0</v>
      </c>
      <c r="X49" s="118">
        <f>'21'!K49</f>
        <v>0</v>
      </c>
      <c r="Y49" s="126">
        <f>'22'!K49</f>
        <v>0</v>
      </c>
      <c r="Z49" s="126">
        <f>'23'!K49</f>
        <v>0</v>
      </c>
      <c r="AA49" s="126">
        <f>'24'!K49</f>
        <v>0</v>
      </c>
      <c r="AB49" s="126">
        <f>'25'!K49</f>
        <v>0</v>
      </c>
      <c r="AC49" s="126">
        <f>'26'!K49</f>
        <v>0</v>
      </c>
      <c r="AD49" s="126">
        <f>'27'!K49</f>
        <v>0</v>
      </c>
      <c r="AE49" s="126">
        <f>'28'!K49</f>
        <v>0</v>
      </c>
      <c r="AF49" s="126">
        <f>'29'!K49</f>
        <v>0</v>
      </c>
      <c r="AG49" s="126">
        <f>'30'!K49</f>
        <v>0</v>
      </c>
      <c r="AH49" s="126">
        <f>'31'!K49</f>
        <v>0</v>
      </c>
      <c r="AI49" s="126"/>
      <c r="AJ49" s="126">
        <f t="shared" si="0"/>
        <v>0</v>
      </c>
      <c r="AK49" s="238">
        <f t="shared" si="1"/>
        <v>0</v>
      </c>
    </row>
    <row r="50" spans="1:37" x14ac:dyDescent="0.25">
      <c r="A50" s="106"/>
      <c r="B50" s="107" t="s">
        <v>39</v>
      </c>
      <c r="C50" s="108" t="s">
        <v>5</v>
      </c>
      <c r="D50" s="90">
        <f>'1'!K50</f>
        <v>9142.8571428571431</v>
      </c>
      <c r="E50" s="90">
        <f>'2'!K50</f>
        <v>9142.8571428571431</v>
      </c>
      <c r="F50" s="90">
        <f>'3'!K50</f>
        <v>9142.8571428571431</v>
      </c>
      <c r="G50" s="90">
        <f>'4'!K50</f>
        <v>9142.8571428571431</v>
      </c>
      <c r="H50" s="90">
        <f>'5'!K50</f>
        <v>9142.8571428571431</v>
      </c>
      <c r="I50" s="90">
        <f>'6'!K50</f>
        <v>9142.8571428571431</v>
      </c>
      <c r="J50" s="90">
        <f>'7'!K50</f>
        <v>9285.7142857142862</v>
      </c>
      <c r="K50" s="90">
        <f>'8'!K50</f>
        <v>9285.7142857142862</v>
      </c>
      <c r="L50" s="90">
        <f>'9'!K50</f>
        <v>9285.7142857142862</v>
      </c>
      <c r="M50" s="90">
        <f>'10'!K50</f>
        <v>9285.7142857142862</v>
      </c>
      <c r="N50" s="90">
        <f>'11'!K50</f>
        <v>9285.7142857142862</v>
      </c>
      <c r="O50" s="90">
        <f>'12'!K50</f>
        <v>9285.7142857142862</v>
      </c>
      <c r="P50" s="90">
        <f>'13'!K50</f>
        <v>9285.7142857142862</v>
      </c>
      <c r="Q50" s="90">
        <f>'14'!K50</f>
        <v>9285.7142857142862</v>
      </c>
      <c r="R50" s="90">
        <f>'15'!K50</f>
        <v>9285.7142857142862</v>
      </c>
      <c r="S50" s="90">
        <f>'16'!K50</f>
        <v>9285.7142857142862</v>
      </c>
      <c r="T50" s="90">
        <f>'17'!K50</f>
        <v>9285.7142857142862</v>
      </c>
      <c r="U50" s="90">
        <f>'18'!K50</f>
        <v>9285.7142857142862</v>
      </c>
      <c r="V50" s="90">
        <f>'19'!K50</f>
        <v>9285.7142857142862</v>
      </c>
      <c r="W50" s="90">
        <f>'20'!K50</f>
        <v>9285.7142857142862</v>
      </c>
      <c r="X50" s="90">
        <f>'21'!K50</f>
        <v>9285.7142857142862</v>
      </c>
      <c r="Y50" s="90">
        <f>'22'!K50</f>
        <v>9285.7142857142862</v>
      </c>
      <c r="Z50" s="90">
        <f>'23'!K50</f>
        <v>9285.7142857142862</v>
      </c>
      <c r="AA50" s="90">
        <f>'24'!K50</f>
        <v>9285.7142857142862</v>
      </c>
      <c r="AB50" s="90">
        <f>'25'!K50</f>
        <v>9285.7142857142862</v>
      </c>
      <c r="AC50" s="90">
        <f>'26'!K50</f>
        <v>9285.7142857142862</v>
      </c>
      <c r="AD50" s="90">
        <f>'27'!K50</f>
        <v>9285.7142857142862</v>
      </c>
      <c r="AE50" s="90">
        <f>'28'!K50</f>
        <v>9285.7142857142862</v>
      </c>
      <c r="AF50" s="90">
        <f>'29'!K50</f>
        <v>9285.7142857142862</v>
      </c>
      <c r="AG50" s="90">
        <f>'30'!K50</f>
        <v>9285.7142857142862</v>
      </c>
      <c r="AH50" s="90">
        <f>'31'!K50</f>
        <v>9285.7142857142862</v>
      </c>
      <c r="AI50" s="90"/>
      <c r="AJ50" s="90">
        <f t="shared" si="0"/>
        <v>142.85714285714312</v>
      </c>
      <c r="AK50" s="238">
        <f t="shared" si="1"/>
        <v>9258.0645161290322</v>
      </c>
    </row>
    <row r="51" spans="1:37" x14ac:dyDescent="0.25">
      <c r="A51" s="109"/>
      <c r="B51" s="107" t="s">
        <v>40</v>
      </c>
      <c r="C51" s="108" t="s">
        <v>5</v>
      </c>
      <c r="D51" s="90">
        <f>'1'!K51</f>
        <v>8333.3333333333339</v>
      </c>
      <c r="E51" s="90">
        <f>'2'!K51</f>
        <v>8333.3333333333339</v>
      </c>
      <c r="F51" s="90">
        <f>'3'!K51</f>
        <v>8333.3333333333339</v>
      </c>
      <c r="G51" s="90">
        <f>'4'!K51</f>
        <v>8333.3333333333339</v>
      </c>
      <c r="H51" s="90">
        <f>'5'!K51</f>
        <v>8333.3333333333339</v>
      </c>
      <c r="I51" s="90">
        <f>'6'!K51</f>
        <v>8333.3333333333339</v>
      </c>
      <c r="J51" s="90">
        <f>'7'!K51</f>
        <v>8166.666666666667</v>
      </c>
      <c r="K51" s="90">
        <f>'8'!K51</f>
        <v>8166.666666666667</v>
      </c>
      <c r="L51" s="90">
        <f>'9'!K51</f>
        <v>8166.666666666667</v>
      </c>
      <c r="M51" s="90">
        <f>'10'!K51</f>
        <v>8166.666666666667</v>
      </c>
      <c r="N51" s="90">
        <f>'11'!K51</f>
        <v>8166.666666666667</v>
      </c>
      <c r="O51" s="90">
        <f>'12'!K51</f>
        <v>8166.666666666667</v>
      </c>
      <c r="P51" s="90">
        <f>'13'!K51</f>
        <v>8166.666666666667</v>
      </c>
      <c r="Q51" s="90">
        <f>'14'!K51</f>
        <v>8166.666666666667</v>
      </c>
      <c r="R51" s="90">
        <f>'15'!K51</f>
        <v>8166.666666666667</v>
      </c>
      <c r="S51" s="90">
        <f>'16'!K51</f>
        <v>8166.666666666667</v>
      </c>
      <c r="T51" s="90">
        <f>'17'!K51</f>
        <v>8166.666666666667</v>
      </c>
      <c r="U51" s="90">
        <f>'18'!K51</f>
        <v>8166.666666666667</v>
      </c>
      <c r="V51" s="90">
        <f>'19'!K51</f>
        <v>8166.666666666667</v>
      </c>
      <c r="W51" s="90">
        <f>'20'!K51</f>
        <v>8166.666666666667</v>
      </c>
      <c r="X51" s="90">
        <f>'21'!K51</f>
        <v>8166.666666666667</v>
      </c>
      <c r="Y51" s="90">
        <f>'22'!K51</f>
        <v>8166.666666666667</v>
      </c>
      <c r="Z51" s="90">
        <f>'23'!K51</f>
        <v>8166.666666666667</v>
      </c>
      <c r="AA51" s="90">
        <f>'24'!K51</f>
        <v>8166.666666666667</v>
      </c>
      <c r="AB51" s="90">
        <f>'25'!K51</f>
        <v>8166.666666666667</v>
      </c>
      <c r="AC51" s="90">
        <f>'26'!K51</f>
        <v>8166.666666666667</v>
      </c>
      <c r="AD51" s="90">
        <f>'27'!K51</f>
        <v>8166.666666666667</v>
      </c>
      <c r="AE51" s="90">
        <f>'28'!K51</f>
        <v>8166.666666666667</v>
      </c>
      <c r="AF51" s="90">
        <f>'29'!K51</f>
        <v>8166.666666666667</v>
      </c>
      <c r="AG51" s="90">
        <f>'30'!K51</f>
        <v>8333.3333333333339</v>
      </c>
      <c r="AH51" s="90">
        <f>'31'!K51</f>
        <v>8333.3333333333339</v>
      </c>
      <c r="AI51" s="90"/>
      <c r="AJ51" s="90">
        <f t="shared" si="0"/>
        <v>0</v>
      </c>
      <c r="AK51" s="238">
        <f t="shared" si="1"/>
        <v>8209.6774193548372</v>
      </c>
    </row>
    <row r="52" spans="1:37" x14ac:dyDescent="0.25">
      <c r="A52" s="147">
        <v>13</v>
      </c>
      <c r="B52" s="116" t="s">
        <v>41</v>
      </c>
      <c r="C52" s="116"/>
      <c r="D52" s="118">
        <f>'1'!K52</f>
        <v>0</v>
      </c>
      <c r="E52" s="118">
        <f>'2'!K52</f>
        <v>0</v>
      </c>
      <c r="F52" s="118">
        <f>'3'!K52</f>
        <v>0</v>
      </c>
      <c r="G52" s="118">
        <f>'4'!K52</f>
        <v>0</v>
      </c>
      <c r="H52" s="118">
        <f>'5'!K52</f>
        <v>0</v>
      </c>
      <c r="I52" s="118">
        <f>'6'!K52</f>
        <v>0</v>
      </c>
      <c r="J52" s="118">
        <f>'7'!K52</f>
        <v>0</v>
      </c>
      <c r="K52" s="118">
        <f>'8'!K52</f>
        <v>0</v>
      </c>
      <c r="L52" s="118">
        <f>'9'!K52</f>
        <v>0</v>
      </c>
      <c r="M52" s="118">
        <f>'10'!K52</f>
        <v>0</v>
      </c>
      <c r="N52" s="118">
        <f>'11'!K52</f>
        <v>0</v>
      </c>
      <c r="O52" s="118">
        <f>'12'!K52</f>
        <v>0</v>
      </c>
      <c r="P52" s="118">
        <f>'13'!K52</f>
        <v>0</v>
      </c>
      <c r="Q52" s="118">
        <f>'14'!K52</f>
        <v>0</v>
      </c>
      <c r="R52" s="118">
        <f>'15'!K52</f>
        <v>0</v>
      </c>
      <c r="S52" s="118">
        <f>'16'!K52</f>
        <v>0</v>
      </c>
      <c r="T52" s="118">
        <f>'17'!K52</f>
        <v>0</v>
      </c>
      <c r="U52" s="118">
        <f>'18'!K52</f>
        <v>0</v>
      </c>
      <c r="V52" s="118">
        <f>'19'!K52</f>
        <v>0</v>
      </c>
      <c r="W52" s="118">
        <f>'20'!K52</f>
        <v>0</v>
      </c>
      <c r="X52" s="118">
        <f>'21'!K52</f>
        <v>0</v>
      </c>
      <c r="Y52" s="126">
        <f>'22'!K52</f>
        <v>0</v>
      </c>
      <c r="Z52" s="126">
        <f>'23'!K52</f>
        <v>0</v>
      </c>
      <c r="AA52" s="126">
        <f>'24'!K52</f>
        <v>0</v>
      </c>
      <c r="AB52" s="126">
        <f>'25'!K52</f>
        <v>0</v>
      </c>
      <c r="AC52" s="126">
        <f>'26'!K52</f>
        <v>0</v>
      </c>
      <c r="AD52" s="126">
        <f>'27'!K52</f>
        <v>0</v>
      </c>
      <c r="AE52" s="126">
        <f>'28'!K52</f>
        <v>0</v>
      </c>
      <c r="AF52" s="126">
        <f>'29'!K52</f>
        <v>0</v>
      </c>
      <c r="AG52" s="126">
        <f>'30'!K52</f>
        <v>0</v>
      </c>
      <c r="AH52" s="126">
        <f>'31'!K52</f>
        <v>0</v>
      </c>
      <c r="AI52" s="126"/>
      <c r="AJ52" s="126">
        <f t="shared" si="0"/>
        <v>0</v>
      </c>
      <c r="AK52" s="238">
        <f t="shared" si="1"/>
        <v>0</v>
      </c>
    </row>
    <row r="53" spans="1:37" x14ac:dyDescent="0.25">
      <c r="A53" s="149"/>
      <c r="B53" s="107" t="s">
        <v>42</v>
      </c>
      <c r="C53" s="108" t="s">
        <v>43</v>
      </c>
      <c r="D53" s="90">
        <f>'1'!K53</f>
        <v>4000</v>
      </c>
      <c r="E53" s="90">
        <f>'2'!K53</f>
        <v>4000</v>
      </c>
      <c r="F53" s="90">
        <f>'3'!K53</f>
        <v>4000</v>
      </c>
      <c r="G53" s="90">
        <f>'4'!K53</f>
        <v>4000</v>
      </c>
      <c r="H53" s="90">
        <f>'5'!K53</f>
        <v>4000</v>
      </c>
      <c r="I53" s="90">
        <f>'6'!K53</f>
        <v>4000</v>
      </c>
      <c r="J53" s="90">
        <f>'7'!K53</f>
        <v>4000</v>
      </c>
      <c r="K53" s="90">
        <f>'8'!K53</f>
        <v>4000</v>
      </c>
      <c r="L53" s="90">
        <f>'9'!K53</f>
        <v>4000</v>
      </c>
      <c r="M53" s="90">
        <f>'10'!K53</f>
        <v>4000</v>
      </c>
      <c r="N53" s="90">
        <f>'11'!K53</f>
        <v>4000</v>
      </c>
      <c r="O53" s="90">
        <f>'12'!K53</f>
        <v>4000</v>
      </c>
      <c r="P53" s="90">
        <f>'13'!K53</f>
        <v>4000</v>
      </c>
      <c r="Q53" s="90">
        <f>'14'!K53</f>
        <v>4000</v>
      </c>
      <c r="R53" s="90">
        <f>'15'!K53</f>
        <v>4000</v>
      </c>
      <c r="S53" s="90">
        <f>'16'!K53</f>
        <v>4000</v>
      </c>
      <c r="T53" s="90">
        <f>'17'!K53</f>
        <v>4071.4285714285716</v>
      </c>
      <c r="U53" s="90">
        <f>'18'!K53</f>
        <v>4071.4285714285716</v>
      </c>
      <c r="V53" s="90">
        <f>'19'!K53</f>
        <v>4000</v>
      </c>
      <c r="W53" s="90">
        <f>'20'!K53</f>
        <v>4000</v>
      </c>
      <c r="X53" s="90">
        <f>'21'!K53</f>
        <v>4000</v>
      </c>
      <c r="Y53" s="90">
        <f>'22'!K53</f>
        <v>4000</v>
      </c>
      <c r="Z53" s="90">
        <f>'23'!K53</f>
        <v>4000</v>
      </c>
      <c r="AA53" s="90">
        <f>'24'!K53</f>
        <v>4000</v>
      </c>
      <c r="AB53" s="90">
        <f>'25'!K53</f>
        <v>4000</v>
      </c>
      <c r="AC53" s="90">
        <f>'26'!K53</f>
        <v>4000</v>
      </c>
      <c r="AD53" s="90">
        <f>'27'!K53</f>
        <v>4071.4285714285716</v>
      </c>
      <c r="AE53" s="90">
        <f>'28'!K53</f>
        <v>4071.4285714285716</v>
      </c>
      <c r="AF53" s="90">
        <f>'29'!K53</f>
        <v>4000</v>
      </c>
      <c r="AG53" s="90">
        <f>'30'!K53</f>
        <v>4000</v>
      </c>
      <c r="AH53" s="90">
        <f>'31'!K53</f>
        <v>4000</v>
      </c>
      <c r="AI53" s="90"/>
      <c r="AJ53" s="90">
        <f t="shared" si="0"/>
        <v>0</v>
      </c>
      <c r="AK53" s="238">
        <f t="shared" si="1"/>
        <v>4009.2165898617504</v>
      </c>
    </row>
    <row r="54" spans="1:37" x14ac:dyDescent="0.25">
      <c r="A54" s="147">
        <v>14</v>
      </c>
      <c r="B54" s="116" t="s">
        <v>44</v>
      </c>
      <c r="C54" s="119"/>
      <c r="D54" s="118">
        <f>'1'!K54</f>
        <v>0</v>
      </c>
      <c r="E54" s="118">
        <f>'2'!K54</f>
        <v>0</v>
      </c>
      <c r="F54" s="118">
        <f>'3'!K54</f>
        <v>0</v>
      </c>
      <c r="G54" s="118">
        <f>'4'!K54</f>
        <v>0</v>
      </c>
      <c r="H54" s="118">
        <f>'5'!K54</f>
        <v>0</v>
      </c>
      <c r="I54" s="118">
        <f>'6'!K54</f>
        <v>0</v>
      </c>
      <c r="J54" s="118">
        <f>'7'!K54</f>
        <v>0</v>
      </c>
      <c r="K54" s="118">
        <f>'8'!K54</f>
        <v>0</v>
      </c>
      <c r="L54" s="118">
        <f>'9'!K54</f>
        <v>0</v>
      </c>
      <c r="M54" s="118">
        <f>'10'!K54</f>
        <v>0</v>
      </c>
      <c r="N54" s="118">
        <f>'11'!K54</f>
        <v>0</v>
      </c>
      <c r="O54" s="118">
        <f>'12'!K54</f>
        <v>0</v>
      </c>
      <c r="P54" s="118">
        <f>'13'!K54</f>
        <v>0</v>
      </c>
      <c r="Q54" s="118">
        <f>'14'!K54</f>
        <v>0</v>
      </c>
      <c r="R54" s="118">
        <f>'15'!K54</f>
        <v>0</v>
      </c>
      <c r="S54" s="118">
        <f>'16'!K54</f>
        <v>0</v>
      </c>
      <c r="T54" s="118">
        <f>'17'!K54</f>
        <v>0</v>
      </c>
      <c r="U54" s="118">
        <f>'18'!K54</f>
        <v>0</v>
      </c>
      <c r="V54" s="118">
        <f>'19'!K54</f>
        <v>0</v>
      </c>
      <c r="W54" s="118">
        <f>'20'!K54</f>
        <v>0</v>
      </c>
      <c r="X54" s="118">
        <f>'21'!K54</f>
        <v>0</v>
      </c>
      <c r="Y54" s="126">
        <f>'22'!K54</f>
        <v>0</v>
      </c>
      <c r="Z54" s="126">
        <f>'23'!K54</f>
        <v>0</v>
      </c>
      <c r="AA54" s="126">
        <f>'24'!K54</f>
        <v>0</v>
      </c>
      <c r="AB54" s="126">
        <f>'25'!K54</f>
        <v>0</v>
      </c>
      <c r="AC54" s="126">
        <f>'26'!K54</f>
        <v>0</v>
      </c>
      <c r="AD54" s="126">
        <f>'27'!K54</f>
        <v>0</v>
      </c>
      <c r="AE54" s="126">
        <f>'28'!K54</f>
        <v>0</v>
      </c>
      <c r="AF54" s="126">
        <f>'29'!K54</f>
        <v>0</v>
      </c>
      <c r="AG54" s="126">
        <f>'30'!K54</f>
        <v>0</v>
      </c>
      <c r="AH54" s="126">
        <f>'31'!K54</f>
        <v>0</v>
      </c>
      <c r="AI54" s="126"/>
      <c r="AJ54" s="126">
        <f t="shared" si="0"/>
        <v>0</v>
      </c>
      <c r="AK54" s="238">
        <f t="shared" si="1"/>
        <v>0</v>
      </c>
    </row>
    <row r="55" spans="1:37" x14ac:dyDescent="0.25">
      <c r="A55" s="149"/>
      <c r="B55" s="107" t="s">
        <v>45</v>
      </c>
      <c r="C55" s="108" t="s">
        <v>5</v>
      </c>
      <c r="D55" s="90">
        <f>'1'!K55</f>
        <v>11285.714285714286</v>
      </c>
      <c r="E55" s="90">
        <f>'2'!K55</f>
        <v>11357.142857142857</v>
      </c>
      <c r="F55" s="90">
        <f>'3'!K55</f>
        <v>11285.714285714286</v>
      </c>
      <c r="G55" s="90">
        <f>'4'!K55</f>
        <v>11285.714285714286</v>
      </c>
      <c r="H55" s="90">
        <f>'5'!K55</f>
        <v>11357.142857142857</v>
      </c>
      <c r="I55" s="90">
        <f>'6'!K55</f>
        <v>11357.142857142857</v>
      </c>
      <c r="J55" s="90">
        <f>'7'!K55</f>
        <v>11357.142857142857</v>
      </c>
      <c r="K55" s="90">
        <f>'8'!K55</f>
        <v>11357.142857142857</v>
      </c>
      <c r="L55" s="90">
        <f>'9'!K55</f>
        <v>11357.142857142857</v>
      </c>
      <c r="M55" s="90">
        <f>'10'!K55</f>
        <v>11285.714285714286</v>
      </c>
      <c r="N55" s="90">
        <f>'11'!K55</f>
        <v>11357.142857142857</v>
      </c>
      <c r="O55" s="90">
        <f>'12'!K55</f>
        <v>11357.142857142857</v>
      </c>
      <c r="P55" s="90">
        <f>'13'!K55</f>
        <v>11357.142857142857</v>
      </c>
      <c r="Q55" s="90">
        <f>'14'!K55</f>
        <v>11357.142857142857</v>
      </c>
      <c r="R55" s="90">
        <f>'15'!K55</f>
        <v>11357.142857142857</v>
      </c>
      <c r="S55" s="90">
        <f>'16'!K55</f>
        <v>11357.142857142857</v>
      </c>
      <c r="T55" s="90">
        <f>'17'!K55</f>
        <v>11285.714285714286</v>
      </c>
      <c r="U55" s="90">
        <f>'18'!K55</f>
        <v>11285.714285714286</v>
      </c>
      <c r="V55" s="90">
        <f>'19'!K55</f>
        <v>11428.571428571429</v>
      </c>
      <c r="W55" s="90">
        <f>'20'!K55</f>
        <v>11357.142857142857</v>
      </c>
      <c r="X55" s="90">
        <f>'21'!K55</f>
        <v>11357.142857142857</v>
      </c>
      <c r="Y55" s="90">
        <f>'22'!K55</f>
        <v>11357.142857142857</v>
      </c>
      <c r="Z55" s="90">
        <f>'23'!K55</f>
        <v>11357.142857142857</v>
      </c>
      <c r="AA55" s="90">
        <f>'24'!K55</f>
        <v>11357.142857142857</v>
      </c>
      <c r="AB55" s="90">
        <f>'25'!K55</f>
        <v>11357.142857142857</v>
      </c>
      <c r="AC55" s="90">
        <f>'26'!K55</f>
        <v>11357.142857142857</v>
      </c>
      <c r="AD55" s="90">
        <f>'27'!K55</f>
        <v>11142.857142857143</v>
      </c>
      <c r="AE55" s="90">
        <f>'28'!K55</f>
        <v>11142.857142857143</v>
      </c>
      <c r="AF55" s="90">
        <f>'29'!K55</f>
        <v>11214.285714285714</v>
      </c>
      <c r="AG55" s="90">
        <f>'30'!K55</f>
        <v>11214.285714285714</v>
      </c>
      <c r="AH55" s="90">
        <f>'31'!K55</f>
        <v>11214.285714285714</v>
      </c>
      <c r="AI55" s="90"/>
      <c r="AJ55" s="90">
        <f t="shared" si="0"/>
        <v>-71.428571428572468</v>
      </c>
      <c r="AK55" s="238">
        <f t="shared" si="1"/>
        <v>11317.97235023042</v>
      </c>
    </row>
    <row r="56" spans="1:37" x14ac:dyDescent="0.25">
      <c r="A56" s="147">
        <v>15</v>
      </c>
      <c r="B56" s="116" t="s">
        <v>46</v>
      </c>
      <c r="C56" s="116"/>
      <c r="D56" s="118">
        <f>'1'!K56</f>
        <v>0</v>
      </c>
      <c r="E56" s="118">
        <f>'2'!K56</f>
        <v>0</v>
      </c>
      <c r="F56" s="118">
        <f>'3'!K56</f>
        <v>0</v>
      </c>
      <c r="G56" s="118">
        <f>'4'!K56</f>
        <v>0</v>
      </c>
      <c r="H56" s="118">
        <f>'5'!K56</f>
        <v>0</v>
      </c>
      <c r="I56" s="118">
        <f>'6'!K56</f>
        <v>0</v>
      </c>
      <c r="J56" s="118">
        <f>'7'!K56</f>
        <v>0</v>
      </c>
      <c r="K56" s="118">
        <f>'8'!K56</f>
        <v>0</v>
      </c>
      <c r="L56" s="118">
        <f>'9'!K56</f>
        <v>0</v>
      </c>
      <c r="M56" s="118">
        <f>'10'!K56</f>
        <v>0</v>
      </c>
      <c r="N56" s="118">
        <f>'11'!K56</f>
        <v>0</v>
      </c>
      <c r="O56" s="118">
        <f>'12'!K56</f>
        <v>0</v>
      </c>
      <c r="P56" s="118">
        <f>'13'!K56</f>
        <v>0</v>
      </c>
      <c r="Q56" s="118">
        <f>'14'!K56</f>
        <v>0</v>
      </c>
      <c r="R56" s="118">
        <f>'15'!K56</f>
        <v>0</v>
      </c>
      <c r="S56" s="118">
        <f>'16'!K56</f>
        <v>0</v>
      </c>
      <c r="T56" s="118">
        <f>'17'!K56</f>
        <v>0</v>
      </c>
      <c r="U56" s="118">
        <f>'18'!K56</f>
        <v>0</v>
      </c>
      <c r="V56" s="118">
        <f>'19'!K56</f>
        <v>0</v>
      </c>
      <c r="W56" s="118">
        <f>'20'!K56</f>
        <v>0</v>
      </c>
      <c r="X56" s="118">
        <f>'21'!K56</f>
        <v>0</v>
      </c>
      <c r="Y56" s="126">
        <f>'22'!K56</f>
        <v>0</v>
      </c>
      <c r="Z56" s="126">
        <f>'23'!K56</f>
        <v>0</v>
      </c>
      <c r="AA56" s="126">
        <f>'24'!K56</f>
        <v>0</v>
      </c>
      <c r="AB56" s="126">
        <f>'25'!K56</f>
        <v>0</v>
      </c>
      <c r="AC56" s="126">
        <f>'26'!K56</f>
        <v>0</v>
      </c>
      <c r="AD56" s="126">
        <f>'27'!K56</f>
        <v>0</v>
      </c>
      <c r="AE56" s="126">
        <f>'28'!K56</f>
        <v>0</v>
      </c>
      <c r="AF56" s="126">
        <f>'29'!K56</f>
        <v>0</v>
      </c>
      <c r="AG56" s="126">
        <f>'30'!K56</f>
        <v>0</v>
      </c>
      <c r="AH56" s="126">
        <f>'31'!K56</f>
        <v>0</v>
      </c>
      <c r="AI56" s="126"/>
      <c r="AJ56" s="126">
        <f t="shared" si="0"/>
        <v>0</v>
      </c>
      <c r="AK56" s="238">
        <f t="shared" si="1"/>
        <v>0</v>
      </c>
    </row>
    <row r="57" spans="1:37" x14ac:dyDescent="0.25">
      <c r="A57" s="148"/>
      <c r="B57" s="107" t="s">
        <v>47</v>
      </c>
      <c r="C57" s="108" t="s">
        <v>5</v>
      </c>
      <c r="D57" s="90">
        <f>'1'!K57</f>
        <v>15666.666666666666</v>
      </c>
      <c r="E57" s="90">
        <f>'2'!K57</f>
        <v>15666.666666666666</v>
      </c>
      <c r="F57" s="90">
        <f>'3'!K57</f>
        <v>15666.666666666666</v>
      </c>
      <c r="G57" s="90">
        <f>'4'!K57</f>
        <v>15666.666666666666</v>
      </c>
      <c r="H57" s="90">
        <f>'5'!K57</f>
        <v>15666.666666666666</v>
      </c>
      <c r="I57" s="90">
        <f>'6'!K57</f>
        <v>15666.666666666666</v>
      </c>
      <c r="J57" s="90">
        <f>'7'!K57</f>
        <v>15666.666666666666</v>
      </c>
      <c r="K57" s="90">
        <f>'8'!K57</f>
        <v>15333.333333333334</v>
      </c>
      <c r="L57" s="90">
        <f>'9'!K57</f>
        <v>15666.666666666666</v>
      </c>
      <c r="M57" s="90">
        <f>'10'!K57</f>
        <v>15666.666666666666</v>
      </c>
      <c r="N57" s="90">
        <f>'11'!K57</f>
        <v>15333.333333333334</v>
      </c>
      <c r="O57" s="90">
        <f>'12'!K57</f>
        <v>15333.333333333334</v>
      </c>
      <c r="P57" s="90">
        <f>'13'!K57</f>
        <v>15333.333333333334</v>
      </c>
      <c r="Q57" s="90">
        <f>'14'!K57</f>
        <v>15333.333333333334</v>
      </c>
      <c r="R57" s="90">
        <f>'15'!K57</f>
        <v>15333.333333333334</v>
      </c>
      <c r="S57" s="90">
        <f>'16'!K57</f>
        <v>15333.333333333334</v>
      </c>
      <c r="T57" s="90">
        <f>'17'!K57</f>
        <v>15333.333333333334</v>
      </c>
      <c r="U57" s="90">
        <f>'18'!K57</f>
        <v>15333.333333333334</v>
      </c>
      <c r="V57" s="90">
        <f>'19'!K57</f>
        <v>15333.333333333334</v>
      </c>
      <c r="W57" s="90">
        <f>'20'!K57</f>
        <v>15333.333333333334</v>
      </c>
      <c r="X57" s="90">
        <f>'21'!K57</f>
        <v>15333.333333333334</v>
      </c>
      <c r="Y57" s="90">
        <f>'22'!K57</f>
        <v>15333.333333333334</v>
      </c>
      <c r="Z57" s="90">
        <f>'23'!K57</f>
        <v>15333.333333333334</v>
      </c>
      <c r="AA57" s="90">
        <f>'24'!K57</f>
        <v>15333.333333333334</v>
      </c>
      <c r="AB57" s="90">
        <f>'25'!K57</f>
        <v>15333.333333333334</v>
      </c>
      <c r="AC57" s="90">
        <f>'26'!K57</f>
        <v>15333.333333333334</v>
      </c>
      <c r="AD57" s="90">
        <f>'27'!K57</f>
        <v>15333.333333333334</v>
      </c>
      <c r="AE57" s="90">
        <f>'28'!K57</f>
        <v>15333.333333333334</v>
      </c>
      <c r="AF57" s="90">
        <f>'29'!K57</f>
        <v>15333.333333333334</v>
      </c>
      <c r="AG57" s="90">
        <f>'30'!K57</f>
        <v>15333.333333333334</v>
      </c>
      <c r="AH57" s="90">
        <f>'31'!K57</f>
        <v>15500</v>
      </c>
      <c r="AI57" s="90">
        <v>6800</v>
      </c>
      <c r="AJ57" s="90">
        <f t="shared" si="0"/>
        <v>-166.66666666666606</v>
      </c>
      <c r="AK57" s="238">
        <f t="shared" si="1"/>
        <v>15435.483870967735</v>
      </c>
    </row>
    <row r="58" spans="1:37" x14ac:dyDescent="0.25">
      <c r="A58" s="148"/>
      <c r="B58" s="107" t="s">
        <v>48</v>
      </c>
      <c r="C58" s="108" t="s">
        <v>5</v>
      </c>
      <c r="D58" s="90">
        <f>'1'!K58</f>
        <v>14166.666666666666</v>
      </c>
      <c r="E58" s="90">
        <f>'2'!K58</f>
        <v>14166.666666666666</v>
      </c>
      <c r="F58" s="90">
        <f>'3'!K58</f>
        <v>14166.666666666666</v>
      </c>
      <c r="G58" s="90">
        <f>'4'!K58</f>
        <v>14166.666666666666</v>
      </c>
      <c r="H58" s="90">
        <f>'5'!K58</f>
        <v>14166.666666666666</v>
      </c>
      <c r="I58" s="90">
        <f>'6'!K58</f>
        <v>14166.666666666666</v>
      </c>
      <c r="J58" s="90">
        <f>'7'!K58</f>
        <v>14166.666666666666</v>
      </c>
      <c r="K58" s="90">
        <f>'8'!K58</f>
        <v>14166.666666666666</v>
      </c>
      <c r="L58" s="90">
        <f>'9'!K58</f>
        <v>14166.666666666666</v>
      </c>
      <c r="M58" s="90">
        <f>'10'!K58</f>
        <v>14166.666666666666</v>
      </c>
      <c r="N58" s="90">
        <f>'11'!K58</f>
        <v>14166.666666666666</v>
      </c>
      <c r="O58" s="90">
        <f>'12'!K58</f>
        <v>14166.666666666666</v>
      </c>
      <c r="P58" s="90">
        <f>'13'!K58</f>
        <v>14166.666666666666</v>
      </c>
      <c r="Q58" s="90">
        <f>'14'!K58</f>
        <v>14166.666666666666</v>
      </c>
      <c r="R58" s="90">
        <f>'15'!K58</f>
        <v>14166.666666666666</v>
      </c>
      <c r="S58" s="90">
        <f>'16'!K58</f>
        <v>14166.666666666666</v>
      </c>
      <c r="T58" s="90">
        <f>'17'!K58</f>
        <v>14166.666666666666</v>
      </c>
      <c r="U58" s="90">
        <f>'18'!K58</f>
        <v>14166.666666666666</v>
      </c>
      <c r="V58" s="90">
        <f>'19'!K58</f>
        <v>14166.666666666666</v>
      </c>
      <c r="W58" s="90">
        <f>'20'!K58</f>
        <v>14166.666666666666</v>
      </c>
      <c r="X58" s="90">
        <f>'21'!K58</f>
        <v>14166.666666666666</v>
      </c>
      <c r="Y58" s="90">
        <f>'22'!K58</f>
        <v>14166.666666666666</v>
      </c>
      <c r="Z58" s="90">
        <f>'23'!K58</f>
        <v>14166.666666666666</v>
      </c>
      <c r="AA58" s="90">
        <f>'24'!K58</f>
        <v>14166.666666666666</v>
      </c>
      <c r="AB58" s="90">
        <f>'25'!K58</f>
        <v>14166.666666666666</v>
      </c>
      <c r="AC58" s="90">
        <f>'26'!K58</f>
        <v>14166.666666666666</v>
      </c>
      <c r="AD58" s="90">
        <f>'27'!K58</f>
        <v>14166.666666666666</v>
      </c>
      <c r="AE58" s="90">
        <f>'28'!K58</f>
        <v>14166.666666666666</v>
      </c>
      <c r="AF58" s="90">
        <f>'29'!K58</f>
        <v>14166.666666666666</v>
      </c>
      <c r="AG58" s="90">
        <f>'30'!K58</f>
        <v>14166.666666666666</v>
      </c>
      <c r="AH58" s="90">
        <f>'31'!K58</f>
        <v>14166.666666666666</v>
      </c>
      <c r="AI58" s="90">
        <v>9200</v>
      </c>
      <c r="AJ58" s="90">
        <f t="shared" si="0"/>
        <v>0</v>
      </c>
      <c r="AK58" s="238">
        <f t="shared" si="1"/>
        <v>14166.666666666673</v>
      </c>
    </row>
    <row r="59" spans="1:37" x14ac:dyDescent="0.25">
      <c r="A59" s="148"/>
      <c r="B59" s="107" t="s">
        <v>49</v>
      </c>
      <c r="C59" s="108" t="s">
        <v>5</v>
      </c>
      <c r="D59" s="90">
        <f>'1'!K59</f>
        <v>25285.714285714286</v>
      </c>
      <c r="E59" s="90">
        <f>'2'!K59</f>
        <v>25428.571428571428</v>
      </c>
      <c r="F59" s="90">
        <f>'3'!K59</f>
        <v>25285.714285714286</v>
      </c>
      <c r="G59" s="90">
        <f>'4'!K59</f>
        <v>25285.714285714286</v>
      </c>
      <c r="H59" s="90">
        <f>'5'!K59</f>
        <v>25428.571428571428</v>
      </c>
      <c r="I59" s="90">
        <f>'6'!K59</f>
        <v>25285.714285714286</v>
      </c>
      <c r="J59" s="90">
        <f>'7'!K59</f>
        <v>25285.714285714286</v>
      </c>
      <c r="K59" s="90">
        <f>'8'!K59</f>
        <v>25428.571428571428</v>
      </c>
      <c r="L59" s="90">
        <f>'9'!K59</f>
        <v>25428.571428571428</v>
      </c>
      <c r="M59" s="90">
        <f>'10'!K59</f>
        <v>25428.571428571428</v>
      </c>
      <c r="N59" s="90">
        <f>'11'!K59</f>
        <v>25428.571428571428</v>
      </c>
      <c r="O59" s="90">
        <f>'12'!K59</f>
        <v>25285.714285714286</v>
      </c>
      <c r="P59" s="90">
        <f>'13'!K59</f>
        <v>24571.428571428572</v>
      </c>
      <c r="Q59" s="90">
        <f>'14'!K59</f>
        <v>24571.428571428572</v>
      </c>
      <c r="R59" s="90">
        <f>'15'!K59</f>
        <v>25285.714285714286</v>
      </c>
      <c r="S59" s="90">
        <f>'16'!K59</f>
        <v>25142.857142857141</v>
      </c>
      <c r="T59" s="90">
        <f>'17'!K59</f>
        <v>25142.857142857141</v>
      </c>
      <c r="U59" s="90">
        <f>'18'!K59</f>
        <v>25142.857142857141</v>
      </c>
      <c r="V59" s="90">
        <f>'19'!K59</f>
        <v>25142.857142857141</v>
      </c>
      <c r="W59" s="90">
        <f>'20'!K59</f>
        <v>25428.571428571428</v>
      </c>
      <c r="X59" s="90">
        <f>'21'!K59</f>
        <v>25428.571428571428</v>
      </c>
      <c r="Y59" s="90">
        <f>'22'!K59</f>
        <v>25142.857142857141</v>
      </c>
      <c r="Z59" s="90">
        <f>'23'!K59</f>
        <v>25142.857142857141</v>
      </c>
      <c r="AA59" s="90">
        <f>'24'!K59</f>
        <v>25142.857142857141</v>
      </c>
      <c r="AB59" s="90">
        <f>'25'!K59</f>
        <v>25142.857142857141</v>
      </c>
      <c r="AC59" s="90">
        <f>'26'!K59</f>
        <v>25142.857142857141</v>
      </c>
      <c r="AD59" s="90">
        <f>'27'!K59</f>
        <v>25142.857142857141</v>
      </c>
      <c r="AE59" s="90">
        <f>'28'!K59</f>
        <v>25142.857142857141</v>
      </c>
      <c r="AF59" s="90">
        <f>'29'!K59</f>
        <v>25142.857142857141</v>
      </c>
      <c r="AG59" s="90">
        <f>'30'!K59</f>
        <v>25142.857142857141</v>
      </c>
      <c r="AH59" s="90">
        <f>'31'!K59</f>
        <v>25142.857142857141</v>
      </c>
      <c r="AI59" s="90"/>
      <c r="AJ59" s="90">
        <f t="shared" si="0"/>
        <v>-142.85714285714494</v>
      </c>
      <c r="AK59" s="238">
        <f t="shared" si="1"/>
        <v>25211.981566820283</v>
      </c>
    </row>
    <row r="60" spans="1:37" x14ac:dyDescent="0.25">
      <c r="A60" s="149"/>
      <c r="B60" s="107" t="s">
        <v>50</v>
      </c>
      <c r="C60" s="108" t="s">
        <v>5</v>
      </c>
      <c r="D60" s="90">
        <f>'1'!K60</f>
        <v>29142.857142857141</v>
      </c>
      <c r="E60" s="90">
        <f>'2'!K60</f>
        <v>29000</v>
      </c>
      <c r="F60" s="90">
        <f>'3'!K60</f>
        <v>29000</v>
      </c>
      <c r="G60" s="90">
        <f>'4'!K60</f>
        <v>29000</v>
      </c>
      <c r="H60" s="90">
        <f>'5'!K60</f>
        <v>29000</v>
      </c>
      <c r="I60" s="90">
        <f>'6'!K60</f>
        <v>29000</v>
      </c>
      <c r="J60" s="90">
        <f>'7'!K60</f>
        <v>29000</v>
      </c>
      <c r="K60" s="90">
        <f>'8'!K60</f>
        <v>29000</v>
      </c>
      <c r="L60" s="90">
        <f>'9'!K60</f>
        <v>29000</v>
      </c>
      <c r="M60" s="90">
        <f>'10'!K60</f>
        <v>29000</v>
      </c>
      <c r="N60" s="90">
        <f>'11'!K60</f>
        <v>29000</v>
      </c>
      <c r="O60" s="90">
        <f>'12'!K60</f>
        <v>29000</v>
      </c>
      <c r="P60" s="90">
        <f>'13'!K60</f>
        <v>29000</v>
      </c>
      <c r="Q60" s="90">
        <f>'14'!K60</f>
        <v>29000</v>
      </c>
      <c r="R60" s="90">
        <f>'15'!K60</f>
        <v>29000</v>
      </c>
      <c r="S60" s="90">
        <f>'16'!K60</f>
        <v>28714.285714285714</v>
      </c>
      <c r="T60" s="90">
        <f>'17'!K60</f>
        <v>29000</v>
      </c>
      <c r="U60" s="90">
        <f>'18'!K60</f>
        <v>29000</v>
      </c>
      <c r="V60" s="90">
        <f>'19'!K60</f>
        <v>29142.857142857141</v>
      </c>
      <c r="W60" s="90">
        <f>'20'!K60</f>
        <v>29000</v>
      </c>
      <c r="X60" s="90">
        <f>'21'!K60</f>
        <v>29285.714285714286</v>
      </c>
      <c r="Y60" s="90">
        <f>'22'!K60</f>
        <v>29142.857142857141</v>
      </c>
      <c r="Z60" s="90">
        <f>'23'!K60</f>
        <v>29142.857142857141</v>
      </c>
      <c r="AA60" s="90">
        <f>'24'!K60</f>
        <v>29142.857142857141</v>
      </c>
      <c r="AB60" s="90">
        <f>'25'!K60</f>
        <v>29142.857142857141</v>
      </c>
      <c r="AC60" s="90">
        <f>'26'!K60</f>
        <v>29142.857142857141</v>
      </c>
      <c r="AD60" s="90">
        <f>'27'!K60</f>
        <v>29000</v>
      </c>
      <c r="AE60" s="90">
        <f>'28'!K60</f>
        <v>29000</v>
      </c>
      <c r="AF60" s="90">
        <f>'29'!K60</f>
        <v>29142.857142857141</v>
      </c>
      <c r="AG60" s="90">
        <f>'30'!K60</f>
        <v>29142.857142857141</v>
      </c>
      <c r="AH60" s="90">
        <f>'31'!K60</f>
        <v>29142.857142857141</v>
      </c>
      <c r="AI60" s="90"/>
      <c r="AJ60" s="90">
        <f t="shared" si="0"/>
        <v>0</v>
      </c>
      <c r="AK60" s="238">
        <f t="shared" si="1"/>
        <v>29046.082949308762</v>
      </c>
    </row>
    <row r="61" spans="1:37" x14ac:dyDescent="0.25">
      <c r="A61" s="110">
        <v>16</v>
      </c>
      <c r="B61" s="116" t="s">
        <v>51</v>
      </c>
      <c r="C61" s="119"/>
      <c r="D61" s="118">
        <f>'1'!K61</f>
        <v>0</v>
      </c>
      <c r="E61" s="118">
        <f>'2'!K61</f>
        <v>0</v>
      </c>
      <c r="F61" s="118">
        <f>'3'!K61</f>
        <v>0</v>
      </c>
      <c r="G61" s="118">
        <f>'4'!K61</f>
        <v>0</v>
      </c>
      <c r="H61" s="118">
        <f>'5'!K61</f>
        <v>0</v>
      </c>
      <c r="I61" s="118">
        <f>'6'!K61</f>
        <v>0</v>
      </c>
      <c r="J61" s="118">
        <f>'7'!K61</f>
        <v>0</v>
      </c>
      <c r="K61" s="118">
        <f>'8'!K61</f>
        <v>0</v>
      </c>
      <c r="L61" s="118">
        <f>'9'!K61</f>
        <v>0</v>
      </c>
      <c r="M61" s="118">
        <f>'10'!K61</f>
        <v>0</v>
      </c>
      <c r="N61" s="118">
        <f>'11'!K61</f>
        <v>0</v>
      </c>
      <c r="O61" s="118">
        <f>'12'!K61</f>
        <v>0</v>
      </c>
      <c r="P61" s="118">
        <f>'13'!K61</f>
        <v>0</v>
      </c>
      <c r="Q61" s="118">
        <f>'14'!K61</f>
        <v>0</v>
      </c>
      <c r="R61" s="118">
        <f>'15'!K61</f>
        <v>0</v>
      </c>
      <c r="S61" s="118">
        <f>'16'!K61</f>
        <v>0</v>
      </c>
      <c r="T61" s="118">
        <f>'17'!K61</f>
        <v>0</v>
      </c>
      <c r="U61" s="118">
        <f>'18'!K61</f>
        <v>0</v>
      </c>
      <c r="V61" s="118">
        <f>'19'!K61</f>
        <v>0</v>
      </c>
      <c r="W61" s="118">
        <f>'20'!K61</f>
        <v>0</v>
      </c>
      <c r="X61" s="118">
        <f>'21'!K61</f>
        <v>0</v>
      </c>
      <c r="Y61" s="126">
        <f>'22'!K61</f>
        <v>0</v>
      </c>
      <c r="Z61" s="126">
        <f>'23'!K61</f>
        <v>0</v>
      </c>
      <c r="AA61" s="126">
        <f>'24'!K61</f>
        <v>0</v>
      </c>
      <c r="AB61" s="126">
        <f>'25'!K61</f>
        <v>0</v>
      </c>
      <c r="AC61" s="126">
        <f>'26'!K61</f>
        <v>0</v>
      </c>
      <c r="AD61" s="126">
        <f>'27'!K61</f>
        <v>0</v>
      </c>
      <c r="AE61" s="126">
        <f>'28'!K61</f>
        <v>0</v>
      </c>
      <c r="AF61" s="126">
        <f>'29'!K61</f>
        <v>0</v>
      </c>
      <c r="AG61" s="126">
        <f>'30'!K61</f>
        <v>0</v>
      </c>
      <c r="AH61" s="126">
        <f>'31'!K61</f>
        <v>0</v>
      </c>
      <c r="AI61" s="126"/>
      <c r="AJ61" s="126">
        <f t="shared" si="0"/>
        <v>0</v>
      </c>
      <c r="AK61" s="238">
        <f t="shared" si="1"/>
        <v>0</v>
      </c>
    </row>
    <row r="62" spans="1:37" x14ac:dyDescent="0.25">
      <c r="A62" s="111"/>
      <c r="B62" s="107" t="s">
        <v>52</v>
      </c>
      <c r="C62" s="108" t="s">
        <v>53</v>
      </c>
      <c r="D62" s="90">
        <f>'1'!K62</f>
        <v>3200</v>
      </c>
      <c r="E62" s="90">
        <f>'2'!K62</f>
        <v>3200</v>
      </c>
      <c r="F62" s="90">
        <f>'3'!K62</f>
        <v>3200</v>
      </c>
      <c r="G62" s="90">
        <f>'4'!K62</f>
        <v>3200</v>
      </c>
      <c r="H62" s="90">
        <f>'5'!K62</f>
        <v>3200</v>
      </c>
      <c r="I62" s="90">
        <f>'6'!K62</f>
        <v>3200</v>
      </c>
      <c r="J62" s="90">
        <f>'7'!K62</f>
        <v>3200</v>
      </c>
      <c r="K62" s="90">
        <f>'8'!K62</f>
        <v>3200</v>
      </c>
      <c r="L62" s="90">
        <f>'9'!K62</f>
        <v>3200</v>
      </c>
      <c r="M62" s="90">
        <f>'10'!K62</f>
        <v>3200</v>
      </c>
      <c r="N62" s="90">
        <f>'11'!K62</f>
        <v>3200</v>
      </c>
      <c r="O62" s="90">
        <f>'12'!K62</f>
        <v>3200</v>
      </c>
      <c r="P62" s="90">
        <f>'13'!K62</f>
        <v>3200</v>
      </c>
      <c r="Q62" s="90">
        <f>'14'!K62</f>
        <v>3200</v>
      </c>
      <c r="R62" s="90">
        <f>'15'!K62</f>
        <v>3200</v>
      </c>
      <c r="S62" s="90">
        <f>'16'!K62</f>
        <v>3200</v>
      </c>
      <c r="T62" s="90">
        <f>'17'!K62</f>
        <v>3200</v>
      </c>
      <c r="U62" s="90">
        <f>'18'!K62</f>
        <v>3200</v>
      </c>
      <c r="V62" s="90">
        <f>'19'!K62</f>
        <v>3200</v>
      </c>
      <c r="W62" s="90">
        <f>'20'!K62</f>
        <v>3200</v>
      </c>
      <c r="X62" s="90">
        <f>'21'!K62</f>
        <v>3200</v>
      </c>
      <c r="Y62" s="90">
        <f>'22'!K62</f>
        <v>3200</v>
      </c>
      <c r="Z62" s="90">
        <f>'23'!K62</f>
        <v>3200</v>
      </c>
      <c r="AA62" s="90">
        <f>'24'!K62</f>
        <v>3200</v>
      </c>
      <c r="AB62" s="90">
        <f>'25'!K62</f>
        <v>3200</v>
      </c>
      <c r="AC62" s="90">
        <f>'26'!K62</f>
        <v>3200</v>
      </c>
      <c r="AD62" s="90">
        <f>'27'!K62</f>
        <v>3200</v>
      </c>
      <c r="AE62" s="90">
        <f>'28'!K62</f>
        <v>3200</v>
      </c>
      <c r="AF62" s="90">
        <f>'29'!K62</f>
        <v>3200</v>
      </c>
      <c r="AG62" s="90">
        <f>'30'!K62</f>
        <v>3200</v>
      </c>
      <c r="AH62" s="90">
        <f>'31'!K62</f>
        <v>3200</v>
      </c>
      <c r="AI62" s="90"/>
      <c r="AJ62" s="90">
        <f t="shared" si="0"/>
        <v>0</v>
      </c>
      <c r="AK62" s="238">
        <f t="shared" si="1"/>
        <v>3200</v>
      </c>
    </row>
    <row r="63" spans="1:37" x14ac:dyDescent="0.25">
      <c r="A63" s="147">
        <v>17</v>
      </c>
      <c r="B63" s="116" t="s">
        <v>54</v>
      </c>
      <c r="C63" s="116"/>
      <c r="D63" s="118">
        <f>'1'!K63</f>
        <v>0</v>
      </c>
      <c r="E63" s="118">
        <f>'2'!K63</f>
        <v>0</v>
      </c>
      <c r="F63" s="118">
        <f>'3'!K63</f>
        <v>0</v>
      </c>
      <c r="G63" s="118">
        <f>'4'!K63</f>
        <v>0</v>
      </c>
      <c r="H63" s="118">
        <f>'5'!K63</f>
        <v>0</v>
      </c>
      <c r="I63" s="118">
        <f>'6'!K63</f>
        <v>0</v>
      </c>
      <c r="J63" s="118">
        <f>'7'!K63</f>
        <v>0</v>
      </c>
      <c r="K63" s="118">
        <f>'8'!K63</f>
        <v>0</v>
      </c>
      <c r="L63" s="118">
        <f>'9'!K63</f>
        <v>0</v>
      </c>
      <c r="M63" s="118">
        <f>'10'!K63</f>
        <v>0</v>
      </c>
      <c r="N63" s="118">
        <f>'11'!K63</f>
        <v>0</v>
      </c>
      <c r="O63" s="118">
        <f>'12'!K63</f>
        <v>0</v>
      </c>
      <c r="P63" s="118">
        <f>'13'!K63</f>
        <v>0</v>
      </c>
      <c r="Q63" s="118">
        <f>'14'!K63</f>
        <v>0</v>
      </c>
      <c r="R63" s="118">
        <f>'15'!K63</f>
        <v>0</v>
      </c>
      <c r="S63" s="118">
        <f>'16'!K63</f>
        <v>0</v>
      </c>
      <c r="T63" s="118">
        <f>'17'!K63</f>
        <v>0</v>
      </c>
      <c r="U63" s="118">
        <f>'18'!K63</f>
        <v>0</v>
      </c>
      <c r="V63" s="118">
        <f>'19'!K63</f>
        <v>0</v>
      </c>
      <c r="W63" s="118">
        <f>'20'!K63</f>
        <v>0</v>
      </c>
      <c r="X63" s="118">
        <f>'21'!K63</f>
        <v>0</v>
      </c>
      <c r="Y63" s="126">
        <f>'22'!K63</f>
        <v>0</v>
      </c>
      <c r="Z63" s="126">
        <f>'23'!K63</f>
        <v>0</v>
      </c>
      <c r="AA63" s="126">
        <f>'24'!K63</f>
        <v>0</v>
      </c>
      <c r="AB63" s="126">
        <f>'25'!K63</f>
        <v>0</v>
      </c>
      <c r="AC63" s="126">
        <f>'26'!K63</f>
        <v>0</v>
      </c>
      <c r="AD63" s="126">
        <f>'27'!K63</f>
        <v>0</v>
      </c>
      <c r="AE63" s="126">
        <f>'28'!K63</f>
        <v>0</v>
      </c>
      <c r="AF63" s="126">
        <f>'29'!K63</f>
        <v>0</v>
      </c>
      <c r="AG63" s="126">
        <f>'30'!K63</f>
        <v>0</v>
      </c>
      <c r="AH63" s="126">
        <f>'31'!K63</f>
        <v>0</v>
      </c>
      <c r="AI63" s="126"/>
      <c r="AJ63" s="126">
        <f t="shared" si="0"/>
        <v>0</v>
      </c>
      <c r="AK63" s="238">
        <f t="shared" si="1"/>
        <v>0</v>
      </c>
    </row>
    <row r="64" spans="1:37" x14ac:dyDescent="0.25">
      <c r="A64" s="148"/>
      <c r="B64" s="107" t="s">
        <v>55</v>
      </c>
      <c r="C64" s="108" t="s">
        <v>5</v>
      </c>
      <c r="D64" s="90">
        <f>'1'!K64</f>
        <v>28857.142857142859</v>
      </c>
      <c r="E64" s="90">
        <f>'2'!K64</f>
        <v>29857.142857142859</v>
      </c>
      <c r="F64" s="90">
        <f>'3'!K64</f>
        <v>29571.428571428572</v>
      </c>
      <c r="G64" s="90">
        <f>'4'!K64</f>
        <v>29714.285714285714</v>
      </c>
      <c r="H64" s="90">
        <f>'5'!K64</f>
        <v>29285.714285714286</v>
      </c>
      <c r="I64" s="90">
        <f>'6'!K64</f>
        <v>30714.285714285714</v>
      </c>
      <c r="J64" s="90">
        <f>'7'!K64</f>
        <v>30000</v>
      </c>
      <c r="K64" s="90">
        <f>'8'!K64</f>
        <v>28714.285714285714</v>
      </c>
      <c r="L64" s="90">
        <f>'9'!K64</f>
        <v>31571.428571428572</v>
      </c>
      <c r="M64" s="90">
        <f>'10'!K64</f>
        <v>31857.142857142859</v>
      </c>
      <c r="N64" s="90">
        <f>'11'!K64</f>
        <v>31857.142857142859</v>
      </c>
      <c r="O64" s="90">
        <f>'12'!K64</f>
        <v>32571.428571428572</v>
      </c>
      <c r="P64" s="90">
        <f>'13'!K64</f>
        <v>32857.142857142855</v>
      </c>
      <c r="Q64" s="90">
        <f>'14'!K64</f>
        <v>32857.142857142855</v>
      </c>
      <c r="R64" s="90">
        <f>'15'!K64</f>
        <v>33285.714285714283</v>
      </c>
      <c r="S64" s="90">
        <f>'16'!K64</f>
        <v>34000</v>
      </c>
      <c r="T64" s="90">
        <f>'17'!K64</f>
        <v>34285.714285714283</v>
      </c>
      <c r="U64" s="90">
        <f>'18'!K64</f>
        <v>34285.714285714283</v>
      </c>
      <c r="V64" s="90">
        <f>'19'!K64</f>
        <v>32142.857142857141</v>
      </c>
      <c r="W64" s="90">
        <f>'20'!K64</f>
        <v>32857.142857142855</v>
      </c>
      <c r="X64" s="90">
        <f>'21'!K64</f>
        <v>33142.857142857145</v>
      </c>
      <c r="Y64" s="90">
        <f>'22'!K64</f>
        <v>32428.571428571428</v>
      </c>
      <c r="Z64" s="90">
        <f>'23'!K64</f>
        <v>32571.428571428572</v>
      </c>
      <c r="AA64" s="90">
        <f>'24'!K64</f>
        <v>31285.714285714286</v>
      </c>
      <c r="AB64" s="90">
        <f>'25'!K64</f>
        <v>30142.857142857141</v>
      </c>
      <c r="AC64" s="90">
        <f>'26'!K64</f>
        <v>30857.142857142859</v>
      </c>
      <c r="AD64" s="90">
        <f>'27'!K64</f>
        <v>32142.857142857141</v>
      </c>
      <c r="AE64" s="90">
        <f>'28'!K64</f>
        <v>30714.285714285714</v>
      </c>
      <c r="AF64" s="90">
        <f>'29'!K64</f>
        <v>30714.285714285714</v>
      </c>
      <c r="AG64" s="90">
        <f>'30'!K64</f>
        <v>31428.571428571428</v>
      </c>
      <c r="AH64" s="90">
        <f>'31'!K64</f>
        <v>31428.571428571428</v>
      </c>
      <c r="AI64" s="90"/>
      <c r="AJ64" s="90">
        <f t="shared" si="0"/>
        <v>2571.4285714285688</v>
      </c>
      <c r="AK64" s="238">
        <f t="shared" si="1"/>
        <v>31548.387096774193</v>
      </c>
    </row>
    <row r="65" spans="1:37" x14ac:dyDescent="0.25">
      <c r="A65" s="148"/>
      <c r="B65" s="107" t="s">
        <v>56</v>
      </c>
      <c r="C65" s="108" t="s">
        <v>5</v>
      </c>
      <c r="D65" s="90">
        <f>'1'!K65</f>
        <v>36250</v>
      </c>
      <c r="E65" s="90">
        <f>'2'!K65</f>
        <v>30750</v>
      </c>
      <c r="F65" s="90">
        <f>'3'!K65</f>
        <v>31250</v>
      </c>
      <c r="G65" s="90">
        <f>'4'!K65</f>
        <v>31250</v>
      </c>
      <c r="H65" s="90">
        <f>'5'!K65</f>
        <v>31250</v>
      </c>
      <c r="I65" s="90">
        <f>'6'!K65</f>
        <v>31250</v>
      </c>
      <c r="J65" s="90">
        <f>'7'!K65</f>
        <v>33000</v>
      </c>
      <c r="K65" s="90">
        <f>'8'!K65</f>
        <v>31000</v>
      </c>
      <c r="L65" s="90">
        <f>'9'!K65</f>
        <v>34000</v>
      </c>
      <c r="M65" s="90">
        <f>'10'!K65</f>
        <v>31000</v>
      </c>
      <c r="N65" s="90">
        <f>'11'!K65</f>
        <v>31000</v>
      </c>
      <c r="O65" s="90">
        <f>'12'!K65</f>
        <v>31000</v>
      </c>
      <c r="P65" s="90">
        <f>'13'!K65</f>
        <v>30000</v>
      </c>
      <c r="Q65" s="90">
        <f>'14'!K65</f>
        <v>30000</v>
      </c>
      <c r="R65" s="90">
        <f>'15'!K65</f>
        <v>30000</v>
      </c>
      <c r="S65" s="90">
        <f>'16'!K65</f>
        <v>30000</v>
      </c>
      <c r="T65" s="90">
        <f>'17'!K65</f>
        <v>30000</v>
      </c>
      <c r="U65" s="90">
        <f>'18'!K65</f>
        <v>30000</v>
      </c>
      <c r="V65" s="90">
        <f>'19'!K65</f>
        <v>28000</v>
      </c>
      <c r="W65" s="90">
        <f>'20'!K65</f>
        <v>30000</v>
      </c>
      <c r="X65" s="90">
        <f>'21'!K65</f>
        <v>29000</v>
      </c>
      <c r="Y65" s="90">
        <f>'22'!K65</f>
        <v>29000</v>
      </c>
      <c r="Z65" s="90">
        <f>'23'!K65</f>
        <v>29000</v>
      </c>
      <c r="AA65" s="90">
        <f>'24'!K65</f>
        <v>29000</v>
      </c>
      <c r="AB65" s="90">
        <f>'25'!K65</f>
        <v>29000</v>
      </c>
      <c r="AC65" s="90">
        <f>'26'!K65</f>
        <v>28800</v>
      </c>
      <c r="AD65" s="90">
        <f>'27'!K65</f>
        <v>30000</v>
      </c>
      <c r="AE65" s="90">
        <f>'28'!K65</f>
        <v>27000</v>
      </c>
      <c r="AF65" s="90">
        <f>'29'!K65</f>
        <v>27600</v>
      </c>
      <c r="AG65" s="90">
        <f>'30'!K65</f>
        <v>26600</v>
      </c>
      <c r="AH65" s="90">
        <f>'31'!K65</f>
        <v>26000</v>
      </c>
      <c r="AI65" s="90"/>
      <c r="AJ65" s="90">
        <f t="shared" si="0"/>
        <v>-10250</v>
      </c>
      <c r="AK65" s="238">
        <f t="shared" si="1"/>
        <v>30064.516129032258</v>
      </c>
    </row>
    <row r="66" spans="1:37" x14ac:dyDescent="0.25">
      <c r="A66" s="149"/>
      <c r="B66" s="107" t="s">
        <v>57</v>
      </c>
      <c r="C66" s="108" t="s">
        <v>5</v>
      </c>
      <c r="D66" s="90">
        <f>'1'!K66</f>
        <v>26285.714285714286</v>
      </c>
      <c r="E66" s="90">
        <f>'2'!K66</f>
        <v>27857.142857142859</v>
      </c>
      <c r="F66" s="90">
        <f>'3'!K66</f>
        <v>26428.571428571428</v>
      </c>
      <c r="G66" s="90">
        <f>'4'!K66</f>
        <v>26857.142857142859</v>
      </c>
      <c r="H66" s="90">
        <f>'5'!K66</f>
        <v>27142.857142857141</v>
      </c>
      <c r="I66" s="90">
        <f>'6'!K66</f>
        <v>27857.142857142859</v>
      </c>
      <c r="J66" s="90">
        <f>'7'!K66</f>
        <v>26428.571428571428</v>
      </c>
      <c r="K66" s="90">
        <f>'8'!K66</f>
        <v>26428.571428571428</v>
      </c>
      <c r="L66" s="90">
        <f>'9'!K66</f>
        <v>27142.857142857141</v>
      </c>
      <c r="M66" s="90">
        <f>'10'!K66</f>
        <v>28571.428571428572</v>
      </c>
      <c r="N66" s="90">
        <f>'11'!K66</f>
        <v>29571.428571428572</v>
      </c>
      <c r="O66" s="90">
        <f>'12'!K66</f>
        <v>31142.857142857141</v>
      </c>
      <c r="P66" s="90">
        <f>'13'!K66</f>
        <v>31142.857142857141</v>
      </c>
      <c r="Q66" s="90">
        <f>'14'!K66</f>
        <v>31857.142857142859</v>
      </c>
      <c r="R66" s="90">
        <f>'15'!K66</f>
        <v>31857.142857142859</v>
      </c>
      <c r="S66" s="90">
        <f>'16'!K66</f>
        <v>32571.428571428572</v>
      </c>
      <c r="T66" s="90">
        <f>'17'!K66</f>
        <v>32714.285714285714</v>
      </c>
      <c r="U66" s="90">
        <f>'18'!K66</f>
        <v>32428.571428571428</v>
      </c>
      <c r="V66" s="90">
        <f>'19'!K66</f>
        <v>34285.714285714283</v>
      </c>
      <c r="W66" s="90">
        <f>'20'!K66</f>
        <v>34428.571428571428</v>
      </c>
      <c r="X66" s="90">
        <f>'21'!K66</f>
        <v>35714.285714285717</v>
      </c>
      <c r="Y66" s="90">
        <f>'22'!K66</f>
        <v>35428.571428571428</v>
      </c>
      <c r="Z66" s="90">
        <f>'23'!K66</f>
        <v>35428.571428571428</v>
      </c>
      <c r="AA66" s="90">
        <f>'24'!K66</f>
        <v>35428.571428571428</v>
      </c>
      <c r="AB66" s="90">
        <f>'25'!K66</f>
        <v>36428.571428571428</v>
      </c>
      <c r="AC66" s="90">
        <f>'26'!K66</f>
        <v>37857.142857142855</v>
      </c>
      <c r="AD66" s="90">
        <f>'27'!K66</f>
        <v>35714.285714285717</v>
      </c>
      <c r="AE66" s="90">
        <f>'28'!K66</f>
        <v>35714.285714285717</v>
      </c>
      <c r="AF66" s="90">
        <f>'29'!K66</f>
        <v>36857.142857142855</v>
      </c>
      <c r="AG66" s="90">
        <f>'30'!K66</f>
        <v>37428.571428571428</v>
      </c>
      <c r="AH66" s="90">
        <f>'31'!K66</f>
        <v>37857.142857142855</v>
      </c>
      <c r="AI66" s="90"/>
      <c r="AJ66" s="90">
        <f t="shared" si="0"/>
        <v>11571.428571428569</v>
      </c>
      <c r="AK66" s="238">
        <f t="shared" si="1"/>
        <v>32027.649769585259</v>
      </c>
    </row>
    <row r="67" spans="1:37" x14ac:dyDescent="0.25">
      <c r="A67" s="110">
        <v>18</v>
      </c>
      <c r="B67" s="116" t="s">
        <v>58</v>
      </c>
      <c r="C67" s="119"/>
      <c r="D67" s="118">
        <f>'1'!K67</f>
        <v>0</v>
      </c>
      <c r="E67" s="118">
        <f>'2'!K67</f>
        <v>0</v>
      </c>
      <c r="F67" s="118">
        <f>'3'!K67</f>
        <v>0</v>
      </c>
      <c r="G67" s="118">
        <f>'4'!K67</f>
        <v>0</v>
      </c>
      <c r="H67" s="118">
        <f>'5'!K67</f>
        <v>0</v>
      </c>
      <c r="I67" s="118">
        <f>'6'!K67</f>
        <v>0</v>
      </c>
      <c r="J67" s="118">
        <f>'7'!K67</f>
        <v>0</v>
      </c>
      <c r="K67" s="118">
        <f>'8'!K67</f>
        <v>0</v>
      </c>
      <c r="L67" s="118">
        <f>'9'!K67</f>
        <v>0</v>
      </c>
      <c r="M67" s="118">
        <f>'10'!K67</f>
        <v>0</v>
      </c>
      <c r="N67" s="118">
        <f>'11'!K67</f>
        <v>0</v>
      </c>
      <c r="O67" s="118">
        <f>'12'!K67</f>
        <v>0</v>
      </c>
      <c r="P67" s="118">
        <f>'13'!K67</f>
        <v>0</v>
      </c>
      <c r="Q67" s="118">
        <f>'14'!K67</f>
        <v>0</v>
      </c>
      <c r="R67" s="118">
        <f>'15'!K67</f>
        <v>0</v>
      </c>
      <c r="S67" s="118">
        <f>'16'!K67</f>
        <v>0</v>
      </c>
      <c r="T67" s="118">
        <f>'17'!K67</f>
        <v>0</v>
      </c>
      <c r="U67" s="118">
        <f>'18'!K67</f>
        <v>0</v>
      </c>
      <c r="V67" s="118">
        <f>'19'!K67</f>
        <v>0</v>
      </c>
      <c r="W67" s="118">
        <f>'20'!K67</f>
        <v>0</v>
      </c>
      <c r="X67" s="118">
        <f>'21'!K67</f>
        <v>0</v>
      </c>
      <c r="Y67" s="126">
        <f>'22'!K67</f>
        <v>0</v>
      </c>
      <c r="Z67" s="126">
        <f>'23'!K67</f>
        <v>0</v>
      </c>
      <c r="AA67" s="126">
        <f>'24'!K67</f>
        <v>0</v>
      </c>
      <c r="AB67" s="126">
        <f>'25'!K67</f>
        <v>0</v>
      </c>
      <c r="AC67" s="126">
        <f>'26'!K67</f>
        <v>0</v>
      </c>
      <c r="AD67" s="126">
        <f>'27'!K67</f>
        <v>0</v>
      </c>
      <c r="AE67" s="126">
        <f>'28'!K67</f>
        <v>0</v>
      </c>
      <c r="AF67" s="126">
        <f>'29'!K67</f>
        <v>0</v>
      </c>
      <c r="AG67" s="126">
        <f>'30'!K67</f>
        <v>0</v>
      </c>
      <c r="AH67" s="126">
        <f>'31'!K67</f>
        <v>0</v>
      </c>
      <c r="AI67" s="126"/>
      <c r="AJ67" s="126">
        <f t="shared" si="0"/>
        <v>0</v>
      </c>
      <c r="AK67" s="238">
        <f t="shared" si="1"/>
        <v>0</v>
      </c>
    </row>
    <row r="68" spans="1:37" x14ac:dyDescent="0.25">
      <c r="A68" s="111"/>
      <c r="B68" s="107" t="s">
        <v>59</v>
      </c>
      <c r="C68" s="108" t="s">
        <v>60</v>
      </c>
      <c r="D68" s="90">
        <f>'1'!K68</f>
        <v>18166.666666666668</v>
      </c>
      <c r="E68" s="90">
        <f>'2'!K68</f>
        <v>18166.666666666668</v>
      </c>
      <c r="F68" s="90">
        <f>'3'!K68</f>
        <v>18166.666666666668</v>
      </c>
      <c r="G68" s="90">
        <f>'4'!K68</f>
        <v>18166.666666666668</v>
      </c>
      <c r="H68" s="90">
        <f>'5'!K68</f>
        <v>18166.666666666668</v>
      </c>
      <c r="I68" s="90">
        <f>'6'!K68</f>
        <v>18166.666666666668</v>
      </c>
      <c r="J68" s="90">
        <f>'7'!K68</f>
        <v>18333.333333333332</v>
      </c>
      <c r="K68" s="90">
        <f>'8'!K68</f>
        <v>18333.333333333332</v>
      </c>
      <c r="L68" s="90">
        <f>'9'!K68</f>
        <v>18333.333333333332</v>
      </c>
      <c r="M68" s="90">
        <f>'10'!K68</f>
        <v>18333.333333333332</v>
      </c>
      <c r="N68" s="90">
        <f>'11'!K68</f>
        <v>18333.333333333332</v>
      </c>
      <c r="O68" s="90">
        <f>'12'!K68</f>
        <v>18333.333333333332</v>
      </c>
      <c r="P68" s="90">
        <f>'13'!K68</f>
        <v>18333.333333333332</v>
      </c>
      <c r="Q68" s="90">
        <f>'14'!K68</f>
        <v>18333.333333333332</v>
      </c>
      <c r="R68" s="90">
        <f>'15'!K68</f>
        <v>18333.333333333332</v>
      </c>
      <c r="S68" s="90">
        <f>'16'!K68</f>
        <v>18333.333333333332</v>
      </c>
      <c r="T68" s="90">
        <f>'17'!K68</f>
        <v>18333.333333333332</v>
      </c>
      <c r="U68" s="90">
        <f>'18'!K68</f>
        <v>18333.333333333332</v>
      </c>
      <c r="V68" s="90">
        <f>'19'!K68</f>
        <v>18333.333333333332</v>
      </c>
      <c r="W68" s="90">
        <f>'20'!K68</f>
        <v>18333.333333333332</v>
      </c>
      <c r="X68" s="90">
        <f>'21'!K68</f>
        <v>18333.333333333332</v>
      </c>
      <c r="Y68" s="90">
        <f>'22'!K68</f>
        <v>18333.333333333332</v>
      </c>
      <c r="Z68" s="90">
        <f>'23'!K68</f>
        <v>18333.333333333332</v>
      </c>
      <c r="AA68" s="90">
        <f>'24'!K68</f>
        <v>18333.333333333332</v>
      </c>
      <c r="AB68" s="90">
        <f>'25'!K68</f>
        <v>18333.333333333332</v>
      </c>
      <c r="AC68" s="90">
        <f>'26'!K68</f>
        <v>18333.333333333332</v>
      </c>
      <c r="AD68" s="90">
        <f>'27'!K68</f>
        <v>18333.333333333332</v>
      </c>
      <c r="AE68" s="90">
        <f>'28'!K68</f>
        <v>18333.333333333332</v>
      </c>
      <c r="AF68" s="90">
        <f>'29'!K68</f>
        <v>18333.333333333332</v>
      </c>
      <c r="AG68" s="90">
        <f>'30'!K68</f>
        <v>18333.333333333332</v>
      </c>
      <c r="AH68" s="90">
        <f>'31'!K68</f>
        <v>18333.333333333332</v>
      </c>
      <c r="AI68" s="90"/>
      <c r="AJ68" s="90">
        <f t="shared" si="0"/>
        <v>166.66666666666424</v>
      </c>
      <c r="AK68" s="238">
        <f t="shared" si="1"/>
        <v>18301.075268817203</v>
      </c>
    </row>
    <row r="69" spans="1:37" x14ac:dyDescent="0.25">
      <c r="A69" s="147">
        <v>19</v>
      </c>
      <c r="B69" s="116" t="s">
        <v>61</v>
      </c>
      <c r="C69" s="116"/>
      <c r="D69" s="118">
        <f>'1'!K69</f>
        <v>0</v>
      </c>
      <c r="E69" s="118">
        <f>'2'!K69</f>
        <v>0</v>
      </c>
      <c r="F69" s="118">
        <f>'3'!K69</f>
        <v>0</v>
      </c>
      <c r="G69" s="118">
        <f>'4'!K69</f>
        <v>0</v>
      </c>
      <c r="H69" s="118">
        <f>'5'!K69</f>
        <v>0</v>
      </c>
      <c r="I69" s="118">
        <f>'6'!K69</f>
        <v>0</v>
      </c>
      <c r="J69" s="118">
        <f>'7'!K69</f>
        <v>0</v>
      </c>
      <c r="K69" s="118">
        <f>'8'!K69</f>
        <v>0</v>
      </c>
      <c r="L69" s="118">
        <f>'9'!K69</f>
        <v>0</v>
      </c>
      <c r="M69" s="118">
        <f>'10'!K69</f>
        <v>0</v>
      </c>
      <c r="N69" s="118">
        <f>'11'!K69</f>
        <v>0</v>
      </c>
      <c r="O69" s="118">
        <f>'12'!K69</f>
        <v>0</v>
      </c>
      <c r="P69" s="118">
        <f>'13'!K69</f>
        <v>0</v>
      </c>
      <c r="Q69" s="118">
        <f>'14'!K69</f>
        <v>0</v>
      </c>
      <c r="R69" s="118">
        <f>'15'!K69</f>
        <v>0</v>
      </c>
      <c r="S69" s="118">
        <f>'16'!K69</f>
        <v>0</v>
      </c>
      <c r="T69" s="118">
        <f>'17'!K69</f>
        <v>0</v>
      </c>
      <c r="U69" s="118">
        <f>'18'!K69</f>
        <v>0</v>
      </c>
      <c r="V69" s="118">
        <f>'19'!K69</f>
        <v>0</v>
      </c>
      <c r="W69" s="118">
        <f>'20'!K69</f>
        <v>0</v>
      </c>
      <c r="X69" s="118">
        <f>'21'!K69</f>
        <v>0</v>
      </c>
      <c r="Y69" s="126">
        <f>'22'!K69</f>
        <v>0</v>
      </c>
      <c r="Z69" s="126">
        <f>'23'!K69</f>
        <v>0</v>
      </c>
      <c r="AA69" s="126">
        <f>'24'!K69</f>
        <v>0</v>
      </c>
      <c r="AB69" s="126">
        <f>'25'!K69</f>
        <v>0</v>
      </c>
      <c r="AC69" s="126">
        <f>'26'!K69</f>
        <v>0</v>
      </c>
      <c r="AD69" s="126">
        <f>'27'!K69</f>
        <v>0</v>
      </c>
      <c r="AE69" s="126">
        <f>'28'!K69</f>
        <v>0</v>
      </c>
      <c r="AF69" s="126">
        <f>'29'!K69</f>
        <v>0</v>
      </c>
      <c r="AG69" s="126">
        <f>'30'!K69</f>
        <v>0</v>
      </c>
      <c r="AH69" s="126">
        <f>'31'!K69</f>
        <v>0</v>
      </c>
      <c r="AI69" s="126"/>
      <c r="AJ69" s="126">
        <f t="shared" si="0"/>
        <v>0</v>
      </c>
      <c r="AK69" s="238">
        <f t="shared" si="1"/>
        <v>0</v>
      </c>
    </row>
    <row r="70" spans="1:37" x14ac:dyDescent="0.25">
      <c r="A70" s="148"/>
      <c r="B70" s="107" t="s">
        <v>62</v>
      </c>
      <c r="C70" s="108" t="s">
        <v>5</v>
      </c>
      <c r="D70" s="90">
        <f>'1'!K70</f>
        <v>34857.142857142855</v>
      </c>
      <c r="E70" s="90">
        <f>'2'!K70</f>
        <v>35000</v>
      </c>
      <c r="F70" s="90">
        <f>'3'!K70</f>
        <v>35428.571428571428</v>
      </c>
      <c r="G70" s="90">
        <f>'4'!K70</f>
        <v>34571.428571428572</v>
      </c>
      <c r="H70" s="90">
        <f>'5'!K70</f>
        <v>34428.571428571428</v>
      </c>
      <c r="I70" s="90">
        <f>'6'!K70</f>
        <v>35428.571428571428</v>
      </c>
      <c r="J70" s="90">
        <f>'7'!K70</f>
        <v>35428.571428571428</v>
      </c>
      <c r="K70" s="90">
        <f>'8'!K70</f>
        <v>35857.142857142855</v>
      </c>
      <c r="L70" s="90">
        <f>'9'!K70</f>
        <v>36000</v>
      </c>
      <c r="M70" s="90">
        <f>'10'!K70</f>
        <v>35857.142857142855</v>
      </c>
      <c r="N70" s="90">
        <f>'11'!K70</f>
        <v>36000</v>
      </c>
      <c r="O70" s="90">
        <f>'12'!K70</f>
        <v>35714.285714285717</v>
      </c>
      <c r="P70" s="90">
        <f>'13'!K70</f>
        <v>36000</v>
      </c>
      <c r="Q70" s="90">
        <f>'14'!K70</f>
        <v>36000</v>
      </c>
      <c r="R70" s="90">
        <f>'15'!K70</f>
        <v>36428.571428571428</v>
      </c>
      <c r="S70" s="90">
        <f>'16'!K70</f>
        <v>35714.285714285717</v>
      </c>
      <c r="T70" s="90">
        <f>'17'!K70</f>
        <v>35857.142857142855</v>
      </c>
      <c r="U70" s="90">
        <f>'18'!K70</f>
        <v>35857.142857142855</v>
      </c>
      <c r="V70" s="90">
        <f>'19'!K70</f>
        <v>36142.857142857145</v>
      </c>
      <c r="W70" s="90">
        <f>'20'!K70</f>
        <v>36000</v>
      </c>
      <c r="X70" s="90">
        <f>'21'!K70</f>
        <v>36142.857142857145</v>
      </c>
      <c r="Y70" s="90">
        <f>'22'!K70</f>
        <v>36714.285714285717</v>
      </c>
      <c r="Z70" s="90">
        <f>'23'!K70</f>
        <v>37000</v>
      </c>
      <c r="AA70" s="90">
        <f>'24'!K70</f>
        <v>36142.857142857145</v>
      </c>
      <c r="AB70" s="90">
        <f>'25'!K70</f>
        <v>35857.142857142855</v>
      </c>
      <c r="AC70" s="90">
        <f>'26'!K70</f>
        <v>36285.714285714283</v>
      </c>
      <c r="AD70" s="90">
        <f>'27'!K70</f>
        <v>36142.857142857145</v>
      </c>
      <c r="AE70" s="90">
        <f>'28'!K70</f>
        <v>36142.857142857145</v>
      </c>
      <c r="AF70" s="90">
        <f>'29'!K70</f>
        <v>36142.857142857145</v>
      </c>
      <c r="AG70" s="90">
        <f>'30'!K70</f>
        <v>36428.571428571428</v>
      </c>
      <c r="AH70" s="90">
        <f>'31'!K70</f>
        <v>36428.571428571428</v>
      </c>
      <c r="AI70" s="90"/>
      <c r="AJ70" s="90">
        <f t="shared" si="0"/>
        <v>1571.4285714285725</v>
      </c>
      <c r="AK70" s="238">
        <f t="shared" si="1"/>
        <v>35870.967741935485</v>
      </c>
    </row>
    <row r="71" spans="1:37" x14ac:dyDescent="0.25">
      <c r="A71" s="148"/>
      <c r="B71" s="107" t="s">
        <v>63</v>
      </c>
      <c r="C71" s="108" t="s">
        <v>5</v>
      </c>
      <c r="D71" s="90">
        <f>'1'!K71</f>
        <v>30571.428571428572</v>
      </c>
      <c r="E71" s="90">
        <f>'2'!K71</f>
        <v>30142.857142857141</v>
      </c>
      <c r="F71" s="90">
        <f>'3'!K71</f>
        <v>31142.857142857141</v>
      </c>
      <c r="G71" s="90">
        <f>'4'!K71</f>
        <v>30857.142857142859</v>
      </c>
      <c r="H71" s="90">
        <f>'5'!K71</f>
        <v>31142.857142857141</v>
      </c>
      <c r="I71" s="90">
        <f>'6'!K71</f>
        <v>31714.285714285714</v>
      </c>
      <c r="J71" s="90">
        <f>'7'!K71</f>
        <v>31714.285714285714</v>
      </c>
      <c r="K71" s="90">
        <f>'8'!K71</f>
        <v>31428.571428571428</v>
      </c>
      <c r="L71" s="90">
        <f>'9'!K71</f>
        <v>31714.285714285714</v>
      </c>
      <c r="M71" s="90">
        <f>'10'!K71</f>
        <v>32428.571428571428</v>
      </c>
      <c r="N71" s="90">
        <f>'11'!K71</f>
        <v>32714.285714285714</v>
      </c>
      <c r="O71" s="90">
        <f>'12'!K71</f>
        <v>33000</v>
      </c>
      <c r="P71" s="90">
        <f>'13'!K71</f>
        <v>32714.285714285714</v>
      </c>
      <c r="Q71" s="90">
        <f>'14'!K71</f>
        <v>32714.285714285714</v>
      </c>
      <c r="R71" s="90">
        <f>'15'!K71</f>
        <v>33142.857142857145</v>
      </c>
      <c r="S71" s="90">
        <f>'16'!K71</f>
        <v>32285.714285714286</v>
      </c>
      <c r="T71" s="90">
        <f>'17'!K71</f>
        <v>32142.857142857141</v>
      </c>
      <c r="U71" s="90">
        <f>'18'!K71</f>
        <v>32142.857142857141</v>
      </c>
      <c r="V71" s="90">
        <f>'19'!K71</f>
        <v>32571.428571428572</v>
      </c>
      <c r="W71" s="90">
        <f>'20'!K71</f>
        <v>32571.428571428572</v>
      </c>
      <c r="X71" s="90">
        <f>'21'!K71</f>
        <v>32714.285714285714</v>
      </c>
      <c r="Y71" s="90">
        <f>'22'!K71</f>
        <v>32714.285714285714</v>
      </c>
      <c r="Z71" s="90">
        <f>'23'!K71</f>
        <v>33285.714285714283</v>
      </c>
      <c r="AA71" s="90">
        <f>'24'!K71</f>
        <v>32714.285714285714</v>
      </c>
      <c r="AB71" s="90">
        <f>'25'!K71</f>
        <v>32714.285714285714</v>
      </c>
      <c r="AC71" s="90">
        <f>'26'!K71</f>
        <v>32714.285714285714</v>
      </c>
      <c r="AD71" s="90">
        <f>'27'!K71</f>
        <v>32714.285714285714</v>
      </c>
      <c r="AE71" s="90">
        <f>'28'!K71</f>
        <v>32714.285714285714</v>
      </c>
      <c r="AF71" s="90">
        <f>'29'!K71</f>
        <v>33428.571428571428</v>
      </c>
      <c r="AG71" s="90">
        <f>'30'!K71</f>
        <v>34000</v>
      </c>
      <c r="AH71" s="90">
        <f>'31'!K71</f>
        <v>33714.285714285717</v>
      </c>
      <c r="AI71" s="90"/>
      <c r="AJ71" s="90">
        <f t="shared" si="0"/>
        <v>3142.8571428571449</v>
      </c>
      <c r="AK71" s="238">
        <f t="shared" si="1"/>
        <v>32331.797235023034</v>
      </c>
    </row>
    <row r="72" spans="1:37" x14ac:dyDescent="0.25">
      <c r="A72" s="148"/>
      <c r="B72" s="107" t="s">
        <v>64</v>
      </c>
      <c r="C72" s="108" t="s">
        <v>5</v>
      </c>
      <c r="D72" s="90">
        <f>'1'!K72</f>
        <v>42285.714285714283</v>
      </c>
      <c r="E72" s="90">
        <f>'2'!K72</f>
        <v>41428.571428571428</v>
      </c>
      <c r="F72" s="90">
        <f>'3'!K72</f>
        <v>40857.142857142855</v>
      </c>
      <c r="G72" s="90">
        <f>'4'!K72</f>
        <v>40428.571428571428</v>
      </c>
      <c r="H72" s="90">
        <f>'5'!K72</f>
        <v>40714.285714285717</v>
      </c>
      <c r="I72" s="90">
        <f>'6'!K72</f>
        <v>40857.142857142855</v>
      </c>
      <c r="J72" s="90">
        <f>'7'!K72</f>
        <v>40857.142857142855</v>
      </c>
      <c r="K72" s="90">
        <f>'8'!K72</f>
        <v>40000</v>
      </c>
      <c r="L72" s="90">
        <f>'9'!K72</f>
        <v>39857.142857142855</v>
      </c>
      <c r="M72" s="90">
        <f>'10'!K72</f>
        <v>39428.571428571428</v>
      </c>
      <c r="N72" s="90">
        <f>'11'!K72</f>
        <v>39000</v>
      </c>
      <c r="O72" s="90">
        <f>'12'!K72</f>
        <v>38142.857142857145</v>
      </c>
      <c r="P72" s="90">
        <f>'13'!K72</f>
        <v>37428.571428571428</v>
      </c>
      <c r="Q72" s="90">
        <f>'14'!K72</f>
        <v>37428.571428571428</v>
      </c>
      <c r="R72" s="90">
        <f>'15'!K72</f>
        <v>36714.285714285717</v>
      </c>
      <c r="S72" s="90">
        <f>'16'!K72</f>
        <v>36714.285714285717</v>
      </c>
      <c r="T72" s="90">
        <f>'17'!K72</f>
        <v>37714.285714285717</v>
      </c>
      <c r="U72" s="90">
        <f>'18'!K72</f>
        <v>37714.285714285717</v>
      </c>
      <c r="V72" s="90">
        <f>'19'!K72</f>
        <v>37142.857142857145</v>
      </c>
      <c r="W72" s="90">
        <f>'20'!K72</f>
        <v>37142.857142857145</v>
      </c>
      <c r="X72" s="90">
        <f>'21'!K72</f>
        <v>37000</v>
      </c>
      <c r="Y72" s="90">
        <f>'22'!K72</f>
        <v>37142.857142857145</v>
      </c>
      <c r="Z72" s="90">
        <f>'23'!K72</f>
        <v>37142.857142857145</v>
      </c>
      <c r="AA72" s="90">
        <f>'24'!K72</f>
        <v>37571.428571428572</v>
      </c>
      <c r="AB72" s="90">
        <f>'25'!K72</f>
        <v>37285.714285714283</v>
      </c>
      <c r="AC72" s="90">
        <f>'26'!K72</f>
        <v>36714.285714285717</v>
      </c>
      <c r="AD72" s="90">
        <f>'27'!K72</f>
        <v>37857.142857142855</v>
      </c>
      <c r="AE72" s="90">
        <f>'28'!K72</f>
        <v>35714.285714285717</v>
      </c>
      <c r="AF72" s="90">
        <f>'29'!K72</f>
        <v>35000</v>
      </c>
      <c r="AG72" s="90">
        <f>'30'!K72</f>
        <v>35428.571428571428</v>
      </c>
      <c r="AH72" s="90">
        <f>'31'!K72</f>
        <v>35000</v>
      </c>
      <c r="AI72" s="90">
        <v>12000</v>
      </c>
      <c r="AJ72" s="90">
        <f t="shared" si="0"/>
        <v>-7285.7142857142826</v>
      </c>
      <c r="AK72" s="238">
        <f t="shared" si="1"/>
        <v>38184.331797235012</v>
      </c>
    </row>
    <row r="73" spans="1:37" x14ac:dyDescent="0.25">
      <c r="A73" s="149"/>
      <c r="B73" s="107" t="s">
        <v>65</v>
      </c>
      <c r="C73" s="108" t="s">
        <v>5</v>
      </c>
      <c r="D73" s="90">
        <f>'1'!K73</f>
        <v>39571.428571428572</v>
      </c>
      <c r="E73" s="90">
        <f>'2'!K73</f>
        <v>40285.714285714283</v>
      </c>
      <c r="F73" s="90">
        <f>'3'!K73</f>
        <v>41000</v>
      </c>
      <c r="G73" s="90">
        <f>'4'!K73</f>
        <v>41428.571428571428</v>
      </c>
      <c r="H73" s="90">
        <f>'5'!K73</f>
        <v>40714.285714285717</v>
      </c>
      <c r="I73" s="90">
        <f>'6'!K73</f>
        <v>41428.571428571428</v>
      </c>
      <c r="J73" s="90">
        <f>'7'!K73</f>
        <v>41428.571428571428</v>
      </c>
      <c r="K73" s="90">
        <f>'8'!K73</f>
        <v>40285.714285714283</v>
      </c>
      <c r="L73" s="90">
        <f>'9'!K73</f>
        <v>40285.714285714283</v>
      </c>
      <c r="M73" s="90">
        <f>'10'!K73</f>
        <v>40285.714285714283</v>
      </c>
      <c r="N73" s="90">
        <f>'11'!K73</f>
        <v>40285.714285714283</v>
      </c>
      <c r="O73" s="90">
        <f>'12'!K73</f>
        <v>40285.714285714283</v>
      </c>
      <c r="P73" s="90">
        <f>'13'!K73</f>
        <v>40285.714285714283</v>
      </c>
      <c r="Q73" s="90">
        <f>'14'!K73</f>
        <v>40285.714285714283</v>
      </c>
      <c r="R73" s="90">
        <f>'15'!K73</f>
        <v>41714.285714285717</v>
      </c>
      <c r="S73" s="90">
        <f>'16'!K73</f>
        <v>41000</v>
      </c>
      <c r="T73" s="90">
        <f>'17'!K73</f>
        <v>41000</v>
      </c>
      <c r="U73" s="90">
        <f>'18'!K73</f>
        <v>41000</v>
      </c>
      <c r="V73" s="90">
        <f>'19'!K73</f>
        <v>41000</v>
      </c>
      <c r="W73" s="90">
        <f>'20'!K73</f>
        <v>40285.714285714283</v>
      </c>
      <c r="X73" s="90">
        <f>'21'!K73</f>
        <v>41000</v>
      </c>
      <c r="Y73" s="90">
        <f>'22'!K73</f>
        <v>42142.857142857145</v>
      </c>
      <c r="Z73" s="90">
        <f>'23'!K73</f>
        <v>42142.857142857145</v>
      </c>
      <c r="AA73" s="90">
        <f>'24'!K73</f>
        <v>42142.857142857145</v>
      </c>
      <c r="AB73" s="90">
        <f>'25'!K73</f>
        <v>42142.857142857145</v>
      </c>
      <c r="AC73" s="90">
        <f>'26'!K73</f>
        <v>42142.857142857145</v>
      </c>
      <c r="AD73" s="90">
        <f>'27'!K73</f>
        <v>42142.857142857145</v>
      </c>
      <c r="AE73" s="90">
        <f>'28'!K73</f>
        <v>41428.571428571428</v>
      </c>
      <c r="AF73" s="90">
        <f>'29'!K73</f>
        <v>42142.857142857145</v>
      </c>
      <c r="AG73" s="90">
        <f>'30'!K73</f>
        <v>42000</v>
      </c>
      <c r="AH73" s="90">
        <f>'31'!K73</f>
        <v>42000</v>
      </c>
      <c r="AI73" s="90"/>
      <c r="AJ73" s="90">
        <f t="shared" ref="AJ73:AJ88" si="2">AH73-D73</f>
        <v>2428.5714285714275</v>
      </c>
      <c r="AK73" s="238">
        <f t="shared" ref="AK73:AK88" si="3">AVERAGE(D73:AH73)</f>
        <v>41138.248847926254</v>
      </c>
    </row>
    <row r="74" spans="1:37" x14ac:dyDescent="0.25">
      <c r="A74" s="110">
        <v>20</v>
      </c>
      <c r="B74" s="116" t="s">
        <v>66</v>
      </c>
      <c r="C74" s="119"/>
      <c r="D74" s="118">
        <f>'1'!K74</f>
        <v>0</v>
      </c>
      <c r="E74" s="118">
        <f>'2'!K74</f>
        <v>0</v>
      </c>
      <c r="F74" s="118">
        <f>'3'!K74</f>
        <v>0</v>
      </c>
      <c r="G74" s="118">
        <f>'4'!K74</f>
        <v>0</v>
      </c>
      <c r="H74" s="118">
        <f>'5'!K74</f>
        <v>0</v>
      </c>
      <c r="I74" s="118">
        <f>'6'!K74</f>
        <v>0</v>
      </c>
      <c r="J74" s="118">
        <f>'7'!K74</f>
        <v>0</v>
      </c>
      <c r="K74" s="118">
        <f>'8'!K74</f>
        <v>0</v>
      </c>
      <c r="L74" s="118">
        <f>'9'!K74</f>
        <v>0</v>
      </c>
      <c r="M74" s="118">
        <f>'10'!K74</f>
        <v>0</v>
      </c>
      <c r="N74" s="118">
        <f>'11'!K74</f>
        <v>0</v>
      </c>
      <c r="O74" s="118">
        <f>'12'!K74</f>
        <v>0</v>
      </c>
      <c r="P74" s="118">
        <f>'13'!K74</f>
        <v>0</v>
      </c>
      <c r="Q74" s="118">
        <f>'14'!K74</f>
        <v>0</v>
      </c>
      <c r="R74" s="118">
        <f>'15'!K74</f>
        <v>0</v>
      </c>
      <c r="S74" s="118">
        <f>'16'!K74</f>
        <v>0</v>
      </c>
      <c r="T74" s="118">
        <f>'17'!K74</f>
        <v>0</v>
      </c>
      <c r="U74" s="118">
        <f>'18'!K74</f>
        <v>0</v>
      </c>
      <c r="V74" s="118">
        <f>'19'!K74</f>
        <v>0</v>
      </c>
      <c r="W74" s="118">
        <f>'20'!K74</f>
        <v>0</v>
      </c>
      <c r="X74" s="118">
        <f>'21'!K74</f>
        <v>0</v>
      </c>
      <c r="Y74" s="126">
        <f>'22'!K74</f>
        <v>0</v>
      </c>
      <c r="Z74" s="126">
        <f>'23'!K74</f>
        <v>0</v>
      </c>
      <c r="AA74" s="126">
        <f>'24'!K74</f>
        <v>0</v>
      </c>
      <c r="AB74" s="126">
        <f>'25'!K74</f>
        <v>0</v>
      </c>
      <c r="AC74" s="126">
        <f>'26'!K74</f>
        <v>0</v>
      </c>
      <c r="AD74" s="126">
        <f>'27'!K74</f>
        <v>0</v>
      </c>
      <c r="AE74" s="126">
        <f>'28'!K74</f>
        <v>0</v>
      </c>
      <c r="AF74" s="126">
        <f>'29'!K74</f>
        <v>0</v>
      </c>
      <c r="AG74" s="126">
        <f>'30'!K74</f>
        <v>0</v>
      </c>
      <c r="AH74" s="126">
        <f>'31'!K74</f>
        <v>0</v>
      </c>
      <c r="AI74" s="126"/>
      <c r="AJ74" s="126">
        <f t="shared" si="2"/>
        <v>0</v>
      </c>
      <c r="AK74" s="238">
        <f t="shared" si="3"/>
        <v>0</v>
      </c>
    </row>
    <row r="75" spans="1:37" x14ac:dyDescent="0.25">
      <c r="A75" s="112"/>
      <c r="B75" s="107" t="s">
        <v>67</v>
      </c>
      <c r="C75" s="108" t="s">
        <v>5</v>
      </c>
      <c r="D75" s="90">
        <f>'1'!K75</f>
        <v>5714.2857142857147</v>
      </c>
      <c r="E75" s="90">
        <f>'2'!K75</f>
        <v>5714.2857142857147</v>
      </c>
      <c r="F75" s="90">
        <f>'3'!K75</f>
        <v>5714.2857142857147</v>
      </c>
      <c r="G75" s="90">
        <f>'4'!K75</f>
        <v>5714.2857142857147</v>
      </c>
      <c r="H75" s="90">
        <f>'5'!K75</f>
        <v>5714.2857142857147</v>
      </c>
      <c r="I75" s="90">
        <f>'6'!K75</f>
        <v>5714.2857142857147</v>
      </c>
      <c r="J75" s="90">
        <f>'7'!K75</f>
        <v>5714.2857142857147</v>
      </c>
      <c r="K75" s="90">
        <f>'8'!K75</f>
        <v>5714.2857142857147</v>
      </c>
      <c r="L75" s="90">
        <f>'9'!K75</f>
        <v>5714.2857142857147</v>
      </c>
      <c r="M75" s="90">
        <f>'10'!K75</f>
        <v>5714.2857142857147</v>
      </c>
      <c r="N75" s="90">
        <f>'11'!K75</f>
        <v>5714.2857142857147</v>
      </c>
      <c r="O75" s="90">
        <f>'12'!K75</f>
        <v>5714.2857142857147</v>
      </c>
      <c r="P75" s="90">
        <f>'13'!K75</f>
        <v>5714.2857142857147</v>
      </c>
      <c r="Q75" s="90">
        <f>'14'!K75</f>
        <v>5714.2857142857147</v>
      </c>
      <c r="R75" s="90">
        <f>'15'!K75</f>
        <v>5714.2857142857147</v>
      </c>
      <c r="S75" s="90">
        <f>'16'!K75</f>
        <v>5714.2857142857147</v>
      </c>
      <c r="T75" s="90">
        <f>'17'!K75</f>
        <v>5714.2857142857147</v>
      </c>
      <c r="U75" s="90">
        <f>'18'!K75</f>
        <v>5714.2857142857147</v>
      </c>
      <c r="V75" s="90">
        <f>'19'!K75</f>
        <v>5714.2857142857147</v>
      </c>
      <c r="W75" s="90">
        <f>'20'!K75</f>
        <v>5714.2857142857147</v>
      </c>
      <c r="X75" s="90">
        <f>'21'!K75</f>
        <v>5714.2857142857147</v>
      </c>
      <c r="Y75" s="90">
        <f>'22'!K75</f>
        <v>5714.2857142857147</v>
      </c>
      <c r="Z75" s="90">
        <f>'23'!K75</f>
        <v>5714.2857142857147</v>
      </c>
      <c r="AA75" s="90">
        <f>'24'!K75</f>
        <v>5714.2857142857147</v>
      </c>
      <c r="AB75" s="90">
        <f>'25'!K75</f>
        <v>5714.2857142857147</v>
      </c>
      <c r="AC75" s="90">
        <f>'26'!K75</f>
        <v>5714.2857142857147</v>
      </c>
      <c r="AD75" s="90">
        <f>'27'!K75</f>
        <v>5714.2857142857147</v>
      </c>
      <c r="AE75" s="90">
        <f>'28'!K75</f>
        <v>5714.2857142857147</v>
      </c>
      <c r="AF75" s="90">
        <f>'29'!K75</f>
        <v>5714.2857142857147</v>
      </c>
      <c r="AG75" s="90">
        <f>'30'!K75</f>
        <v>5714.2857142857147</v>
      </c>
      <c r="AH75" s="90">
        <f>'31'!K75</f>
        <v>5714.2857142857147</v>
      </c>
      <c r="AI75" s="90"/>
      <c r="AJ75" s="90">
        <f t="shared" si="2"/>
        <v>0</v>
      </c>
      <c r="AK75" s="238">
        <f t="shared" si="3"/>
        <v>5714.2857142857129</v>
      </c>
    </row>
    <row r="76" spans="1:37" x14ac:dyDescent="0.25">
      <c r="A76" s="111"/>
      <c r="B76" s="107" t="s">
        <v>68</v>
      </c>
      <c r="C76" s="108" t="s">
        <v>5</v>
      </c>
      <c r="D76" s="90">
        <f>'1'!K76</f>
        <v>6000</v>
      </c>
      <c r="E76" s="90">
        <f>'2'!K76</f>
        <v>6000</v>
      </c>
      <c r="F76" s="90">
        <f>'3'!K76</f>
        <v>6000</v>
      </c>
      <c r="G76" s="90">
        <f>'4'!K76</f>
        <v>6000</v>
      </c>
      <c r="H76" s="90">
        <f>'5'!K76</f>
        <v>6000</v>
      </c>
      <c r="I76" s="90">
        <f>'6'!K76</f>
        <v>6000</v>
      </c>
      <c r="J76" s="90">
        <f>'7'!K76</f>
        <v>6000</v>
      </c>
      <c r="K76" s="90">
        <f>'8'!K76</f>
        <v>6000</v>
      </c>
      <c r="L76" s="90">
        <f>'9'!K76</f>
        <v>6000</v>
      </c>
      <c r="M76" s="90">
        <f>'10'!K76</f>
        <v>6000</v>
      </c>
      <c r="N76" s="90">
        <f>'11'!K76</f>
        <v>6000</v>
      </c>
      <c r="O76" s="90">
        <f>'12'!K76</f>
        <v>6000</v>
      </c>
      <c r="P76" s="90">
        <f>'13'!K76</f>
        <v>6000</v>
      </c>
      <c r="Q76" s="90">
        <f>'14'!K76</f>
        <v>6000</v>
      </c>
      <c r="R76" s="90">
        <f>'15'!K76</f>
        <v>6000</v>
      </c>
      <c r="S76" s="90">
        <f>'16'!K76</f>
        <v>6000</v>
      </c>
      <c r="T76" s="90">
        <f>'17'!K76</f>
        <v>6000</v>
      </c>
      <c r="U76" s="90">
        <f>'18'!K76</f>
        <v>6000</v>
      </c>
      <c r="V76" s="90">
        <f>'19'!K76</f>
        <v>6000</v>
      </c>
      <c r="W76" s="90">
        <f>'20'!K76</f>
        <v>6000</v>
      </c>
      <c r="X76" s="90">
        <f>'21'!K76</f>
        <v>6000</v>
      </c>
      <c r="Y76" s="90">
        <f>'22'!K76</f>
        <v>6000</v>
      </c>
      <c r="Z76" s="90">
        <f>'23'!K76</f>
        <v>6000</v>
      </c>
      <c r="AA76" s="90">
        <f>'24'!K76</f>
        <v>6000</v>
      </c>
      <c r="AB76" s="90">
        <f>'25'!K76</f>
        <v>6000</v>
      </c>
      <c r="AC76" s="90">
        <f>'26'!K76</f>
        <v>6000</v>
      </c>
      <c r="AD76" s="90">
        <f>'27'!K76</f>
        <v>6000</v>
      </c>
      <c r="AE76" s="90">
        <f>'28'!K76</f>
        <v>6000</v>
      </c>
      <c r="AF76" s="90">
        <f>'29'!K76</f>
        <v>6000</v>
      </c>
      <c r="AG76" s="90">
        <f>'30'!K76</f>
        <v>6000</v>
      </c>
      <c r="AH76" s="90">
        <f>'31'!K76</f>
        <v>6000</v>
      </c>
      <c r="AI76" s="90"/>
      <c r="AJ76" s="90">
        <f t="shared" si="2"/>
        <v>0</v>
      </c>
      <c r="AK76" s="238">
        <f t="shared" si="3"/>
        <v>6000</v>
      </c>
    </row>
    <row r="77" spans="1:37" x14ac:dyDescent="0.25">
      <c r="A77" s="110">
        <v>21</v>
      </c>
      <c r="B77" s="116" t="s">
        <v>69</v>
      </c>
      <c r="C77" s="119"/>
      <c r="D77" s="118">
        <f>'1'!K77</f>
        <v>0</v>
      </c>
      <c r="E77" s="118">
        <f>'2'!K77</f>
        <v>0</v>
      </c>
      <c r="F77" s="118">
        <f>'3'!K77</f>
        <v>0</v>
      </c>
      <c r="G77" s="118">
        <f>'4'!K77</f>
        <v>0</v>
      </c>
      <c r="H77" s="118">
        <f>'5'!K77</f>
        <v>0</v>
      </c>
      <c r="I77" s="118">
        <f>'6'!K77</f>
        <v>0</v>
      </c>
      <c r="J77" s="118">
        <f>'7'!K77</f>
        <v>0</v>
      </c>
      <c r="K77" s="118">
        <f>'8'!K77</f>
        <v>0</v>
      </c>
      <c r="L77" s="118">
        <f>'9'!K77</f>
        <v>0</v>
      </c>
      <c r="M77" s="118">
        <f>'10'!K77</f>
        <v>0</v>
      </c>
      <c r="N77" s="118">
        <f>'11'!K77</f>
        <v>0</v>
      </c>
      <c r="O77" s="118">
        <f>'12'!K77</f>
        <v>0</v>
      </c>
      <c r="P77" s="118">
        <f>'13'!K77</f>
        <v>0</v>
      </c>
      <c r="Q77" s="118">
        <f>'14'!K77</f>
        <v>0</v>
      </c>
      <c r="R77" s="118">
        <f>'15'!K77</f>
        <v>0</v>
      </c>
      <c r="S77" s="118">
        <f>'16'!K77</f>
        <v>0</v>
      </c>
      <c r="T77" s="118">
        <f>'17'!K77</f>
        <v>0</v>
      </c>
      <c r="U77" s="118">
        <f>'18'!K77</f>
        <v>0</v>
      </c>
      <c r="V77" s="118">
        <f>'19'!K77</f>
        <v>0</v>
      </c>
      <c r="W77" s="118">
        <f>'20'!K77</f>
        <v>0</v>
      </c>
      <c r="X77" s="118">
        <f>'21'!K77</f>
        <v>0</v>
      </c>
      <c r="Y77" s="126">
        <f>'22'!K77</f>
        <v>0</v>
      </c>
      <c r="Z77" s="126">
        <f>'23'!K77</f>
        <v>0</v>
      </c>
      <c r="AA77" s="126">
        <f>'24'!K77</f>
        <v>0</v>
      </c>
      <c r="AB77" s="126">
        <f>'25'!K77</f>
        <v>0</v>
      </c>
      <c r="AC77" s="126">
        <f>'26'!K77</f>
        <v>0</v>
      </c>
      <c r="AD77" s="126">
        <f>'27'!K77</f>
        <v>0</v>
      </c>
      <c r="AE77" s="126">
        <f>'28'!K77</f>
        <v>0</v>
      </c>
      <c r="AF77" s="126">
        <f>'29'!K77</f>
        <v>0</v>
      </c>
      <c r="AG77" s="126">
        <f>'30'!K77</f>
        <v>0</v>
      </c>
      <c r="AH77" s="126">
        <f>'31'!K77</f>
        <v>0</v>
      </c>
      <c r="AI77" s="126"/>
      <c r="AJ77" s="126">
        <f t="shared" si="2"/>
        <v>0</v>
      </c>
      <c r="AK77" s="238">
        <f t="shared" si="3"/>
        <v>0</v>
      </c>
    </row>
    <row r="78" spans="1:37" x14ac:dyDescent="0.25">
      <c r="A78" s="112"/>
      <c r="B78" s="107" t="s">
        <v>70</v>
      </c>
      <c r="C78" s="108" t="s">
        <v>5</v>
      </c>
      <c r="D78" s="90">
        <f>'1'!K78</f>
        <v>9142.8571428571431</v>
      </c>
      <c r="E78" s="90">
        <f>'2'!K78</f>
        <v>8857.1428571428569</v>
      </c>
      <c r="F78" s="90">
        <f>'3'!K78</f>
        <v>8714.2857142857138</v>
      </c>
      <c r="G78" s="90">
        <f>'4'!K78</f>
        <v>8714.2857142857138</v>
      </c>
      <c r="H78" s="90">
        <f>'5'!K78</f>
        <v>8857.1428571428569</v>
      </c>
      <c r="I78" s="90">
        <f>'6'!K78</f>
        <v>8714.2857142857138</v>
      </c>
      <c r="J78" s="90">
        <f>'7'!K78</f>
        <v>8714.2857142857138</v>
      </c>
      <c r="K78" s="90">
        <f>'8'!K78</f>
        <v>8571.4285714285706</v>
      </c>
      <c r="L78" s="90">
        <f>'9'!K78</f>
        <v>8428.5714285714294</v>
      </c>
      <c r="M78" s="90">
        <f>'10'!K78</f>
        <v>8142.8571428571431</v>
      </c>
      <c r="N78" s="90">
        <f>'11'!K78</f>
        <v>8428.5714285714294</v>
      </c>
      <c r="O78" s="90">
        <f>'12'!K78</f>
        <v>8000</v>
      </c>
      <c r="P78" s="90">
        <f>'13'!K78</f>
        <v>7857.1428571428569</v>
      </c>
      <c r="Q78" s="90">
        <f>'14'!K78</f>
        <v>7857.1428571428569</v>
      </c>
      <c r="R78" s="90">
        <f>'15'!K78</f>
        <v>8000</v>
      </c>
      <c r="S78" s="90">
        <f>'16'!K78</f>
        <v>8285.7142857142862</v>
      </c>
      <c r="T78" s="90">
        <f>'17'!K78</f>
        <v>7857.1428571428569</v>
      </c>
      <c r="U78" s="90">
        <f>'18'!K78</f>
        <v>7857.1428571428569</v>
      </c>
      <c r="V78" s="90">
        <f>'19'!K78</f>
        <v>8142.8571428571431</v>
      </c>
      <c r="W78" s="90">
        <f>'20'!K78</f>
        <v>8000</v>
      </c>
      <c r="X78" s="90">
        <f>'21'!K78</f>
        <v>8000</v>
      </c>
      <c r="Y78" s="90">
        <f>'22'!K78</f>
        <v>7714.2857142857147</v>
      </c>
      <c r="Z78" s="90">
        <f>'23'!K78</f>
        <v>7714.2857142857147</v>
      </c>
      <c r="AA78" s="90">
        <f>'24'!K78</f>
        <v>7714.2857142857147</v>
      </c>
      <c r="AB78" s="90">
        <f>'25'!K78</f>
        <v>7714.2857142857147</v>
      </c>
      <c r="AC78" s="90">
        <f>'26'!K78</f>
        <v>7714.2857142857147</v>
      </c>
      <c r="AD78" s="90">
        <f>'27'!K78</f>
        <v>7428.5714285714284</v>
      </c>
      <c r="AE78" s="90">
        <f>'28'!K78</f>
        <v>7714.2857142857147</v>
      </c>
      <c r="AF78" s="90">
        <f>'29'!K78</f>
        <v>7571.4285714285716</v>
      </c>
      <c r="AG78" s="90">
        <f>'30'!K78</f>
        <v>7571.4285714285716</v>
      </c>
      <c r="AH78" s="90">
        <f>'31'!K78</f>
        <v>7571.4285714285716</v>
      </c>
      <c r="AI78" s="90"/>
      <c r="AJ78" s="90">
        <f t="shared" si="2"/>
        <v>-1571.4285714285716</v>
      </c>
      <c r="AK78" s="238">
        <f t="shared" si="3"/>
        <v>8115.20737327189</v>
      </c>
    </row>
    <row r="79" spans="1:37" x14ac:dyDescent="0.25">
      <c r="A79" s="112"/>
      <c r="B79" s="107" t="s">
        <v>71</v>
      </c>
      <c r="C79" s="108" t="s">
        <v>5</v>
      </c>
      <c r="D79" s="90">
        <f>'1'!K79</f>
        <v>13857.142857142857</v>
      </c>
      <c r="E79" s="90">
        <f>'2'!K79</f>
        <v>14142.857142857143</v>
      </c>
      <c r="F79" s="90">
        <f>'3'!K79</f>
        <v>13714.285714285714</v>
      </c>
      <c r="G79" s="90">
        <f>'4'!K79</f>
        <v>14428.571428571429</v>
      </c>
      <c r="H79" s="90">
        <f>'5'!K79</f>
        <v>14428.571428571429</v>
      </c>
      <c r="I79" s="90">
        <f>'6'!K79</f>
        <v>14571.428571428571</v>
      </c>
      <c r="J79" s="90">
        <f>'7'!K79</f>
        <v>14571.428571428571</v>
      </c>
      <c r="K79" s="90">
        <f>'8'!K79</f>
        <v>14428.571428571429</v>
      </c>
      <c r="L79" s="90">
        <f>'9'!K79</f>
        <v>14428.571428571429</v>
      </c>
      <c r="M79" s="90">
        <f>'10'!K79</f>
        <v>14285.714285714286</v>
      </c>
      <c r="N79" s="90">
        <f>'11'!K79</f>
        <v>15142.857142857143</v>
      </c>
      <c r="O79" s="90">
        <f>'12'!K79</f>
        <v>14857.142857142857</v>
      </c>
      <c r="P79" s="90">
        <f>'13'!K79</f>
        <v>14571.428571428571</v>
      </c>
      <c r="Q79" s="90">
        <f>'14'!K79</f>
        <v>14571.428571428571</v>
      </c>
      <c r="R79" s="90">
        <f>'15'!K79</f>
        <v>15142.857142857143</v>
      </c>
      <c r="S79" s="90">
        <f>'16'!K79</f>
        <v>16000</v>
      </c>
      <c r="T79" s="90">
        <f>'17'!K79</f>
        <v>16000</v>
      </c>
      <c r="U79" s="90">
        <f>'18'!K79</f>
        <v>16000</v>
      </c>
      <c r="V79" s="90">
        <f>'19'!K79</f>
        <v>16285.714285714286</v>
      </c>
      <c r="W79" s="90">
        <f>'20'!K79</f>
        <v>16285.714285714286</v>
      </c>
      <c r="X79" s="90">
        <f>'21'!K79</f>
        <v>16285.714285714286</v>
      </c>
      <c r="Y79" s="90">
        <f>'22'!K79</f>
        <v>16714.285714285714</v>
      </c>
      <c r="Z79" s="90">
        <f>'23'!K79</f>
        <v>16714.285714285714</v>
      </c>
      <c r="AA79" s="90">
        <f>'24'!K79</f>
        <v>17000</v>
      </c>
      <c r="AB79" s="90">
        <f>'25'!K79</f>
        <v>16285.714285714286</v>
      </c>
      <c r="AC79" s="90">
        <f>'26'!K79</f>
        <v>16428.571428571428</v>
      </c>
      <c r="AD79" s="90">
        <f>'27'!K79</f>
        <v>17000</v>
      </c>
      <c r="AE79" s="90">
        <f>'28'!K79</f>
        <v>17000</v>
      </c>
      <c r="AF79" s="90">
        <f>'29'!K79</f>
        <v>16428.571428571428</v>
      </c>
      <c r="AG79" s="90">
        <f>'30'!K79</f>
        <v>16000</v>
      </c>
      <c r="AH79" s="90">
        <f>'31'!K79</f>
        <v>16000</v>
      </c>
      <c r="AI79" s="90"/>
      <c r="AJ79" s="90">
        <f t="shared" si="2"/>
        <v>2142.8571428571431</v>
      </c>
      <c r="AK79" s="238">
        <f t="shared" si="3"/>
        <v>15470.046082949308</v>
      </c>
    </row>
    <row r="80" spans="1:37" x14ac:dyDescent="0.25">
      <c r="A80" s="112"/>
      <c r="B80" s="107" t="s">
        <v>72</v>
      </c>
      <c r="C80" s="108" t="s">
        <v>5</v>
      </c>
      <c r="D80" s="90">
        <f>'1'!K80</f>
        <v>15285.714285714286</v>
      </c>
      <c r="E80" s="90">
        <f>'2'!K80</f>
        <v>15571.428571428571</v>
      </c>
      <c r="F80" s="90">
        <f>'3'!K80</f>
        <v>15428.571428571429</v>
      </c>
      <c r="G80" s="90">
        <f>'4'!K80</f>
        <v>15428.571428571429</v>
      </c>
      <c r="H80" s="90">
        <f>'5'!K80</f>
        <v>15571.428571428571</v>
      </c>
      <c r="I80" s="90">
        <f>'6'!K80</f>
        <v>15428.571428571429</v>
      </c>
      <c r="J80" s="90">
        <f>'7'!K80</f>
        <v>15428.571428571429</v>
      </c>
      <c r="K80" s="90">
        <f>'8'!K80</f>
        <v>15857.142857142857</v>
      </c>
      <c r="L80" s="90">
        <f>'9'!K80</f>
        <v>15857.142857142857</v>
      </c>
      <c r="M80" s="90">
        <f>'10'!K80</f>
        <v>15857.142857142857</v>
      </c>
      <c r="N80" s="90">
        <f>'11'!K80</f>
        <v>15857.142857142857</v>
      </c>
      <c r="O80" s="90">
        <f>'12'!K80</f>
        <v>16000</v>
      </c>
      <c r="P80" s="90">
        <f>'13'!K80</f>
        <v>15857.142857142857</v>
      </c>
      <c r="Q80" s="90">
        <f>'14'!K80</f>
        <v>15857.142857142857</v>
      </c>
      <c r="R80" s="90">
        <f>'15'!K80</f>
        <v>16285.714285714286</v>
      </c>
      <c r="S80" s="90">
        <f>'16'!K80</f>
        <v>16000</v>
      </c>
      <c r="T80" s="90">
        <f>'17'!K80</f>
        <v>16000</v>
      </c>
      <c r="U80" s="90">
        <f>'18'!K80</f>
        <v>16000</v>
      </c>
      <c r="V80" s="90">
        <f>'19'!K80</f>
        <v>15428.571428571429</v>
      </c>
      <c r="W80" s="90">
        <f>'20'!K80</f>
        <v>15285.714285714286</v>
      </c>
      <c r="X80" s="90">
        <f>'21'!K80</f>
        <v>15285.714285714286</v>
      </c>
      <c r="Y80" s="90">
        <f>'22'!K80</f>
        <v>14714.285714285714</v>
      </c>
      <c r="Z80" s="90">
        <f>'23'!K80</f>
        <v>14714.285714285714</v>
      </c>
      <c r="AA80" s="90">
        <f>'24'!K80</f>
        <v>14571.428571428571</v>
      </c>
      <c r="AB80" s="90">
        <f>'25'!K80</f>
        <v>14571.428571428571</v>
      </c>
      <c r="AC80" s="90">
        <f>'26'!K80</f>
        <v>14571.428571428571</v>
      </c>
      <c r="AD80" s="90">
        <f>'27'!K80</f>
        <v>14571.428571428571</v>
      </c>
      <c r="AE80" s="90">
        <f>'28'!K80</f>
        <v>14428.571428571429</v>
      </c>
      <c r="AF80" s="90">
        <f>'29'!K80</f>
        <v>14571.428571428571</v>
      </c>
      <c r="AG80" s="90">
        <f>'30'!K80</f>
        <v>14714.285714285714</v>
      </c>
      <c r="AH80" s="90">
        <f>'31'!K80</f>
        <v>14714.285714285714</v>
      </c>
      <c r="AI80" s="90"/>
      <c r="AJ80" s="90">
        <f t="shared" si="2"/>
        <v>-571.42857142857247</v>
      </c>
      <c r="AK80" s="238">
        <f t="shared" si="3"/>
        <v>15345.622119815673</v>
      </c>
    </row>
    <row r="81" spans="1:37" x14ac:dyDescent="0.25">
      <c r="A81" s="112"/>
      <c r="B81" s="107" t="s">
        <v>73</v>
      </c>
      <c r="C81" s="108" t="s">
        <v>5</v>
      </c>
      <c r="D81" s="90">
        <f>'1'!K81</f>
        <v>15142.857142857143</v>
      </c>
      <c r="E81" s="90">
        <f>'2'!K81</f>
        <v>15714.285714285714</v>
      </c>
      <c r="F81" s="90">
        <f>'3'!K81</f>
        <v>15428.571428571429</v>
      </c>
      <c r="G81" s="90">
        <f>'4'!K81</f>
        <v>15428.571428571429</v>
      </c>
      <c r="H81" s="90">
        <f>'5'!K81</f>
        <v>15714.285714285714</v>
      </c>
      <c r="I81" s="90">
        <f>'6'!K81</f>
        <v>15428.571428571429</v>
      </c>
      <c r="J81" s="90">
        <f>'7'!K81</f>
        <v>15428.571428571429</v>
      </c>
      <c r="K81" s="90">
        <f>'8'!K81</f>
        <v>15714.285714285714</v>
      </c>
      <c r="L81" s="90">
        <f>'9'!K81</f>
        <v>15714.285714285714</v>
      </c>
      <c r="M81" s="90">
        <f>'10'!K81</f>
        <v>15428.571428571429</v>
      </c>
      <c r="N81" s="90">
        <f>'11'!K81</f>
        <v>15000</v>
      </c>
      <c r="O81" s="90">
        <f>'12'!K81</f>
        <v>15000</v>
      </c>
      <c r="P81" s="90">
        <f>'13'!K81</f>
        <v>14428.571428571429</v>
      </c>
      <c r="Q81" s="90">
        <f>'14'!K81</f>
        <v>14428.571428571429</v>
      </c>
      <c r="R81" s="90">
        <f>'15'!K81</f>
        <v>14428.571428571429</v>
      </c>
      <c r="S81" s="90">
        <f>'16'!K81</f>
        <v>14428.571428571429</v>
      </c>
      <c r="T81" s="90">
        <f>'17'!K81</f>
        <v>14285.714285714286</v>
      </c>
      <c r="U81" s="90">
        <f>'18'!K81</f>
        <v>14285.714285714286</v>
      </c>
      <c r="V81" s="90">
        <f>'19'!K81</f>
        <v>14000</v>
      </c>
      <c r="W81" s="90">
        <f>'20'!K81</f>
        <v>14000</v>
      </c>
      <c r="X81" s="90">
        <f>'21'!K81</f>
        <v>14000</v>
      </c>
      <c r="Y81" s="90">
        <f>'22'!K81</f>
        <v>12857.142857142857</v>
      </c>
      <c r="Z81" s="90">
        <f>'23'!K81</f>
        <v>12857.142857142857</v>
      </c>
      <c r="AA81" s="90">
        <f>'24'!K81</f>
        <v>13571.428571428571</v>
      </c>
      <c r="AB81" s="90">
        <f>'25'!K81</f>
        <v>13571.428571428571</v>
      </c>
      <c r="AC81" s="90">
        <f>'26'!K81</f>
        <v>13571.428571428571</v>
      </c>
      <c r="AD81" s="90">
        <f>'27'!K81</f>
        <v>13571.428571428571</v>
      </c>
      <c r="AE81" s="90">
        <f>'28'!K81</f>
        <v>13571.428571428571</v>
      </c>
      <c r="AF81" s="90">
        <f>'29'!K81</f>
        <v>13714.285714285714</v>
      </c>
      <c r="AG81" s="90">
        <f>'30'!K81</f>
        <v>13714.285714285714</v>
      </c>
      <c r="AH81" s="90">
        <f>'31'!K81</f>
        <v>13714.285714285714</v>
      </c>
      <c r="AI81" s="90"/>
      <c r="AJ81" s="90">
        <f t="shared" si="2"/>
        <v>-1428.5714285714294</v>
      </c>
      <c r="AK81" s="238">
        <f t="shared" si="3"/>
        <v>14456.221198156683</v>
      </c>
    </row>
    <row r="82" spans="1:37" x14ac:dyDescent="0.25">
      <c r="A82" s="112"/>
      <c r="B82" s="107" t="s">
        <v>74</v>
      </c>
      <c r="C82" s="108" t="s">
        <v>5</v>
      </c>
      <c r="D82" s="90">
        <f>'1'!K82</f>
        <v>11571.428571428571</v>
      </c>
      <c r="E82" s="90">
        <f>'2'!K82</f>
        <v>11714.285714285714</v>
      </c>
      <c r="F82" s="90">
        <f>'3'!K82</f>
        <v>11428.571428571429</v>
      </c>
      <c r="G82" s="90">
        <f>'4'!K82</f>
        <v>11571.428571428571</v>
      </c>
      <c r="H82" s="90">
        <f>'5'!K82</f>
        <v>11714.285714285714</v>
      </c>
      <c r="I82" s="90">
        <f>'6'!K82</f>
        <v>11428.571428571429</v>
      </c>
      <c r="J82" s="90">
        <f>'7'!K82</f>
        <v>11428.571428571429</v>
      </c>
      <c r="K82" s="90">
        <f>'8'!K82</f>
        <v>11714.285714285714</v>
      </c>
      <c r="L82" s="90">
        <f>'9'!K82</f>
        <v>11714.285714285714</v>
      </c>
      <c r="M82" s="90">
        <f>'10'!K82</f>
        <v>11428.571428571429</v>
      </c>
      <c r="N82" s="90">
        <f>'11'!K82</f>
        <v>11714.285714285714</v>
      </c>
      <c r="O82" s="90">
        <f>'12'!K82</f>
        <v>11428.571428571429</v>
      </c>
      <c r="P82" s="90">
        <f>'13'!K82</f>
        <v>11142.857142857143</v>
      </c>
      <c r="Q82" s="90">
        <f>'14'!K82</f>
        <v>11142.857142857143</v>
      </c>
      <c r="R82" s="90">
        <f>'15'!K82</f>
        <v>11428.571428571429</v>
      </c>
      <c r="S82" s="90">
        <f>'16'!K82</f>
        <v>11428.571428571429</v>
      </c>
      <c r="T82" s="90">
        <f>'17'!K82</f>
        <v>11142.857142857143</v>
      </c>
      <c r="U82" s="90">
        <f>'18'!K82</f>
        <v>11142.857142857143</v>
      </c>
      <c r="V82" s="90">
        <f>'19'!K82</f>
        <v>11142.857142857143</v>
      </c>
      <c r="W82" s="90">
        <f>'20'!K82</f>
        <v>10857.142857142857</v>
      </c>
      <c r="X82" s="90">
        <f>'21'!K82</f>
        <v>10857.142857142857</v>
      </c>
      <c r="Y82" s="90">
        <f>'22'!K82</f>
        <v>10428.571428571429</v>
      </c>
      <c r="Z82" s="90">
        <f>'23'!K82</f>
        <v>10571.428571428571</v>
      </c>
      <c r="AA82" s="90">
        <f>'24'!K82</f>
        <v>10571.428571428571</v>
      </c>
      <c r="AB82" s="90">
        <f>'25'!K82</f>
        <v>10571.428571428571</v>
      </c>
      <c r="AC82" s="90">
        <f>'26'!K82</f>
        <v>10428.571428571429</v>
      </c>
      <c r="AD82" s="90">
        <f>'27'!K82</f>
        <v>10142.857142857143</v>
      </c>
      <c r="AE82" s="90">
        <f>'28'!K82</f>
        <v>10142.857142857143</v>
      </c>
      <c r="AF82" s="90">
        <f>'29'!K82</f>
        <v>10428.571428571429</v>
      </c>
      <c r="AG82" s="90">
        <f>'30'!K82</f>
        <v>10714.285714285714</v>
      </c>
      <c r="AH82" s="90">
        <f>'31'!K82</f>
        <v>10714.285714285714</v>
      </c>
      <c r="AI82" s="90"/>
      <c r="AJ82" s="90">
        <f t="shared" si="2"/>
        <v>-857.14285714285688</v>
      </c>
      <c r="AK82" s="238">
        <f t="shared" si="3"/>
        <v>11092.165898617513</v>
      </c>
    </row>
    <row r="83" spans="1:37" x14ac:dyDescent="0.25">
      <c r="A83" s="112"/>
      <c r="B83" s="107" t="s">
        <v>75</v>
      </c>
      <c r="C83" s="108" t="s">
        <v>5</v>
      </c>
      <c r="D83" s="90">
        <f>'1'!K83</f>
        <v>9333.3333333333339</v>
      </c>
      <c r="E83" s="90">
        <f>'2'!K83</f>
        <v>8833.3333333333339</v>
      </c>
      <c r="F83" s="90">
        <f>'3'!K83</f>
        <v>9000</v>
      </c>
      <c r="G83" s="90">
        <f>'4'!K83</f>
        <v>9000</v>
      </c>
      <c r="H83" s="90">
        <f>'5'!K83</f>
        <v>8833.3333333333339</v>
      </c>
      <c r="I83" s="90">
        <f>'6'!K83</f>
        <v>9000</v>
      </c>
      <c r="J83" s="90">
        <f>'7'!K83</f>
        <v>9000</v>
      </c>
      <c r="K83" s="90">
        <f>'8'!K83</f>
        <v>8833.3333333333339</v>
      </c>
      <c r="L83" s="90">
        <f>'9'!K83</f>
        <v>8833.3333333333339</v>
      </c>
      <c r="M83" s="90">
        <f>'10'!K83</f>
        <v>8833.3333333333339</v>
      </c>
      <c r="N83" s="90">
        <f>'11'!K83</f>
        <v>8666.6666666666661</v>
      </c>
      <c r="O83" s="90">
        <f>'12'!K83</f>
        <v>8666.6666666666661</v>
      </c>
      <c r="P83" s="90">
        <f>'13'!K83</f>
        <v>9000</v>
      </c>
      <c r="Q83" s="90">
        <f>'14'!K83</f>
        <v>9142.8571428571431</v>
      </c>
      <c r="R83" s="90">
        <f>'15'!K83</f>
        <v>8857.1428571428569</v>
      </c>
      <c r="S83" s="90">
        <f>'16'!K83</f>
        <v>9142.8571428571431</v>
      </c>
      <c r="T83" s="90">
        <f>'17'!K83</f>
        <v>9142.8571428571431</v>
      </c>
      <c r="U83" s="90">
        <f>'18'!K83</f>
        <v>9142.8571428571431</v>
      </c>
      <c r="V83" s="90">
        <f>'19'!K83</f>
        <v>9142.8571428571431</v>
      </c>
      <c r="W83" s="90">
        <f>'20'!K83</f>
        <v>9714.2857142857138</v>
      </c>
      <c r="X83" s="90">
        <f>'21'!K83</f>
        <v>9714.2857142857138</v>
      </c>
      <c r="Y83" s="90">
        <f>'22'!K83</f>
        <v>9142.8571428571431</v>
      </c>
      <c r="Z83" s="90">
        <f>'23'!K83</f>
        <v>9142.8571428571431</v>
      </c>
      <c r="AA83" s="90">
        <f>'24'!K83</f>
        <v>9428.5714285714294</v>
      </c>
      <c r="AB83" s="90">
        <f>'25'!K83</f>
        <v>9428.5714285714294</v>
      </c>
      <c r="AC83" s="90">
        <f>'26'!K83</f>
        <v>9428.5714285714294</v>
      </c>
      <c r="AD83" s="90">
        <f>'27'!K83</f>
        <v>9428.5714285714294</v>
      </c>
      <c r="AE83" s="90">
        <f>'28'!K83</f>
        <v>9714.2857142857138</v>
      </c>
      <c r="AF83" s="90">
        <f>'29'!K83</f>
        <v>9428.5714285714294</v>
      </c>
      <c r="AG83" s="90">
        <f>'30'!K83</f>
        <v>9428.5714285714294</v>
      </c>
      <c r="AH83" s="90">
        <f>'31'!K83</f>
        <v>9428.5714285714294</v>
      </c>
      <c r="AI83" s="90"/>
      <c r="AJ83" s="90">
        <f t="shared" si="2"/>
        <v>95.238095238095411</v>
      </c>
      <c r="AK83" s="238">
        <f t="shared" si="3"/>
        <v>9155.9139784946201</v>
      </c>
    </row>
    <row r="84" spans="1:37" x14ac:dyDescent="0.25">
      <c r="A84" s="112"/>
      <c r="B84" s="107" t="s">
        <v>76</v>
      </c>
      <c r="C84" s="108" t="s">
        <v>77</v>
      </c>
      <c r="D84" s="90">
        <f>'1'!K84</f>
        <v>1916.6666666666667</v>
      </c>
      <c r="E84" s="90">
        <f>'2'!K84</f>
        <v>1916.6666666666667</v>
      </c>
      <c r="F84" s="90">
        <f>'3'!K84</f>
        <v>1916.6666666666667</v>
      </c>
      <c r="G84" s="90">
        <f>'4'!K84</f>
        <v>1916.6666666666667</v>
      </c>
      <c r="H84" s="90">
        <f>'5'!K84</f>
        <v>1916.6666666666667</v>
      </c>
      <c r="I84" s="90">
        <f>'6'!K84</f>
        <v>1916.6666666666667</v>
      </c>
      <c r="J84" s="90">
        <f>'7'!K84</f>
        <v>1916.6666666666667</v>
      </c>
      <c r="K84" s="90">
        <f>'8'!K84</f>
        <v>1916.6666666666667</v>
      </c>
      <c r="L84" s="90">
        <f>'9'!K84</f>
        <v>1916.6666666666667</v>
      </c>
      <c r="M84" s="90">
        <f>'10'!K84</f>
        <v>1916.6666666666667</v>
      </c>
      <c r="N84" s="90">
        <f>'11'!K84</f>
        <v>1916.6666666666667</v>
      </c>
      <c r="O84" s="90">
        <f>'12'!K84</f>
        <v>1916.6666666666667</v>
      </c>
      <c r="P84" s="90">
        <f>'13'!K84</f>
        <v>1916.6666666666667</v>
      </c>
      <c r="Q84" s="90">
        <f>'14'!K84</f>
        <v>1916.6666666666667</v>
      </c>
      <c r="R84" s="90">
        <f>'15'!K84</f>
        <v>1916.6666666666667</v>
      </c>
      <c r="S84" s="90">
        <f>'16'!K84</f>
        <v>1916.6666666666667</v>
      </c>
      <c r="T84" s="90">
        <f>'17'!K84</f>
        <v>1916.6666666666667</v>
      </c>
      <c r="U84" s="90">
        <f>'18'!K84</f>
        <v>1916.6666666666667</v>
      </c>
      <c r="V84" s="90">
        <f>'19'!K84</f>
        <v>1916.6666666666667</v>
      </c>
      <c r="W84" s="90">
        <f>'20'!K84</f>
        <v>1916.6666666666667</v>
      </c>
      <c r="X84" s="90">
        <f>'21'!K84</f>
        <v>1916.6666666666667</v>
      </c>
      <c r="Y84" s="90">
        <f>'22'!K84</f>
        <v>1916.6666666666667</v>
      </c>
      <c r="Z84" s="90">
        <f>'23'!K84</f>
        <v>1916.6666666666667</v>
      </c>
      <c r="AA84" s="90">
        <f>'24'!K84</f>
        <v>1916.6666666666667</v>
      </c>
      <c r="AB84" s="90">
        <f>'25'!K84</f>
        <v>1916.6666666666667</v>
      </c>
      <c r="AC84" s="90">
        <f>'26'!K84</f>
        <v>1916.6666666666667</v>
      </c>
      <c r="AD84" s="90">
        <f>'27'!K84</f>
        <v>1916.6666666666667</v>
      </c>
      <c r="AE84" s="90">
        <f>'28'!K84</f>
        <v>1916.6666666666667</v>
      </c>
      <c r="AF84" s="90">
        <f>'29'!K84</f>
        <v>1916.6666666666667</v>
      </c>
      <c r="AG84" s="90">
        <f>'30'!K84</f>
        <v>1916.6666666666667</v>
      </c>
      <c r="AH84" s="90">
        <f>'31'!K84</f>
        <v>1916.6666666666667</v>
      </c>
      <c r="AI84" s="90"/>
      <c r="AJ84" s="90">
        <f t="shared" si="2"/>
        <v>0</v>
      </c>
      <c r="AK84" s="238">
        <f t="shared" si="3"/>
        <v>1916.6666666666658</v>
      </c>
    </row>
    <row r="85" spans="1:37" x14ac:dyDescent="0.25">
      <c r="A85" s="112"/>
      <c r="B85" s="107" t="s">
        <v>78</v>
      </c>
      <c r="C85" s="108" t="s">
        <v>77</v>
      </c>
      <c r="D85" s="90">
        <f>'1'!K85</f>
        <v>1666.6666666666667</v>
      </c>
      <c r="E85" s="90">
        <f>'2'!K85</f>
        <v>1666.6666666666667</v>
      </c>
      <c r="F85" s="90">
        <f>'3'!K85</f>
        <v>1666.6666666666667</v>
      </c>
      <c r="G85" s="90">
        <f>'4'!K85</f>
        <v>1666.6666666666667</v>
      </c>
      <c r="H85" s="90">
        <f>'5'!K85</f>
        <v>1666.6666666666667</v>
      </c>
      <c r="I85" s="90">
        <f>'6'!K85</f>
        <v>1666.6666666666667</v>
      </c>
      <c r="J85" s="90">
        <f>'7'!K85</f>
        <v>1666.6666666666667</v>
      </c>
      <c r="K85" s="90">
        <f>'8'!K85</f>
        <v>1666.6666666666667</v>
      </c>
      <c r="L85" s="90">
        <f>'9'!K85</f>
        <v>1666.6666666666667</v>
      </c>
      <c r="M85" s="90">
        <f>'10'!K85</f>
        <v>1666.6666666666667</v>
      </c>
      <c r="N85" s="90">
        <f>'11'!K85</f>
        <v>1666.6666666666667</v>
      </c>
      <c r="O85" s="90">
        <f>'12'!K85</f>
        <v>1666.6666666666667</v>
      </c>
      <c r="P85" s="90">
        <f>'13'!K85</f>
        <v>1666.6666666666667</v>
      </c>
      <c r="Q85" s="90">
        <f>'14'!K85</f>
        <v>1666.6666666666667</v>
      </c>
      <c r="R85" s="90">
        <f>'15'!K85</f>
        <v>1666.6666666666667</v>
      </c>
      <c r="S85" s="90">
        <f>'16'!K85</f>
        <v>1666.6666666666667</v>
      </c>
      <c r="T85" s="90">
        <f>'17'!K85</f>
        <v>1666.6666666666667</v>
      </c>
      <c r="U85" s="90">
        <f>'18'!K85</f>
        <v>1666.6666666666667</v>
      </c>
      <c r="V85" s="90">
        <f>'19'!K85</f>
        <v>1666.6666666666667</v>
      </c>
      <c r="W85" s="90">
        <f>'20'!K85</f>
        <v>1666.6666666666667</v>
      </c>
      <c r="X85" s="90">
        <f>'21'!K85</f>
        <v>1666.6666666666667</v>
      </c>
      <c r="Y85" s="90">
        <f>'22'!K85</f>
        <v>1666.6666666666667</v>
      </c>
      <c r="Z85" s="90">
        <f>'23'!K85</f>
        <v>1666.6666666666667</v>
      </c>
      <c r="AA85" s="90">
        <f>'24'!K85</f>
        <v>1666.6666666666667</v>
      </c>
      <c r="AB85" s="90">
        <f>'25'!K85</f>
        <v>1666.6666666666667</v>
      </c>
      <c r="AC85" s="90">
        <f>'26'!K85</f>
        <v>1666.6666666666667</v>
      </c>
      <c r="AD85" s="90">
        <f>'27'!K85</f>
        <v>1666.6666666666667</v>
      </c>
      <c r="AE85" s="90">
        <f>'28'!K85</f>
        <v>1666.6666666666667</v>
      </c>
      <c r="AF85" s="90">
        <f>'29'!K85</f>
        <v>1666.6666666666667</v>
      </c>
      <c r="AG85" s="90">
        <f>'30'!K85</f>
        <v>1666.6666666666667</v>
      </c>
      <c r="AH85" s="90">
        <f>'31'!K85</f>
        <v>1666.6666666666667</v>
      </c>
      <c r="AI85" s="90"/>
      <c r="AJ85" s="90">
        <f t="shared" si="2"/>
        <v>0</v>
      </c>
      <c r="AK85" s="238">
        <f t="shared" si="3"/>
        <v>1666.6666666666661</v>
      </c>
    </row>
    <row r="86" spans="1:37" x14ac:dyDescent="0.25">
      <c r="A86" s="111"/>
      <c r="B86" s="107" t="s">
        <v>79</v>
      </c>
      <c r="C86" s="108" t="s">
        <v>77</v>
      </c>
      <c r="D86" s="90">
        <f>'1'!K86</f>
        <v>2000</v>
      </c>
      <c r="E86" s="90">
        <f>'2'!K86</f>
        <v>2000</v>
      </c>
      <c r="F86" s="90">
        <f>'3'!K86</f>
        <v>2000</v>
      </c>
      <c r="G86" s="90">
        <f>'4'!K86</f>
        <v>2000</v>
      </c>
      <c r="H86" s="90">
        <f>'5'!K86</f>
        <v>2000</v>
      </c>
      <c r="I86" s="90">
        <f>'6'!K86</f>
        <v>2000</v>
      </c>
      <c r="J86" s="90">
        <f>'7'!K86</f>
        <v>2000</v>
      </c>
      <c r="K86" s="90">
        <f>'8'!K86</f>
        <v>2000</v>
      </c>
      <c r="L86" s="90">
        <f>'9'!K86</f>
        <v>2000</v>
      </c>
      <c r="M86" s="90">
        <f>'10'!K86</f>
        <v>2000</v>
      </c>
      <c r="N86" s="90">
        <f>'11'!K86</f>
        <v>2000</v>
      </c>
      <c r="O86" s="90">
        <f>'12'!K86</f>
        <v>2000</v>
      </c>
      <c r="P86" s="90">
        <f>'13'!K86</f>
        <v>2000</v>
      </c>
      <c r="Q86" s="90">
        <f>'14'!K86</f>
        <v>2000</v>
      </c>
      <c r="R86" s="90">
        <f>'15'!K86</f>
        <v>2000</v>
      </c>
      <c r="S86" s="90">
        <f>'16'!K86</f>
        <v>2000</v>
      </c>
      <c r="T86" s="90">
        <f>'17'!K86</f>
        <v>2000</v>
      </c>
      <c r="U86" s="90">
        <f>'18'!K86</f>
        <v>2000</v>
      </c>
      <c r="V86" s="90">
        <f>'19'!K86</f>
        <v>2000</v>
      </c>
      <c r="W86" s="90">
        <f>'20'!K86</f>
        <v>2000</v>
      </c>
      <c r="X86" s="90">
        <f>'21'!K86</f>
        <v>2000</v>
      </c>
      <c r="Y86" s="90">
        <f>'22'!K86</f>
        <v>2000</v>
      </c>
      <c r="Z86" s="90">
        <f>'23'!K86</f>
        <v>2000</v>
      </c>
      <c r="AA86" s="90">
        <f>'24'!K86</f>
        <v>2000</v>
      </c>
      <c r="AB86" s="90">
        <f>'25'!K86</f>
        <v>2000</v>
      </c>
      <c r="AC86" s="90">
        <f>'26'!K86</f>
        <v>2000</v>
      </c>
      <c r="AD86" s="90">
        <f>'27'!K86</f>
        <v>2000</v>
      </c>
      <c r="AE86" s="90">
        <f>'28'!K86</f>
        <v>2000</v>
      </c>
      <c r="AF86" s="90">
        <f>'29'!K86</f>
        <v>2000</v>
      </c>
      <c r="AG86" s="90">
        <f>'30'!K86</f>
        <v>2000</v>
      </c>
      <c r="AH86" s="90">
        <f>'31'!K86</f>
        <v>2000</v>
      </c>
      <c r="AI86" s="90"/>
      <c r="AJ86" s="90">
        <f t="shared" si="2"/>
        <v>0</v>
      </c>
      <c r="AK86" s="238">
        <f t="shared" si="3"/>
        <v>2000</v>
      </c>
    </row>
    <row r="87" spans="1:37" x14ac:dyDescent="0.25">
      <c r="A87" s="110">
        <v>22</v>
      </c>
      <c r="B87" s="116" t="s">
        <v>80</v>
      </c>
      <c r="C87" s="119"/>
      <c r="D87" s="118">
        <f>'1'!K87</f>
        <v>0</v>
      </c>
      <c r="E87" s="118">
        <f>'2'!K87</f>
        <v>0</v>
      </c>
      <c r="F87" s="118">
        <f>'3'!K87</f>
        <v>0</v>
      </c>
      <c r="G87" s="118">
        <f>'4'!K87</f>
        <v>0</v>
      </c>
      <c r="H87" s="118">
        <f>'5'!K87</f>
        <v>0</v>
      </c>
      <c r="I87" s="118">
        <f>'6'!K87</f>
        <v>0</v>
      </c>
      <c r="J87" s="118">
        <f>'7'!K87</f>
        <v>0</v>
      </c>
      <c r="K87" s="118">
        <f>'8'!K87</f>
        <v>0</v>
      </c>
      <c r="L87" s="118">
        <f>'9'!K87</f>
        <v>0</v>
      </c>
      <c r="M87" s="118">
        <f>'10'!K87</f>
        <v>0</v>
      </c>
      <c r="N87" s="118">
        <f>'11'!K87</f>
        <v>0</v>
      </c>
      <c r="O87" s="118">
        <f>'12'!K87</f>
        <v>0</v>
      </c>
      <c r="P87" s="118">
        <f>'13'!K87</f>
        <v>0</v>
      </c>
      <c r="Q87" s="118">
        <f>'14'!K87</f>
        <v>0</v>
      </c>
      <c r="R87" s="118">
        <f>'15'!K87</f>
        <v>0</v>
      </c>
      <c r="S87" s="118">
        <f>'16'!K87</f>
        <v>0</v>
      </c>
      <c r="T87" s="118">
        <f>'17'!K87</f>
        <v>0</v>
      </c>
      <c r="U87" s="118">
        <f>'18'!K87</f>
        <v>0</v>
      </c>
      <c r="V87" s="118">
        <f>'19'!K87</f>
        <v>0</v>
      </c>
      <c r="W87" s="118">
        <f>'20'!K87</f>
        <v>0</v>
      </c>
      <c r="X87" s="126">
        <f>'21'!K87</f>
        <v>0</v>
      </c>
      <c r="Y87" s="126">
        <f>'22'!K87</f>
        <v>0</v>
      </c>
      <c r="Z87" s="126">
        <f>'23'!K87</f>
        <v>0</v>
      </c>
      <c r="AA87" s="126">
        <f>'24'!K87</f>
        <v>0</v>
      </c>
      <c r="AB87" s="126">
        <f>'25'!K87</f>
        <v>0</v>
      </c>
      <c r="AC87" s="126">
        <f>'26'!K87</f>
        <v>0</v>
      </c>
      <c r="AD87" s="126">
        <f>'27'!K87</f>
        <v>0</v>
      </c>
      <c r="AE87" s="126">
        <f>'28'!K87</f>
        <v>0</v>
      </c>
      <c r="AF87" s="126">
        <f>'29'!K87</f>
        <v>0</v>
      </c>
      <c r="AG87" s="126">
        <f>'30'!K87</f>
        <v>0</v>
      </c>
      <c r="AH87" s="126">
        <f>'31'!K87</f>
        <v>0</v>
      </c>
      <c r="AI87" s="126"/>
      <c r="AJ87" s="126">
        <f t="shared" si="2"/>
        <v>0</v>
      </c>
      <c r="AK87" s="238">
        <f t="shared" si="3"/>
        <v>0</v>
      </c>
    </row>
    <row r="88" spans="1:37" x14ac:dyDescent="0.25">
      <c r="A88" s="111"/>
      <c r="B88" s="107" t="s">
        <v>81</v>
      </c>
      <c r="C88" s="108" t="s">
        <v>82</v>
      </c>
      <c r="D88" s="90">
        <f>'1'!K88</f>
        <v>18000</v>
      </c>
      <c r="E88" s="90">
        <f>'2'!K88</f>
        <v>18000</v>
      </c>
      <c r="F88" s="90">
        <f>'3'!K88</f>
        <v>18000</v>
      </c>
      <c r="G88" s="90">
        <f>'4'!K88</f>
        <v>18000</v>
      </c>
      <c r="H88" s="90">
        <f>'5'!K88</f>
        <v>18000</v>
      </c>
      <c r="I88" s="90">
        <f>'6'!K88</f>
        <v>18000</v>
      </c>
      <c r="J88" s="90">
        <f>'7'!K88</f>
        <v>18000</v>
      </c>
      <c r="K88" s="90">
        <f>'8'!K88</f>
        <v>18000</v>
      </c>
      <c r="L88" s="90">
        <f>'9'!K88</f>
        <v>18000</v>
      </c>
      <c r="M88" s="90">
        <f>'10'!K88</f>
        <v>18000</v>
      </c>
      <c r="N88" s="90">
        <f>'11'!K88</f>
        <v>18000</v>
      </c>
      <c r="O88" s="90">
        <f>'12'!K88</f>
        <v>18000</v>
      </c>
      <c r="P88" s="90">
        <f>'13'!K88</f>
        <v>18000</v>
      </c>
      <c r="Q88" s="90">
        <f>'14'!K88</f>
        <v>18000</v>
      </c>
      <c r="R88" s="90">
        <f>'15'!K88</f>
        <v>18000</v>
      </c>
      <c r="S88" s="90">
        <f>'16'!K88</f>
        <v>18000</v>
      </c>
      <c r="T88" s="90">
        <f>'17'!K88</f>
        <v>18000</v>
      </c>
      <c r="U88" s="90">
        <f>'18'!K88</f>
        <v>18000</v>
      </c>
      <c r="V88" s="90">
        <f>'19'!K88</f>
        <v>18000</v>
      </c>
      <c r="W88" s="90">
        <f>'20'!K88</f>
        <v>18000</v>
      </c>
      <c r="X88" s="90">
        <f>'21'!K88</f>
        <v>18000</v>
      </c>
      <c r="Y88" s="90">
        <f>'22'!K88</f>
        <v>18000</v>
      </c>
      <c r="Z88" s="90">
        <f>'23'!K88</f>
        <v>18000</v>
      </c>
      <c r="AA88" s="90">
        <f>'24'!K88</f>
        <v>18000</v>
      </c>
      <c r="AB88" s="90">
        <f>'25'!K88</f>
        <v>18000</v>
      </c>
      <c r="AC88" s="90">
        <f>'26'!K88</f>
        <v>18000</v>
      </c>
      <c r="AD88" s="90">
        <f>'27'!K88</f>
        <v>18000</v>
      </c>
      <c r="AE88" s="90">
        <f>'28'!K88</f>
        <v>18000</v>
      </c>
      <c r="AF88" s="90">
        <f>'29'!K88</f>
        <v>18000</v>
      </c>
      <c r="AG88" s="90">
        <f>'30'!K88</f>
        <v>18000</v>
      </c>
      <c r="AH88" s="90">
        <f>'31'!K88</f>
        <v>18000</v>
      </c>
      <c r="AI88" s="90"/>
      <c r="AJ88" s="90">
        <f t="shared" si="2"/>
        <v>0</v>
      </c>
      <c r="AK88" s="238">
        <f t="shared" si="3"/>
        <v>18000</v>
      </c>
    </row>
  </sheetData>
  <mergeCells count="22">
    <mergeCell ref="A69:A73"/>
    <mergeCell ref="A33:A35"/>
    <mergeCell ref="A43:A45"/>
    <mergeCell ref="A46:A48"/>
    <mergeCell ref="A52:A53"/>
    <mergeCell ref="A54:A55"/>
    <mergeCell ref="A56:A60"/>
    <mergeCell ref="A63:A66"/>
    <mergeCell ref="A19:A20"/>
    <mergeCell ref="A21:A25"/>
    <mergeCell ref="A26:A32"/>
    <mergeCell ref="AI4:AI6"/>
    <mergeCell ref="A4:A6"/>
    <mergeCell ref="B4:B6"/>
    <mergeCell ref="C4:C6"/>
    <mergeCell ref="A7:A12"/>
    <mergeCell ref="A13:A15"/>
    <mergeCell ref="AJ4:AJ6"/>
    <mergeCell ref="A1:AJ1"/>
    <mergeCell ref="A2:AJ2"/>
    <mergeCell ref="A3:AJ3"/>
    <mergeCell ref="A16:A17"/>
  </mergeCells>
  <pageMargins left="0.7" right="0.7" top="0.25" bottom="0.25" header="0.3" footer="0.3"/>
  <pageSetup paperSize="5" scale="4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C2D4-B7CE-4561-9179-C90F7C8B8607}">
  <dimension ref="A1:AG108"/>
  <sheetViews>
    <sheetView topLeftCell="O62" zoomScaleNormal="100" workbookViewId="0">
      <selection activeCell="AI70" sqref="AI70"/>
    </sheetView>
  </sheetViews>
  <sheetFormatPr defaultRowHeight="15" x14ac:dyDescent="0.25"/>
  <cols>
    <col min="1" max="1" width="32.25" style="2" customWidth="1"/>
    <col min="2" max="2" width="13" style="2" customWidth="1"/>
    <col min="3" max="15" width="9.125" style="2"/>
    <col min="16" max="33" width="8.875" style="2" customWidth="1"/>
    <col min="34" max="34" width="8.125" style="2" customWidth="1"/>
    <col min="35" max="250" width="9.125" style="2"/>
    <col min="251" max="251" width="3.375" style="2" customWidth="1"/>
    <col min="252" max="252" width="32.25" style="2" customWidth="1"/>
    <col min="253" max="253" width="13" style="2" customWidth="1"/>
    <col min="254" max="260" width="9.625" style="2" customWidth="1"/>
    <col min="261" max="262" width="11.375" style="2" customWidth="1"/>
    <col min="263" max="264" width="9.125" style="2"/>
    <col min="265" max="265" width="18.375" style="2" customWidth="1"/>
    <col min="266" max="506" width="9.125" style="2"/>
    <col min="507" max="507" width="3.375" style="2" customWidth="1"/>
    <col min="508" max="508" width="32.25" style="2" customWidth="1"/>
    <col min="509" max="509" width="13" style="2" customWidth="1"/>
    <col min="510" max="516" width="9.625" style="2" customWidth="1"/>
    <col min="517" max="518" width="11.375" style="2" customWidth="1"/>
    <col min="519" max="520" width="9.125" style="2"/>
    <col min="521" max="521" width="18.375" style="2" customWidth="1"/>
    <col min="522" max="762" width="9.125" style="2"/>
    <col min="763" max="763" width="3.375" style="2" customWidth="1"/>
    <col min="764" max="764" width="32.25" style="2" customWidth="1"/>
    <col min="765" max="765" width="13" style="2" customWidth="1"/>
    <col min="766" max="772" width="9.625" style="2" customWidth="1"/>
    <col min="773" max="774" width="11.375" style="2" customWidth="1"/>
    <col min="775" max="776" width="9.125" style="2"/>
    <col min="777" max="777" width="18.375" style="2" customWidth="1"/>
    <col min="778" max="1018" width="9.125" style="2"/>
    <col min="1019" max="1019" width="3.375" style="2" customWidth="1"/>
    <col min="1020" max="1020" width="32.25" style="2" customWidth="1"/>
    <col min="1021" max="1021" width="13" style="2" customWidth="1"/>
    <col min="1022" max="1028" width="9.625" style="2" customWidth="1"/>
    <col min="1029" max="1030" width="11.375" style="2" customWidth="1"/>
    <col min="1031" max="1032" width="9.125" style="2"/>
    <col min="1033" max="1033" width="18.375" style="2" customWidth="1"/>
    <col min="1034" max="1274" width="9.125" style="2"/>
    <col min="1275" max="1275" width="3.375" style="2" customWidth="1"/>
    <col min="1276" max="1276" width="32.25" style="2" customWidth="1"/>
    <col min="1277" max="1277" width="13" style="2" customWidth="1"/>
    <col min="1278" max="1284" width="9.625" style="2" customWidth="1"/>
    <col min="1285" max="1286" width="11.375" style="2" customWidth="1"/>
    <col min="1287" max="1288" width="9.125" style="2"/>
    <col min="1289" max="1289" width="18.375" style="2" customWidth="1"/>
    <col min="1290" max="1530" width="9.125" style="2"/>
    <col min="1531" max="1531" width="3.375" style="2" customWidth="1"/>
    <col min="1532" max="1532" width="32.25" style="2" customWidth="1"/>
    <col min="1533" max="1533" width="13" style="2" customWidth="1"/>
    <col min="1534" max="1540" width="9.625" style="2" customWidth="1"/>
    <col min="1541" max="1542" width="11.375" style="2" customWidth="1"/>
    <col min="1543" max="1544" width="9.125" style="2"/>
    <col min="1545" max="1545" width="18.375" style="2" customWidth="1"/>
    <col min="1546" max="1786" width="9.125" style="2"/>
    <col min="1787" max="1787" width="3.375" style="2" customWidth="1"/>
    <col min="1788" max="1788" width="32.25" style="2" customWidth="1"/>
    <col min="1789" max="1789" width="13" style="2" customWidth="1"/>
    <col min="1790" max="1796" width="9.625" style="2" customWidth="1"/>
    <col min="1797" max="1798" width="11.375" style="2" customWidth="1"/>
    <col min="1799" max="1800" width="9.125" style="2"/>
    <col min="1801" max="1801" width="18.375" style="2" customWidth="1"/>
    <col min="1802" max="2042" width="9.125" style="2"/>
    <col min="2043" max="2043" width="3.375" style="2" customWidth="1"/>
    <col min="2044" max="2044" width="32.25" style="2" customWidth="1"/>
    <col min="2045" max="2045" width="13" style="2" customWidth="1"/>
    <col min="2046" max="2052" width="9.625" style="2" customWidth="1"/>
    <col min="2053" max="2054" width="11.375" style="2" customWidth="1"/>
    <col min="2055" max="2056" width="9.125" style="2"/>
    <col min="2057" max="2057" width="18.375" style="2" customWidth="1"/>
    <col min="2058" max="2298" width="9.125" style="2"/>
    <col min="2299" max="2299" width="3.375" style="2" customWidth="1"/>
    <col min="2300" max="2300" width="32.25" style="2" customWidth="1"/>
    <col min="2301" max="2301" width="13" style="2" customWidth="1"/>
    <col min="2302" max="2308" width="9.625" style="2" customWidth="1"/>
    <col min="2309" max="2310" width="11.375" style="2" customWidth="1"/>
    <col min="2311" max="2312" width="9.125" style="2"/>
    <col min="2313" max="2313" width="18.375" style="2" customWidth="1"/>
    <col min="2314" max="2554" width="9.125" style="2"/>
    <col min="2555" max="2555" width="3.375" style="2" customWidth="1"/>
    <col min="2556" max="2556" width="32.25" style="2" customWidth="1"/>
    <col min="2557" max="2557" width="13" style="2" customWidth="1"/>
    <col min="2558" max="2564" width="9.625" style="2" customWidth="1"/>
    <col min="2565" max="2566" width="11.375" style="2" customWidth="1"/>
    <col min="2567" max="2568" width="9.125" style="2"/>
    <col min="2569" max="2569" width="18.375" style="2" customWidth="1"/>
    <col min="2570" max="2810" width="9.125" style="2"/>
    <col min="2811" max="2811" width="3.375" style="2" customWidth="1"/>
    <col min="2812" max="2812" width="32.25" style="2" customWidth="1"/>
    <col min="2813" max="2813" width="13" style="2" customWidth="1"/>
    <col min="2814" max="2820" width="9.625" style="2" customWidth="1"/>
    <col min="2821" max="2822" width="11.375" style="2" customWidth="1"/>
    <col min="2823" max="2824" width="9.125" style="2"/>
    <col min="2825" max="2825" width="18.375" style="2" customWidth="1"/>
    <col min="2826" max="3066" width="9.125" style="2"/>
    <col min="3067" max="3067" width="3.375" style="2" customWidth="1"/>
    <col min="3068" max="3068" width="32.25" style="2" customWidth="1"/>
    <col min="3069" max="3069" width="13" style="2" customWidth="1"/>
    <col min="3070" max="3076" width="9.625" style="2" customWidth="1"/>
    <col min="3077" max="3078" width="11.375" style="2" customWidth="1"/>
    <col min="3079" max="3080" width="9.125" style="2"/>
    <col min="3081" max="3081" width="18.375" style="2" customWidth="1"/>
    <col min="3082" max="3322" width="9.125" style="2"/>
    <col min="3323" max="3323" width="3.375" style="2" customWidth="1"/>
    <col min="3324" max="3324" width="32.25" style="2" customWidth="1"/>
    <col min="3325" max="3325" width="13" style="2" customWidth="1"/>
    <col min="3326" max="3332" width="9.625" style="2" customWidth="1"/>
    <col min="3333" max="3334" width="11.375" style="2" customWidth="1"/>
    <col min="3335" max="3336" width="9.125" style="2"/>
    <col min="3337" max="3337" width="18.375" style="2" customWidth="1"/>
    <col min="3338" max="3578" width="9.125" style="2"/>
    <col min="3579" max="3579" width="3.375" style="2" customWidth="1"/>
    <col min="3580" max="3580" width="32.25" style="2" customWidth="1"/>
    <col min="3581" max="3581" width="13" style="2" customWidth="1"/>
    <col min="3582" max="3588" width="9.625" style="2" customWidth="1"/>
    <col min="3589" max="3590" width="11.375" style="2" customWidth="1"/>
    <col min="3591" max="3592" width="9.125" style="2"/>
    <col min="3593" max="3593" width="18.375" style="2" customWidth="1"/>
    <col min="3594" max="3834" width="9.125" style="2"/>
    <col min="3835" max="3835" width="3.375" style="2" customWidth="1"/>
    <col min="3836" max="3836" width="32.25" style="2" customWidth="1"/>
    <col min="3837" max="3837" width="13" style="2" customWidth="1"/>
    <col min="3838" max="3844" width="9.625" style="2" customWidth="1"/>
    <col min="3845" max="3846" width="11.375" style="2" customWidth="1"/>
    <col min="3847" max="3848" width="9.125" style="2"/>
    <col min="3849" max="3849" width="18.375" style="2" customWidth="1"/>
    <col min="3850" max="4090" width="9.125" style="2"/>
    <col min="4091" max="4091" width="3.375" style="2" customWidth="1"/>
    <col min="4092" max="4092" width="32.25" style="2" customWidth="1"/>
    <col min="4093" max="4093" width="13" style="2" customWidth="1"/>
    <col min="4094" max="4100" width="9.625" style="2" customWidth="1"/>
    <col min="4101" max="4102" width="11.375" style="2" customWidth="1"/>
    <col min="4103" max="4104" width="9.125" style="2"/>
    <col min="4105" max="4105" width="18.375" style="2" customWidth="1"/>
    <col min="4106" max="4346" width="9.125" style="2"/>
    <col min="4347" max="4347" width="3.375" style="2" customWidth="1"/>
    <col min="4348" max="4348" width="32.25" style="2" customWidth="1"/>
    <col min="4349" max="4349" width="13" style="2" customWidth="1"/>
    <col min="4350" max="4356" width="9.625" style="2" customWidth="1"/>
    <col min="4357" max="4358" width="11.375" style="2" customWidth="1"/>
    <col min="4359" max="4360" width="9.125" style="2"/>
    <col min="4361" max="4361" width="18.375" style="2" customWidth="1"/>
    <col min="4362" max="4602" width="9.125" style="2"/>
    <col min="4603" max="4603" width="3.375" style="2" customWidth="1"/>
    <col min="4604" max="4604" width="32.25" style="2" customWidth="1"/>
    <col min="4605" max="4605" width="13" style="2" customWidth="1"/>
    <col min="4606" max="4612" width="9.625" style="2" customWidth="1"/>
    <col min="4613" max="4614" width="11.375" style="2" customWidth="1"/>
    <col min="4615" max="4616" width="9.125" style="2"/>
    <col min="4617" max="4617" width="18.375" style="2" customWidth="1"/>
    <col min="4618" max="4858" width="9.125" style="2"/>
    <col min="4859" max="4859" width="3.375" style="2" customWidth="1"/>
    <col min="4860" max="4860" width="32.25" style="2" customWidth="1"/>
    <col min="4861" max="4861" width="13" style="2" customWidth="1"/>
    <col min="4862" max="4868" width="9.625" style="2" customWidth="1"/>
    <col min="4869" max="4870" width="11.375" style="2" customWidth="1"/>
    <col min="4871" max="4872" width="9.125" style="2"/>
    <col min="4873" max="4873" width="18.375" style="2" customWidth="1"/>
    <col min="4874" max="5114" width="9.125" style="2"/>
    <col min="5115" max="5115" width="3.375" style="2" customWidth="1"/>
    <col min="5116" max="5116" width="32.25" style="2" customWidth="1"/>
    <col min="5117" max="5117" width="13" style="2" customWidth="1"/>
    <col min="5118" max="5124" width="9.625" style="2" customWidth="1"/>
    <col min="5125" max="5126" width="11.375" style="2" customWidth="1"/>
    <col min="5127" max="5128" width="9.125" style="2"/>
    <col min="5129" max="5129" width="18.375" style="2" customWidth="1"/>
    <col min="5130" max="5370" width="9.125" style="2"/>
    <col min="5371" max="5371" width="3.375" style="2" customWidth="1"/>
    <col min="5372" max="5372" width="32.25" style="2" customWidth="1"/>
    <col min="5373" max="5373" width="13" style="2" customWidth="1"/>
    <col min="5374" max="5380" width="9.625" style="2" customWidth="1"/>
    <col min="5381" max="5382" width="11.375" style="2" customWidth="1"/>
    <col min="5383" max="5384" width="9.125" style="2"/>
    <col min="5385" max="5385" width="18.375" style="2" customWidth="1"/>
    <col min="5386" max="5626" width="9.125" style="2"/>
    <col min="5627" max="5627" width="3.375" style="2" customWidth="1"/>
    <col min="5628" max="5628" width="32.25" style="2" customWidth="1"/>
    <col min="5629" max="5629" width="13" style="2" customWidth="1"/>
    <col min="5630" max="5636" width="9.625" style="2" customWidth="1"/>
    <col min="5637" max="5638" width="11.375" style="2" customWidth="1"/>
    <col min="5639" max="5640" width="9.125" style="2"/>
    <col min="5641" max="5641" width="18.375" style="2" customWidth="1"/>
    <col min="5642" max="5882" width="9.125" style="2"/>
    <col min="5883" max="5883" width="3.375" style="2" customWidth="1"/>
    <col min="5884" max="5884" width="32.25" style="2" customWidth="1"/>
    <col min="5885" max="5885" width="13" style="2" customWidth="1"/>
    <col min="5886" max="5892" width="9.625" style="2" customWidth="1"/>
    <col min="5893" max="5894" width="11.375" style="2" customWidth="1"/>
    <col min="5895" max="5896" width="9.125" style="2"/>
    <col min="5897" max="5897" width="18.375" style="2" customWidth="1"/>
    <col min="5898" max="6138" width="9.125" style="2"/>
    <col min="6139" max="6139" width="3.375" style="2" customWidth="1"/>
    <col min="6140" max="6140" width="32.25" style="2" customWidth="1"/>
    <col min="6141" max="6141" width="13" style="2" customWidth="1"/>
    <col min="6142" max="6148" width="9.625" style="2" customWidth="1"/>
    <col min="6149" max="6150" width="11.375" style="2" customWidth="1"/>
    <col min="6151" max="6152" width="9.125" style="2"/>
    <col min="6153" max="6153" width="18.375" style="2" customWidth="1"/>
    <col min="6154" max="6394" width="9.125" style="2"/>
    <col min="6395" max="6395" width="3.375" style="2" customWidth="1"/>
    <col min="6396" max="6396" width="32.25" style="2" customWidth="1"/>
    <col min="6397" max="6397" width="13" style="2" customWidth="1"/>
    <col min="6398" max="6404" width="9.625" style="2" customWidth="1"/>
    <col min="6405" max="6406" width="11.375" style="2" customWidth="1"/>
    <col min="6407" max="6408" width="9.125" style="2"/>
    <col min="6409" max="6409" width="18.375" style="2" customWidth="1"/>
    <col min="6410" max="6650" width="9.125" style="2"/>
    <col min="6651" max="6651" width="3.375" style="2" customWidth="1"/>
    <col min="6652" max="6652" width="32.25" style="2" customWidth="1"/>
    <col min="6653" max="6653" width="13" style="2" customWidth="1"/>
    <col min="6654" max="6660" width="9.625" style="2" customWidth="1"/>
    <col min="6661" max="6662" width="11.375" style="2" customWidth="1"/>
    <col min="6663" max="6664" width="9.125" style="2"/>
    <col min="6665" max="6665" width="18.375" style="2" customWidth="1"/>
    <col min="6666" max="6906" width="9.125" style="2"/>
    <col min="6907" max="6907" width="3.375" style="2" customWidth="1"/>
    <col min="6908" max="6908" width="32.25" style="2" customWidth="1"/>
    <col min="6909" max="6909" width="13" style="2" customWidth="1"/>
    <col min="6910" max="6916" width="9.625" style="2" customWidth="1"/>
    <col min="6917" max="6918" width="11.375" style="2" customWidth="1"/>
    <col min="6919" max="6920" width="9.125" style="2"/>
    <col min="6921" max="6921" width="18.375" style="2" customWidth="1"/>
    <col min="6922" max="7162" width="9.125" style="2"/>
    <col min="7163" max="7163" width="3.375" style="2" customWidth="1"/>
    <col min="7164" max="7164" width="32.25" style="2" customWidth="1"/>
    <col min="7165" max="7165" width="13" style="2" customWidth="1"/>
    <col min="7166" max="7172" width="9.625" style="2" customWidth="1"/>
    <col min="7173" max="7174" width="11.375" style="2" customWidth="1"/>
    <col min="7175" max="7176" width="9.125" style="2"/>
    <col min="7177" max="7177" width="18.375" style="2" customWidth="1"/>
    <col min="7178" max="7418" width="9.125" style="2"/>
    <col min="7419" max="7419" width="3.375" style="2" customWidth="1"/>
    <col min="7420" max="7420" width="32.25" style="2" customWidth="1"/>
    <col min="7421" max="7421" width="13" style="2" customWidth="1"/>
    <col min="7422" max="7428" width="9.625" style="2" customWidth="1"/>
    <col min="7429" max="7430" width="11.375" style="2" customWidth="1"/>
    <col min="7431" max="7432" width="9.125" style="2"/>
    <col min="7433" max="7433" width="18.375" style="2" customWidth="1"/>
    <col min="7434" max="7674" width="9.125" style="2"/>
    <col min="7675" max="7675" width="3.375" style="2" customWidth="1"/>
    <col min="7676" max="7676" width="32.25" style="2" customWidth="1"/>
    <col min="7677" max="7677" width="13" style="2" customWidth="1"/>
    <col min="7678" max="7684" width="9.625" style="2" customWidth="1"/>
    <col min="7685" max="7686" width="11.375" style="2" customWidth="1"/>
    <col min="7687" max="7688" width="9.125" style="2"/>
    <col min="7689" max="7689" width="18.375" style="2" customWidth="1"/>
    <col min="7690" max="7930" width="9.125" style="2"/>
    <col min="7931" max="7931" width="3.375" style="2" customWidth="1"/>
    <col min="7932" max="7932" width="32.25" style="2" customWidth="1"/>
    <col min="7933" max="7933" width="13" style="2" customWidth="1"/>
    <col min="7934" max="7940" width="9.625" style="2" customWidth="1"/>
    <col min="7941" max="7942" width="11.375" style="2" customWidth="1"/>
    <col min="7943" max="7944" width="9.125" style="2"/>
    <col min="7945" max="7945" width="18.375" style="2" customWidth="1"/>
    <col min="7946" max="8186" width="9.125" style="2"/>
    <col min="8187" max="8187" width="3.375" style="2" customWidth="1"/>
    <col min="8188" max="8188" width="32.25" style="2" customWidth="1"/>
    <col min="8189" max="8189" width="13" style="2" customWidth="1"/>
    <col min="8190" max="8196" width="9.625" style="2" customWidth="1"/>
    <col min="8197" max="8198" width="11.375" style="2" customWidth="1"/>
    <col min="8199" max="8200" width="9.125" style="2"/>
    <col min="8201" max="8201" width="18.375" style="2" customWidth="1"/>
    <col min="8202" max="8442" width="9.125" style="2"/>
    <col min="8443" max="8443" width="3.375" style="2" customWidth="1"/>
    <col min="8444" max="8444" width="32.25" style="2" customWidth="1"/>
    <col min="8445" max="8445" width="13" style="2" customWidth="1"/>
    <col min="8446" max="8452" width="9.625" style="2" customWidth="1"/>
    <col min="8453" max="8454" width="11.375" style="2" customWidth="1"/>
    <col min="8455" max="8456" width="9.125" style="2"/>
    <col min="8457" max="8457" width="18.375" style="2" customWidth="1"/>
    <col min="8458" max="8698" width="9.125" style="2"/>
    <col min="8699" max="8699" width="3.375" style="2" customWidth="1"/>
    <col min="8700" max="8700" width="32.25" style="2" customWidth="1"/>
    <col min="8701" max="8701" width="13" style="2" customWidth="1"/>
    <col min="8702" max="8708" width="9.625" style="2" customWidth="1"/>
    <col min="8709" max="8710" width="11.375" style="2" customWidth="1"/>
    <col min="8711" max="8712" width="9.125" style="2"/>
    <col min="8713" max="8713" width="18.375" style="2" customWidth="1"/>
    <col min="8714" max="8954" width="9.125" style="2"/>
    <col min="8955" max="8955" width="3.375" style="2" customWidth="1"/>
    <col min="8956" max="8956" width="32.25" style="2" customWidth="1"/>
    <col min="8957" max="8957" width="13" style="2" customWidth="1"/>
    <col min="8958" max="8964" width="9.625" style="2" customWidth="1"/>
    <col min="8965" max="8966" width="11.375" style="2" customWidth="1"/>
    <col min="8967" max="8968" width="9.125" style="2"/>
    <col min="8969" max="8969" width="18.375" style="2" customWidth="1"/>
    <col min="8970" max="9210" width="9.125" style="2"/>
    <col min="9211" max="9211" width="3.375" style="2" customWidth="1"/>
    <col min="9212" max="9212" width="32.25" style="2" customWidth="1"/>
    <col min="9213" max="9213" width="13" style="2" customWidth="1"/>
    <col min="9214" max="9220" width="9.625" style="2" customWidth="1"/>
    <col min="9221" max="9222" width="11.375" style="2" customWidth="1"/>
    <col min="9223" max="9224" width="9.125" style="2"/>
    <col min="9225" max="9225" width="18.375" style="2" customWidth="1"/>
    <col min="9226" max="9466" width="9.125" style="2"/>
    <col min="9467" max="9467" width="3.375" style="2" customWidth="1"/>
    <col min="9468" max="9468" width="32.25" style="2" customWidth="1"/>
    <col min="9469" max="9469" width="13" style="2" customWidth="1"/>
    <col min="9470" max="9476" width="9.625" style="2" customWidth="1"/>
    <col min="9477" max="9478" width="11.375" style="2" customWidth="1"/>
    <col min="9479" max="9480" width="9.125" style="2"/>
    <col min="9481" max="9481" width="18.375" style="2" customWidth="1"/>
    <col min="9482" max="9722" width="9.125" style="2"/>
    <col min="9723" max="9723" width="3.375" style="2" customWidth="1"/>
    <col min="9724" max="9724" width="32.25" style="2" customWidth="1"/>
    <col min="9725" max="9725" width="13" style="2" customWidth="1"/>
    <col min="9726" max="9732" width="9.625" style="2" customWidth="1"/>
    <col min="9733" max="9734" width="11.375" style="2" customWidth="1"/>
    <col min="9735" max="9736" width="9.125" style="2"/>
    <col min="9737" max="9737" width="18.375" style="2" customWidth="1"/>
    <col min="9738" max="9978" width="9.125" style="2"/>
    <col min="9979" max="9979" width="3.375" style="2" customWidth="1"/>
    <col min="9980" max="9980" width="32.25" style="2" customWidth="1"/>
    <col min="9981" max="9981" width="13" style="2" customWidth="1"/>
    <col min="9982" max="9988" width="9.625" style="2" customWidth="1"/>
    <col min="9989" max="9990" width="11.375" style="2" customWidth="1"/>
    <col min="9991" max="9992" width="9.125" style="2"/>
    <col min="9993" max="9993" width="18.375" style="2" customWidth="1"/>
    <col min="9994" max="10234" width="9.125" style="2"/>
    <col min="10235" max="10235" width="3.375" style="2" customWidth="1"/>
    <col min="10236" max="10236" width="32.25" style="2" customWidth="1"/>
    <col min="10237" max="10237" width="13" style="2" customWidth="1"/>
    <col min="10238" max="10244" width="9.625" style="2" customWidth="1"/>
    <col min="10245" max="10246" width="11.375" style="2" customWidth="1"/>
    <col min="10247" max="10248" width="9.125" style="2"/>
    <col min="10249" max="10249" width="18.375" style="2" customWidth="1"/>
    <col min="10250" max="10490" width="9.125" style="2"/>
    <col min="10491" max="10491" width="3.375" style="2" customWidth="1"/>
    <col min="10492" max="10492" width="32.25" style="2" customWidth="1"/>
    <col min="10493" max="10493" width="13" style="2" customWidth="1"/>
    <col min="10494" max="10500" width="9.625" style="2" customWidth="1"/>
    <col min="10501" max="10502" width="11.375" style="2" customWidth="1"/>
    <col min="10503" max="10504" width="9.125" style="2"/>
    <col min="10505" max="10505" width="18.375" style="2" customWidth="1"/>
    <col min="10506" max="10746" width="9.125" style="2"/>
    <col min="10747" max="10747" width="3.375" style="2" customWidth="1"/>
    <col min="10748" max="10748" width="32.25" style="2" customWidth="1"/>
    <col min="10749" max="10749" width="13" style="2" customWidth="1"/>
    <col min="10750" max="10756" width="9.625" style="2" customWidth="1"/>
    <col min="10757" max="10758" width="11.375" style="2" customWidth="1"/>
    <col min="10759" max="10760" width="9.125" style="2"/>
    <col min="10761" max="10761" width="18.375" style="2" customWidth="1"/>
    <col min="10762" max="11002" width="9.125" style="2"/>
    <col min="11003" max="11003" width="3.375" style="2" customWidth="1"/>
    <col min="11004" max="11004" width="32.25" style="2" customWidth="1"/>
    <col min="11005" max="11005" width="13" style="2" customWidth="1"/>
    <col min="11006" max="11012" width="9.625" style="2" customWidth="1"/>
    <col min="11013" max="11014" width="11.375" style="2" customWidth="1"/>
    <col min="11015" max="11016" width="9.125" style="2"/>
    <col min="11017" max="11017" width="18.375" style="2" customWidth="1"/>
    <col min="11018" max="11258" width="9.125" style="2"/>
    <col min="11259" max="11259" width="3.375" style="2" customWidth="1"/>
    <col min="11260" max="11260" width="32.25" style="2" customWidth="1"/>
    <col min="11261" max="11261" width="13" style="2" customWidth="1"/>
    <col min="11262" max="11268" width="9.625" style="2" customWidth="1"/>
    <col min="11269" max="11270" width="11.375" style="2" customWidth="1"/>
    <col min="11271" max="11272" width="9.125" style="2"/>
    <col min="11273" max="11273" width="18.375" style="2" customWidth="1"/>
    <col min="11274" max="11514" width="9.125" style="2"/>
    <col min="11515" max="11515" width="3.375" style="2" customWidth="1"/>
    <col min="11516" max="11516" width="32.25" style="2" customWidth="1"/>
    <col min="11517" max="11517" width="13" style="2" customWidth="1"/>
    <col min="11518" max="11524" width="9.625" style="2" customWidth="1"/>
    <col min="11525" max="11526" width="11.375" style="2" customWidth="1"/>
    <col min="11527" max="11528" width="9.125" style="2"/>
    <col min="11529" max="11529" width="18.375" style="2" customWidth="1"/>
    <col min="11530" max="11770" width="9.125" style="2"/>
    <col min="11771" max="11771" width="3.375" style="2" customWidth="1"/>
    <col min="11772" max="11772" width="32.25" style="2" customWidth="1"/>
    <col min="11773" max="11773" width="13" style="2" customWidth="1"/>
    <col min="11774" max="11780" width="9.625" style="2" customWidth="1"/>
    <col min="11781" max="11782" width="11.375" style="2" customWidth="1"/>
    <col min="11783" max="11784" width="9.125" style="2"/>
    <col min="11785" max="11785" width="18.375" style="2" customWidth="1"/>
    <col min="11786" max="12026" width="9.125" style="2"/>
    <col min="12027" max="12027" width="3.375" style="2" customWidth="1"/>
    <col min="12028" max="12028" width="32.25" style="2" customWidth="1"/>
    <col min="12029" max="12029" width="13" style="2" customWidth="1"/>
    <col min="12030" max="12036" width="9.625" style="2" customWidth="1"/>
    <col min="12037" max="12038" width="11.375" style="2" customWidth="1"/>
    <col min="12039" max="12040" width="9.125" style="2"/>
    <col min="12041" max="12041" width="18.375" style="2" customWidth="1"/>
    <col min="12042" max="12282" width="9.125" style="2"/>
    <col min="12283" max="12283" width="3.375" style="2" customWidth="1"/>
    <col min="12284" max="12284" width="32.25" style="2" customWidth="1"/>
    <col min="12285" max="12285" width="13" style="2" customWidth="1"/>
    <col min="12286" max="12292" width="9.625" style="2" customWidth="1"/>
    <col min="12293" max="12294" width="11.375" style="2" customWidth="1"/>
    <col min="12295" max="12296" width="9.125" style="2"/>
    <col min="12297" max="12297" width="18.375" style="2" customWidth="1"/>
    <col min="12298" max="12538" width="9.125" style="2"/>
    <col min="12539" max="12539" width="3.375" style="2" customWidth="1"/>
    <col min="12540" max="12540" width="32.25" style="2" customWidth="1"/>
    <col min="12541" max="12541" width="13" style="2" customWidth="1"/>
    <col min="12542" max="12548" width="9.625" style="2" customWidth="1"/>
    <col min="12549" max="12550" width="11.375" style="2" customWidth="1"/>
    <col min="12551" max="12552" width="9.125" style="2"/>
    <col min="12553" max="12553" width="18.375" style="2" customWidth="1"/>
    <col min="12554" max="12794" width="9.125" style="2"/>
    <col min="12795" max="12795" width="3.375" style="2" customWidth="1"/>
    <col min="12796" max="12796" width="32.25" style="2" customWidth="1"/>
    <col min="12797" max="12797" width="13" style="2" customWidth="1"/>
    <col min="12798" max="12804" width="9.625" style="2" customWidth="1"/>
    <col min="12805" max="12806" width="11.375" style="2" customWidth="1"/>
    <col min="12807" max="12808" width="9.125" style="2"/>
    <col min="12809" max="12809" width="18.375" style="2" customWidth="1"/>
    <col min="12810" max="13050" width="9.125" style="2"/>
    <col min="13051" max="13051" width="3.375" style="2" customWidth="1"/>
    <col min="13052" max="13052" width="32.25" style="2" customWidth="1"/>
    <col min="13053" max="13053" width="13" style="2" customWidth="1"/>
    <col min="13054" max="13060" width="9.625" style="2" customWidth="1"/>
    <col min="13061" max="13062" width="11.375" style="2" customWidth="1"/>
    <col min="13063" max="13064" width="9.125" style="2"/>
    <col min="13065" max="13065" width="18.375" style="2" customWidth="1"/>
    <col min="13066" max="13306" width="9.125" style="2"/>
    <col min="13307" max="13307" width="3.375" style="2" customWidth="1"/>
    <col min="13308" max="13308" width="32.25" style="2" customWidth="1"/>
    <col min="13309" max="13309" width="13" style="2" customWidth="1"/>
    <col min="13310" max="13316" width="9.625" style="2" customWidth="1"/>
    <col min="13317" max="13318" width="11.375" style="2" customWidth="1"/>
    <col min="13319" max="13320" width="9.125" style="2"/>
    <col min="13321" max="13321" width="18.375" style="2" customWidth="1"/>
    <col min="13322" max="13562" width="9.125" style="2"/>
    <col min="13563" max="13563" width="3.375" style="2" customWidth="1"/>
    <col min="13564" max="13564" width="32.25" style="2" customWidth="1"/>
    <col min="13565" max="13565" width="13" style="2" customWidth="1"/>
    <col min="13566" max="13572" width="9.625" style="2" customWidth="1"/>
    <col min="13573" max="13574" width="11.375" style="2" customWidth="1"/>
    <col min="13575" max="13576" width="9.125" style="2"/>
    <col min="13577" max="13577" width="18.375" style="2" customWidth="1"/>
    <col min="13578" max="13818" width="9.125" style="2"/>
    <col min="13819" max="13819" width="3.375" style="2" customWidth="1"/>
    <col min="13820" max="13820" width="32.25" style="2" customWidth="1"/>
    <col min="13821" max="13821" width="13" style="2" customWidth="1"/>
    <col min="13822" max="13828" width="9.625" style="2" customWidth="1"/>
    <col min="13829" max="13830" width="11.375" style="2" customWidth="1"/>
    <col min="13831" max="13832" width="9.125" style="2"/>
    <col min="13833" max="13833" width="18.375" style="2" customWidth="1"/>
    <col min="13834" max="14074" width="9.125" style="2"/>
    <col min="14075" max="14075" width="3.375" style="2" customWidth="1"/>
    <col min="14076" max="14076" width="32.25" style="2" customWidth="1"/>
    <col min="14077" max="14077" width="13" style="2" customWidth="1"/>
    <col min="14078" max="14084" width="9.625" style="2" customWidth="1"/>
    <col min="14085" max="14086" width="11.375" style="2" customWidth="1"/>
    <col min="14087" max="14088" width="9.125" style="2"/>
    <col min="14089" max="14089" width="18.375" style="2" customWidth="1"/>
    <col min="14090" max="14330" width="9.125" style="2"/>
    <col min="14331" max="14331" width="3.375" style="2" customWidth="1"/>
    <col min="14332" max="14332" width="32.25" style="2" customWidth="1"/>
    <col min="14333" max="14333" width="13" style="2" customWidth="1"/>
    <col min="14334" max="14340" width="9.625" style="2" customWidth="1"/>
    <col min="14341" max="14342" width="11.375" style="2" customWidth="1"/>
    <col min="14343" max="14344" width="9.125" style="2"/>
    <col min="14345" max="14345" width="18.375" style="2" customWidth="1"/>
    <col min="14346" max="14586" width="9.125" style="2"/>
    <col min="14587" max="14587" width="3.375" style="2" customWidth="1"/>
    <col min="14588" max="14588" width="32.25" style="2" customWidth="1"/>
    <col min="14589" max="14589" width="13" style="2" customWidth="1"/>
    <col min="14590" max="14596" width="9.625" style="2" customWidth="1"/>
    <col min="14597" max="14598" width="11.375" style="2" customWidth="1"/>
    <col min="14599" max="14600" width="9.125" style="2"/>
    <col min="14601" max="14601" width="18.375" style="2" customWidth="1"/>
    <col min="14602" max="14842" width="9.125" style="2"/>
    <col min="14843" max="14843" width="3.375" style="2" customWidth="1"/>
    <col min="14844" max="14844" width="32.25" style="2" customWidth="1"/>
    <col min="14845" max="14845" width="13" style="2" customWidth="1"/>
    <col min="14846" max="14852" width="9.625" style="2" customWidth="1"/>
    <col min="14853" max="14854" width="11.375" style="2" customWidth="1"/>
    <col min="14855" max="14856" width="9.125" style="2"/>
    <col min="14857" max="14857" width="18.375" style="2" customWidth="1"/>
    <col min="14858" max="15098" width="9.125" style="2"/>
    <col min="15099" max="15099" width="3.375" style="2" customWidth="1"/>
    <col min="15100" max="15100" width="32.25" style="2" customWidth="1"/>
    <col min="15101" max="15101" width="13" style="2" customWidth="1"/>
    <col min="15102" max="15108" width="9.625" style="2" customWidth="1"/>
    <col min="15109" max="15110" width="11.375" style="2" customWidth="1"/>
    <col min="15111" max="15112" width="9.125" style="2"/>
    <col min="15113" max="15113" width="18.375" style="2" customWidth="1"/>
    <col min="15114" max="15354" width="9.125" style="2"/>
    <col min="15355" max="15355" width="3.375" style="2" customWidth="1"/>
    <col min="15356" max="15356" width="32.25" style="2" customWidth="1"/>
    <col min="15357" max="15357" width="13" style="2" customWidth="1"/>
    <col min="15358" max="15364" width="9.625" style="2" customWidth="1"/>
    <col min="15365" max="15366" width="11.375" style="2" customWidth="1"/>
    <col min="15367" max="15368" width="9.125" style="2"/>
    <col min="15369" max="15369" width="18.375" style="2" customWidth="1"/>
    <col min="15370" max="15610" width="9.125" style="2"/>
    <col min="15611" max="15611" width="3.375" style="2" customWidth="1"/>
    <col min="15612" max="15612" width="32.25" style="2" customWidth="1"/>
    <col min="15613" max="15613" width="13" style="2" customWidth="1"/>
    <col min="15614" max="15620" width="9.625" style="2" customWidth="1"/>
    <col min="15621" max="15622" width="11.375" style="2" customWidth="1"/>
    <col min="15623" max="15624" width="9.125" style="2"/>
    <col min="15625" max="15625" width="18.375" style="2" customWidth="1"/>
    <col min="15626" max="15866" width="9.125" style="2"/>
    <col min="15867" max="15867" width="3.375" style="2" customWidth="1"/>
    <col min="15868" max="15868" width="32.25" style="2" customWidth="1"/>
    <col min="15869" max="15869" width="13" style="2" customWidth="1"/>
    <col min="15870" max="15876" width="9.625" style="2" customWidth="1"/>
    <col min="15877" max="15878" width="11.375" style="2" customWidth="1"/>
    <col min="15879" max="15880" width="9.125" style="2"/>
    <col min="15881" max="15881" width="18.375" style="2" customWidth="1"/>
    <col min="15882" max="16122" width="9.125" style="2"/>
    <col min="16123" max="16123" width="3.375" style="2" customWidth="1"/>
    <col min="16124" max="16124" width="32.25" style="2" customWidth="1"/>
    <col min="16125" max="16125" width="13" style="2" customWidth="1"/>
    <col min="16126" max="16132" width="9.625" style="2" customWidth="1"/>
    <col min="16133" max="16134" width="11.375" style="2" customWidth="1"/>
    <col min="16135" max="16136" width="9.125" style="2"/>
    <col min="16137" max="16137" width="18.375" style="2" customWidth="1"/>
    <col min="16138" max="16384" width="9.125" style="2"/>
  </cols>
  <sheetData>
    <row r="1" spans="1:33" ht="18.75" x14ac:dyDescent="0.3">
      <c r="A1" s="144" t="s">
        <v>100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</row>
    <row r="2" spans="1:33" ht="18.75" x14ac:dyDescent="0.3">
      <c r="A2" s="145" t="s">
        <v>149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</row>
    <row r="3" spans="1:33" ht="19.5" thickBot="1" x14ac:dyDescent="0.35">
      <c r="A3" s="146" t="s">
        <v>150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</row>
    <row r="4" spans="1:33" x14ac:dyDescent="0.25">
      <c r="A4" s="92"/>
      <c r="B4" s="91"/>
      <c r="C4" s="89">
        <v>1</v>
      </c>
      <c r="D4" s="89">
        <v>2</v>
      </c>
      <c r="E4" s="89">
        <v>3</v>
      </c>
      <c r="F4" s="89">
        <v>4</v>
      </c>
      <c r="G4" s="89">
        <v>5</v>
      </c>
      <c r="H4" s="89">
        <v>6</v>
      </c>
      <c r="I4" s="89">
        <v>7</v>
      </c>
      <c r="J4" s="89">
        <v>8</v>
      </c>
      <c r="K4" s="89">
        <v>9</v>
      </c>
      <c r="L4" s="89">
        <v>10</v>
      </c>
      <c r="M4" s="89">
        <v>11</v>
      </c>
      <c r="N4" s="89">
        <v>12</v>
      </c>
      <c r="O4" s="89">
        <v>13</v>
      </c>
      <c r="P4" s="89">
        <v>14</v>
      </c>
      <c r="Q4" s="89">
        <v>15</v>
      </c>
      <c r="R4" s="89">
        <v>16</v>
      </c>
      <c r="S4" s="89">
        <v>17</v>
      </c>
      <c r="T4" s="89">
        <v>18</v>
      </c>
      <c r="U4" s="89">
        <v>19</v>
      </c>
      <c r="V4" s="89">
        <v>20</v>
      </c>
      <c r="W4" s="89">
        <v>21</v>
      </c>
      <c r="X4" s="89">
        <v>22</v>
      </c>
      <c r="Y4" s="89">
        <v>23</v>
      </c>
      <c r="Z4" s="89">
        <v>24</v>
      </c>
      <c r="AA4" s="89">
        <v>25</v>
      </c>
      <c r="AB4" s="89">
        <v>26</v>
      </c>
      <c r="AC4" s="89">
        <v>27</v>
      </c>
      <c r="AD4" s="89">
        <v>28</v>
      </c>
      <c r="AE4" s="89">
        <v>29</v>
      </c>
      <c r="AF4" s="89">
        <v>30</v>
      </c>
      <c r="AG4" s="89">
        <v>31</v>
      </c>
    </row>
    <row r="5" spans="1:33" x14ac:dyDescent="0.25">
      <c r="A5" s="107" t="s">
        <v>105</v>
      </c>
      <c r="B5" s="108" t="s">
        <v>5</v>
      </c>
      <c r="C5" s="90">
        <f>'1'!K14</f>
        <v>13071.428571428571</v>
      </c>
      <c r="D5" s="90">
        <f>'2'!K14</f>
        <v>13214.285714285714</v>
      </c>
      <c r="E5" s="90">
        <f>'3'!K14</f>
        <v>13142.857142857143</v>
      </c>
      <c r="F5" s="90">
        <f>'4'!K14</f>
        <v>13214.285714285714</v>
      </c>
      <c r="G5" s="90">
        <f>'5'!K14</f>
        <v>13214.285714285714</v>
      </c>
      <c r="H5" s="90">
        <f>'6'!K14</f>
        <v>13285.714285714286</v>
      </c>
      <c r="I5" s="90">
        <f>'7'!K14</f>
        <v>13357.142857142857</v>
      </c>
      <c r="J5" s="90">
        <f>'8'!K14</f>
        <v>13285.714285714286</v>
      </c>
      <c r="K5" s="90">
        <f>'9'!K14</f>
        <v>13357.142857142857</v>
      </c>
      <c r="L5" s="90">
        <f>'10'!K14</f>
        <v>13357.142857142857</v>
      </c>
      <c r="M5" s="90">
        <f>'11'!K14</f>
        <v>13357.142857142857</v>
      </c>
      <c r="N5" s="90">
        <f>'12'!K14</f>
        <v>13357.142857142857</v>
      </c>
      <c r="O5" s="90">
        <f>'13'!K14</f>
        <v>13357.142857142857</v>
      </c>
      <c r="P5" s="90">
        <f>'14'!K14</f>
        <v>13357.142857142857</v>
      </c>
      <c r="Q5" s="90">
        <f>'15'!K14</f>
        <v>13357.142857142857</v>
      </c>
      <c r="R5" s="90">
        <f>'16'!K14</f>
        <v>13357.142857142857</v>
      </c>
      <c r="S5" s="90">
        <f>'17'!K14</f>
        <v>13357.142857142857</v>
      </c>
      <c r="T5" s="90">
        <f>'18'!K14</f>
        <v>13357.142857142857</v>
      </c>
      <c r="U5" s="90">
        <f>'19'!K14</f>
        <v>13500</v>
      </c>
      <c r="V5" s="90">
        <f>'20'!K14</f>
        <v>13428.571428571429</v>
      </c>
      <c r="W5" s="90">
        <f>'21'!K14</f>
        <v>13428.571428571429</v>
      </c>
      <c r="X5" s="90">
        <f>'22'!K14</f>
        <v>13571.428571428571</v>
      </c>
      <c r="Y5" s="90">
        <f>'23'!K14</f>
        <v>13571.428571428571</v>
      </c>
      <c r="Z5" s="90">
        <f>'24'!K14</f>
        <v>13571.428571428571</v>
      </c>
      <c r="AA5" s="90">
        <f>'25'!K14</f>
        <v>13571.428571428571</v>
      </c>
      <c r="AB5" s="90">
        <f>'26'!K14</f>
        <v>13571.428571428571</v>
      </c>
      <c r="AC5" s="90">
        <f>'27'!K14</f>
        <v>13500</v>
      </c>
      <c r="AD5" s="90">
        <f>'28'!K14</f>
        <v>13500</v>
      </c>
      <c r="AE5" s="90">
        <f>'29'!K14</f>
        <v>13571.428571428571</v>
      </c>
      <c r="AF5" s="90">
        <f>'30'!K14</f>
        <v>13571.428571428571</v>
      </c>
      <c r="AG5" s="90">
        <f>'31'!K14</f>
        <v>13571.428571428571</v>
      </c>
    </row>
    <row r="6" spans="1:33" x14ac:dyDescent="0.25">
      <c r="A6" s="132"/>
      <c r="B6" s="133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</row>
    <row r="7" spans="1:33" x14ac:dyDescent="0.25">
      <c r="A7" s="135"/>
      <c r="B7" s="135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</row>
    <row r="8" spans="1:33" x14ac:dyDescent="0.25">
      <c r="A8" s="135"/>
      <c r="B8" s="135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</row>
    <row r="9" spans="1:33" x14ac:dyDescent="0.25">
      <c r="A9" s="135"/>
      <c r="B9" s="135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</row>
    <row r="10" spans="1:33" x14ac:dyDescent="0.25">
      <c r="A10" s="135"/>
      <c r="B10" s="135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</row>
    <row r="11" spans="1:33" x14ac:dyDescent="0.25">
      <c r="A11" s="135"/>
      <c r="B11" s="135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</row>
    <row r="12" spans="1:33" x14ac:dyDescent="0.25">
      <c r="A12" s="135"/>
      <c r="B12" s="135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</row>
    <row r="13" spans="1:33" x14ac:dyDescent="0.25">
      <c r="A13" s="129"/>
      <c r="B13" s="130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</row>
    <row r="14" spans="1:33" x14ac:dyDescent="0.25">
      <c r="A14" s="129"/>
      <c r="B14" s="130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</row>
    <row r="15" spans="1:33" x14ac:dyDescent="0.25">
      <c r="A15" s="135"/>
      <c r="B15" s="135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</row>
    <row r="16" spans="1:33" x14ac:dyDescent="0.25">
      <c r="A16" s="129"/>
      <c r="B16" s="130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</row>
    <row r="17" spans="1:33" x14ac:dyDescent="0.25">
      <c r="A17" s="129"/>
      <c r="B17" s="130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</row>
    <row r="18" spans="1:33" x14ac:dyDescent="0.25">
      <c r="A18" s="129"/>
      <c r="B18" s="130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</row>
    <row r="19" spans="1:33" x14ac:dyDescent="0.25">
      <c r="A19" s="135"/>
      <c r="B19" s="135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</row>
    <row r="20" spans="1:33" x14ac:dyDescent="0.25">
      <c r="A20" s="135"/>
      <c r="B20" s="135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</row>
    <row r="21" spans="1:33" x14ac:dyDescent="0.25">
      <c r="A21" s="135"/>
      <c r="B21" s="135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</row>
    <row r="22" spans="1:33" x14ac:dyDescent="0.25">
      <c r="A22" s="129"/>
      <c r="B22" s="130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</row>
    <row r="23" spans="1:33" ht="15.75" thickBot="1" x14ac:dyDescent="0.3">
      <c r="A23" s="129"/>
      <c r="B23" s="130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</row>
    <row r="24" spans="1:33" x14ac:dyDescent="0.25">
      <c r="A24" s="138"/>
      <c r="B24" s="139"/>
      <c r="C24" s="140">
        <v>1</v>
      </c>
      <c r="D24" s="140">
        <v>2</v>
      </c>
      <c r="E24" s="140">
        <v>3</v>
      </c>
      <c r="F24" s="140">
        <v>4</v>
      </c>
      <c r="G24" s="140">
        <v>5</v>
      </c>
      <c r="H24" s="140">
        <v>6</v>
      </c>
      <c r="I24" s="140">
        <v>7</v>
      </c>
      <c r="J24" s="140">
        <v>8</v>
      </c>
      <c r="K24" s="140">
        <v>9</v>
      </c>
      <c r="L24" s="140">
        <v>10</v>
      </c>
      <c r="M24" s="140">
        <v>11</v>
      </c>
      <c r="N24" s="140">
        <v>12</v>
      </c>
      <c r="O24" s="140">
        <v>13</v>
      </c>
      <c r="P24" s="140">
        <v>14</v>
      </c>
      <c r="Q24" s="140">
        <v>15</v>
      </c>
      <c r="R24" s="140">
        <v>16</v>
      </c>
      <c r="S24" s="140">
        <v>17</v>
      </c>
      <c r="T24" s="140">
        <v>18</v>
      </c>
      <c r="U24" s="140">
        <v>19</v>
      </c>
      <c r="V24" s="140">
        <v>20</v>
      </c>
      <c r="W24" s="140">
        <v>21</v>
      </c>
      <c r="X24" s="140">
        <v>22</v>
      </c>
      <c r="Y24" s="140">
        <v>23</v>
      </c>
      <c r="Z24" s="140">
        <v>24</v>
      </c>
      <c r="AA24" s="140">
        <v>25</v>
      </c>
      <c r="AB24" s="140">
        <v>26</v>
      </c>
      <c r="AC24" s="140">
        <v>27</v>
      </c>
      <c r="AD24" s="140">
        <v>28</v>
      </c>
      <c r="AE24" s="140">
        <v>29</v>
      </c>
      <c r="AF24" s="140">
        <v>30</v>
      </c>
      <c r="AG24" s="140">
        <v>31</v>
      </c>
    </row>
    <row r="25" spans="1:33" x14ac:dyDescent="0.25">
      <c r="A25" s="107" t="s">
        <v>18</v>
      </c>
      <c r="B25" s="108" t="s">
        <v>5</v>
      </c>
      <c r="C25" s="90">
        <f>'1'!K25</f>
        <v>36000</v>
      </c>
      <c r="D25" s="90">
        <f>'2'!K25</f>
        <v>34000</v>
      </c>
      <c r="E25" s="90">
        <f>'3'!K25</f>
        <v>33571.428571428572</v>
      </c>
      <c r="F25" s="90">
        <f>'4'!K25</f>
        <v>33571.428571428572</v>
      </c>
      <c r="G25" s="90">
        <f>'5'!K25</f>
        <v>33000</v>
      </c>
      <c r="H25" s="90">
        <f>'6'!K25</f>
        <v>33000</v>
      </c>
      <c r="I25" s="90">
        <f>'7'!K25</f>
        <v>33000</v>
      </c>
      <c r="J25" s="90">
        <f>'8'!K25</f>
        <v>32857.142857142855</v>
      </c>
      <c r="K25" s="90">
        <f>'9'!K25</f>
        <v>32857.142857142855</v>
      </c>
      <c r="L25" s="90">
        <f>'10'!K25</f>
        <v>33428.571428571428</v>
      </c>
      <c r="M25" s="90">
        <f>'11'!K25</f>
        <v>33857.142857142855</v>
      </c>
      <c r="N25" s="90">
        <f>'12'!K25</f>
        <v>34000</v>
      </c>
      <c r="O25" s="90">
        <f>'13'!K25</f>
        <v>34000</v>
      </c>
      <c r="P25" s="90">
        <f>'14'!K25</f>
        <v>34000</v>
      </c>
      <c r="Q25" s="90">
        <f>'15'!K25</f>
        <v>34571.428571428572</v>
      </c>
      <c r="R25" s="90">
        <f>'16'!K25</f>
        <v>34142.857142857145</v>
      </c>
      <c r="S25" s="90">
        <f>'17'!K25</f>
        <v>34428.571428571428</v>
      </c>
      <c r="T25" s="90">
        <f>'18'!K25</f>
        <v>34571.428571428572</v>
      </c>
      <c r="U25" s="90">
        <f>'19'!K25</f>
        <v>34571.428571428572</v>
      </c>
      <c r="V25" s="90">
        <f>'20'!K25</f>
        <v>34714.285714285717</v>
      </c>
      <c r="W25" s="90">
        <f>'21'!K25</f>
        <v>34857.142857142855</v>
      </c>
      <c r="X25" s="90">
        <f>'22'!K25</f>
        <v>35285.714285714283</v>
      </c>
      <c r="Y25" s="90">
        <f>'23'!K25</f>
        <v>35571.428571428572</v>
      </c>
      <c r="Z25" s="90">
        <f>'24'!K25</f>
        <v>35857.142857142855</v>
      </c>
      <c r="AA25" s="90">
        <f>'25'!K25</f>
        <v>36571.428571428572</v>
      </c>
      <c r="AB25" s="90">
        <f>'26'!K25</f>
        <v>36428.571428571428</v>
      </c>
      <c r="AC25" s="90">
        <f>'27'!K25</f>
        <v>36285.714285714283</v>
      </c>
      <c r="AD25" s="90">
        <f>'28'!K25</f>
        <v>36428.571428571428</v>
      </c>
      <c r="AE25" s="90">
        <f>'29'!K25</f>
        <v>35857.142857142855</v>
      </c>
      <c r="AF25" s="90">
        <f>'30'!K25</f>
        <v>35714.285714285717</v>
      </c>
      <c r="AG25" s="90">
        <f>'31'!K25</f>
        <v>35857.142857142855</v>
      </c>
    </row>
    <row r="26" spans="1:33" x14ac:dyDescent="0.25">
      <c r="A26" s="136"/>
      <c r="B26" s="136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</row>
    <row r="27" spans="1:33" x14ac:dyDescent="0.25">
      <c r="A27" s="135"/>
      <c r="B27" s="135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</row>
    <row r="28" spans="1:33" x14ac:dyDescent="0.25">
      <c r="A28" s="135"/>
      <c r="B28" s="135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</row>
    <row r="29" spans="1:33" x14ac:dyDescent="0.25">
      <c r="A29" s="135"/>
      <c r="B29" s="135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</row>
    <row r="30" spans="1:33" x14ac:dyDescent="0.25">
      <c r="A30" s="135"/>
      <c r="B30" s="135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</row>
    <row r="31" spans="1:33" x14ac:dyDescent="0.25">
      <c r="A31" s="135"/>
      <c r="B31" s="135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</row>
    <row r="32" spans="1:33" x14ac:dyDescent="0.25">
      <c r="A32" s="135"/>
      <c r="B32" s="135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</row>
    <row r="33" spans="1:33" x14ac:dyDescent="0.25">
      <c r="A33" s="135"/>
      <c r="B33" s="135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</row>
    <row r="34" spans="1:33" x14ac:dyDescent="0.25">
      <c r="A34" s="135"/>
      <c r="B34" s="135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</row>
    <row r="35" spans="1:33" x14ac:dyDescent="0.25">
      <c r="A35" s="135"/>
      <c r="B35" s="135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</row>
    <row r="36" spans="1:33" x14ac:dyDescent="0.25">
      <c r="A36" s="135"/>
      <c r="B36" s="135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</row>
    <row r="37" spans="1:33" x14ac:dyDescent="0.25">
      <c r="A37" s="135"/>
      <c r="B37" s="135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</row>
    <row r="38" spans="1:33" x14ac:dyDescent="0.25">
      <c r="A38" s="135"/>
      <c r="B38" s="135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</row>
    <row r="39" spans="1:33" x14ac:dyDescent="0.25">
      <c r="A39" s="135"/>
      <c r="B39" s="135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</row>
    <row r="40" spans="1:33" x14ac:dyDescent="0.25">
      <c r="A40" s="135"/>
      <c r="B40" s="135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</row>
    <row r="41" spans="1:33" x14ac:dyDescent="0.25">
      <c r="A41" s="135"/>
      <c r="B41" s="135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</row>
    <row r="42" spans="1:33" x14ac:dyDescent="0.25">
      <c r="A42" s="135"/>
      <c r="B42" s="135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1"/>
      <c r="AD42" s="131"/>
      <c r="AE42" s="131"/>
      <c r="AF42" s="131"/>
      <c r="AG42" s="131"/>
    </row>
    <row r="43" spans="1:33" ht="15.75" thickBot="1" x14ac:dyDescent="0.3">
      <c r="A43" s="135"/>
      <c r="B43" s="135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</row>
    <row r="44" spans="1:33" x14ac:dyDescent="0.25">
      <c r="A44" s="138"/>
      <c r="B44" s="139"/>
      <c r="C44" s="140">
        <v>1</v>
      </c>
      <c r="D44" s="140">
        <v>2</v>
      </c>
      <c r="E44" s="140">
        <v>3</v>
      </c>
      <c r="F44" s="140">
        <v>4</v>
      </c>
      <c r="G44" s="140">
        <v>5</v>
      </c>
      <c r="H44" s="140">
        <v>6</v>
      </c>
      <c r="I44" s="140">
        <v>7</v>
      </c>
      <c r="J44" s="140">
        <v>8</v>
      </c>
      <c r="K44" s="140">
        <v>9</v>
      </c>
      <c r="L44" s="140">
        <v>10</v>
      </c>
      <c r="M44" s="140">
        <v>11</v>
      </c>
      <c r="N44" s="140">
        <v>12</v>
      </c>
      <c r="O44" s="140">
        <v>13</v>
      </c>
      <c r="P44" s="140">
        <v>14</v>
      </c>
      <c r="Q44" s="140">
        <v>15</v>
      </c>
      <c r="R44" s="140">
        <v>16</v>
      </c>
      <c r="S44" s="140">
        <v>17</v>
      </c>
      <c r="T44" s="140">
        <v>18</v>
      </c>
      <c r="U44" s="140">
        <v>19</v>
      </c>
      <c r="V44" s="140">
        <v>20</v>
      </c>
      <c r="W44" s="140">
        <v>21</v>
      </c>
      <c r="X44" s="140">
        <v>22</v>
      </c>
      <c r="Y44" s="140">
        <v>23</v>
      </c>
      <c r="Z44" s="140">
        <v>24</v>
      </c>
      <c r="AA44" s="140">
        <v>25</v>
      </c>
      <c r="AB44" s="140">
        <v>26</v>
      </c>
      <c r="AC44" s="140">
        <v>27</v>
      </c>
      <c r="AD44" s="140">
        <v>28</v>
      </c>
      <c r="AE44" s="140">
        <v>29</v>
      </c>
      <c r="AF44" s="140">
        <v>30</v>
      </c>
      <c r="AG44" s="140">
        <v>31</v>
      </c>
    </row>
    <row r="45" spans="1:33" x14ac:dyDescent="0.25">
      <c r="A45" s="107" t="s">
        <v>27</v>
      </c>
      <c r="B45" s="108" t="s">
        <v>5</v>
      </c>
      <c r="C45" s="90">
        <f>'1'!K34</f>
        <v>27142.857142857141</v>
      </c>
      <c r="D45" s="90">
        <f>'2'!K34</f>
        <v>26714.285714285714</v>
      </c>
      <c r="E45" s="90">
        <f>'3'!K34</f>
        <v>27000</v>
      </c>
      <c r="F45" s="90">
        <f>'4'!K34</f>
        <v>27285.714285714286</v>
      </c>
      <c r="G45" s="90">
        <f>'5'!K34</f>
        <v>27785.714285714286</v>
      </c>
      <c r="H45" s="90">
        <f>'6'!K34</f>
        <v>28214.285714285714</v>
      </c>
      <c r="I45" s="90">
        <f>'7'!K34</f>
        <v>28214.285714285714</v>
      </c>
      <c r="J45" s="90">
        <f>'8'!K34</f>
        <v>28142.857142857141</v>
      </c>
      <c r="K45" s="90">
        <f>'9'!K34</f>
        <v>28714.285714285714</v>
      </c>
      <c r="L45" s="90">
        <f>'10'!K34</f>
        <v>29000</v>
      </c>
      <c r="M45" s="90">
        <f>'11'!K34</f>
        <v>29142.857142857141</v>
      </c>
      <c r="N45" s="90">
        <f>'12'!K34</f>
        <v>29428.571428571428</v>
      </c>
      <c r="O45" s="90">
        <f>'13'!K34</f>
        <v>30142.857142857141</v>
      </c>
      <c r="P45" s="90">
        <f>'14'!K34</f>
        <v>30428.571428571428</v>
      </c>
      <c r="Q45" s="90">
        <f>'15'!K34</f>
        <v>30714.285714285714</v>
      </c>
      <c r="R45" s="90">
        <f>'16'!K34</f>
        <v>31428.571428571428</v>
      </c>
      <c r="S45" s="90">
        <f>'17'!K34</f>
        <v>31142.857142857141</v>
      </c>
      <c r="T45" s="90">
        <f>'18'!K34</f>
        <v>30857.142857142859</v>
      </c>
      <c r="U45" s="90">
        <f>'19'!K34</f>
        <v>31285.714285714286</v>
      </c>
      <c r="V45" s="90">
        <f>'20'!K34</f>
        <v>31571.428571428572</v>
      </c>
      <c r="W45" s="90">
        <f>'21'!K34</f>
        <v>31714.285714285714</v>
      </c>
      <c r="X45" s="90">
        <f>'22'!K34</f>
        <v>31357.142857142859</v>
      </c>
      <c r="Y45" s="90">
        <f>'23'!K34</f>
        <v>31214.285714285714</v>
      </c>
      <c r="Z45" s="90">
        <f>'24'!K34</f>
        <v>30642.857142857141</v>
      </c>
      <c r="AA45" s="90">
        <f>'25'!K34</f>
        <v>30571.428571428572</v>
      </c>
      <c r="AB45" s="90">
        <f>'26'!K34</f>
        <v>30428.571428571428</v>
      </c>
      <c r="AC45" s="90">
        <f>'27'!K34</f>
        <v>30428.571428571428</v>
      </c>
      <c r="AD45" s="90">
        <f>'28'!K34</f>
        <v>30571.428571428572</v>
      </c>
      <c r="AE45" s="90">
        <f>'29'!K34</f>
        <v>30214.285714285714</v>
      </c>
      <c r="AF45" s="90">
        <f>'30'!K34</f>
        <v>30214.285714285714</v>
      </c>
      <c r="AG45" s="90">
        <f>'31'!K34</f>
        <v>29928.571428571428</v>
      </c>
    </row>
    <row r="46" spans="1:33" x14ac:dyDescent="0.25">
      <c r="A46" s="132"/>
      <c r="B46" s="133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</row>
    <row r="47" spans="1:33" x14ac:dyDescent="0.25">
      <c r="A47" s="135"/>
      <c r="B47" s="130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</row>
    <row r="48" spans="1:33" x14ac:dyDescent="0.25">
      <c r="A48" s="129"/>
      <c r="B48" s="130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</row>
    <row r="49" spans="1:33" x14ac:dyDescent="0.25">
      <c r="A49" s="129"/>
      <c r="B49" s="130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</row>
    <row r="50" spans="1:33" x14ac:dyDescent="0.25">
      <c r="A50" s="135"/>
      <c r="B50" s="130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</row>
    <row r="51" spans="1:33" x14ac:dyDescent="0.25">
      <c r="A51" s="129"/>
      <c r="B51" s="130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</row>
    <row r="52" spans="1:33" x14ac:dyDescent="0.25">
      <c r="A52" s="129"/>
      <c r="B52" s="130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</row>
    <row r="53" spans="1:33" x14ac:dyDescent="0.25">
      <c r="A53" s="129"/>
      <c r="B53" s="130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</row>
    <row r="54" spans="1:33" x14ac:dyDescent="0.25">
      <c r="A54" s="135"/>
      <c r="B54" s="135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</row>
    <row r="55" spans="1:33" x14ac:dyDescent="0.25">
      <c r="A55" s="129"/>
      <c r="B55" s="130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</row>
    <row r="56" spans="1:33" x14ac:dyDescent="0.25">
      <c r="A56" s="129"/>
      <c r="B56" s="130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  <c r="AC56" s="131"/>
      <c r="AD56" s="131"/>
      <c r="AE56" s="131"/>
      <c r="AF56" s="131"/>
      <c r="AG56" s="131"/>
    </row>
    <row r="57" spans="1:33" x14ac:dyDescent="0.25">
      <c r="A57" s="135"/>
      <c r="B57" s="135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  <c r="AA57" s="131"/>
      <c r="AB57" s="131"/>
      <c r="AC57" s="131"/>
      <c r="AD57" s="131"/>
      <c r="AE57" s="131"/>
      <c r="AF57" s="131"/>
      <c r="AG57" s="131"/>
    </row>
    <row r="58" spans="1:33" x14ac:dyDescent="0.25">
      <c r="A58" s="129"/>
      <c r="B58" s="130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</row>
    <row r="59" spans="1:33" x14ac:dyDescent="0.25">
      <c r="A59" s="129"/>
      <c r="B59" s="130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</row>
    <row r="60" spans="1:33" x14ac:dyDescent="0.25">
      <c r="A60" s="137"/>
      <c r="B60" s="130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</row>
    <row r="61" spans="1:33" x14ac:dyDescent="0.25">
      <c r="A61" s="129"/>
      <c r="B61" s="130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</row>
    <row r="62" spans="1:33" x14ac:dyDescent="0.25">
      <c r="A62" s="129"/>
      <c r="B62" s="130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</row>
    <row r="63" spans="1:33" x14ac:dyDescent="0.25">
      <c r="A63" s="129"/>
      <c r="B63" s="130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</row>
    <row r="64" spans="1:33" x14ac:dyDescent="0.25">
      <c r="A64" s="129"/>
      <c r="B64" s="130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</row>
    <row r="65" spans="1:33" x14ac:dyDescent="0.25">
      <c r="A65" s="129"/>
      <c r="B65" s="130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</row>
    <row r="66" spans="1:33" x14ac:dyDescent="0.25">
      <c r="A66" s="129"/>
      <c r="B66" s="130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</row>
    <row r="67" spans="1:33" ht="15.75" thickBot="1" x14ac:dyDescent="0.3">
      <c r="A67" s="129"/>
      <c r="B67" s="130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</row>
    <row r="68" spans="1:33" x14ac:dyDescent="0.25">
      <c r="A68" s="138"/>
      <c r="B68" s="139"/>
      <c r="C68" s="140">
        <v>1</v>
      </c>
      <c r="D68" s="140">
        <v>2</v>
      </c>
      <c r="E68" s="140">
        <v>3</v>
      </c>
      <c r="F68" s="140">
        <v>4</v>
      </c>
      <c r="G68" s="140">
        <v>5</v>
      </c>
      <c r="H68" s="140">
        <v>6</v>
      </c>
      <c r="I68" s="140">
        <v>7</v>
      </c>
      <c r="J68" s="140">
        <v>8</v>
      </c>
      <c r="K68" s="140">
        <v>9</v>
      </c>
      <c r="L68" s="140">
        <v>10</v>
      </c>
      <c r="M68" s="140">
        <v>11</v>
      </c>
      <c r="N68" s="140">
        <v>12</v>
      </c>
      <c r="O68" s="140">
        <v>13</v>
      </c>
      <c r="P68" s="140">
        <v>14</v>
      </c>
      <c r="Q68" s="140">
        <v>15</v>
      </c>
      <c r="R68" s="140">
        <v>16</v>
      </c>
      <c r="S68" s="140">
        <v>17</v>
      </c>
      <c r="T68" s="140">
        <v>18</v>
      </c>
      <c r="U68" s="140">
        <v>19</v>
      </c>
      <c r="V68" s="140">
        <v>20</v>
      </c>
      <c r="W68" s="140">
        <v>21</v>
      </c>
      <c r="X68" s="140">
        <v>22</v>
      </c>
      <c r="Y68" s="140">
        <v>23</v>
      </c>
      <c r="Z68" s="140">
        <v>24</v>
      </c>
      <c r="AA68" s="140">
        <v>25</v>
      </c>
      <c r="AB68" s="140">
        <v>26</v>
      </c>
      <c r="AC68" s="140">
        <v>27</v>
      </c>
      <c r="AD68" s="140">
        <v>28</v>
      </c>
      <c r="AE68" s="140">
        <v>29</v>
      </c>
      <c r="AF68" s="140">
        <v>30</v>
      </c>
      <c r="AG68" s="140">
        <v>31</v>
      </c>
    </row>
    <row r="69" spans="1:33" x14ac:dyDescent="0.25">
      <c r="A69" s="107" t="s">
        <v>55</v>
      </c>
      <c r="B69" s="108" t="s">
        <v>5</v>
      </c>
      <c r="C69" s="90">
        <f>'1'!K64</f>
        <v>28857.142857142859</v>
      </c>
      <c r="D69" s="90">
        <f>'2'!K64</f>
        <v>29857.142857142859</v>
      </c>
      <c r="E69" s="90">
        <f>'3'!K64</f>
        <v>29571.428571428572</v>
      </c>
      <c r="F69" s="90">
        <f>'4'!K64</f>
        <v>29714.285714285714</v>
      </c>
      <c r="G69" s="90">
        <f>'5'!K64</f>
        <v>29285.714285714286</v>
      </c>
      <c r="H69" s="90">
        <f>'6'!K64</f>
        <v>30714.285714285714</v>
      </c>
      <c r="I69" s="90">
        <f>'7'!K64</f>
        <v>30000</v>
      </c>
      <c r="J69" s="90">
        <f>'8'!K64</f>
        <v>28714.285714285714</v>
      </c>
      <c r="K69" s="90">
        <f>'9'!K64</f>
        <v>31571.428571428572</v>
      </c>
      <c r="L69" s="90">
        <f>'10'!K64</f>
        <v>31857.142857142859</v>
      </c>
      <c r="M69" s="90">
        <f>'11'!K64</f>
        <v>31857.142857142859</v>
      </c>
      <c r="N69" s="90">
        <f>'12'!K64</f>
        <v>32571.428571428572</v>
      </c>
      <c r="O69" s="90">
        <f>'13'!K64</f>
        <v>32857.142857142855</v>
      </c>
      <c r="P69" s="90">
        <f>'14'!K64</f>
        <v>32857.142857142855</v>
      </c>
      <c r="Q69" s="90">
        <f>'15'!K64</f>
        <v>33285.714285714283</v>
      </c>
      <c r="R69" s="90">
        <f>'16'!K64</f>
        <v>34000</v>
      </c>
      <c r="S69" s="90">
        <f>'17'!K64</f>
        <v>34285.714285714283</v>
      </c>
      <c r="T69" s="90">
        <f>'18'!K64</f>
        <v>34285.714285714283</v>
      </c>
      <c r="U69" s="90">
        <f>'19'!K64</f>
        <v>32142.857142857141</v>
      </c>
      <c r="V69" s="90">
        <f>'20'!K64</f>
        <v>32857.142857142855</v>
      </c>
      <c r="W69" s="90">
        <f>'21'!K64</f>
        <v>33142.857142857145</v>
      </c>
      <c r="X69" s="90">
        <f>'22'!K64</f>
        <v>32428.571428571428</v>
      </c>
      <c r="Y69" s="90">
        <f>'23'!K64</f>
        <v>32571.428571428572</v>
      </c>
      <c r="Z69" s="90">
        <f>'24'!K64</f>
        <v>31285.714285714286</v>
      </c>
      <c r="AA69" s="90">
        <f>'25'!K64</f>
        <v>30142.857142857141</v>
      </c>
      <c r="AB69" s="90">
        <f>'26'!K64</f>
        <v>30857.142857142859</v>
      </c>
      <c r="AC69" s="90">
        <f>'27'!K64</f>
        <v>32142.857142857141</v>
      </c>
      <c r="AD69" s="90">
        <f>'28'!K64</f>
        <v>30714.285714285714</v>
      </c>
      <c r="AE69" s="90">
        <f>'29'!K64</f>
        <v>30714.285714285714</v>
      </c>
      <c r="AF69" s="90">
        <f>'30'!K64</f>
        <v>31428.571428571428</v>
      </c>
      <c r="AG69" s="90">
        <f>'31'!K64</f>
        <v>31428.571428571428</v>
      </c>
    </row>
    <row r="70" spans="1:33" x14ac:dyDescent="0.25">
      <c r="A70" s="107" t="s">
        <v>56</v>
      </c>
      <c r="B70" s="108" t="s">
        <v>5</v>
      </c>
      <c r="C70" s="90">
        <f>'1'!K65</f>
        <v>36250</v>
      </c>
      <c r="D70" s="90">
        <f>'2'!K65</f>
        <v>30750</v>
      </c>
      <c r="E70" s="90">
        <f>'3'!K65</f>
        <v>31250</v>
      </c>
      <c r="F70" s="90">
        <f>'4'!K65</f>
        <v>31250</v>
      </c>
      <c r="G70" s="90">
        <f>'5'!K65</f>
        <v>31250</v>
      </c>
      <c r="H70" s="90">
        <f>'6'!K65</f>
        <v>31250</v>
      </c>
      <c r="I70" s="90">
        <f>'7'!K65</f>
        <v>33000</v>
      </c>
      <c r="J70" s="90">
        <f>'8'!K65</f>
        <v>31000</v>
      </c>
      <c r="K70" s="90">
        <f>'9'!K65</f>
        <v>34000</v>
      </c>
      <c r="L70" s="90">
        <f>'10'!K65</f>
        <v>31000</v>
      </c>
      <c r="M70" s="90">
        <f>'11'!K65</f>
        <v>31000</v>
      </c>
      <c r="N70" s="90">
        <f>'12'!K65</f>
        <v>31000</v>
      </c>
      <c r="O70" s="90">
        <f>'13'!K65</f>
        <v>30000</v>
      </c>
      <c r="P70" s="90">
        <f>'14'!K65</f>
        <v>30000</v>
      </c>
      <c r="Q70" s="90">
        <f>'15'!K65</f>
        <v>30000</v>
      </c>
      <c r="R70" s="90">
        <f>'16'!K65</f>
        <v>30000</v>
      </c>
      <c r="S70" s="90">
        <f>'17'!K65</f>
        <v>30000</v>
      </c>
      <c r="T70" s="90">
        <f>'18'!K65</f>
        <v>30000</v>
      </c>
      <c r="U70" s="90">
        <f>'19'!K65</f>
        <v>28000</v>
      </c>
      <c r="V70" s="90">
        <f>'20'!K65</f>
        <v>30000</v>
      </c>
      <c r="W70" s="90">
        <f>'21'!K65</f>
        <v>29000</v>
      </c>
      <c r="X70" s="90">
        <f>'22'!K65</f>
        <v>29000</v>
      </c>
      <c r="Y70" s="90">
        <f>'23'!K65</f>
        <v>29000</v>
      </c>
      <c r="Z70" s="90">
        <f>'24'!K65</f>
        <v>29000</v>
      </c>
      <c r="AA70" s="90">
        <f>'25'!K65</f>
        <v>29000</v>
      </c>
      <c r="AB70" s="90">
        <f>'26'!K65</f>
        <v>28800</v>
      </c>
      <c r="AC70" s="90">
        <f>'27'!K65</f>
        <v>30000</v>
      </c>
      <c r="AD70" s="90">
        <f>'28'!K65</f>
        <v>27000</v>
      </c>
      <c r="AE70" s="90">
        <f>'29'!K65</f>
        <v>27600</v>
      </c>
      <c r="AF70" s="90">
        <f>'30'!K65</f>
        <v>26600</v>
      </c>
      <c r="AG70" s="90">
        <f>'31'!K65</f>
        <v>26000</v>
      </c>
    </row>
    <row r="71" spans="1:33" x14ac:dyDescent="0.25">
      <c r="A71" s="107" t="s">
        <v>57</v>
      </c>
      <c r="B71" s="108" t="s">
        <v>5</v>
      </c>
      <c r="C71" s="90">
        <f>'1'!K66</f>
        <v>26285.714285714286</v>
      </c>
      <c r="D71" s="90">
        <f>'2'!K66</f>
        <v>27857.142857142859</v>
      </c>
      <c r="E71" s="90">
        <f>'3'!K66</f>
        <v>26428.571428571428</v>
      </c>
      <c r="F71" s="90">
        <f>'4'!K66</f>
        <v>26857.142857142859</v>
      </c>
      <c r="G71" s="90">
        <f>'5'!K66</f>
        <v>27142.857142857141</v>
      </c>
      <c r="H71" s="90">
        <f>'6'!K66</f>
        <v>27857.142857142859</v>
      </c>
      <c r="I71" s="90">
        <f>'7'!K66</f>
        <v>26428.571428571428</v>
      </c>
      <c r="J71" s="90">
        <f>'8'!K66</f>
        <v>26428.571428571428</v>
      </c>
      <c r="K71" s="90">
        <f>'9'!K66</f>
        <v>27142.857142857141</v>
      </c>
      <c r="L71" s="90">
        <f>'10'!K66</f>
        <v>28571.428571428572</v>
      </c>
      <c r="M71" s="90">
        <f>'11'!K66</f>
        <v>29571.428571428572</v>
      </c>
      <c r="N71" s="90">
        <f>'12'!K66</f>
        <v>31142.857142857141</v>
      </c>
      <c r="O71" s="90">
        <f>'13'!K66</f>
        <v>31142.857142857141</v>
      </c>
      <c r="P71" s="90">
        <f>'14'!K66</f>
        <v>31857.142857142859</v>
      </c>
      <c r="Q71" s="90">
        <f>'15'!K66</f>
        <v>31857.142857142859</v>
      </c>
      <c r="R71" s="90">
        <f>'16'!K66</f>
        <v>32571.428571428572</v>
      </c>
      <c r="S71" s="90">
        <f>'17'!K66</f>
        <v>32714.285714285714</v>
      </c>
      <c r="T71" s="90">
        <f>'18'!K66</f>
        <v>32428.571428571428</v>
      </c>
      <c r="U71" s="90">
        <f>'19'!K66</f>
        <v>34285.714285714283</v>
      </c>
      <c r="V71" s="90">
        <f>'20'!K66</f>
        <v>34428.571428571428</v>
      </c>
      <c r="W71" s="90">
        <f>'21'!K66</f>
        <v>35714.285714285717</v>
      </c>
      <c r="X71" s="90">
        <f>'22'!K66</f>
        <v>35428.571428571428</v>
      </c>
      <c r="Y71" s="90">
        <f>'23'!K66</f>
        <v>35428.571428571428</v>
      </c>
      <c r="Z71" s="90">
        <f>'24'!K66</f>
        <v>35428.571428571428</v>
      </c>
      <c r="AA71" s="90">
        <f>'25'!K66</f>
        <v>36428.571428571428</v>
      </c>
      <c r="AB71" s="90">
        <f>'26'!K66</f>
        <v>37857.142857142855</v>
      </c>
      <c r="AC71" s="90">
        <f>'27'!K66</f>
        <v>35714.285714285717</v>
      </c>
      <c r="AD71" s="90">
        <f>'28'!K66</f>
        <v>35714.285714285717</v>
      </c>
      <c r="AE71" s="90">
        <f>'29'!K66</f>
        <v>36857.142857142855</v>
      </c>
      <c r="AF71" s="90">
        <f>'30'!K66</f>
        <v>37428.571428571428</v>
      </c>
      <c r="AG71" s="90">
        <f>'31'!K66</f>
        <v>37857.142857142855</v>
      </c>
    </row>
    <row r="72" spans="1:33" x14ac:dyDescent="0.25">
      <c r="A72" s="132"/>
      <c r="B72" s="133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</row>
    <row r="73" spans="1:33" x14ac:dyDescent="0.25">
      <c r="A73" s="129"/>
      <c r="B73" s="130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</row>
    <row r="74" spans="1:33" x14ac:dyDescent="0.25">
      <c r="A74" s="129"/>
      <c r="B74" s="130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</row>
    <row r="75" spans="1:33" x14ac:dyDescent="0.25">
      <c r="A75" s="129"/>
      <c r="B75" s="130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</row>
    <row r="76" spans="1:33" x14ac:dyDescent="0.25">
      <c r="A76" s="129"/>
      <c r="B76" s="130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</row>
    <row r="77" spans="1:33" x14ac:dyDescent="0.25">
      <c r="A77" s="129"/>
      <c r="B77" s="130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</row>
    <row r="78" spans="1:33" x14ac:dyDescent="0.25">
      <c r="A78" s="129"/>
      <c r="B78" s="130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</row>
    <row r="79" spans="1:33" x14ac:dyDescent="0.25">
      <c r="A79" s="129"/>
      <c r="B79" s="130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</row>
    <row r="80" spans="1:33" x14ac:dyDescent="0.25">
      <c r="A80" s="129"/>
      <c r="B80" s="130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</row>
    <row r="81" spans="1:33" x14ac:dyDescent="0.25">
      <c r="A81" s="129"/>
      <c r="B81" s="130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</row>
    <row r="82" spans="1:33" x14ac:dyDescent="0.25">
      <c r="A82" s="129"/>
      <c r="B82" s="130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</row>
    <row r="83" spans="1:33" x14ac:dyDescent="0.25">
      <c r="A83" s="129"/>
      <c r="B83" s="130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</row>
    <row r="84" spans="1:33" x14ac:dyDescent="0.25">
      <c r="A84" s="129"/>
      <c r="B84" s="130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</row>
    <row r="85" spans="1:33" x14ac:dyDescent="0.25">
      <c r="A85" s="129"/>
      <c r="B85" s="130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</row>
    <row r="86" spans="1:33" x14ac:dyDescent="0.25">
      <c r="A86" s="129"/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</row>
    <row r="87" spans="1:33" x14ac:dyDescent="0.25">
      <c r="A87" s="129"/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</row>
    <row r="88" spans="1:33" ht="15.75" thickBot="1" x14ac:dyDescent="0.3">
      <c r="A88" s="129"/>
      <c r="B88" s="130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</row>
    <row r="89" spans="1:33" x14ac:dyDescent="0.25">
      <c r="A89" s="138"/>
      <c r="B89" s="139"/>
      <c r="C89" s="140">
        <v>1</v>
      </c>
      <c r="D89" s="140">
        <v>2</v>
      </c>
      <c r="E89" s="140">
        <v>3</v>
      </c>
      <c r="F89" s="140">
        <v>4</v>
      </c>
      <c r="G89" s="140">
        <v>5</v>
      </c>
      <c r="H89" s="140">
        <v>6</v>
      </c>
      <c r="I89" s="140">
        <v>7</v>
      </c>
      <c r="J89" s="140">
        <v>8</v>
      </c>
      <c r="K89" s="140">
        <v>9</v>
      </c>
      <c r="L89" s="140">
        <v>10</v>
      </c>
      <c r="M89" s="140">
        <v>11</v>
      </c>
      <c r="N89" s="140">
        <v>12</v>
      </c>
      <c r="O89" s="140">
        <v>13</v>
      </c>
      <c r="P89" s="140">
        <v>14</v>
      </c>
      <c r="Q89" s="140">
        <v>15</v>
      </c>
      <c r="R89" s="140">
        <v>16</v>
      </c>
      <c r="S89" s="140">
        <v>17</v>
      </c>
      <c r="T89" s="140">
        <v>18</v>
      </c>
      <c r="U89" s="140">
        <v>19</v>
      </c>
      <c r="V89" s="140">
        <v>20</v>
      </c>
      <c r="W89" s="140">
        <v>21</v>
      </c>
      <c r="X89" s="140">
        <v>22</v>
      </c>
      <c r="Y89" s="140">
        <v>23</v>
      </c>
      <c r="Z89" s="140">
        <v>24</v>
      </c>
      <c r="AA89" s="140">
        <v>25</v>
      </c>
      <c r="AB89" s="140">
        <v>26</v>
      </c>
      <c r="AC89" s="140">
        <v>27</v>
      </c>
      <c r="AD89" s="140">
        <v>28</v>
      </c>
      <c r="AE89" s="140">
        <v>29</v>
      </c>
      <c r="AF89" s="140">
        <v>30</v>
      </c>
      <c r="AG89" s="140">
        <v>31</v>
      </c>
    </row>
    <row r="90" spans="1:33" x14ac:dyDescent="0.25">
      <c r="A90" s="107" t="s">
        <v>62</v>
      </c>
      <c r="B90" s="108" t="s">
        <v>5</v>
      </c>
      <c r="C90" s="90">
        <f>'1'!K70</f>
        <v>34857.142857142855</v>
      </c>
      <c r="D90" s="90">
        <f>'2'!K70</f>
        <v>35000</v>
      </c>
      <c r="E90" s="90">
        <f>'3'!K70</f>
        <v>35428.571428571428</v>
      </c>
      <c r="F90" s="90">
        <f>'4'!K70</f>
        <v>34571.428571428572</v>
      </c>
      <c r="G90" s="90">
        <f>'5'!K70</f>
        <v>34428.571428571428</v>
      </c>
      <c r="H90" s="90">
        <f>'6'!K70</f>
        <v>35428.571428571428</v>
      </c>
      <c r="I90" s="90">
        <f>'7'!K70</f>
        <v>35428.571428571428</v>
      </c>
      <c r="J90" s="90">
        <f>'8'!K70</f>
        <v>35857.142857142855</v>
      </c>
      <c r="K90" s="90">
        <f>'9'!K70</f>
        <v>36000</v>
      </c>
      <c r="L90" s="90">
        <f>'10'!K70</f>
        <v>35857.142857142855</v>
      </c>
      <c r="M90" s="90">
        <f>'11'!K70</f>
        <v>36000</v>
      </c>
      <c r="N90" s="90">
        <f>'12'!K70</f>
        <v>35714.285714285717</v>
      </c>
      <c r="O90" s="90">
        <f>'13'!K70</f>
        <v>36000</v>
      </c>
      <c r="P90" s="90">
        <f>'14'!K70</f>
        <v>36000</v>
      </c>
      <c r="Q90" s="90">
        <f>'15'!K70</f>
        <v>36428.571428571428</v>
      </c>
      <c r="R90" s="90">
        <f>'16'!K70</f>
        <v>35714.285714285717</v>
      </c>
      <c r="S90" s="90">
        <f>'17'!K70</f>
        <v>35857.142857142855</v>
      </c>
      <c r="T90" s="90">
        <f>'18'!K70</f>
        <v>35857.142857142855</v>
      </c>
      <c r="U90" s="90">
        <f>'19'!K70</f>
        <v>36142.857142857145</v>
      </c>
      <c r="V90" s="90">
        <f>'20'!K70</f>
        <v>36000</v>
      </c>
      <c r="W90" s="90">
        <f>'21'!K70</f>
        <v>36142.857142857145</v>
      </c>
      <c r="X90" s="90">
        <f>'22'!K70</f>
        <v>36714.285714285717</v>
      </c>
      <c r="Y90" s="90">
        <f>'23'!K70</f>
        <v>37000</v>
      </c>
      <c r="Z90" s="90">
        <f>'24'!K70</f>
        <v>36142.857142857145</v>
      </c>
      <c r="AA90" s="90">
        <f>'25'!K70</f>
        <v>35857.142857142855</v>
      </c>
      <c r="AB90" s="90">
        <f>'26'!K70</f>
        <v>36285.714285714283</v>
      </c>
      <c r="AC90" s="90">
        <f>'27'!K70</f>
        <v>36142.857142857145</v>
      </c>
      <c r="AD90" s="90">
        <f>'28'!K70</f>
        <v>36142.857142857145</v>
      </c>
      <c r="AE90" s="90">
        <f>'29'!K70</f>
        <v>36142.857142857145</v>
      </c>
      <c r="AF90" s="90">
        <f>'30'!K70</f>
        <v>36428.571428571428</v>
      </c>
      <c r="AG90" s="90">
        <f>'31'!K70</f>
        <v>36428.571428571428</v>
      </c>
    </row>
    <row r="91" spans="1:33" x14ac:dyDescent="0.25">
      <c r="A91" s="107" t="s">
        <v>63</v>
      </c>
      <c r="B91" s="108" t="s">
        <v>5</v>
      </c>
      <c r="C91" s="90">
        <f>'1'!K71</f>
        <v>30571.428571428572</v>
      </c>
      <c r="D91" s="90">
        <f>'2'!K71</f>
        <v>30142.857142857141</v>
      </c>
      <c r="E91" s="90">
        <f>'3'!K71</f>
        <v>31142.857142857141</v>
      </c>
      <c r="F91" s="90">
        <f>'4'!K71</f>
        <v>30857.142857142859</v>
      </c>
      <c r="G91" s="90">
        <f>'5'!K71</f>
        <v>31142.857142857141</v>
      </c>
      <c r="H91" s="90">
        <f>'6'!K71</f>
        <v>31714.285714285714</v>
      </c>
      <c r="I91" s="90">
        <f>'7'!K71</f>
        <v>31714.285714285714</v>
      </c>
      <c r="J91" s="90">
        <f>'8'!K71</f>
        <v>31428.571428571428</v>
      </c>
      <c r="K91" s="90">
        <f>'9'!K71</f>
        <v>31714.285714285714</v>
      </c>
      <c r="L91" s="90">
        <f>'10'!K71</f>
        <v>32428.571428571428</v>
      </c>
      <c r="M91" s="90">
        <f>'11'!K71</f>
        <v>32714.285714285714</v>
      </c>
      <c r="N91" s="90">
        <f>'12'!K71</f>
        <v>33000</v>
      </c>
      <c r="O91" s="90">
        <f>'13'!K71</f>
        <v>32714.285714285714</v>
      </c>
      <c r="P91" s="90">
        <f>'14'!K71</f>
        <v>32714.285714285714</v>
      </c>
      <c r="Q91" s="90">
        <f>'15'!K71</f>
        <v>33142.857142857145</v>
      </c>
      <c r="R91" s="90">
        <f>'16'!K71</f>
        <v>32285.714285714286</v>
      </c>
      <c r="S91" s="90">
        <f>'17'!K71</f>
        <v>32142.857142857141</v>
      </c>
      <c r="T91" s="90">
        <f>'18'!K71</f>
        <v>32142.857142857141</v>
      </c>
      <c r="U91" s="90">
        <f>'19'!K71</f>
        <v>32571.428571428572</v>
      </c>
      <c r="V91" s="90">
        <f>'20'!K71</f>
        <v>32571.428571428572</v>
      </c>
      <c r="W91" s="90">
        <f>'21'!K71</f>
        <v>32714.285714285714</v>
      </c>
      <c r="X91" s="90">
        <f>'22'!K71</f>
        <v>32714.285714285714</v>
      </c>
      <c r="Y91" s="90">
        <f>'23'!K71</f>
        <v>33285.714285714283</v>
      </c>
      <c r="Z91" s="90">
        <f>'24'!K71</f>
        <v>32714.285714285714</v>
      </c>
      <c r="AA91" s="90">
        <f>'25'!K71</f>
        <v>32714.285714285714</v>
      </c>
      <c r="AB91" s="90">
        <f>'26'!K71</f>
        <v>32714.285714285714</v>
      </c>
      <c r="AC91" s="90">
        <f>'27'!K71</f>
        <v>32714.285714285714</v>
      </c>
      <c r="AD91" s="90">
        <f>'28'!K71</f>
        <v>32714.285714285714</v>
      </c>
      <c r="AE91" s="90">
        <f>'29'!K71</f>
        <v>33428.571428571428</v>
      </c>
      <c r="AF91" s="90">
        <f>'30'!K71</f>
        <v>34000</v>
      </c>
      <c r="AG91" s="90">
        <f>'31'!K71</f>
        <v>33714.285714285717</v>
      </c>
    </row>
    <row r="92" spans="1:33" x14ac:dyDescent="0.25">
      <c r="A92" s="107" t="s">
        <v>64</v>
      </c>
      <c r="B92" s="108" t="s">
        <v>5</v>
      </c>
      <c r="C92" s="90">
        <f>'1'!K72</f>
        <v>42285.714285714283</v>
      </c>
      <c r="D92" s="90">
        <f>'2'!K72</f>
        <v>41428.571428571428</v>
      </c>
      <c r="E92" s="90">
        <f>'3'!K72</f>
        <v>40857.142857142855</v>
      </c>
      <c r="F92" s="90">
        <f>'4'!K72</f>
        <v>40428.571428571428</v>
      </c>
      <c r="G92" s="90">
        <f>'5'!K72</f>
        <v>40714.285714285717</v>
      </c>
      <c r="H92" s="90">
        <f>'6'!K72</f>
        <v>40857.142857142855</v>
      </c>
      <c r="I92" s="90">
        <f>'7'!K72</f>
        <v>40857.142857142855</v>
      </c>
      <c r="J92" s="90">
        <f>'8'!K72</f>
        <v>40000</v>
      </c>
      <c r="K92" s="90">
        <f>'9'!K72</f>
        <v>39857.142857142855</v>
      </c>
      <c r="L92" s="90">
        <f>'10'!K72</f>
        <v>39428.571428571428</v>
      </c>
      <c r="M92" s="90">
        <f>'11'!K72</f>
        <v>39000</v>
      </c>
      <c r="N92" s="90">
        <f>'12'!K72</f>
        <v>38142.857142857145</v>
      </c>
      <c r="O92" s="90">
        <f>'13'!K72</f>
        <v>37428.571428571428</v>
      </c>
      <c r="P92" s="90">
        <f>'14'!K72</f>
        <v>37428.571428571428</v>
      </c>
      <c r="Q92" s="90">
        <f>'15'!K72</f>
        <v>36714.285714285717</v>
      </c>
      <c r="R92" s="90">
        <f>'16'!K72</f>
        <v>36714.285714285717</v>
      </c>
      <c r="S92" s="90">
        <f>'17'!K72</f>
        <v>37714.285714285717</v>
      </c>
      <c r="T92" s="90">
        <f>'18'!K72</f>
        <v>37714.285714285717</v>
      </c>
      <c r="U92" s="90">
        <f>'19'!K72</f>
        <v>37142.857142857145</v>
      </c>
      <c r="V92" s="90">
        <f>'20'!K72</f>
        <v>37142.857142857145</v>
      </c>
      <c r="W92" s="90">
        <f>'21'!K72</f>
        <v>37000</v>
      </c>
      <c r="X92" s="90">
        <f>'22'!K72</f>
        <v>37142.857142857145</v>
      </c>
      <c r="Y92" s="90">
        <f>'23'!K72</f>
        <v>37142.857142857145</v>
      </c>
      <c r="Z92" s="90">
        <f>'24'!K72</f>
        <v>37571.428571428572</v>
      </c>
      <c r="AA92" s="90">
        <f>'25'!K72</f>
        <v>37285.714285714283</v>
      </c>
      <c r="AB92" s="90">
        <f>'26'!K72</f>
        <v>36714.285714285717</v>
      </c>
      <c r="AC92" s="90">
        <f>'27'!K72</f>
        <v>37857.142857142855</v>
      </c>
      <c r="AD92" s="90">
        <f>'28'!K72</f>
        <v>35714.285714285717</v>
      </c>
      <c r="AE92" s="90">
        <f>'29'!K72</f>
        <v>35000</v>
      </c>
      <c r="AF92" s="90">
        <f>'30'!K72</f>
        <v>35428.571428571428</v>
      </c>
      <c r="AG92" s="90">
        <f>'31'!K72</f>
        <v>35000</v>
      </c>
    </row>
    <row r="93" spans="1:33" x14ac:dyDescent="0.25">
      <c r="A93" s="107" t="s">
        <v>65</v>
      </c>
      <c r="B93" s="108" t="s">
        <v>5</v>
      </c>
      <c r="C93" s="90">
        <f>'1'!K73</f>
        <v>39571.428571428572</v>
      </c>
      <c r="D93" s="90">
        <f>'2'!K73</f>
        <v>40285.714285714283</v>
      </c>
      <c r="E93" s="90">
        <f>'3'!K73</f>
        <v>41000</v>
      </c>
      <c r="F93" s="90">
        <f>'4'!K73</f>
        <v>41428.571428571428</v>
      </c>
      <c r="G93" s="90">
        <f>'5'!K73</f>
        <v>40714.285714285717</v>
      </c>
      <c r="H93" s="90">
        <f>'6'!K73</f>
        <v>41428.571428571428</v>
      </c>
      <c r="I93" s="90">
        <f>'7'!K73</f>
        <v>41428.571428571428</v>
      </c>
      <c r="J93" s="90">
        <f>'8'!K73</f>
        <v>40285.714285714283</v>
      </c>
      <c r="K93" s="90">
        <f>'9'!K73</f>
        <v>40285.714285714283</v>
      </c>
      <c r="L93" s="90">
        <f>'10'!K73</f>
        <v>40285.714285714283</v>
      </c>
      <c r="M93" s="90">
        <f>'11'!K73</f>
        <v>40285.714285714283</v>
      </c>
      <c r="N93" s="90">
        <f>'12'!K73</f>
        <v>40285.714285714283</v>
      </c>
      <c r="O93" s="90">
        <f>'13'!K73</f>
        <v>40285.714285714283</v>
      </c>
      <c r="P93" s="90">
        <f>'14'!K73</f>
        <v>40285.714285714283</v>
      </c>
      <c r="Q93" s="90">
        <f>'15'!K73</f>
        <v>41714.285714285717</v>
      </c>
      <c r="R93" s="90">
        <f>'16'!K73</f>
        <v>41000</v>
      </c>
      <c r="S93" s="90">
        <f>'17'!K73</f>
        <v>41000</v>
      </c>
      <c r="T93" s="90">
        <f>'18'!K73</f>
        <v>41000</v>
      </c>
      <c r="U93" s="90">
        <f>'19'!K73</f>
        <v>41000</v>
      </c>
      <c r="V93" s="90">
        <f>'20'!K73</f>
        <v>40285.714285714283</v>
      </c>
      <c r="W93" s="90">
        <f>'21'!K73</f>
        <v>41000</v>
      </c>
      <c r="X93" s="90">
        <f>'22'!K73</f>
        <v>42142.857142857145</v>
      </c>
      <c r="Y93" s="90">
        <f>'23'!K73</f>
        <v>42142.857142857145</v>
      </c>
      <c r="Z93" s="90">
        <f>'24'!K73</f>
        <v>42142.857142857145</v>
      </c>
      <c r="AA93" s="90">
        <f>'25'!K73</f>
        <v>42142.857142857145</v>
      </c>
      <c r="AB93" s="90">
        <f>'26'!K73</f>
        <v>42142.857142857145</v>
      </c>
      <c r="AC93" s="90">
        <f>'27'!K73</f>
        <v>42142.857142857145</v>
      </c>
      <c r="AD93" s="90">
        <f>'28'!K73</f>
        <v>41428.571428571428</v>
      </c>
      <c r="AE93" s="90">
        <f>'29'!K73</f>
        <v>42142.857142857145</v>
      </c>
      <c r="AF93" s="90">
        <f>'30'!K73</f>
        <v>42000</v>
      </c>
      <c r="AG93" s="90">
        <f>'31'!K73</f>
        <v>42000</v>
      </c>
    </row>
    <row r="94" spans="1:33" x14ac:dyDescent="0.25">
      <c r="A94" s="136"/>
      <c r="B94" s="133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</row>
    <row r="95" spans="1:33" x14ac:dyDescent="0.25">
      <c r="A95" s="129"/>
      <c r="B95" s="130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</row>
    <row r="96" spans="1:33" x14ac:dyDescent="0.25">
      <c r="A96" s="129"/>
      <c r="B96" s="130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</row>
    <row r="97" spans="1:33" x14ac:dyDescent="0.25">
      <c r="A97" s="135"/>
      <c r="B97" s="130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</row>
    <row r="98" spans="1:33" x14ac:dyDescent="0.25">
      <c r="A98" s="129"/>
      <c r="B98" s="130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</row>
    <row r="99" spans="1:33" x14ac:dyDescent="0.25">
      <c r="A99" s="129"/>
      <c r="B99" s="130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</row>
    <row r="100" spans="1:33" x14ac:dyDescent="0.25">
      <c r="A100" s="129"/>
      <c r="B100" s="130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</row>
    <row r="101" spans="1:33" x14ac:dyDescent="0.25">
      <c r="A101" s="129"/>
      <c r="B101" s="130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</row>
    <row r="102" spans="1:33" x14ac:dyDescent="0.25">
      <c r="A102" s="129"/>
      <c r="B102" s="130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</row>
    <row r="103" spans="1:33" x14ac:dyDescent="0.25">
      <c r="A103" s="129"/>
      <c r="B103" s="130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</row>
    <row r="104" spans="1:33" x14ac:dyDescent="0.25">
      <c r="A104" s="129"/>
      <c r="B104" s="130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</row>
    <row r="105" spans="1:33" x14ac:dyDescent="0.25">
      <c r="A105" s="129"/>
      <c r="B105" s="130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</row>
    <row r="106" spans="1:33" x14ac:dyDescent="0.25">
      <c r="A106" s="129"/>
      <c r="B106" s="130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</row>
    <row r="107" spans="1:33" x14ac:dyDescent="0.25">
      <c r="A107" s="135"/>
      <c r="B107" s="130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</row>
    <row r="108" spans="1:33" x14ac:dyDescent="0.25">
      <c r="A108" s="129"/>
      <c r="B108" s="130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</row>
  </sheetData>
  <mergeCells count="3">
    <mergeCell ref="A1:AG1"/>
    <mergeCell ref="A2:AG2"/>
    <mergeCell ref="A3:AG3"/>
  </mergeCells>
  <pageMargins left="0.7" right="0.2" top="0.75" bottom="0.75" header="0.3" footer="0.3"/>
  <pageSetup paperSize="5" scale="5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0ABF-B352-4B52-A28D-FCEFBF222C1A}">
  <dimension ref="A1:N92"/>
  <sheetViews>
    <sheetView workbookViewId="0">
      <selection activeCell="G8" sqref="G8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125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15000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13500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13000</v>
      </c>
      <c r="G9" s="19" t="s">
        <v>94</v>
      </c>
      <c r="H9" s="16">
        <v>9000</v>
      </c>
      <c r="I9" s="16" t="s">
        <v>94</v>
      </c>
      <c r="J9" s="87">
        <v>9000</v>
      </c>
      <c r="K9" s="20">
        <f>AVERAGE(D9:J9)</f>
        <v>10333.333333333334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>AVERAGE(D10:J10)</f>
        <v>11375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22000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>AVERAGE(D12:J12)</f>
        <v>20600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13000</v>
      </c>
      <c r="F14" s="15">
        <v>13000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>AVERAGE(D14:J14)</f>
        <v>13071.428571428571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20000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>AVERAGE(D15:J15)</f>
        <v>16285.714285714286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16000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>AVERAGE(D17:J17)</f>
        <v>15357.142857142857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>AVERAGE(D18:J18)</f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24000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>AVERAGE(D20:J20)</f>
        <v>22500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130000</v>
      </c>
      <c r="G22" s="15">
        <v>125000</v>
      </c>
      <c r="H22" s="16">
        <v>120000</v>
      </c>
      <c r="I22" s="51">
        <v>120000</v>
      </c>
      <c r="J22" s="52" t="s">
        <v>94</v>
      </c>
      <c r="K22" s="20">
        <f>AVERAGE(D22:J22)</f>
        <v>122500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120000</v>
      </c>
      <c r="G23" s="15">
        <v>120000</v>
      </c>
      <c r="H23" s="16">
        <v>114000</v>
      </c>
      <c r="I23" s="23">
        <v>115000</v>
      </c>
      <c r="J23" s="38">
        <v>115000</v>
      </c>
      <c r="K23" s="20">
        <f>AVERAGE(D23:J23)</f>
        <v>114857.14285714286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110000</v>
      </c>
      <c r="G24" s="15">
        <v>115000</v>
      </c>
      <c r="H24" s="16">
        <v>100000</v>
      </c>
      <c r="I24" s="51">
        <v>110000</v>
      </c>
      <c r="J24" s="52">
        <v>105000</v>
      </c>
      <c r="K24" s="20">
        <f>AVERAGE(D24:J24)</f>
        <v>105000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36000</v>
      </c>
      <c r="E25" s="15">
        <v>33000</v>
      </c>
      <c r="F25" s="15">
        <v>35000</v>
      </c>
      <c r="G25" s="15">
        <v>37000</v>
      </c>
      <c r="H25" s="38">
        <v>36000</v>
      </c>
      <c r="I25" s="23">
        <v>35000</v>
      </c>
      <c r="J25" s="38">
        <v>40000</v>
      </c>
      <c r="K25" s="20">
        <f>AVERAGE(D25:J25)</f>
        <v>36000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>
        <v>12000</v>
      </c>
      <c r="G27" s="15">
        <v>45000</v>
      </c>
      <c r="H27" s="16">
        <v>30000</v>
      </c>
      <c r="I27" s="23">
        <v>40000</v>
      </c>
      <c r="J27" s="38">
        <v>40000</v>
      </c>
      <c r="K27" s="20">
        <f t="shared" ref="K27:K32" si="0">AVERAGE(D27:J27)</f>
        <v>35714.285714285717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35000</v>
      </c>
      <c r="G28" s="19">
        <v>35000</v>
      </c>
      <c r="H28" s="23">
        <v>23000</v>
      </c>
      <c r="I28" s="23">
        <v>32000</v>
      </c>
      <c r="J28" s="53">
        <v>30000</v>
      </c>
      <c r="K28" s="20">
        <f t="shared" si="0"/>
        <v>31428.571428571428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70000</v>
      </c>
      <c r="G29" s="19">
        <v>75000</v>
      </c>
      <c r="H29" s="16">
        <v>58000</v>
      </c>
      <c r="I29" s="23">
        <v>67000</v>
      </c>
      <c r="J29" s="25">
        <v>60000</v>
      </c>
      <c r="K29" s="20">
        <f t="shared" si="0"/>
        <v>67142.857142857145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130000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103333.33333333333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27000</v>
      </c>
      <c r="E34" s="15">
        <v>27000</v>
      </c>
      <c r="F34" s="15">
        <v>28000</v>
      </c>
      <c r="G34" s="15">
        <v>27000</v>
      </c>
      <c r="H34" s="16">
        <v>27000</v>
      </c>
      <c r="I34" s="16">
        <v>27000</v>
      </c>
      <c r="J34" s="38">
        <v>27000</v>
      </c>
      <c r="K34" s="20">
        <f>AVERAGE(D34:J34)</f>
        <v>27142.857142857141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2500</v>
      </c>
      <c r="G35" s="15">
        <v>2000</v>
      </c>
      <c r="H35" s="16">
        <v>2000</v>
      </c>
      <c r="I35" s="16">
        <v>2500</v>
      </c>
      <c r="J35" s="38">
        <v>3000</v>
      </c>
      <c r="K35" s="20">
        <f>AVERAGE(D35:J35)</f>
        <v>2457.1428571428573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12000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>AVERAGE(D37:J37)</f>
        <v>11142.857142857143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13000</v>
      </c>
      <c r="G38" s="15">
        <v>17000</v>
      </c>
      <c r="H38" s="23" t="s">
        <v>94</v>
      </c>
      <c r="I38" s="23">
        <v>13000</v>
      </c>
      <c r="J38" s="38">
        <v>12000</v>
      </c>
      <c r="K38" s="20">
        <f>AVERAGE(D38:J38)</f>
        <v>12400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>AVERAGE(D40:J40)</f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>AVERAGE(D41:J41)</f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>AVERAGE(D42:J42)</f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>AVERAGE(D44:J44)</f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>AVERAGE(D47:J47)</f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>AVERAGE(D48:J48)</f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9000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>AVERAGE(D50:J50)</f>
        <v>9142.8571428571431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10000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>AVERAGE(D51:J51)</f>
        <v>8333.3333333333339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>AVERAGE(D53:J53)</f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12500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>AVERAGE(D55:J55)</f>
        <v>11285.714285714286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>AVERAGE(D57:J57)</f>
        <v>15666.666666666666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>AVERAGE(D58:J58)</f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25000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>AVERAGE(D59:J59)</f>
        <v>25285.714285714286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30000</v>
      </c>
      <c r="J60" s="52">
        <v>28000</v>
      </c>
      <c r="K60" s="20">
        <f>AVERAGE(D60:J60)</f>
        <v>29142.857142857141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>AVERAGE(D62:J62)</f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24000</v>
      </c>
      <c r="E64" s="15">
        <v>25000</v>
      </c>
      <c r="F64" s="15">
        <v>35000</v>
      </c>
      <c r="G64" s="15">
        <v>40000</v>
      </c>
      <c r="H64" s="16">
        <v>18000</v>
      </c>
      <c r="I64" s="16">
        <v>35000</v>
      </c>
      <c r="J64" s="38">
        <v>25000</v>
      </c>
      <c r="K64" s="20">
        <f>AVERAGE(D64:J64)</f>
        <v>28857.142857142859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25000</v>
      </c>
      <c r="F65" s="15">
        <v>50000</v>
      </c>
      <c r="G65" s="15">
        <v>40000</v>
      </c>
      <c r="H65" s="71" t="s">
        <v>94</v>
      </c>
      <c r="I65" s="51" t="s">
        <v>94</v>
      </c>
      <c r="J65" s="52" t="s">
        <v>94</v>
      </c>
      <c r="K65" s="20">
        <f>AVERAGE(D65:J65)</f>
        <v>36250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25000</v>
      </c>
      <c r="E66" s="15">
        <v>30000</v>
      </c>
      <c r="F66" s="15">
        <v>24000</v>
      </c>
      <c r="G66" s="15">
        <v>30000</v>
      </c>
      <c r="H66" s="16">
        <v>20000</v>
      </c>
      <c r="I66" s="16">
        <v>30000</v>
      </c>
      <c r="J66" s="38">
        <v>25000</v>
      </c>
      <c r="K66" s="20">
        <f>AVERAGE(D66:J66)</f>
        <v>26285.714285714286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>AVERAGE(D68:J68)</f>
        <v>18166.666666666668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32000</v>
      </c>
      <c r="E70" s="15">
        <v>35000</v>
      </c>
      <c r="F70" s="15">
        <v>35000</v>
      </c>
      <c r="G70" s="15">
        <v>40000</v>
      </c>
      <c r="H70" s="16">
        <v>32000</v>
      </c>
      <c r="I70" s="16">
        <v>35000</v>
      </c>
      <c r="J70" s="38">
        <v>35000</v>
      </c>
      <c r="K70" s="20">
        <f>AVERAGE(D70:J70)</f>
        <v>34857.142857142855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30000</v>
      </c>
      <c r="E71" s="15">
        <v>30000</v>
      </c>
      <c r="F71" s="15">
        <v>32000</v>
      </c>
      <c r="G71" s="15">
        <v>35000</v>
      </c>
      <c r="H71" s="16">
        <v>29000</v>
      </c>
      <c r="I71" s="16">
        <v>30000</v>
      </c>
      <c r="J71" s="38">
        <v>28000</v>
      </c>
      <c r="K71" s="20">
        <f>AVERAGE(D71:J71)</f>
        <v>30571.428571428572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38000</v>
      </c>
      <c r="E72" s="15">
        <v>45000</v>
      </c>
      <c r="F72" s="15">
        <v>45000</v>
      </c>
      <c r="G72" s="15">
        <v>50000</v>
      </c>
      <c r="H72" s="16">
        <v>38000</v>
      </c>
      <c r="I72" s="16">
        <v>40000</v>
      </c>
      <c r="J72" s="38">
        <v>40000</v>
      </c>
      <c r="K72" s="20">
        <f>AVERAGE(D72:J72)</f>
        <v>42285.714285714283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35000</v>
      </c>
      <c r="E73" s="26">
        <v>40000</v>
      </c>
      <c r="F73" s="54">
        <v>45000</v>
      </c>
      <c r="G73" s="19">
        <v>50000</v>
      </c>
      <c r="H73" s="16">
        <v>40000</v>
      </c>
      <c r="I73" s="23">
        <v>45000</v>
      </c>
      <c r="J73" s="52">
        <v>22000</v>
      </c>
      <c r="K73" s="20">
        <f>AVERAGE(D73:J73)</f>
        <v>39571.428571428572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>AVERAGE(D75:J75)</f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>AVERAGE(D76:J76)</f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10000</v>
      </c>
      <c r="G78" s="15">
        <v>10000</v>
      </c>
      <c r="H78" s="16">
        <v>9000</v>
      </c>
      <c r="I78" s="24">
        <v>10000</v>
      </c>
      <c r="J78" s="38">
        <v>8000</v>
      </c>
      <c r="K78" s="20">
        <f>AVERAGE(D78:J78)</f>
        <v>9142.8571428571431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10000</v>
      </c>
      <c r="E79" s="15">
        <v>20000</v>
      </c>
      <c r="F79" s="15">
        <v>12000</v>
      </c>
      <c r="G79" s="15">
        <v>15000</v>
      </c>
      <c r="H79" s="16">
        <v>10000</v>
      </c>
      <c r="I79" s="24">
        <v>15000</v>
      </c>
      <c r="J79" s="38">
        <v>15000</v>
      </c>
      <c r="K79" s="20">
        <f>AVERAGE(D79:J79)</f>
        <v>13857.142857142857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15000</v>
      </c>
      <c r="H80" s="16">
        <v>15000</v>
      </c>
      <c r="I80" s="16">
        <v>16000</v>
      </c>
      <c r="J80" s="38">
        <v>15000</v>
      </c>
      <c r="K80" s="20">
        <f>AVERAGE(D80:J80)</f>
        <v>15285.714285714286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20000</v>
      </c>
      <c r="F81" s="15">
        <v>14000</v>
      </c>
      <c r="G81" s="15">
        <v>20000</v>
      </c>
      <c r="H81" s="16">
        <v>8000</v>
      </c>
      <c r="I81" s="51">
        <v>18000</v>
      </c>
      <c r="J81" s="38">
        <v>15000</v>
      </c>
      <c r="K81" s="20">
        <f t="shared" ref="K81:K88" si="1">AVERAGE(D81:J81)</f>
        <v>15142.857142857143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14000</v>
      </c>
      <c r="F82" s="15">
        <v>10000</v>
      </c>
      <c r="G82" s="15">
        <v>15000</v>
      </c>
      <c r="H82" s="16">
        <v>10000</v>
      </c>
      <c r="I82" s="16">
        <v>13000</v>
      </c>
      <c r="J82" s="38">
        <v>10000</v>
      </c>
      <c r="K82" s="20">
        <f t="shared" si="1"/>
        <v>11571.428571428571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12000</v>
      </c>
      <c r="J83" s="83">
        <v>8000</v>
      </c>
      <c r="K83" s="20">
        <f t="shared" si="1"/>
        <v>9333.3333333333339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I4:I6"/>
    <mergeCell ref="K4:K6"/>
    <mergeCell ref="A7:A12"/>
    <mergeCell ref="A13:A15"/>
    <mergeCell ref="A69:A73"/>
    <mergeCell ref="A33:A35"/>
    <mergeCell ref="A43:A45"/>
    <mergeCell ref="A46:A48"/>
    <mergeCell ref="A52:A53"/>
    <mergeCell ref="A54:A55"/>
    <mergeCell ref="A56:A60"/>
    <mergeCell ref="A63:A66"/>
    <mergeCell ref="A26:A32"/>
    <mergeCell ref="A1:K1"/>
    <mergeCell ref="A2:K2"/>
    <mergeCell ref="A3:K3"/>
    <mergeCell ref="J4:J6"/>
    <mergeCell ref="A4:A6"/>
    <mergeCell ref="B4:B6"/>
    <mergeCell ref="C4:C6"/>
    <mergeCell ref="D4:D6"/>
    <mergeCell ref="E4:E6"/>
    <mergeCell ref="A16:A17"/>
    <mergeCell ref="F4:F6"/>
    <mergeCell ref="G4:G6"/>
    <mergeCell ref="A19:A20"/>
    <mergeCell ref="A21:A25"/>
    <mergeCell ref="H4:H6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ABA5-F302-4DE5-9E29-E735C332E14F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126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15000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13500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13000</v>
      </c>
      <c r="G9" s="19" t="s">
        <v>94</v>
      </c>
      <c r="H9" s="16">
        <v>9000</v>
      </c>
      <c r="I9" s="16" t="s">
        <v>94</v>
      </c>
      <c r="J9" s="87">
        <v>9000</v>
      </c>
      <c r="K9" s="20">
        <f t="shared" ref="K9:K80" si="0">AVERAGE(D9:J9)</f>
        <v>10333.333333333334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11375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13214.285714285714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15571.428571428571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15500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125000</v>
      </c>
      <c r="H22" s="16">
        <v>120000</v>
      </c>
      <c r="I22" s="51">
        <v>120000</v>
      </c>
      <c r="J22" s="52" t="s">
        <v>94</v>
      </c>
      <c r="K22" s="20">
        <f t="shared" si="0"/>
        <v>120833.33333333333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115000</v>
      </c>
      <c r="H23" s="16">
        <v>114000</v>
      </c>
      <c r="I23" s="23">
        <v>115000</v>
      </c>
      <c r="J23" s="38">
        <v>115000</v>
      </c>
      <c r="K23" s="20">
        <f t="shared" si="0"/>
        <v>112714.28571428571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33000</v>
      </c>
      <c r="E25" s="15">
        <v>33000</v>
      </c>
      <c r="F25" s="15">
        <v>32000</v>
      </c>
      <c r="G25" s="15">
        <v>33000</v>
      </c>
      <c r="H25" s="38">
        <v>38000</v>
      </c>
      <c r="I25" s="23">
        <v>34000</v>
      </c>
      <c r="J25" s="38">
        <v>35000</v>
      </c>
      <c r="K25" s="20">
        <f t="shared" si="0"/>
        <v>34000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>
        <v>12000</v>
      </c>
      <c r="G27" s="15">
        <v>45000</v>
      </c>
      <c r="H27" s="16">
        <v>30000</v>
      </c>
      <c r="I27" s="23">
        <v>40000</v>
      </c>
      <c r="J27" s="38">
        <v>40000</v>
      </c>
      <c r="K27" s="20">
        <f t="shared" si="0"/>
        <v>35714.285714285717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35000</v>
      </c>
      <c r="G28" s="19">
        <v>35000</v>
      </c>
      <c r="H28" s="23">
        <v>23000</v>
      </c>
      <c r="I28" s="23">
        <v>30000</v>
      </c>
      <c r="J28" s="53">
        <v>30000</v>
      </c>
      <c r="K28" s="20">
        <f t="shared" si="0"/>
        <v>31142.857142857141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70000</v>
      </c>
      <c r="J29" s="25">
        <v>60000</v>
      </c>
      <c r="K29" s="20">
        <f t="shared" si="0"/>
        <v>66142.857142857145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27000</v>
      </c>
      <c r="E34" s="15">
        <v>27000</v>
      </c>
      <c r="F34" s="15">
        <v>26000</v>
      </c>
      <c r="G34" s="15">
        <v>27000</v>
      </c>
      <c r="H34" s="16">
        <v>26000</v>
      </c>
      <c r="I34" s="16">
        <v>27000</v>
      </c>
      <c r="J34" s="38">
        <v>27000</v>
      </c>
      <c r="K34" s="20">
        <f t="shared" si="0"/>
        <v>26714.285714285714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2000</v>
      </c>
      <c r="H35" s="16">
        <v>2000</v>
      </c>
      <c r="I35" s="16">
        <v>2500</v>
      </c>
      <c r="J35" s="38">
        <v>3000</v>
      </c>
      <c r="K35" s="20">
        <f t="shared" si="0"/>
        <v>2385.7142857142858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12000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9000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9142.8571428571431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10000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8333.3333333333339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15666.666666666666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26000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25428.571428571428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24000</v>
      </c>
      <c r="E64" s="15">
        <v>25000</v>
      </c>
      <c r="F64" s="15">
        <v>30000</v>
      </c>
      <c r="G64" s="15">
        <v>40000</v>
      </c>
      <c r="H64" s="16">
        <v>25000</v>
      </c>
      <c r="I64" s="16">
        <v>40000</v>
      </c>
      <c r="J64" s="38">
        <v>25000</v>
      </c>
      <c r="K64" s="20">
        <f t="shared" si="0"/>
        <v>29857.142857142859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25000</v>
      </c>
      <c r="F65" s="15">
        <v>28000</v>
      </c>
      <c r="G65" s="15">
        <v>40000</v>
      </c>
      <c r="H65" s="71" t="s">
        <v>94</v>
      </c>
      <c r="I65" s="51" t="s">
        <v>94</v>
      </c>
      <c r="J65" s="52" t="s">
        <v>94</v>
      </c>
      <c r="K65" s="20">
        <f t="shared" si="0"/>
        <v>30750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25000</v>
      </c>
      <c r="E66" s="15">
        <v>30000</v>
      </c>
      <c r="F66" s="15">
        <v>25000</v>
      </c>
      <c r="G66" s="15">
        <v>30000</v>
      </c>
      <c r="H66" s="16">
        <v>25000</v>
      </c>
      <c r="I66" s="16">
        <v>35000</v>
      </c>
      <c r="J66" s="38">
        <v>25000</v>
      </c>
      <c r="K66" s="20">
        <f t="shared" si="0"/>
        <v>27857.142857142859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32000</v>
      </c>
      <c r="E70" s="15">
        <v>35000</v>
      </c>
      <c r="F70" s="15">
        <v>36000</v>
      </c>
      <c r="G70" s="15">
        <v>40000</v>
      </c>
      <c r="H70" s="16">
        <v>32000</v>
      </c>
      <c r="I70" s="16">
        <v>35000</v>
      </c>
      <c r="J70" s="38">
        <v>35000</v>
      </c>
      <c r="K70" s="20">
        <f t="shared" si="0"/>
        <v>35000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30000</v>
      </c>
      <c r="E71" s="15">
        <v>30000</v>
      </c>
      <c r="F71" s="15">
        <v>30000</v>
      </c>
      <c r="G71" s="15">
        <v>35000</v>
      </c>
      <c r="H71" s="16">
        <v>28000</v>
      </c>
      <c r="I71" s="16">
        <v>30000</v>
      </c>
      <c r="J71" s="38">
        <v>28000</v>
      </c>
      <c r="K71" s="20">
        <f t="shared" si="0"/>
        <v>30142.857142857141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38000</v>
      </c>
      <c r="E72" s="15">
        <v>35000</v>
      </c>
      <c r="F72" s="15">
        <v>42000</v>
      </c>
      <c r="G72" s="15">
        <v>50000</v>
      </c>
      <c r="H72" s="16">
        <v>40000</v>
      </c>
      <c r="I72" s="16">
        <v>45000</v>
      </c>
      <c r="J72" s="38">
        <v>40000</v>
      </c>
      <c r="K72" s="20">
        <f t="shared" si="0"/>
        <v>41428.571428571428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35000</v>
      </c>
      <c r="E73" s="26">
        <v>40000</v>
      </c>
      <c r="F73" s="54">
        <v>50000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40285.714285714283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8000</v>
      </c>
      <c r="G78" s="15">
        <v>10000</v>
      </c>
      <c r="H78" s="16">
        <v>9000</v>
      </c>
      <c r="I78" s="24">
        <v>10000</v>
      </c>
      <c r="J78" s="38">
        <v>8000</v>
      </c>
      <c r="K78" s="20">
        <f t="shared" si="0"/>
        <v>8857.1428571428569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10000</v>
      </c>
      <c r="E79" s="15">
        <v>20000</v>
      </c>
      <c r="F79" s="15">
        <v>15000</v>
      </c>
      <c r="G79" s="15">
        <v>15000</v>
      </c>
      <c r="H79" s="16">
        <v>10000</v>
      </c>
      <c r="I79" s="24">
        <v>14000</v>
      </c>
      <c r="J79" s="38">
        <v>15000</v>
      </c>
      <c r="K79" s="20">
        <f t="shared" si="0"/>
        <v>14142.857142857143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16000</v>
      </c>
      <c r="J80" s="38">
        <v>15000</v>
      </c>
      <c r="K80" s="20">
        <f t="shared" si="0"/>
        <v>15571.428571428571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20000</v>
      </c>
      <c r="F81" s="15">
        <v>16000</v>
      </c>
      <c r="G81" s="15">
        <v>20000</v>
      </c>
      <c r="H81" s="16">
        <v>10000</v>
      </c>
      <c r="I81" s="51">
        <v>18000</v>
      </c>
      <c r="J81" s="38">
        <v>15000</v>
      </c>
      <c r="K81" s="20">
        <f t="shared" ref="K81:K88" si="1">AVERAGE(D81:J81)</f>
        <v>15714.285714285714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14000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11714.285714285714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8833.3333333333339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I4:I6"/>
    <mergeCell ref="K4:K6"/>
    <mergeCell ref="A7:A12"/>
    <mergeCell ref="A13:A15"/>
    <mergeCell ref="A69:A73"/>
    <mergeCell ref="A33:A35"/>
    <mergeCell ref="A43:A45"/>
    <mergeCell ref="A46:A48"/>
    <mergeCell ref="A52:A53"/>
    <mergeCell ref="A54:A55"/>
    <mergeCell ref="A56:A60"/>
    <mergeCell ref="A63:A66"/>
    <mergeCell ref="A26:A32"/>
    <mergeCell ref="A1:K1"/>
    <mergeCell ref="A2:K2"/>
    <mergeCell ref="A3:K3"/>
    <mergeCell ref="J4:J6"/>
    <mergeCell ref="A4:A6"/>
    <mergeCell ref="B4:B6"/>
    <mergeCell ref="C4:C6"/>
    <mergeCell ref="D4:D6"/>
    <mergeCell ref="E4:E6"/>
    <mergeCell ref="A16:A17"/>
    <mergeCell ref="F4:F6"/>
    <mergeCell ref="G4:G6"/>
    <mergeCell ref="A19:A20"/>
    <mergeCell ref="A21:A25"/>
    <mergeCell ref="H4:H6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CF76-52D2-423F-AB4F-CE8C8034222E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127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93" t="s">
        <v>86</v>
      </c>
      <c r="E4" s="196" t="s">
        <v>87</v>
      </c>
      <c r="F4" s="199" t="s">
        <v>88</v>
      </c>
      <c r="G4" s="202" t="s">
        <v>89</v>
      </c>
      <c r="H4" s="205" t="s">
        <v>90</v>
      </c>
      <c r="I4" s="183" t="s">
        <v>91</v>
      </c>
      <c r="J4" s="190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94"/>
      <c r="E5" s="197"/>
      <c r="F5" s="200"/>
      <c r="G5" s="203"/>
      <c r="H5" s="206"/>
      <c r="I5" s="184"/>
      <c r="J5" s="191"/>
      <c r="K5" s="187"/>
      <c r="M5" s="5"/>
      <c r="N5" s="5"/>
    </row>
    <row r="6" spans="1:14" ht="16.5" thickBot="1" x14ac:dyDescent="0.3">
      <c r="A6" s="153"/>
      <c r="B6" s="156"/>
      <c r="C6" s="153"/>
      <c r="D6" s="195"/>
      <c r="E6" s="198"/>
      <c r="F6" s="201"/>
      <c r="G6" s="204"/>
      <c r="H6" s="207"/>
      <c r="I6" s="185"/>
      <c r="J6" s="192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16000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13642.857142857143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 t="s">
        <v>94</v>
      </c>
      <c r="J9" s="87">
        <v>9000</v>
      </c>
      <c r="K9" s="20">
        <f t="shared" ref="K9:K80" si="0">AVERAGE(D9:J9)</f>
        <v>10000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11375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20000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20200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13000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13142.857142857143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17000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15857.142857142857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16000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15357.142857142857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24000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22500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130000</v>
      </c>
      <c r="G22" s="15">
        <v>125000</v>
      </c>
      <c r="H22" s="16">
        <v>120000</v>
      </c>
      <c r="I22" s="51">
        <v>120000</v>
      </c>
      <c r="J22" s="52" t="s">
        <v>94</v>
      </c>
      <c r="K22" s="20">
        <f t="shared" si="0"/>
        <v>122500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120000</v>
      </c>
      <c r="G23" s="15">
        <v>115000</v>
      </c>
      <c r="H23" s="16">
        <v>114000</v>
      </c>
      <c r="I23" s="23">
        <v>115000</v>
      </c>
      <c r="J23" s="38">
        <v>115000</v>
      </c>
      <c r="K23" s="20">
        <f t="shared" si="0"/>
        <v>114142.85714285714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110000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103571.42857142857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33000</v>
      </c>
      <c r="E25" s="15">
        <v>33000</v>
      </c>
      <c r="F25" s="15">
        <v>34000</v>
      </c>
      <c r="G25" s="15">
        <v>32000</v>
      </c>
      <c r="H25" s="38">
        <v>35000</v>
      </c>
      <c r="I25" s="23">
        <v>33000</v>
      </c>
      <c r="J25" s="38">
        <v>35000</v>
      </c>
      <c r="K25" s="20">
        <f t="shared" si="0"/>
        <v>33571.428571428572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>
        <v>12000</v>
      </c>
      <c r="G27" s="15">
        <v>45000</v>
      </c>
      <c r="H27" s="16">
        <v>30000</v>
      </c>
      <c r="I27" s="23">
        <v>40000</v>
      </c>
      <c r="J27" s="38">
        <v>40000</v>
      </c>
      <c r="K27" s="20">
        <f t="shared" si="0"/>
        <v>35714.285714285717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35000</v>
      </c>
      <c r="G28" s="19">
        <v>35000</v>
      </c>
      <c r="H28" s="23">
        <v>23000</v>
      </c>
      <c r="I28" s="23">
        <v>30000</v>
      </c>
      <c r="J28" s="53">
        <v>30000</v>
      </c>
      <c r="K28" s="20">
        <f t="shared" si="0"/>
        <v>31142.857142857141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70000</v>
      </c>
      <c r="G29" s="19">
        <v>75000</v>
      </c>
      <c r="H29" s="16">
        <v>58000</v>
      </c>
      <c r="I29" s="23">
        <v>70000</v>
      </c>
      <c r="J29" s="25">
        <v>60000</v>
      </c>
      <c r="K29" s="20">
        <f t="shared" si="0"/>
        <v>67571.428571428565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130000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103333.33333333333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27000</v>
      </c>
      <c r="E34" s="15">
        <v>27000</v>
      </c>
      <c r="F34" s="15">
        <v>28000</v>
      </c>
      <c r="G34" s="15">
        <v>27000</v>
      </c>
      <c r="H34" s="16">
        <v>26000</v>
      </c>
      <c r="I34" s="16">
        <v>27000</v>
      </c>
      <c r="J34" s="38">
        <v>27000</v>
      </c>
      <c r="K34" s="20">
        <f t="shared" si="0"/>
        <v>27000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2500</v>
      </c>
      <c r="G35" s="15">
        <v>2000</v>
      </c>
      <c r="H35" s="16">
        <v>2000</v>
      </c>
      <c r="I35" s="16">
        <v>2500</v>
      </c>
      <c r="J35" s="38">
        <v>3000</v>
      </c>
      <c r="K35" s="20">
        <f t="shared" si="0"/>
        <v>2457.1428571428573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12000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13000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12800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9000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9142.8571428571431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10000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8333.3333333333339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12500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11285.714285714286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15666.666666666666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25000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25285.714285714286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24000</v>
      </c>
      <c r="E64" s="15">
        <v>30000</v>
      </c>
      <c r="F64" s="15">
        <v>28000</v>
      </c>
      <c r="G64" s="15">
        <v>40000</v>
      </c>
      <c r="H64" s="16">
        <v>20000</v>
      </c>
      <c r="I64" s="16">
        <v>40000</v>
      </c>
      <c r="J64" s="38">
        <v>25000</v>
      </c>
      <c r="K64" s="20">
        <f t="shared" si="0"/>
        <v>29571.428571428572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25000</v>
      </c>
      <c r="G65" s="15">
        <v>40000</v>
      </c>
      <c r="H65" s="71" t="s">
        <v>94</v>
      </c>
      <c r="I65" s="51" t="s">
        <v>94</v>
      </c>
      <c r="J65" s="52" t="s">
        <v>94</v>
      </c>
      <c r="K65" s="20">
        <f t="shared" si="0"/>
        <v>31250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25000</v>
      </c>
      <c r="E66" s="15">
        <v>25000</v>
      </c>
      <c r="F66" s="15">
        <v>25000</v>
      </c>
      <c r="G66" s="15">
        <v>30000</v>
      </c>
      <c r="H66" s="16">
        <v>20000</v>
      </c>
      <c r="I66" s="16">
        <v>35000</v>
      </c>
      <c r="J66" s="38">
        <v>25000</v>
      </c>
      <c r="K66" s="20">
        <f t="shared" si="0"/>
        <v>26428.571428571428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32000</v>
      </c>
      <c r="E70" s="15">
        <v>38000</v>
      </c>
      <c r="F70" s="15">
        <v>36000</v>
      </c>
      <c r="G70" s="15">
        <v>40000</v>
      </c>
      <c r="H70" s="16">
        <v>32000</v>
      </c>
      <c r="I70" s="16">
        <v>35000</v>
      </c>
      <c r="J70" s="38">
        <v>35000</v>
      </c>
      <c r="K70" s="20">
        <f t="shared" si="0"/>
        <v>35428.571428571428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30000</v>
      </c>
      <c r="E71" s="15">
        <v>35000</v>
      </c>
      <c r="F71" s="15">
        <v>32000</v>
      </c>
      <c r="G71" s="15">
        <v>35000</v>
      </c>
      <c r="H71" s="16">
        <v>28000</v>
      </c>
      <c r="I71" s="16">
        <v>30000</v>
      </c>
      <c r="J71" s="38">
        <v>28000</v>
      </c>
      <c r="K71" s="20">
        <f t="shared" si="0"/>
        <v>31142.857142857141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38000</v>
      </c>
      <c r="E72" s="15">
        <v>35000</v>
      </c>
      <c r="F72" s="15">
        <v>48000</v>
      </c>
      <c r="G72" s="15">
        <v>40000</v>
      </c>
      <c r="H72" s="16">
        <v>40000</v>
      </c>
      <c r="I72" s="16">
        <v>45000</v>
      </c>
      <c r="J72" s="38">
        <v>40000</v>
      </c>
      <c r="K72" s="20">
        <f t="shared" si="0"/>
        <v>40857.142857142855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35000</v>
      </c>
      <c r="E73" s="26">
        <v>45000</v>
      </c>
      <c r="F73" s="54">
        <v>50000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41000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7000</v>
      </c>
      <c r="G78" s="15">
        <v>10000</v>
      </c>
      <c r="H78" s="16">
        <v>9000</v>
      </c>
      <c r="I78" s="24">
        <v>10000</v>
      </c>
      <c r="J78" s="38">
        <v>8000</v>
      </c>
      <c r="K78" s="20">
        <f t="shared" si="0"/>
        <v>8714.2857142857138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10000</v>
      </c>
      <c r="E79" s="15">
        <v>20000</v>
      </c>
      <c r="F79" s="15">
        <v>12000</v>
      </c>
      <c r="G79" s="15">
        <v>15000</v>
      </c>
      <c r="H79" s="16">
        <v>10000</v>
      </c>
      <c r="I79" s="24">
        <v>14000</v>
      </c>
      <c r="J79" s="38">
        <v>15000</v>
      </c>
      <c r="K79" s="20">
        <f t="shared" si="0"/>
        <v>13714.285714285714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15000</v>
      </c>
      <c r="G80" s="15">
        <v>17000</v>
      </c>
      <c r="H80" s="16">
        <v>15000</v>
      </c>
      <c r="I80" s="16">
        <v>16000</v>
      </c>
      <c r="J80" s="38">
        <v>15000</v>
      </c>
      <c r="K80" s="20">
        <f t="shared" si="0"/>
        <v>15428.571428571429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20000</v>
      </c>
      <c r="F81" s="15">
        <v>14000</v>
      </c>
      <c r="G81" s="15">
        <v>20000</v>
      </c>
      <c r="H81" s="16">
        <v>10000</v>
      </c>
      <c r="I81" s="51">
        <v>18000</v>
      </c>
      <c r="J81" s="38">
        <v>15000</v>
      </c>
      <c r="K81" s="20">
        <f t="shared" ref="K81:K88" si="1">AVERAGE(D81:J81)</f>
        <v>15428.571428571429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14000</v>
      </c>
      <c r="F82" s="15">
        <v>10000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11428.571428571429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9000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I4:I6"/>
    <mergeCell ref="K4:K6"/>
    <mergeCell ref="A7:A12"/>
    <mergeCell ref="A13:A15"/>
    <mergeCell ref="A69:A73"/>
    <mergeCell ref="A33:A35"/>
    <mergeCell ref="A43:A45"/>
    <mergeCell ref="A46:A48"/>
    <mergeCell ref="A52:A53"/>
    <mergeCell ref="A54:A55"/>
    <mergeCell ref="A56:A60"/>
    <mergeCell ref="A63:A66"/>
    <mergeCell ref="A26:A32"/>
    <mergeCell ref="A1:K1"/>
    <mergeCell ref="A2:K2"/>
    <mergeCell ref="A3:K3"/>
    <mergeCell ref="J4:J6"/>
    <mergeCell ref="A4:A6"/>
    <mergeCell ref="B4:B6"/>
    <mergeCell ref="C4:C6"/>
    <mergeCell ref="D4:D6"/>
    <mergeCell ref="E4:E6"/>
    <mergeCell ref="A16:A17"/>
    <mergeCell ref="F4:F6"/>
    <mergeCell ref="G4:G6"/>
    <mergeCell ref="A19:A20"/>
    <mergeCell ref="A21:A25"/>
    <mergeCell ref="H4:H6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BF32-7777-4C27-B15A-F3E554CE08DA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128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93" t="s">
        <v>86</v>
      </c>
      <c r="E4" s="196" t="s">
        <v>87</v>
      </c>
      <c r="F4" s="199" t="s">
        <v>88</v>
      </c>
      <c r="G4" s="202" t="s">
        <v>89</v>
      </c>
      <c r="H4" s="205" t="s">
        <v>90</v>
      </c>
      <c r="I4" s="183" t="s">
        <v>91</v>
      </c>
      <c r="J4" s="190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94"/>
      <c r="E5" s="197"/>
      <c r="F5" s="200"/>
      <c r="G5" s="203"/>
      <c r="H5" s="206"/>
      <c r="I5" s="184"/>
      <c r="J5" s="191"/>
      <c r="K5" s="187"/>
      <c r="M5" s="5"/>
      <c r="N5" s="5"/>
    </row>
    <row r="6" spans="1:14" ht="16.5" thickBot="1" x14ac:dyDescent="0.3">
      <c r="A6" s="153"/>
      <c r="B6" s="156"/>
      <c r="C6" s="153"/>
      <c r="D6" s="195"/>
      <c r="E6" s="198"/>
      <c r="F6" s="201"/>
      <c r="G6" s="204"/>
      <c r="H6" s="207"/>
      <c r="I6" s="185"/>
      <c r="J6" s="192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13500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13285.714285714286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11000</v>
      </c>
      <c r="G9" s="19" t="s">
        <v>94</v>
      </c>
      <c r="H9" s="16">
        <v>9000</v>
      </c>
      <c r="I9" s="16" t="s">
        <v>94</v>
      </c>
      <c r="J9" s="87">
        <v>9000</v>
      </c>
      <c r="K9" s="20">
        <f t="shared" ref="K9:K80" si="0">AVERAGE(D9:J9)</f>
        <v>9666.6666666666661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11375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20000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20200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13214.285714285714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18000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16000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16000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15357.142857142857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24000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22500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125000</v>
      </c>
      <c r="H22" s="16">
        <v>120000</v>
      </c>
      <c r="I22" s="51">
        <v>120000</v>
      </c>
      <c r="J22" s="52" t="s">
        <v>94</v>
      </c>
      <c r="K22" s="20">
        <f t="shared" si="0"/>
        <v>120833.33333333333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115000</v>
      </c>
      <c r="H23" s="16">
        <v>114000</v>
      </c>
      <c r="I23" s="23">
        <v>115000</v>
      </c>
      <c r="J23" s="38">
        <v>115000</v>
      </c>
      <c r="K23" s="20">
        <f t="shared" si="0"/>
        <v>112714.28571428571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34000</v>
      </c>
      <c r="E25" s="15">
        <v>32000</v>
      </c>
      <c r="F25" s="15">
        <v>34000</v>
      </c>
      <c r="G25" s="15">
        <v>32000</v>
      </c>
      <c r="H25" s="38">
        <v>35000</v>
      </c>
      <c r="I25" s="23">
        <v>33000</v>
      </c>
      <c r="J25" s="38">
        <v>35000</v>
      </c>
      <c r="K25" s="20">
        <f t="shared" si="0"/>
        <v>33571.428571428572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>
        <v>12000</v>
      </c>
      <c r="G27" s="15">
        <v>45000</v>
      </c>
      <c r="H27" s="16">
        <v>30000</v>
      </c>
      <c r="I27" s="23">
        <v>40000</v>
      </c>
      <c r="J27" s="38">
        <v>40000</v>
      </c>
      <c r="K27" s="20">
        <f t="shared" si="0"/>
        <v>35714.285714285717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32000</v>
      </c>
      <c r="G28" s="19">
        <v>35000</v>
      </c>
      <c r="H28" s="23">
        <v>23000</v>
      </c>
      <c r="I28" s="23">
        <v>29000</v>
      </c>
      <c r="J28" s="53">
        <v>30000</v>
      </c>
      <c r="K28" s="20">
        <f t="shared" si="0"/>
        <v>30571.428571428572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70000</v>
      </c>
      <c r="G29" s="19">
        <v>75000</v>
      </c>
      <c r="H29" s="16">
        <v>58000</v>
      </c>
      <c r="I29" s="23">
        <v>68000</v>
      </c>
      <c r="J29" s="25">
        <v>60000</v>
      </c>
      <c r="K29" s="20">
        <f t="shared" si="0"/>
        <v>67285.71428571429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95000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91666.666666666672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27000</v>
      </c>
      <c r="E34" s="15">
        <v>28000</v>
      </c>
      <c r="F34" s="15">
        <v>29000</v>
      </c>
      <c r="G34" s="15">
        <v>27000</v>
      </c>
      <c r="H34" s="16">
        <v>26000</v>
      </c>
      <c r="I34" s="16">
        <v>27000</v>
      </c>
      <c r="J34" s="38">
        <v>27000</v>
      </c>
      <c r="K34" s="20">
        <f t="shared" si="0"/>
        <v>27285.714285714286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2000</v>
      </c>
      <c r="H35" s="16">
        <v>2000</v>
      </c>
      <c r="I35" s="16">
        <v>2500</v>
      </c>
      <c r="J35" s="38">
        <v>3000</v>
      </c>
      <c r="K35" s="20">
        <f t="shared" si="0"/>
        <v>2385.7142857142858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12000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13000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12416.666666666666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13000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12583.333333333334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9000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9142.8571428571431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10000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8333.3333333333339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12500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11285.714285714286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15666.666666666666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25000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25285.714285714286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25000</v>
      </c>
      <c r="E64" s="15">
        <v>30000</v>
      </c>
      <c r="F64" s="15">
        <v>28000</v>
      </c>
      <c r="G64" s="15">
        <v>40000</v>
      </c>
      <c r="H64" s="16">
        <v>20000</v>
      </c>
      <c r="I64" s="16">
        <v>40000</v>
      </c>
      <c r="J64" s="38">
        <v>25000</v>
      </c>
      <c r="K64" s="20">
        <f t="shared" si="0"/>
        <v>29714.285714285714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25000</v>
      </c>
      <c r="G65" s="15">
        <v>40000</v>
      </c>
      <c r="H65" s="71" t="s">
        <v>94</v>
      </c>
      <c r="I65" s="51" t="s">
        <v>94</v>
      </c>
      <c r="J65" s="52" t="s">
        <v>94</v>
      </c>
      <c r="K65" s="20">
        <f t="shared" si="0"/>
        <v>31250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25000</v>
      </c>
      <c r="E66" s="15">
        <v>25000</v>
      </c>
      <c r="F66" s="15">
        <v>28000</v>
      </c>
      <c r="G66" s="15">
        <v>30000</v>
      </c>
      <c r="H66" s="16">
        <v>20000</v>
      </c>
      <c r="I66" s="16">
        <v>35000</v>
      </c>
      <c r="J66" s="38">
        <v>25000</v>
      </c>
      <c r="K66" s="20">
        <f t="shared" si="0"/>
        <v>26857.142857142859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32000</v>
      </c>
      <c r="E70" s="15">
        <v>33000</v>
      </c>
      <c r="F70" s="15">
        <v>35000</v>
      </c>
      <c r="G70" s="15">
        <v>40000</v>
      </c>
      <c r="H70" s="16">
        <v>32000</v>
      </c>
      <c r="I70" s="16">
        <v>35000</v>
      </c>
      <c r="J70" s="38">
        <v>35000</v>
      </c>
      <c r="K70" s="20">
        <f t="shared" si="0"/>
        <v>34571.428571428572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30000</v>
      </c>
      <c r="E71" s="15">
        <v>35000</v>
      </c>
      <c r="F71" s="15">
        <v>30000</v>
      </c>
      <c r="G71" s="15">
        <v>35000</v>
      </c>
      <c r="H71" s="16">
        <v>28000</v>
      </c>
      <c r="I71" s="16">
        <v>30000</v>
      </c>
      <c r="J71" s="38">
        <v>28000</v>
      </c>
      <c r="K71" s="20">
        <f t="shared" si="0"/>
        <v>30857.142857142859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40000</v>
      </c>
      <c r="E72" s="15">
        <v>35000</v>
      </c>
      <c r="F72" s="15">
        <v>48000</v>
      </c>
      <c r="G72" s="15">
        <v>40000</v>
      </c>
      <c r="H72" s="16">
        <v>40000</v>
      </c>
      <c r="I72" s="16">
        <v>40000</v>
      </c>
      <c r="J72" s="38">
        <v>40000</v>
      </c>
      <c r="K72" s="20">
        <f t="shared" si="0"/>
        <v>40428.571428571428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38000</v>
      </c>
      <c r="E73" s="26">
        <v>45000</v>
      </c>
      <c r="F73" s="54">
        <v>50000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41428.571428571428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7000</v>
      </c>
      <c r="G78" s="15">
        <v>10000</v>
      </c>
      <c r="H78" s="16">
        <v>9000</v>
      </c>
      <c r="I78" s="24">
        <v>10000</v>
      </c>
      <c r="J78" s="38">
        <v>8000</v>
      </c>
      <c r="K78" s="20">
        <f t="shared" si="0"/>
        <v>8714.2857142857138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20000</v>
      </c>
      <c r="F79" s="15">
        <v>15000</v>
      </c>
      <c r="G79" s="15">
        <v>15000</v>
      </c>
      <c r="H79" s="16">
        <v>10000</v>
      </c>
      <c r="I79" s="24">
        <v>14000</v>
      </c>
      <c r="J79" s="38">
        <v>15000</v>
      </c>
      <c r="K79" s="20">
        <f t="shared" si="0"/>
        <v>14428.571428571429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15000</v>
      </c>
      <c r="G80" s="15">
        <v>17000</v>
      </c>
      <c r="H80" s="16">
        <v>15000</v>
      </c>
      <c r="I80" s="16">
        <v>16000</v>
      </c>
      <c r="J80" s="38">
        <v>15000</v>
      </c>
      <c r="K80" s="20">
        <f t="shared" si="0"/>
        <v>15428.571428571429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20000</v>
      </c>
      <c r="F81" s="15">
        <v>14000</v>
      </c>
      <c r="G81" s="15">
        <v>20000</v>
      </c>
      <c r="H81" s="16">
        <v>10000</v>
      </c>
      <c r="I81" s="51">
        <v>18000</v>
      </c>
      <c r="J81" s="38">
        <v>15000</v>
      </c>
      <c r="K81" s="20">
        <f t="shared" ref="K81:K88" si="1">AVERAGE(D81:J81)</f>
        <v>15428.571428571429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14000</v>
      </c>
      <c r="F82" s="15">
        <v>11000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11571.428571428571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9000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A43:A45"/>
    <mergeCell ref="A46:A48"/>
    <mergeCell ref="A52:A53"/>
    <mergeCell ref="A54:A55"/>
    <mergeCell ref="A56:A60"/>
    <mergeCell ref="A16:A17"/>
    <mergeCell ref="A19:A20"/>
    <mergeCell ref="A21:A25"/>
    <mergeCell ref="A26:A32"/>
    <mergeCell ref="A33:A35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AE36-EC26-4BD8-ABC0-1179920C4ED7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129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93" t="s">
        <v>86</v>
      </c>
      <c r="E4" s="196" t="s">
        <v>87</v>
      </c>
      <c r="F4" s="199" t="s">
        <v>88</v>
      </c>
      <c r="G4" s="202" t="s">
        <v>89</v>
      </c>
      <c r="H4" s="205" t="s">
        <v>90</v>
      </c>
      <c r="I4" s="183" t="s">
        <v>91</v>
      </c>
      <c r="J4" s="190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94"/>
      <c r="E5" s="197"/>
      <c r="F5" s="200"/>
      <c r="G5" s="203"/>
      <c r="H5" s="206"/>
      <c r="I5" s="184"/>
      <c r="J5" s="191"/>
      <c r="K5" s="187"/>
      <c r="M5" s="5"/>
      <c r="N5" s="5"/>
    </row>
    <row r="6" spans="1:14" ht="16.5" thickBot="1" x14ac:dyDescent="0.3">
      <c r="A6" s="153"/>
      <c r="B6" s="156"/>
      <c r="C6" s="153"/>
      <c r="D6" s="195"/>
      <c r="E6" s="198"/>
      <c r="F6" s="201"/>
      <c r="G6" s="204"/>
      <c r="H6" s="207"/>
      <c r="I6" s="185"/>
      <c r="J6" s="192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16" t="s">
        <v>94</v>
      </c>
      <c r="J9" s="87">
        <v>9000</v>
      </c>
      <c r="K9" s="20">
        <f t="shared" ref="K9:K80" si="0">AVERAGE(D9:J9)</f>
        <v>10000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11375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21000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13214.285714285714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15571.428571428571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15500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125000</v>
      </c>
      <c r="H22" s="16">
        <v>120000</v>
      </c>
      <c r="I22" s="51">
        <v>120000</v>
      </c>
      <c r="J22" s="52" t="s">
        <v>94</v>
      </c>
      <c r="K22" s="20">
        <f t="shared" si="0"/>
        <v>120833.33333333333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115000</v>
      </c>
      <c r="H23" s="16">
        <v>114000</v>
      </c>
      <c r="I23" s="23">
        <v>115000</v>
      </c>
      <c r="J23" s="38">
        <v>115000</v>
      </c>
      <c r="K23" s="20">
        <f t="shared" si="0"/>
        <v>112714.28571428571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34000</v>
      </c>
      <c r="E25" s="15">
        <v>32000</v>
      </c>
      <c r="F25" s="15">
        <v>33000</v>
      </c>
      <c r="G25" s="15">
        <v>33000</v>
      </c>
      <c r="H25" s="38">
        <v>33000</v>
      </c>
      <c r="I25" s="23">
        <v>33000</v>
      </c>
      <c r="J25" s="38">
        <v>33000</v>
      </c>
      <c r="K25" s="20">
        <f t="shared" si="0"/>
        <v>33000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>
        <v>12000</v>
      </c>
      <c r="G27" s="15">
        <v>45000</v>
      </c>
      <c r="H27" s="16">
        <v>30000</v>
      </c>
      <c r="I27" s="23">
        <v>40000</v>
      </c>
      <c r="J27" s="38">
        <v>40000</v>
      </c>
      <c r="K27" s="20">
        <f t="shared" si="0"/>
        <v>35714.285714285717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25000</v>
      </c>
      <c r="G28" s="19">
        <v>35000</v>
      </c>
      <c r="H28" s="23">
        <v>23000</v>
      </c>
      <c r="I28" s="23">
        <v>29000</v>
      </c>
      <c r="J28" s="53">
        <v>30000</v>
      </c>
      <c r="K28" s="20">
        <f t="shared" si="0"/>
        <v>29571.428571428572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68000</v>
      </c>
      <c r="J29" s="25">
        <v>60000</v>
      </c>
      <c r="K29" s="20">
        <f t="shared" si="0"/>
        <v>65857.142857142855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27000</v>
      </c>
      <c r="E34" s="15">
        <v>28000</v>
      </c>
      <c r="F34" s="15">
        <v>29000</v>
      </c>
      <c r="G34" s="15">
        <v>28000</v>
      </c>
      <c r="H34" s="16">
        <v>27000</v>
      </c>
      <c r="I34" s="16">
        <v>28500</v>
      </c>
      <c r="J34" s="38">
        <v>27000</v>
      </c>
      <c r="K34" s="20">
        <f t="shared" si="0"/>
        <v>27785.714285714286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2000</v>
      </c>
      <c r="H35" s="16">
        <v>2000</v>
      </c>
      <c r="I35" s="16">
        <v>2500</v>
      </c>
      <c r="J35" s="38">
        <v>3000</v>
      </c>
      <c r="K35" s="20">
        <f t="shared" si="0"/>
        <v>2385.7142857142858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12000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11142.857142857143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9000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9142.8571428571431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10000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8333.3333333333339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15666.666666666666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26000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25428.571428571428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25000</v>
      </c>
      <c r="E64" s="15">
        <v>30000</v>
      </c>
      <c r="F64" s="15">
        <v>25000</v>
      </c>
      <c r="G64" s="15">
        <v>40000</v>
      </c>
      <c r="H64" s="16">
        <v>20000</v>
      </c>
      <c r="I64" s="16">
        <v>40000</v>
      </c>
      <c r="J64" s="38">
        <v>25000</v>
      </c>
      <c r="K64" s="20">
        <f t="shared" si="0"/>
        <v>29285.714285714286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25000</v>
      </c>
      <c r="G65" s="15">
        <v>40000</v>
      </c>
      <c r="H65" s="71" t="s">
        <v>94</v>
      </c>
      <c r="I65" s="51" t="s">
        <v>94</v>
      </c>
      <c r="J65" s="52" t="s">
        <v>94</v>
      </c>
      <c r="K65" s="20">
        <f t="shared" si="0"/>
        <v>31250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25000</v>
      </c>
      <c r="E66" s="15">
        <v>25000</v>
      </c>
      <c r="F66" s="15">
        <v>30000</v>
      </c>
      <c r="G66" s="15">
        <v>30000</v>
      </c>
      <c r="H66" s="16">
        <v>20000</v>
      </c>
      <c r="I66" s="16">
        <v>35000</v>
      </c>
      <c r="J66" s="38">
        <v>25000</v>
      </c>
      <c r="K66" s="20">
        <f t="shared" si="0"/>
        <v>27142.857142857141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32000</v>
      </c>
      <c r="E70" s="15">
        <v>33000</v>
      </c>
      <c r="F70" s="15">
        <v>34000</v>
      </c>
      <c r="G70" s="15">
        <v>40000</v>
      </c>
      <c r="H70" s="16">
        <v>32000</v>
      </c>
      <c r="I70" s="16">
        <v>35000</v>
      </c>
      <c r="J70" s="38">
        <v>35000</v>
      </c>
      <c r="K70" s="20">
        <f t="shared" si="0"/>
        <v>34428.571428571428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30000</v>
      </c>
      <c r="E71" s="15">
        <v>35000</v>
      </c>
      <c r="F71" s="15">
        <v>32000</v>
      </c>
      <c r="G71" s="15">
        <v>35000</v>
      </c>
      <c r="H71" s="16">
        <v>28000</v>
      </c>
      <c r="I71" s="16">
        <v>30000</v>
      </c>
      <c r="J71" s="38">
        <v>28000</v>
      </c>
      <c r="K71" s="20">
        <f t="shared" si="0"/>
        <v>31142.857142857141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40000</v>
      </c>
      <c r="E72" s="15">
        <v>35000</v>
      </c>
      <c r="F72" s="15">
        <v>45000</v>
      </c>
      <c r="G72" s="15">
        <v>40000</v>
      </c>
      <c r="H72" s="16">
        <v>40000</v>
      </c>
      <c r="I72" s="16">
        <v>45000</v>
      </c>
      <c r="J72" s="38">
        <v>40000</v>
      </c>
      <c r="K72" s="20">
        <f t="shared" si="0"/>
        <v>40714.285714285717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38000</v>
      </c>
      <c r="E73" s="26">
        <v>45000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40714.285714285717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8000</v>
      </c>
      <c r="G78" s="15">
        <v>10000</v>
      </c>
      <c r="H78" s="16">
        <v>9000</v>
      </c>
      <c r="I78" s="24">
        <v>10000</v>
      </c>
      <c r="J78" s="38">
        <v>8000</v>
      </c>
      <c r="K78" s="20">
        <f t="shared" si="0"/>
        <v>8857.1428571428569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20000</v>
      </c>
      <c r="F79" s="15">
        <v>15000</v>
      </c>
      <c r="G79" s="15">
        <v>15000</v>
      </c>
      <c r="H79" s="16">
        <v>10000</v>
      </c>
      <c r="I79" s="24">
        <v>14000</v>
      </c>
      <c r="J79" s="38">
        <v>15000</v>
      </c>
      <c r="K79" s="20">
        <f t="shared" si="0"/>
        <v>14428.571428571429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16000</v>
      </c>
      <c r="J80" s="38">
        <v>15000</v>
      </c>
      <c r="K80" s="20">
        <f t="shared" si="0"/>
        <v>15571.428571428571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20000</v>
      </c>
      <c r="F81" s="15">
        <v>16000</v>
      </c>
      <c r="G81" s="15">
        <v>20000</v>
      </c>
      <c r="H81" s="16">
        <v>10000</v>
      </c>
      <c r="I81" s="51">
        <v>18000</v>
      </c>
      <c r="J81" s="38">
        <v>15000</v>
      </c>
      <c r="K81" s="20">
        <f t="shared" ref="K81:K88" si="1">AVERAGE(D81:J81)</f>
        <v>15714.285714285714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14000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11714.285714285714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8833.3333333333339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  <mergeCell ref="A13:A15"/>
    <mergeCell ref="A7:A12"/>
    <mergeCell ref="A16:A17"/>
    <mergeCell ref="A19:A20"/>
    <mergeCell ref="A21:A2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2F9B-1029-4E1A-983E-FD2B8CD3191D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2.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2.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2.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2.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2.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2.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2.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2.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2.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2.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2.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2.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2.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2.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2.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2.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2.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2.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2.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2.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2.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2.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2.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2.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2.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2.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2.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2.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2.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2.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2.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2.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2.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2.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2.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2.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2.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2.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2.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2.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2.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2.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2.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2.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2.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2.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2.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2.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2.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2.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2.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2.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2.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2.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2.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2.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2.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2.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2.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2.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2.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2.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2.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2.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130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16000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13642.857142857143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10000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11375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20000</v>
      </c>
      <c r="G12" s="19">
        <v>20000</v>
      </c>
      <c r="H12" s="23" t="s">
        <v>94</v>
      </c>
      <c r="I12" s="24">
        <v>22000</v>
      </c>
      <c r="J12" s="87">
        <v>17000</v>
      </c>
      <c r="K12" s="20">
        <f t="shared" si="0"/>
        <v>20200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14000</v>
      </c>
      <c r="G14" s="15">
        <v>13000</v>
      </c>
      <c r="H14" s="16">
        <v>13000</v>
      </c>
      <c r="I14" s="16">
        <v>13000</v>
      </c>
      <c r="J14" s="38">
        <v>13500</v>
      </c>
      <c r="K14" s="20">
        <f t="shared" si="0"/>
        <v>13285.714285714286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18000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16000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15500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24000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22500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125000</v>
      </c>
      <c r="H22" s="16">
        <v>120000</v>
      </c>
      <c r="I22" s="51">
        <v>120000</v>
      </c>
      <c r="J22" s="52" t="s">
        <v>94</v>
      </c>
      <c r="K22" s="20">
        <f t="shared" si="0"/>
        <v>120833.33333333333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115000</v>
      </c>
      <c r="H23" s="16">
        <v>114000</v>
      </c>
      <c r="I23" s="23">
        <v>115000</v>
      </c>
      <c r="J23" s="38">
        <v>115000</v>
      </c>
      <c r="K23" s="20">
        <f t="shared" si="0"/>
        <v>112714.28571428571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34000</v>
      </c>
      <c r="E25" s="15">
        <v>32000</v>
      </c>
      <c r="F25" s="15">
        <v>33000</v>
      </c>
      <c r="G25" s="15">
        <v>33000</v>
      </c>
      <c r="H25" s="38">
        <v>33000</v>
      </c>
      <c r="I25" s="23">
        <v>33000</v>
      </c>
      <c r="J25" s="38">
        <v>33000</v>
      </c>
      <c r="K25" s="20">
        <f t="shared" si="0"/>
        <v>33000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>
        <v>12000</v>
      </c>
      <c r="G27" s="15">
        <v>45000</v>
      </c>
      <c r="H27" s="16">
        <v>30000</v>
      </c>
      <c r="I27" s="23">
        <v>40000</v>
      </c>
      <c r="J27" s="38">
        <v>40000</v>
      </c>
      <c r="K27" s="20">
        <f t="shared" si="0"/>
        <v>35714.285714285717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32000</v>
      </c>
      <c r="G28" s="19">
        <v>35000</v>
      </c>
      <c r="H28" s="23">
        <v>23000</v>
      </c>
      <c r="I28" s="23">
        <v>29000</v>
      </c>
      <c r="J28" s="53">
        <v>30000</v>
      </c>
      <c r="K28" s="20">
        <f t="shared" si="0"/>
        <v>30571.428571428572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70000</v>
      </c>
      <c r="G29" s="19">
        <v>75000</v>
      </c>
      <c r="H29" s="16">
        <v>58000</v>
      </c>
      <c r="I29" s="23">
        <v>68000</v>
      </c>
      <c r="J29" s="25">
        <v>60000</v>
      </c>
      <c r="K29" s="20">
        <f t="shared" si="0"/>
        <v>67285.71428571429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95000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91666.666666666672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29000</v>
      </c>
      <c r="E34" s="15">
        <v>28000</v>
      </c>
      <c r="F34" s="15">
        <v>29000</v>
      </c>
      <c r="G34" s="15">
        <v>29000</v>
      </c>
      <c r="H34" s="16">
        <v>27000</v>
      </c>
      <c r="I34" s="16">
        <v>28500</v>
      </c>
      <c r="J34" s="38">
        <v>27000</v>
      </c>
      <c r="K34" s="20">
        <f t="shared" si="0"/>
        <v>28214.285714285714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2000</v>
      </c>
      <c r="H35" s="16">
        <v>2000</v>
      </c>
      <c r="I35" s="16">
        <v>2500</v>
      </c>
      <c r="J35" s="38">
        <v>3000</v>
      </c>
      <c r="K35" s="20">
        <f t="shared" si="0"/>
        <v>2385.7142857142858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13000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12416.666666666666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13000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12583.333333333334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9000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9142.8571428571431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10000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8333.3333333333339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15666.666666666666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25000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25285.714285714286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30000</v>
      </c>
      <c r="F64" s="15">
        <v>30000</v>
      </c>
      <c r="G64" s="15">
        <v>40000</v>
      </c>
      <c r="H64" s="16">
        <v>20000</v>
      </c>
      <c r="I64" s="16">
        <v>40000</v>
      </c>
      <c r="J64" s="38">
        <v>25000</v>
      </c>
      <c r="K64" s="20">
        <f t="shared" si="0"/>
        <v>30714.285714285714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25000</v>
      </c>
      <c r="G65" s="15">
        <v>40000</v>
      </c>
      <c r="H65" s="71" t="s">
        <v>94</v>
      </c>
      <c r="I65" s="51" t="s">
        <v>94</v>
      </c>
      <c r="J65" s="52" t="s">
        <v>94</v>
      </c>
      <c r="K65" s="20">
        <f t="shared" si="0"/>
        <v>31250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25000</v>
      </c>
      <c r="E66" s="15">
        <v>25000</v>
      </c>
      <c r="F66" s="15">
        <v>30000</v>
      </c>
      <c r="G66" s="15">
        <v>30000</v>
      </c>
      <c r="H66" s="16">
        <v>20000</v>
      </c>
      <c r="I66" s="16">
        <v>40000</v>
      </c>
      <c r="J66" s="38">
        <v>25000</v>
      </c>
      <c r="K66" s="20">
        <f t="shared" si="0"/>
        <v>27857.142857142859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19000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18166.666666666668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35000</v>
      </c>
      <c r="E70" s="15">
        <v>33000</v>
      </c>
      <c r="F70" s="15">
        <v>36000</v>
      </c>
      <c r="G70" s="15">
        <v>40000</v>
      </c>
      <c r="H70" s="16">
        <v>34000</v>
      </c>
      <c r="I70" s="16">
        <v>35000</v>
      </c>
      <c r="J70" s="38">
        <v>35000</v>
      </c>
      <c r="K70" s="20">
        <f t="shared" si="0"/>
        <v>35428.571428571428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35000</v>
      </c>
      <c r="F71" s="15">
        <v>32000</v>
      </c>
      <c r="G71" s="15">
        <v>35000</v>
      </c>
      <c r="H71" s="16">
        <v>30000</v>
      </c>
      <c r="I71" s="16">
        <v>30000</v>
      </c>
      <c r="J71" s="38">
        <v>28000</v>
      </c>
      <c r="K71" s="20">
        <f t="shared" si="0"/>
        <v>31714.285714285714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40000</v>
      </c>
      <c r="E72" s="15">
        <v>35000</v>
      </c>
      <c r="F72" s="15">
        <v>48000</v>
      </c>
      <c r="G72" s="15">
        <v>40000</v>
      </c>
      <c r="H72" s="16">
        <v>38000</v>
      </c>
      <c r="I72" s="16">
        <v>45000</v>
      </c>
      <c r="J72" s="38">
        <v>40000</v>
      </c>
      <c r="K72" s="20">
        <f t="shared" si="0"/>
        <v>40857.142857142855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48000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41428.571428571428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7000</v>
      </c>
      <c r="G78" s="15">
        <v>10000</v>
      </c>
      <c r="H78" s="16">
        <v>9000</v>
      </c>
      <c r="I78" s="24">
        <v>10000</v>
      </c>
      <c r="J78" s="38">
        <v>8000</v>
      </c>
      <c r="K78" s="20">
        <f t="shared" si="0"/>
        <v>8714.2857142857138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20000</v>
      </c>
      <c r="F79" s="15">
        <v>16000</v>
      </c>
      <c r="G79" s="15">
        <v>15000</v>
      </c>
      <c r="H79" s="16">
        <v>10000</v>
      </c>
      <c r="I79" s="24">
        <v>14000</v>
      </c>
      <c r="J79" s="38">
        <v>15000</v>
      </c>
      <c r="K79" s="20">
        <f t="shared" si="0"/>
        <v>14571.428571428571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15000</v>
      </c>
      <c r="G80" s="15">
        <v>17000</v>
      </c>
      <c r="H80" s="16">
        <v>15000</v>
      </c>
      <c r="I80" s="16">
        <v>16000</v>
      </c>
      <c r="J80" s="38">
        <v>15000</v>
      </c>
      <c r="K80" s="20">
        <f t="shared" si="0"/>
        <v>15428.571428571429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20000</v>
      </c>
      <c r="F81" s="15">
        <v>14000</v>
      </c>
      <c r="G81" s="15">
        <v>20000</v>
      </c>
      <c r="H81" s="16">
        <v>10000</v>
      </c>
      <c r="I81" s="51">
        <v>18000</v>
      </c>
      <c r="J81" s="38">
        <v>15000</v>
      </c>
      <c r="K81" s="20">
        <f t="shared" ref="K81:K88" si="1">AVERAGE(D81:J81)</f>
        <v>15428.571428571429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14000</v>
      </c>
      <c r="F82" s="15">
        <v>10000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11428.571428571429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9000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17000</v>
      </c>
      <c r="G88" s="19">
        <v>17000</v>
      </c>
      <c r="H88" s="47" t="s">
        <v>94</v>
      </c>
      <c r="I88" s="24">
        <v>20000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  <mergeCell ref="A13:A15"/>
    <mergeCell ref="A7:A12"/>
    <mergeCell ref="A16:A17"/>
    <mergeCell ref="A19:A20"/>
    <mergeCell ref="A21:A2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FB16-EC66-4B10-94FF-755E6DB6B903}">
  <dimension ref="A1:W92"/>
  <sheetViews>
    <sheetView workbookViewId="0">
      <selection sqref="A1:XFD1048576"/>
    </sheetView>
  </sheetViews>
  <sheetFormatPr defaultRowHeight="15" x14ac:dyDescent="0.25"/>
  <cols>
    <col min="1" max="1" width="5.875" customWidth="1"/>
    <col min="2" max="2" width="23.375" customWidth="1"/>
    <col min="3" max="3" width="12.875" customWidth="1"/>
    <col min="4" max="11" width="13.875" customWidth="1"/>
  </cols>
  <sheetData>
    <row r="1" spans="1:23" ht="15.75" x14ac:dyDescent="0.25">
      <c r="A1" s="208" t="s">
        <v>83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96"/>
      <c r="M1" s="97"/>
      <c r="N1" s="97"/>
      <c r="O1" s="96"/>
      <c r="P1" s="96"/>
      <c r="Q1" s="96"/>
      <c r="R1" s="96"/>
      <c r="S1" s="96"/>
      <c r="T1" s="96"/>
      <c r="U1" s="96"/>
      <c r="V1" s="96"/>
      <c r="W1" s="96"/>
    </row>
    <row r="2" spans="1:23" ht="15.75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96"/>
      <c r="M2" s="97"/>
      <c r="N2" s="97"/>
      <c r="O2" s="96"/>
      <c r="P2" s="96"/>
      <c r="Q2" s="96"/>
      <c r="R2" s="96"/>
      <c r="S2" s="96"/>
      <c r="T2" s="96"/>
      <c r="U2" s="96"/>
      <c r="V2" s="96"/>
      <c r="W2" s="96"/>
    </row>
    <row r="3" spans="1:23" ht="16.5" thickBot="1" x14ac:dyDescent="0.3">
      <c r="A3" s="163" t="s">
        <v>131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L3" s="96"/>
      <c r="M3" s="97"/>
      <c r="N3" s="97"/>
      <c r="O3" s="96"/>
      <c r="P3" s="96"/>
      <c r="Q3" s="96"/>
      <c r="R3" s="96"/>
      <c r="S3" s="96"/>
      <c r="T3" s="96"/>
      <c r="U3" s="96"/>
      <c r="V3" s="96"/>
      <c r="W3" s="96"/>
    </row>
    <row r="4" spans="1:23" ht="15.75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L4" s="96"/>
      <c r="M4" s="97"/>
      <c r="N4" s="97"/>
      <c r="O4" s="96"/>
      <c r="P4" s="96"/>
      <c r="Q4" s="96"/>
      <c r="R4" s="96"/>
      <c r="S4" s="96"/>
      <c r="T4" s="96"/>
      <c r="U4" s="96"/>
      <c r="V4" s="96"/>
      <c r="W4" s="96"/>
    </row>
    <row r="5" spans="1:23" ht="15.75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L5" s="96"/>
      <c r="M5" s="97"/>
      <c r="N5" s="97"/>
      <c r="O5" s="96"/>
      <c r="P5" s="96"/>
      <c r="Q5" s="96"/>
      <c r="R5" s="96"/>
      <c r="S5" s="96"/>
      <c r="T5" s="96"/>
      <c r="U5" s="96"/>
      <c r="V5" s="96"/>
      <c r="W5" s="96"/>
    </row>
    <row r="6" spans="1:23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L6" s="96"/>
      <c r="M6" s="97"/>
      <c r="N6" s="97"/>
      <c r="O6" s="96"/>
      <c r="P6" s="96"/>
      <c r="Q6" s="96"/>
      <c r="R6" s="96"/>
      <c r="S6" s="96"/>
      <c r="T6" s="96"/>
      <c r="U6" s="96"/>
      <c r="V6" s="96"/>
      <c r="W6" s="96"/>
    </row>
    <row r="7" spans="1:23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L7" s="96"/>
      <c r="M7" s="97"/>
      <c r="N7" s="97"/>
      <c r="O7" s="96"/>
      <c r="P7" s="96"/>
      <c r="Q7" s="96"/>
      <c r="R7" s="96"/>
      <c r="S7" s="96"/>
      <c r="T7" s="96"/>
      <c r="U7" s="96"/>
      <c r="V7" s="96"/>
      <c r="W7" s="96"/>
    </row>
    <row r="8" spans="1:23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16000</v>
      </c>
      <c r="G8" s="15">
        <v>13500</v>
      </c>
      <c r="H8" s="15">
        <v>12000</v>
      </c>
      <c r="I8" s="16">
        <v>14000</v>
      </c>
      <c r="J8" s="87">
        <v>13500</v>
      </c>
      <c r="K8" s="17">
        <v>13642.857142857143</v>
      </c>
      <c r="L8" s="98"/>
      <c r="M8" s="99"/>
      <c r="N8" s="97"/>
      <c r="O8" s="96"/>
      <c r="P8" s="96"/>
      <c r="Q8" s="96"/>
      <c r="R8" s="96"/>
      <c r="S8" s="96"/>
      <c r="T8" s="96"/>
      <c r="U8" s="96"/>
      <c r="V8" s="96"/>
      <c r="W8" s="96"/>
    </row>
    <row r="9" spans="1:23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12000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v>10000</v>
      </c>
      <c r="L9" s="96"/>
      <c r="M9" s="97"/>
      <c r="N9" s="97"/>
      <c r="O9" s="96"/>
      <c r="P9" s="96"/>
      <c r="Q9" s="96"/>
      <c r="R9" s="96"/>
      <c r="S9" s="96"/>
      <c r="T9" s="96"/>
      <c r="U9" s="96"/>
      <c r="V9" s="96"/>
      <c r="W9" s="96"/>
    </row>
    <row r="10" spans="1:23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v>11375</v>
      </c>
      <c r="L10" s="96"/>
      <c r="M10" s="97"/>
      <c r="N10" s="97"/>
      <c r="O10" s="96"/>
      <c r="P10" s="96"/>
      <c r="Q10" s="96"/>
      <c r="R10" s="96"/>
      <c r="S10" s="96"/>
      <c r="T10" s="96"/>
      <c r="U10" s="96"/>
      <c r="V10" s="96"/>
      <c r="W10" s="96"/>
    </row>
    <row r="11" spans="1:23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v>10600</v>
      </c>
      <c r="L11" s="96"/>
      <c r="M11" s="97"/>
      <c r="N11" s="97"/>
      <c r="O11" s="96"/>
      <c r="P11" s="96"/>
      <c r="Q11" s="96"/>
      <c r="R11" s="96"/>
      <c r="S11" s="96"/>
      <c r="T11" s="96"/>
      <c r="U11" s="96"/>
      <c r="V11" s="96"/>
      <c r="W11" s="96"/>
    </row>
    <row r="12" spans="1:23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20000</v>
      </c>
      <c r="G12" s="19">
        <v>20000</v>
      </c>
      <c r="H12" s="23" t="s">
        <v>94</v>
      </c>
      <c r="I12" s="24">
        <v>20000</v>
      </c>
      <c r="J12" s="87">
        <v>17000</v>
      </c>
      <c r="K12" s="20">
        <v>19800</v>
      </c>
      <c r="L12" s="96"/>
      <c r="M12" s="97"/>
      <c r="N12" s="97"/>
      <c r="O12" s="96"/>
      <c r="P12" s="96"/>
      <c r="Q12" s="96"/>
      <c r="R12" s="96"/>
      <c r="S12" s="96"/>
      <c r="T12" s="96"/>
      <c r="U12" s="96"/>
      <c r="V12" s="96"/>
      <c r="W12" s="96"/>
    </row>
    <row r="13" spans="1:23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L13" s="96"/>
      <c r="M13" s="97"/>
      <c r="N13" s="100"/>
      <c r="O13" s="96"/>
      <c r="P13" s="96"/>
      <c r="Q13" s="96"/>
      <c r="R13" s="96"/>
      <c r="S13" s="96"/>
      <c r="T13" s="96"/>
      <c r="U13" s="96"/>
      <c r="V13" s="96"/>
      <c r="W13" s="96"/>
    </row>
    <row r="14" spans="1:23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14000</v>
      </c>
      <c r="G14" s="15">
        <v>13000</v>
      </c>
      <c r="H14" s="16">
        <v>13000</v>
      </c>
      <c r="I14" s="16">
        <v>13500</v>
      </c>
      <c r="J14" s="38">
        <v>13500</v>
      </c>
      <c r="K14" s="20">
        <v>13357.142857142857</v>
      </c>
      <c r="L14" s="96"/>
      <c r="M14" s="97"/>
      <c r="N14" s="97"/>
      <c r="O14" s="96"/>
      <c r="P14" s="96"/>
      <c r="Q14" s="96"/>
      <c r="R14" s="96"/>
      <c r="S14" s="96"/>
      <c r="T14" s="96"/>
      <c r="U14" s="96"/>
      <c r="V14" s="96"/>
      <c r="W14" s="96"/>
    </row>
    <row r="15" spans="1:23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18000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v>16000</v>
      </c>
      <c r="L15" s="96"/>
      <c r="M15" s="97"/>
      <c r="N15" s="97"/>
      <c r="O15" s="96"/>
      <c r="P15" s="96"/>
      <c r="Q15" s="96"/>
      <c r="R15" s="96"/>
      <c r="S15" s="96"/>
      <c r="T15" s="96"/>
      <c r="U15" s="96"/>
      <c r="V15" s="96"/>
      <c r="W15" s="96"/>
    </row>
    <row r="16" spans="1:23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L16" s="96"/>
      <c r="M16" s="97"/>
      <c r="N16" s="97"/>
      <c r="O16" s="96"/>
      <c r="P16" s="96"/>
      <c r="Q16" s="96"/>
      <c r="R16" s="96"/>
      <c r="S16" s="96"/>
      <c r="T16" s="96"/>
      <c r="U16" s="96"/>
      <c r="V16" s="96"/>
      <c r="W16" s="96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v>15500</v>
      </c>
      <c r="L17" s="96"/>
      <c r="M17" s="97"/>
      <c r="N17" s="97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v>14000</v>
      </c>
      <c r="L18" s="96"/>
      <c r="M18" s="97"/>
      <c r="N18" s="97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L19" s="96"/>
      <c r="M19" s="97"/>
      <c r="N19" s="97"/>
    </row>
    <row r="20" spans="1:14" ht="15.75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24000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v>22500</v>
      </c>
      <c r="L20" s="96"/>
      <c r="M20" s="97"/>
      <c r="N20" s="97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L21" s="96"/>
      <c r="M21" s="97"/>
      <c r="N21" s="97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125000</v>
      </c>
      <c r="H22" s="16">
        <v>120000</v>
      </c>
      <c r="I22" s="51">
        <v>120000</v>
      </c>
      <c r="J22" s="52" t="s">
        <v>94</v>
      </c>
      <c r="K22" s="20">
        <v>120833.33333333333</v>
      </c>
      <c r="L22" s="96"/>
      <c r="M22" s="97"/>
      <c r="N22" s="97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115000</v>
      </c>
      <c r="H23" s="16">
        <v>114000</v>
      </c>
      <c r="I23" s="23">
        <v>115000</v>
      </c>
      <c r="J23" s="38">
        <v>115000</v>
      </c>
      <c r="K23" s="20">
        <v>112714.28571428571</v>
      </c>
      <c r="L23" s="96"/>
      <c r="M23" s="97"/>
      <c r="N23" s="97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v>102857.14285714286</v>
      </c>
      <c r="L24" s="96"/>
      <c r="M24" s="97"/>
      <c r="N24" s="97"/>
    </row>
    <row r="25" spans="1:14" ht="15.75" x14ac:dyDescent="0.25">
      <c r="A25" s="160"/>
      <c r="B25" s="13" t="s">
        <v>18</v>
      </c>
      <c r="C25" s="14" t="s">
        <v>5</v>
      </c>
      <c r="D25" s="21">
        <v>34000</v>
      </c>
      <c r="E25" s="15">
        <v>32000</v>
      </c>
      <c r="F25" s="15">
        <v>33000</v>
      </c>
      <c r="G25" s="15">
        <v>33000</v>
      </c>
      <c r="H25" s="38">
        <v>33000</v>
      </c>
      <c r="I25" s="23">
        <v>33000</v>
      </c>
      <c r="J25" s="38">
        <v>33000</v>
      </c>
      <c r="K25" s="20">
        <v>33000</v>
      </c>
      <c r="L25" s="96"/>
      <c r="M25" s="97"/>
      <c r="N25" s="97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L26" s="96"/>
      <c r="M26" s="97"/>
      <c r="N26" s="97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>
        <v>12000</v>
      </c>
      <c r="G27" s="15">
        <v>45000</v>
      </c>
      <c r="H27" s="16">
        <v>30000</v>
      </c>
      <c r="I27" s="23">
        <v>40000</v>
      </c>
      <c r="J27" s="38">
        <v>40000</v>
      </c>
      <c r="K27" s="20">
        <v>35714.285714285717</v>
      </c>
      <c r="L27" s="96"/>
      <c r="M27" s="97"/>
      <c r="N27" s="97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32000</v>
      </c>
      <c r="G28" s="19">
        <v>35000</v>
      </c>
      <c r="H28" s="23">
        <v>23000</v>
      </c>
      <c r="I28" s="23">
        <v>29000</v>
      </c>
      <c r="J28" s="53">
        <v>30000</v>
      </c>
      <c r="K28" s="20">
        <v>30571.428571428572</v>
      </c>
      <c r="L28" s="96" t="s">
        <v>95</v>
      </c>
      <c r="M28" s="97"/>
      <c r="N28" s="97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70000</v>
      </c>
      <c r="G29" s="19">
        <v>75000</v>
      </c>
      <c r="H29" s="16">
        <v>58000</v>
      </c>
      <c r="I29" s="23">
        <v>68000</v>
      </c>
      <c r="J29" s="25">
        <v>60000</v>
      </c>
      <c r="K29" s="20">
        <v>67285.71428571429</v>
      </c>
      <c r="L29" s="96"/>
      <c r="M29" s="97"/>
      <c r="N29" s="97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v>24600</v>
      </c>
      <c r="L30" s="96"/>
      <c r="M30" s="97"/>
      <c r="N30" s="97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v>38428.571428571428</v>
      </c>
      <c r="L31" s="96"/>
      <c r="M31" s="97"/>
      <c r="N31" s="97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95000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v>91666.666666666672</v>
      </c>
      <c r="L32" s="96"/>
      <c r="M32" s="97"/>
      <c r="N32" s="97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L33" s="96"/>
      <c r="M33" s="97"/>
      <c r="N33" s="97"/>
    </row>
    <row r="34" spans="1:14" ht="15.75" x14ac:dyDescent="0.25">
      <c r="A34" s="159"/>
      <c r="B34" s="13" t="s">
        <v>27</v>
      </c>
      <c r="C34" s="14" t="s">
        <v>5</v>
      </c>
      <c r="D34" s="21">
        <v>29000</v>
      </c>
      <c r="E34" s="15">
        <v>28000</v>
      </c>
      <c r="F34" s="15">
        <v>29000</v>
      </c>
      <c r="G34" s="15">
        <v>29000</v>
      </c>
      <c r="H34" s="16">
        <v>27000</v>
      </c>
      <c r="I34" s="16">
        <v>28500</v>
      </c>
      <c r="J34" s="38">
        <v>27000</v>
      </c>
      <c r="K34" s="20">
        <v>28214.285714285714</v>
      </c>
      <c r="L34" s="96"/>
      <c r="M34" s="97"/>
      <c r="N34" s="97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2000</v>
      </c>
      <c r="H35" s="16">
        <v>2000</v>
      </c>
      <c r="I35" s="16">
        <v>2500</v>
      </c>
      <c r="J35" s="38">
        <v>3000</v>
      </c>
      <c r="K35" s="20">
        <v>2385.7142857142858</v>
      </c>
      <c r="L35" s="96"/>
      <c r="M35" s="97"/>
      <c r="N35" s="97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L36" s="96"/>
      <c r="M36" s="97"/>
      <c r="N36" s="97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3000</v>
      </c>
      <c r="G37" s="15">
        <v>9000</v>
      </c>
      <c r="H37" s="16">
        <v>16000</v>
      </c>
      <c r="I37" s="16">
        <v>12000</v>
      </c>
      <c r="J37" s="38">
        <v>9000</v>
      </c>
      <c r="K37" s="20">
        <v>9857.1428571428569</v>
      </c>
      <c r="L37" s="96"/>
      <c r="M37" s="97"/>
      <c r="N37" s="97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v>12600</v>
      </c>
      <c r="L38" s="96"/>
      <c r="M38" s="97"/>
      <c r="N38" s="97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L39" s="96"/>
      <c r="M39" s="97"/>
      <c r="N39" s="97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v>15600</v>
      </c>
      <c r="L40" s="96"/>
      <c r="M40" s="97"/>
      <c r="N40" s="97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v>6833.333333333333</v>
      </c>
      <c r="L41" s="96"/>
      <c r="M41" s="97"/>
      <c r="N41" s="97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v>2000</v>
      </c>
      <c r="L42" s="96"/>
      <c r="M42" s="97"/>
      <c r="N42" s="97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L43" s="96"/>
      <c r="M43" s="97"/>
      <c r="N43" s="97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13000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v>12416.666666666666</v>
      </c>
      <c r="L44" s="96"/>
      <c r="M44" s="97"/>
      <c r="N44" s="97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13000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v>12583.333333333334</v>
      </c>
      <c r="L45" s="96"/>
      <c r="M45" s="97"/>
      <c r="N45" s="97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L46" s="96"/>
      <c r="M46" s="97"/>
      <c r="N46" s="97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v>17500</v>
      </c>
      <c r="L47" s="96"/>
      <c r="M47" s="97"/>
      <c r="N47" s="97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v>2000</v>
      </c>
      <c r="L48" s="96"/>
      <c r="M48" s="97"/>
      <c r="N48" s="97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L49" s="96"/>
      <c r="M49" s="97"/>
      <c r="N49" s="97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v>9285.7142857142862</v>
      </c>
      <c r="L50" s="96"/>
      <c r="M50" s="97"/>
      <c r="N50" s="97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v>8166.666666666667</v>
      </c>
      <c r="L51" s="96"/>
      <c r="M51" s="97"/>
      <c r="N51" s="97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L52" s="96"/>
      <c r="M52" s="97"/>
      <c r="N52" s="97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v>4000</v>
      </c>
      <c r="L53" s="96"/>
      <c r="M53" s="97"/>
      <c r="N53" s="97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L54" s="96"/>
      <c r="M54" s="97"/>
      <c r="N54" s="97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v>11357.142857142857</v>
      </c>
      <c r="L55" s="96"/>
      <c r="M55" s="97"/>
      <c r="N55" s="97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L56" s="96"/>
      <c r="M56" s="97"/>
      <c r="N56" s="97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v>15666.666666666666</v>
      </c>
      <c r="L57" s="96"/>
      <c r="M57" s="97"/>
      <c r="N57" s="97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v>14166.666666666666</v>
      </c>
      <c r="L58" s="96"/>
      <c r="M58" s="97" t="s">
        <v>97</v>
      </c>
      <c r="N58" s="97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25000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v>25285.714285714286</v>
      </c>
      <c r="L59" s="96"/>
      <c r="M59" s="97"/>
      <c r="N59" s="101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v>29000</v>
      </c>
      <c r="L60" s="96"/>
      <c r="M60" s="97"/>
      <c r="N60" s="97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L61" s="96"/>
      <c r="M61" s="97"/>
      <c r="N61" s="97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v>3200</v>
      </c>
      <c r="L62" s="96"/>
      <c r="M62" s="97"/>
      <c r="N62" s="97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L63" s="96"/>
      <c r="M63" s="97"/>
      <c r="N63" s="97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30000</v>
      </c>
      <c r="F64" s="15">
        <v>30000</v>
      </c>
      <c r="G64" s="15">
        <v>40000</v>
      </c>
      <c r="H64" s="16">
        <v>20000</v>
      </c>
      <c r="I64" s="16">
        <v>35000</v>
      </c>
      <c r="J64" s="38">
        <v>25000</v>
      </c>
      <c r="K64" s="20">
        <v>30000</v>
      </c>
      <c r="L64" s="96"/>
      <c r="M64" s="97"/>
      <c r="N64" s="97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25000</v>
      </c>
      <c r="G65" s="15">
        <v>40000</v>
      </c>
      <c r="H65" s="71" t="s">
        <v>94</v>
      </c>
      <c r="I65" s="51">
        <v>40000</v>
      </c>
      <c r="J65" s="52" t="s">
        <v>94</v>
      </c>
      <c r="K65" s="20">
        <v>33000</v>
      </c>
      <c r="L65" s="96"/>
      <c r="M65" s="97"/>
      <c r="N65" s="97"/>
    </row>
    <row r="66" spans="1:14" ht="15.75" x14ac:dyDescent="0.25">
      <c r="A66" s="160"/>
      <c r="B66" s="13" t="s">
        <v>57</v>
      </c>
      <c r="C66" s="14" t="s">
        <v>5</v>
      </c>
      <c r="D66" s="21">
        <v>25000</v>
      </c>
      <c r="E66" s="15">
        <v>25000</v>
      </c>
      <c r="F66" s="15">
        <v>30000</v>
      </c>
      <c r="G66" s="15">
        <v>30000</v>
      </c>
      <c r="H66" s="16">
        <v>20000</v>
      </c>
      <c r="I66" s="16">
        <v>30000</v>
      </c>
      <c r="J66" s="38">
        <v>25000</v>
      </c>
      <c r="K66" s="20">
        <v>26428.571428571428</v>
      </c>
      <c r="L66" s="96"/>
      <c r="M66" s="97"/>
      <c r="N66" s="97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L67" s="96"/>
      <c r="M67" s="97"/>
      <c r="N67" s="97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v>18333.333333333332</v>
      </c>
      <c r="L68" s="96"/>
      <c r="M68" s="97"/>
      <c r="N68" s="97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L69" s="96"/>
      <c r="M69" s="97"/>
      <c r="N69" s="97"/>
    </row>
    <row r="70" spans="1:14" ht="15.75" x14ac:dyDescent="0.25">
      <c r="A70" s="159"/>
      <c r="B70" s="13" t="s">
        <v>62</v>
      </c>
      <c r="C70" s="14" t="s">
        <v>5</v>
      </c>
      <c r="D70" s="21">
        <v>35000</v>
      </c>
      <c r="E70" s="15">
        <v>33000</v>
      </c>
      <c r="F70" s="15">
        <v>36000</v>
      </c>
      <c r="G70" s="15">
        <v>40000</v>
      </c>
      <c r="H70" s="16">
        <v>34000</v>
      </c>
      <c r="I70" s="16">
        <v>35000</v>
      </c>
      <c r="J70" s="38">
        <v>35000</v>
      </c>
      <c r="K70" s="20">
        <v>35428.571428571428</v>
      </c>
      <c r="L70" s="96"/>
      <c r="M70" s="97"/>
      <c r="N70" s="97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35000</v>
      </c>
      <c r="F71" s="15">
        <v>32000</v>
      </c>
      <c r="G71" s="15">
        <v>35000</v>
      </c>
      <c r="H71" s="16">
        <v>30000</v>
      </c>
      <c r="I71" s="16">
        <v>30000</v>
      </c>
      <c r="J71" s="38">
        <v>28000</v>
      </c>
      <c r="K71" s="20">
        <v>31714.285714285714</v>
      </c>
      <c r="L71" s="96"/>
      <c r="M71" s="97"/>
      <c r="N71" s="97"/>
    </row>
    <row r="72" spans="1:14" ht="15.75" x14ac:dyDescent="0.25">
      <c r="A72" s="159"/>
      <c r="B72" s="13" t="s">
        <v>64</v>
      </c>
      <c r="C72" s="14" t="s">
        <v>5</v>
      </c>
      <c r="D72" s="21">
        <v>40000</v>
      </c>
      <c r="E72" s="15">
        <v>35000</v>
      </c>
      <c r="F72" s="15">
        <v>48000</v>
      </c>
      <c r="G72" s="15">
        <v>40000</v>
      </c>
      <c r="H72" s="16">
        <v>38000</v>
      </c>
      <c r="I72" s="16">
        <v>45000</v>
      </c>
      <c r="J72" s="38">
        <v>40000</v>
      </c>
      <c r="K72" s="20">
        <v>40857.142857142855</v>
      </c>
      <c r="L72" s="96"/>
      <c r="M72" s="97"/>
      <c r="N72" s="97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48000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v>41428.571428571428</v>
      </c>
      <c r="L73" s="96"/>
      <c r="M73" s="97"/>
      <c r="N73" s="97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L74" s="96"/>
      <c r="M74" s="97"/>
      <c r="N74" s="97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v>5714.2857142857147</v>
      </c>
      <c r="L75" s="96"/>
      <c r="M75" s="97"/>
      <c r="N75" s="97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v>6000</v>
      </c>
      <c r="L76" s="96"/>
      <c r="M76" s="97"/>
      <c r="N76" s="97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L77" s="96"/>
      <c r="M77" s="97"/>
      <c r="N77" s="97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7000</v>
      </c>
      <c r="G78" s="15">
        <v>10000</v>
      </c>
      <c r="H78" s="16">
        <v>9000</v>
      </c>
      <c r="I78" s="24">
        <v>10000</v>
      </c>
      <c r="J78" s="38">
        <v>8000</v>
      </c>
      <c r="K78" s="20">
        <v>8714.2857142857138</v>
      </c>
      <c r="L78" s="96"/>
      <c r="M78" s="97"/>
      <c r="N78" s="97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20000</v>
      </c>
      <c r="F79" s="15">
        <v>16000</v>
      </c>
      <c r="G79" s="15">
        <v>15000</v>
      </c>
      <c r="H79" s="16">
        <v>10000</v>
      </c>
      <c r="I79" s="24">
        <v>14000</v>
      </c>
      <c r="J79" s="38">
        <v>15000</v>
      </c>
      <c r="K79" s="20">
        <v>14571.428571428571</v>
      </c>
      <c r="L79" s="96"/>
      <c r="M79" s="97"/>
      <c r="N79" s="97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15000</v>
      </c>
      <c r="G80" s="15">
        <v>17000</v>
      </c>
      <c r="H80" s="16">
        <v>15000</v>
      </c>
      <c r="I80" s="16">
        <v>16000</v>
      </c>
      <c r="J80" s="38">
        <v>15000</v>
      </c>
      <c r="K80" s="20">
        <v>15428.571428571429</v>
      </c>
      <c r="L80" s="96"/>
      <c r="M80" s="97"/>
      <c r="N80" s="97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20000</v>
      </c>
      <c r="F81" s="15">
        <v>14000</v>
      </c>
      <c r="G81" s="15">
        <v>20000</v>
      </c>
      <c r="H81" s="16">
        <v>10000</v>
      </c>
      <c r="I81" s="51">
        <v>18000</v>
      </c>
      <c r="J81" s="38">
        <v>15000</v>
      </c>
      <c r="K81" s="20">
        <v>15428.571428571429</v>
      </c>
      <c r="L81" s="96"/>
      <c r="M81" s="97"/>
      <c r="N81" s="97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14000</v>
      </c>
      <c r="F82" s="15">
        <v>10000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v>11428.571428571429</v>
      </c>
      <c r="L82" s="96"/>
      <c r="M82" s="97"/>
      <c r="N82" s="97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v>9000</v>
      </c>
      <c r="L83" s="96"/>
      <c r="M83" s="97"/>
      <c r="N83" s="97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v>1916.6666666666667</v>
      </c>
      <c r="L84" s="96"/>
      <c r="M84" s="97"/>
      <c r="N84" s="97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v>1666.6666666666667</v>
      </c>
      <c r="L85" s="96"/>
      <c r="M85" s="97"/>
      <c r="N85" s="97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v>2000</v>
      </c>
      <c r="L86" s="96"/>
      <c r="M86" s="97"/>
      <c r="N86" s="97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L87" s="96"/>
      <c r="M87" s="97"/>
      <c r="N87" s="97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v>18000</v>
      </c>
      <c r="L88" s="96"/>
      <c r="M88" s="97"/>
      <c r="N88" s="97"/>
    </row>
    <row r="89" spans="1:14" ht="15.75" x14ac:dyDescent="0.25">
      <c r="A89" s="96"/>
      <c r="B89" s="96"/>
      <c r="C89" s="96"/>
      <c r="D89" s="96"/>
      <c r="E89" s="102"/>
      <c r="F89" s="96"/>
      <c r="G89" s="96"/>
      <c r="H89" s="96"/>
      <c r="I89" s="96"/>
      <c r="J89" s="103"/>
      <c r="K89" s="96"/>
      <c r="L89" s="96"/>
      <c r="M89" s="97"/>
      <c r="N89" s="97"/>
    </row>
    <row r="90" spans="1:14" ht="15.75" x14ac:dyDescent="0.25">
      <c r="A90" s="96"/>
      <c r="B90" s="85"/>
      <c r="C90" s="96"/>
      <c r="D90" s="96"/>
      <c r="E90" s="96"/>
      <c r="F90" s="96"/>
      <c r="G90" s="96"/>
      <c r="H90" s="96"/>
      <c r="I90" s="96"/>
      <c r="J90" s="103"/>
      <c r="K90" s="96"/>
      <c r="L90" s="96"/>
      <c r="M90" s="97"/>
      <c r="N90" s="97"/>
    </row>
    <row r="91" spans="1:14" ht="15.75" x14ac:dyDescent="0.25">
      <c r="A91" s="96"/>
      <c r="B91" s="96"/>
      <c r="C91" s="96"/>
      <c r="D91" s="96"/>
      <c r="E91" s="96"/>
      <c r="F91" s="96"/>
      <c r="G91" s="96"/>
      <c r="H91" s="96"/>
      <c r="I91" s="96"/>
      <c r="J91" s="103"/>
      <c r="K91" s="96"/>
      <c r="L91" s="96"/>
      <c r="M91" s="97"/>
      <c r="N91" s="97"/>
    </row>
    <row r="92" spans="1:14" ht="15.75" x14ac:dyDescent="0.25">
      <c r="A92" s="97"/>
      <c r="B92" s="97"/>
      <c r="C92" s="97"/>
      <c r="D92" s="101"/>
      <c r="E92" s="97"/>
      <c r="F92" s="97"/>
      <c r="G92" s="97"/>
      <c r="H92" s="97"/>
      <c r="I92" s="97"/>
      <c r="J92" s="100"/>
      <c r="K92" s="97"/>
      <c r="L92" s="97"/>
      <c r="M92" s="97"/>
      <c r="N92" s="97"/>
    </row>
  </sheetData>
  <mergeCells count="28"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  <mergeCell ref="A13:A15"/>
    <mergeCell ref="A7:A12"/>
    <mergeCell ref="A16:A17"/>
    <mergeCell ref="A19:A20"/>
    <mergeCell ref="A21:A2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7700-DCB1-446F-B100-FFCBEC3F0736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8.6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8.6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8.6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8.6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8.6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8.6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8.6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8.6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8.6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8.6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8.6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8.6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8.6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8.6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8.6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8.6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8.6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8.6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8.6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8.6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8.6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8.6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8.6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8.6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8.6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8.6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8.6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8.6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8.6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8.6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8.6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8.6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8.6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8.6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8.6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8.6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8.6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8.6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8.6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8.6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8.6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8.6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8.6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8.6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8.6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8.6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8.6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8.6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8.6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8.6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8.6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8.6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8.6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8.6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8.6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8.6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8.6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8.6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8.6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8.6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8.6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8.6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8.6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8.6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132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8800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8933.3333333333339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 t="s">
        <v>94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11375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20000</v>
      </c>
      <c r="J12" s="87">
        <v>17000</v>
      </c>
      <c r="K12" s="20">
        <f t="shared" si="0"/>
        <v>20600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13000</v>
      </c>
      <c r="H14" s="16">
        <v>13000</v>
      </c>
      <c r="I14" s="16">
        <v>13500</v>
      </c>
      <c r="J14" s="38">
        <v>13500</v>
      </c>
      <c r="K14" s="20">
        <f t="shared" si="0"/>
        <v>13285.714285714286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15571.428571428571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15000</v>
      </c>
      <c r="K17" s="20">
        <f t="shared" si="0"/>
        <v>15500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125000</v>
      </c>
      <c r="H22" s="16">
        <v>120000</v>
      </c>
      <c r="I22" s="51">
        <v>120000</v>
      </c>
      <c r="J22" s="52" t="s">
        <v>94</v>
      </c>
      <c r="K22" s="20">
        <f t="shared" si="0"/>
        <v>120833.33333333333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115000</v>
      </c>
      <c r="H23" s="16">
        <v>114000</v>
      </c>
      <c r="I23" s="23">
        <v>115000</v>
      </c>
      <c r="J23" s="38">
        <v>115000</v>
      </c>
      <c r="K23" s="20">
        <f t="shared" si="0"/>
        <v>112714.28571428571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33000</v>
      </c>
      <c r="E25" s="15">
        <v>32000</v>
      </c>
      <c r="F25" s="15">
        <v>33000</v>
      </c>
      <c r="G25" s="15">
        <v>33000</v>
      </c>
      <c r="H25" s="38">
        <v>33000</v>
      </c>
      <c r="I25" s="23">
        <v>33000</v>
      </c>
      <c r="J25" s="38">
        <v>33000</v>
      </c>
      <c r="K25" s="20">
        <f t="shared" si="0"/>
        <v>32857.142857142855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40000</v>
      </c>
      <c r="K27" s="20">
        <f t="shared" si="0"/>
        <v>39666.666666666664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25000</v>
      </c>
      <c r="G28" s="19">
        <v>35000</v>
      </c>
      <c r="H28" s="23">
        <v>23000</v>
      </c>
      <c r="I28" s="23">
        <v>29000</v>
      </c>
      <c r="J28" s="53">
        <v>30000</v>
      </c>
      <c r="K28" s="20">
        <f t="shared" si="0"/>
        <v>29571.428571428572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68000</v>
      </c>
      <c r="J29" s="25">
        <v>60000</v>
      </c>
      <c r="K29" s="20">
        <f t="shared" si="0"/>
        <v>65857.142857142855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35000</v>
      </c>
      <c r="K31" s="20">
        <f t="shared" si="0"/>
        <v>38428.571428571428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28000</v>
      </c>
      <c r="E34" s="15">
        <v>29000</v>
      </c>
      <c r="F34" s="15">
        <v>28000</v>
      </c>
      <c r="G34" s="15">
        <v>29000</v>
      </c>
      <c r="H34" s="16">
        <v>27000</v>
      </c>
      <c r="I34" s="16">
        <v>29000</v>
      </c>
      <c r="J34" s="38">
        <v>27000</v>
      </c>
      <c r="K34" s="20">
        <f t="shared" si="0"/>
        <v>28142.857142857141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2000</v>
      </c>
      <c r="H35" s="16">
        <v>2000</v>
      </c>
      <c r="I35" s="16">
        <v>2500</v>
      </c>
      <c r="J35" s="38">
        <v>3000</v>
      </c>
      <c r="K35" s="20">
        <f t="shared" si="0"/>
        <v>2385.7142857142858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26000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25428.571428571428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28000</v>
      </c>
      <c r="E64" s="15">
        <v>25000</v>
      </c>
      <c r="F64" s="15">
        <v>25000</v>
      </c>
      <c r="G64" s="15">
        <v>40000</v>
      </c>
      <c r="H64" s="16">
        <v>20000</v>
      </c>
      <c r="I64" s="16">
        <v>38000</v>
      </c>
      <c r="J64" s="38">
        <v>25000</v>
      </c>
      <c r="K64" s="20">
        <f t="shared" si="0"/>
        <v>28714.285714285714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25000</v>
      </c>
      <c r="G65" s="15">
        <v>40000</v>
      </c>
      <c r="H65" s="71" t="s">
        <v>94</v>
      </c>
      <c r="I65" s="51">
        <v>30000</v>
      </c>
      <c r="J65" s="52" t="s">
        <v>94</v>
      </c>
      <c r="K65" s="20">
        <f t="shared" si="0"/>
        <v>31000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25000</v>
      </c>
      <c r="E66" s="15">
        <v>25000</v>
      </c>
      <c r="F66" s="15">
        <v>30000</v>
      </c>
      <c r="G66" s="15">
        <v>30000</v>
      </c>
      <c r="H66" s="16">
        <v>20000</v>
      </c>
      <c r="I66" s="16">
        <v>30000</v>
      </c>
      <c r="J66" s="38">
        <v>25000</v>
      </c>
      <c r="K66" s="20">
        <f t="shared" si="0"/>
        <v>26428.571428571428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32000</v>
      </c>
      <c r="E70" s="15">
        <v>35000</v>
      </c>
      <c r="F70" s="15">
        <v>35000</v>
      </c>
      <c r="G70" s="15">
        <v>40000</v>
      </c>
      <c r="H70" s="16">
        <v>34000</v>
      </c>
      <c r="I70" s="16">
        <v>40000</v>
      </c>
      <c r="J70" s="38">
        <v>35000</v>
      </c>
      <c r="K70" s="20">
        <f t="shared" si="0"/>
        <v>35857.142857142855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30000</v>
      </c>
      <c r="F71" s="15">
        <v>30000</v>
      </c>
      <c r="G71" s="15">
        <v>35000</v>
      </c>
      <c r="H71" s="16">
        <v>30000</v>
      </c>
      <c r="I71" s="16">
        <v>35000</v>
      </c>
      <c r="J71" s="38">
        <v>28000</v>
      </c>
      <c r="K71" s="20">
        <f t="shared" si="0"/>
        <v>31428.571428571428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40000</v>
      </c>
      <c r="E72" s="15">
        <v>35000</v>
      </c>
      <c r="F72" s="15">
        <v>42000</v>
      </c>
      <c r="G72" s="15">
        <v>40000</v>
      </c>
      <c r="H72" s="16">
        <v>38000</v>
      </c>
      <c r="I72" s="16">
        <v>45000</v>
      </c>
      <c r="J72" s="38">
        <v>40000</v>
      </c>
      <c r="K72" s="20">
        <f t="shared" si="0"/>
        <v>40000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40000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40285.714285714283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8000</v>
      </c>
      <c r="G78" s="15">
        <v>10000</v>
      </c>
      <c r="H78" s="16">
        <v>9000</v>
      </c>
      <c r="I78" s="24">
        <v>8000</v>
      </c>
      <c r="J78" s="38">
        <v>8000</v>
      </c>
      <c r="K78" s="20">
        <f t="shared" si="0"/>
        <v>8571.4285714285706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20000</v>
      </c>
      <c r="F79" s="15">
        <v>15000</v>
      </c>
      <c r="G79" s="15">
        <v>15000</v>
      </c>
      <c r="H79" s="16">
        <v>10000</v>
      </c>
      <c r="I79" s="24">
        <v>14000</v>
      </c>
      <c r="J79" s="38">
        <v>15000</v>
      </c>
      <c r="K79" s="20">
        <f t="shared" si="0"/>
        <v>14428.571428571429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18000</v>
      </c>
      <c r="J80" s="38">
        <v>15000</v>
      </c>
      <c r="K80" s="20">
        <f t="shared" si="0"/>
        <v>15857.142857142857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20000</v>
      </c>
      <c r="F81" s="15">
        <v>16000</v>
      </c>
      <c r="G81" s="15">
        <v>20000</v>
      </c>
      <c r="H81" s="16">
        <v>10000</v>
      </c>
      <c r="I81" s="51">
        <v>18000</v>
      </c>
      <c r="J81" s="38">
        <v>15000</v>
      </c>
      <c r="K81" s="20">
        <f t="shared" ref="K81:K88" si="1">AVERAGE(D81:J81)</f>
        <v>15714.285714285714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14000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11714.285714285714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8833.3333333333339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A43:A45"/>
    <mergeCell ref="A46:A48"/>
    <mergeCell ref="A52:A53"/>
    <mergeCell ref="A54:A55"/>
    <mergeCell ref="A56:A60"/>
    <mergeCell ref="A16:A17"/>
    <mergeCell ref="A19:A20"/>
    <mergeCell ref="A21:A25"/>
    <mergeCell ref="A26:A32"/>
    <mergeCell ref="A33:A35"/>
    <mergeCell ref="I4:I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A9BC-81BF-4A4E-B8BB-61EB36C863E8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8.6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8.6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8.6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8.6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8.6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8.6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8.6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8.6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8.6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8.6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8.6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8.6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8.6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8.6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8.6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8.6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8.6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8.6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8.6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8.6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8.6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8.6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8.6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8.6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8.6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8.6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8.6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8.6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8.6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8.6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8.6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8.6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8.6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8.6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8.6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8.6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8.6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8.6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8.6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8.6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8.6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8.6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8.6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8.6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8.6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8.6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8.6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8.6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8.6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8.6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8.6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8.6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8.6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8.6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8.6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8.6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8.6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8.6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8.6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8.6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8.6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8.6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8.6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8.6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133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9000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9000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13000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11700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20000</v>
      </c>
      <c r="J12" s="87">
        <v>17000</v>
      </c>
      <c r="K12" s="20">
        <f t="shared" si="0"/>
        <v>20600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13500</v>
      </c>
      <c r="H14" s="16">
        <v>13000</v>
      </c>
      <c r="I14" s="16">
        <v>13500</v>
      </c>
      <c r="J14" s="38">
        <v>13500</v>
      </c>
      <c r="K14" s="20">
        <f t="shared" si="0"/>
        <v>13357.142857142857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15571.428571428571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16000</v>
      </c>
      <c r="K17" s="20">
        <f t="shared" si="0"/>
        <v>15642.857142857143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115000</v>
      </c>
      <c r="H23" s="16">
        <v>114000</v>
      </c>
      <c r="I23" s="23">
        <v>115000</v>
      </c>
      <c r="J23" s="38">
        <v>115000</v>
      </c>
      <c r="K23" s="20">
        <f t="shared" si="0"/>
        <v>112714.28571428571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33000</v>
      </c>
      <c r="E25" s="15">
        <v>32000</v>
      </c>
      <c r="F25" s="15">
        <v>34000</v>
      </c>
      <c r="G25" s="15">
        <v>31000</v>
      </c>
      <c r="H25" s="38">
        <v>33000</v>
      </c>
      <c r="I25" s="23">
        <v>33000</v>
      </c>
      <c r="J25" s="38">
        <v>34000</v>
      </c>
      <c r="K25" s="20">
        <f t="shared" si="0"/>
        <v>32857.142857142855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38833.333333333336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25000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29000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68000</v>
      </c>
      <c r="J29" s="25">
        <v>60000</v>
      </c>
      <c r="K29" s="20">
        <f t="shared" si="0"/>
        <v>65857.142857142855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40000</v>
      </c>
      <c r="K31" s="20">
        <f t="shared" si="0"/>
        <v>39142.857142857145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28000</v>
      </c>
      <c r="E34" s="15">
        <v>29000</v>
      </c>
      <c r="F34" s="15">
        <v>29000</v>
      </c>
      <c r="G34" s="15">
        <v>29000</v>
      </c>
      <c r="H34" s="16">
        <v>27000</v>
      </c>
      <c r="I34" s="16">
        <v>29000</v>
      </c>
      <c r="J34" s="38">
        <v>30000</v>
      </c>
      <c r="K34" s="20">
        <f t="shared" si="0"/>
        <v>28714.285714285714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2000</v>
      </c>
      <c r="H35" s="16">
        <v>2000</v>
      </c>
      <c r="I35" s="16">
        <v>2500</v>
      </c>
      <c r="J35" s="38">
        <v>3000</v>
      </c>
      <c r="K35" s="20">
        <f t="shared" si="0"/>
        <v>2385.7142857142858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15666.666666666666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26000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25428.571428571428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28000</v>
      </c>
      <c r="E64" s="15">
        <v>25000</v>
      </c>
      <c r="F64" s="15">
        <v>35000</v>
      </c>
      <c r="G64" s="15">
        <v>40000</v>
      </c>
      <c r="H64" s="16">
        <v>20000</v>
      </c>
      <c r="I64" s="16">
        <v>38000</v>
      </c>
      <c r="J64" s="38">
        <v>35000</v>
      </c>
      <c r="K64" s="20">
        <f t="shared" si="0"/>
        <v>31571.428571428572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40000</v>
      </c>
      <c r="G65" s="15">
        <v>40000</v>
      </c>
      <c r="H65" s="71" t="s">
        <v>94</v>
      </c>
      <c r="I65" s="51">
        <v>30000</v>
      </c>
      <c r="J65" s="52" t="s">
        <v>94</v>
      </c>
      <c r="K65" s="20">
        <f t="shared" si="0"/>
        <v>34000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25000</v>
      </c>
      <c r="E66" s="15">
        <v>25000</v>
      </c>
      <c r="F66" s="15">
        <v>30000</v>
      </c>
      <c r="G66" s="15">
        <v>30000</v>
      </c>
      <c r="H66" s="16">
        <v>20000</v>
      </c>
      <c r="I66" s="16">
        <v>30000</v>
      </c>
      <c r="J66" s="38">
        <v>30000</v>
      </c>
      <c r="K66" s="20">
        <f t="shared" si="0"/>
        <v>27142.857142857141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32000</v>
      </c>
      <c r="E70" s="15">
        <v>35000</v>
      </c>
      <c r="F70" s="15">
        <v>36000</v>
      </c>
      <c r="G70" s="15">
        <v>40000</v>
      </c>
      <c r="H70" s="16">
        <v>34000</v>
      </c>
      <c r="I70" s="16">
        <v>40000</v>
      </c>
      <c r="J70" s="38">
        <v>35000</v>
      </c>
      <c r="K70" s="20">
        <f t="shared" si="0"/>
        <v>36000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30000</v>
      </c>
      <c r="F71" s="15">
        <v>32000</v>
      </c>
      <c r="G71" s="15">
        <v>35000</v>
      </c>
      <c r="H71" s="16">
        <v>30000</v>
      </c>
      <c r="I71" s="16">
        <v>35000</v>
      </c>
      <c r="J71" s="38">
        <v>28000</v>
      </c>
      <c r="K71" s="20">
        <f t="shared" si="0"/>
        <v>31714.285714285714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42000</v>
      </c>
      <c r="E72" s="15">
        <v>35000</v>
      </c>
      <c r="F72" s="15">
        <v>43000</v>
      </c>
      <c r="G72" s="15">
        <v>40000</v>
      </c>
      <c r="H72" s="16">
        <v>38000</v>
      </c>
      <c r="I72" s="16">
        <v>46000</v>
      </c>
      <c r="J72" s="38">
        <v>35000</v>
      </c>
      <c r="K72" s="20">
        <f t="shared" si="0"/>
        <v>39857.142857142855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40000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40285.714285714283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8000</v>
      </c>
      <c r="G78" s="15">
        <v>10000</v>
      </c>
      <c r="H78" s="16">
        <v>9000</v>
      </c>
      <c r="I78" s="24">
        <v>8000</v>
      </c>
      <c r="J78" s="38">
        <v>7000</v>
      </c>
      <c r="K78" s="20">
        <f t="shared" si="0"/>
        <v>8428.5714285714294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20000</v>
      </c>
      <c r="F79" s="15">
        <v>15000</v>
      </c>
      <c r="G79" s="15">
        <v>15000</v>
      </c>
      <c r="H79" s="16">
        <v>10000</v>
      </c>
      <c r="I79" s="24">
        <v>14000</v>
      </c>
      <c r="J79" s="38">
        <v>15000</v>
      </c>
      <c r="K79" s="20">
        <f t="shared" si="0"/>
        <v>14428.571428571429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18000</v>
      </c>
      <c r="J80" s="38">
        <v>15000</v>
      </c>
      <c r="K80" s="20">
        <f t="shared" si="0"/>
        <v>15857.142857142857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20000</v>
      </c>
      <c r="F81" s="15">
        <v>16000</v>
      </c>
      <c r="G81" s="15">
        <v>20000</v>
      </c>
      <c r="H81" s="16">
        <v>10000</v>
      </c>
      <c r="I81" s="51">
        <v>18000</v>
      </c>
      <c r="J81" s="38">
        <v>15000</v>
      </c>
      <c r="K81" s="20">
        <f t="shared" ref="K81:K88" si="1">AVERAGE(D81:J81)</f>
        <v>15714.285714285714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14000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11714.285714285714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8833.3333333333339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  <mergeCell ref="A13:A15"/>
    <mergeCell ref="A7:A12"/>
    <mergeCell ref="A16:A17"/>
    <mergeCell ref="A19:A20"/>
    <mergeCell ref="A21:A2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DB74-AE00-4B7B-B18E-5BF94EFB264B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8.6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8.6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8.6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8.6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8.6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8.6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8.6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8.6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8.6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8.6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8.6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8.6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8.6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8.6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8.6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8.6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8.6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8.6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8.6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8.6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8.6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8.6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8.6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8.6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8.6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8.6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8.6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8.6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8.6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8.6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8.6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8.6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8.6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8.6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8.6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8.6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8.6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8.6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8.6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8.6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8.6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8.6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8.6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8.6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8.6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8.6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8.6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8.6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8.6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8.6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8.6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8.6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8.6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8.6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8.6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8.6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8.6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8.6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8.6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8.6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8.6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8.6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8.6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8.6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134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9000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9000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14000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11900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20000</v>
      </c>
      <c r="G12" s="19">
        <v>20000</v>
      </c>
      <c r="H12" s="23" t="s">
        <v>94</v>
      </c>
      <c r="I12" s="24">
        <v>20000</v>
      </c>
      <c r="J12" s="87">
        <v>17000</v>
      </c>
      <c r="K12" s="20">
        <f t="shared" si="0"/>
        <v>19800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13500</v>
      </c>
      <c r="H14" s="16">
        <v>13000</v>
      </c>
      <c r="I14" s="16">
        <v>13500</v>
      </c>
      <c r="J14" s="38">
        <v>13500</v>
      </c>
      <c r="K14" s="20">
        <f t="shared" si="0"/>
        <v>13357.142857142857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16000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15714.285714285714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16000</v>
      </c>
      <c r="K17" s="20">
        <f t="shared" si="0"/>
        <v>15642.857142857143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115000</v>
      </c>
      <c r="H23" s="16">
        <v>114000</v>
      </c>
      <c r="I23" s="23">
        <v>115000</v>
      </c>
      <c r="J23" s="38">
        <v>115000</v>
      </c>
      <c r="K23" s="20">
        <f t="shared" si="0"/>
        <v>112714.28571428571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100000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102142.85714285714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33000</v>
      </c>
      <c r="E25" s="15">
        <v>32000</v>
      </c>
      <c r="F25" s="15">
        <v>34000</v>
      </c>
      <c r="G25" s="15">
        <v>32000</v>
      </c>
      <c r="H25" s="38">
        <v>35000</v>
      </c>
      <c r="I25" s="23">
        <v>33000</v>
      </c>
      <c r="J25" s="38">
        <v>35000</v>
      </c>
      <c r="K25" s="20">
        <f t="shared" si="0"/>
        <v>33428.571428571428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>
        <v>35000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38285.714285714283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25000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29000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68000</v>
      </c>
      <c r="J29" s="25">
        <v>60000</v>
      </c>
      <c r="K29" s="20">
        <f t="shared" si="0"/>
        <v>65857.142857142855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35000</v>
      </c>
      <c r="G31" s="15">
        <v>45000</v>
      </c>
      <c r="H31" s="16">
        <v>28000</v>
      </c>
      <c r="I31" s="23">
        <v>40000</v>
      </c>
      <c r="J31" s="38">
        <v>40000</v>
      </c>
      <c r="K31" s="20">
        <f t="shared" si="0"/>
        <v>38428.571428571428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28000</v>
      </c>
      <c r="E34" s="15">
        <v>29000</v>
      </c>
      <c r="F34" s="15">
        <v>29000</v>
      </c>
      <c r="G34" s="15">
        <v>30000</v>
      </c>
      <c r="H34" s="16">
        <v>28000</v>
      </c>
      <c r="I34" s="16">
        <v>29000</v>
      </c>
      <c r="J34" s="38">
        <v>30000</v>
      </c>
      <c r="K34" s="20">
        <f t="shared" si="0"/>
        <v>29000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2500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2485.7142857142858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12500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11285.714285714286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20000</v>
      </c>
      <c r="H57" s="16">
        <v>13000</v>
      </c>
      <c r="I57" s="23">
        <v>16000</v>
      </c>
      <c r="J57" s="52" t="s">
        <v>94</v>
      </c>
      <c r="K57" s="20">
        <f t="shared" si="0"/>
        <v>15666.666666666666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26000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25428.571428571428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28000</v>
      </c>
      <c r="E64" s="15">
        <v>25000</v>
      </c>
      <c r="F64" s="15">
        <v>30000</v>
      </c>
      <c r="G64" s="15">
        <v>40000</v>
      </c>
      <c r="H64" s="16">
        <v>25000</v>
      </c>
      <c r="I64" s="16">
        <v>40000</v>
      </c>
      <c r="J64" s="38">
        <v>35000</v>
      </c>
      <c r="K64" s="20">
        <f t="shared" si="0"/>
        <v>31857.142857142859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25000</v>
      </c>
      <c r="G65" s="15">
        <v>40000</v>
      </c>
      <c r="H65" s="71" t="s">
        <v>94</v>
      </c>
      <c r="I65" s="51">
        <v>30000</v>
      </c>
      <c r="J65" s="52" t="s">
        <v>94</v>
      </c>
      <c r="K65" s="20">
        <f t="shared" si="0"/>
        <v>31000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25000</v>
      </c>
      <c r="E66" s="15">
        <v>25000</v>
      </c>
      <c r="F66" s="15">
        <v>30000</v>
      </c>
      <c r="G66" s="15">
        <v>30000</v>
      </c>
      <c r="H66" s="16">
        <v>25000</v>
      </c>
      <c r="I66" s="16">
        <v>35000</v>
      </c>
      <c r="J66" s="38">
        <v>30000</v>
      </c>
      <c r="K66" s="20">
        <f t="shared" si="0"/>
        <v>28571.428571428572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32000</v>
      </c>
      <c r="E70" s="15">
        <v>35000</v>
      </c>
      <c r="F70" s="15">
        <v>35000</v>
      </c>
      <c r="G70" s="15">
        <v>40000</v>
      </c>
      <c r="H70" s="16">
        <v>34000</v>
      </c>
      <c r="I70" s="16">
        <v>40000</v>
      </c>
      <c r="J70" s="38">
        <v>35000</v>
      </c>
      <c r="K70" s="20">
        <f t="shared" si="0"/>
        <v>35857.142857142855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30000</v>
      </c>
      <c r="F71" s="15">
        <v>32000</v>
      </c>
      <c r="G71" s="15">
        <v>35000</v>
      </c>
      <c r="H71" s="16">
        <v>30000</v>
      </c>
      <c r="I71" s="16">
        <v>40000</v>
      </c>
      <c r="J71" s="38">
        <v>28000</v>
      </c>
      <c r="K71" s="20">
        <f t="shared" si="0"/>
        <v>32428.571428571428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42000</v>
      </c>
      <c r="E72" s="15">
        <v>35000</v>
      </c>
      <c r="F72" s="15">
        <v>46000</v>
      </c>
      <c r="G72" s="15">
        <v>40000</v>
      </c>
      <c r="H72" s="16">
        <v>38000</v>
      </c>
      <c r="I72" s="16">
        <v>40000</v>
      </c>
      <c r="J72" s="38">
        <v>35000</v>
      </c>
      <c r="K72" s="20">
        <f t="shared" si="0"/>
        <v>39428.571428571428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40000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40285.714285714283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6000</v>
      </c>
      <c r="G78" s="15">
        <v>10000</v>
      </c>
      <c r="H78" s="16">
        <v>9000</v>
      </c>
      <c r="I78" s="24">
        <v>8000</v>
      </c>
      <c r="J78" s="38">
        <v>7000</v>
      </c>
      <c r="K78" s="20">
        <f t="shared" si="0"/>
        <v>8142.8571428571431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20000</v>
      </c>
      <c r="F79" s="15">
        <v>14000</v>
      </c>
      <c r="G79" s="15">
        <v>15000</v>
      </c>
      <c r="H79" s="16">
        <v>10000</v>
      </c>
      <c r="I79" s="24">
        <v>14000</v>
      </c>
      <c r="J79" s="38">
        <v>15000</v>
      </c>
      <c r="K79" s="20">
        <f t="shared" si="0"/>
        <v>14285.714285714286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18000</v>
      </c>
      <c r="J80" s="38">
        <v>15000</v>
      </c>
      <c r="K80" s="20">
        <f t="shared" si="0"/>
        <v>15857.142857142857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20000</v>
      </c>
      <c r="F81" s="15">
        <v>14000</v>
      </c>
      <c r="G81" s="15">
        <v>20000</v>
      </c>
      <c r="H81" s="16">
        <v>10000</v>
      </c>
      <c r="I81" s="51">
        <v>18000</v>
      </c>
      <c r="J81" s="38">
        <v>15000</v>
      </c>
      <c r="K81" s="20">
        <f t="shared" ref="K81:K88" si="1">AVERAGE(D81:J81)</f>
        <v>15428.571428571429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14000</v>
      </c>
      <c r="F82" s="15">
        <v>10000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11428.571428571429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9000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8833.3333333333339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A43:A45"/>
    <mergeCell ref="A46:A48"/>
    <mergeCell ref="A52:A53"/>
    <mergeCell ref="A54:A55"/>
    <mergeCell ref="A56:A60"/>
    <mergeCell ref="I4:I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A7:A12"/>
    <mergeCell ref="A16:A17"/>
    <mergeCell ref="A19:A20"/>
    <mergeCell ref="A21:A25"/>
    <mergeCell ref="A26:A32"/>
    <mergeCell ref="A33:A35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59A6-EB7D-41C0-8B15-214F592F6518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8.6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8.6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8.6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8.6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8.6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8.6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8.6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8.6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8.6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8.6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8.6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8.6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8.6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8.6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8.6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8.6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8.6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8.6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8.6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8.6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8.6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8.6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8.6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8.6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8.6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8.6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8.6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8.6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8.6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8.6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8.6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8.6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8.6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8.6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8.6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8.6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8.6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8.6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8.6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8.6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8.6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8.6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8.6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8.6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8.6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8.6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8.6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8.6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8.6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8.6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8.6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8.6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8.6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8.6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8.6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8.6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8.6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8.6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8.6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8.6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8.6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8.6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8.6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8.6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135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9000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9000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13000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11700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20000</v>
      </c>
      <c r="J12" s="87">
        <v>17000</v>
      </c>
      <c r="K12" s="20">
        <f t="shared" si="0"/>
        <v>20600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13500</v>
      </c>
      <c r="H14" s="16">
        <v>13000</v>
      </c>
      <c r="I14" s="16">
        <v>13500</v>
      </c>
      <c r="J14" s="38">
        <v>13500</v>
      </c>
      <c r="K14" s="20">
        <f t="shared" si="0"/>
        <v>13357.142857142857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15571.428571428571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16000</v>
      </c>
      <c r="K17" s="20">
        <f t="shared" si="0"/>
        <v>15642.857142857143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115000</v>
      </c>
      <c r="H23" s="16">
        <v>114000</v>
      </c>
      <c r="I23" s="23">
        <v>115000</v>
      </c>
      <c r="J23" s="38">
        <v>115000</v>
      </c>
      <c r="K23" s="20">
        <f t="shared" si="0"/>
        <v>112714.28571428571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34000</v>
      </c>
      <c r="E25" s="15">
        <v>34000</v>
      </c>
      <c r="F25" s="15">
        <v>34000</v>
      </c>
      <c r="G25" s="15">
        <v>32000</v>
      </c>
      <c r="H25" s="38">
        <v>35000</v>
      </c>
      <c r="I25" s="23">
        <v>33000</v>
      </c>
      <c r="J25" s="38">
        <v>35000</v>
      </c>
      <c r="K25" s="20">
        <f t="shared" si="0"/>
        <v>33857.142857142855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38833.333333333336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25000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29000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68000</v>
      </c>
      <c r="J29" s="25">
        <v>60000</v>
      </c>
      <c r="K29" s="20">
        <f t="shared" si="0"/>
        <v>65857.142857142855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40000</v>
      </c>
      <c r="K31" s="20">
        <f t="shared" si="0"/>
        <v>39142.857142857145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28000</v>
      </c>
      <c r="E34" s="15">
        <v>30000</v>
      </c>
      <c r="F34" s="15">
        <v>29000</v>
      </c>
      <c r="G34" s="15">
        <v>30000</v>
      </c>
      <c r="H34" s="16">
        <v>28000</v>
      </c>
      <c r="I34" s="16">
        <v>29000</v>
      </c>
      <c r="J34" s="38">
        <v>30000</v>
      </c>
      <c r="K34" s="20">
        <f t="shared" si="0"/>
        <v>29142.857142857141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26000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25428.571428571428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28000</v>
      </c>
      <c r="E64" s="15">
        <v>25000</v>
      </c>
      <c r="F64" s="15">
        <v>35000</v>
      </c>
      <c r="G64" s="15">
        <v>35000</v>
      </c>
      <c r="H64" s="16">
        <v>25000</v>
      </c>
      <c r="I64" s="16">
        <v>40000</v>
      </c>
      <c r="J64" s="38">
        <v>35000</v>
      </c>
      <c r="K64" s="20">
        <f t="shared" si="0"/>
        <v>31857.142857142859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25000</v>
      </c>
      <c r="G65" s="15">
        <v>40000</v>
      </c>
      <c r="H65" s="71" t="s">
        <v>94</v>
      </c>
      <c r="I65" s="51">
        <v>30000</v>
      </c>
      <c r="J65" s="52" t="s">
        <v>94</v>
      </c>
      <c r="K65" s="20">
        <f t="shared" si="0"/>
        <v>31000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30000</v>
      </c>
      <c r="E66" s="15">
        <v>25000</v>
      </c>
      <c r="F66" s="15">
        <v>32000</v>
      </c>
      <c r="G66" s="15">
        <v>30000</v>
      </c>
      <c r="H66" s="16">
        <v>25000</v>
      </c>
      <c r="I66" s="16">
        <v>35000</v>
      </c>
      <c r="J66" s="38">
        <v>30000</v>
      </c>
      <c r="K66" s="20">
        <f t="shared" si="0"/>
        <v>29571.428571428572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32000</v>
      </c>
      <c r="E70" s="15">
        <v>35000</v>
      </c>
      <c r="F70" s="15">
        <v>36000</v>
      </c>
      <c r="G70" s="15">
        <v>40000</v>
      </c>
      <c r="H70" s="16">
        <v>34000</v>
      </c>
      <c r="I70" s="16">
        <v>40000</v>
      </c>
      <c r="J70" s="38">
        <v>35000</v>
      </c>
      <c r="K70" s="20">
        <f t="shared" si="0"/>
        <v>36000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30000</v>
      </c>
      <c r="F71" s="15">
        <v>34000</v>
      </c>
      <c r="G71" s="15">
        <v>35000</v>
      </c>
      <c r="H71" s="16">
        <v>30000</v>
      </c>
      <c r="I71" s="16">
        <v>40000</v>
      </c>
      <c r="J71" s="38">
        <v>28000</v>
      </c>
      <c r="K71" s="20">
        <f t="shared" si="0"/>
        <v>32714.285714285714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40000</v>
      </c>
      <c r="E72" s="15">
        <v>35000</v>
      </c>
      <c r="F72" s="15">
        <v>45000</v>
      </c>
      <c r="G72" s="15">
        <v>40000</v>
      </c>
      <c r="H72" s="16">
        <v>38000</v>
      </c>
      <c r="I72" s="16">
        <v>40000</v>
      </c>
      <c r="J72" s="38">
        <v>35000</v>
      </c>
      <c r="K72" s="20">
        <f t="shared" si="0"/>
        <v>39000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40000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40285.714285714283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10000</v>
      </c>
      <c r="F78" s="15">
        <v>8000</v>
      </c>
      <c r="G78" s="15">
        <v>10000</v>
      </c>
      <c r="H78" s="16">
        <v>9000</v>
      </c>
      <c r="I78" s="24">
        <v>8000</v>
      </c>
      <c r="J78" s="38">
        <v>7000</v>
      </c>
      <c r="K78" s="20">
        <f t="shared" si="0"/>
        <v>8428.5714285714294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20000</v>
      </c>
      <c r="F79" s="15">
        <v>20000</v>
      </c>
      <c r="G79" s="15">
        <v>15000</v>
      </c>
      <c r="H79" s="16">
        <v>10000</v>
      </c>
      <c r="I79" s="24">
        <v>14000</v>
      </c>
      <c r="J79" s="38">
        <v>15000</v>
      </c>
      <c r="K79" s="20">
        <f t="shared" si="0"/>
        <v>15142.857142857143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18000</v>
      </c>
      <c r="J80" s="38">
        <v>15000</v>
      </c>
      <c r="K80" s="20">
        <f t="shared" si="0"/>
        <v>15857.142857142857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15000</v>
      </c>
      <c r="F81" s="15">
        <v>16000</v>
      </c>
      <c r="G81" s="15">
        <v>20000</v>
      </c>
      <c r="H81" s="16">
        <v>10000</v>
      </c>
      <c r="I81" s="51">
        <v>18000</v>
      </c>
      <c r="J81" s="38">
        <v>15000</v>
      </c>
      <c r="K81" s="20">
        <f t="shared" ref="K81:K88" si="1">AVERAGE(D81:J81)</f>
        <v>15000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14000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11714.285714285714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8000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8666.6666666666661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  <mergeCell ref="A13:A15"/>
    <mergeCell ref="A7:A12"/>
    <mergeCell ref="A16:A17"/>
    <mergeCell ref="A19:A20"/>
    <mergeCell ref="A21:A2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54AB-5B0B-404E-8176-C5DE6D58AAF4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8.6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8.6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8.6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8.6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8.6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8.6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8.6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8.6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8.6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8.6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8.6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8.6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8.6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8.6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8.6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8.6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8.6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8.6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8.6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8.6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8.6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8.6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8.6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8.6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8.6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8.6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8.6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8.6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8.6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8.6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8.6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8.6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8.6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8.6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8.6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8.6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8.6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8.6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8.6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8.6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8.6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8.6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8.6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8.6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8.6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8.6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8.6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8.6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8.6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8.6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8.6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8.6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8.6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8.6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8.6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8.6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8.6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8.6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8.6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8.6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8.6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8.6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8.6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8.6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136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9000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9000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13000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11700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20000</v>
      </c>
      <c r="J12" s="87">
        <v>17000</v>
      </c>
      <c r="K12" s="20">
        <f t="shared" si="0"/>
        <v>20600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13500</v>
      </c>
      <c r="H14" s="16">
        <v>13000</v>
      </c>
      <c r="I14" s="16">
        <v>13500</v>
      </c>
      <c r="J14" s="38">
        <v>13500</v>
      </c>
      <c r="K14" s="20">
        <f t="shared" si="0"/>
        <v>13357.142857142857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15571.428571428571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16000</v>
      </c>
      <c r="K17" s="20">
        <f t="shared" si="0"/>
        <v>15642.857142857143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115000</v>
      </c>
      <c r="H23" s="16">
        <v>114000</v>
      </c>
      <c r="I23" s="23">
        <v>115000</v>
      </c>
      <c r="J23" s="38">
        <v>115000</v>
      </c>
      <c r="K23" s="20">
        <f t="shared" si="0"/>
        <v>112714.28571428571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34000</v>
      </c>
      <c r="E25" s="15">
        <v>33000</v>
      </c>
      <c r="F25" s="15">
        <v>35000</v>
      </c>
      <c r="G25" s="15">
        <v>33000</v>
      </c>
      <c r="H25" s="38">
        <v>35000</v>
      </c>
      <c r="I25" s="23">
        <v>33000</v>
      </c>
      <c r="J25" s="38">
        <v>35000</v>
      </c>
      <c r="K25" s="20">
        <f t="shared" si="0"/>
        <v>34000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38833.333333333336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29714.285714285714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68000</v>
      </c>
      <c r="J29" s="25">
        <v>60000</v>
      </c>
      <c r="K29" s="20">
        <f t="shared" si="0"/>
        <v>65857.142857142855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40000</v>
      </c>
      <c r="K31" s="20">
        <f t="shared" si="0"/>
        <v>39142.857142857145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28000</v>
      </c>
      <c r="E34" s="15">
        <v>30000</v>
      </c>
      <c r="F34" s="15">
        <v>30000</v>
      </c>
      <c r="G34" s="15">
        <v>30000</v>
      </c>
      <c r="H34" s="16">
        <v>29000</v>
      </c>
      <c r="I34" s="16">
        <v>29000</v>
      </c>
      <c r="J34" s="38">
        <v>30000</v>
      </c>
      <c r="K34" s="20">
        <f t="shared" si="0"/>
        <v>29428.571428571428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25000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25285.714285714286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28000</v>
      </c>
      <c r="E64" s="15">
        <v>30000</v>
      </c>
      <c r="F64" s="15">
        <v>32000</v>
      </c>
      <c r="G64" s="15">
        <v>35000</v>
      </c>
      <c r="H64" s="16">
        <v>28000</v>
      </c>
      <c r="I64" s="16">
        <v>40000</v>
      </c>
      <c r="J64" s="38">
        <v>35000</v>
      </c>
      <c r="K64" s="20">
        <f t="shared" si="0"/>
        <v>32571.428571428572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25000</v>
      </c>
      <c r="F65" s="15">
        <v>30000</v>
      </c>
      <c r="G65" s="15">
        <v>40000</v>
      </c>
      <c r="H65" s="71" t="s">
        <v>94</v>
      </c>
      <c r="I65" s="51">
        <v>30000</v>
      </c>
      <c r="J65" s="52" t="s">
        <v>94</v>
      </c>
      <c r="K65" s="20">
        <f t="shared" si="0"/>
        <v>31000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30000</v>
      </c>
      <c r="E66" s="15">
        <v>30000</v>
      </c>
      <c r="F66" s="15">
        <v>35000</v>
      </c>
      <c r="G66" s="15">
        <v>30000</v>
      </c>
      <c r="H66" s="16">
        <v>28000</v>
      </c>
      <c r="I66" s="16">
        <v>35000</v>
      </c>
      <c r="J66" s="38">
        <v>30000</v>
      </c>
      <c r="K66" s="20">
        <f t="shared" si="0"/>
        <v>31142.857142857141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32000</v>
      </c>
      <c r="E70" s="15">
        <v>35000</v>
      </c>
      <c r="F70" s="15">
        <v>36000</v>
      </c>
      <c r="G70" s="15">
        <v>40000</v>
      </c>
      <c r="H70" s="16">
        <v>32000</v>
      </c>
      <c r="I70" s="16">
        <v>40000</v>
      </c>
      <c r="J70" s="38">
        <v>35000</v>
      </c>
      <c r="K70" s="20">
        <f t="shared" si="0"/>
        <v>35714.285714285717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34000</v>
      </c>
      <c r="F71" s="15">
        <v>34000</v>
      </c>
      <c r="G71" s="15">
        <v>35000</v>
      </c>
      <c r="H71" s="16">
        <v>28000</v>
      </c>
      <c r="I71" s="16">
        <v>40000</v>
      </c>
      <c r="J71" s="38">
        <v>28000</v>
      </c>
      <c r="K71" s="20">
        <f t="shared" si="0"/>
        <v>33000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40000</v>
      </c>
      <c r="E72" s="15">
        <v>35000</v>
      </c>
      <c r="F72" s="15">
        <v>45000</v>
      </c>
      <c r="G72" s="15">
        <v>40000</v>
      </c>
      <c r="H72" s="16">
        <v>32000</v>
      </c>
      <c r="I72" s="16">
        <v>40000</v>
      </c>
      <c r="J72" s="38">
        <v>35000</v>
      </c>
      <c r="K72" s="20">
        <f t="shared" si="0"/>
        <v>38142.857142857145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40000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40285.714285714283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7000</v>
      </c>
      <c r="F78" s="15">
        <v>8000</v>
      </c>
      <c r="G78" s="15">
        <v>10000</v>
      </c>
      <c r="H78" s="16">
        <v>9000</v>
      </c>
      <c r="I78" s="24">
        <v>8000</v>
      </c>
      <c r="J78" s="38">
        <v>7000</v>
      </c>
      <c r="K78" s="20">
        <f t="shared" si="0"/>
        <v>8000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18000</v>
      </c>
      <c r="F79" s="15">
        <v>20000</v>
      </c>
      <c r="G79" s="15">
        <v>15000</v>
      </c>
      <c r="H79" s="16">
        <v>10000</v>
      </c>
      <c r="I79" s="24">
        <v>14000</v>
      </c>
      <c r="J79" s="38">
        <v>15000</v>
      </c>
      <c r="K79" s="20">
        <f t="shared" si="0"/>
        <v>14857.142857142857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16000</v>
      </c>
      <c r="F80" s="15">
        <v>16000</v>
      </c>
      <c r="G80" s="15">
        <v>17000</v>
      </c>
      <c r="H80" s="16">
        <v>15000</v>
      </c>
      <c r="I80" s="16">
        <v>18000</v>
      </c>
      <c r="J80" s="38">
        <v>15000</v>
      </c>
      <c r="K80" s="20">
        <f t="shared" si="0"/>
        <v>16000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15000</v>
      </c>
      <c r="F81" s="15">
        <v>16000</v>
      </c>
      <c r="G81" s="15">
        <v>20000</v>
      </c>
      <c r="H81" s="16">
        <v>10000</v>
      </c>
      <c r="I81" s="51">
        <v>18000</v>
      </c>
      <c r="J81" s="38">
        <v>15000</v>
      </c>
      <c r="K81" s="20">
        <f t="shared" ref="K81:K88" si="1">AVERAGE(D81:J81)</f>
        <v>15000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12000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11428.571428571429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8000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8666.6666666666661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A21:A25"/>
    <mergeCell ref="A26:A32"/>
    <mergeCell ref="A33:A35"/>
    <mergeCell ref="A43:A45"/>
    <mergeCell ref="A46:A48"/>
    <mergeCell ref="A52:A53"/>
    <mergeCell ref="A54:A55"/>
    <mergeCell ref="A56:A60"/>
    <mergeCell ref="E4:E6"/>
    <mergeCell ref="F4:F6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J4:J6"/>
    <mergeCell ref="H4:H6"/>
    <mergeCell ref="A16:A17"/>
    <mergeCell ref="A7:A12"/>
    <mergeCell ref="A13:A15"/>
    <mergeCell ref="A19:A20"/>
    <mergeCell ref="D4:D6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1846-4AF0-41DC-8B3B-75D2E4824DD9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8.6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8.6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8.6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8.6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8.6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8.6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8.6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8.6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8.6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8.6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8.6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8.6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8.6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8.6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8.6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8.6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8.6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8.6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8.6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8.6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8.6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8.6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8.6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8.6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8.6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8.6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8.6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8.6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8.6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8.6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8.6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8.6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8.6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8.6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8.6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8.6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8.6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8.6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8.6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8.6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8.6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8.6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8.6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8.6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8.6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8.6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8.6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8.6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8.6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8.6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8.6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8.6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8.6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8.6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8.6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8.6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8.6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8.6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8.6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8.6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8.6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8.6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8.6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8.6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137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9000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9000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13000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11700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20000</v>
      </c>
      <c r="G12" s="19">
        <v>20000</v>
      </c>
      <c r="H12" s="23" t="s">
        <v>94</v>
      </c>
      <c r="I12" s="24">
        <v>20000</v>
      </c>
      <c r="J12" s="87">
        <v>17000</v>
      </c>
      <c r="K12" s="20">
        <f t="shared" si="0"/>
        <v>19800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13500</v>
      </c>
      <c r="H14" s="16">
        <v>13000</v>
      </c>
      <c r="I14" s="16">
        <v>13500</v>
      </c>
      <c r="J14" s="38">
        <v>13500</v>
      </c>
      <c r="K14" s="20">
        <f t="shared" si="0"/>
        <v>13357.142857142857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18000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16000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16000</v>
      </c>
      <c r="K17" s="20">
        <f t="shared" si="0"/>
        <v>15642.857142857143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115000</v>
      </c>
      <c r="H23" s="16">
        <v>114000</v>
      </c>
      <c r="I23" s="23">
        <v>115000</v>
      </c>
      <c r="J23" s="38">
        <v>115000</v>
      </c>
      <c r="K23" s="20">
        <f t="shared" si="0"/>
        <v>112714.28571428571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33000</v>
      </c>
      <c r="E25" s="15">
        <v>33000</v>
      </c>
      <c r="F25" s="15">
        <v>35000</v>
      </c>
      <c r="G25" s="15">
        <v>34000</v>
      </c>
      <c r="H25" s="38">
        <v>35000</v>
      </c>
      <c r="I25" s="23">
        <v>33000</v>
      </c>
      <c r="J25" s="38">
        <v>35000</v>
      </c>
      <c r="K25" s="20">
        <f t="shared" si="0"/>
        <v>34000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38833.333333333336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29714.285714285714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68000</v>
      </c>
      <c r="J29" s="25">
        <v>60000</v>
      </c>
      <c r="K29" s="20">
        <f t="shared" si="0"/>
        <v>65857.142857142855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40000</v>
      </c>
      <c r="K31" s="20">
        <f t="shared" si="0"/>
        <v>39142.857142857145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93000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91000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29000</v>
      </c>
      <c r="E34" s="15">
        <v>30000</v>
      </c>
      <c r="F34" s="15">
        <v>32000</v>
      </c>
      <c r="G34" s="15">
        <v>32000</v>
      </c>
      <c r="H34" s="16">
        <v>29000</v>
      </c>
      <c r="I34" s="16">
        <v>29000</v>
      </c>
      <c r="J34" s="38">
        <v>30000</v>
      </c>
      <c r="K34" s="20">
        <f t="shared" si="0"/>
        <v>30142.857142857141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20000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24571.428571428572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30000</v>
      </c>
      <c r="F64" s="15">
        <v>32000</v>
      </c>
      <c r="G64" s="15">
        <v>35000</v>
      </c>
      <c r="H64" s="16">
        <v>28000</v>
      </c>
      <c r="I64" s="16">
        <v>40000</v>
      </c>
      <c r="J64" s="38">
        <v>35000</v>
      </c>
      <c r="K64" s="20">
        <f t="shared" si="0"/>
        <v>32857.142857142855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25000</v>
      </c>
      <c r="E65" s="15">
        <v>25000</v>
      </c>
      <c r="F65" s="15">
        <v>30000</v>
      </c>
      <c r="G65" s="15">
        <v>40000</v>
      </c>
      <c r="H65" s="71" t="s">
        <v>94</v>
      </c>
      <c r="I65" s="51">
        <v>30000</v>
      </c>
      <c r="J65" s="52" t="s">
        <v>94</v>
      </c>
      <c r="K65" s="20">
        <f t="shared" si="0"/>
        <v>30000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30000</v>
      </c>
      <c r="E66" s="15">
        <v>30000</v>
      </c>
      <c r="F66" s="15">
        <v>35000</v>
      </c>
      <c r="G66" s="15">
        <v>30000</v>
      </c>
      <c r="H66" s="16">
        <v>28000</v>
      </c>
      <c r="I66" s="16">
        <v>35000</v>
      </c>
      <c r="J66" s="38">
        <v>30000</v>
      </c>
      <c r="K66" s="20">
        <f t="shared" si="0"/>
        <v>31142.857142857141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34000</v>
      </c>
      <c r="E70" s="15">
        <v>35000</v>
      </c>
      <c r="F70" s="15">
        <v>36000</v>
      </c>
      <c r="G70" s="15">
        <v>40000</v>
      </c>
      <c r="H70" s="16">
        <v>32000</v>
      </c>
      <c r="I70" s="16">
        <v>40000</v>
      </c>
      <c r="J70" s="38">
        <v>35000</v>
      </c>
      <c r="K70" s="20">
        <f t="shared" si="0"/>
        <v>36000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34000</v>
      </c>
      <c r="F71" s="15">
        <v>32000</v>
      </c>
      <c r="G71" s="15">
        <v>35000</v>
      </c>
      <c r="H71" s="16">
        <v>28000</v>
      </c>
      <c r="I71" s="16">
        <v>40000</v>
      </c>
      <c r="J71" s="38">
        <v>28000</v>
      </c>
      <c r="K71" s="20">
        <f t="shared" si="0"/>
        <v>32714.285714285714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35000</v>
      </c>
      <c r="E72" s="15">
        <v>35000</v>
      </c>
      <c r="F72" s="15">
        <v>45000</v>
      </c>
      <c r="G72" s="15">
        <v>40000</v>
      </c>
      <c r="H72" s="16">
        <v>32000</v>
      </c>
      <c r="I72" s="16">
        <v>40000</v>
      </c>
      <c r="J72" s="38">
        <v>35000</v>
      </c>
      <c r="K72" s="20">
        <f t="shared" si="0"/>
        <v>37428.571428571428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40000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40285.714285714283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7000</v>
      </c>
      <c r="F78" s="15">
        <v>7000</v>
      </c>
      <c r="G78" s="15">
        <v>10000</v>
      </c>
      <c r="H78" s="16">
        <v>9000</v>
      </c>
      <c r="I78" s="24">
        <v>8000</v>
      </c>
      <c r="J78" s="38">
        <v>7000</v>
      </c>
      <c r="K78" s="20">
        <f t="shared" si="0"/>
        <v>7857.1428571428569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18000</v>
      </c>
      <c r="F79" s="15">
        <v>18000</v>
      </c>
      <c r="G79" s="15">
        <v>15000</v>
      </c>
      <c r="H79" s="16">
        <v>10000</v>
      </c>
      <c r="I79" s="24">
        <v>14000</v>
      </c>
      <c r="J79" s="38">
        <v>15000</v>
      </c>
      <c r="K79" s="20">
        <f t="shared" si="0"/>
        <v>14571.428571428571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16000</v>
      </c>
      <c r="F80" s="15">
        <v>15000</v>
      </c>
      <c r="G80" s="15">
        <v>17000</v>
      </c>
      <c r="H80" s="16">
        <v>15000</v>
      </c>
      <c r="I80" s="16">
        <v>18000</v>
      </c>
      <c r="J80" s="38">
        <v>15000</v>
      </c>
      <c r="K80" s="20">
        <f t="shared" si="0"/>
        <v>15857.142857142857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15000</v>
      </c>
      <c r="F81" s="15">
        <v>12000</v>
      </c>
      <c r="G81" s="15">
        <v>20000</v>
      </c>
      <c r="H81" s="16">
        <v>10000</v>
      </c>
      <c r="I81" s="51">
        <v>18000</v>
      </c>
      <c r="J81" s="38">
        <v>15000</v>
      </c>
      <c r="K81" s="20">
        <f t="shared" ref="K81:K88" si="1">AVERAGE(D81:J81)</f>
        <v>14428.571428571429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12000</v>
      </c>
      <c r="F82" s="15">
        <v>10000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11142.857142857143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10000</v>
      </c>
      <c r="G83" s="19" t="s">
        <v>94</v>
      </c>
      <c r="H83" s="81">
        <v>9000</v>
      </c>
      <c r="I83" s="82">
        <v>10000</v>
      </c>
      <c r="J83" s="83">
        <v>8000</v>
      </c>
      <c r="K83" s="20">
        <f t="shared" si="1"/>
        <v>9000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J4:J6"/>
    <mergeCell ref="H4:H6"/>
    <mergeCell ref="A7:A12"/>
    <mergeCell ref="A13:A15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D4:D6"/>
    <mergeCell ref="E4:E6"/>
    <mergeCell ref="F4:F6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4062-2693-41C3-B097-F47CA014F996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8.6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8.6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8.6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8.6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8.6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8.6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8.6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8.6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8.6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8.6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8.6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8.6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8.6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8.6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8.6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8.6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8.6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8.6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8.6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8.6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8.6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8.6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8.6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8.6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8.6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8.6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8.6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8.6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8.6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8.6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8.6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8.6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8.6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8.6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8.6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8.6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8.6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8.6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8.6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8.6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8.6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8.6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8.6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8.6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8.6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8.6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8.6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8.6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8.6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8.6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8.6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8.6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8.6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8.6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8.6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8.6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8.6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8.6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8.6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8.6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8.6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8.6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8.6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8.6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138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9000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9000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13000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11700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20000</v>
      </c>
      <c r="G12" s="19">
        <v>20000</v>
      </c>
      <c r="H12" s="23" t="s">
        <v>94</v>
      </c>
      <c r="I12" s="24">
        <v>20000</v>
      </c>
      <c r="J12" s="87">
        <v>17000</v>
      </c>
      <c r="K12" s="20">
        <f t="shared" si="0"/>
        <v>19800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13500</v>
      </c>
      <c r="H14" s="16">
        <v>13000</v>
      </c>
      <c r="I14" s="16">
        <v>13500</v>
      </c>
      <c r="J14" s="38">
        <v>13500</v>
      </c>
      <c r="K14" s="20">
        <f t="shared" si="0"/>
        <v>13357.142857142857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18000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16000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16000</v>
      </c>
      <c r="K17" s="20">
        <f t="shared" si="0"/>
        <v>15642.857142857143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33000</v>
      </c>
      <c r="E25" s="15">
        <v>33000</v>
      </c>
      <c r="F25" s="15">
        <v>35000</v>
      </c>
      <c r="G25" s="15">
        <v>34000</v>
      </c>
      <c r="H25" s="38">
        <v>35000</v>
      </c>
      <c r="I25" s="23">
        <v>33000</v>
      </c>
      <c r="J25" s="38">
        <v>35000</v>
      </c>
      <c r="K25" s="20">
        <f t="shared" si="0"/>
        <v>34000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38833.333333333336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29714.285714285714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68000</v>
      </c>
      <c r="J29" s="25">
        <v>60000</v>
      </c>
      <c r="K29" s="20">
        <f t="shared" si="0"/>
        <v>65857.142857142855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40000</v>
      </c>
      <c r="K31" s="20">
        <f t="shared" si="0"/>
        <v>39142.857142857145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93000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91000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29000</v>
      </c>
      <c r="E34" s="15">
        <v>32000</v>
      </c>
      <c r="F34" s="15">
        <v>32000</v>
      </c>
      <c r="G34" s="15">
        <v>32000</v>
      </c>
      <c r="H34" s="16">
        <v>29000</v>
      </c>
      <c r="I34" s="16">
        <v>29000</v>
      </c>
      <c r="J34" s="38">
        <v>30000</v>
      </c>
      <c r="K34" s="20">
        <f t="shared" si="0"/>
        <v>30428.571428571428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6000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10285.714285714286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20000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24571.428571428572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30000</v>
      </c>
      <c r="F64" s="15">
        <v>32000</v>
      </c>
      <c r="G64" s="15">
        <v>35000</v>
      </c>
      <c r="H64" s="16">
        <v>28000</v>
      </c>
      <c r="I64" s="16">
        <v>40000</v>
      </c>
      <c r="J64" s="38">
        <v>35000</v>
      </c>
      <c r="K64" s="20">
        <f t="shared" si="0"/>
        <v>32857.142857142855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25000</v>
      </c>
      <c r="E65" s="15">
        <v>25000</v>
      </c>
      <c r="F65" s="15">
        <v>30000</v>
      </c>
      <c r="G65" s="15">
        <v>40000</v>
      </c>
      <c r="H65" s="71" t="s">
        <v>94</v>
      </c>
      <c r="I65" s="51">
        <v>30000</v>
      </c>
      <c r="J65" s="52" t="s">
        <v>94</v>
      </c>
      <c r="K65" s="20">
        <f t="shared" si="0"/>
        <v>30000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30000</v>
      </c>
      <c r="E66" s="15">
        <v>30000</v>
      </c>
      <c r="F66" s="15">
        <v>35000</v>
      </c>
      <c r="G66" s="15">
        <v>35000</v>
      </c>
      <c r="H66" s="16">
        <v>28000</v>
      </c>
      <c r="I66" s="16">
        <v>35000</v>
      </c>
      <c r="J66" s="38">
        <v>30000</v>
      </c>
      <c r="K66" s="20">
        <f t="shared" si="0"/>
        <v>31857.142857142859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34000</v>
      </c>
      <c r="E70" s="15">
        <v>35000</v>
      </c>
      <c r="F70" s="15">
        <v>36000</v>
      </c>
      <c r="G70" s="15">
        <v>40000</v>
      </c>
      <c r="H70" s="16">
        <v>32000</v>
      </c>
      <c r="I70" s="16">
        <v>40000</v>
      </c>
      <c r="J70" s="38">
        <v>35000</v>
      </c>
      <c r="K70" s="20">
        <f t="shared" si="0"/>
        <v>36000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34000</v>
      </c>
      <c r="F71" s="15">
        <v>32000</v>
      </c>
      <c r="G71" s="15">
        <v>35000</v>
      </c>
      <c r="H71" s="16">
        <v>28000</v>
      </c>
      <c r="I71" s="16">
        <v>40000</v>
      </c>
      <c r="J71" s="38">
        <v>28000</v>
      </c>
      <c r="K71" s="20">
        <f t="shared" si="0"/>
        <v>32714.285714285714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35000</v>
      </c>
      <c r="E72" s="15">
        <v>35000</v>
      </c>
      <c r="F72" s="15">
        <v>45000</v>
      </c>
      <c r="G72" s="15">
        <v>40000</v>
      </c>
      <c r="H72" s="16">
        <v>32000</v>
      </c>
      <c r="I72" s="16">
        <v>40000</v>
      </c>
      <c r="J72" s="38">
        <v>35000</v>
      </c>
      <c r="K72" s="20">
        <f t="shared" si="0"/>
        <v>37428.571428571428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40000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40285.714285714283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7000</v>
      </c>
      <c r="F78" s="15">
        <v>7000</v>
      </c>
      <c r="G78" s="15">
        <v>10000</v>
      </c>
      <c r="H78" s="16">
        <v>9000</v>
      </c>
      <c r="I78" s="24">
        <v>8000</v>
      </c>
      <c r="J78" s="38">
        <v>7000</v>
      </c>
      <c r="K78" s="20">
        <f t="shared" si="0"/>
        <v>7857.1428571428569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18000</v>
      </c>
      <c r="F79" s="15">
        <v>18000</v>
      </c>
      <c r="G79" s="15">
        <v>15000</v>
      </c>
      <c r="H79" s="16">
        <v>10000</v>
      </c>
      <c r="I79" s="24">
        <v>14000</v>
      </c>
      <c r="J79" s="38">
        <v>15000</v>
      </c>
      <c r="K79" s="20">
        <f t="shared" si="0"/>
        <v>14571.428571428571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16000</v>
      </c>
      <c r="F80" s="15">
        <v>15000</v>
      </c>
      <c r="G80" s="15">
        <v>17000</v>
      </c>
      <c r="H80" s="16">
        <v>15000</v>
      </c>
      <c r="I80" s="16">
        <v>18000</v>
      </c>
      <c r="J80" s="38">
        <v>15000</v>
      </c>
      <c r="K80" s="20">
        <f t="shared" si="0"/>
        <v>15857.142857142857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15000</v>
      </c>
      <c r="F81" s="15">
        <v>12000</v>
      </c>
      <c r="G81" s="15">
        <v>20000</v>
      </c>
      <c r="H81" s="16">
        <v>10000</v>
      </c>
      <c r="I81" s="51">
        <v>18000</v>
      </c>
      <c r="J81" s="38">
        <v>15000</v>
      </c>
      <c r="K81" s="20">
        <f t="shared" ref="K81:K88" si="1">AVERAGE(D81:J81)</f>
        <v>14428.571428571429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12000</v>
      </c>
      <c r="F82" s="15">
        <v>10000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11142.857142857143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10000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9142.8571428571431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A43:A45"/>
    <mergeCell ref="A46:A48"/>
    <mergeCell ref="A52:A53"/>
    <mergeCell ref="A54:A55"/>
    <mergeCell ref="A56:A60"/>
    <mergeCell ref="A16:A17"/>
    <mergeCell ref="A19:A20"/>
    <mergeCell ref="A21:A25"/>
    <mergeCell ref="A26:A32"/>
    <mergeCell ref="A33:A35"/>
    <mergeCell ref="I4:I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AC0B-7CF0-4138-8313-09721F8166DB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139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9000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9000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13000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11700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20000</v>
      </c>
      <c r="J12" s="87">
        <v>17000</v>
      </c>
      <c r="K12" s="20">
        <f t="shared" si="0"/>
        <v>20600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13500</v>
      </c>
      <c r="H14" s="16">
        <v>13000</v>
      </c>
      <c r="I14" s="16">
        <v>13500</v>
      </c>
      <c r="J14" s="38">
        <v>13500</v>
      </c>
      <c r="K14" s="20">
        <f t="shared" si="0"/>
        <v>13357.142857142857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16000</v>
      </c>
      <c r="J15" s="38">
        <v>16000</v>
      </c>
      <c r="K15" s="20">
        <f t="shared" si="0"/>
        <v>15571.428571428571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16000</v>
      </c>
      <c r="K17" s="20">
        <f t="shared" si="0"/>
        <v>15642.857142857143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34000</v>
      </c>
      <c r="E25" s="15">
        <v>34000</v>
      </c>
      <c r="F25" s="15">
        <v>34000</v>
      </c>
      <c r="G25" s="15">
        <v>34000</v>
      </c>
      <c r="H25" s="38">
        <v>35000</v>
      </c>
      <c r="I25" s="23">
        <v>36000</v>
      </c>
      <c r="J25" s="38">
        <v>35000</v>
      </c>
      <c r="K25" s="20">
        <f t="shared" si="0"/>
        <v>34571.428571428572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38833.333333333336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29714.285714285714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68000</v>
      </c>
      <c r="J29" s="25">
        <v>60000</v>
      </c>
      <c r="K29" s="20">
        <f t="shared" si="0"/>
        <v>65857.142857142855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40000</v>
      </c>
      <c r="K31" s="20">
        <f t="shared" si="0"/>
        <v>39142.857142857145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31000</v>
      </c>
      <c r="E34" s="15">
        <v>31000</v>
      </c>
      <c r="F34" s="15">
        <v>30000</v>
      </c>
      <c r="G34" s="15">
        <v>32000</v>
      </c>
      <c r="H34" s="16">
        <v>29000</v>
      </c>
      <c r="I34" s="16">
        <v>30000</v>
      </c>
      <c r="J34" s="38">
        <v>32000</v>
      </c>
      <c r="K34" s="20">
        <f t="shared" si="0"/>
        <v>30714.285714285714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25000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25285.714285714286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30000</v>
      </c>
      <c r="F64" s="15">
        <v>35000</v>
      </c>
      <c r="G64" s="15">
        <v>35000</v>
      </c>
      <c r="H64" s="16">
        <v>28000</v>
      </c>
      <c r="I64" s="16">
        <v>40000</v>
      </c>
      <c r="J64" s="38">
        <v>35000</v>
      </c>
      <c r="K64" s="20">
        <f t="shared" si="0"/>
        <v>33285.714285714283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25000</v>
      </c>
      <c r="E65" s="15">
        <v>25000</v>
      </c>
      <c r="F65" s="15">
        <v>30000</v>
      </c>
      <c r="G65" s="15">
        <v>40000</v>
      </c>
      <c r="H65" s="71" t="s">
        <v>94</v>
      </c>
      <c r="I65" s="51">
        <v>30000</v>
      </c>
      <c r="J65" s="52" t="s">
        <v>94</v>
      </c>
      <c r="K65" s="20">
        <f t="shared" si="0"/>
        <v>30000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30000</v>
      </c>
      <c r="E66" s="15">
        <v>30000</v>
      </c>
      <c r="F66" s="15">
        <v>35000</v>
      </c>
      <c r="G66" s="15">
        <v>35000</v>
      </c>
      <c r="H66" s="16">
        <v>28000</v>
      </c>
      <c r="I66" s="16">
        <v>35000</v>
      </c>
      <c r="J66" s="38">
        <v>30000</v>
      </c>
      <c r="K66" s="20">
        <f t="shared" si="0"/>
        <v>31857.142857142859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34000</v>
      </c>
      <c r="E70" s="15">
        <v>40000</v>
      </c>
      <c r="F70" s="15">
        <v>37000</v>
      </c>
      <c r="G70" s="15">
        <v>40000</v>
      </c>
      <c r="H70" s="16">
        <v>32000</v>
      </c>
      <c r="I70" s="16">
        <v>40000</v>
      </c>
      <c r="J70" s="38">
        <v>32000</v>
      </c>
      <c r="K70" s="20">
        <f t="shared" si="0"/>
        <v>36428.571428571428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35000</v>
      </c>
      <c r="F71" s="15">
        <v>34000</v>
      </c>
      <c r="G71" s="15">
        <v>35000</v>
      </c>
      <c r="H71" s="16">
        <v>28000</v>
      </c>
      <c r="I71" s="16">
        <v>40000</v>
      </c>
      <c r="J71" s="38">
        <v>28000</v>
      </c>
      <c r="K71" s="20">
        <f t="shared" si="0"/>
        <v>33142.857142857145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35000</v>
      </c>
      <c r="E72" s="15">
        <v>35000</v>
      </c>
      <c r="F72" s="15">
        <v>40000</v>
      </c>
      <c r="G72" s="15">
        <v>40000</v>
      </c>
      <c r="H72" s="16">
        <v>32000</v>
      </c>
      <c r="I72" s="16">
        <v>40000</v>
      </c>
      <c r="J72" s="38">
        <v>35000</v>
      </c>
      <c r="K72" s="20">
        <f t="shared" si="0"/>
        <v>36714.285714285717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50000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41714.285714285717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7000</v>
      </c>
      <c r="F78" s="15">
        <v>8000</v>
      </c>
      <c r="G78" s="15">
        <v>10000</v>
      </c>
      <c r="H78" s="16">
        <v>9000</v>
      </c>
      <c r="I78" s="24">
        <v>8000</v>
      </c>
      <c r="J78" s="38">
        <v>7000</v>
      </c>
      <c r="K78" s="20">
        <f t="shared" si="0"/>
        <v>8000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20000</v>
      </c>
      <c r="F79" s="15">
        <v>20000</v>
      </c>
      <c r="G79" s="15">
        <v>15000</v>
      </c>
      <c r="H79" s="16">
        <v>10000</v>
      </c>
      <c r="I79" s="24">
        <v>14000</v>
      </c>
      <c r="J79" s="38">
        <v>15000</v>
      </c>
      <c r="K79" s="20">
        <f t="shared" si="0"/>
        <v>15142.857142857143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18000</v>
      </c>
      <c r="F80" s="15">
        <v>16000</v>
      </c>
      <c r="G80" s="15">
        <v>17000</v>
      </c>
      <c r="H80" s="16">
        <v>15000</v>
      </c>
      <c r="I80" s="16">
        <v>18000</v>
      </c>
      <c r="J80" s="38">
        <v>15000</v>
      </c>
      <c r="K80" s="20">
        <f t="shared" si="0"/>
        <v>16285.714285714286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15000</v>
      </c>
      <c r="F81" s="15">
        <v>12000</v>
      </c>
      <c r="G81" s="15">
        <v>20000</v>
      </c>
      <c r="H81" s="16">
        <v>10000</v>
      </c>
      <c r="I81" s="51">
        <v>18000</v>
      </c>
      <c r="J81" s="38">
        <v>15000</v>
      </c>
      <c r="K81" s="20">
        <f t="shared" ref="K81:K88" si="1">AVERAGE(D81:J81)</f>
        <v>14428.571428571429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12000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11428.571428571429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10000</v>
      </c>
      <c r="F83" s="54">
        <v>8000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8857.1428571428569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A1:K1"/>
    <mergeCell ref="A2:K2"/>
    <mergeCell ref="A3:K3"/>
    <mergeCell ref="A4:A6"/>
    <mergeCell ref="B4:B6"/>
    <mergeCell ref="C4:C6"/>
    <mergeCell ref="F4:F6"/>
    <mergeCell ref="K4:K6"/>
    <mergeCell ref="J4:J6"/>
    <mergeCell ref="H4:H6"/>
    <mergeCell ref="I4:I6"/>
    <mergeCell ref="G4:G6"/>
    <mergeCell ref="D4:D6"/>
    <mergeCell ref="A7:A12"/>
    <mergeCell ref="A13:A15"/>
    <mergeCell ref="A16:A17"/>
    <mergeCell ref="E4:E6"/>
    <mergeCell ref="A19:A20"/>
    <mergeCell ref="A21:A25"/>
    <mergeCell ref="A54:A55"/>
    <mergeCell ref="A56:A60"/>
    <mergeCell ref="A26:A32"/>
    <mergeCell ref="A33:A35"/>
    <mergeCell ref="A43:A45"/>
    <mergeCell ref="A46:A48"/>
    <mergeCell ref="A52:A5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2B33-9CEA-4277-A1BC-EA793E714A2C}">
  <dimension ref="A1:N92"/>
  <sheetViews>
    <sheetView topLeftCell="A44" workbookViewId="0">
      <selection activeCell="A54"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140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9500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9166.6666666666661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13000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11700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22000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19800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13500</v>
      </c>
      <c r="H14" s="16">
        <v>13000</v>
      </c>
      <c r="I14" s="16">
        <v>13500</v>
      </c>
      <c r="J14" s="38">
        <v>13500</v>
      </c>
      <c r="K14" s="20">
        <f t="shared" si="0"/>
        <v>13357.142857142857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18000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16285.714285714286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16000</v>
      </c>
      <c r="K17" s="20">
        <f t="shared" si="0"/>
        <v>15642.857142857143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33000</v>
      </c>
      <c r="E25" s="15">
        <v>33000</v>
      </c>
      <c r="F25" s="15">
        <v>34000</v>
      </c>
      <c r="G25" s="15">
        <v>34000</v>
      </c>
      <c r="H25" s="38">
        <v>35000</v>
      </c>
      <c r="I25" s="23">
        <v>35000</v>
      </c>
      <c r="J25" s="38">
        <v>35000</v>
      </c>
      <c r="K25" s="20">
        <f t="shared" si="0"/>
        <v>34142.857142857145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38833.333333333336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29714.285714285714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42000</v>
      </c>
      <c r="J31" s="38">
        <v>40000</v>
      </c>
      <c r="K31" s="20">
        <f t="shared" si="0"/>
        <v>39428.571428571428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32000</v>
      </c>
      <c r="E34" s="15">
        <v>32000</v>
      </c>
      <c r="F34" s="15">
        <v>32000</v>
      </c>
      <c r="G34" s="15">
        <v>32000</v>
      </c>
      <c r="H34" s="16">
        <v>29000</v>
      </c>
      <c r="I34" s="16">
        <v>31000</v>
      </c>
      <c r="J34" s="38">
        <v>32000</v>
      </c>
      <c r="K34" s="20">
        <f t="shared" si="0"/>
        <v>31428.571428571428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13000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12416.666666666666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13000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12583.333333333334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24000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25142.857142857141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28000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28714.285714285714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35000</v>
      </c>
      <c r="F64" s="15">
        <v>35000</v>
      </c>
      <c r="G64" s="15">
        <v>35000</v>
      </c>
      <c r="H64" s="16">
        <v>28000</v>
      </c>
      <c r="I64" s="16">
        <v>40000</v>
      </c>
      <c r="J64" s="38">
        <v>35000</v>
      </c>
      <c r="K64" s="20">
        <f t="shared" si="0"/>
        <v>34000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25000</v>
      </c>
      <c r="E65" s="15">
        <v>30000</v>
      </c>
      <c r="F65" s="15">
        <v>30000</v>
      </c>
      <c r="G65" s="15">
        <v>40000</v>
      </c>
      <c r="H65" s="71" t="s">
        <v>94</v>
      </c>
      <c r="I65" s="51">
        <v>25000</v>
      </c>
      <c r="J65" s="52" t="s">
        <v>94</v>
      </c>
      <c r="K65" s="20">
        <f t="shared" si="0"/>
        <v>30000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30000</v>
      </c>
      <c r="E66" s="15">
        <v>35000</v>
      </c>
      <c r="F66" s="15">
        <v>35000</v>
      </c>
      <c r="G66" s="15">
        <v>35000</v>
      </c>
      <c r="H66" s="16">
        <v>28000</v>
      </c>
      <c r="I66" s="16">
        <v>35000</v>
      </c>
      <c r="J66" s="38">
        <v>30000</v>
      </c>
      <c r="K66" s="20">
        <f t="shared" si="0"/>
        <v>32571.428571428572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34000</v>
      </c>
      <c r="E70" s="15">
        <v>35000</v>
      </c>
      <c r="F70" s="15">
        <v>37000</v>
      </c>
      <c r="G70" s="15">
        <v>40000</v>
      </c>
      <c r="H70" s="16">
        <v>32000</v>
      </c>
      <c r="I70" s="16">
        <v>40000</v>
      </c>
      <c r="J70" s="38">
        <v>32000</v>
      </c>
      <c r="K70" s="20">
        <f t="shared" si="0"/>
        <v>35714.285714285717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34000</v>
      </c>
      <c r="F71" s="15">
        <v>34000</v>
      </c>
      <c r="G71" s="15">
        <v>35000</v>
      </c>
      <c r="H71" s="16">
        <v>28000</v>
      </c>
      <c r="I71" s="16">
        <v>35000</v>
      </c>
      <c r="J71" s="38">
        <v>28000</v>
      </c>
      <c r="K71" s="20">
        <f t="shared" si="0"/>
        <v>32285.714285714286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35000</v>
      </c>
      <c r="E72" s="15">
        <v>35000</v>
      </c>
      <c r="F72" s="15">
        <v>40000</v>
      </c>
      <c r="G72" s="15">
        <v>40000</v>
      </c>
      <c r="H72" s="16">
        <v>32000</v>
      </c>
      <c r="I72" s="16">
        <v>40000</v>
      </c>
      <c r="J72" s="38">
        <v>35000</v>
      </c>
      <c r="K72" s="20">
        <f t="shared" si="0"/>
        <v>36714.285714285717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41000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9000</v>
      </c>
      <c r="G78" s="15">
        <v>10000</v>
      </c>
      <c r="H78" s="16">
        <v>9000</v>
      </c>
      <c r="I78" s="24">
        <v>8000</v>
      </c>
      <c r="J78" s="38">
        <v>7000</v>
      </c>
      <c r="K78" s="20">
        <f t="shared" si="0"/>
        <v>8285.7142857142862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20000</v>
      </c>
      <c r="F79" s="15">
        <v>20000</v>
      </c>
      <c r="G79" s="15">
        <v>15000</v>
      </c>
      <c r="H79" s="16">
        <v>10000</v>
      </c>
      <c r="I79" s="24">
        <v>20000</v>
      </c>
      <c r="J79" s="38">
        <v>15000</v>
      </c>
      <c r="K79" s="20">
        <f t="shared" si="0"/>
        <v>16000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16000</v>
      </c>
      <c r="F80" s="15">
        <v>16000</v>
      </c>
      <c r="G80" s="15">
        <v>17000</v>
      </c>
      <c r="H80" s="16">
        <v>15000</v>
      </c>
      <c r="I80" s="16">
        <v>18000</v>
      </c>
      <c r="J80" s="38">
        <v>15000</v>
      </c>
      <c r="K80" s="20">
        <f t="shared" si="0"/>
        <v>16000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15000</v>
      </c>
      <c r="F81" s="15">
        <v>12000</v>
      </c>
      <c r="G81" s="15">
        <v>20000</v>
      </c>
      <c r="H81" s="16">
        <v>10000</v>
      </c>
      <c r="I81" s="51">
        <v>18000</v>
      </c>
      <c r="J81" s="38">
        <v>15000</v>
      </c>
      <c r="K81" s="20">
        <f t="shared" ref="K81:K88" si="1">AVERAGE(D81:J81)</f>
        <v>14428.571428571429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12000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11428.571428571429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12000</v>
      </c>
      <c r="F83" s="54">
        <v>8000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9142.8571428571431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A43:A45"/>
    <mergeCell ref="A46:A48"/>
    <mergeCell ref="A52:A53"/>
    <mergeCell ref="A54:A55"/>
    <mergeCell ref="A56:A60"/>
    <mergeCell ref="A1:K1"/>
    <mergeCell ref="A2:K2"/>
    <mergeCell ref="A3:K3"/>
    <mergeCell ref="A16:A17"/>
    <mergeCell ref="A4:A6"/>
    <mergeCell ref="B4:B6"/>
    <mergeCell ref="I4:I6"/>
    <mergeCell ref="G4:G6"/>
    <mergeCell ref="K4:K6"/>
    <mergeCell ref="A7:A12"/>
    <mergeCell ref="A13:A15"/>
    <mergeCell ref="D4:D6"/>
    <mergeCell ref="E4:E6"/>
    <mergeCell ref="F4:F6"/>
    <mergeCell ref="C4:C6"/>
    <mergeCell ref="J4:J6"/>
    <mergeCell ref="H4:H6"/>
    <mergeCell ref="A19:A20"/>
    <mergeCell ref="A21:A25"/>
    <mergeCell ref="A26:A32"/>
    <mergeCell ref="A33:A35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24A5-EA85-4C39-94A3-A580F5533CEF}">
  <dimension ref="A1:N92"/>
  <sheetViews>
    <sheetView topLeftCell="A36" workbookViewId="0">
      <selection activeCell="A46"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148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9500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9166.6666666666661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13000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11700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22000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19800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13500</v>
      </c>
      <c r="H14" s="16">
        <v>13000</v>
      </c>
      <c r="I14" s="16">
        <v>13500</v>
      </c>
      <c r="J14" s="38">
        <v>13500</v>
      </c>
      <c r="K14" s="20">
        <f t="shared" si="0"/>
        <v>13357.142857142857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20000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16571.428571428572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16000</v>
      </c>
      <c r="K17" s="20">
        <f t="shared" si="0"/>
        <v>15642.857142857143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20000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21500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33000</v>
      </c>
      <c r="E25" s="15">
        <v>33000</v>
      </c>
      <c r="F25" s="15">
        <v>34000</v>
      </c>
      <c r="G25" s="15">
        <v>34000</v>
      </c>
      <c r="H25" s="38">
        <v>37000</v>
      </c>
      <c r="I25" s="23">
        <v>35000</v>
      </c>
      <c r="J25" s="38">
        <v>35000</v>
      </c>
      <c r="K25" s="20">
        <f t="shared" si="0"/>
        <v>34428.571428571428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38833.333333333336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29714.285714285714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42000</v>
      </c>
      <c r="J31" s="38">
        <v>40000</v>
      </c>
      <c r="K31" s="20">
        <f t="shared" si="0"/>
        <v>39428.571428571428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32000</v>
      </c>
      <c r="E34" s="15">
        <v>32000</v>
      </c>
      <c r="F34" s="15">
        <v>32000</v>
      </c>
      <c r="G34" s="15">
        <v>32000</v>
      </c>
      <c r="H34" s="16">
        <v>30000</v>
      </c>
      <c r="I34" s="16">
        <v>30000</v>
      </c>
      <c r="J34" s="38">
        <v>30000</v>
      </c>
      <c r="K34" s="20">
        <f t="shared" si="0"/>
        <v>31142.857142857141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13000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12416.666666666666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13000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12583.333333333334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5500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4071.4285714285716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12500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11285.714285714286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24000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25142.857142857141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35000</v>
      </c>
      <c r="F64" s="15">
        <v>35000</v>
      </c>
      <c r="G64" s="15">
        <v>35000</v>
      </c>
      <c r="H64" s="16">
        <v>30000</v>
      </c>
      <c r="I64" s="16">
        <v>40000</v>
      </c>
      <c r="J64" s="38">
        <v>35000</v>
      </c>
      <c r="K64" s="20">
        <f t="shared" si="0"/>
        <v>34285.714285714283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25000</v>
      </c>
      <c r="E65" s="15">
        <v>30000</v>
      </c>
      <c r="F65" s="15">
        <v>30000</v>
      </c>
      <c r="G65" s="15">
        <v>40000</v>
      </c>
      <c r="H65" s="71" t="s">
        <v>94</v>
      </c>
      <c r="I65" s="51">
        <v>25000</v>
      </c>
      <c r="J65" s="52" t="s">
        <v>94</v>
      </c>
      <c r="K65" s="20">
        <f t="shared" si="0"/>
        <v>30000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30000</v>
      </c>
      <c r="E66" s="15">
        <v>35000</v>
      </c>
      <c r="F66" s="15">
        <v>32000</v>
      </c>
      <c r="G66" s="15">
        <v>35000</v>
      </c>
      <c r="H66" s="16">
        <v>30000</v>
      </c>
      <c r="I66" s="16">
        <v>35000</v>
      </c>
      <c r="J66" s="38">
        <v>32000</v>
      </c>
      <c r="K66" s="20">
        <f t="shared" si="0"/>
        <v>32714.285714285714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34000</v>
      </c>
      <c r="E70" s="15">
        <v>35000</v>
      </c>
      <c r="F70" s="15">
        <v>35000</v>
      </c>
      <c r="G70" s="15">
        <v>40000</v>
      </c>
      <c r="H70" s="16">
        <v>32000</v>
      </c>
      <c r="I70" s="16">
        <v>40000</v>
      </c>
      <c r="J70" s="38">
        <v>35000</v>
      </c>
      <c r="K70" s="20">
        <f t="shared" si="0"/>
        <v>35857.142857142855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34000</v>
      </c>
      <c r="F71" s="15">
        <v>32000</v>
      </c>
      <c r="G71" s="15">
        <v>35000</v>
      </c>
      <c r="H71" s="16">
        <v>29000</v>
      </c>
      <c r="I71" s="16">
        <v>35000</v>
      </c>
      <c r="J71" s="38">
        <v>28000</v>
      </c>
      <c r="K71" s="20">
        <f t="shared" si="0"/>
        <v>32142.857142857141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35000</v>
      </c>
      <c r="E72" s="15">
        <v>35000</v>
      </c>
      <c r="F72" s="15">
        <v>44000</v>
      </c>
      <c r="G72" s="15">
        <v>40000</v>
      </c>
      <c r="H72" s="16">
        <v>30000</v>
      </c>
      <c r="I72" s="16">
        <v>40000</v>
      </c>
      <c r="J72" s="38">
        <v>40000</v>
      </c>
      <c r="K72" s="20">
        <f t="shared" si="0"/>
        <v>37714.285714285717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41000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6000</v>
      </c>
      <c r="G78" s="15">
        <v>10000</v>
      </c>
      <c r="H78" s="16">
        <v>9000</v>
      </c>
      <c r="I78" s="24">
        <v>8000</v>
      </c>
      <c r="J78" s="38">
        <v>7000</v>
      </c>
      <c r="K78" s="20">
        <f t="shared" si="0"/>
        <v>7857.1428571428569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20000</v>
      </c>
      <c r="F79" s="15">
        <v>20000</v>
      </c>
      <c r="G79" s="15">
        <v>15000</v>
      </c>
      <c r="H79" s="16">
        <v>10000</v>
      </c>
      <c r="I79" s="24">
        <v>20000</v>
      </c>
      <c r="J79" s="38">
        <v>15000</v>
      </c>
      <c r="K79" s="20">
        <f t="shared" si="0"/>
        <v>16000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16000</v>
      </c>
      <c r="F80" s="15">
        <v>16000</v>
      </c>
      <c r="G80" s="15">
        <v>17000</v>
      </c>
      <c r="H80" s="16">
        <v>15000</v>
      </c>
      <c r="I80" s="16">
        <v>18000</v>
      </c>
      <c r="J80" s="38">
        <v>15000</v>
      </c>
      <c r="K80" s="20">
        <f t="shared" si="0"/>
        <v>16000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15000</v>
      </c>
      <c r="F81" s="15">
        <v>12000</v>
      </c>
      <c r="G81" s="15">
        <v>20000</v>
      </c>
      <c r="H81" s="16">
        <v>9000</v>
      </c>
      <c r="I81" s="51">
        <v>18000</v>
      </c>
      <c r="J81" s="38">
        <v>15000</v>
      </c>
      <c r="K81" s="20">
        <f t="shared" ref="K81:K88" si="1">AVERAGE(D81:J81)</f>
        <v>14285.714285714286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12000</v>
      </c>
      <c r="F82" s="15">
        <v>10000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11142.857142857143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12000</v>
      </c>
      <c r="F83" s="54">
        <v>8000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9142.8571428571431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56:A60"/>
    <mergeCell ref="A63:A66"/>
    <mergeCell ref="A69:A73"/>
    <mergeCell ref="A21:A25"/>
    <mergeCell ref="A26:A32"/>
    <mergeCell ref="A33:A35"/>
    <mergeCell ref="A43:A45"/>
    <mergeCell ref="A46:A48"/>
    <mergeCell ref="A52:A53"/>
    <mergeCell ref="A54:A55"/>
    <mergeCell ref="E4:E6"/>
    <mergeCell ref="A1:K1"/>
    <mergeCell ref="A2:K2"/>
    <mergeCell ref="A3:K3"/>
    <mergeCell ref="A4:A6"/>
    <mergeCell ref="B4:B6"/>
    <mergeCell ref="C4:C6"/>
    <mergeCell ref="K4:K6"/>
    <mergeCell ref="F4:F6"/>
    <mergeCell ref="J4:J6"/>
    <mergeCell ref="H4:H6"/>
    <mergeCell ref="I4:I6"/>
    <mergeCell ref="G4:G6"/>
    <mergeCell ref="A19:A20"/>
    <mergeCell ref="A7:A12"/>
    <mergeCell ref="A13:A15"/>
    <mergeCell ref="A16:A17"/>
    <mergeCell ref="D4:D6"/>
  </mergeCells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F646-9A39-403B-9859-586BE9A2A94A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141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9500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9166.6666666666661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13000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11700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22000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19800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13500</v>
      </c>
      <c r="H14" s="16">
        <v>13000</v>
      </c>
      <c r="I14" s="16">
        <v>13500</v>
      </c>
      <c r="J14" s="38">
        <v>13500</v>
      </c>
      <c r="K14" s="20">
        <f t="shared" si="0"/>
        <v>13357.142857142857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20000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16571.428571428572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16000</v>
      </c>
      <c r="K17" s="20">
        <f t="shared" si="0"/>
        <v>15642.857142857143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20000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21500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33000</v>
      </c>
      <c r="E25" s="15">
        <v>33000</v>
      </c>
      <c r="F25" s="15">
        <v>34000</v>
      </c>
      <c r="G25" s="15">
        <v>33000</v>
      </c>
      <c r="H25" s="38">
        <v>37000</v>
      </c>
      <c r="I25" s="23">
        <v>35000</v>
      </c>
      <c r="J25" s="38">
        <v>37000</v>
      </c>
      <c r="K25" s="20">
        <f t="shared" si="0"/>
        <v>34571.428571428572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38000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38833.333333333336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30000</v>
      </c>
      <c r="F28" s="15">
        <v>30000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29714.285714285714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36000</v>
      </c>
      <c r="F31" s="15">
        <v>40000</v>
      </c>
      <c r="G31" s="15">
        <v>45000</v>
      </c>
      <c r="H31" s="16">
        <v>28000</v>
      </c>
      <c r="I31" s="23">
        <v>42000</v>
      </c>
      <c r="J31" s="38">
        <v>40000</v>
      </c>
      <c r="K31" s="20">
        <f t="shared" si="0"/>
        <v>39428.571428571428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32000</v>
      </c>
      <c r="E34" s="15">
        <v>32000</v>
      </c>
      <c r="F34" s="15">
        <v>32000</v>
      </c>
      <c r="G34" s="15">
        <v>30000</v>
      </c>
      <c r="H34" s="16">
        <v>30000</v>
      </c>
      <c r="I34" s="16">
        <v>30000</v>
      </c>
      <c r="J34" s="38">
        <v>30000</v>
      </c>
      <c r="K34" s="20">
        <f t="shared" si="0"/>
        <v>30857.142857142859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13000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12416.666666666666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13000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12583.333333333334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5500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4071.4285714285716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12500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11285.714285714286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24000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25142.857142857141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35000</v>
      </c>
      <c r="F64" s="15">
        <v>35000</v>
      </c>
      <c r="G64" s="15">
        <v>35000</v>
      </c>
      <c r="H64" s="16">
        <v>30000</v>
      </c>
      <c r="I64" s="16">
        <v>40000</v>
      </c>
      <c r="J64" s="38">
        <v>35000</v>
      </c>
      <c r="K64" s="20">
        <f t="shared" si="0"/>
        <v>34285.714285714283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25000</v>
      </c>
      <c r="E65" s="15">
        <v>30000</v>
      </c>
      <c r="F65" s="15">
        <v>30000</v>
      </c>
      <c r="G65" s="15">
        <v>40000</v>
      </c>
      <c r="H65" s="71" t="s">
        <v>94</v>
      </c>
      <c r="I65" s="51">
        <v>25000</v>
      </c>
      <c r="J65" s="52" t="s">
        <v>94</v>
      </c>
      <c r="K65" s="20">
        <f t="shared" si="0"/>
        <v>30000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30000</v>
      </c>
      <c r="E66" s="15">
        <v>35000</v>
      </c>
      <c r="F66" s="15">
        <v>30000</v>
      </c>
      <c r="G66" s="15">
        <v>35000</v>
      </c>
      <c r="H66" s="16">
        <v>30000</v>
      </c>
      <c r="I66" s="16">
        <v>35000</v>
      </c>
      <c r="J66" s="38">
        <v>32000</v>
      </c>
      <c r="K66" s="20">
        <f t="shared" si="0"/>
        <v>32428.571428571428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34000</v>
      </c>
      <c r="E70" s="15">
        <v>35000</v>
      </c>
      <c r="F70" s="15">
        <v>35000</v>
      </c>
      <c r="G70" s="15">
        <v>40000</v>
      </c>
      <c r="H70" s="16">
        <v>32000</v>
      </c>
      <c r="I70" s="16">
        <v>40000</v>
      </c>
      <c r="J70" s="38">
        <v>35000</v>
      </c>
      <c r="K70" s="20">
        <f t="shared" si="0"/>
        <v>35857.142857142855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34000</v>
      </c>
      <c r="F71" s="15">
        <v>32000</v>
      </c>
      <c r="G71" s="15">
        <v>35000</v>
      </c>
      <c r="H71" s="16">
        <v>29000</v>
      </c>
      <c r="I71" s="16">
        <v>35000</v>
      </c>
      <c r="J71" s="38">
        <v>28000</v>
      </c>
      <c r="K71" s="20">
        <f t="shared" si="0"/>
        <v>32142.857142857141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35000</v>
      </c>
      <c r="E72" s="15">
        <v>35000</v>
      </c>
      <c r="F72" s="15">
        <v>44000</v>
      </c>
      <c r="G72" s="15">
        <v>40000</v>
      </c>
      <c r="H72" s="16">
        <v>30000</v>
      </c>
      <c r="I72" s="16">
        <v>40000</v>
      </c>
      <c r="J72" s="38">
        <v>40000</v>
      </c>
      <c r="K72" s="20">
        <f t="shared" si="0"/>
        <v>37714.285714285717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41000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6000</v>
      </c>
      <c r="G78" s="15">
        <v>10000</v>
      </c>
      <c r="H78" s="16">
        <v>9000</v>
      </c>
      <c r="I78" s="24">
        <v>8000</v>
      </c>
      <c r="J78" s="38">
        <v>7000</v>
      </c>
      <c r="K78" s="20">
        <f t="shared" si="0"/>
        <v>7857.1428571428569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20000</v>
      </c>
      <c r="F79" s="15">
        <v>20000</v>
      </c>
      <c r="G79" s="15">
        <v>15000</v>
      </c>
      <c r="H79" s="16">
        <v>10000</v>
      </c>
      <c r="I79" s="24">
        <v>20000</v>
      </c>
      <c r="J79" s="38">
        <v>15000</v>
      </c>
      <c r="K79" s="20">
        <f t="shared" si="0"/>
        <v>16000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16000</v>
      </c>
      <c r="F80" s="15">
        <v>16000</v>
      </c>
      <c r="G80" s="15">
        <v>17000</v>
      </c>
      <c r="H80" s="16">
        <v>15000</v>
      </c>
      <c r="I80" s="16">
        <v>18000</v>
      </c>
      <c r="J80" s="38">
        <v>15000</v>
      </c>
      <c r="K80" s="20">
        <f t="shared" si="0"/>
        <v>16000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15000</v>
      </c>
      <c r="F81" s="15">
        <v>12000</v>
      </c>
      <c r="G81" s="15">
        <v>20000</v>
      </c>
      <c r="H81" s="16">
        <v>9000</v>
      </c>
      <c r="I81" s="51">
        <v>18000</v>
      </c>
      <c r="J81" s="38">
        <v>15000</v>
      </c>
      <c r="K81" s="20">
        <f t="shared" ref="K81:K88" si="1">AVERAGE(D81:J81)</f>
        <v>14285.714285714286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12000</v>
      </c>
      <c r="F82" s="15">
        <v>10000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11142.857142857143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12000</v>
      </c>
      <c r="F83" s="54">
        <v>8000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9142.8571428571431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  <mergeCell ref="A13:A15"/>
    <mergeCell ref="A7:A12"/>
    <mergeCell ref="A16:A17"/>
    <mergeCell ref="A19:A20"/>
    <mergeCell ref="A21:A2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</mergeCells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47D9-B8EE-4341-A4F4-C021296EA96C}">
  <dimension ref="A1:N92"/>
  <sheetViews>
    <sheetView workbookViewId="0">
      <selection sqref="A1:XFD1048576"/>
    </sheetView>
  </sheetViews>
  <sheetFormatPr defaultColWidth="9.125" defaultRowHeight="15" x14ac:dyDescent="0.25"/>
  <cols>
    <col min="1" max="1" width="3.375" customWidth="1"/>
    <col min="2" max="2" width="39.125" customWidth="1"/>
    <col min="3" max="3" width="12.125" customWidth="1"/>
    <col min="4" max="4" width="15.25" style="125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121"/>
      <c r="N1" s="121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121"/>
      <c r="N2" s="121"/>
    </row>
    <row r="3" spans="1:14" ht="27.75" customHeight="1" thickBot="1" x14ac:dyDescent="0.3">
      <c r="A3" s="163" t="s">
        <v>142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121"/>
      <c r="N3" s="121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121"/>
      <c r="N4" s="121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121"/>
      <c r="N5" s="121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121"/>
      <c r="N6" s="121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121"/>
      <c r="N7" s="121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22"/>
      <c r="N8" s="121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9500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9166.6666666666661</v>
      </c>
      <c r="M9" s="121"/>
      <c r="N9" s="121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13000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11700</v>
      </c>
      <c r="M10" s="121"/>
      <c r="N10" s="121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 t="shared" si="0"/>
        <v>10600</v>
      </c>
      <c r="M11" s="121"/>
      <c r="N11" s="121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20200</v>
      </c>
      <c r="M12" s="121"/>
      <c r="N12" s="121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121"/>
      <c r="N13" s="123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14000</v>
      </c>
      <c r="G14" s="15">
        <v>13500</v>
      </c>
      <c r="H14" s="16">
        <v>13500</v>
      </c>
      <c r="I14" s="16">
        <v>13500</v>
      </c>
      <c r="J14" s="38">
        <v>13500</v>
      </c>
      <c r="K14" s="20">
        <f t="shared" si="0"/>
        <v>13500</v>
      </c>
      <c r="M14" s="121"/>
      <c r="N14" s="121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15857.142857142857</v>
      </c>
      <c r="M15" s="121"/>
      <c r="N15" s="121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121"/>
      <c r="N16" s="121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16000</v>
      </c>
      <c r="K17" s="20">
        <f t="shared" si="0"/>
        <v>15642.857142857143</v>
      </c>
      <c r="M17" s="121"/>
      <c r="N17" s="121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121"/>
      <c r="N18" s="121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121"/>
      <c r="N19" s="121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121"/>
      <c r="N20" s="121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121"/>
      <c r="N21" s="121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121"/>
      <c r="N22" s="121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121"/>
      <c r="N23" s="121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121"/>
      <c r="N24" s="121"/>
    </row>
    <row r="25" spans="1:14" ht="15.75" x14ac:dyDescent="0.25">
      <c r="A25" s="160"/>
      <c r="B25" s="13" t="s">
        <v>18</v>
      </c>
      <c r="C25" s="14" t="s">
        <v>5</v>
      </c>
      <c r="D25" s="21">
        <v>33000</v>
      </c>
      <c r="E25" s="15">
        <v>34000</v>
      </c>
      <c r="F25" s="15">
        <v>35000</v>
      </c>
      <c r="G25" s="15">
        <v>33000</v>
      </c>
      <c r="H25" s="38">
        <v>35000</v>
      </c>
      <c r="I25" s="23">
        <v>35000</v>
      </c>
      <c r="J25" s="38">
        <v>37000</v>
      </c>
      <c r="K25" s="20">
        <f t="shared" si="0"/>
        <v>34571.428571428572</v>
      </c>
      <c r="M25" s="121"/>
      <c r="N25" s="121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121"/>
      <c r="N26" s="121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40000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39166.666666666664</v>
      </c>
      <c r="M27" s="121"/>
      <c r="N27" s="121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28000</v>
      </c>
      <c r="F28" s="15">
        <v>28000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29142.857142857141</v>
      </c>
      <c r="L28" t="s">
        <v>95</v>
      </c>
      <c r="M28" s="121"/>
      <c r="N28" s="121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121"/>
      <c r="N29" s="121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121"/>
      <c r="N30" s="121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35000</v>
      </c>
      <c r="F31" s="15">
        <v>40000</v>
      </c>
      <c r="G31" s="15">
        <v>45000</v>
      </c>
      <c r="H31" s="16">
        <v>28000</v>
      </c>
      <c r="I31" s="23">
        <v>42000</v>
      </c>
      <c r="J31" s="38">
        <v>40000</v>
      </c>
      <c r="K31" s="20">
        <f t="shared" si="0"/>
        <v>39285.714285714283</v>
      </c>
      <c r="M31" s="121"/>
      <c r="N31" s="121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121"/>
      <c r="N32" s="121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121"/>
      <c r="N33" s="121"/>
    </row>
    <row r="34" spans="1:14" ht="15.75" x14ac:dyDescent="0.25">
      <c r="A34" s="159"/>
      <c r="B34" s="13" t="s">
        <v>27</v>
      </c>
      <c r="C34" s="14" t="s">
        <v>5</v>
      </c>
      <c r="D34" s="21">
        <v>30000</v>
      </c>
      <c r="E34" s="15">
        <v>32000</v>
      </c>
      <c r="F34" s="15">
        <v>31000</v>
      </c>
      <c r="G34" s="15">
        <v>30000</v>
      </c>
      <c r="H34" s="16">
        <v>35000</v>
      </c>
      <c r="I34" s="16">
        <v>30000</v>
      </c>
      <c r="J34" s="38">
        <v>31000</v>
      </c>
      <c r="K34" s="20">
        <f t="shared" si="0"/>
        <v>31285.714285714286</v>
      </c>
      <c r="M34" s="121"/>
      <c r="N34" s="121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121"/>
      <c r="N35" s="121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121"/>
      <c r="N36" s="121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121"/>
      <c r="N37" s="121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 t="shared" si="0"/>
        <v>12600</v>
      </c>
      <c r="M38" s="121"/>
      <c r="N38" s="121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121"/>
      <c r="N39" s="121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121"/>
      <c r="N40" s="121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121"/>
      <c r="N41" s="121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121"/>
      <c r="N42" s="121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121"/>
      <c r="N43" s="121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121"/>
      <c r="N44" s="121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 t="shared" si="0"/>
        <v>12500</v>
      </c>
      <c r="M45" s="121"/>
      <c r="N45" s="121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121"/>
      <c r="N46" s="121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121"/>
      <c r="N47" s="121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121"/>
      <c r="N48" s="121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121"/>
      <c r="N49" s="121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121"/>
      <c r="N50" s="121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121"/>
      <c r="N51" s="121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121"/>
      <c r="N52" s="121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121"/>
      <c r="N53" s="121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121"/>
      <c r="N54" s="121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13500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11428.571428571429</v>
      </c>
      <c r="M55" s="121"/>
      <c r="N55" s="121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121"/>
      <c r="N56" s="121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121"/>
      <c r="N57" s="121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121" t="s">
        <v>97</v>
      </c>
      <c r="N58" s="121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24000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25142.857142857141</v>
      </c>
      <c r="M59" s="121"/>
      <c r="N59" s="124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31000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29142.857142857141</v>
      </c>
      <c r="M60" s="121"/>
      <c r="N60" s="121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121"/>
      <c r="N61" s="121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121"/>
      <c r="N62" s="121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121"/>
      <c r="N63" s="121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35000</v>
      </c>
      <c r="F64" s="15">
        <v>30000</v>
      </c>
      <c r="G64" s="15">
        <v>35000</v>
      </c>
      <c r="H64" s="16">
        <v>25000</v>
      </c>
      <c r="I64" s="16">
        <v>40000</v>
      </c>
      <c r="J64" s="38">
        <v>30000</v>
      </c>
      <c r="K64" s="20">
        <f t="shared" si="0"/>
        <v>32142.857142857141</v>
      </c>
      <c r="M64" s="121"/>
      <c r="N64" s="121"/>
    </row>
    <row r="65" spans="1:14" ht="15.75" x14ac:dyDescent="0.25">
      <c r="A65" s="159"/>
      <c r="B65" s="13" t="s">
        <v>56</v>
      </c>
      <c r="C65" s="14" t="s">
        <v>5</v>
      </c>
      <c r="D65" s="39">
        <v>25000</v>
      </c>
      <c r="E65" s="15">
        <v>30000</v>
      </c>
      <c r="F65" s="15">
        <v>25000</v>
      </c>
      <c r="G65" s="15">
        <v>35000</v>
      </c>
      <c r="H65" s="71" t="s">
        <v>94</v>
      </c>
      <c r="I65" s="51">
        <v>25000</v>
      </c>
      <c r="J65" s="52" t="s">
        <v>94</v>
      </c>
      <c r="K65" s="20">
        <f t="shared" si="0"/>
        <v>28000</v>
      </c>
      <c r="M65" s="121"/>
      <c r="N65" s="121"/>
    </row>
    <row r="66" spans="1:14" ht="15.75" x14ac:dyDescent="0.25">
      <c r="A66" s="160"/>
      <c r="B66" s="13" t="s">
        <v>57</v>
      </c>
      <c r="C66" s="14" t="s">
        <v>5</v>
      </c>
      <c r="D66" s="21">
        <v>30000</v>
      </c>
      <c r="E66" s="15">
        <v>35000</v>
      </c>
      <c r="F66" s="15">
        <v>35000</v>
      </c>
      <c r="G66" s="15">
        <v>35000</v>
      </c>
      <c r="H66" s="16">
        <v>35000</v>
      </c>
      <c r="I66" s="16">
        <v>35000</v>
      </c>
      <c r="J66" s="38">
        <v>35000</v>
      </c>
      <c r="K66" s="20">
        <f t="shared" si="0"/>
        <v>34285.714285714283</v>
      </c>
      <c r="M66" s="121"/>
      <c r="N66" s="121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121"/>
      <c r="N67" s="121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121"/>
      <c r="N68" s="121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121"/>
      <c r="N69" s="121"/>
    </row>
    <row r="70" spans="1:14" ht="15.75" x14ac:dyDescent="0.25">
      <c r="A70" s="159"/>
      <c r="B70" s="13" t="s">
        <v>62</v>
      </c>
      <c r="C70" s="14" t="s">
        <v>5</v>
      </c>
      <c r="D70" s="21">
        <v>34000</v>
      </c>
      <c r="E70" s="15">
        <v>35000</v>
      </c>
      <c r="F70" s="15">
        <v>36000</v>
      </c>
      <c r="G70" s="15">
        <v>40000</v>
      </c>
      <c r="H70" s="16">
        <v>33000</v>
      </c>
      <c r="I70" s="16">
        <v>40000</v>
      </c>
      <c r="J70" s="38">
        <v>35000</v>
      </c>
      <c r="K70" s="20">
        <f t="shared" si="0"/>
        <v>36142.857142857145</v>
      </c>
      <c r="M70" s="121"/>
      <c r="N70" s="121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34000</v>
      </c>
      <c r="F71" s="15">
        <v>32000</v>
      </c>
      <c r="G71" s="15">
        <v>35000</v>
      </c>
      <c r="H71" s="16">
        <v>32000</v>
      </c>
      <c r="I71" s="16">
        <v>35000</v>
      </c>
      <c r="J71" s="38">
        <v>28000</v>
      </c>
      <c r="K71" s="20">
        <f t="shared" si="0"/>
        <v>32571.428571428572</v>
      </c>
      <c r="M71" s="121"/>
      <c r="N71" s="121"/>
    </row>
    <row r="72" spans="1:14" ht="15.75" x14ac:dyDescent="0.25">
      <c r="A72" s="159"/>
      <c r="B72" s="13" t="s">
        <v>64</v>
      </c>
      <c r="C72" s="14" t="s">
        <v>5</v>
      </c>
      <c r="D72" s="21">
        <v>40000</v>
      </c>
      <c r="E72" s="15">
        <v>35000</v>
      </c>
      <c r="F72" s="15">
        <v>40000</v>
      </c>
      <c r="G72" s="15">
        <v>40000</v>
      </c>
      <c r="H72" s="16">
        <v>30000</v>
      </c>
      <c r="I72" s="16">
        <v>40000</v>
      </c>
      <c r="J72" s="38">
        <v>35000</v>
      </c>
      <c r="K72" s="20">
        <f t="shared" si="0"/>
        <v>37142.857142857145</v>
      </c>
      <c r="M72" s="121"/>
      <c r="N72" s="121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41000</v>
      </c>
      <c r="M73" s="121"/>
      <c r="N73" s="121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121"/>
      <c r="N74" s="121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121"/>
      <c r="N75" s="121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121"/>
      <c r="N76" s="121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121"/>
      <c r="N77" s="121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8000</v>
      </c>
      <c r="G78" s="15">
        <v>10000</v>
      </c>
      <c r="H78" s="16">
        <v>9000</v>
      </c>
      <c r="I78" s="24">
        <v>8000</v>
      </c>
      <c r="J78" s="38">
        <v>7000</v>
      </c>
      <c r="K78" s="20">
        <f t="shared" si="0"/>
        <v>8142.8571428571431</v>
      </c>
      <c r="M78" s="121"/>
      <c r="N78" s="121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22000</v>
      </c>
      <c r="F79" s="15">
        <v>20000</v>
      </c>
      <c r="G79" s="15">
        <v>15000</v>
      </c>
      <c r="H79" s="16">
        <v>10000</v>
      </c>
      <c r="I79" s="24">
        <v>20000</v>
      </c>
      <c r="J79" s="38">
        <v>15000</v>
      </c>
      <c r="K79" s="20">
        <f t="shared" si="0"/>
        <v>16285.714285714286</v>
      </c>
      <c r="M79" s="121"/>
      <c r="N79" s="121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17000</v>
      </c>
      <c r="H80" s="16">
        <v>15000</v>
      </c>
      <c r="I80" s="16">
        <v>18000</v>
      </c>
      <c r="J80" s="38">
        <v>12000</v>
      </c>
      <c r="K80" s="20">
        <f t="shared" si="0"/>
        <v>15428.571428571429</v>
      </c>
      <c r="M80" s="121"/>
      <c r="N80" s="121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15000</v>
      </c>
      <c r="F81" s="15">
        <v>12000</v>
      </c>
      <c r="G81" s="15">
        <v>20000</v>
      </c>
      <c r="H81" s="16">
        <v>10000</v>
      </c>
      <c r="I81" s="51">
        <v>18000</v>
      </c>
      <c r="J81" s="38">
        <v>12000</v>
      </c>
      <c r="K81" s="20">
        <f t="shared" ref="K81:K88" si="1">AVERAGE(D81:J81)</f>
        <v>14000</v>
      </c>
      <c r="M81" s="121"/>
      <c r="N81" s="121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10000</v>
      </c>
      <c r="F82" s="15">
        <v>12000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11142.857142857143</v>
      </c>
      <c r="M82" s="121"/>
      <c r="N82" s="121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12000</v>
      </c>
      <c r="F83" s="54">
        <v>8000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9142.8571428571431</v>
      </c>
      <c r="M83" s="121"/>
      <c r="N83" s="121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121"/>
      <c r="N84" s="121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121"/>
      <c r="N85" s="121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121"/>
      <c r="N86" s="121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121"/>
      <c r="N87" s="121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121"/>
      <c r="N88" s="121"/>
    </row>
    <row r="89" spans="1:14" ht="15.75" x14ac:dyDescent="0.25">
      <c r="E89" s="4"/>
      <c r="J89" s="2"/>
      <c r="M89" s="121"/>
      <c r="N89" s="121"/>
    </row>
    <row r="90" spans="1:14" ht="15.75" x14ac:dyDescent="0.25">
      <c r="B90" s="85"/>
      <c r="J90" s="2"/>
      <c r="M90" s="121"/>
      <c r="N90" s="121"/>
    </row>
    <row r="91" spans="1:14" ht="15.75" x14ac:dyDescent="0.25">
      <c r="J91" s="2"/>
      <c r="M91" s="121"/>
      <c r="N91" s="121"/>
    </row>
    <row r="92" spans="1:14" ht="15.75" x14ac:dyDescent="0.25">
      <c r="A92" s="121"/>
      <c r="B92" s="121"/>
      <c r="C92" s="121"/>
      <c r="D92" s="124"/>
      <c r="E92" s="121"/>
      <c r="F92" s="121"/>
      <c r="G92" s="121"/>
      <c r="H92" s="121"/>
      <c r="I92" s="121"/>
      <c r="J92" s="123"/>
      <c r="K92" s="121"/>
      <c r="L92" s="121"/>
      <c r="M92" s="121"/>
      <c r="N92" s="121"/>
    </row>
  </sheetData>
  <mergeCells count="28">
    <mergeCell ref="A54:A55"/>
    <mergeCell ref="A56:A60"/>
    <mergeCell ref="A63:A66"/>
    <mergeCell ref="A69:A73"/>
    <mergeCell ref="A26:A32"/>
    <mergeCell ref="A33:A35"/>
    <mergeCell ref="A43:A45"/>
    <mergeCell ref="A46:A48"/>
    <mergeCell ref="A52:A53"/>
    <mergeCell ref="A13:A15"/>
    <mergeCell ref="A7:A12"/>
    <mergeCell ref="A16:A17"/>
    <mergeCell ref="A19:A20"/>
    <mergeCell ref="A21:A2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I4:I6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F689-BDF5-4AAD-9E07-20CB567D5C71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143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9500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9166.6666666666661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12000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11500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20000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19400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13500</v>
      </c>
      <c r="H14" s="16">
        <v>13500</v>
      </c>
      <c r="I14" s="16">
        <v>13500</v>
      </c>
      <c r="J14" s="38">
        <v>13500</v>
      </c>
      <c r="K14" s="20">
        <f t="shared" si="0"/>
        <v>13428.571428571429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17000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16142.857142857143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16000</v>
      </c>
      <c r="G17" s="15">
        <v>16000</v>
      </c>
      <c r="H17" s="16">
        <v>14000</v>
      </c>
      <c r="I17" s="16">
        <v>16000</v>
      </c>
      <c r="J17" s="52">
        <v>16000</v>
      </c>
      <c r="K17" s="20">
        <f t="shared" si="0"/>
        <v>15500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33000</v>
      </c>
      <c r="E25" s="15">
        <v>34000</v>
      </c>
      <c r="F25" s="15">
        <v>35000</v>
      </c>
      <c r="G25" s="15">
        <v>34000</v>
      </c>
      <c r="H25" s="38">
        <v>35000</v>
      </c>
      <c r="I25" s="23">
        <v>35000</v>
      </c>
      <c r="J25" s="38">
        <v>37000</v>
      </c>
      <c r="K25" s="20">
        <f t="shared" si="0"/>
        <v>34714.285714285717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40000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39166.666666666664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28000</v>
      </c>
      <c r="F28" s="15">
        <v>28000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29142.857142857141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35000</v>
      </c>
      <c r="F31" s="15">
        <v>40000</v>
      </c>
      <c r="G31" s="15">
        <v>45000</v>
      </c>
      <c r="H31" s="16">
        <v>28000</v>
      </c>
      <c r="I31" s="23">
        <v>42000</v>
      </c>
      <c r="J31" s="38">
        <v>40000</v>
      </c>
      <c r="K31" s="20">
        <f t="shared" si="0"/>
        <v>39285.714285714283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30000</v>
      </c>
      <c r="E34" s="15">
        <v>32000</v>
      </c>
      <c r="F34" s="15">
        <v>32000</v>
      </c>
      <c r="G34" s="15">
        <v>31000</v>
      </c>
      <c r="H34" s="16">
        <v>35000</v>
      </c>
      <c r="I34" s="16">
        <v>30000</v>
      </c>
      <c r="J34" s="38">
        <v>31000</v>
      </c>
      <c r="K34" s="20">
        <f t="shared" si="0"/>
        <v>31571.428571428572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26000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25428.571428571428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35000</v>
      </c>
      <c r="F64" s="15">
        <v>35000</v>
      </c>
      <c r="G64" s="15">
        <v>35000</v>
      </c>
      <c r="H64" s="16">
        <v>25000</v>
      </c>
      <c r="I64" s="16">
        <v>40000</v>
      </c>
      <c r="J64" s="38">
        <v>30000</v>
      </c>
      <c r="K64" s="20">
        <f t="shared" si="0"/>
        <v>32857.142857142855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25000</v>
      </c>
      <c r="E65" s="15">
        <v>30000</v>
      </c>
      <c r="F65" s="15">
        <v>35000</v>
      </c>
      <c r="G65" s="15">
        <v>35000</v>
      </c>
      <c r="H65" s="71" t="s">
        <v>94</v>
      </c>
      <c r="I65" s="51">
        <v>25000</v>
      </c>
      <c r="J65" s="52" t="s">
        <v>94</v>
      </c>
      <c r="K65" s="20">
        <f t="shared" si="0"/>
        <v>30000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30000</v>
      </c>
      <c r="E66" s="15">
        <v>35000</v>
      </c>
      <c r="F66" s="15">
        <v>36000</v>
      </c>
      <c r="G66" s="15">
        <v>35000</v>
      </c>
      <c r="H66" s="16">
        <v>35000</v>
      </c>
      <c r="I66" s="16">
        <v>35000</v>
      </c>
      <c r="J66" s="38">
        <v>35000</v>
      </c>
      <c r="K66" s="20">
        <f t="shared" si="0"/>
        <v>34428.571428571428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34000</v>
      </c>
      <c r="E70" s="15">
        <v>35000</v>
      </c>
      <c r="F70" s="15">
        <v>35000</v>
      </c>
      <c r="G70" s="15">
        <v>40000</v>
      </c>
      <c r="H70" s="16">
        <v>33000</v>
      </c>
      <c r="I70" s="16">
        <v>40000</v>
      </c>
      <c r="J70" s="38">
        <v>35000</v>
      </c>
      <c r="K70" s="20">
        <f t="shared" si="0"/>
        <v>36000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34000</v>
      </c>
      <c r="F71" s="15">
        <v>32000</v>
      </c>
      <c r="G71" s="15">
        <v>35000</v>
      </c>
      <c r="H71" s="16">
        <v>32000</v>
      </c>
      <c r="I71" s="16">
        <v>35000</v>
      </c>
      <c r="J71" s="38">
        <v>28000</v>
      </c>
      <c r="K71" s="20">
        <f t="shared" si="0"/>
        <v>32571.428571428572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40000</v>
      </c>
      <c r="E72" s="15">
        <v>35000</v>
      </c>
      <c r="F72" s="15">
        <v>40000</v>
      </c>
      <c r="G72" s="15">
        <v>40000</v>
      </c>
      <c r="H72" s="16">
        <v>30000</v>
      </c>
      <c r="I72" s="16">
        <v>40000</v>
      </c>
      <c r="J72" s="38">
        <v>35000</v>
      </c>
      <c r="K72" s="20">
        <f t="shared" si="0"/>
        <v>37142.857142857145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40000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40285.714285714283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7000</v>
      </c>
      <c r="G78" s="15">
        <v>10000</v>
      </c>
      <c r="H78" s="16">
        <v>9000</v>
      </c>
      <c r="I78" s="24">
        <v>8000</v>
      </c>
      <c r="J78" s="38">
        <v>7000</v>
      </c>
      <c r="K78" s="20">
        <f t="shared" si="0"/>
        <v>8000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22000</v>
      </c>
      <c r="F79" s="15">
        <v>20000</v>
      </c>
      <c r="G79" s="15">
        <v>15000</v>
      </c>
      <c r="H79" s="16">
        <v>10000</v>
      </c>
      <c r="I79" s="24">
        <v>20000</v>
      </c>
      <c r="J79" s="38">
        <v>15000</v>
      </c>
      <c r="K79" s="20">
        <f t="shared" si="0"/>
        <v>16285.714285714286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15000</v>
      </c>
      <c r="G80" s="15">
        <v>17000</v>
      </c>
      <c r="H80" s="16">
        <v>15000</v>
      </c>
      <c r="I80" s="16">
        <v>18000</v>
      </c>
      <c r="J80" s="38">
        <v>12000</v>
      </c>
      <c r="K80" s="20">
        <f t="shared" si="0"/>
        <v>15285.714285714286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15000</v>
      </c>
      <c r="F81" s="15">
        <v>12000</v>
      </c>
      <c r="G81" s="15">
        <v>20000</v>
      </c>
      <c r="H81" s="16">
        <v>10000</v>
      </c>
      <c r="I81" s="51">
        <v>18000</v>
      </c>
      <c r="J81" s="38">
        <v>12000</v>
      </c>
      <c r="K81" s="20">
        <f t="shared" ref="K81:K88" si="1">AVERAGE(D81:J81)</f>
        <v>14000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10000</v>
      </c>
      <c r="F82" s="15">
        <v>10000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10857.142857142857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12000</v>
      </c>
      <c r="F83" s="54">
        <v>12000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9714.2857142857138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A43:A45"/>
    <mergeCell ref="A46:A48"/>
    <mergeCell ref="A52:A53"/>
    <mergeCell ref="A54:A55"/>
    <mergeCell ref="A56:A60"/>
    <mergeCell ref="A16:A17"/>
    <mergeCell ref="A19:A20"/>
    <mergeCell ref="A21:A25"/>
    <mergeCell ref="A26:A32"/>
    <mergeCell ref="A33:A35"/>
    <mergeCell ref="I4:I6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56E6-5B4B-49BB-B7A1-4771A9138888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144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10000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9333.3333333333339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12000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11500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22000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19800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13500</v>
      </c>
      <c r="H14" s="16">
        <v>13500</v>
      </c>
      <c r="I14" s="16">
        <v>13500</v>
      </c>
      <c r="J14" s="38">
        <v>13500</v>
      </c>
      <c r="K14" s="20">
        <f t="shared" si="0"/>
        <v>13428.571428571429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22000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16857.142857142859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16000</v>
      </c>
      <c r="G17" s="15">
        <v>16000</v>
      </c>
      <c r="H17" s="16">
        <v>14000</v>
      </c>
      <c r="I17" s="16">
        <v>16000</v>
      </c>
      <c r="J17" s="52">
        <v>16000</v>
      </c>
      <c r="K17" s="20">
        <f t="shared" si="0"/>
        <v>15500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33000</v>
      </c>
      <c r="E25" s="15">
        <v>34000</v>
      </c>
      <c r="F25" s="15">
        <v>36000</v>
      </c>
      <c r="G25" s="15">
        <v>34000</v>
      </c>
      <c r="H25" s="38">
        <v>35000</v>
      </c>
      <c r="I25" s="23">
        <v>35000</v>
      </c>
      <c r="J25" s="38">
        <v>37000</v>
      </c>
      <c r="K25" s="20">
        <f t="shared" si="0"/>
        <v>34857.142857142855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40000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39166.666666666664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28000</v>
      </c>
      <c r="F28" s="15">
        <v>28000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29142.857142857141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35000</v>
      </c>
      <c r="F31" s="15">
        <v>40000</v>
      </c>
      <c r="G31" s="15">
        <v>45000</v>
      </c>
      <c r="H31" s="16">
        <v>28000</v>
      </c>
      <c r="I31" s="23">
        <v>42000</v>
      </c>
      <c r="J31" s="38">
        <v>40000</v>
      </c>
      <c r="K31" s="20">
        <f t="shared" si="0"/>
        <v>39285.714285714283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30000</v>
      </c>
      <c r="E34" s="15">
        <v>32000</v>
      </c>
      <c r="F34" s="15">
        <v>32000</v>
      </c>
      <c r="G34" s="15">
        <v>32000</v>
      </c>
      <c r="H34" s="16">
        <v>35000</v>
      </c>
      <c r="I34" s="16">
        <v>30000</v>
      </c>
      <c r="J34" s="38">
        <v>31000</v>
      </c>
      <c r="K34" s="20">
        <f t="shared" si="0"/>
        <v>31714.285714285714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26000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25428.571428571428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32000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29285.714285714286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35000</v>
      </c>
      <c r="F64" s="15">
        <v>32000</v>
      </c>
      <c r="G64" s="15">
        <v>40000</v>
      </c>
      <c r="H64" s="16">
        <v>25000</v>
      </c>
      <c r="I64" s="16">
        <v>40000</v>
      </c>
      <c r="J64" s="38">
        <v>30000</v>
      </c>
      <c r="K64" s="20">
        <f t="shared" si="0"/>
        <v>33142.857142857145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25000</v>
      </c>
      <c r="G65" s="15">
        <v>35000</v>
      </c>
      <c r="H65" s="71" t="s">
        <v>94</v>
      </c>
      <c r="I65" s="51">
        <v>25000</v>
      </c>
      <c r="J65" s="52" t="s">
        <v>94</v>
      </c>
      <c r="K65" s="20">
        <f t="shared" si="0"/>
        <v>29000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35000</v>
      </c>
      <c r="E66" s="15">
        <v>35000</v>
      </c>
      <c r="F66" s="15">
        <v>40000</v>
      </c>
      <c r="G66" s="15">
        <v>35000</v>
      </c>
      <c r="H66" s="16">
        <v>35000</v>
      </c>
      <c r="I66" s="16">
        <v>35000</v>
      </c>
      <c r="J66" s="38">
        <v>35000</v>
      </c>
      <c r="K66" s="20">
        <f t="shared" si="0"/>
        <v>35714.285714285717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35000</v>
      </c>
      <c r="E70" s="15">
        <v>35000</v>
      </c>
      <c r="F70" s="15">
        <v>35000</v>
      </c>
      <c r="G70" s="15">
        <v>40000</v>
      </c>
      <c r="H70" s="16">
        <v>33000</v>
      </c>
      <c r="I70" s="16">
        <v>40000</v>
      </c>
      <c r="J70" s="38">
        <v>35000</v>
      </c>
      <c r="K70" s="20">
        <f t="shared" si="0"/>
        <v>36142.857142857145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33000</v>
      </c>
      <c r="E71" s="15">
        <v>34000</v>
      </c>
      <c r="F71" s="15">
        <v>32000</v>
      </c>
      <c r="G71" s="15">
        <v>35000</v>
      </c>
      <c r="H71" s="16">
        <v>32000</v>
      </c>
      <c r="I71" s="16">
        <v>35000</v>
      </c>
      <c r="J71" s="38">
        <v>28000</v>
      </c>
      <c r="K71" s="20">
        <f t="shared" si="0"/>
        <v>32714.285714285714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35000</v>
      </c>
      <c r="E72" s="15">
        <v>35000</v>
      </c>
      <c r="F72" s="15">
        <v>44000</v>
      </c>
      <c r="G72" s="15">
        <v>40000</v>
      </c>
      <c r="H72" s="16">
        <v>30000</v>
      </c>
      <c r="I72" s="16">
        <v>40000</v>
      </c>
      <c r="J72" s="38">
        <v>35000</v>
      </c>
      <c r="K72" s="20">
        <f t="shared" si="0"/>
        <v>37000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22000</v>
      </c>
      <c r="K73" s="20">
        <f t="shared" si="0"/>
        <v>41000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7000</v>
      </c>
      <c r="G78" s="15">
        <v>10000</v>
      </c>
      <c r="H78" s="16">
        <v>9000</v>
      </c>
      <c r="I78" s="24">
        <v>8000</v>
      </c>
      <c r="J78" s="38">
        <v>7000</v>
      </c>
      <c r="K78" s="20">
        <f t="shared" si="0"/>
        <v>8000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22000</v>
      </c>
      <c r="F79" s="15">
        <v>20000</v>
      </c>
      <c r="G79" s="15">
        <v>15000</v>
      </c>
      <c r="H79" s="16">
        <v>10000</v>
      </c>
      <c r="I79" s="24">
        <v>20000</v>
      </c>
      <c r="J79" s="38">
        <v>15000</v>
      </c>
      <c r="K79" s="20">
        <f t="shared" si="0"/>
        <v>16285.714285714286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15000</v>
      </c>
      <c r="G80" s="15">
        <v>17000</v>
      </c>
      <c r="H80" s="16">
        <v>15000</v>
      </c>
      <c r="I80" s="16">
        <v>18000</v>
      </c>
      <c r="J80" s="38">
        <v>12000</v>
      </c>
      <c r="K80" s="20">
        <f t="shared" si="0"/>
        <v>15285.714285714286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15000</v>
      </c>
      <c r="F81" s="15">
        <v>12000</v>
      </c>
      <c r="G81" s="15">
        <v>20000</v>
      </c>
      <c r="H81" s="16">
        <v>10000</v>
      </c>
      <c r="I81" s="51">
        <v>18000</v>
      </c>
      <c r="J81" s="38">
        <v>12000</v>
      </c>
      <c r="K81" s="20">
        <f t="shared" ref="K81:K88" si="1">AVERAGE(D81:J81)</f>
        <v>14000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10000</v>
      </c>
      <c r="F82" s="15">
        <v>10000</v>
      </c>
      <c r="G82" s="15">
        <v>15000</v>
      </c>
      <c r="H82" s="16">
        <v>10000</v>
      </c>
      <c r="I82" s="16">
        <v>12000</v>
      </c>
      <c r="J82" s="38">
        <v>10000</v>
      </c>
      <c r="K82" s="20">
        <f t="shared" si="1"/>
        <v>10857.142857142857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12000</v>
      </c>
      <c r="F83" s="54">
        <v>12000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9714.2857142857138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J4:J6"/>
    <mergeCell ref="H4:H6"/>
    <mergeCell ref="A56:A60"/>
    <mergeCell ref="A63:A66"/>
    <mergeCell ref="A69:A73"/>
    <mergeCell ref="A21:A25"/>
    <mergeCell ref="A26:A32"/>
    <mergeCell ref="A33:A35"/>
    <mergeCell ref="A43:A45"/>
    <mergeCell ref="A46:A48"/>
    <mergeCell ref="A52:A53"/>
    <mergeCell ref="A54:A55"/>
    <mergeCell ref="A7:A12"/>
    <mergeCell ref="A13:A15"/>
    <mergeCell ref="A16:A17"/>
    <mergeCell ref="A19:A20"/>
    <mergeCell ref="A1:K1"/>
    <mergeCell ref="A2:K2"/>
    <mergeCell ref="A3:K3"/>
    <mergeCell ref="A4:A6"/>
    <mergeCell ref="B4:B6"/>
    <mergeCell ref="C4:C6"/>
    <mergeCell ref="I4:I6"/>
    <mergeCell ref="G4:G6"/>
    <mergeCell ref="K4:K6"/>
    <mergeCell ref="D4:D6"/>
    <mergeCell ref="E4:E6"/>
    <mergeCell ref="F4:F6"/>
  </mergeCells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E155-91E5-4C95-AD3E-C17E51D0D3EF}">
  <dimension ref="A1:N92"/>
  <sheetViews>
    <sheetView workbookViewId="0">
      <selection activeCell="K10" sqref="K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145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10000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9333.3333333333339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12000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11500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20200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14000</v>
      </c>
      <c r="G14" s="15">
        <v>13500</v>
      </c>
      <c r="H14" s="16">
        <v>13500</v>
      </c>
      <c r="I14" s="16">
        <v>13500</v>
      </c>
      <c r="J14" s="38">
        <v>14000</v>
      </c>
      <c r="K14" s="20">
        <f t="shared" si="0"/>
        <v>13571.428571428571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15857.142857142857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15500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34000</v>
      </c>
      <c r="E25" s="15">
        <v>33000</v>
      </c>
      <c r="F25" s="15">
        <v>35000</v>
      </c>
      <c r="G25" s="15">
        <v>35000</v>
      </c>
      <c r="H25" s="38">
        <v>37000</v>
      </c>
      <c r="I25" s="23">
        <v>35000</v>
      </c>
      <c r="J25" s="38">
        <v>38000</v>
      </c>
      <c r="K25" s="20">
        <f t="shared" si="0"/>
        <v>35285.714285714283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40000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39166.666666666664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28000</v>
      </c>
      <c r="F28" s="15">
        <v>28000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29142.857142857141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35000</v>
      </c>
      <c r="F31" s="15">
        <v>40000</v>
      </c>
      <c r="G31" s="15">
        <v>45000</v>
      </c>
      <c r="H31" s="16">
        <v>28000</v>
      </c>
      <c r="I31" s="23">
        <v>42000</v>
      </c>
      <c r="J31" s="38">
        <v>40000</v>
      </c>
      <c r="K31" s="20">
        <f t="shared" si="0"/>
        <v>39285.714285714283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32000</v>
      </c>
      <c r="E34" s="15">
        <v>32000</v>
      </c>
      <c r="F34" s="15">
        <v>31000</v>
      </c>
      <c r="G34" s="15">
        <v>33000</v>
      </c>
      <c r="H34" s="16">
        <v>30000</v>
      </c>
      <c r="I34" s="16">
        <v>30000</v>
      </c>
      <c r="J34" s="38">
        <v>31500</v>
      </c>
      <c r="K34" s="20">
        <f t="shared" si="0"/>
        <v>31357.142857142859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24000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25142.857142857141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31000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29142.857142857141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35000</v>
      </c>
      <c r="F64" s="15">
        <v>32000</v>
      </c>
      <c r="G64" s="15">
        <v>30000</v>
      </c>
      <c r="H64" s="16">
        <v>30000</v>
      </c>
      <c r="I64" s="16">
        <v>40000</v>
      </c>
      <c r="J64" s="38">
        <v>30000</v>
      </c>
      <c r="K64" s="20">
        <f t="shared" si="0"/>
        <v>32428.571428571428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25000</v>
      </c>
      <c r="G65" s="15">
        <v>35000</v>
      </c>
      <c r="H65" s="71" t="s">
        <v>94</v>
      </c>
      <c r="I65" s="51">
        <v>25000</v>
      </c>
      <c r="J65" s="52" t="s">
        <v>94</v>
      </c>
      <c r="K65" s="20">
        <f t="shared" si="0"/>
        <v>29000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35000</v>
      </c>
      <c r="E66" s="15">
        <v>35000</v>
      </c>
      <c r="F66" s="15">
        <v>35000</v>
      </c>
      <c r="G66" s="15">
        <v>30000</v>
      </c>
      <c r="H66" s="16">
        <v>33000</v>
      </c>
      <c r="I66" s="16">
        <v>35000</v>
      </c>
      <c r="J66" s="38">
        <v>45000</v>
      </c>
      <c r="K66" s="20">
        <f t="shared" si="0"/>
        <v>35428.571428571428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35000</v>
      </c>
      <c r="E70" s="15">
        <v>35000</v>
      </c>
      <c r="F70" s="15">
        <v>38000</v>
      </c>
      <c r="G70" s="15">
        <v>40000</v>
      </c>
      <c r="H70" s="16">
        <v>34000</v>
      </c>
      <c r="I70" s="16">
        <v>40000</v>
      </c>
      <c r="J70" s="38">
        <v>35000</v>
      </c>
      <c r="K70" s="20">
        <f t="shared" si="0"/>
        <v>36714.285714285717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33000</v>
      </c>
      <c r="E71" s="15">
        <v>34000</v>
      </c>
      <c r="F71" s="15">
        <v>32000</v>
      </c>
      <c r="G71" s="15">
        <v>35000</v>
      </c>
      <c r="H71" s="16">
        <v>32000</v>
      </c>
      <c r="I71" s="16">
        <v>35000</v>
      </c>
      <c r="J71" s="38">
        <v>28000</v>
      </c>
      <c r="K71" s="20">
        <f t="shared" si="0"/>
        <v>32714.285714285714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35000</v>
      </c>
      <c r="E72" s="15">
        <v>35000</v>
      </c>
      <c r="F72" s="15">
        <v>40000</v>
      </c>
      <c r="G72" s="15">
        <v>40000</v>
      </c>
      <c r="H72" s="16">
        <v>30000</v>
      </c>
      <c r="I72" s="16">
        <v>40000</v>
      </c>
      <c r="J72" s="38">
        <v>40000</v>
      </c>
      <c r="K72" s="20">
        <f t="shared" si="0"/>
        <v>37142.857142857145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30000</v>
      </c>
      <c r="K73" s="20">
        <f t="shared" si="0"/>
        <v>42142.857142857145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8000</v>
      </c>
      <c r="G78" s="15">
        <v>7000</v>
      </c>
      <c r="H78" s="16">
        <v>9000</v>
      </c>
      <c r="I78" s="24">
        <v>8000</v>
      </c>
      <c r="J78" s="38">
        <v>7000</v>
      </c>
      <c r="K78" s="20">
        <f t="shared" si="0"/>
        <v>7714.2857142857147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22000</v>
      </c>
      <c r="F79" s="15">
        <v>20000</v>
      </c>
      <c r="G79" s="15">
        <v>18000</v>
      </c>
      <c r="H79" s="16">
        <v>10000</v>
      </c>
      <c r="I79" s="24">
        <v>20000</v>
      </c>
      <c r="J79" s="38">
        <v>15000</v>
      </c>
      <c r="K79" s="20">
        <f t="shared" si="0"/>
        <v>16714.285714285714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12000</v>
      </c>
      <c r="H80" s="16">
        <v>15000</v>
      </c>
      <c r="I80" s="16">
        <v>18000</v>
      </c>
      <c r="J80" s="38">
        <v>12000</v>
      </c>
      <c r="K80" s="20">
        <f t="shared" si="0"/>
        <v>14714.285714285714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15000</v>
      </c>
      <c r="F81" s="15">
        <v>12000</v>
      </c>
      <c r="G81" s="15">
        <v>12000</v>
      </c>
      <c r="H81" s="16">
        <v>10000</v>
      </c>
      <c r="I81" s="51">
        <v>18000</v>
      </c>
      <c r="J81" s="38">
        <v>12000</v>
      </c>
      <c r="K81" s="20">
        <f t="shared" ref="K81:K88" si="1">AVERAGE(D81:J81)</f>
        <v>12857.142857142857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10000</v>
      </c>
      <c r="F82" s="15">
        <v>12000</v>
      </c>
      <c r="G82" s="15">
        <v>10000</v>
      </c>
      <c r="H82" s="16">
        <v>10000</v>
      </c>
      <c r="I82" s="16">
        <v>12000</v>
      </c>
      <c r="J82" s="38">
        <v>10000</v>
      </c>
      <c r="K82" s="20">
        <f t="shared" si="1"/>
        <v>10428.571428571429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12000</v>
      </c>
      <c r="F83" s="54">
        <v>8000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9142.8571428571431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385E-BEA5-49A8-B46E-FC6920643118}">
  <dimension ref="A1:N92"/>
  <sheetViews>
    <sheetView workbookViewId="0">
      <selection activeCell="I13" sqref="I13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146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10000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9333.3333333333339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12000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11500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20200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14000</v>
      </c>
      <c r="G14" s="15">
        <v>13500</v>
      </c>
      <c r="H14" s="16">
        <v>13500</v>
      </c>
      <c r="I14" s="16">
        <v>13500</v>
      </c>
      <c r="J14" s="38">
        <v>14000</v>
      </c>
      <c r="K14" s="20">
        <f t="shared" si="0"/>
        <v>13571.428571428571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15857.142857142857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15500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34000</v>
      </c>
      <c r="E25" s="15">
        <v>34000</v>
      </c>
      <c r="F25" s="15">
        <v>35000</v>
      </c>
      <c r="G25" s="15">
        <v>35000</v>
      </c>
      <c r="H25" s="38">
        <v>38000</v>
      </c>
      <c r="I25" s="23">
        <v>35000</v>
      </c>
      <c r="J25" s="38">
        <v>38000</v>
      </c>
      <c r="K25" s="20">
        <f t="shared" si="0"/>
        <v>35571.428571428572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40000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39166.666666666664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28000</v>
      </c>
      <c r="F28" s="15">
        <v>28000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29142.857142857141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35000</v>
      </c>
      <c r="F31" s="15">
        <v>40000</v>
      </c>
      <c r="G31" s="15">
        <v>45000</v>
      </c>
      <c r="H31" s="16">
        <v>28000</v>
      </c>
      <c r="I31" s="23">
        <v>42000</v>
      </c>
      <c r="J31" s="38">
        <v>40000</v>
      </c>
      <c r="K31" s="20">
        <f t="shared" si="0"/>
        <v>39285.714285714283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32000</v>
      </c>
      <c r="E34" s="15">
        <v>31000</v>
      </c>
      <c r="F34" s="15">
        <v>31000</v>
      </c>
      <c r="G34" s="15">
        <v>33000</v>
      </c>
      <c r="H34" s="16">
        <v>30000</v>
      </c>
      <c r="I34" s="16">
        <v>30000</v>
      </c>
      <c r="J34" s="38">
        <v>31500</v>
      </c>
      <c r="K34" s="20">
        <f t="shared" si="0"/>
        <v>31214.285714285714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24000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25142.857142857141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31000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29142.857142857141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35000</v>
      </c>
      <c r="F64" s="15">
        <v>35000</v>
      </c>
      <c r="G64" s="15">
        <v>30000</v>
      </c>
      <c r="H64" s="16">
        <v>28000</v>
      </c>
      <c r="I64" s="16">
        <v>40000</v>
      </c>
      <c r="J64" s="38">
        <v>30000</v>
      </c>
      <c r="K64" s="20">
        <f t="shared" si="0"/>
        <v>32571.428571428572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25000</v>
      </c>
      <c r="G65" s="15">
        <v>35000</v>
      </c>
      <c r="H65" s="71" t="s">
        <v>94</v>
      </c>
      <c r="I65" s="51">
        <v>25000</v>
      </c>
      <c r="J65" s="52" t="s">
        <v>94</v>
      </c>
      <c r="K65" s="20">
        <f t="shared" si="0"/>
        <v>29000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35000</v>
      </c>
      <c r="E66" s="15">
        <v>35000</v>
      </c>
      <c r="F66" s="15">
        <v>35000</v>
      </c>
      <c r="G66" s="15">
        <v>30000</v>
      </c>
      <c r="H66" s="16">
        <v>33000</v>
      </c>
      <c r="I66" s="16">
        <v>35000</v>
      </c>
      <c r="J66" s="38">
        <v>45000</v>
      </c>
      <c r="K66" s="20">
        <f t="shared" si="0"/>
        <v>35428.571428571428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35000</v>
      </c>
      <c r="E70" s="15">
        <v>35000</v>
      </c>
      <c r="F70" s="15">
        <v>40000</v>
      </c>
      <c r="G70" s="15">
        <v>40000</v>
      </c>
      <c r="H70" s="16">
        <v>34000</v>
      </c>
      <c r="I70" s="16">
        <v>40000</v>
      </c>
      <c r="J70" s="38">
        <v>35000</v>
      </c>
      <c r="K70" s="20">
        <f t="shared" si="0"/>
        <v>37000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33000</v>
      </c>
      <c r="E71" s="15">
        <v>34000</v>
      </c>
      <c r="F71" s="15">
        <v>36000</v>
      </c>
      <c r="G71" s="15">
        <v>35000</v>
      </c>
      <c r="H71" s="16">
        <v>32000</v>
      </c>
      <c r="I71" s="16">
        <v>35000</v>
      </c>
      <c r="J71" s="38">
        <v>28000</v>
      </c>
      <c r="K71" s="20">
        <f t="shared" si="0"/>
        <v>33285.714285714283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35000</v>
      </c>
      <c r="E72" s="15">
        <v>35000</v>
      </c>
      <c r="F72" s="15">
        <v>40000</v>
      </c>
      <c r="G72" s="15">
        <v>40000</v>
      </c>
      <c r="H72" s="16">
        <v>30000</v>
      </c>
      <c r="I72" s="16">
        <v>40000</v>
      </c>
      <c r="J72" s="38">
        <v>40000</v>
      </c>
      <c r="K72" s="20">
        <f t="shared" si="0"/>
        <v>37142.857142857145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30000</v>
      </c>
      <c r="K73" s="20">
        <f t="shared" si="0"/>
        <v>42142.857142857145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8000</v>
      </c>
      <c r="G78" s="15">
        <v>7000</v>
      </c>
      <c r="H78" s="16">
        <v>9000</v>
      </c>
      <c r="I78" s="24">
        <v>8000</v>
      </c>
      <c r="J78" s="38">
        <v>7000</v>
      </c>
      <c r="K78" s="20">
        <f t="shared" si="0"/>
        <v>7714.2857142857147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12000</v>
      </c>
      <c r="E79" s="15">
        <v>22000</v>
      </c>
      <c r="F79" s="15">
        <v>20000</v>
      </c>
      <c r="G79" s="15">
        <v>18000</v>
      </c>
      <c r="H79" s="16">
        <v>10000</v>
      </c>
      <c r="I79" s="24">
        <v>20000</v>
      </c>
      <c r="J79" s="38">
        <v>15000</v>
      </c>
      <c r="K79" s="20">
        <f t="shared" si="0"/>
        <v>16714.285714285714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15000</v>
      </c>
      <c r="E80" s="15">
        <v>15000</v>
      </c>
      <c r="F80" s="15">
        <v>16000</v>
      </c>
      <c r="G80" s="15">
        <v>12000</v>
      </c>
      <c r="H80" s="16">
        <v>15000</v>
      </c>
      <c r="I80" s="16">
        <v>18000</v>
      </c>
      <c r="J80" s="38">
        <v>12000</v>
      </c>
      <c r="K80" s="20">
        <f t="shared" si="0"/>
        <v>14714.285714285714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11000</v>
      </c>
      <c r="E81" s="15">
        <v>15000</v>
      </c>
      <c r="F81" s="15">
        <v>12000</v>
      </c>
      <c r="G81" s="15">
        <v>12000</v>
      </c>
      <c r="H81" s="16">
        <v>10000</v>
      </c>
      <c r="I81" s="51">
        <v>18000</v>
      </c>
      <c r="J81" s="38">
        <v>12000</v>
      </c>
      <c r="K81" s="20">
        <f t="shared" ref="K81:K88" si="1">AVERAGE(D81:J81)</f>
        <v>12857.142857142857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10000</v>
      </c>
      <c r="F82" s="15">
        <v>13000</v>
      </c>
      <c r="G82" s="15">
        <v>10000</v>
      </c>
      <c r="H82" s="16">
        <v>10000</v>
      </c>
      <c r="I82" s="16">
        <v>12000</v>
      </c>
      <c r="J82" s="38">
        <v>10000</v>
      </c>
      <c r="K82" s="20">
        <f t="shared" si="1"/>
        <v>10571.428571428571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7000</v>
      </c>
      <c r="E83" s="26">
        <v>12000</v>
      </c>
      <c r="F83" s="54">
        <v>8000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9142.8571428571431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BEDF-FD20-4BB7-85C2-F480B806241C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15.75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15.75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16.5" thickBot="1" x14ac:dyDescent="0.3">
      <c r="A3" s="164" t="s">
        <v>147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M3" s="5"/>
      <c r="N3" s="5"/>
    </row>
    <row r="4" spans="1:14" ht="15.75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211" t="s">
        <v>92</v>
      </c>
      <c r="K4" s="186" t="s">
        <v>93</v>
      </c>
      <c r="M4" s="5"/>
      <c r="N4" s="5"/>
    </row>
    <row r="5" spans="1:14" ht="15.75" x14ac:dyDescent="0.25">
      <c r="A5" s="152"/>
      <c r="B5" s="155"/>
      <c r="C5" s="152"/>
      <c r="D5" s="169"/>
      <c r="E5" s="209"/>
      <c r="F5" s="175"/>
      <c r="G5" s="178"/>
      <c r="H5" s="181"/>
      <c r="I5" s="184"/>
      <c r="J5" s="212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210"/>
      <c r="F6" s="176"/>
      <c r="G6" s="179"/>
      <c r="H6" s="182"/>
      <c r="I6" s="185"/>
      <c r="J6" s="213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10000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9333.3333333333339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12000</v>
      </c>
      <c r="G10" s="19">
        <v>11500</v>
      </c>
      <c r="H10" s="23" t="s">
        <v>94</v>
      </c>
      <c r="I10" s="23">
        <v>11500</v>
      </c>
      <c r="J10" s="24" t="s">
        <v>94</v>
      </c>
      <c r="K10" s="20">
        <f t="shared" si="0"/>
        <v>11500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20200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14000</v>
      </c>
      <c r="G14" s="15">
        <v>13500</v>
      </c>
      <c r="H14" s="16">
        <v>13500</v>
      </c>
      <c r="I14" s="16">
        <v>13500</v>
      </c>
      <c r="J14" s="38">
        <v>14000</v>
      </c>
      <c r="K14" s="20">
        <f t="shared" si="0"/>
        <v>13571.428571428571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15857.142857142857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15500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5.75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35000</v>
      </c>
      <c r="E25" s="15">
        <v>35000</v>
      </c>
      <c r="F25" s="15">
        <v>35000</v>
      </c>
      <c r="G25" s="15">
        <v>35000</v>
      </c>
      <c r="H25" s="38">
        <v>38000</v>
      </c>
      <c r="I25" s="23">
        <v>35000</v>
      </c>
      <c r="J25" s="38">
        <v>38000</v>
      </c>
      <c r="K25" s="20">
        <f t="shared" si="0"/>
        <v>35857.142857142855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40000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39166.666666666664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28000</v>
      </c>
      <c r="F28" s="15">
        <v>28000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29142.857142857141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35000</v>
      </c>
      <c r="F31" s="15">
        <v>40000</v>
      </c>
      <c r="G31" s="15">
        <v>45000</v>
      </c>
      <c r="H31" s="16">
        <v>28000</v>
      </c>
      <c r="I31" s="23">
        <v>42000</v>
      </c>
      <c r="J31" s="38">
        <v>40000</v>
      </c>
      <c r="K31" s="20">
        <f t="shared" si="0"/>
        <v>39285.714285714283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31000</v>
      </c>
      <c r="E34" s="15">
        <v>31000</v>
      </c>
      <c r="F34" s="15">
        <v>31000</v>
      </c>
      <c r="G34" s="15">
        <v>31000</v>
      </c>
      <c r="H34" s="16">
        <v>29000</v>
      </c>
      <c r="I34" s="16">
        <v>30000</v>
      </c>
      <c r="J34" s="38">
        <v>31500</v>
      </c>
      <c r="K34" s="20">
        <f t="shared" si="0"/>
        <v>30642.857142857141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24000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25142.857142857141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31000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29142.857142857141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26000</v>
      </c>
      <c r="E64" s="15">
        <v>35000</v>
      </c>
      <c r="F64" s="15">
        <v>33000</v>
      </c>
      <c r="G64" s="15">
        <v>30000</v>
      </c>
      <c r="H64" s="16">
        <v>25000</v>
      </c>
      <c r="I64" s="16">
        <v>40000</v>
      </c>
      <c r="J64" s="38">
        <v>30000</v>
      </c>
      <c r="K64" s="20">
        <f t="shared" si="0"/>
        <v>31285.714285714286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25000</v>
      </c>
      <c r="G65" s="15">
        <v>35000</v>
      </c>
      <c r="H65" s="71" t="s">
        <v>94</v>
      </c>
      <c r="I65" s="51">
        <v>25000</v>
      </c>
      <c r="J65" s="52" t="s">
        <v>94</v>
      </c>
      <c r="K65" s="20">
        <f t="shared" si="0"/>
        <v>29000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35000</v>
      </c>
      <c r="E66" s="15">
        <v>35000</v>
      </c>
      <c r="F66" s="15">
        <v>33000</v>
      </c>
      <c r="G66" s="15">
        <v>30000</v>
      </c>
      <c r="H66" s="16">
        <v>35000</v>
      </c>
      <c r="I66" s="16">
        <v>35000</v>
      </c>
      <c r="J66" s="38">
        <v>45000</v>
      </c>
      <c r="K66" s="20">
        <f t="shared" si="0"/>
        <v>35428.571428571428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34000</v>
      </c>
      <c r="E70" s="15">
        <v>35000</v>
      </c>
      <c r="F70" s="15">
        <v>35000</v>
      </c>
      <c r="G70" s="15">
        <v>40000</v>
      </c>
      <c r="H70" s="16">
        <v>34000</v>
      </c>
      <c r="I70" s="16">
        <v>40000</v>
      </c>
      <c r="J70" s="38">
        <v>35000</v>
      </c>
      <c r="K70" s="20">
        <f t="shared" si="0"/>
        <v>36142.857142857145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33000</v>
      </c>
      <c r="E71" s="15">
        <v>34000</v>
      </c>
      <c r="F71" s="15">
        <v>32000</v>
      </c>
      <c r="G71" s="15">
        <v>35000</v>
      </c>
      <c r="H71" s="16">
        <v>32000</v>
      </c>
      <c r="I71" s="16">
        <v>35000</v>
      </c>
      <c r="J71" s="38">
        <v>28000</v>
      </c>
      <c r="K71" s="20">
        <f t="shared" si="0"/>
        <v>32714.285714285714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36000</v>
      </c>
      <c r="E72" s="15">
        <v>35000</v>
      </c>
      <c r="F72" s="15">
        <v>42000</v>
      </c>
      <c r="G72" s="15">
        <v>40000</v>
      </c>
      <c r="H72" s="16">
        <v>30000</v>
      </c>
      <c r="I72" s="16">
        <v>40000</v>
      </c>
      <c r="J72" s="38">
        <v>40000</v>
      </c>
      <c r="K72" s="20">
        <f t="shared" si="0"/>
        <v>37571.428571428572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30000</v>
      </c>
      <c r="K73" s="20">
        <f t="shared" si="0"/>
        <v>42142.857142857145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8000</v>
      </c>
      <c r="G78" s="15">
        <v>7000</v>
      </c>
      <c r="H78" s="16">
        <v>9000</v>
      </c>
      <c r="I78" s="24">
        <v>8000</v>
      </c>
      <c r="J78" s="38">
        <v>7000</v>
      </c>
      <c r="K78" s="20">
        <f t="shared" si="0"/>
        <v>7714.2857142857147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14000</v>
      </c>
      <c r="E79" s="15">
        <v>22000</v>
      </c>
      <c r="F79" s="15">
        <v>20000</v>
      </c>
      <c r="G79" s="15">
        <v>18000</v>
      </c>
      <c r="H79" s="16">
        <v>10000</v>
      </c>
      <c r="I79" s="24">
        <v>20000</v>
      </c>
      <c r="J79" s="38">
        <v>15000</v>
      </c>
      <c r="K79" s="20">
        <f t="shared" si="0"/>
        <v>17000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14000</v>
      </c>
      <c r="E80" s="15">
        <v>15000</v>
      </c>
      <c r="F80" s="15">
        <v>16000</v>
      </c>
      <c r="G80" s="15">
        <v>12000</v>
      </c>
      <c r="H80" s="16">
        <v>15000</v>
      </c>
      <c r="I80" s="16">
        <v>18000</v>
      </c>
      <c r="J80" s="38">
        <v>12000</v>
      </c>
      <c r="K80" s="20">
        <f t="shared" si="0"/>
        <v>14571.428571428571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16000</v>
      </c>
      <c r="E81" s="15">
        <v>15000</v>
      </c>
      <c r="F81" s="15">
        <v>12000</v>
      </c>
      <c r="G81" s="15">
        <v>12000</v>
      </c>
      <c r="H81" s="16">
        <v>10000</v>
      </c>
      <c r="I81" s="51">
        <v>18000</v>
      </c>
      <c r="J81" s="38">
        <v>12000</v>
      </c>
      <c r="K81" s="20">
        <f t="shared" ref="K81:K88" si="1">AVERAGE(D81:J81)</f>
        <v>13571.428571428571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10000</v>
      </c>
      <c r="F82" s="15">
        <v>13000</v>
      </c>
      <c r="G82" s="15">
        <v>10000</v>
      </c>
      <c r="H82" s="16">
        <v>10000</v>
      </c>
      <c r="I82" s="16">
        <v>12000</v>
      </c>
      <c r="J82" s="38">
        <v>10000</v>
      </c>
      <c r="K82" s="20">
        <f t="shared" si="1"/>
        <v>10571.428571428571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9000</v>
      </c>
      <c r="E83" s="26">
        <v>12000</v>
      </c>
      <c r="F83" s="54">
        <v>8000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9428.5714285714294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A43:A45"/>
    <mergeCell ref="A46:A48"/>
    <mergeCell ref="A52:A53"/>
    <mergeCell ref="A54:A55"/>
    <mergeCell ref="A56:A60"/>
    <mergeCell ref="A16:A17"/>
    <mergeCell ref="A19:A20"/>
    <mergeCell ref="A21:A25"/>
    <mergeCell ref="A26:A32"/>
    <mergeCell ref="A33:A35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9E29-D71B-4EA1-B164-A45408D8F168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118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11000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9666.6666666666661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12000</v>
      </c>
      <c r="G10" s="19">
        <v>11500</v>
      </c>
      <c r="H10" s="23" t="s">
        <v>94</v>
      </c>
      <c r="I10" s="23">
        <v>12500</v>
      </c>
      <c r="J10" s="24" t="s">
        <v>94</v>
      </c>
      <c r="K10" s="20">
        <f t="shared" si="0"/>
        <v>11700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20200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14000</v>
      </c>
      <c r="G14" s="15">
        <v>13500</v>
      </c>
      <c r="H14" s="16">
        <v>13500</v>
      </c>
      <c r="I14" s="16">
        <v>13500</v>
      </c>
      <c r="J14" s="38">
        <v>14000</v>
      </c>
      <c r="K14" s="20">
        <f t="shared" si="0"/>
        <v>13571.428571428571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15857.142857142857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15500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35000</v>
      </c>
      <c r="E25" s="15">
        <v>35000</v>
      </c>
      <c r="F25" s="15">
        <v>35000</v>
      </c>
      <c r="G25" s="15">
        <v>35000</v>
      </c>
      <c r="H25" s="38">
        <v>38000</v>
      </c>
      <c r="I25" s="23">
        <v>38000</v>
      </c>
      <c r="J25" s="38">
        <v>40000</v>
      </c>
      <c r="K25" s="20">
        <f t="shared" si="0"/>
        <v>36571.428571428572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40000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39166.666666666664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28000</v>
      </c>
      <c r="F28" s="15">
        <v>28000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29142.857142857141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35000</v>
      </c>
      <c r="F31" s="15">
        <v>40000</v>
      </c>
      <c r="G31" s="15">
        <v>45000</v>
      </c>
      <c r="H31" s="16">
        <v>28000</v>
      </c>
      <c r="I31" s="23">
        <v>42000</v>
      </c>
      <c r="J31" s="38">
        <v>40000</v>
      </c>
      <c r="K31" s="20">
        <f t="shared" si="0"/>
        <v>39285.714285714283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31000</v>
      </c>
      <c r="E34" s="15">
        <v>31000</v>
      </c>
      <c r="F34" s="15">
        <v>31000</v>
      </c>
      <c r="G34" s="15">
        <v>31000</v>
      </c>
      <c r="H34" s="16">
        <v>29000</v>
      </c>
      <c r="I34" s="16">
        <v>30000</v>
      </c>
      <c r="J34" s="38">
        <v>31000</v>
      </c>
      <c r="K34" s="20">
        <f t="shared" si="0"/>
        <v>30571.428571428572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24000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25142.857142857141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31000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29142.857142857141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26000</v>
      </c>
      <c r="E64" s="15">
        <v>35000</v>
      </c>
      <c r="F64" s="15">
        <v>25000</v>
      </c>
      <c r="G64" s="15">
        <v>30000</v>
      </c>
      <c r="H64" s="16">
        <v>25000</v>
      </c>
      <c r="I64" s="16">
        <v>40000</v>
      </c>
      <c r="J64" s="38">
        <v>30000</v>
      </c>
      <c r="K64" s="20">
        <f t="shared" si="0"/>
        <v>30142.857142857141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25000</v>
      </c>
      <c r="G65" s="15">
        <v>35000</v>
      </c>
      <c r="H65" s="71" t="s">
        <v>94</v>
      </c>
      <c r="I65" s="51">
        <v>25000</v>
      </c>
      <c r="J65" s="52" t="s">
        <v>94</v>
      </c>
      <c r="K65" s="20">
        <f t="shared" si="0"/>
        <v>29000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35000</v>
      </c>
      <c r="E66" s="15">
        <v>35000</v>
      </c>
      <c r="F66" s="15">
        <v>35000</v>
      </c>
      <c r="G66" s="15">
        <v>35000</v>
      </c>
      <c r="H66" s="16">
        <v>35000</v>
      </c>
      <c r="I66" s="16">
        <v>35000</v>
      </c>
      <c r="J66" s="38">
        <v>45000</v>
      </c>
      <c r="K66" s="20">
        <f t="shared" si="0"/>
        <v>36428.571428571428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34000</v>
      </c>
      <c r="E70" s="15">
        <v>35000</v>
      </c>
      <c r="F70" s="15">
        <v>33000</v>
      </c>
      <c r="G70" s="15">
        <v>40000</v>
      </c>
      <c r="H70" s="16">
        <v>34000</v>
      </c>
      <c r="I70" s="16">
        <v>40000</v>
      </c>
      <c r="J70" s="38">
        <v>35000</v>
      </c>
      <c r="K70" s="20">
        <f t="shared" si="0"/>
        <v>35857.142857142855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33000</v>
      </c>
      <c r="E71" s="15">
        <v>34000</v>
      </c>
      <c r="F71" s="15">
        <v>32000</v>
      </c>
      <c r="G71" s="15">
        <v>35000</v>
      </c>
      <c r="H71" s="16">
        <v>32000</v>
      </c>
      <c r="I71" s="16">
        <v>35000</v>
      </c>
      <c r="J71" s="38">
        <v>28000</v>
      </c>
      <c r="K71" s="20">
        <f t="shared" si="0"/>
        <v>32714.285714285714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36000</v>
      </c>
      <c r="E72" s="15">
        <v>35000</v>
      </c>
      <c r="F72" s="15">
        <v>40000</v>
      </c>
      <c r="G72" s="15">
        <v>40000</v>
      </c>
      <c r="H72" s="16">
        <v>30000</v>
      </c>
      <c r="I72" s="16">
        <v>40000</v>
      </c>
      <c r="J72" s="38">
        <v>40000</v>
      </c>
      <c r="K72" s="20">
        <f t="shared" si="0"/>
        <v>37285.714285714283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30000</v>
      </c>
      <c r="K73" s="20">
        <f t="shared" si="0"/>
        <v>42142.857142857145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8000</v>
      </c>
      <c r="G78" s="15">
        <v>7000</v>
      </c>
      <c r="H78" s="16">
        <v>9000</v>
      </c>
      <c r="I78" s="24">
        <v>8000</v>
      </c>
      <c r="J78" s="38">
        <v>7000</v>
      </c>
      <c r="K78" s="20">
        <f t="shared" si="0"/>
        <v>7714.2857142857147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14000</v>
      </c>
      <c r="E79" s="15">
        <v>22000</v>
      </c>
      <c r="F79" s="15">
        <v>15000</v>
      </c>
      <c r="G79" s="15">
        <v>18000</v>
      </c>
      <c r="H79" s="16">
        <v>10000</v>
      </c>
      <c r="I79" s="24">
        <v>20000</v>
      </c>
      <c r="J79" s="38">
        <v>15000</v>
      </c>
      <c r="K79" s="20">
        <f t="shared" si="0"/>
        <v>16285.714285714286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14000</v>
      </c>
      <c r="E80" s="15">
        <v>15000</v>
      </c>
      <c r="F80" s="15">
        <v>16000</v>
      </c>
      <c r="G80" s="15">
        <v>12000</v>
      </c>
      <c r="H80" s="16">
        <v>15000</v>
      </c>
      <c r="I80" s="16">
        <v>18000</v>
      </c>
      <c r="J80" s="38">
        <v>12000</v>
      </c>
      <c r="K80" s="20">
        <f t="shared" si="0"/>
        <v>14571.428571428571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16000</v>
      </c>
      <c r="E81" s="15">
        <v>15000</v>
      </c>
      <c r="F81" s="15">
        <v>12000</v>
      </c>
      <c r="G81" s="15">
        <v>12000</v>
      </c>
      <c r="H81" s="16">
        <v>10000</v>
      </c>
      <c r="I81" s="51">
        <v>18000</v>
      </c>
      <c r="J81" s="38">
        <v>12000</v>
      </c>
      <c r="K81" s="20">
        <f t="shared" ref="K81:K88" si="1">AVERAGE(D81:J81)</f>
        <v>13571.428571428571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10000</v>
      </c>
      <c r="F82" s="15">
        <v>13000</v>
      </c>
      <c r="G82" s="15">
        <v>10000</v>
      </c>
      <c r="H82" s="16">
        <v>10000</v>
      </c>
      <c r="I82" s="16">
        <v>12000</v>
      </c>
      <c r="J82" s="38">
        <v>10000</v>
      </c>
      <c r="K82" s="20">
        <f t="shared" si="1"/>
        <v>10571.428571428571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9000</v>
      </c>
      <c r="E83" s="26">
        <v>12000</v>
      </c>
      <c r="F83" s="54">
        <v>8000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9428.5714285714294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A43:A45"/>
    <mergeCell ref="A46:A48"/>
    <mergeCell ref="A52:A53"/>
    <mergeCell ref="A54:A55"/>
    <mergeCell ref="A56:A60"/>
    <mergeCell ref="A16:A17"/>
    <mergeCell ref="A19:A20"/>
    <mergeCell ref="A21:A25"/>
    <mergeCell ref="A26:A32"/>
    <mergeCell ref="A33:A35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7B4E-187C-4E72-A971-CBE71679BF7F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119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11000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9666.6666666666661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12000</v>
      </c>
      <c r="G10" s="19">
        <v>11500</v>
      </c>
      <c r="H10" s="23" t="s">
        <v>94</v>
      </c>
      <c r="I10" s="23">
        <v>12500</v>
      </c>
      <c r="J10" s="24" t="s">
        <v>94</v>
      </c>
      <c r="K10" s="20">
        <f t="shared" si="0"/>
        <v>11700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20200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14000</v>
      </c>
      <c r="G14" s="15">
        <v>13500</v>
      </c>
      <c r="H14" s="16">
        <v>13500</v>
      </c>
      <c r="I14" s="16">
        <v>13500</v>
      </c>
      <c r="J14" s="38">
        <v>14000</v>
      </c>
      <c r="K14" s="20">
        <f t="shared" si="0"/>
        <v>13571.428571428571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15857.142857142857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15500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35000</v>
      </c>
      <c r="E25" s="15">
        <v>36000</v>
      </c>
      <c r="F25" s="15">
        <v>35000</v>
      </c>
      <c r="G25" s="15">
        <v>35000</v>
      </c>
      <c r="H25" s="38">
        <v>38000</v>
      </c>
      <c r="I25" s="23">
        <v>38000</v>
      </c>
      <c r="J25" s="38">
        <v>38000</v>
      </c>
      <c r="K25" s="20">
        <f t="shared" si="0"/>
        <v>36428.571428571428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40000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39166.666666666664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28000</v>
      </c>
      <c r="F28" s="15">
        <v>30000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29428.571428571428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35000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40000</v>
      </c>
      <c r="K31" s="20">
        <f t="shared" si="0"/>
        <v>39000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31000</v>
      </c>
      <c r="E34" s="15">
        <v>31000</v>
      </c>
      <c r="F34" s="15">
        <v>31000</v>
      </c>
      <c r="G34" s="15">
        <v>31000</v>
      </c>
      <c r="H34" s="16">
        <v>29000</v>
      </c>
      <c r="I34" s="16">
        <v>29000</v>
      </c>
      <c r="J34" s="38">
        <v>31000</v>
      </c>
      <c r="K34" s="20">
        <f t="shared" si="0"/>
        <v>30428.571428571428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9000</v>
      </c>
      <c r="K37" s="20">
        <f t="shared" si="0"/>
        <v>10714.285714285714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12000</v>
      </c>
      <c r="J55" s="38">
        <v>10000</v>
      </c>
      <c r="K55" s="20">
        <f t="shared" si="0"/>
        <v>11357.142857142857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24000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25142.857142857141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31000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29142.857142857141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26000</v>
      </c>
      <c r="E64" s="15">
        <v>35000</v>
      </c>
      <c r="F64" s="15">
        <v>30000</v>
      </c>
      <c r="G64" s="15">
        <v>30000</v>
      </c>
      <c r="H64" s="16">
        <v>25000</v>
      </c>
      <c r="I64" s="16">
        <v>40000</v>
      </c>
      <c r="J64" s="38">
        <v>30000</v>
      </c>
      <c r="K64" s="20">
        <f t="shared" si="0"/>
        <v>30857.142857142859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24000</v>
      </c>
      <c r="G65" s="15">
        <v>35000</v>
      </c>
      <c r="H65" s="71" t="s">
        <v>94</v>
      </c>
      <c r="I65" s="51">
        <v>25000</v>
      </c>
      <c r="J65" s="52" t="s">
        <v>94</v>
      </c>
      <c r="K65" s="20">
        <f t="shared" si="0"/>
        <v>28800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35000</v>
      </c>
      <c r="E66" s="15">
        <v>35000</v>
      </c>
      <c r="F66" s="15">
        <v>45000</v>
      </c>
      <c r="G66" s="15">
        <v>35000</v>
      </c>
      <c r="H66" s="16">
        <v>35000</v>
      </c>
      <c r="I66" s="16">
        <v>35000</v>
      </c>
      <c r="J66" s="38">
        <v>45000</v>
      </c>
      <c r="K66" s="20">
        <f t="shared" si="0"/>
        <v>37857.142857142855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34000</v>
      </c>
      <c r="E70" s="15">
        <v>35000</v>
      </c>
      <c r="F70" s="15">
        <v>36000</v>
      </c>
      <c r="G70" s="15">
        <v>40000</v>
      </c>
      <c r="H70" s="16">
        <v>34000</v>
      </c>
      <c r="I70" s="16">
        <v>40000</v>
      </c>
      <c r="J70" s="38">
        <v>35000</v>
      </c>
      <c r="K70" s="20">
        <f t="shared" si="0"/>
        <v>36285.714285714283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33000</v>
      </c>
      <c r="E71" s="15">
        <v>34000</v>
      </c>
      <c r="F71" s="15">
        <v>32000</v>
      </c>
      <c r="G71" s="15">
        <v>35000</v>
      </c>
      <c r="H71" s="16">
        <v>32000</v>
      </c>
      <c r="I71" s="16">
        <v>35000</v>
      </c>
      <c r="J71" s="38">
        <v>28000</v>
      </c>
      <c r="K71" s="20">
        <f t="shared" si="0"/>
        <v>32714.285714285714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36000</v>
      </c>
      <c r="E72" s="15">
        <v>35000</v>
      </c>
      <c r="F72" s="15">
        <v>36000</v>
      </c>
      <c r="G72" s="15">
        <v>40000</v>
      </c>
      <c r="H72" s="16">
        <v>30000</v>
      </c>
      <c r="I72" s="16">
        <v>40000</v>
      </c>
      <c r="J72" s="38">
        <v>40000</v>
      </c>
      <c r="K72" s="20">
        <f t="shared" si="0"/>
        <v>36714.285714285717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30000</v>
      </c>
      <c r="K73" s="20">
        <f t="shared" si="0"/>
        <v>42142.857142857145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8000</v>
      </c>
      <c r="G78" s="15">
        <v>7000</v>
      </c>
      <c r="H78" s="16">
        <v>9000</v>
      </c>
      <c r="I78" s="24">
        <v>8000</v>
      </c>
      <c r="J78" s="38">
        <v>7000</v>
      </c>
      <c r="K78" s="20">
        <f t="shared" si="0"/>
        <v>7714.2857142857147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14000</v>
      </c>
      <c r="E79" s="15">
        <v>22000</v>
      </c>
      <c r="F79" s="15">
        <v>16000</v>
      </c>
      <c r="G79" s="15">
        <v>18000</v>
      </c>
      <c r="H79" s="16">
        <v>10000</v>
      </c>
      <c r="I79" s="24">
        <v>20000</v>
      </c>
      <c r="J79" s="38">
        <v>15000</v>
      </c>
      <c r="K79" s="20">
        <f t="shared" si="0"/>
        <v>16428.571428571428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14000</v>
      </c>
      <c r="E80" s="15">
        <v>15000</v>
      </c>
      <c r="F80" s="15">
        <v>16000</v>
      </c>
      <c r="G80" s="15">
        <v>12000</v>
      </c>
      <c r="H80" s="16">
        <v>15000</v>
      </c>
      <c r="I80" s="16">
        <v>18000</v>
      </c>
      <c r="J80" s="38">
        <v>12000</v>
      </c>
      <c r="K80" s="20">
        <f t="shared" si="0"/>
        <v>14571.428571428571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16000</v>
      </c>
      <c r="E81" s="15">
        <v>15000</v>
      </c>
      <c r="F81" s="15">
        <v>12000</v>
      </c>
      <c r="G81" s="15">
        <v>12000</v>
      </c>
      <c r="H81" s="16">
        <v>10000</v>
      </c>
      <c r="I81" s="51">
        <v>18000</v>
      </c>
      <c r="J81" s="38">
        <v>12000</v>
      </c>
      <c r="K81" s="20">
        <f t="shared" ref="K81:K88" si="1">AVERAGE(D81:J81)</f>
        <v>13571.428571428571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10000</v>
      </c>
      <c r="F82" s="15">
        <v>12000</v>
      </c>
      <c r="G82" s="15">
        <v>10000</v>
      </c>
      <c r="H82" s="16">
        <v>10000</v>
      </c>
      <c r="I82" s="16">
        <v>12000</v>
      </c>
      <c r="J82" s="38">
        <v>10000</v>
      </c>
      <c r="K82" s="20">
        <f t="shared" si="1"/>
        <v>10428.571428571429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9000</v>
      </c>
      <c r="E83" s="26">
        <v>12000</v>
      </c>
      <c r="F83" s="54">
        <v>8000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9428.5714285714294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A43:A45"/>
    <mergeCell ref="A46:A48"/>
    <mergeCell ref="A52:A53"/>
    <mergeCell ref="A54:A55"/>
    <mergeCell ref="A56:A60"/>
    <mergeCell ref="A16:A17"/>
    <mergeCell ref="A19:A20"/>
    <mergeCell ref="A21:A25"/>
    <mergeCell ref="A26:A32"/>
    <mergeCell ref="A33:A35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9412-2F4F-4937-9669-76E1EF7BEF54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120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11000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9666.6666666666661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13000</v>
      </c>
      <c r="G10" s="19">
        <v>11500</v>
      </c>
      <c r="H10" s="23" t="s">
        <v>94</v>
      </c>
      <c r="I10" s="23">
        <v>12500</v>
      </c>
      <c r="J10" s="24" t="s">
        <v>94</v>
      </c>
      <c r="K10" s="20">
        <f t="shared" si="0"/>
        <v>11900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22000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19800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13500</v>
      </c>
      <c r="H14" s="16">
        <v>13500</v>
      </c>
      <c r="I14" s="16">
        <v>13500</v>
      </c>
      <c r="J14" s="38">
        <v>14000</v>
      </c>
      <c r="K14" s="20">
        <f t="shared" si="0"/>
        <v>13500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20000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16571.428571428572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15500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20000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21500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35000</v>
      </c>
      <c r="E25" s="15">
        <v>36000</v>
      </c>
      <c r="F25" s="15">
        <v>34000</v>
      </c>
      <c r="G25" s="15">
        <v>35000</v>
      </c>
      <c r="H25" s="38">
        <v>38000</v>
      </c>
      <c r="I25" s="23">
        <v>38000</v>
      </c>
      <c r="J25" s="38">
        <v>38000</v>
      </c>
      <c r="K25" s="20">
        <f t="shared" si="0"/>
        <v>36285.714285714283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40000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39166.666666666664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28000</v>
      </c>
      <c r="F28" s="15">
        <v>32000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29714.285714285714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35000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40000</v>
      </c>
      <c r="K31" s="20">
        <f t="shared" si="0"/>
        <v>39000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31000</v>
      </c>
      <c r="E34" s="15">
        <v>31000</v>
      </c>
      <c r="F34" s="15">
        <v>32000</v>
      </c>
      <c r="G34" s="15">
        <v>30000</v>
      </c>
      <c r="H34" s="16">
        <v>29000</v>
      </c>
      <c r="I34" s="16">
        <v>29000</v>
      </c>
      <c r="J34" s="38">
        <v>31000</v>
      </c>
      <c r="K34" s="20">
        <f t="shared" si="0"/>
        <v>30428.571428571428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3000</v>
      </c>
      <c r="K37" s="20">
        <f t="shared" si="0"/>
        <v>9857.1428571428569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13000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12416.666666666666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13000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12583.333333333334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5500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4071.4285714285716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12500</v>
      </c>
      <c r="G55" s="15">
        <v>11000</v>
      </c>
      <c r="H55" s="16">
        <v>11000</v>
      </c>
      <c r="I55" s="16">
        <v>11000</v>
      </c>
      <c r="J55" s="38">
        <v>10000</v>
      </c>
      <c r="K55" s="20">
        <f t="shared" si="0"/>
        <v>11142.857142857143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24000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25142.857142857141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35000</v>
      </c>
      <c r="F64" s="15">
        <v>35000</v>
      </c>
      <c r="G64" s="15">
        <v>30000</v>
      </c>
      <c r="H64" s="16">
        <v>25000</v>
      </c>
      <c r="I64" s="16">
        <v>40000</v>
      </c>
      <c r="J64" s="38">
        <v>30000</v>
      </c>
      <c r="K64" s="20">
        <f t="shared" si="0"/>
        <v>32142.857142857141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30000</v>
      </c>
      <c r="G65" s="15">
        <v>35000</v>
      </c>
      <c r="H65" s="71" t="s">
        <v>94</v>
      </c>
      <c r="I65" s="51">
        <v>25000</v>
      </c>
      <c r="J65" s="52" t="s">
        <v>94</v>
      </c>
      <c r="K65" s="20">
        <f t="shared" si="0"/>
        <v>30000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35000</v>
      </c>
      <c r="E66" s="15">
        <v>35000</v>
      </c>
      <c r="F66" s="15">
        <v>30000</v>
      </c>
      <c r="G66" s="15">
        <v>35000</v>
      </c>
      <c r="H66" s="16">
        <v>35000</v>
      </c>
      <c r="I66" s="16">
        <v>35000</v>
      </c>
      <c r="J66" s="38">
        <v>45000</v>
      </c>
      <c r="K66" s="20">
        <f t="shared" si="0"/>
        <v>35714.285714285717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34000</v>
      </c>
      <c r="E70" s="15">
        <v>35000</v>
      </c>
      <c r="F70" s="15">
        <v>35000</v>
      </c>
      <c r="G70" s="15">
        <v>40000</v>
      </c>
      <c r="H70" s="16">
        <v>34000</v>
      </c>
      <c r="I70" s="16">
        <v>40000</v>
      </c>
      <c r="J70" s="38">
        <v>35000</v>
      </c>
      <c r="K70" s="20">
        <f t="shared" si="0"/>
        <v>36142.857142857145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33000</v>
      </c>
      <c r="E71" s="15">
        <v>34000</v>
      </c>
      <c r="F71" s="15">
        <v>32000</v>
      </c>
      <c r="G71" s="15">
        <v>35000</v>
      </c>
      <c r="H71" s="16">
        <v>32000</v>
      </c>
      <c r="I71" s="16">
        <v>35000</v>
      </c>
      <c r="J71" s="38">
        <v>28000</v>
      </c>
      <c r="K71" s="20">
        <f t="shared" si="0"/>
        <v>32714.285714285714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35000</v>
      </c>
      <c r="E72" s="15">
        <v>35000</v>
      </c>
      <c r="F72" s="15">
        <v>45000</v>
      </c>
      <c r="G72" s="15">
        <v>40000</v>
      </c>
      <c r="H72" s="16">
        <v>30000</v>
      </c>
      <c r="I72" s="16">
        <v>40000</v>
      </c>
      <c r="J72" s="38">
        <v>40000</v>
      </c>
      <c r="K72" s="20">
        <f t="shared" si="0"/>
        <v>37857.142857142855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30000</v>
      </c>
      <c r="K73" s="20">
        <f t="shared" si="0"/>
        <v>42142.857142857145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6000</v>
      </c>
      <c r="G78" s="15">
        <v>7000</v>
      </c>
      <c r="H78" s="16">
        <v>9000</v>
      </c>
      <c r="I78" s="24">
        <v>8000</v>
      </c>
      <c r="J78" s="38">
        <v>7000</v>
      </c>
      <c r="K78" s="20">
        <f t="shared" si="0"/>
        <v>7428.5714285714284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14000</v>
      </c>
      <c r="E79" s="15">
        <v>22000</v>
      </c>
      <c r="F79" s="15">
        <v>20000</v>
      </c>
      <c r="G79" s="15">
        <v>18000</v>
      </c>
      <c r="H79" s="16">
        <v>10000</v>
      </c>
      <c r="I79" s="24">
        <v>20000</v>
      </c>
      <c r="J79" s="38">
        <v>15000</v>
      </c>
      <c r="K79" s="20">
        <f t="shared" si="0"/>
        <v>17000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14000</v>
      </c>
      <c r="E80" s="15">
        <v>15000</v>
      </c>
      <c r="F80" s="15">
        <v>16000</v>
      </c>
      <c r="G80" s="15">
        <v>12000</v>
      </c>
      <c r="H80" s="16">
        <v>15000</v>
      </c>
      <c r="I80" s="16">
        <v>18000</v>
      </c>
      <c r="J80" s="38">
        <v>12000</v>
      </c>
      <c r="K80" s="20">
        <f t="shared" si="0"/>
        <v>14571.428571428571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16000</v>
      </c>
      <c r="E81" s="15">
        <v>15000</v>
      </c>
      <c r="F81" s="15">
        <v>12000</v>
      </c>
      <c r="G81" s="15">
        <v>12000</v>
      </c>
      <c r="H81" s="16">
        <v>10000</v>
      </c>
      <c r="I81" s="51">
        <v>18000</v>
      </c>
      <c r="J81" s="38">
        <v>12000</v>
      </c>
      <c r="K81" s="20">
        <f t="shared" ref="K81:K88" si="1">AVERAGE(D81:J81)</f>
        <v>13571.428571428571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10000</v>
      </c>
      <c r="F82" s="15">
        <v>10000</v>
      </c>
      <c r="G82" s="15">
        <v>10000</v>
      </c>
      <c r="H82" s="16">
        <v>10000</v>
      </c>
      <c r="I82" s="16">
        <v>12000</v>
      </c>
      <c r="J82" s="38">
        <v>10000</v>
      </c>
      <c r="K82" s="20">
        <f t="shared" si="1"/>
        <v>10142.857142857143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9000</v>
      </c>
      <c r="E83" s="26">
        <v>12000</v>
      </c>
      <c r="F83" s="54">
        <v>8000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9428.5714285714294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A43:A45"/>
    <mergeCell ref="A46:A48"/>
    <mergeCell ref="A52:A53"/>
    <mergeCell ref="A54:A55"/>
    <mergeCell ref="A56:A60"/>
    <mergeCell ref="A16:A17"/>
    <mergeCell ref="A19:A20"/>
    <mergeCell ref="A21:A25"/>
    <mergeCell ref="A26:A32"/>
    <mergeCell ref="A33:A35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C3F8-84A6-46C1-819B-AACC55A465EB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121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168" t="s">
        <v>86</v>
      </c>
      <c r="E4" s="171" t="s">
        <v>87</v>
      </c>
      <c r="F4" s="174" t="s">
        <v>88</v>
      </c>
      <c r="G4" s="177" t="s">
        <v>89</v>
      </c>
      <c r="H4" s="180" t="s">
        <v>90</v>
      </c>
      <c r="I4" s="183" t="s">
        <v>91</v>
      </c>
      <c r="J4" s="165" t="s">
        <v>92</v>
      </c>
      <c r="K4" s="186" t="s">
        <v>93</v>
      </c>
      <c r="M4" s="5"/>
      <c r="N4" s="5"/>
    </row>
    <row r="5" spans="1:14" ht="15" customHeight="1" x14ac:dyDescent="0.25">
      <c r="A5" s="152"/>
      <c r="B5" s="155"/>
      <c r="C5" s="152"/>
      <c r="D5" s="169"/>
      <c r="E5" s="172"/>
      <c r="F5" s="175"/>
      <c r="G5" s="178"/>
      <c r="H5" s="181"/>
      <c r="I5" s="184"/>
      <c r="J5" s="166"/>
      <c r="K5" s="187"/>
      <c r="M5" s="5"/>
      <c r="N5" s="5"/>
    </row>
    <row r="6" spans="1:14" ht="16.5" thickBot="1" x14ac:dyDescent="0.3">
      <c r="A6" s="153"/>
      <c r="B6" s="156"/>
      <c r="C6" s="153"/>
      <c r="D6" s="170"/>
      <c r="E6" s="173"/>
      <c r="F6" s="176"/>
      <c r="G6" s="179"/>
      <c r="H6" s="182"/>
      <c r="I6" s="185"/>
      <c r="J6" s="167"/>
      <c r="K6" s="188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11000</v>
      </c>
      <c r="G9" s="19" t="s">
        <v>94</v>
      </c>
      <c r="H9" s="16">
        <v>9000</v>
      </c>
      <c r="I9" s="23" t="s">
        <v>94</v>
      </c>
      <c r="J9" s="87">
        <v>9000</v>
      </c>
      <c r="K9" s="20">
        <f t="shared" ref="K9:K80" si="0">AVERAGE(D9:J9)</f>
        <v>9666.6666666666661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13000</v>
      </c>
      <c r="G10" s="19">
        <v>11500</v>
      </c>
      <c r="H10" s="23" t="s">
        <v>94</v>
      </c>
      <c r="I10" s="23">
        <v>12500</v>
      </c>
      <c r="J10" s="24">
        <v>12000</v>
      </c>
      <c r="K10" s="20">
        <f t="shared" si="0"/>
        <v>11916.666666666666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22000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19800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13500</v>
      </c>
      <c r="G14" s="15">
        <v>13500</v>
      </c>
      <c r="H14" s="16">
        <v>13500</v>
      </c>
      <c r="I14" s="16">
        <v>13500</v>
      </c>
      <c r="J14" s="38">
        <v>14000</v>
      </c>
      <c r="K14" s="20">
        <f t="shared" si="0"/>
        <v>13500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20000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16571.428571428572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15500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20000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21500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36000</v>
      </c>
      <c r="E25" s="15">
        <v>36000</v>
      </c>
      <c r="F25" s="15">
        <v>34000</v>
      </c>
      <c r="G25" s="15">
        <v>35000</v>
      </c>
      <c r="H25" s="38">
        <v>38000</v>
      </c>
      <c r="I25" s="23">
        <v>38000</v>
      </c>
      <c r="J25" s="38">
        <v>38000</v>
      </c>
      <c r="K25" s="20">
        <f t="shared" si="0"/>
        <v>36428.571428571428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40000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39166.666666666664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28000</v>
      </c>
      <c r="F28" s="15">
        <v>32000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29714.285714285714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35000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40000</v>
      </c>
      <c r="K31" s="20">
        <f t="shared" si="0"/>
        <v>39000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31000</v>
      </c>
      <c r="E34" s="15">
        <v>31000</v>
      </c>
      <c r="F34" s="15">
        <v>32000</v>
      </c>
      <c r="G34" s="15">
        <v>31000</v>
      </c>
      <c r="H34" s="16">
        <v>29000</v>
      </c>
      <c r="I34" s="16">
        <v>29000</v>
      </c>
      <c r="J34" s="38">
        <v>31000</v>
      </c>
      <c r="K34" s="20">
        <f t="shared" si="0"/>
        <v>30571.428571428572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3000</v>
      </c>
      <c r="K37" s="20">
        <f t="shared" si="0"/>
        <v>9857.1428571428569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13000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12416.666666666666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13000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12583.333333333334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5500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4071.4285714285716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12500</v>
      </c>
      <c r="G55" s="15">
        <v>11000</v>
      </c>
      <c r="H55" s="16">
        <v>11000</v>
      </c>
      <c r="I55" s="16">
        <v>11000</v>
      </c>
      <c r="J55" s="38">
        <v>10000</v>
      </c>
      <c r="K55" s="20">
        <f t="shared" si="0"/>
        <v>11142.857142857143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24000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25142.857142857141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30000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29000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35000</v>
      </c>
      <c r="F64" s="15">
        <v>25000</v>
      </c>
      <c r="G64" s="15">
        <v>30000</v>
      </c>
      <c r="H64" s="16">
        <v>25000</v>
      </c>
      <c r="I64" s="16">
        <v>40000</v>
      </c>
      <c r="J64" s="38">
        <v>30000</v>
      </c>
      <c r="K64" s="20">
        <f t="shared" si="0"/>
        <v>30714.285714285714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30000</v>
      </c>
      <c r="E65" s="15">
        <v>30000</v>
      </c>
      <c r="F65" s="15">
        <v>20000</v>
      </c>
      <c r="G65" s="15">
        <v>30000</v>
      </c>
      <c r="H65" s="71" t="s">
        <v>94</v>
      </c>
      <c r="I65" s="51">
        <v>25000</v>
      </c>
      <c r="J65" s="52" t="s">
        <v>94</v>
      </c>
      <c r="K65" s="20">
        <f t="shared" si="0"/>
        <v>27000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35000</v>
      </c>
      <c r="E66" s="15">
        <v>35000</v>
      </c>
      <c r="F66" s="15">
        <v>35000</v>
      </c>
      <c r="G66" s="15">
        <v>35000</v>
      </c>
      <c r="H66" s="16">
        <v>35000</v>
      </c>
      <c r="I66" s="16">
        <v>35000</v>
      </c>
      <c r="J66" s="38">
        <v>40000</v>
      </c>
      <c r="K66" s="20">
        <f t="shared" si="0"/>
        <v>35714.285714285717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34000</v>
      </c>
      <c r="E70" s="15">
        <v>35000</v>
      </c>
      <c r="F70" s="15">
        <v>35000</v>
      </c>
      <c r="G70" s="15">
        <v>40000</v>
      </c>
      <c r="H70" s="16">
        <v>34000</v>
      </c>
      <c r="I70" s="16">
        <v>40000</v>
      </c>
      <c r="J70" s="38">
        <v>35000</v>
      </c>
      <c r="K70" s="20">
        <f t="shared" si="0"/>
        <v>36142.857142857145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33000</v>
      </c>
      <c r="E71" s="15">
        <v>34000</v>
      </c>
      <c r="F71" s="15">
        <v>32000</v>
      </c>
      <c r="G71" s="15">
        <v>35000</v>
      </c>
      <c r="H71" s="16">
        <v>32000</v>
      </c>
      <c r="I71" s="16">
        <v>35000</v>
      </c>
      <c r="J71" s="38">
        <v>28000</v>
      </c>
      <c r="K71" s="20">
        <f t="shared" si="0"/>
        <v>32714.285714285714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35000</v>
      </c>
      <c r="E72" s="15">
        <v>35000</v>
      </c>
      <c r="F72" s="15">
        <v>40000</v>
      </c>
      <c r="G72" s="15">
        <v>40000</v>
      </c>
      <c r="H72" s="16">
        <v>30000</v>
      </c>
      <c r="I72" s="16">
        <v>40000</v>
      </c>
      <c r="J72" s="38">
        <v>30000</v>
      </c>
      <c r="K72" s="20">
        <f t="shared" si="0"/>
        <v>35714.285714285717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40000</v>
      </c>
      <c r="G73" s="19">
        <v>45000</v>
      </c>
      <c r="H73" s="16">
        <v>40000</v>
      </c>
      <c r="I73" s="23">
        <v>50000</v>
      </c>
      <c r="J73" s="52">
        <v>30000</v>
      </c>
      <c r="K73" s="20">
        <f t="shared" si="0"/>
        <v>41428.571428571428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8000</v>
      </c>
      <c r="G78" s="15">
        <v>7000</v>
      </c>
      <c r="H78" s="16">
        <v>9000</v>
      </c>
      <c r="I78" s="24">
        <v>8000</v>
      </c>
      <c r="J78" s="38">
        <v>7000</v>
      </c>
      <c r="K78" s="20">
        <f t="shared" si="0"/>
        <v>7714.2857142857147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14000</v>
      </c>
      <c r="E79" s="15">
        <v>22000</v>
      </c>
      <c r="F79" s="15">
        <v>20000</v>
      </c>
      <c r="G79" s="15">
        <v>18000</v>
      </c>
      <c r="H79" s="16">
        <v>10000</v>
      </c>
      <c r="I79" s="24">
        <v>20000</v>
      </c>
      <c r="J79" s="38">
        <v>15000</v>
      </c>
      <c r="K79" s="20">
        <f t="shared" si="0"/>
        <v>17000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14000</v>
      </c>
      <c r="E80" s="15">
        <v>15000</v>
      </c>
      <c r="F80" s="15">
        <v>15000</v>
      </c>
      <c r="G80" s="15">
        <v>12000</v>
      </c>
      <c r="H80" s="16">
        <v>15000</v>
      </c>
      <c r="I80" s="16">
        <v>18000</v>
      </c>
      <c r="J80" s="38">
        <v>12000</v>
      </c>
      <c r="K80" s="20">
        <f t="shared" si="0"/>
        <v>14428.571428571429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16000</v>
      </c>
      <c r="E81" s="15">
        <v>15000</v>
      </c>
      <c r="F81" s="15">
        <v>12000</v>
      </c>
      <c r="G81" s="15">
        <v>12000</v>
      </c>
      <c r="H81" s="16">
        <v>10000</v>
      </c>
      <c r="I81" s="51">
        <v>18000</v>
      </c>
      <c r="J81" s="38">
        <v>12000</v>
      </c>
      <c r="K81" s="20">
        <f t="shared" ref="K81:K88" si="1">AVERAGE(D81:J81)</f>
        <v>13571.428571428571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10000</v>
      </c>
      <c r="F82" s="15">
        <v>10000</v>
      </c>
      <c r="G82" s="15">
        <v>10000</v>
      </c>
      <c r="H82" s="16">
        <v>10000</v>
      </c>
      <c r="I82" s="16">
        <v>12000</v>
      </c>
      <c r="J82" s="38">
        <v>10000</v>
      </c>
      <c r="K82" s="20">
        <f t="shared" si="1"/>
        <v>10142.857142857143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9000</v>
      </c>
      <c r="E83" s="26">
        <v>12000</v>
      </c>
      <c r="F83" s="54">
        <v>10000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9714.2857142857138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A43:A45"/>
    <mergeCell ref="A46:A48"/>
    <mergeCell ref="A52:A53"/>
    <mergeCell ref="A54:A55"/>
    <mergeCell ref="A56:A60"/>
    <mergeCell ref="A16:A17"/>
    <mergeCell ref="A19:A20"/>
    <mergeCell ref="A21:A25"/>
    <mergeCell ref="A26:A32"/>
    <mergeCell ref="A33:A35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A8BD-9278-4D4C-BA24-7A3EAB75CD70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122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214" t="s">
        <v>86</v>
      </c>
      <c r="E4" s="217" t="s">
        <v>87</v>
      </c>
      <c r="F4" s="220" t="s">
        <v>88</v>
      </c>
      <c r="G4" s="223" t="s">
        <v>89</v>
      </c>
      <c r="H4" s="226" t="s">
        <v>90</v>
      </c>
      <c r="I4" s="229" t="s">
        <v>91</v>
      </c>
      <c r="J4" s="232" t="s">
        <v>92</v>
      </c>
      <c r="K4" s="235" t="s">
        <v>93</v>
      </c>
      <c r="M4" s="5"/>
      <c r="N4" s="5"/>
    </row>
    <row r="5" spans="1:14" ht="15" customHeight="1" x14ac:dyDescent="0.25">
      <c r="A5" s="152"/>
      <c r="B5" s="155"/>
      <c r="C5" s="152"/>
      <c r="D5" s="215"/>
      <c r="E5" s="218"/>
      <c r="F5" s="221"/>
      <c r="G5" s="224"/>
      <c r="H5" s="227"/>
      <c r="I5" s="230"/>
      <c r="J5" s="233"/>
      <c r="K5" s="236"/>
      <c r="M5" s="5"/>
      <c r="N5" s="5"/>
    </row>
    <row r="6" spans="1:14" ht="16.5" thickBot="1" x14ac:dyDescent="0.3">
      <c r="A6" s="153"/>
      <c r="B6" s="156"/>
      <c r="C6" s="153"/>
      <c r="D6" s="216"/>
      <c r="E6" s="219"/>
      <c r="F6" s="222"/>
      <c r="G6" s="225"/>
      <c r="H6" s="228"/>
      <c r="I6" s="231"/>
      <c r="J6" s="234"/>
      <c r="K6" s="237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 t="s">
        <v>94</v>
      </c>
      <c r="E9" s="26" t="s">
        <v>94</v>
      </c>
      <c r="F9" s="15">
        <v>11000</v>
      </c>
      <c r="G9" s="19" t="s">
        <v>94</v>
      </c>
      <c r="H9" s="23" t="s">
        <v>94</v>
      </c>
      <c r="I9" s="23" t="s">
        <v>94</v>
      </c>
      <c r="J9" s="87">
        <v>9000</v>
      </c>
      <c r="K9" s="20">
        <f t="shared" ref="K9:K80" si="0">AVERAGE(D9:J9)</f>
        <v>10000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13000</v>
      </c>
      <c r="G10" s="19">
        <v>11500</v>
      </c>
      <c r="H10" s="23" t="s">
        <v>94</v>
      </c>
      <c r="I10" s="23">
        <v>12500</v>
      </c>
      <c r="J10" s="24">
        <v>12500</v>
      </c>
      <c r="K10" s="20">
        <f t="shared" si="0"/>
        <v>12000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20200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14000</v>
      </c>
      <c r="G14" s="15">
        <v>13500</v>
      </c>
      <c r="H14" s="16">
        <v>13500</v>
      </c>
      <c r="I14" s="16">
        <v>13500</v>
      </c>
      <c r="J14" s="38">
        <v>14000</v>
      </c>
      <c r="K14" s="20">
        <f t="shared" si="0"/>
        <v>13571.428571428571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15857.142857142857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15500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36000</v>
      </c>
      <c r="E25" s="15">
        <v>36000</v>
      </c>
      <c r="F25" s="15">
        <v>36000</v>
      </c>
      <c r="G25" s="15">
        <v>34000</v>
      </c>
      <c r="H25" s="38">
        <v>36000</v>
      </c>
      <c r="I25" s="23">
        <v>35000</v>
      </c>
      <c r="J25" s="38">
        <v>38000</v>
      </c>
      <c r="K25" s="20">
        <f t="shared" si="0"/>
        <v>35857.142857142855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40000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39166.666666666664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28000</v>
      </c>
      <c r="F28" s="15">
        <v>30000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29428.571428571428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35000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40000</v>
      </c>
      <c r="K31" s="20">
        <f t="shared" si="0"/>
        <v>39000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31000</v>
      </c>
      <c r="E34" s="15">
        <v>31000</v>
      </c>
      <c r="F34" s="15">
        <v>30000</v>
      </c>
      <c r="G34" s="15">
        <v>31000</v>
      </c>
      <c r="H34" s="16">
        <v>29000</v>
      </c>
      <c r="I34" s="16">
        <v>29000</v>
      </c>
      <c r="J34" s="38">
        <v>30500</v>
      </c>
      <c r="K34" s="20">
        <f t="shared" si="0"/>
        <v>30214.285714285714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3000</v>
      </c>
      <c r="K37" s="20">
        <f t="shared" si="0"/>
        <v>9857.1428571428569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9000</v>
      </c>
      <c r="H51" s="16">
        <v>6000</v>
      </c>
      <c r="I51" s="23" t="s">
        <v>94</v>
      </c>
      <c r="J51" s="38">
        <v>6000</v>
      </c>
      <c r="K51" s="20">
        <f t="shared" si="0"/>
        <v>8166.666666666667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11000</v>
      </c>
      <c r="J55" s="38">
        <v>10000</v>
      </c>
      <c r="K55" s="20">
        <f t="shared" si="0"/>
        <v>11214.285714285714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24000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25142.857142857141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31000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29142.857142857141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35000</v>
      </c>
      <c r="F64" s="15">
        <v>25000</v>
      </c>
      <c r="G64" s="15">
        <v>30000</v>
      </c>
      <c r="H64" s="16">
        <v>25000</v>
      </c>
      <c r="I64" s="16">
        <v>40000</v>
      </c>
      <c r="J64" s="38">
        <v>30000</v>
      </c>
      <c r="K64" s="20">
        <f t="shared" si="0"/>
        <v>30714.285714285714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28000</v>
      </c>
      <c r="E65" s="15">
        <v>30000</v>
      </c>
      <c r="F65" s="15">
        <v>25000</v>
      </c>
      <c r="G65" s="15">
        <v>30000</v>
      </c>
      <c r="H65" s="71" t="s">
        <v>94</v>
      </c>
      <c r="I65" s="51">
        <v>25000</v>
      </c>
      <c r="J65" s="52" t="s">
        <v>94</v>
      </c>
      <c r="K65" s="20">
        <f t="shared" si="0"/>
        <v>27600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35000</v>
      </c>
      <c r="E66" s="15">
        <v>35000</v>
      </c>
      <c r="F66" s="15">
        <v>43000</v>
      </c>
      <c r="G66" s="15">
        <v>35000</v>
      </c>
      <c r="H66" s="16">
        <v>35000</v>
      </c>
      <c r="I66" s="16">
        <v>40000</v>
      </c>
      <c r="J66" s="38">
        <v>35000</v>
      </c>
      <c r="K66" s="20">
        <f t="shared" si="0"/>
        <v>36857.142857142855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34000</v>
      </c>
      <c r="E70" s="15">
        <v>35000</v>
      </c>
      <c r="F70" s="15">
        <v>35000</v>
      </c>
      <c r="G70" s="15">
        <v>40000</v>
      </c>
      <c r="H70" s="16">
        <v>34000</v>
      </c>
      <c r="I70" s="16">
        <v>40000</v>
      </c>
      <c r="J70" s="38">
        <v>35000</v>
      </c>
      <c r="K70" s="20">
        <f t="shared" si="0"/>
        <v>36142.857142857145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33000</v>
      </c>
      <c r="E71" s="15">
        <v>34000</v>
      </c>
      <c r="F71" s="15">
        <v>32000</v>
      </c>
      <c r="G71" s="15">
        <v>35000</v>
      </c>
      <c r="H71" s="16">
        <v>32000</v>
      </c>
      <c r="I71" s="16">
        <v>40000</v>
      </c>
      <c r="J71" s="38">
        <v>28000</v>
      </c>
      <c r="K71" s="20">
        <f t="shared" si="0"/>
        <v>33428.571428571428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35000</v>
      </c>
      <c r="E72" s="15">
        <v>35000</v>
      </c>
      <c r="F72" s="15">
        <v>35000</v>
      </c>
      <c r="G72" s="15">
        <v>40000</v>
      </c>
      <c r="H72" s="16">
        <v>30000</v>
      </c>
      <c r="I72" s="16">
        <v>40000</v>
      </c>
      <c r="J72" s="38">
        <v>30000</v>
      </c>
      <c r="K72" s="20">
        <f t="shared" si="0"/>
        <v>35000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45000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30000</v>
      </c>
      <c r="K73" s="20">
        <f t="shared" si="0"/>
        <v>42142.857142857145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8000</v>
      </c>
      <c r="G78" s="15">
        <v>7000</v>
      </c>
      <c r="H78" s="16">
        <v>9000</v>
      </c>
      <c r="I78" s="24">
        <v>8000</v>
      </c>
      <c r="J78" s="38">
        <v>6000</v>
      </c>
      <c r="K78" s="20">
        <f t="shared" si="0"/>
        <v>7571.4285714285716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14000</v>
      </c>
      <c r="E79" s="15">
        <v>22000</v>
      </c>
      <c r="F79" s="15">
        <v>16000</v>
      </c>
      <c r="G79" s="15">
        <v>18000</v>
      </c>
      <c r="H79" s="16">
        <v>10000</v>
      </c>
      <c r="I79" s="24">
        <v>20000</v>
      </c>
      <c r="J79" s="38">
        <v>15000</v>
      </c>
      <c r="K79" s="20">
        <f t="shared" si="0"/>
        <v>16428.571428571428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14000</v>
      </c>
      <c r="E80" s="15">
        <v>15000</v>
      </c>
      <c r="F80" s="15">
        <v>16000</v>
      </c>
      <c r="G80" s="15">
        <v>12000</v>
      </c>
      <c r="H80" s="16">
        <v>15000</v>
      </c>
      <c r="I80" s="16">
        <v>17000</v>
      </c>
      <c r="J80" s="38">
        <v>13000</v>
      </c>
      <c r="K80" s="20">
        <f t="shared" si="0"/>
        <v>14571.428571428571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16000</v>
      </c>
      <c r="E81" s="15">
        <v>15000</v>
      </c>
      <c r="F81" s="15">
        <v>12000</v>
      </c>
      <c r="G81" s="15">
        <v>12000</v>
      </c>
      <c r="H81" s="16">
        <v>10000</v>
      </c>
      <c r="I81" s="51">
        <v>18000</v>
      </c>
      <c r="J81" s="38">
        <v>13000</v>
      </c>
      <c r="K81" s="20">
        <f t="shared" ref="K81:K88" si="1">AVERAGE(D81:J81)</f>
        <v>13714.285714285714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10000</v>
      </c>
      <c r="F82" s="15">
        <v>12000</v>
      </c>
      <c r="G82" s="15">
        <v>10000</v>
      </c>
      <c r="H82" s="16">
        <v>10000</v>
      </c>
      <c r="I82" s="16">
        <v>12000</v>
      </c>
      <c r="J82" s="38">
        <v>10000</v>
      </c>
      <c r="K82" s="20">
        <f t="shared" si="1"/>
        <v>10428.571428571429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9000</v>
      </c>
      <c r="E83" s="26">
        <v>12000</v>
      </c>
      <c r="F83" s="54">
        <v>8000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9428.5714285714294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A43:A45"/>
    <mergeCell ref="A46:A48"/>
    <mergeCell ref="A52:A53"/>
    <mergeCell ref="A54:A55"/>
    <mergeCell ref="A56:A60"/>
    <mergeCell ref="A16:A17"/>
    <mergeCell ref="A19:A20"/>
    <mergeCell ref="A21:A25"/>
    <mergeCell ref="A26:A32"/>
    <mergeCell ref="A33:A35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9DC3-3960-4CA5-9146-AB0F3C2CCE6E}">
  <dimension ref="A1:N92"/>
  <sheetViews>
    <sheetView workbookViewId="0">
      <selection sqref="A1:XFD1048576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123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214" t="s">
        <v>86</v>
      </c>
      <c r="E4" s="217" t="s">
        <v>87</v>
      </c>
      <c r="F4" s="220" t="s">
        <v>88</v>
      </c>
      <c r="G4" s="223" t="s">
        <v>89</v>
      </c>
      <c r="H4" s="226" t="s">
        <v>90</v>
      </c>
      <c r="I4" s="229" t="s">
        <v>91</v>
      </c>
      <c r="J4" s="232" t="s">
        <v>92</v>
      </c>
      <c r="K4" s="235" t="s">
        <v>93</v>
      </c>
      <c r="M4" s="5"/>
      <c r="N4" s="5"/>
    </row>
    <row r="5" spans="1:14" ht="15" customHeight="1" x14ac:dyDescent="0.25">
      <c r="A5" s="152"/>
      <c r="B5" s="155"/>
      <c r="C5" s="152"/>
      <c r="D5" s="215"/>
      <c r="E5" s="218"/>
      <c r="F5" s="221"/>
      <c r="G5" s="224"/>
      <c r="H5" s="227"/>
      <c r="I5" s="230"/>
      <c r="J5" s="233"/>
      <c r="K5" s="236"/>
      <c r="M5" s="5"/>
      <c r="N5" s="5"/>
    </row>
    <row r="6" spans="1:14" ht="16.5" thickBot="1" x14ac:dyDescent="0.3">
      <c r="A6" s="153"/>
      <c r="B6" s="156"/>
      <c r="C6" s="153"/>
      <c r="D6" s="216"/>
      <c r="E6" s="219"/>
      <c r="F6" s="222"/>
      <c r="G6" s="225"/>
      <c r="H6" s="228"/>
      <c r="I6" s="231"/>
      <c r="J6" s="234"/>
      <c r="K6" s="237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>
        <v>9000</v>
      </c>
      <c r="E9" s="26" t="s">
        <v>94</v>
      </c>
      <c r="F9" s="15">
        <v>9000</v>
      </c>
      <c r="G9" s="19">
        <v>9000</v>
      </c>
      <c r="H9" s="23" t="s">
        <v>94</v>
      </c>
      <c r="I9" s="23" t="s">
        <v>94</v>
      </c>
      <c r="J9" s="87">
        <v>9000</v>
      </c>
      <c r="K9" s="20">
        <f t="shared" ref="K9:K80" si="0">AVERAGE(D9:J9)</f>
        <v>9000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13000</v>
      </c>
      <c r="G10" s="19">
        <v>11500</v>
      </c>
      <c r="H10" s="23" t="s">
        <v>94</v>
      </c>
      <c r="I10" s="23">
        <v>12500</v>
      </c>
      <c r="J10" s="24">
        <v>12500</v>
      </c>
      <c r="K10" s="20">
        <f t="shared" si="0"/>
        <v>12000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20200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14000</v>
      </c>
      <c r="G14" s="15">
        <v>13500</v>
      </c>
      <c r="H14" s="16">
        <v>13500</v>
      </c>
      <c r="I14" s="16">
        <v>13500</v>
      </c>
      <c r="J14" s="38">
        <v>14000</v>
      </c>
      <c r="K14" s="20">
        <f t="shared" si="0"/>
        <v>13571.428571428571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15857.142857142857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15500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36000</v>
      </c>
      <c r="E25" s="15">
        <v>36000</v>
      </c>
      <c r="F25" s="15">
        <v>35000</v>
      </c>
      <c r="G25" s="15">
        <v>34000</v>
      </c>
      <c r="H25" s="38">
        <v>36000</v>
      </c>
      <c r="I25" s="23">
        <v>35000</v>
      </c>
      <c r="J25" s="38">
        <v>38000</v>
      </c>
      <c r="K25" s="20">
        <f t="shared" si="0"/>
        <v>35714.285714285717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45000</v>
      </c>
      <c r="E27" s="15">
        <v>40000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39166.666666666664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35000</v>
      </c>
      <c r="E28" s="26">
        <v>28000</v>
      </c>
      <c r="F28" s="15">
        <v>30000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29428.571428571428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45000</v>
      </c>
      <c r="E31" s="15">
        <v>35000</v>
      </c>
      <c r="F31" s="15">
        <v>40000</v>
      </c>
      <c r="G31" s="15">
        <v>45000</v>
      </c>
      <c r="H31" s="16">
        <v>28000</v>
      </c>
      <c r="I31" s="23">
        <v>40000</v>
      </c>
      <c r="J31" s="38">
        <v>40000</v>
      </c>
      <c r="K31" s="20">
        <f t="shared" si="0"/>
        <v>39000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31000</v>
      </c>
      <c r="E34" s="15">
        <v>31000</v>
      </c>
      <c r="F34" s="15">
        <v>30000</v>
      </c>
      <c r="G34" s="15">
        <v>31000</v>
      </c>
      <c r="H34" s="16">
        <v>29000</v>
      </c>
      <c r="I34" s="16">
        <v>29000</v>
      </c>
      <c r="J34" s="38">
        <v>30500</v>
      </c>
      <c r="K34" s="20">
        <f t="shared" si="0"/>
        <v>30214.285714285714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3000</v>
      </c>
      <c r="K37" s="20">
        <f t="shared" si="0"/>
        <v>9857.1428571428569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10000</v>
      </c>
      <c r="H51" s="16">
        <v>6000</v>
      </c>
      <c r="I51" s="23" t="s">
        <v>94</v>
      </c>
      <c r="J51" s="38">
        <v>6000</v>
      </c>
      <c r="K51" s="20">
        <f t="shared" si="0"/>
        <v>8333.3333333333339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11000</v>
      </c>
      <c r="J55" s="38">
        <v>10000</v>
      </c>
      <c r="K55" s="20">
        <f t="shared" si="0"/>
        <v>11214.285714285714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13000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15333.333333333334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24000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25142.857142857141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31000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29142.857142857141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30000</v>
      </c>
      <c r="F64" s="15">
        <v>35000</v>
      </c>
      <c r="G64" s="15">
        <v>30000</v>
      </c>
      <c r="H64" s="16">
        <v>25000</v>
      </c>
      <c r="I64" s="16">
        <v>40000</v>
      </c>
      <c r="J64" s="38">
        <v>30000</v>
      </c>
      <c r="K64" s="20">
        <f t="shared" si="0"/>
        <v>31428.571428571428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28000</v>
      </c>
      <c r="E65" s="15">
        <v>25000</v>
      </c>
      <c r="F65" s="15">
        <v>25000</v>
      </c>
      <c r="G65" s="15">
        <v>30000</v>
      </c>
      <c r="H65" s="71" t="s">
        <v>94</v>
      </c>
      <c r="I65" s="51">
        <v>25000</v>
      </c>
      <c r="J65" s="52" t="s">
        <v>94</v>
      </c>
      <c r="K65" s="20">
        <f t="shared" si="0"/>
        <v>26600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35000</v>
      </c>
      <c r="E66" s="15">
        <v>40000</v>
      </c>
      <c r="F66" s="15">
        <v>42000</v>
      </c>
      <c r="G66" s="15">
        <v>35000</v>
      </c>
      <c r="H66" s="16">
        <v>35000</v>
      </c>
      <c r="I66" s="16">
        <v>40000</v>
      </c>
      <c r="J66" s="38">
        <v>35000</v>
      </c>
      <c r="K66" s="20">
        <f t="shared" si="0"/>
        <v>37428.571428571428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34000</v>
      </c>
      <c r="E70" s="15">
        <v>35000</v>
      </c>
      <c r="F70" s="15">
        <v>37000</v>
      </c>
      <c r="G70" s="15">
        <v>40000</v>
      </c>
      <c r="H70" s="16">
        <v>34000</v>
      </c>
      <c r="I70" s="16">
        <v>40000</v>
      </c>
      <c r="J70" s="38">
        <v>35000</v>
      </c>
      <c r="K70" s="20">
        <f t="shared" si="0"/>
        <v>36428.571428571428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33000</v>
      </c>
      <c r="E71" s="15">
        <v>35000</v>
      </c>
      <c r="F71" s="15">
        <v>35000</v>
      </c>
      <c r="G71" s="15">
        <v>35000</v>
      </c>
      <c r="H71" s="16">
        <v>32000</v>
      </c>
      <c r="I71" s="16">
        <v>40000</v>
      </c>
      <c r="J71" s="38">
        <v>28000</v>
      </c>
      <c r="K71" s="20">
        <f t="shared" si="0"/>
        <v>34000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35000</v>
      </c>
      <c r="E72" s="15">
        <v>35000</v>
      </c>
      <c r="F72" s="15">
        <v>38000</v>
      </c>
      <c r="G72" s="15">
        <v>40000</v>
      </c>
      <c r="H72" s="16">
        <v>30000</v>
      </c>
      <c r="I72" s="16">
        <v>40000</v>
      </c>
      <c r="J72" s="38">
        <v>30000</v>
      </c>
      <c r="K72" s="20">
        <f t="shared" si="0"/>
        <v>35428.571428571428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44000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30000</v>
      </c>
      <c r="K73" s="20">
        <f t="shared" si="0"/>
        <v>42000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8000</v>
      </c>
      <c r="G78" s="15">
        <v>7000</v>
      </c>
      <c r="H78" s="16">
        <v>9000</v>
      </c>
      <c r="I78" s="24">
        <v>8000</v>
      </c>
      <c r="J78" s="38">
        <v>6000</v>
      </c>
      <c r="K78" s="20">
        <f t="shared" si="0"/>
        <v>7571.4285714285716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14000</v>
      </c>
      <c r="E79" s="15">
        <v>22000</v>
      </c>
      <c r="F79" s="15">
        <v>16000</v>
      </c>
      <c r="G79" s="15">
        <v>15000</v>
      </c>
      <c r="H79" s="16">
        <v>10000</v>
      </c>
      <c r="I79" s="24">
        <v>20000</v>
      </c>
      <c r="J79" s="38">
        <v>15000</v>
      </c>
      <c r="K79" s="20">
        <f t="shared" si="0"/>
        <v>16000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14000</v>
      </c>
      <c r="E80" s="15">
        <v>15000</v>
      </c>
      <c r="F80" s="15">
        <v>16000</v>
      </c>
      <c r="G80" s="15">
        <v>13000</v>
      </c>
      <c r="H80" s="16">
        <v>15000</v>
      </c>
      <c r="I80" s="16">
        <v>17000</v>
      </c>
      <c r="J80" s="38">
        <v>13000</v>
      </c>
      <c r="K80" s="20">
        <f t="shared" si="0"/>
        <v>14714.285714285714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16000</v>
      </c>
      <c r="E81" s="15">
        <v>15000</v>
      </c>
      <c r="F81" s="15">
        <v>12000</v>
      </c>
      <c r="G81" s="15">
        <v>12000</v>
      </c>
      <c r="H81" s="16">
        <v>10000</v>
      </c>
      <c r="I81" s="51">
        <v>18000</v>
      </c>
      <c r="J81" s="38">
        <v>13000</v>
      </c>
      <c r="K81" s="20">
        <f t="shared" ref="K81:K88" si="1">AVERAGE(D81:J81)</f>
        <v>13714.285714285714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10000</v>
      </c>
      <c r="F82" s="15">
        <v>12000</v>
      </c>
      <c r="G82" s="15">
        <v>12000</v>
      </c>
      <c r="H82" s="16">
        <v>10000</v>
      </c>
      <c r="I82" s="16">
        <v>12000</v>
      </c>
      <c r="J82" s="38">
        <v>10000</v>
      </c>
      <c r="K82" s="20">
        <f t="shared" si="1"/>
        <v>10714.285714285714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9000</v>
      </c>
      <c r="E83" s="26">
        <v>12000</v>
      </c>
      <c r="F83" s="54">
        <v>8000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9428.5714285714294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63:A66"/>
    <mergeCell ref="A69:A73"/>
    <mergeCell ref="A43:A45"/>
    <mergeCell ref="A46:A48"/>
    <mergeCell ref="A52:A53"/>
    <mergeCell ref="A54:A55"/>
    <mergeCell ref="A56:A60"/>
    <mergeCell ref="A16:A17"/>
    <mergeCell ref="A19:A20"/>
    <mergeCell ref="A21:A25"/>
    <mergeCell ref="A26:A32"/>
    <mergeCell ref="A33:A35"/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</mergeCells>
  <pageMargins left="0.7" right="0.7" top="0.75" bottom="0.75" header="0.3" footer="0.3"/>
  <drawing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439B-696C-4E8B-81CB-41DC1077B823}">
  <dimension ref="A1:N92"/>
  <sheetViews>
    <sheetView workbookViewId="0">
      <selection activeCell="C10" sqref="C10"/>
    </sheetView>
  </sheetViews>
  <sheetFormatPr defaultRowHeight="15" x14ac:dyDescent="0.25"/>
  <cols>
    <col min="1" max="1" width="3.375" customWidth="1"/>
    <col min="2" max="2" width="39.125" customWidth="1"/>
    <col min="3" max="3" width="12.125" customWidth="1"/>
    <col min="4" max="4" width="15.25" style="3" customWidth="1"/>
    <col min="5" max="5" width="15.125" customWidth="1"/>
    <col min="6" max="6" width="15.375" customWidth="1"/>
    <col min="7" max="7" width="14.625" customWidth="1"/>
    <col min="8" max="8" width="14.75" customWidth="1"/>
    <col min="9" max="9" width="14.25" customWidth="1"/>
    <col min="10" max="10" width="14.125" customWidth="1"/>
    <col min="11" max="11" width="13" customWidth="1"/>
    <col min="13" max="13" width="12.375" bestFit="1" customWidth="1"/>
    <col min="257" max="257" width="3.375" customWidth="1"/>
    <col min="258" max="258" width="39.125" customWidth="1"/>
    <col min="259" max="259" width="12.125" customWidth="1"/>
    <col min="260" max="260" width="15.25" customWidth="1"/>
    <col min="261" max="261" width="15.125" customWidth="1"/>
    <col min="262" max="262" width="15.375" customWidth="1"/>
    <col min="263" max="263" width="14.625" customWidth="1"/>
    <col min="264" max="264" width="14.75" customWidth="1"/>
    <col min="265" max="265" width="14.25" customWidth="1"/>
    <col min="266" max="266" width="14.125" customWidth="1"/>
    <col min="267" max="267" width="13" customWidth="1"/>
    <col min="269" max="269" width="12.375" bestFit="1" customWidth="1"/>
    <col min="513" max="513" width="3.375" customWidth="1"/>
    <col min="514" max="514" width="39.125" customWidth="1"/>
    <col min="515" max="515" width="12.125" customWidth="1"/>
    <col min="516" max="516" width="15.25" customWidth="1"/>
    <col min="517" max="517" width="15.125" customWidth="1"/>
    <col min="518" max="518" width="15.375" customWidth="1"/>
    <col min="519" max="519" width="14.625" customWidth="1"/>
    <col min="520" max="520" width="14.75" customWidth="1"/>
    <col min="521" max="521" width="14.25" customWidth="1"/>
    <col min="522" max="522" width="14.125" customWidth="1"/>
    <col min="523" max="523" width="13" customWidth="1"/>
    <col min="525" max="525" width="12.375" bestFit="1" customWidth="1"/>
    <col min="769" max="769" width="3.375" customWidth="1"/>
    <col min="770" max="770" width="39.125" customWidth="1"/>
    <col min="771" max="771" width="12.125" customWidth="1"/>
    <col min="772" max="772" width="15.25" customWidth="1"/>
    <col min="773" max="773" width="15.125" customWidth="1"/>
    <col min="774" max="774" width="15.375" customWidth="1"/>
    <col min="775" max="775" width="14.625" customWidth="1"/>
    <col min="776" max="776" width="14.75" customWidth="1"/>
    <col min="777" max="777" width="14.25" customWidth="1"/>
    <col min="778" max="778" width="14.125" customWidth="1"/>
    <col min="779" max="779" width="13" customWidth="1"/>
    <col min="781" max="781" width="12.375" bestFit="1" customWidth="1"/>
    <col min="1025" max="1025" width="3.375" customWidth="1"/>
    <col min="1026" max="1026" width="39.125" customWidth="1"/>
    <col min="1027" max="1027" width="12.125" customWidth="1"/>
    <col min="1028" max="1028" width="15.25" customWidth="1"/>
    <col min="1029" max="1029" width="15.125" customWidth="1"/>
    <col min="1030" max="1030" width="15.375" customWidth="1"/>
    <col min="1031" max="1031" width="14.625" customWidth="1"/>
    <col min="1032" max="1032" width="14.75" customWidth="1"/>
    <col min="1033" max="1033" width="14.25" customWidth="1"/>
    <col min="1034" max="1034" width="14.125" customWidth="1"/>
    <col min="1035" max="1035" width="13" customWidth="1"/>
    <col min="1037" max="1037" width="12.375" bestFit="1" customWidth="1"/>
    <col min="1281" max="1281" width="3.375" customWidth="1"/>
    <col min="1282" max="1282" width="39.125" customWidth="1"/>
    <col min="1283" max="1283" width="12.125" customWidth="1"/>
    <col min="1284" max="1284" width="15.25" customWidth="1"/>
    <col min="1285" max="1285" width="15.125" customWidth="1"/>
    <col min="1286" max="1286" width="15.375" customWidth="1"/>
    <col min="1287" max="1287" width="14.625" customWidth="1"/>
    <col min="1288" max="1288" width="14.75" customWidth="1"/>
    <col min="1289" max="1289" width="14.25" customWidth="1"/>
    <col min="1290" max="1290" width="14.125" customWidth="1"/>
    <col min="1291" max="1291" width="13" customWidth="1"/>
    <col min="1293" max="1293" width="12.375" bestFit="1" customWidth="1"/>
    <col min="1537" max="1537" width="3.375" customWidth="1"/>
    <col min="1538" max="1538" width="39.125" customWidth="1"/>
    <col min="1539" max="1539" width="12.125" customWidth="1"/>
    <col min="1540" max="1540" width="15.25" customWidth="1"/>
    <col min="1541" max="1541" width="15.125" customWidth="1"/>
    <col min="1542" max="1542" width="15.375" customWidth="1"/>
    <col min="1543" max="1543" width="14.625" customWidth="1"/>
    <col min="1544" max="1544" width="14.75" customWidth="1"/>
    <col min="1545" max="1545" width="14.25" customWidth="1"/>
    <col min="1546" max="1546" width="14.125" customWidth="1"/>
    <col min="1547" max="1547" width="13" customWidth="1"/>
    <col min="1549" max="1549" width="12.375" bestFit="1" customWidth="1"/>
    <col min="1793" max="1793" width="3.375" customWidth="1"/>
    <col min="1794" max="1794" width="39.125" customWidth="1"/>
    <col min="1795" max="1795" width="12.125" customWidth="1"/>
    <col min="1796" max="1796" width="15.25" customWidth="1"/>
    <col min="1797" max="1797" width="15.125" customWidth="1"/>
    <col min="1798" max="1798" width="15.375" customWidth="1"/>
    <col min="1799" max="1799" width="14.625" customWidth="1"/>
    <col min="1800" max="1800" width="14.75" customWidth="1"/>
    <col min="1801" max="1801" width="14.25" customWidth="1"/>
    <col min="1802" max="1802" width="14.125" customWidth="1"/>
    <col min="1803" max="1803" width="13" customWidth="1"/>
    <col min="1805" max="1805" width="12.375" bestFit="1" customWidth="1"/>
    <col min="2049" max="2049" width="3.375" customWidth="1"/>
    <col min="2050" max="2050" width="39.125" customWidth="1"/>
    <col min="2051" max="2051" width="12.125" customWidth="1"/>
    <col min="2052" max="2052" width="15.25" customWidth="1"/>
    <col min="2053" max="2053" width="15.125" customWidth="1"/>
    <col min="2054" max="2054" width="15.375" customWidth="1"/>
    <col min="2055" max="2055" width="14.625" customWidth="1"/>
    <col min="2056" max="2056" width="14.75" customWidth="1"/>
    <col min="2057" max="2057" width="14.25" customWidth="1"/>
    <col min="2058" max="2058" width="14.125" customWidth="1"/>
    <col min="2059" max="2059" width="13" customWidth="1"/>
    <col min="2061" max="2061" width="12.375" bestFit="1" customWidth="1"/>
    <col min="2305" max="2305" width="3.375" customWidth="1"/>
    <col min="2306" max="2306" width="39.125" customWidth="1"/>
    <col min="2307" max="2307" width="12.125" customWidth="1"/>
    <col min="2308" max="2308" width="15.25" customWidth="1"/>
    <col min="2309" max="2309" width="15.125" customWidth="1"/>
    <col min="2310" max="2310" width="15.375" customWidth="1"/>
    <col min="2311" max="2311" width="14.625" customWidth="1"/>
    <col min="2312" max="2312" width="14.75" customWidth="1"/>
    <col min="2313" max="2313" width="14.25" customWidth="1"/>
    <col min="2314" max="2314" width="14.125" customWidth="1"/>
    <col min="2315" max="2315" width="13" customWidth="1"/>
    <col min="2317" max="2317" width="12.375" bestFit="1" customWidth="1"/>
    <col min="2561" max="2561" width="3.375" customWidth="1"/>
    <col min="2562" max="2562" width="39.125" customWidth="1"/>
    <col min="2563" max="2563" width="12.125" customWidth="1"/>
    <col min="2564" max="2564" width="15.25" customWidth="1"/>
    <col min="2565" max="2565" width="15.125" customWidth="1"/>
    <col min="2566" max="2566" width="15.375" customWidth="1"/>
    <col min="2567" max="2567" width="14.625" customWidth="1"/>
    <col min="2568" max="2568" width="14.75" customWidth="1"/>
    <col min="2569" max="2569" width="14.25" customWidth="1"/>
    <col min="2570" max="2570" width="14.125" customWidth="1"/>
    <col min="2571" max="2571" width="13" customWidth="1"/>
    <col min="2573" max="2573" width="12.375" bestFit="1" customWidth="1"/>
    <col min="2817" max="2817" width="3.375" customWidth="1"/>
    <col min="2818" max="2818" width="39.125" customWidth="1"/>
    <col min="2819" max="2819" width="12.125" customWidth="1"/>
    <col min="2820" max="2820" width="15.25" customWidth="1"/>
    <col min="2821" max="2821" width="15.125" customWidth="1"/>
    <col min="2822" max="2822" width="15.375" customWidth="1"/>
    <col min="2823" max="2823" width="14.625" customWidth="1"/>
    <col min="2824" max="2824" width="14.75" customWidth="1"/>
    <col min="2825" max="2825" width="14.25" customWidth="1"/>
    <col min="2826" max="2826" width="14.125" customWidth="1"/>
    <col min="2827" max="2827" width="13" customWidth="1"/>
    <col min="2829" max="2829" width="12.375" bestFit="1" customWidth="1"/>
    <col min="3073" max="3073" width="3.375" customWidth="1"/>
    <col min="3074" max="3074" width="39.125" customWidth="1"/>
    <col min="3075" max="3075" width="12.125" customWidth="1"/>
    <col min="3076" max="3076" width="15.25" customWidth="1"/>
    <col min="3077" max="3077" width="15.125" customWidth="1"/>
    <col min="3078" max="3078" width="15.375" customWidth="1"/>
    <col min="3079" max="3079" width="14.625" customWidth="1"/>
    <col min="3080" max="3080" width="14.75" customWidth="1"/>
    <col min="3081" max="3081" width="14.25" customWidth="1"/>
    <col min="3082" max="3082" width="14.125" customWidth="1"/>
    <col min="3083" max="3083" width="13" customWidth="1"/>
    <col min="3085" max="3085" width="12.375" bestFit="1" customWidth="1"/>
    <col min="3329" max="3329" width="3.375" customWidth="1"/>
    <col min="3330" max="3330" width="39.125" customWidth="1"/>
    <col min="3331" max="3331" width="12.125" customWidth="1"/>
    <col min="3332" max="3332" width="15.25" customWidth="1"/>
    <col min="3333" max="3333" width="15.125" customWidth="1"/>
    <col min="3334" max="3334" width="15.375" customWidth="1"/>
    <col min="3335" max="3335" width="14.625" customWidth="1"/>
    <col min="3336" max="3336" width="14.75" customWidth="1"/>
    <col min="3337" max="3337" width="14.25" customWidth="1"/>
    <col min="3338" max="3338" width="14.125" customWidth="1"/>
    <col min="3339" max="3339" width="13" customWidth="1"/>
    <col min="3341" max="3341" width="12.375" bestFit="1" customWidth="1"/>
    <col min="3585" max="3585" width="3.375" customWidth="1"/>
    <col min="3586" max="3586" width="39.125" customWidth="1"/>
    <col min="3587" max="3587" width="12.125" customWidth="1"/>
    <col min="3588" max="3588" width="15.25" customWidth="1"/>
    <col min="3589" max="3589" width="15.125" customWidth="1"/>
    <col min="3590" max="3590" width="15.375" customWidth="1"/>
    <col min="3591" max="3591" width="14.625" customWidth="1"/>
    <col min="3592" max="3592" width="14.75" customWidth="1"/>
    <col min="3593" max="3593" width="14.25" customWidth="1"/>
    <col min="3594" max="3594" width="14.125" customWidth="1"/>
    <col min="3595" max="3595" width="13" customWidth="1"/>
    <col min="3597" max="3597" width="12.375" bestFit="1" customWidth="1"/>
    <col min="3841" max="3841" width="3.375" customWidth="1"/>
    <col min="3842" max="3842" width="39.125" customWidth="1"/>
    <col min="3843" max="3843" width="12.125" customWidth="1"/>
    <col min="3844" max="3844" width="15.25" customWidth="1"/>
    <col min="3845" max="3845" width="15.125" customWidth="1"/>
    <col min="3846" max="3846" width="15.375" customWidth="1"/>
    <col min="3847" max="3847" width="14.625" customWidth="1"/>
    <col min="3848" max="3848" width="14.75" customWidth="1"/>
    <col min="3849" max="3849" width="14.25" customWidth="1"/>
    <col min="3850" max="3850" width="14.125" customWidth="1"/>
    <col min="3851" max="3851" width="13" customWidth="1"/>
    <col min="3853" max="3853" width="12.375" bestFit="1" customWidth="1"/>
    <col min="4097" max="4097" width="3.375" customWidth="1"/>
    <col min="4098" max="4098" width="39.125" customWidth="1"/>
    <col min="4099" max="4099" width="12.125" customWidth="1"/>
    <col min="4100" max="4100" width="15.25" customWidth="1"/>
    <col min="4101" max="4101" width="15.125" customWidth="1"/>
    <col min="4102" max="4102" width="15.375" customWidth="1"/>
    <col min="4103" max="4103" width="14.625" customWidth="1"/>
    <col min="4104" max="4104" width="14.75" customWidth="1"/>
    <col min="4105" max="4105" width="14.25" customWidth="1"/>
    <col min="4106" max="4106" width="14.125" customWidth="1"/>
    <col min="4107" max="4107" width="13" customWidth="1"/>
    <col min="4109" max="4109" width="12.375" bestFit="1" customWidth="1"/>
    <col min="4353" max="4353" width="3.375" customWidth="1"/>
    <col min="4354" max="4354" width="39.125" customWidth="1"/>
    <col min="4355" max="4355" width="12.125" customWidth="1"/>
    <col min="4356" max="4356" width="15.25" customWidth="1"/>
    <col min="4357" max="4357" width="15.125" customWidth="1"/>
    <col min="4358" max="4358" width="15.375" customWidth="1"/>
    <col min="4359" max="4359" width="14.625" customWidth="1"/>
    <col min="4360" max="4360" width="14.75" customWidth="1"/>
    <col min="4361" max="4361" width="14.25" customWidth="1"/>
    <col min="4362" max="4362" width="14.125" customWidth="1"/>
    <col min="4363" max="4363" width="13" customWidth="1"/>
    <col min="4365" max="4365" width="12.375" bestFit="1" customWidth="1"/>
    <col min="4609" max="4609" width="3.375" customWidth="1"/>
    <col min="4610" max="4610" width="39.125" customWidth="1"/>
    <col min="4611" max="4611" width="12.125" customWidth="1"/>
    <col min="4612" max="4612" width="15.25" customWidth="1"/>
    <col min="4613" max="4613" width="15.125" customWidth="1"/>
    <col min="4614" max="4614" width="15.375" customWidth="1"/>
    <col min="4615" max="4615" width="14.625" customWidth="1"/>
    <col min="4616" max="4616" width="14.75" customWidth="1"/>
    <col min="4617" max="4617" width="14.25" customWidth="1"/>
    <col min="4618" max="4618" width="14.125" customWidth="1"/>
    <col min="4619" max="4619" width="13" customWidth="1"/>
    <col min="4621" max="4621" width="12.375" bestFit="1" customWidth="1"/>
    <col min="4865" max="4865" width="3.375" customWidth="1"/>
    <col min="4866" max="4866" width="39.125" customWidth="1"/>
    <col min="4867" max="4867" width="12.125" customWidth="1"/>
    <col min="4868" max="4868" width="15.25" customWidth="1"/>
    <col min="4869" max="4869" width="15.125" customWidth="1"/>
    <col min="4870" max="4870" width="15.375" customWidth="1"/>
    <col min="4871" max="4871" width="14.625" customWidth="1"/>
    <col min="4872" max="4872" width="14.75" customWidth="1"/>
    <col min="4873" max="4873" width="14.25" customWidth="1"/>
    <col min="4874" max="4874" width="14.125" customWidth="1"/>
    <col min="4875" max="4875" width="13" customWidth="1"/>
    <col min="4877" max="4877" width="12.375" bestFit="1" customWidth="1"/>
    <col min="5121" max="5121" width="3.375" customWidth="1"/>
    <col min="5122" max="5122" width="39.125" customWidth="1"/>
    <col min="5123" max="5123" width="12.125" customWidth="1"/>
    <col min="5124" max="5124" width="15.25" customWidth="1"/>
    <col min="5125" max="5125" width="15.125" customWidth="1"/>
    <col min="5126" max="5126" width="15.375" customWidth="1"/>
    <col min="5127" max="5127" width="14.625" customWidth="1"/>
    <col min="5128" max="5128" width="14.75" customWidth="1"/>
    <col min="5129" max="5129" width="14.25" customWidth="1"/>
    <col min="5130" max="5130" width="14.125" customWidth="1"/>
    <col min="5131" max="5131" width="13" customWidth="1"/>
    <col min="5133" max="5133" width="12.375" bestFit="1" customWidth="1"/>
    <col min="5377" max="5377" width="3.375" customWidth="1"/>
    <col min="5378" max="5378" width="39.125" customWidth="1"/>
    <col min="5379" max="5379" width="12.125" customWidth="1"/>
    <col min="5380" max="5380" width="15.25" customWidth="1"/>
    <col min="5381" max="5381" width="15.125" customWidth="1"/>
    <col min="5382" max="5382" width="15.375" customWidth="1"/>
    <col min="5383" max="5383" width="14.625" customWidth="1"/>
    <col min="5384" max="5384" width="14.75" customWidth="1"/>
    <col min="5385" max="5385" width="14.25" customWidth="1"/>
    <col min="5386" max="5386" width="14.125" customWidth="1"/>
    <col min="5387" max="5387" width="13" customWidth="1"/>
    <col min="5389" max="5389" width="12.375" bestFit="1" customWidth="1"/>
    <col min="5633" max="5633" width="3.375" customWidth="1"/>
    <col min="5634" max="5634" width="39.125" customWidth="1"/>
    <col min="5635" max="5635" width="12.125" customWidth="1"/>
    <col min="5636" max="5636" width="15.25" customWidth="1"/>
    <col min="5637" max="5637" width="15.125" customWidth="1"/>
    <col min="5638" max="5638" width="15.375" customWidth="1"/>
    <col min="5639" max="5639" width="14.625" customWidth="1"/>
    <col min="5640" max="5640" width="14.75" customWidth="1"/>
    <col min="5641" max="5641" width="14.25" customWidth="1"/>
    <col min="5642" max="5642" width="14.125" customWidth="1"/>
    <col min="5643" max="5643" width="13" customWidth="1"/>
    <col min="5645" max="5645" width="12.375" bestFit="1" customWidth="1"/>
    <col min="5889" max="5889" width="3.375" customWidth="1"/>
    <col min="5890" max="5890" width="39.125" customWidth="1"/>
    <col min="5891" max="5891" width="12.125" customWidth="1"/>
    <col min="5892" max="5892" width="15.25" customWidth="1"/>
    <col min="5893" max="5893" width="15.125" customWidth="1"/>
    <col min="5894" max="5894" width="15.375" customWidth="1"/>
    <col min="5895" max="5895" width="14.625" customWidth="1"/>
    <col min="5896" max="5896" width="14.75" customWidth="1"/>
    <col min="5897" max="5897" width="14.25" customWidth="1"/>
    <col min="5898" max="5898" width="14.125" customWidth="1"/>
    <col min="5899" max="5899" width="13" customWidth="1"/>
    <col min="5901" max="5901" width="12.375" bestFit="1" customWidth="1"/>
    <col min="6145" max="6145" width="3.375" customWidth="1"/>
    <col min="6146" max="6146" width="39.125" customWidth="1"/>
    <col min="6147" max="6147" width="12.125" customWidth="1"/>
    <col min="6148" max="6148" width="15.25" customWidth="1"/>
    <col min="6149" max="6149" width="15.125" customWidth="1"/>
    <col min="6150" max="6150" width="15.375" customWidth="1"/>
    <col min="6151" max="6151" width="14.625" customWidth="1"/>
    <col min="6152" max="6152" width="14.75" customWidth="1"/>
    <col min="6153" max="6153" width="14.25" customWidth="1"/>
    <col min="6154" max="6154" width="14.125" customWidth="1"/>
    <col min="6155" max="6155" width="13" customWidth="1"/>
    <col min="6157" max="6157" width="12.375" bestFit="1" customWidth="1"/>
    <col min="6401" max="6401" width="3.375" customWidth="1"/>
    <col min="6402" max="6402" width="39.125" customWidth="1"/>
    <col min="6403" max="6403" width="12.125" customWidth="1"/>
    <col min="6404" max="6404" width="15.25" customWidth="1"/>
    <col min="6405" max="6405" width="15.125" customWidth="1"/>
    <col min="6406" max="6406" width="15.375" customWidth="1"/>
    <col min="6407" max="6407" width="14.625" customWidth="1"/>
    <col min="6408" max="6408" width="14.75" customWidth="1"/>
    <col min="6409" max="6409" width="14.25" customWidth="1"/>
    <col min="6410" max="6410" width="14.125" customWidth="1"/>
    <col min="6411" max="6411" width="13" customWidth="1"/>
    <col min="6413" max="6413" width="12.375" bestFit="1" customWidth="1"/>
    <col min="6657" max="6657" width="3.375" customWidth="1"/>
    <col min="6658" max="6658" width="39.125" customWidth="1"/>
    <col min="6659" max="6659" width="12.125" customWidth="1"/>
    <col min="6660" max="6660" width="15.25" customWidth="1"/>
    <col min="6661" max="6661" width="15.125" customWidth="1"/>
    <col min="6662" max="6662" width="15.375" customWidth="1"/>
    <col min="6663" max="6663" width="14.625" customWidth="1"/>
    <col min="6664" max="6664" width="14.75" customWidth="1"/>
    <col min="6665" max="6665" width="14.25" customWidth="1"/>
    <col min="6666" max="6666" width="14.125" customWidth="1"/>
    <col min="6667" max="6667" width="13" customWidth="1"/>
    <col min="6669" max="6669" width="12.375" bestFit="1" customWidth="1"/>
    <col min="6913" max="6913" width="3.375" customWidth="1"/>
    <col min="6914" max="6914" width="39.125" customWidth="1"/>
    <col min="6915" max="6915" width="12.125" customWidth="1"/>
    <col min="6916" max="6916" width="15.25" customWidth="1"/>
    <col min="6917" max="6917" width="15.125" customWidth="1"/>
    <col min="6918" max="6918" width="15.375" customWidth="1"/>
    <col min="6919" max="6919" width="14.625" customWidth="1"/>
    <col min="6920" max="6920" width="14.75" customWidth="1"/>
    <col min="6921" max="6921" width="14.25" customWidth="1"/>
    <col min="6922" max="6922" width="14.125" customWidth="1"/>
    <col min="6923" max="6923" width="13" customWidth="1"/>
    <col min="6925" max="6925" width="12.375" bestFit="1" customWidth="1"/>
    <col min="7169" max="7169" width="3.375" customWidth="1"/>
    <col min="7170" max="7170" width="39.125" customWidth="1"/>
    <col min="7171" max="7171" width="12.125" customWidth="1"/>
    <col min="7172" max="7172" width="15.25" customWidth="1"/>
    <col min="7173" max="7173" width="15.125" customWidth="1"/>
    <col min="7174" max="7174" width="15.375" customWidth="1"/>
    <col min="7175" max="7175" width="14.625" customWidth="1"/>
    <col min="7176" max="7176" width="14.75" customWidth="1"/>
    <col min="7177" max="7177" width="14.25" customWidth="1"/>
    <col min="7178" max="7178" width="14.125" customWidth="1"/>
    <col min="7179" max="7179" width="13" customWidth="1"/>
    <col min="7181" max="7181" width="12.375" bestFit="1" customWidth="1"/>
    <col min="7425" max="7425" width="3.375" customWidth="1"/>
    <col min="7426" max="7426" width="39.125" customWidth="1"/>
    <col min="7427" max="7427" width="12.125" customWidth="1"/>
    <col min="7428" max="7428" width="15.25" customWidth="1"/>
    <col min="7429" max="7429" width="15.125" customWidth="1"/>
    <col min="7430" max="7430" width="15.375" customWidth="1"/>
    <col min="7431" max="7431" width="14.625" customWidth="1"/>
    <col min="7432" max="7432" width="14.75" customWidth="1"/>
    <col min="7433" max="7433" width="14.25" customWidth="1"/>
    <col min="7434" max="7434" width="14.125" customWidth="1"/>
    <col min="7435" max="7435" width="13" customWidth="1"/>
    <col min="7437" max="7437" width="12.375" bestFit="1" customWidth="1"/>
    <col min="7681" max="7681" width="3.375" customWidth="1"/>
    <col min="7682" max="7682" width="39.125" customWidth="1"/>
    <col min="7683" max="7683" width="12.125" customWidth="1"/>
    <col min="7684" max="7684" width="15.25" customWidth="1"/>
    <col min="7685" max="7685" width="15.125" customWidth="1"/>
    <col min="7686" max="7686" width="15.375" customWidth="1"/>
    <col min="7687" max="7687" width="14.625" customWidth="1"/>
    <col min="7688" max="7688" width="14.75" customWidth="1"/>
    <col min="7689" max="7689" width="14.25" customWidth="1"/>
    <col min="7690" max="7690" width="14.125" customWidth="1"/>
    <col min="7691" max="7691" width="13" customWidth="1"/>
    <col min="7693" max="7693" width="12.375" bestFit="1" customWidth="1"/>
    <col min="7937" max="7937" width="3.375" customWidth="1"/>
    <col min="7938" max="7938" width="39.125" customWidth="1"/>
    <col min="7939" max="7939" width="12.125" customWidth="1"/>
    <col min="7940" max="7940" width="15.25" customWidth="1"/>
    <col min="7941" max="7941" width="15.125" customWidth="1"/>
    <col min="7942" max="7942" width="15.375" customWidth="1"/>
    <col min="7943" max="7943" width="14.625" customWidth="1"/>
    <col min="7944" max="7944" width="14.75" customWidth="1"/>
    <col min="7945" max="7945" width="14.25" customWidth="1"/>
    <col min="7946" max="7946" width="14.125" customWidth="1"/>
    <col min="7947" max="7947" width="13" customWidth="1"/>
    <col min="7949" max="7949" width="12.375" bestFit="1" customWidth="1"/>
    <col min="8193" max="8193" width="3.375" customWidth="1"/>
    <col min="8194" max="8194" width="39.125" customWidth="1"/>
    <col min="8195" max="8195" width="12.125" customWidth="1"/>
    <col min="8196" max="8196" width="15.25" customWidth="1"/>
    <col min="8197" max="8197" width="15.125" customWidth="1"/>
    <col min="8198" max="8198" width="15.375" customWidth="1"/>
    <col min="8199" max="8199" width="14.625" customWidth="1"/>
    <col min="8200" max="8200" width="14.75" customWidth="1"/>
    <col min="8201" max="8201" width="14.25" customWidth="1"/>
    <col min="8202" max="8202" width="14.125" customWidth="1"/>
    <col min="8203" max="8203" width="13" customWidth="1"/>
    <col min="8205" max="8205" width="12.375" bestFit="1" customWidth="1"/>
    <col min="8449" max="8449" width="3.375" customWidth="1"/>
    <col min="8450" max="8450" width="39.125" customWidth="1"/>
    <col min="8451" max="8451" width="12.125" customWidth="1"/>
    <col min="8452" max="8452" width="15.25" customWidth="1"/>
    <col min="8453" max="8453" width="15.125" customWidth="1"/>
    <col min="8454" max="8454" width="15.375" customWidth="1"/>
    <col min="8455" max="8455" width="14.625" customWidth="1"/>
    <col min="8456" max="8456" width="14.75" customWidth="1"/>
    <col min="8457" max="8457" width="14.25" customWidth="1"/>
    <col min="8458" max="8458" width="14.125" customWidth="1"/>
    <col min="8459" max="8459" width="13" customWidth="1"/>
    <col min="8461" max="8461" width="12.375" bestFit="1" customWidth="1"/>
    <col min="8705" max="8705" width="3.375" customWidth="1"/>
    <col min="8706" max="8706" width="39.125" customWidth="1"/>
    <col min="8707" max="8707" width="12.125" customWidth="1"/>
    <col min="8708" max="8708" width="15.25" customWidth="1"/>
    <col min="8709" max="8709" width="15.125" customWidth="1"/>
    <col min="8710" max="8710" width="15.375" customWidth="1"/>
    <col min="8711" max="8711" width="14.625" customWidth="1"/>
    <col min="8712" max="8712" width="14.75" customWidth="1"/>
    <col min="8713" max="8713" width="14.25" customWidth="1"/>
    <col min="8714" max="8714" width="14.125" customWidth="1"/>
    <col min="8715" max="8715" width="13" customWidth="1"/>
    <col min="8717" max="8717" width="12.375" bestFit="1" customWidth="1"/>
    <col min="8961" max="8961" width="3.375" customWidth="1"/>
    <col min="8962" max="8962" width="39.125" customWidth="1"/>
    <col min="8963" max="8963" width="12.125" customWidth="1"/>
    <col min="8964" max="8964" width="15.25" customWidth="1"/>
    <col min="8965" max="8965" width="15.125" customWidth="1"/>
    <col min="8966" max="8966" width="15.375" customWidth="1"/>
    <col min="8967" max="8967" width="14.625" customWidth="1"/>
    <col min="8968" max="8968" width="14.75" customWidth="1"/>
    <col min="8969" max="8969" width="14.25" customWidth="1"/>
    <col min="8970" max="8970" width="14.125" customWidth="1"/>
    <col min="8971" max="8971" width="13" customWidth="1"/>
    <col min="8973" max="8973" width="12.375" bestFit="1" customWidth="1"/>
    <col min="9217" max="9217" width="3.375" customWidth="1"/>
    <col min="9218" max="9218" width="39.125" customWidth="1"/>
    <col min="9219" max="9219" width="12.125" customWidth="1"/>
    <col min="9220" max="9220" width="15.25" customWidth="1"/>
    <col min="9221" max="9221" width="15.125" customWidth="1"/>
    <col min="9222" max="9222" width="15.375" customWidth="1"/>
    <col min="9223" max="9223" width="14.625" customWidth="1"/>
    <col min="9224" max="9224" width="14.75" customWidth="1"/>
    <col min="9225" max="9225" width="14.25" customWidth="1"/>
    <col min="9226" max="9226" width="14.125" customWidth="1"/>
    <col min="9227" max="9227" width="13" customWidth="1"/>
    <col min="9229" max="9229" width="12.375" bestFit="1" customWidth="1"/>
    <col min="9473" max="9473" width="3.375" customWidth="1"/>
    <col min="9474" max="9474" width="39.125" customWidth="1"/>
    <col min="9475" max="9475" width="12.125" customWidth="1"/>
    <col min="9476" max="9476" width="15.25" customWidth="1"/>
    <col min="9477" max="9477" width="15.125" customWidth="1"/>
    <col min="9478" max="9478" width="15.375" customWidth="1"/>
    <col min="9479" max="9479" width="14.625" customWidth="1"/>
    <col min="9480" max="9480" width="14.75" customWidth="1"/>
    <col min="9481" max="9481" width="14.25" customWidth="1"/>
    <col min="9482" max="9482" width="14.125" customWidth="1"/>
    <col min="9483" max="9483" width="13" customWidth="1"/>
    <col min="9485" max="9485" width="12.375" bestFit="1" customWidth="1"/>
    <col min="9729" max="9729" width="3.375" customWidth="1"/>
    <col min="9730" max="9730" width="39.125" customWidth="1"/>
    <col min="9731" max="9731" width="12.125" customWidth="1"/>
    <col min="9732" max="9732" width="15.25" customWidth="1"/>
    <col min="9733" max="9733" width="15.125" customWidth="1"/>
    <col min="9734" max="9734" width="15.375" customWidth="1"/>
    <col min="9735" max="9735" width="14.625" customWidth="1"/>
    <col min="9736" max="9736" width="14.75" customWidth="1"/>
    <col min="9737" max="9737" width="14.25" customWidth="1"/>
    <col min="9738" max="9738" width="14.125" customWidth="1"/>
    <col min="9739" max="9739" width="13" customWidth="1"/>
    <col min="9741" max="9741" width="12.375" bestFit="1" customWidth="1"/>
    <col min="9985" max="9985" width="3.375" customWidth="1"/>
    <col min="9986" max="9986" width="39.125" customWidth="1"/>
    <col min="9987" max="9987" width="12.125" customWidth="1"/>
    <col min="9988" max="9988" width="15.25" customWidth="1"/>
    <col min="9989" max="9989" width="15.125" customWidth="1"/>
    <col min="9990" max="9990" width="15.375" customWidth="1"/>
    <col min="9991" max="9991" width="14.625" customWidth="1"/>
    <col min="9992" max="9992" width="14.75" customWidth="1"/>
    <col min="9993" max="9993" width="14.25" customWidth="1"/>
    <col min="9994" max="9994" width="14.125" customWidth="1"/>
    <col min="9995" max="9995" width="13" customWidth="1"/>
    <col min="9997" max="9997" width="12.375" bestFit="1" customWidth="1"/>
    <col min="10241" max="10241" width="3.375" customWidth="1"/>
    <col min="10242" max="10242" width="39.125" customWidth="1"/>
    <col min="10243" max="10243" width="12.125" customWidth="1"/>
    <col min="10244" max="10244" width="15.25" customWidth="1"/>
    <col min="10245" max="10245" width="15.125" customWidth="1"/>
    <col min="10246" max="10246" width="15.375" customWidth="1"/>
    <col min="10247" max="10247" width="14.625" customWidth="1"/>
    <col min="10248" max="10248" width="14.75" customWidth="1"/>
    <col min="10249" max="10249" width="14.25" customWidth="1"/>
    <col min="10250" max="10250" width="14.125" customWidth="1"/>
    <col min="10251" max="10251" width="13" customWidth="1"/>
    <col min="10253" max="10253" width="12.375" bestFit="1" customWidth="1"/>
    <col min="10497" max="10497" width="3.375" customWidth="1"/>
    <col min="10498" max="10498" width="39.125" customWidth="1"/>
    <col min="10499" max="10499" width="12.125" customWidth="1"/>
    <col min="10500" max="10500" width="15.25" customWidth="1"/>
    <col min="10501" max="10501" width="15.125" customWidth="1"/>
    <col min="10502" max="10502" width="15.375" customWidth="1"/>
    <col min="10503" max="10503" width="14.625" customWidth="1"/>
    <col min="10504" max="10504" width="14.75" customWidth="1"/>
    <col min="10505" max="10505" width="14.25" customWidth="1"/>
    <col min="10506" max="10506" width="14.125" customWidth="1"/>
    <col min="10507" max="10507" width="13" customWidth="1"/>
    <col min="10509" max="10509" width="12.375" bestFit="1" customWidth="1"/>
    <col min="10753" max="10753" width="3.375" customWidth="1"/>
    <col min="10754" max="10754" width="39.125" customWidth="1"/>
    <col min="10755" max="10755" width="12.125" customWidth="1"/>
    <col min="10756" max="10756" width="15.25" customWidth="1"/>
    <col min="10757" max="10757" width="15.125" customWidth="1"/>
    <col min="10758" max="10758" width="15.375" customWidth="1"/>
    <col min="10759" max="10759" width="14.625" customWidth="1"/>
    <col min="10760" max="10760" width="14.75" customWidth="1"/>
    <col min="10761" max="10761" width="14.25" customWidth="1"/>
    <col min="10762" max="10762" width="14.125" customWidth="1"/>
    <col min="10763" max="10763" width="13" customWidth="1"/>
    <col min="10765" max="10765" width="12.375" bestFit="1" customWidth="1"/>
    <col min="11009" max="11009" width="3.375" customWidth="1"/>
    <col min="11010" max="11010" width="39.125" customWidth="1"/>
    <col min="11011" max="11011" width="12.125" customWidth="1"/>
    <col min="11012" max="11012" width="15.25" customWidth="1"/>
    <col min="11013" max="11013" width="15.125" customWidth="1"/>
    <col min="11014" max="11014" width="15.375" customWidth="1"/>
    <col min="11015" max="11015" width="14.625" customWidth="1"/>
    <col min="11016" max="11016" width="14.75" customWidth="1"/>
    <col min="11017" max="11017" width="14.25" customWidth="1"/>
    <col min="11018" max="11018" width="14.125" customWidth="1"/>
    <col min="11019" max="11019" width="13" customWidth="1"/>
    <col min="11021" max="11021" width="12.375" bestFit="1" customWidth="1"/>
    <col min="11265" max="11265" width="3.375" customWidth="1"/>
    <col min="11266" max="11266" width="39.125" customWidth="1"/>
    <col min="11267" max="11267" width="12.125" customWidth="1"/>
    <col min="11268" max="11268" width="15.25" customWidth="1"/>
    <col min="11269" max="11269" width="15.125" customWidth="1"/>
    <col min="11270" max="11270" width="15.375" customWidth="1"/>
    <col min="11271" max="11271" width="14.625" customWidth="1"/>
    <col min="11272" max="11272" width="14.75" customWidth="1"/>
    <col min="11273" max="11273" width="14.25" customWidth="1"/>
    <col min="11274" max="11274" width="14.125" customWidth="1"/>
    <col min="11275" max="11275" width="13" customWidth="1"/>
    <col min="11277" max="11277" width="12.375" bestFit="1" customWidth="1"/>
    <col min="11521" max="11521" width="3.375" customWidth="1"/>
    <col min="11522" max="11522" width="39.125" customWidth="1"/>
    <col min="11523" max="11523" width="12.125" customWidth="1"/>
    <col min="11524" max="11524" width="15.25" customWidth="1"/>
    <col min="11525" max="11525" width="15.125" customWidth="1"/>
    <col min="11526" max="11526" width="15.375" customWidth="1"/>
    <col min="11527" max="11527" width="14.625" customWidth="1"/>
    <col min="11528" max="11528" width="14.75" customWidth="1"/>
    <col min="11529" max="11529" width="14.25" customWidth="1"/>
    <col min="11530" max="11530" width="14.125" customWidth="1"/>
    <col min="11531" max="11531" width="13" customWidth="1"/>
    <col min="11533" max="11533" width="12.375" bestFit="1" customWidth="1"/>
    <col min="11777" max="11777" width="3.375" customWidth="1"/>
    <col min="11778" max="11778" width="39.125" customWidth="1"/>
    <col min="11779" max="11779" width="12.125" customWidth="1"/>
    <col min="11780" max="11780" width="15.25" customWidth="1"/>
    <col min="11781" max="11781" width="15.125" customWidth="1"/>
    <col min="11782" max="11782" width="15.375" customWidth="1"/>
    <col min="11783" max="11783" width="14.625" customWidth="1"/>
    <col min="11784" max="11784" width="14.75" customWidth="1"/>
    <col min="11785" max="11785" width="14.25" customWidth="1"/>
    <col min="11786" max="11786" width="14.125" customWidth="1"/>
    <col min="11787" max="11787" width="13" customWidth="1"/>
    <col min="11789" max="11789" width="12.375" bestFit="1" customWidth="1"/>
    <col min="12033" max="12033" width="3.375" customWidth="1"/>
    <col min="12034" max="12034" width="39.125" customWidth="1"/>
    <col min="12035" max="12035" width="12.125" customWidth="1"/>
    <col min="12036" max="12036" width="15.25" customWidth="1"/>
    <col min="12037" max="12037" width="15.125" customWidth="1"/>
    <col min="12038" max="12038" width="15.375" customWidth="1"/>
    <col min="12039" max="12039" width="14.625" customWidth="1"/>
    <col min="12040" max="12040" width="14.75" customWidth="1"/>
    <col min="12041" max="12041" width="14.25" customWidth="1"/>
    <col min="12042" max="12042" width="14.125" customWidth="1"/>
    <col min="12043" max="12043" width="13" customWidth="1"/>
    <col min="12045" max="12045" width="12.375" bestFit="1" customWidth="1"/>
    <col min="12289" max="12289" width="3.375" customWidth="1"/>
    <col min="12290" max="12290" width="39.125" customWidth="1"/>
    <col min="12291" max="12291" width="12.125" customWidth="1"/>
    <col min="12292" max="12292" width="15.25" customWidth="1"/>
    <col min="12293" max="12293" width="15.125" customWidth="1"/>
    <col min="12294" max="12294" width="15.375" customWidth="1"/>
    <col min="12295" max="12295" width="14.625" customWidth="1"/>
    <col min="12296" max="12296" width="14.75" customWidth="1"/>
    <col min="12297" max="12297" width="14.25" customWidth="1"/>
    <col min="12298" max="12298" width="14.125" customWidth="1"/>
    <col min="12299" max="12299" width="13" customWidth="1"/>
    <col min="12301" max="12301" width="12.375" bestFit="1" customWidth="1"/>
    <col min="12545" max="12545" width="3.375" customWidth="1"/>
    <col min="12546" max="12546" width="39.125" customWidth="1"/>
    <col min="12547" max="12547" width="12.125" customWidth="1"/>
    <col min="12548" max="12548" width="15.25" customWidth="1"/>
    <col min="12549" max="12549" width="15.125" customWidth="1"/>
    <col min="12550" max="12550" width="15.375" customWidth="1"/>
    <col min="12551" max="12551" width="14.625" customWidth="1"/>
    <col min="12552" max="12552" width="14.75" customWidth="1"/>
    <col min="12553" max="12553" width="14.25" customWidth="1"/>
    <col min="12554" max="12554" width="14.125" customWidth="1"/>
    <col min="12555" max="12555" width="13" customWidth="1"/>
    <col min="12557" max="12557" width="12.375" bestFit="1" customWidth="1"/>
    <col min="12801" max="12801" width="3.375" customWidth="1"/>
    <col min="12802" max="12802" width="39.125" customWidth="1"/>
    <col min="12803" max="12803" width="12.125" customWidth="1"/>
    <col min="12804" max="12804" width="15.25" customWidth="1"/>
    <col min="12805" max="12805" width="15.125" customWidth="1"/>
    <col min="12806" max="12806" width="15.375" customWidth="1"/>
    <col min="12807" max="12807" width="14.625" customWidth="1"/>
    <col min="12808" max="12808" width="14.75" customWidth="1"/>
    <col min="12809" max="12809" width="14.25" customWidth="1"/>
    <col min="12810" max="12810" width="14.125" customWidth="1"/>
    <col min="12811" max="12811" width="13" customWidth="1"/>
    <col min="12813" max="12813" width="12.375" bestFit="1" customWidth="1"/>
    <col min="13057" max="13057" width="3.375" customWidth="1"/>
    <col min="13058" max="13058" width="39.125" customWidth="1"/>
    <col min="13059" max="13059" width="12.125" customWidth="1"/>
    <col min="13060" max="13060" width="15.25" customWidth="1"/>
    <col min="13061" max="13061" width="15.125" customWidth="1"/>
    <col min="13062" max="13062" width="15.375" customWidth="1"/>
    <col min="13063" max="13063" width="14.625" customWidth="1"/>
    <col min="13064" max="13064" width="14.75" customWidth="1"/>
    <col min="13065" max="13065" width="14.25" customWidth="1"/>
    <col min="13066" max="13066" width="14.125" customWidth="1"/>
    <col min="13067" max="13067" width="13" customWidth="1"/>
    <col min="13069" max="13069" width="12.375" bestFit="1" customWidth="1"/>
    <col min="13313" max="13313" width="3.375" customWidth="1"/>
    <col min="13314" max="13314" width="39.125" customWidth="1"/>
    <col min="13315" max="13315" width="12.125" customWidth="1"/>
    <col min="13316" max="13316" width="15.25" customWidth="1"/>
    <col min="13317" max="13317" width="15.125" customWidth="1"/>
    <col min="13318" max="13318" width="15.375" customWidth="1"/>
    <col min="13319" max="13319" width="14.625" customWidth="1"/>
    <col min="13320" max="13320" width="14.75" customWidth="1"/>
    <col min="13321" max="13321" width="14.25" customWidth="1"/>
    <col min="13322" max="13322" width="14.125" customWidth="1"/>
    <col min="13323" max="13323" width="13" customWidth="1"/>
    <col min="13325" max="13325" width="12.375" bestFit="1" customWidth="1"/>
    <col min="13569" max="13569" width="3.375" customWidth="1"/>
    <col min="13570" max="13570" width="39.125" customWidth="1"/>
    <col min="13571" max="13571" width="12.125" customWidth="1"/>
    <col min="13572" max="13572" width="15.25" customWidth="1"/>
    <col min="13573" max="13573" width="15.125" customWidth="1"/>
    <col min="13574" max="13574" width="15.375" customWidth="1"/>
    <col min="13575" max="13575" width="14.625" customWidth="1"/>
    <col min="13576" max="13576" width="14.75" customWidth="1"/>
    <col min="13577" max="13577" width="14.25" customWidth="1"/>
    <col min="13578" max="13578" width="14.125" customWidth="1"/>
    <col min="13579" max="13579" width="13" customWidth="1"/>
    <col min="13581" max="13581" width="12.375" bestFit="1" customWidth="1"/>
    <col min="13825" max="13825" width="3.375" customWidth="1"/>
    <col min="13826" max="13826" width="39.125" customWidth="1"/>
    <col min="13827" max="13827" width="12.125" customWidth="1"/>
    <col min="13828" max="13828" width="15.25" customWidth="1"/>
    <col min="13829" max="13829" width="15.125" customWidth="1"/>
    <col min="13830" max="13830" width="15.375" customWidth="1"/>
    <col min="13831" max="13831" width="14.625" customWidth="1"/>
    <col min="13832" max="13832" width="14.75" customWidth="1"/>
    <col min="13833" max="13833" width="14.25" customWidth="1"/>
    <col min="13834" max="13834" width="14.125" customWidth="1"/>
    <col min="13835" max="13835" width="13" customWidth="1"/>
    <col min="13837" max="13837" width="12.375" bestFit="1" customWidth="1"/>
    <col min="14081" max="14081" width="3.375" customWidth="1"/>
    <col min="14082" max="14082" width="39.125" customWidth="1"/>
    <col min="14083" max="14083" width="12.125" customWidth="1"/>
    <col min="14084" max="14084" width="15.25" customWidth="1"/>
    <col min="14085" max="14085" width="15.125" customWidth="1"/>
    <col min="14086" max="14086" width="15.375" customWidth="1"/>
    <col min="14087" max="14087" width="14.625" customWidth="1"/>
    <col min="14088" max="14088" width="14.75" customWidth="1"/>
    <col min="14089" max="14089" width="14.25" customWidth="1"/>
    <col min="14090" max="14090" width="14.125" customWidth="1"/>
    <col min="14091" max="14091" width="13" customWidth="1"/>
    <col min="14093" max="14093" width="12.375" bestFit="1" customWidth="1"/>
    <col min="14337" max="14337" width="3.375" customWidth="1"/>
    <col min="14338" max="14338" width="39.125" customWidth="1"/>
    <col min="14339" max="14339" width="12.125" customWidth="1"/>
    <col min="14340" max="14340" width="15.25" customWidth="1"/>
    <col min="14341" max="14341" width="15.125" customWidth="1"/>
    <col min="14342" max="14342" width="15.375" customWidth="1"/>
    <col min="14343" max="14343" width="14.625" customWidth="1"/>
    <col min="14344" max="14344" width="14.75" customWidth="1"/>
    <col min="14345" max="14345" width="14.25" customWidth="1"/>
    <col min="14346" max="14346" width="14.125" customWidth="1"/>
    <col min="14347" max="14347" width="13" customWidth="1"/>
    <col min="14349" max="14349" width="12.375" bestFit="1" customWidth="1"/>
    <col min="14593" max="14593" width="3.375" customWidth="1"/>
    <col min="14594" max="14594" width="39.125" customWidth="1"/>
    <col min="14595" max="14595" width="12.125" customWidth="1"/>
    <col min="14596" max="14596" width="15.25" customWidth="1"/>
    <col min="14597" max="14597" width="15.125" customWidth="1"/>
    <col min="14598" max="14598" width="15.375" customWidth="1"/>
    <col min="14599" max="14599" width="14.625" customWidth="1"/>
    <col min="14600" max="14600" width="14.75" customWidth="1"/>
    <col min="14601" max="14601" width="14.25" customWidth="1"/>
    <col min="14602" max="14602" width="14.125" customWidth="1"/>
    <col min="14603" max="14603" width="13" customWidth="1"/>
    <col min="14605" max="14605" width="12.375" bestFit="1" customWidth="1"/>
    <col min="14849" max="14849" width="3.375" customWidth="1"/>
    <col min="14850" max="14850" width="39.125" customWidth="1"/>
    <col min="14851" max="14851" width="12.125" customWidth="1"/>
    <col min="14852" max="14852" width="15.25" customWidth="1"/>
    <col min="14853" max="14853" width="15.125" customWidth="1"/>
    <col min="14854" max="14854" width="15.375" customWidth="1"/>
    <col min="14855" max="14855" width="14.625" customWidth="1"/>
    <col min="14856" max="14856" width="14.75" customWidth="1"/>
    <col min="14857" max="14857" width="14.25" customWidth="1"/>
    <col min="14858" max="14858" width="14.125" customWidth="1"/>
    <col min="14859" max="14859" width="13" customWidth="1"/>
    <col min="14861" max="14861" width="12.375" bestFit="1" customWidth="1"/>
    <col min="15105" max="15105" width="3.375" customWidth="1"/>
    <col min="15106" max="15106" width="39.125" customWidth="1"/>
    <col min="15107" max="15107" width="12.125" customWidth="1"/>
    <col min="15108" max="15108" width="15.25" customWidth="1"/>
    <col min="15109" max="15109" width="15.125" customWidth="1"/>
    <col min="15110" max="15110" width="15.375" customWidth="1"/>
    <col min="15111" max="15111" width="14.625" customWidth="1"/>
    <col min="15112" max="15112" width="14.75" customWidth="1"/>
    <col min="15113" max="15113" width="14.25" customWidth="1"/>
    <col min="15114" max="15114" width="14.125" customWidth="1"/>
    <col min="15115" max="15115" width="13" customWidth="1"/>
    <col min="15117" max="15117" width="12.375" bestFit="1" customWidth="1"/>
    <col min="15361" max="15361" width="3.375" customWidth="1"/>
    <col min="15362" max="15362" width="39.125" customWidth="1"/>
    <col min="15363" max="15363" width="12.125" customWidth="1"/>
    <col min="15364" max="15364" width="15.25" customWidth="1"/>
    <col min="15365" max="15365" width="15.125" customWidth="1"/>
    <col min="15366" max="15366" width="15.375" customWidth="1"/>
    <col min="15367" max="15367" width="14.625" customWidth="1"/>
    <col min="15368" max="15368" width="14.75" customWidth="1"/>
    <col min="15369" max="15369" width="14.25" customWidth="1"/>
    <col min="15370" max="15370" width="14.125" customWidth="1"/>
    <col min="15371" max="15371" width="13" customWidth="1"/>
    <col min="15373" max="15373" width="12.375" bestFit="1" customWidth="1"/>
    <col min="15617" max="15617" width="3.375" customWidth="1"/>
    <col min="15618" max="15618" width="39.125" customWidth="1"/>
    <col min="15619" max="15619" width="12.125" customWidth="1"/>
    <col min="15620" max="15620" width="15.25" customWidth="1"/>
    <col min="15621" max="15621" width="15.125" customWidth="1"/>
    <col min="15622" max="15622" width="15.375" customWidth="1"/>
    <col min="15623" max="15623" width="14.625" customWidth="1"/>
    <col min="15624" max="15624" width="14.75" customWidth="1"/>
    <col min="15625" max="15625" width="14.25" customWidth="1"/>
    <col min="15626" max="15626" width="14.125" customWidth="1"/>
    <col min="15627" max="15627" width="13" customWidth="1"/>
    <col min="15629" max="15629" width="12.375" bestFit="1" customWidth="1"/>
    <col min="15873" max="15873" width="3.375" customWidth="1"/>
    <col min="15874" max="15874" width="39.125" customWidth="1"/>
    <col min="15875" max="15875" width="12.125" customWidth="1"/>
    <col min="15876" max="15876" width="15.25" customWidth="1"/>
    <col min="15877" max="15877" width="15.125" customWidth="1"/>
    <col min="15878" max="15878" width="15.375" customWidth="1"/>
    <col min="15879" max="15879" width="14.625" customWidth="1"/>
    <col min="15880" max="15880" width="14.75" customWidth="1"/>
    <col min="15881" max="15881" width="14.25" customWidth="1"/>
    <col min="15882" max="15882" width="14.125" customWidth="1"/>
    <col min="15883" max="15883" width="13" customWidth="1"/>
    <col min="15885" max="15885" width="12.375" bestFit="1" customWidth="1"/>
    <col min="16129" max="16129" width="3.375" customWidth="1"/>
    <col min="16130" max="16130" width="39.125" customWidth="1"/>
    <col min="16131" max="16131" width="12.125" customWidth="1"/>
    <col min="16132" max="16132" width="15.25" customWidth="1"/>
    <col min="16133" max="16133" width="15.125" customWidth="1"/>
    <col min="16134" max="16134" width="15.375" customWidth="1"/>
    <col min="16135" max="16135" width="14.625" customWidth="1"/>
    <col min="16136" max="16136" width="14.75" customWidth="1"/>
    <col min="16137" max="16137" width="14.25" customWidth="1"/>
    <col min="16138" max="16138" width="14.125" customWidth="1"/>
    <col min="16139" max="16139" width="13" customWidth="1"/>
    <col min="16141" max="16141" width="12.375" bestFit="1" customWidth="1"/>
  </cols>
  <sheetData>
    <row r="1" spans="1:14" ht="32.25" customHeight="1" x14ac:dyDescent="0.25">
      <c r="A1" s="161" t="s">
        <v>83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M1" s="5"/>
      <c r="N1" s="5"/>
    </row>
    <row r="2" spans="1:14" ht="27.75" customHeight="1" x14ac:dyDescent="0.25">
      <c r="A2" s="162" t="s">
        <v>84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M2" s="5"/>
      <c r="N2" s="5"/>
    </row>
    <row r="3" spans="1:14" ht="27.75" customHeight="1" thickBot="1" x14ac:dyDescent="0.3">
      <c r="A3" s="163" t="s">
        <v>124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M3" s="5"/>
      <c r="N3" s="5"/>
    </row>
    <row r="4" spans="1:14" ht="25.5" customHeight="1" x14ac:dyDescent="0.25">
      <c r="A4" s="151" t="s">
        <v>1</v>
      </c>
      <c r="B4" s="154" t="s">
        <v>2</v>
      </c>
      <c r="C4" s="151" t="s">
        <v>85</v>
      </c>
      <c r="D4" s="214" t="s">
        <v>86</v>
      </c>
      <c r="E4" s="217" t="s">
        <v>87</v>
      </c>
      <c r="F4" s="220" t="s">
        <v>88</v>
      </c>
      <c r="G4" s="223" t="s">
        <v>89</v>
      </c>
      <c r="H4" s="226" t="s">
        <v>90</v>
      </c>
      <c r="I4" s="229" t="s">
        <v>91</v>
      </c>
      <c r="J4" s="232" t="s">
        <v>92</v>
      </c>
      <c r="K4" s="235" t="s">
        <v>93</v>
      </c>
      <c r="M4" s="5"/>
      <c r="N4" s="5"/>
    </row>
    <row r="5" spans="1:14" ht="15" customHeight="1" x14ac:dyDescent="0.25">
      <c r="A5" s="152"/>
      <c r="B5" s="155"/>
      <c r="C5" s="152"/>
      <c r="D5" s="215"/>
      <c r="E5" s="218"/>
      <c r="F5" s="221"/>
      <c r="G5" s="224"/>
      <c r="H5" s="227"/>
      <c r="I5" s="230"/>
      <c r="J5" s="233"/>
      <c r="K5" s="236"/>
      <c r="M5" s="5"/>
      <c r="N5" s="5"/>
    </row>
    <row r="6" spans="1:14" ht="16.5" thickBot="1" x14ac:dyDescent="0.3">
      <c r="A6" s="153"/>
      <c r="B6" s="156"/>
      <c r="C6" s="153"/>
      <c r="D6" s="216"/>
      <c r="E6" s="219"/>
      <c r="F6" s="222"/>
      <c r="G6" s="225"/>
      <c r="H6" s="228"/>
      <c r="I6" s="231"/>
      <c r="J6" s="234"/>
      <c r="K6" s="237"/>
      <c r="M6" s="5"/>
      <c r="N6" s="5"/>
    </row>
    <row r="7" spans="1:14" ht="15.75" x14ac:dyDescent="0.25">
      <c r="A7" s="189">
        <v>1</v>
      </c>
      <c r="B7" s="6" t="s">
        <v>4</v>
      </c>
      <c r="C7" s="7"/>
      <c r="D7" s="8"/>
      <c r="E7" s="9"/>
      <c r="F7" s="9"/>
      <c r="G7" s="10"/>
      <c r="H7" s="11" t="s">
        <v>1</v>
      </c>
      <c r="I7" s="88"/>
      <c r="J7" s="11"/>
      <c r="K7" s="86"/>
      <c r="M7" s="5"/>
      <c r="N7" s="5"/>
    </row>
    <row r="8" spans="1:14" ht="15.75" x14ac:dyDescent="0.25">
      <c r="A8" s="159"/>
      <c r="B8" s="13" t="s">
        <v>102</v>
      </c>
      <c r="C8" s="14" t="s">
        <v>5</v>
      </c>
      <c r="D8" s="21">
        <v>13000</v>
      </c>
      <c r="E8" s="15">
        <v>13500</v>
      </c>
      <c r="F8" s="15">
        <v>14000</v>
      </c>
      <c r="G8" s="15">
        <v>13500</v>
      </c>
      <c r="H8" s="15">
        <v>12000</v>
      </c>
      <c r="I8" s="16">
        <v>14000</v>
      </c>
      <c r="J8" s="87">
        <v>13500</v>
      </c>
      <c r="K8" s="17">
        <f>AVERAGE(D8:J8)</f>
        <v>13357.142857142857</v>
      </c>
      <c r="L8" s="1"/>
      <c r="M8" s="18"/>
      <c r="N8" s="5"/>
    </row>
    <row r="9" spans="1:14" ht="15.75" x14ac:dyDescent="0.25">
      <c r="A9" s="159"/>
      <c r="B9" s="13" t="s">
        <v>103</v>
      </c>
      <c r="C9" s="14" t="s">
        <v>5</v>
      </c>
      <c r="D9" s="39">
        <v>9000</v>
      </c>
      <c r="E9" s="26">
        <v>9000</v>
      </c>
      <c r="F9" s="15">
        <v>9000</v>
      </c>
      <c r="G9" s="19">
        <v>9000</v>
      </c>
      <c r="H9" s="23" t="s">
        <v>94</v>
      </c>
      <c r="I9" s="23" t="s">
        <v>94</v>
      </c>
      <c r="J9" s="24" t="s">
        <v>94</v>
      </c>
      <c r="K9" s="20">
        <f t="shared" ref="K9:K80" si="0">AVERAGE(D9:J9)</f>
        <v>9000</v>
      </c>
      <c r="M9" s="5"/>
      <c r="N9" s="5"/>
    </row>
    <row r="10" spans="1:14" ht="15.75" x14ac:dyDescent="0.25">
      <c r="A10" s="159"/>
      <c r="B10" s="13" t="s">
        <v>104</v>
      </c>
      <c r="C10" s="14" t="s">
        <v>5</v>
      </c>
      <c r="D10" s="21">
        <v>11000</v>
      </c>
      <c r="E10" s="15">
        <v>11500</v>
      </c>
      <c r="F10" s="26">
        <v>13000</v>
      </c>
      <c r="G10" s="19">
        <v>11500</v>
      </c>
      <c r="H10" s="23" t="s">
        <v>94</v>
      </c>
      <c r="I10" s="23">
        <v>12500</v>
      </c>
      <c r="J10" s="24">
        <v>12500</v>
      </c>
      <c r="K10" s="20">
        <f t="shared" si="0"/>
        <v>12000</v>
      </c>
      <c r="M10" s="5"/>
      <c r="N10" s="5"/>
    </row>
    <row r="11" spans="1:14" ht="15.75" x14ac:dyDescent="0.25">
      <c r="A11" s="159"/>
      <c r="B11" s="13" t="s">
        <v>6</v>
      </c>
      <c r="C11" s="14" t="s">
        <v>5</v>
      </c>
      <c r="D11" s="39" t="s">
        <v>94</v>
      </c>
      <c r="E11" s="26">
        <v>10000</v>
      </c>
      <c r="F11" s="54">
        <v>12000</v>
      </c>
      <c r="G11" s="19">
        <v>12000</v>
      </c>
      <c r="H11" s="23" t="s">
        <v>94</v>
      </c>
      <c r="I11" s="24">
        <v>11000</v>
      </c>
      <c r="J11" s="87">
        <v>8000</v>
      </c>
      <c r="K11" s="20">
        <f>AVERAGE(D11:J11)</f>
        <v>10600</v>
      </c>
      <c r="M11" s="5"/>
      <c r="N11" s="5"/>
    </row>
    <row r="12" spans="1:14" ht="15.75" x14ac:dyDescent="0.25">
      <c r="A12" s="160"/>
      <c r="B12" s="13" t="s">
        <v>7</v>
      </c>
      <c r="C12" s="14" t="s">
        <v>5</v>
      </c>
      <c r="D12" s="39" t="s">
        <v>94</v>
      </c>
      <c r="E12" s="26">
        <v>22000</v>
      </c>
      <c r="F12" s="54">
        <v>24000</v>
      </c>
      <c r="G12" s="19">
        <v>20000</v>
      </c>
      <c r="H12" s="23" t="s">
        <v>94</v>
      </c>
      <c r="I12" s="24">
        <v>18000</v>
      </c>
      <c r="J12" s="87">
        <v>17000</v>
      </c>
      <c r="K12" s="20">
        <f t="shared" si="0"/>
        <v>20200</v>
      </c>
      <c r="M12" s="5"/>
      <c r="N12" s="5"/>
    </row>
    <row r="13" spans="1:14" ht="15.75" x14ac:dyDescent="0.25">
      <c r="A13" s="158">
        <v>2</v>
      </c>
      <c r="B13" s="29" t="s">
        <v>8</v>
      </c>
      <c r="C13" s="30"/>
      <c r="D13" s="31"/>
      <c r="E13" s="32"/>
      <c r="F13" s="33"/>
      <c r="G13" s="34"/>
      <c r="H13" s="35"/>
      <c r="I13" s="35"/>
      <c r="J13" s="35"/>
      <c r="K13" s="36"/>
      <c r="M13" s="5"/>
      <c r="N13" s="37"/>
    </row>
    <row r="14" spans="1:14" ht="15.75" x14ac:dyDescent="0.25">
      <c r="A14" s="159"/>
      <c r="B14" s="13" t="s">
        <v>105</v>
      </c>
      <c r="C14" s="14" t="s">
        <v>5</v>
      </c>
      <c r="D14" s="21">
        <v>13000</v>
      </c>
      <c r="E14" s="15">
        <v>13500</v>
      </c>
      <c r="F14" s="15">
        <v>14000</v>
      </c>
      <c r="G14" s="15">
        <v>13500</v>
      </c>
      <c r="H14" s="16">
        <v>13500</v>
      </c>
      <c r="I14" s="16">
        <v>13500</v>
      </c>
      <c r="J14" s="38">
        <v>14000</v>
      </c>
      <c r="K14" s="20">
        <f t="shared" si="0"/>
        <v>13571.428571428571</v>
      </c>
      <c r="M14" s="5"/>
      <c r="N14" s="5"/>
    </row>
    <row r="15" spans="1:14" ht="15.75" x14ac:dyDescent="0.25">
      <c r="A15" s="160"/>
      <c r="B15" s="13" t="s">
        <v>9</v>
      </c>
      <c r="C15" s="14" t="s">
        <v>5</v>
      </c>
      <c r="D15" s="39">
        <v>15000</v>
      </c>
      <c r="E15" s="26">
        <v>16000</v>
      </c>
      <c r="F15" s="22">
        <v>15000</v>
      </c>
      <c r="G15" s="19">
        <v>16000</v>
      </c>
      <c r="H15" s="16">
        <v>15000</v>
      </c>
      <c r="I15" s="16">
        <v>18000</v>
      </c>
      <c r="J15" s="38">
        <v>16000</v>
      </c>
      <c r="K15" s="20">
        <f t="shared" si="0"/>
        <v>15857.142857142857</v>
      </c>
      <c r="M15" s="5"/>
      <c r="N15" s="5"/>
    </row>
    <row r="16" spans="1:14" ht="15.75" x14ac:dyDescent="0.25">
      <c r="A16" s="158">
        <v>3</v>
      </c>
      <c r="B16" s="29" t="s">
        <v>10</v>
      </c>
      <c r="C16" s="40"/>
      <c r="D16" s="41"/>
      <c r="E16" s="42"/>
      <c r="F16" s="43"/>
      <c r="G16" s="43"/>
      <c r="H16" s="44"/>
      <c r="I16" s="44"/>
      <c r="J16" s="45"/>
      <c r="K16" s="36"/>
      <c r="M16" s="5"/>
      <c r="N16" s="5"/>
    </row>
    <row r="17" spans="1:14" ht="15.75" x14ac:dyDescent="0.25">
      <c r="A17" s="159"/>
      <c r="B17" s="13" t="s">
        <v>11</v>
      </c>
      <c r="C17" s="14" t="s">
        <v>5</v>
      </c>
      <c r="D17" s="21">
        <v>14500</v>
      </c>
      <c r="E17" s="26">
        <v>16000</v>
      </c>
      <c r="F17" s="15">
        <v>17000</v>
      </c>
      <c r="G17" s="15">
        <v>16000</v>
      </c>
      <c r="H17" s="16">
        <v>14000</v>
      </c>
      <c r="I17" s="16">
        <v>16000</v>
      </c>
      <c r="J17" s="52">
        <v>15500</v>
      </c>
      <c r="K17" s="20">
        <f t="shared" si="0"/>
        <v>15571.428571428571</v>
      </c>
      <c r="M17" s="5"/>
      <c r="N17" s="5"/>
    </row>
    <row r="18" spans="1:14" ht="15.75" x14ac:dyDescent="0.25">
      <c r="A18" s="12"/>
      <c r="B18" s="13" t="s">
        <v>106</v>
      </c>
      <c r="C18" s="14" t="s">
        <v>107</v>
      </c>
      <c r="D18" s="21">
        <v>14000</v>
      </c>
      <c r="E18" s="26">
        <v>14000</v>
      </c>
      <c r="F18" s="26">
        <v>14000</v>
      </c>
      <c r="G18" s="15">
        <v>14000</v>
      </c>
      <c r="H18" s="23" t="s">
        <v>94</v>
      </c>
      <c r="I18" s="16">
        <v>14000</v>
      </c>
      <c r="J18" s="38">
        <v>14000</v>
      </c>
      <c r="K18" s="20">
        <f t="shared" si="0"/>
        <v>14000</v>
      </c>
      <c r="M18" s="5"/>
      <c r="N18" s="5"/>
    </row>
    <row r="19" spans="1:14" ht="15.75" x14ac:dyDescent="0.25">
      <c r="A19" s="158">
        <v>4</v>
      </c>
      <c r="B19" s="29" t="s">
        <v>12</v>
      </c>
      <c r="C19" s="40"/>
      <c r="D19" s="41"/>
      <c r="E19" s="42"/>
      <c r="F19" s="43"/>
      <c r="G19" s="46"/>
      <c r="H19" s="44"/>
      <c r="I19" s="44"/>
      <c r="J19" s="45"/>
      <c r="K19" s="36"/>
      <c r="M19" s="5"/>
      <c r="N19" s="5"/>
    </row>
    <row r="20" spans="1:14" ht="17.25" customHeight="1" x14ac:dyDescent="0.25">
      <c r="A20" s="160"/>
      <c r="B20" s="13" t="s">
        <v>13</v>
      </c>
      <c r="C20" s="14" t="s">
        <v>5</v>
      </c>
      <c r="D20" s="39">
        <v>20000</v>
      </c>
      <c r="E20" s="26" t="s">
        <v>94</v>
      </c>
      <c r="F20" s="54">
        <v>19000</v>
      </c>
      <c r="G20" s="19">
        <v>22000</v>
      </c>
      <c r="H20" s="47" t="s">
        <v>94</v>
      </c>
      <c r="I20" s="24">
        <v>24000</v>
      </c>
      <c r="J20" s="48" t="s">
        <v>94</v>
      </c>
      <c r="K20" s="20">
        <f t="shared" si="0"/>
        <v>21250</v>
      </c>
      <c r="M20" s="5"/>
      <c r="N20" s="5"/>
    </row>
    <row r="21" spans="1:14" ht="15.75" x14ac:dyDescent="0.25">
      <c r="A21" s="158">
        <v>5</v>
      </c>
      <c r="B21" s="29" t="s">
        <v>14</v>
      </c>
      <c r="C21" s="40"/>
      <c r="D21" s="41"/>
      <c r="E21" s="33"/>
      <c r="F21" s="43"/>
      <c r="G21" s="46"/>
      <c r="H21" s="44"/>
      <c r="I21" s="49"/>
      <c r="J21" s="50"/>
      <c r="K21" s="36"/>
      <c r="M21" s="5"/>
      <c r="N21" s="5"/>
    </row>
    <row r="22" spans="1:14" ht="15.75" x14ac:dyDescent="0.25">
      <c r="A22" s="159"/>
      <c r="B22" s="13" t="s">
        <v>15</v>
      </c>
      <c r="C22" s="14" t="s">
        <v>5</v>
      </c>
      <c r="D22" s="39">
        <v>120000</v>
      </c>
      <c r="E22" s="15">
        <v>120000</v>
      </c>
      <c r="F22" s="15">
        <v>120000</v>
      </c>
      <c r="G22" s="15">
        <v>120000</v>
      </c>
      <c r="H22" s="16">
        <v>120000</v>
      </c>
      <c r="I22" s="51">
        <v>120000</v>
      </c>
      <c r="J22" s="52" t="s">
        <v>94</v>
      </c>
      <c r="K22" s="20">
        <f t="shared" si="0"/>
        <v>120000</v>
      </c>
      <c r="M22" s="5"/>
      <c r="N22" s="5"/>
    </row>
    <row r="23" spans="1:14" ht="15.75" x14ac:dyDescent="0.25">
      <c r="A23" s="159"/>
      <c r="B23" s="13" t="s">
        <v>16</v>
      </c>
      <c r="C23" s="14" t="s">
        <v>5</v>
      </c>
      <c r="D23" s="39">
        <v>110000</v>
      </c>
      <c r="E23" s="15">
        <v>110000</v>
      </c>
      <c r="F23" s="15">
        <v>110000</v>
      </c>
      <c r="G23" s="15">
        <v>110000</v>
      </c>
      <c r="H23" s="16">
        <v>114000</v>
      </c>
      <c r="I23" s="23">
        <v>115000</v>
      </c>
      <c r="J23" s="38">
        <v>115000</v>
      </c>
      <c r="K23" s="20">
        <f t="shared" si="0"/>
        <v>112000</v>
      </c>
      <c r="M23" s="5"/>
      <c r="N23" s="5"/>
    </row>
    <row r="24" spans="1:14" ht="15.75" x14ac:dyDescent="0.25">
      <c r="A24" s="159"/>
      <c r="B24" s="13" t="s">
        <v>17</v>
      </c>
      <c r="C24" s="14" t="s">
        <v>5</v>
      </c>
      <c r="D24" s="39">
        <v>100000</v>
      </c>
      <c r="E24" s="15">
        <v>95000</v>
      </c>
      <c r="F24" s="15">
        <v>105000</v>
      </c>
      <c r="G24" s="15">
        <v>105000</v>
      </c>
      <c r="H24" s="16">
        <v>100000</v>
      </c>
      <c r="I24" s="51">
        <v>110000</v>
      </c>
      <c r="J24" s="52">
        <v>105000</v>
      </c>
      <c r="K24" s="20">
        <f t="shared" si="0"/>
        <v>102857.14285714286</v>
      </c>
      <c r="M24" s="5"/>
      <c r="N24" s="5"/>
    </row>
    <row r="25" spans="1:14" ht="15.75" x14ac:dyDescent="0.25">
      <c r="A25" s="160"/>
      <c r="B25" s="13" t="s">
        <v>18</v>
      </c>
      <c r="C25" s="14" t="s">
        <v>5</v>
      </c>
      <c r="D25" s="21">
        <v>36000</v>
      </c>
      <c r="E25" s="15">
        <v>36000</v>
      </c>
      <c r="F25" s="15">
        <v>35000</v>
      </c>
      <c r="G25" s="15">
        <v>35000</v>
      </c>
      <c r="H25" s="38">
        <v>36000</v>
      </c>
      <c r="I25" s="23">
        <v>35000</v>
      </c>
      <c r="J25" s="38">
        <v>38000</v>
      </c>
      <c r="K25" s="20">
        <f t="shared" si="0"/>
        <v>35857.142857142855</v>
      </c>
      <c r="M25" s="5"/>
      <c r="N25" s="5"/>
    </row>
    <row r="26" spans="1:14" ht="15.75" x14ac:dyDescent="0.25">
      <c r="A26" s="158">
        <v>6</v>
      </c>
      <c r="B26" s="29" t="s">
        <v>19</v>
      </c>
      <c r="C26" s="40"/>
      <c r="D26" s="41"/>
      <c r="E26" s="33"/>
      <c r="F26" s="46"/>
      <c r="G26" s="43"/>
      <c r="H26" s="45"/>
      <c r="I26" s="44"/>
      <c r="J26" s="45"/>
      <c r="K26" s="36"/>
      <c r="M26" s="5"/>
      <c r="N26" s="5"/>
    </row>
    <row r="27" spans="1:14" ht="15.75" x14ac:dyDescent="0.25">
      <c r="A27" s="159"/>
      <c r="B27" s="13" t="s">
        <v>20</v>
      </c>
      <c r="C27" s="14" t="s">
        <v>5</v>
      </c>
      <c r="D27" s="39">
        <v>30000</v>
      </c>
      <c r="E27" s="15">
        <v>40000</v>
      </c>
      <c r="F27" s="26" t="s">
        <v>94</v>
      </c>
      <c r="G27" s="15">
        <v>45000</v>
      </c>
      <c r="H27" s="16">
        <v>30000</v>
      </c>
      <c r="I27" s="23">
        <v>40000</v>
      </c>
      <c r="J27" s="38">
        <v>35000</v>
      </c>
      <c r="K27" s="20">
        <f t="shared" si="0"/>
        <v>36666.666666666664</v>
      </c>
      <c r="M27" s="5"/>
      <c r="N27" s="5"/>
    </row>
    <row r="28" spans="1:14" ht="15.75" x14ac:dyDescent="0.25">
      <c r="A28" s="159"/>
      <c r="B28" s="13" t="s">
        <v>21</v>
      </c>
      <c r="C28" s="14" t="s">
        <v>5</v>
      </c>
      <c r="D28" s="39">
        <v>25000</v>
      </c>
      <c r="E28" s="26">
        <v>28000</v>
      </c>
      <c r="F28" s="15">
        <v>28000</v>
      </c>
      <c r="G28" s="19">
        <v>35000</v>
      </c>
      <c r="H28" s="23">
        <v>23000</v>
      </c>
      <c r="I28" s="23">
        <v>29000</v>
      </c>
      <c r="J28" s="53">
        <v>26000</v>
      </c>
      <c r="K28" s="20">
        <f t="shared" si="0"/>
        <v>27714.285714285714</v>
      </c>
      <c r="L28" t="s">
        <v>95</v>
      </c>
      <c r="M28" s="5"/>
      <c r="N28" s="5"/>
    </row>
    <row r="29" spans="1:14" ht="15.75" x14ac:dyDescent="0.25">
      <c r="A29" s="159"/>
      <c r="B29" s="13" t="s">
        <v>22</v>
      </c>
      <c r="C29" s="14" t="s">
        <v>5</v>
      </c>
      <c r="D29" s="39">
        <v>80000</v>
      </c>
      <c r="E29" s="26">
        <v>60000</v>
      </c>
      <c r="F29" s="54">
        <v>60000</v>
      </c>
      <c r="G29" s="19">
        <v>75000</v>
      </c>
      <c r="H29" s="16">
        <v>58000</v>
      </c>
      <c r="I29" s="23">
        <v>60000</v>
      </c>
      <c r="J29" s="25">
        <v>60000</v>
      </c>
      <c r="K29" s="20">
        <f t="shared" si="0"/>
        <v>64714.285714285717</v>
      </c>
      <c r="M29" s="5"/>
      <c r="N29" s="5"/>
    </row>
    <row r="30" spans="1:14" ht="15.75" x14ac:dyDescent="0.25">
      <c r="A30" s="159"/>
      <c r="B30" s="13" t="s">
        <v>23</v>
      </c>
      <c r="C30" s="14" t="s">
        <v>5</v>
      </c>
      <c r="D30" s="39">
        <v>25000</v>
      </c>
      <c r="E30" s="26" t="s">
        <v>94</v>
      </c>
      <c r="F30" s="27" t="s">
        <v>94</v>
      </c>
      <c r="G30" s="19">
        <v>25000</v>
      </c>
      <c r="H30" s="16">
        <v>23000</v>
      </c>
      <c r="I30" s="23">
        <v>24000</v>
      </c>
      <c r="J30" s="25">
        <v>26000</v>
      </c>
      <c r="K30" s="20">
        <f t="shared" si="0"/>
        <v>24600</v>
      </c>
      <c r="M30" s="5"/>
      <c r="N30" s="5"/>
    </row>
    <row r="31" spans="1:14" ht="15.75" x14ac:dyDescent="0.25">
      <c r="A31" s="159"/>
      <c r="B31" s="13" t="s">
        <v>24</v>
      </c>
      <c r="C31" s="14" t="s">
        <v>5</v>
      </c>
      <c r="D31" s="39">
        <v>35000</v>
      </c>
      <c r="E31" s="15">
        <v>35000</v>
      </c>
      <c r="F31" s="15">
        <v>36000</v>
      </c>
      <c r="G31" s="15">
        <v>45000</v>
      </c>
      <c r="H31" s="16">
        <v>28000</v>
      </c>
      <c r="I31" s="23">
        <v>40000</v>
      </c>
      <c r="J31" s="38">
        <v>40000</v>
      </c>
      <c r="K31" s="20">
        <f t="shared" si="0"/>
        <v>37000</v>
      </c>
      <c r="M31" s="5"/>
      <c r="N31" s="5"/>
    </row>
    <row r="32" spans="1:14" ht="15.75" x14ac:dyDescent="0.25">
      <c r="A32" s="160"/>
      <c r="B32" s="13" t="s">
        <v>25</v>
      </c>
      <c r="C32" s="14" t="s">
        <v>5</v>
      </c>
      <c r="D32" s="39" t="s">
        <v>94</v>
      </c>
      <c r="E32" s="15">
        <v>100000</v>
      </c>
      <c r="F32" s="15">
        <v>110000</v>
      </c>
      <c r="G32" s="26" t="s">
        <v>94</v>
      </c>
      <c r="H32" s="16">
        <v>80000</v>
      </c>
      <c r="I32" s="23" t="s">
        <v>94</v>
      </c>
      <c r="J32" s="25" t="s">
        <v>94</v>
      </c>
      <c r="K32" s="20">
        <f t="shared" si="0"/>
        <v>96666.666666666672</v>
      </c>
      <c r="M32" s="5"/>
      <c r="N32" s="5"/>
    </row>
    <row r="33" spans="1:14" ht="15.75" x14ac:dyDescent="0.25">
      <c r="A33" s="158">
        <v>7</v>
      </c>
      <c r="B33" s="29" t="s">
        <v>26</v>
      </c>
      <c r="C33" s="40"/>
      <c r="D33" s="41"/>
      <c r="E33" s="33"/>
      <c r="F33" s="46"/>
      <c r="G33" s="46"/>
      <c r="H33" s="44"/>
      <c r="I33" s="44"/>
      <c r="J33" s="45" t="s">
        <v>96</v>
      </c>
      <c r="K33" s="36"/>
      <c r="M33" s="5"/>
      <c r="N33" s="5"/>
    </row>
    <row r="34" spans="1:14" ht="15.75" x14ac:dyDescent="0.25">
      <c r="A34" s="159"/>
      <c r="B34" s="13" t="s">
        <v>27</v>
      </c>
      <c r="C34" s="14" t="s">
        <v>5</v>
      </c>
      <c r="D34" s="21">
        <v>30000</v>
      </c>
      <c r="E34" s="15">
        <v>30000</v>
      </c>
      <c r="F34" s="15">
        <v>30000</v>
      </c>
      <c r="G34" s="15">
        <v>31000</v>
      </c>
      <c r="H34" s="16">
        <v>29000</v>
      </c>
      <c r="I34" s="16">
        <v>29000</v>
      </c>
      <c r="J34" s="38">
        <v>30500</v>
      </c>
      <c r="K34" s="20">
        <f t="shared" si="0"/>
        <v>29928.571428571428</v>
      </c>
      <c r="M34" s="5"/>
      <c r="N34" s="5"/>
    </row>
    <row r="35" spans="1:14" ht="15.75" x14ac:dyDescent="0.25">
      <c r="A35" s="160"/>
      <c r="B35" s="13" t="s">
        <v>28</v>
      </c>
      <c r="C35" s="14" t="s">
        <v>29</v>
      </c>
      <c r="D35" s="21">
        <v>3000</v>
      </c>
      <c r="E35" s="15">
        <v>2200</v>
      </c>
      <c r="F35" s="15">
        <v>2000</v>
      </c>
      <c r="G35" s="15">
        <v>2200</v>
      </c>
      <c r="H35" s="16">
        <v>2000</v>
      </c>
      <c r="I35" s="16">
        <v>2500</v>
      </c>
      <c r="J35" s="38">
        <v>3000</v>
      </c>
      <c r="K35" s="20">
        <f t="shared" si="0"/>
        <v>2414.2857142857142</v>
      </c>
      <c r="M35" s="5"/>
      <c r="N35" s="5"/>
    </row>
    <row r="36" spans="1:14" ht="15.75" x14ac:dyDescent="0.25">
      <c r="A36" s="12">
        <v>8</v>
      </c>
      <c r="B36" s="40" t="s">
        <v>108</v>
      </c>
      <c r="C36" s="58"/>
      <c r="D36" s="21"/>
      <c r="E36" s="15"/>
      <c r="F36" s="15"/>
      <c r="G36" s="15"/>
      <c r="H36" s="16"/>
      <c r="I36" s="16"/>
      <c r="J36" s="38"/>
      <c r="K36" s="93"/>
      <c r="M36" s="5"/>
      <c r="N36" s="5"/>
    </row>
    <row r="37" spans="1:14" ht="15.75" x14ac:dyDescent="0.25">
      <c r="A37" s="12"/>
      <c r="B37" s="13" t="s">
        <v>109</v>
      </c>
      <c r="C37" s="14" t="s">
        <v>5</v>
      </c>
      <c r="D37" s="21">
        <v>10000</v>
      </c>
      <c r="E37" s="15">
        <v>10000</v>
      </c>
      <c r="F37" s="15">
        <v>9000</v>
      </c>
      <c r="G37" s="15">
        <v>9000</v>
      </c>
      <c r="H37" s="16">
        <v>16000</v>
      </c>
      <c r="I37" s="16">
        <v>12000</v>
      </c>
      <c r="J37" s="38">
        <v>3000</v>
      </c>
      <c r="K37" s="20">
        <f t="shared" si="0"/>
        <v>9857.1428571428569</v>
      </c>
      <c r="M37" s="5"/>
      <c r="N37" s="5"/>
    </row>
    <row r="38" spans="1:14" ht="15.75" x14ac:dyDescent="0.25">
      <c r="A38" s="12"/>
      <c r="B38" s="13" t="s">
        <v>110</v>
      </c>
      <c r="C38" s="14" t="s">
        <v>5</v>
      </c>
      <c r="D38" s="39" t="s">
        <v>94</v>
      </c>
      <c r="E38" s="15">
        <v>7000</v>
      </c>
      <c r="F38" s="15">
        <v>12000</v>
      </c>
      <c r="G38" s="15">
        <v>17000</v>
      </c>
      <c r="H38" s="23" t="s">
        <v>94</v>
      </c>
      <c r="I38" s="23">
        <v>15000</v>
      </c>
      <c r="J38" s="38">
        <v>12000</v>
      </c>
      <c r="K38" s="20">
        <f>AVERAGE(D38:J38)</f>
        <v>12600</v>
      </c>
      <c r="M38" s="5"/>
      <c r="N38" s="5"/>
    </row>
    <row r="39" spans="1:14" ht="15.75" x14ac:dyDescent="0.25">
      <c r="A39" s="12">
        <v>9</v>
      </c>
      <c r="B39" s="94" t="s">
        <v>111</v>
      </c>
      <c r="C39" s="95"/>
      <c r="D39" s="39"/>
      <c r="E39" s="15"/>
      <c r="F39" s="15"/>
      <c r="G39" s="15"/>
      <c r="H39" s="16"/>
      <c r="I39" s="16"/>
      <c r="J39" s="38"/>
      <c r="K39" s="93"/>
      <c r="M39" s="5"/>
      <c r="N39" s="5"/>
    </row>
    <row r="40" spans="1:14" ht="15.75" x14ac:dyDescent="0.25">
      <c r="A40" s="12"/>
      <c r="B40" s="13" t="s">
        <v>112</v>
      </c>
      <c r="C40" s="14" t="s">
        <v>5</v>
      </c>
      <c r="D40" s="39" t="s">
        <v>94</v>
      </c>
      <c r="E40" s="15">
        <v>18000</v>
      </c>
      <c r="F40" s="26" t="s">
        <v>94</v>
      </c>
      <c r="G40" s="15">
        <v>16000</v>
      </c>
      <c r="H40" s="16">
        <v>14000</v>
      </c>
      <c r="I40" s="16">
        <v>15000</v>
      </c>
      <c r="J40" s="38">
        <v>15000</v>
      </c>
      <c r="K40" s="20">
        <f t="shared" si="0"/>
        <v>15600</v>
      </c>
      <c r="M40" s="5"/>
      <c r="N40" s="5"/>
    </row>
    <row r="41" spans="1:14" ht="15.75" x14ac:dyDescent="0.25">
      <c r="A41" s="12"/>
      <c r="B41" s="13" t="s">
        <v>113</v>
      </c>
      <c r="C41" s="14" t="s">
        <v>5</v>
      </c>
      <c r="D41" s="21">
        <v>2500</v>
      </c>
      <c r="E41" s="15">
        <v>12000</v>
      </c>
      <c r="F41" s="15">
        <v>6000</v>
      </c>
      <c r="G41" s="26" t="s">
        <v>94</v>
      </c>
      <c r="H41" s="23" t="s">
        <v>94</v>
      </c>
      <c r="I41" s="23" t="s">
        <v>94</v>
      </c>
      <c r="J41" s="52" t="s">
        <v>94</v>
      </c>
      <c r="K41" s="20">
        <f t="shared" si="0"/>
        <v>6833.333333333333</v>
      </c>
      <c r="M41" s="5"/>
      <c r="N41" s="5"/>
    </row>
    <row r="42" spans="1:14" ht="15.75" x14ac:dyDescent="0.25">
      <c r="A42" s="12"/>
      <c r="B42" s="13" t="s">
        <v>114</v>
      </c>
      <c r="C42" s="14" t="s">
        <v>5</v>
      </c>
      <c r="D42" s="39" t="s">
        <v>94</v>
      </c>
      <c r="E42" s="15">
        <v>2000</v>
      </c>
      <c r="F42" s="26" t="s">
        <v>94</v>
      </c>
      <c r="G42" s="26" t="s">
        <v>94</v>
      </c>
      <c r="H42" s="23" t="s">
        <v>94</v>
      </c>
      <c r="I42" s="23" t="s">
        <v>94</v>
      </c>
      <c r="J42" s="52" t="s">
        <v>94</v>
      </c>
      <c r="K42" s="20">
        <f t="shared" si="0"/>
        <v>2000</v>
      </c>
      <c r="M42" s="5"/>
      <c r="N42" s="5"/>
    </row>
    <row r="43" spans="1:14" ht="15.75" x14ac:dyDescent="0.25">
      <c r="A43" s="158">
        <v>10</v>
      </c>
      <c r="B43" s="29" t="s">
        <v>30</v>
      </c>
      <c r="C43" s="40"/>
      <c r="D43" s="41"/>
      <c r="E43" s="33"/>
      <c r="F43" s="46"/>
      <c r="G43" s="43"/>
      <c r="H43" s="44"/>
      <c r="I43" s="44"/>
      <c r="J43" s="55"/>
      <c r="K43" s="36"/>
      <c r="M43" s="5"/>
      <c r="N43" s="5"/>
    </row>
    <row r="44" spans="1:14" ht="15.75" x14ac:dyDescent="0.25">
      <c r="A44" s="159"/>
      <c r="B44" s="13" t="s">
        <v>31</v>
      </c>
      <c r="C44" s="14" t="s">
        <v>32</v>
      </c>
      <c r="D44" s="21">
        <v>12500</v>
      </c>
      <c r="E44" s="26">
        <v>12000</v>
      </c>
      <c r="F44" s="15">
        <v>12500</v>
      </c>
      <c r="G44" s="15">
        <v>12000</v>
      </c>
      <c r="H44" s="47" t="s">
        <v>94</v>
      </c>
      <c r="I44" s="24">
        <v>12500</v>
      </c>
      <c r="J44" s="52">
        <v>12500</v>
      </c>
      <c r="K44" s="20">
        <f t="shared" si="0"/>
        <v>12333.333333333334</v>
      </c>
      <c r="M44" s="5"/>
      <c r="N44" s="5"/>
    </row>
    <row r="45" spans="1:14" ht="15.75" x14ac:dyDescent="0.25">
      <c r="A45" s="160"/>
      <c r="B45" s="13" t="s">
        <v>115</v>
      </c>
      <c r="C45" s="14" t="s">
        <v>32</v>
      </c>
      <c r="D45" s="39">
        <v>12500</v>
      </c>
      <c r="E45" s="26">
        <v>13000</v>
      </c>
      <c r="F45" s="54">
        <v>12500</v>
      </c>
      <c r="G45" s="15">
        <v>12000</v>
      </c>
      <c r="H45" s="47" t="s">
        <v>94</v>
      </c>
      <c r="I45" s="24">
        <v>12500</v>
      </c>
      <c r="J45" s="25">
        <v>12500</v>
      </c>
      <c r="K45" s="20">
        <f>AVERAGE(D45:J45)</f>
        <v>12500</v>
      </c>
      <c r="M45" s="5"/>
      <c r="N45" s="5"/>
    </row>
    <row r="46" spans="1:14" ht="15.75" x14ac:dyDescent="0.25">
      <c r="A46" s="158">
        <v>11</v>
      </c>
      <c r="B46" s="29" t="s">
        <v>33</v>
      </c>
      <c r="C46" s="40"/>
      <c r="D46" s="41"/>
      <c r="E46" s="56"/>
      <c r="F46" s="43"/>
      <c r="G46" s="46"/>
      <c r="H46" s="44"/>
      <c r="I46" s="44"/>
      <c r="J46" s="45"/>
      <c r="K46" s="36"/>
      <c r="M46" s="5"/>
      <c r="N46" s="5"/>
    </row>
    <row r="47" spans="1:14" ht="15.75" x14ac:dyDescent="0.25">
      <c r="A47" s="159"/>
      <c r="B47" s="13" t="s">
        <v>34</v>
      </c>
      <c r="C47" s="14" t="s">
        <v>35</v>
      </c>
      <c r="D47" s="39" t="s">
        <v>94</v>
      </c>
      <c r="E47" s="26" t="s">
        <v>94</v>
      </c>
      <c r="F47" s="27" t="s">
        <v>94</v>
      </c>
      <c r="G47" s="19" t="s">
        <v>94</v>
      </c>
      <c r="H47" s="16">
        <v>17500</v>
      </c>
      <c r="I47" s="24" t="s">
        <v>94</v>
      </c>
      <c r="J47" s="25" t="s">
        <v>94</v>
      </c>
      <c r="K47" s="20">
        <f t="shared" si="0"/>
        <v>17500</v>
      </c>
      <c r="M47" s="5"/>
      <c r="N47" s="5"/>
    </row>
    <row r="48" spans="1:14" ht="15.75" x14ac:dyDescent="0.25">
      <c r="A48" s="159"/>
      <c r="B48" s="13" t="s">
        <v>36</v>
      </c>
      <c r="C48" s="14" t="s">
        <v>37</v>
      </c>
      <c r="D48" s="39" t="s">
        <v>94</v>
      </c>
      <c r="E48" s="26" t="s">
        <v>94</v>
      </c>
      <c r="F48" s="27" t="s">
        <v>94</v>
      </c>
      <c r="G48" s="19" t="s">
        <v>94</v>
      </c>
      <c r="H48" s="16">
        <v>2000</v>
      </c>
      <c r="I48" s="24" t="s">
        <v>94</v>
      </c>
      <c r="J48" s="25" t="s">
        <v>94</v>
      </c>
      <c r="K48" s="20">
        <f t="shared" si="0"/>
        <v>2000</v>
      </c>
      <c r="M48" s="5"/>
      <c r="N48" s="5"/>
    </row>
    <row r="49" spans="1:14" ht="15.75" x14ac:dyDescent="0.25">
      <c r="A49" s="12">
        <v>12</v>
      </c>
      <c r="B49" s="57" t="s">
        <v>38</v>
      </c>
      <c r="C49" s="58"/>
      <c r="D49" s="59"/>
      <c r="E49" s="32"/>
      <c r="F49" s="32"/>
      <c r="G49" s="60"/>
      <c r="H49" s="61"/>
      <c r="I49" s="61"/>
      <c r="J49" s="62"/>
      <c r="K49" s="36"/>
      <c r="M49" s="5"/>
      <c r="N49" s="5"/>
    </row>
    <row r="50" spans="1:14" ht="15.75" x14ac:dyDescent="0.25">
      <c r="A50" s="12"/>
      <c r="B50" s="13" t="s">
        <v>39</v>
      </c>
      <c r="C50" s="63" t="s">
        <v>5</v>
      </c>
      <c r="D50" s="21">
        <v>10000</v>
      </c>
      <c r="E50" s="15">
        <v>8000</v>
      </c>
      <c r="F50" s="15">
        <v>10000</v>
      </c>
      <c r="G50" s="15">
        <v>10000</v>
      </c>
      <c r="H50" s="16">
        <v>9000</v>
      </c>
      <c r="I50" s="51">
        <v>10000</v>
      </c>
      <c r="J50" s="38">
        <v>8000</v>
      </c>
      <c r="K50" s="20">
        <f t="shared" si="0"/>
        <v>9285.7142857142862</v>
      </c>
      <c r="M50" s="5"/>
      <c r="N50" s="5"/>
    </row>
    <row r="51" spans="1:14" ht="15.75" x14ac:dyDescent="0.25">
      <c r="A51" s="28"/>
      <c r="B51" s="13" t="s">
        <v>40</v>
      </c>
      <c r="C51" s="63" t="s">
        <v>5</v>
      </c>
      <c r="D51" s="21">
        <v>9000</v>
      </c>
      <c r="E51" s="15">
        <v>10000</v>
      </c>
      <c r="F51" s="19">
        <v>9000</v>
      </c>
      <c r="G51" s="15">
        <v>10000</v>
      </c>
      <c r="H51" s="16">
        <v>6000</v>
      </c>
      <c r="I51" s="23" t="s">
        <v>94</v>
      </c>
      <c r="J51" s="38">
        <v>6000</v>
      </c>
      <c r="K51" s="20">
        <f t="shared" si="0"/>
        <v>8333.3333333333339</v>
      </c>
      <c r="M51" s="5"/>
      <c r="N51" s="5"/>
    </row>
    <row r="52" spans="1:14" ht="15.75" x14ac:dyDescent="0.25">
      <c r="A52" s="158">
        <v>13</v>
      </c>
      <c r="B52" s="29" t="s">
        <v>41</v>
      </c>
      <c r="C52" s="40"/>
      <c r="D52" s="41"/>
      <c r="E52" s="33"/>
      <c r="F52" s="46"/>
      <c r="G52" s="46"/>
      <c r="H52" s="44"/>
      <c r="I52" s="44"/>
      <c r="J52" s="55"/>
      <c r="K52" s="36"/>
      <c r="M52" s="5"/>
      <c r="N52" s="5"/>
    </row>
    <row r="53" spans="1:14" ht="15.75" x14ac:dyDescent="0.25">
      <c r="A53" s="160"/>
      <c r="B53" s="13" t="s">
        <v>42</v>
      </c>
      <c r="C53" s="14" t="s">
        <v>43</v>
      </c>
      <c r="D53" s="21">
        <v>3000</v>
      </c>
      <c r="E53" s="15">
        <v>8000</v>
      </c>
      <c r="F53" s="15">
        <v>5000</v>
      </c>
      <c r="G53" s="15">
        <v>5000</v>
      </c>
      <c r="H53" s="16">
        <v>2500</v>
      </c>
      <c r="I53" s="24">
        <v>2000</v>
      </c>
      <c r="J53" s="52">
        <v>2500</v>
      </c>
      <c r="K53" s="20">
        <f t="shared" si="0"/>
        <v>4000</v>
      </c>
      <c r="M53" s="5"/>
      <c r="N53" s="5"/>
    </row>
    <row r="54" spans="1:14" ht="15.75" x14ac:dyDescent="0.25">
      <c r="A54" s="158">
        <v>14</v>
      </c>
      <c r="B54" s="29" t="s">
        <v>44</v>
      </c>
      <c r="C54" s="58"/>
      <c r="D54" s="64"/>
      <c r="E54" s="56"/>
      <c r="F54" s="65"/>
      <c r="G54" s="66"/>
      <c r="H54" s="67"/>
      <c r="I54" s="67"/>
      <c r="J54" s="68"/>
      <c r="K54" s="36"/>
      <c r="M54" s="5"/>
      <c r="N54" s="5"/>
    </row>
    <row r="55" spans="1:14" ht="15.75" x14ac:dyDescent="0.25">
      <c r="A55" s="160"/>
      <c r="B55" s="69" t="s">
        <v>45</v>
      </c>
      <c r="C55" s="63" t="s">
        <v>5</v>
      </c>
      <c r="D55" s="21">
        <v>12000</v>
      </c>
      <c r="E55" s="15">
        <v>10500</v>
      </c>
      <c r="F55" s="15">
        <v>13000</v>
      </c>
      <c r="G55" s="15">
        <v>11000</v>
      </c>
      <c r="H55" s="16">
        <v>11000</v>
      </c>
      <c r="I55" s="16">
        <v>11000</v>
      </c>
      <c r="J55" s="38">
        <v>10000</v>
      </c>
      <c r="K55" s="20">
        <f t="shared" si="0"/>
        <v>11214.285714285714</v>
      </c>
      <c r="M55" s="5"/>
      <c r="N55" s="5"/>
    </row>
    <row r="56" spans="1:14" ht="15.75" x14ac:dyDescent="0.25">
      <c r="A56" s="158">
        <v>15</v>
      </c>
      <c r="B56" s="29" t="s">
        <v>46</v>
      </c>
      <c r="C56" s="40"/>
      <c r="D56" s="41"/>
      <c r="E56" s="33"/>
      <c r="F56" s="46"/>
      <c r="G56" s="43"/>
      <c r="H56" s="44"/>
      <c r="I56" s="44"/>
      <c r="J56" s="55"/>
      <c r="K56" s="36"/>
      <c r="M56" s="5"/>
      <c r="N56" s="5"/>
    </row>
    <row r="57" spans="1:14" ht="15.75" x14ac:dyDescent="0.25">
      <c r="A57" s="159"/>
      <c r="B57" s="13" t="s">
        <v>47</v>
      </c>
      <c r="C57" s="14" t="s">
        <v>5</v>
      </c>
      <c r="D57" s="21">
        <v>14000</v>
      </c>
      <c r="E57" s="15">
        <v>16000</v>
      </c>
      <c r="F57" s="15">
        <v>16000</v>
      </c>
      <c r="G57" s="15">
        <v>18000</v>
      </c>
      <c r="H57" s="16">
        <v>13000</v>
      </c>
      <c r="I57" s="23">
        <v>16000</v>
      </c>
      <c r="J57" s="52" t="s">
        <v>94</v>
      </c>
      <c r="K57" s="20">
        <f t="shared" si="0"/>
        <v>15500</v>
      </c>
      <c r="M57" s="5"/>
      <c r="N57" s="5"/>
    </row>
    <row r="58" spans="1:14" ht="15.75" x14ac:dyDescent="0.25">
      <c r="A58" s="159"/>
      <c r="B58" s="13" t="s">
        <v>48</v>
      </c>
      <c r="C58" s="14" t="s">
        <v>5</v>
      </c>
      <c r="D58" s="39" t="s">
        <v>94</v>
      </c>
      <c r="E58" s="15">
        <v>14000</v>
      </c>
      <c r="F58" s="54">
        <v>15000</v>
      </c>
      <c r="G58" s="70" t="s">
        <v>94</v>
      </c>
      <c r="H58" s="71" t="s">
        <v>94</v>
      </c>
      <c r="I58" s="51" t="s">
        <v>94</v>
      </c>
      <c r="J58" s="52">
        <v>13500</v>
      </c>
      <c r="K58" s="20">
        <f t="shared" si="0"/>
        <v>14166.666666666666</v>
      </c>
      <c r="M58" s="5" t="s">
        <v>97</v>
      </c>
      <c r="N58" s="5"/>
    </row>
    <row r="59" spans="1:14" ht="15.75" x14ac:dyDescent="0.25">
      <c r="A59" s="159"/>
      <c r="B59" s="13" t="s">
        <v>49</v>
      </c>
      <c r="C59" s="14" t="s">
        <v>5</v>
      </c>
      <c r="D59" s="21">
        <v>25000</v>
      </c>
      <c r="E59" s="15">
        <v>23000</v>
      </c>
      <c r="F59" s="15">
        <v>24000</v>
      </c>
      <c r="G59" s="15">
        <v>30000</v>
      </c>
      <c r="H59" s="16">
        <v>22000</v>
      </c>
      <c r="I59" s="16">
        <v>26000</v>
      </c>
      <c r="J59" s="52">
        <v>26000</v>
      </c>
      <c r="K59" s="20">
        <f t="shared" si="0"/>
        <v>25142.857142857141</v>
      </c>
      <c r="M59" s="5"/>
      <c r="N59" s="72"/>
    </row>
    <row r="60" spans="1:14" ht="15.75" x14ac:dyDescent="0.25">
      <c r="A60" s="160"/>
      <c r="B60" s="13" t="s">
        <v>50</v>
      </c>
      <c r="C60" s="14" t="s">
        <v>5</v>
      </c>
      <c r="D60" s="21">
        <v>30000</v>
      </c>
      <c r="E60" s="15">
        <v>30000</v>
      </c>
      <c r="F60" s="15">
        <v>31000</v>
      </c>
      <c r="G60" s="15">
        <v>30000</v>
      </c>
      <c r="H60" s="16">
        <v>26000</v>
      </c>
      <c r="I60" s="16">
        <v>29000</v>
      </c>
      <c r="J60" s="52">
        <v>28000</v>
      </c>
      <c r="K60" s="20">
        <f t="shared" si="0"/>
        <v>29142.857142857141</v>
      </c>
      <c r="M60" s="5"/>
      <c r="N60" s="5"/>
    </row>
    <row r="61" spans="1:14" ht="15.75" x14ac:dyDescent="0.25">
      <c r="A61" s="73">
        <v>16</v>
      </c>
      <c r="B61" s="29" t="s">
        <v>51</v>
      </c>
      <c r="C61" s="58"/>
      <c r="D61" s="74"/>
      <c r="E61" s="32"/>
      <c r="F61" s="60"/>
      <c r="G61" s="32"/>
      <c r="H61" s="61"/>
      <c r="I61" s="61"/>
      <c r="J61" s="75"/>
      <c r="K61" s="36"/>
      <c r="M61" s="5"/>
      <c r="N61" s="5"/>
    </row>
    <row r="62" spans="1:14" ht="15.75" x14ac:dyDescent="0.25">
      <c r="A62" s="76"/>
      <c r="B62" s="13" t="s">
        <v>52</v>
      </c>
      <c r="C62" s="63" t="s">
        <v>53</v>
      </c>
      <c r="D62" s="21">
        <v>3000</v>
      </c>
      <c r="E62" s="15">
        <v>3200</v>
      </c>
      <c r="F62" s="15">
        <v>3000</v>
      </c>
      <c r="G62" s="15">
        <v>3000</v>
      </c>
      <c r="H62" s="47" t="s">
        <v>94</v>
      </c>
      <c r="I62" s="24">
        <v>3500</v>
      </c>
      <c r="J62" s="38">
        <v>3500</v>
      </c>
      <c r="K62" s="20">
        <f t="shared" si="0"/>
        <v>3200</v>
      </c>
      <c r="M62" s="5"/>
      <c r="N62" s="5"/>
    </row>
    <row r="63" spans="1:14" ht="15.75" x14ac:dyDescent="0.25">
      <c r="A63" s="158">
        <v>17</v>
      </c>
      <c r="B63" s="29" t="s">
        <v>54</v>
      </c>
      <c r="C63" s="40"/>
      <c r="D63" s="41"/>
      <c r="E63" s="33"/>
      <c r="F63" s="46"/>
      <c r="G63" s="46"/>
      <c r="H63" s="44"/>
      <c r="I63" s="44"/>
      <c r="J63" s="55"/>
      <c r="K63" s="36"/>
      <c r="M63" s="5"/>
      <c r="N63" s="5"/>
    </row>
    <row r="64" spans="1:14" ht="15.75" x14ac:dyDescent="0.25">
      <c r="A64" s="159"/>
      <c r="B64" s="13" t="s">
        <v>55</v>
      </c>
      <c r="C64" s="14" t="s">
        <v>5</v>
      </c>
      <c r="D64" s="21">
        <v>30000</v>
      </c>
      <c r="E64" s="15">
        <v>30000</v>
      </c>
      <c r="F64" s="15">
        <v>30000</v>
      </c>
      <c r="G64" s="15">
        <v>35000</v>
      </c>
      <c r="H64" s="16">
        <v>25000</v>
      </c>
      <c r="I64" s="16">
        <v>40000</v>
      </c>
      <c r="J64" s="38">
        <v>30000</v>
      </c>
      <c r="K64" s="20">
        <f t="shared" si="0"/>
        <v>31428.571428571428</v>
      </c>
      <c r="M64" s="5"/>
      <c r="N64" s="5"/>
    </row>
    <row r="65" spans="1:14" ht="15.75" x14ac:dyDescent="0.25">
      <c r="A65" s="159"/>
      <c r="B65" s="13" t="s">
        <v>56</v>
      </c>
      <c r="C65" s="14" t="s">
        <v>5</v>
      </c>
      <c r="D65" s="39">
        <v>20000</v>
      </c>
      <c r="E65" s="15">
        <v>25000</v>
      </c>
      <c r="F65" s="15">
        <v>25000</v>
      </c>
      <c r="G65" s="15">
        <v>35000</v>
      </c>
      <c r="H65" s="71" t="s">
        <v>94</v>
      </c>
      <c r="I65" s="51">
        <v>25000</v>
      </c>
      <c r="J65" s="52" t="s">
        <v>94</v>
      </c>
      <c r="K65" s="20">
        <f t="shared" si="0"/>
        <v>26000</v>
      </c>
      <c r="M65" s="5"/>
      <c r="N65" s="5"/>
    </row>
    <row r="66" spans="1:14" ht="15.75" x14ac:dyDescent="0.25">
      <c r="A66" s="160"/>
      <c r="B66" s="13" t="s">
        <v>57</v>
      </c>
      <c r="C66" s="14" t="s">
        <v>5</v>
      </c>
      <c r="D66" s="21">
        <v>35000</v>
      </c>
      <c r="E66" s="15">
        <v>40000</v>
      </c>
      <c r="F66" s="15">
        <v>40000</v>
      </c>
      <c r="G66" s="15">
        <v>40000</v>
      </c>
      <c r="H66" s="16">
        <v>35000</v>
      </c>
      <c r="I66" s="16">
        <v>40000</v>
      </c>
      <c r="J66" s="38">
        <v>35000</v>
      </c>
      <c r="K66" s="20">
        <f t="shared" si="0"/>
        <v>37857.142857142855</v>
      </c>
      <c r="M66" s="5"/>
      <c r="N66" s="5"/>
    </row>
    <row r="67" spans="1:14" ht="15.75" x14ac:dyDescent="0.25">
      <c r="A67" s="73">
        <v>18</v>
      </c>
      <c r="B67" s="29" t="s">
        <v>58</v>
      </c>
      <c r="C67" s="58"/>
      <c r="D67" s="77"/>
      <c r="E67" s="32"/>
      <c r="F67" s="60"/>
      <c r="G67" s="32"/>
      <c r="H67" s="61"/>
      <c r="I67" s="61"/>
      <c r="J67" s="62"/>
      <c r="K67" s="36"/>
      <c r="M67" s="5"/>
      <c r="N67" s="5"/>
    </row>
    <row r="68" spans="1:14" ht="15.75" x14ac:dyDescent="0.25">
      <c r="A68" s="76"/>
      <c r="B68" s="13" t="s">
        <v>59</v>
      </c>
      <c r="C68" s="14" t="s">
        <v>60</v>
      </c>
      <c r="D68" s="21">
        <v>20000</v>
      </c>
      <c r="E68" s="15">
        <v>18000</v>
      </c>
      <c r="F68" s="15">
        <v>18000</v>
      </c>
      <c r="G68" s="26">
        <v>18000</v>
      </c>
      <c r="H68" s="47" t="s">
        <v>94</v>
      </c>
      <c r="I68" s="23">
        <v>18000</v>
      </c>
      <c r="J68" s="25">
        <v>18000</v>
      </c>
      <c r="K68" s="20">
        <f t="shared" si="0"/>
        <v>18333.333333333332</v>
      </c>
      <c r="M68" s="5"/>
      <c r="N68" s="5"/>
    </row>
    <row r="69" spans="1:14" ht="15.75" x14ac:dyDescent="0.25">
      <c r="A69" s="158">
        <v>19</v>
      </c>
      <c r="B69" s="29" t="s">
        <v>61</v>
      </c>
      <c r="C69" s="29"/>
      <c r="D69" s="41"/>
      <c r="E69" s="33"/>
      <c r="F69" s="43"/>
      <c r="G69" s="43"/>
      <c r="H69" s="44"/>
      <c r="I69" s="44"/>
      <c r="J69" s="45"/>
      <c r="K69" s="36"/>
      <c r="M69" s="5"/>
      <c r="N69" s="5"/>
    </row>
    <row r="70" spans="1:14" ht="15.75" x14ac:dyDescent="0.25">
      <c r="A70" s="159"/>
      <c r="B70" s="13" t="s">
        <v>62</v>
      </c>
      <c r="C70" s="14" t="s">
        <v>5</v>
      </c>
      <c r="D70" s="21">
        <v>35000</v>
      </c>
      <c r="E70" s="15">
        <v>35000</v>
      </c>
      <c r="F70" s="15">
        <v>36000</v>
      </c>
      <c r="G70" s="15">
        <v>40000</v>
      </c>
      <c r="H70" s="16">
        <v>34000</v>
      </c>
      <c r="I70" s="16">
        <v>40000</v>
      </c>
      <c r="J70" s="38">
        <v>35000</v>
      </c>
      <c r="K70" s="20">
        <f t="shared" si="0"/>
        <v>36428.571428571428</v>
      </c>
      <c r="M70" s="5"/>
      <c r="N70" s="5"/>
    </row>
    <row r="71" spans="1:14" ht="15.75" x14ac:dyDescent="0.25">
      <c r="A71" s="159"/>
      <c r="B71" s="13" t="s">
        <v>63</v>
      </c>
      <c r="C71" s="14" t="s">
        <v>5</v>
      </c>
      <c r="D71" s="39">
        <v>32000</v>
      </c>
      <c r="E71" s="15">
        <v>35000</v>
      </c>
      <c r="F71" s="15">
        <v>34000</v>
      </c>
      <c r="G71" s="15">
        <v>35000</v>
      </c>
      <c r="H71" s="16">
        <v>32000</v>
      </c>
      <c r="I71" s="16">
        <v>40000</v>
      </c>
      <c r="J71" s="38">
        <v>28000</v>
      </c>
      <c r="K71" s="20">
        <f t="shared" si="0"/>
        <v>33714.285714285717</v>
      </c>
      <c r="M71" s="5"/>
      <c r="N71" s="5"/>
    </row>
    <row r="72" spans="1:14" ht="15.75" x14ac:dyDescent="0.25">
      <c r="A72" s="159"/>
      <c r="B72" s="13" t="s">
        <v>64</v>
      </c>
      <c r="C72" s="14" t="s">
        <v>5</v>
      </c>
      <c r="D72" s="21">
        <v>35000</v>
      </c>
      <c r="E72" s="15">
        <v>35000</v>
      </c>
      <c r="F72" s="15">
        <v>35000</v>
      </c>
      <c r="G72" s="15">
        <v>40000</v>
      </c>
      <c r="H72" s="16">
        <v>30000</v>
      </c>
      <c r="I72" s="16">
        <v>40000</v>
      </c>
      <c r="J72" s="38">
        <v>30000</v>
      </c>
      <c r="K72" s="20">
        <f t="shared" si="0"/>
        <v>35000</v>
      </c>
      <c r="M72" s="5"/>
      <c r="N72" s="5"/>
    </row>
    <row r="73" spans="1:14" ht="15.75" x14ac:dyDescent="0.25">
      <c r="A73" s="160"/>
      <c r="B73" s="13" t="s">
        <v>65</v>
      </c>
      <c r="C73" s="14" t="s">
        <v>5</v>
      </c>
      <c r="D73" s="21">
        <v>40000</v>
      </c>
      <c r="E73" s="26">
        <v>44000</v>
      </c>
      <c r="F73" s="54">
        <v>45000</v>
      </c>
      <c r="G73" s="19">
        <v>45000</v>
      </c>
      <c r="H73" s="16">
        <v>40000</v>
      </c>
      <c r="I73" s="23">
        <v>50000</v>
      </c>
      <c r="J73" s="52">
        <v>30000</v>
      </c>
      <c r="K73" s="20">
        <f t="shared" si="0"/>
        <v>42000</v>
      </c>
      <c r="M73" s="5"/>
      <c r="N73" s="5"/>
    </row>
    <row r="74" spans="1:14" ht="15.75" x14ac:dyDescent="0.25">
      <c r="A74" s="73">
        <v>20</v>
      </c>
      <c r="B74" s="29" t="s">
        <v>66</v>
      </c>
      <c r="C74" s="78"/>
      <c r="D74" s="77"/>
      <c r="E74" s="27"/>
      <c r="F74" s="32"/>
      <c r="G74" s="79"/>
      <c r="H74" s="61"/>
      <c r="I74" s="61"/>
      <c r="J74" s="75"/>
      <c r="K74" s="36"/>
      <c r="M74" s="5"/>
      <c r="N74" s="5"/>
    </row>
    <row r="75" spans="1:14" ht="15.75" x14ac:dyDescent="0.25">
      <c r="A75" s="80"/>
      <c r="B75" s="13" t="s">
        <v>67</v>
      </c>
      <c r="C75" s="63" t="s">
        <v>5</v>
      </c>
      <c r="D75" s="21">
        <v>6000</v>
      </c>
      <c r="E75" s="26">
        <v>7000</v>
      </c>
      <c r="F75" s="15">
        <v>5000</v>
      </c>
      <c r="G75" s="15">
        <v>6000</v>
      </c>
      <c r="H75" s="16">
        <v>4000</v>
      </c>
      <c r="I75" s="16">
        <v>7000</v>
      </c>
      <c r="J75" s="52">
        <v>5000</v>
      </c>
      <c r="K75" s="20">
        <f t="shared" si="0"/>
        <v>5714.2857142857147</v>
      </c>
      <c r="M75" s="5"/>
      <c r="N75" s="5"/>
    </row>
    <row r="76" spans="1:14" ht="15.75" x14ac:dyDescent="0.25">
      <c r="A76" s="76"/>
      <c r="B76" s="13" t="s">
        <v>68</v>
      </c>
      <c r="C76" s="63" t="s">
        <v>5</v>
      </c>
      <c r="D76" s="39">
        <v>6000</v>
      </c>
      <c r="E76" s="26" t="s">
        <v>94</v>
      </c>
      <c r="F76" s="54">
        <v>6000</v>
      </c>
      <c r="G76" s="19">
        <v>6000</v>
      </c>
      <c r="H76" s="16">
        <v>5000</v>
      </c>
      <c r="I76" s="23">
        <v>7000</v>
      </c>
      <c r="J76" s="25">
        <v>6000</v>
      </c>
      <c r="K76" s="20">
        <f t="shared" si="0"/>
        <v>6000</v>
      </c>
      <c r="M76" s="5"/>
      <c r="N76" s="5"/>
    </row>
    <row r="77" spans="1:14" ht="15.75" x14ac:dyDescent="0.25">
      <c r="A77" s="73">
        <v>21</v>
      </c>
      <c r="B77" s="29" t="s">
        <v>69</v>
      </c>
      <c r="C77" s="78"/>
      <c r="D77" s="59"/>
      <c r="E77" s="32"/>
      <c r="F77" s="32"/>
      <c r="G77" s="60"/>
      <c r="H77" s="61"/>
      <c r="I77" s="61"/>
      <c r="J77" s="62"/>
      <c r="K77" s="36"/>
      <c r="M77" s="5"/>
      <c r="N77" s="5"/>
    </row>
    <row r="78" spans="1:14" ht="15.75" x14ac:dyDescent="0.25">
      <c r="A78" s="80"/>
      <c r="B78" s="13" t="s">
        <v>70</v>
      </c>
      <c r="C78" s="63" t="s">
        <v>5</v>
      </c>
      <c r="D78" s="21">
        <v>7000</v>
      </c>
      <c r="E78" s="15">
        <v>8000</v>
      </c>
      <c r="F78" s="15">
        <v>8000</v>
      </c>
      <c r="G78" s="15">
        <v>7000</v>
      </c>
      <c r="H78" s="16">
        <v>9000</v>
      </c>
      <c r="I78" s="24">
        <v>8000</v>
      </c>
      <c r="J78" s="38">
        <v>6000</v>
      </c>
      <c r="K78" s="20">
        <f t="shared" si="0"/>
        <v>7571.4285714285716</v>
      </c>
      <c r="M78" s="5"/>
      <c r="N78" s="5"/>
    </row>
    <row r="79" spans="1:14" ht="15.75" x14ac:dyDescent="0.25">
      <c r="A79" s="80"/>
      <c r="B79" s="13" t="s">
        <v>71</v>
      </c>
      <c r="C79" s="63" t="s">
        <v>5</v>
      </c>
      <c r="D79" s="21">
        <v>14000</v>
      </c>
      <c r="E79" s="15">
        <v>22000</v>
      </c>
      <c r="F79" s="15">
        <v>16000</v>
      </c>
      <c r="G79" s="15">
        <v>15000</v>
      </c>
      <c r="H79" s="16">
        <v>10000</v>
      </c>
      <c r="I79" s="24">
        <v>20000</v>
      </c>
      <c r="J79" s="38">
        <v>15000</v>
      </c>
      <c r="K79" s="20">
        <f t="shared" si="0"/>
        <v>16000</v>
      </c>
      <c r="M79" s="5"/>
      <c r="N79" s="5"/>
    </row>
    <row r="80" spans="1:14" ht="15.75" x14ac:dyDescent="0.25">
      <c r="A80" s="80"/>
      <c r="B80" s="13" t="s">
        <v>72</v>
      </c>
      <c r="C80" s="63" t="s">
        <v>5</v>
      </c>
      <c r="D80" s="21">
        <v>14000</v>
      </c>
      <c r="E80" s="15">
        <v>15000</v>
      </c>
      <c r="F80" s="15">
        <v>16000</v>
      </c>
      <c r="G80" s="15">
        <v>13000</v>
      </c>
      <c r="H80" s="16">
        <v>15000</v>
      </c>
      <c r="I80" s="16">
        <v>17000</v>
      </c>
      <c r="J80" s="38">
        <v>13000</v>
      </c>
      <c r="K80" s="20">
        <f t="shared" si="0"/>
        <v>14714.285714285714</v>
      </c>
      <c r="M80" s="5"/>
      <c r="N80" s="5"/>
    </row>
    <row r="81" spans="1:14" ht="15.75" x14ac:dyDescent="0.25">
      <c r="A81" s="80"/>
      <c r="B81" s="13" t="s">
        <v>73</v>
      </c>
      <c r="C81" s="63" t="s">
        <v>5</v>
      </c>
      <c r="D81" s="21">
        <v>16000</v>
      </c>
      <c r="E81" s="15">
        <v>15000</v>
      </c>
      <c r="F81" s="15">
        <v>12000</v>
      </c>
      <c r="G81" s="15">
        <v>12000</v>
      </c>
      <c r="H81" s="16">
        <v>10000</v>
      </c>
      <c r="I81" s="51">
        <v>18000</v>
      </c>
      <c r="J81" s="38">
        <v>13000</v>
      </c>
      <c r="K81" s="20">
        <f t="shared" ref="K81:K88" si="1">AVERAGE(D81:J81)</f>
        <v>13714.285714285714</v>
      </c>
      <c r="M81" s="5"/>
      <c r="N81" s="5"/>
    </row>
    <row r="82" spans="1:14" ht="15.75" x14ac:dyDescent="0.25">
      <c r="A82" s="80"/>
      <c r="B82" s="13" t="s">
        <v>74</v>
      </c>
      <c r="C82" s="63" t="s">
        <v>5</v>
      </c>
      <c r="D82" s="21">
        <v>9000</v>
      </c>
      <c r="E82" s="15">
        <v>10000</v>
      </c>
      <c r="F82" s="15">
        <v>12000</v>
      </c>
      <c r="G82" s="15">
        <v>12000</v>
      </c>
      <c r="H82" s="16">
        <v>10000</v>
      </c>
      <c r="I82" s="16">
        <v>12000</v>
      </c>
      <c r="J82" s="38">
        <v>10000</v>
      </c>
      <c r="K82" s="20">
        <f t="shared" si="1"/>
        <v>10714.285714285714</v>
      </c>
      <c r="M82" s="5"/>
      <c r="N82" s="5"/>
    </row>
    <row r="83" spans="1:14" ht="15.75" x14ac:dyDescent="0.25">
      <c r="A83" s="80"/>
      <c r="B83" s="13" t="s">
        <v>75</v>
      </c>
      <c r="C83" s="63" t="s">
        <v>5</v>
      </c>
      <c r="D83" s="39">
        <v>9000</v>
      </c>
      <c r="E83" s="26">
        <v>12000</v>
      </c>
      <c r="F83" s="54">
        <v>8000</v>
      </c>
      <c r="G83" s="19">
        <v>10000</v>
      </c>
      <c r="H83" s="81">
        <v>9000</v>
      </c>
      <c r="I83" s="82">
        <v>10000</v>
      </c>
      <c r="J83" s="83">
        <v>8000</v>
      </c>
      <c r="K83" s="20">
        <f t="shared" si="1"/>
        <v>9428.5714285714294</v>
      </c>
      <c r="M83" s="5"/>
      <c r="N83" s="5"/>
    </row>
    <row r="84" spans="1:14" ht="15.75" x14ac:dyDescent="0.25">
      <c r="A84" s="80"/>
      <c r="B84" s="13" t="s">
        <v>76</v>
      </c>
      <c r="C84" s="63" t="s">
        <v>77</v>
      </c>
      <c r="D84" s="39">
        <v>2000</v>
      </c>
      <c r="E84" s="26" t="s">
        <v>94</v>
      </c>
      <c r="F84" s="15">
        <v>2000</v>
      </c>
      <c r="G84" s="19">
        <v>2000</v>
      </c>
      <c r="H84" s="16">
        <v>1500</v>
      </c>
      <c r="I84" s="23">
        <v>2000</v>
      </c>
      <c r="J84" s="25">
        <v>2000</v>
      </c>
      <c r="K84" s="20">
        <f t="shared" si="1"/>
        <v>1916.6666666666667</v>
      </c>
      <c r="M84" s="5"/>
      <c r="N84" s="5"/>
    </row>
    <row r="85" spans="1:14" ht="15.75" x14ac:dyDescent="0.25">
      <c r="A85" s="80"/>
      <c r="B85" s="13" t="s">
        <v>78</v>
      </c>
      <c r="C85" s="63" t="s">
        <v>77</v>
      </c>
      <c r="D85" s="39">
        <v>2000</v>
      </c>
      <c r="E85" s="26" t="s">
        <v>94</v>
      </c>
      <c r="F85" s="15">
        <v>1500</v>
      </c>
      <c r="G85" s="19">
        <v>2000</v>
      </c>
      <c r="H85" s="16">
        <v>1500</v>
      </c>
      <c r="I85" s="23">
        <v>1500</v>
      </c>
      <c r="J85" s="25">
        <v>1500</v>
      </c>
      <c r="K85" s="20">
        <f t="shared" si="1"/>
        <v>1666.6666666666667</v>
      </c>
      <c r="M85" s="5"/>
      <c r="N85" s="5"/>
    </row>
    <row r="86" spans="1:14" ht="15.75" x14ac:dyDescent="0.25">
      <c r="A86" s="76"/>
      <c r="B86" s="13" t="s">
        <v>79</v>
      </c>
      <c r="C86" s="63" t="s">
        <v>77</v>
      </c>
      <c r="D86" s="39" t="s">
        <v>94</v>
      </c>
      <c r="E86" s="26" t="s">
        <v>94</v>
      </c>
      <c r="F86" s="15">
        <v>2000</v>
      </c>
      <c r="G86" s="19">
        <v>2000</v>
      </c>
      <c r="H86" s="16">
        <v>2000</v>
      </c>
      <c r="I86" s="23">
        <v>2000</v>
      </c>
      <c r="J86" s="25">
        <v>2000</v>
      </c>
      <c r="K86" s="20">
        <f t="shared" si="1"/>
        <v>2000</v>
      </c>
      <c r="M86" s="5"/>
      <c r="N86" s="5"/>
    </row>
    <row r="87" spans="1:14" ht="15.75" x14ac:dyDescent="0.25">
      <c r="A87" s="73">
        <v>22</v>
      </c>
      <c r="B87" s="29" t="s">
        <v>80</v>
      </c>
      <c r="C87" s="78"/>
      <c r="D87" s="84"/>
      <c r="E87" s="27"/>
      <c r="F87" s="32" t="s">
        <v>98</v>
      </c>
      <c r="G87" s="60"/>
      <c r="H87" s="61"/>
      <c r="I87" s="61"/>
      <c r="J87" s="62"/>
      <c r="K87" s="36"/>
      <c r="M87" s="5"/>
      <c r="N87" s="5"/>
    </row>
    <row r="88" spans="1:14" ht="15.75" x14ac:dyDescent="0.25">
      <c r="A88" s="76"/>
      <c r="B88" s="13" t="s">
        <v>81</v>
      </c>
      <c r="C88" s="63" t="s">
        <v>82</v>
      </c>
      <c r="D88" s="39">
        <v>18000</v>
      </c>
      <c r="E88" s="26" t="s">
        <v>94</v>
      </c>
      <c r="F88" s="26">
        <v>18000</v>
      </c>
      <c r="G88" s="19">
        <v>17000</v>
      </c>
      <c r="H88" s="47" t="s">
        <v>94</v>
      </c>
      <c r="I88" s="24">
        <v>19000</v>
      </c>
      <c r="J88" s="25">
        <v>18000</v>
      </c>
      <c r="K88" s="20">
        <f t="shared" si="1"/>
        <v>18000</v>
      </c>
      <c r="M88" s="5"/>
      <c r="N88" s="5"/>
    </row>
    <row r="89" spans="1:14" ht="15.75" x14ac:dyDescent="0.25">
      <c r="E89" s="4"/>
      <c r="J89" s="2"/>
      <c r="M89" s="5"/>
      <c r="N89" s="5"/>
    </row>
    <row r="90" spans="1:14" ht="15.75" x14ac:dyDescent="0.25">
      <c r="B90" s="85"/>
      <c r="J90" s="2"/>
      <c r="M90" s="5"/>
      <c r="N90" s="5"/>
    </row>
    <row r="91" spans="1:14" ht="15.75" x14ac:dyDescent="0.25">
      <c r="J91" s="2"/>
      <c r="M91" s="5"/>
      <c r="N91" s="5"/>
    </row>
    <row r="92" spans="1:14" ht="15.75" x14ac:dyDescent="0.25">
      <c r="A92" s="5"/>
      <c r="B92" s="5"/>
      <c r="C92" s="5"/>
      <c r="D92" s="72"/>
      <c r="E92" s="5"/>
      <c r="F92" s="5"/>
      <c r="G92" s="5"/>
      <c r="H92" s="5"/>
      <c r="I92" s="5"/>
      <c r="J92" s="37"/>
      <c r="K92" s="5"/>
      <c r="L92" s="5"/>
      <c r="M92" s="5"/>
      <c r="N92" s="5"/>
    </row>
  </sheetData>
  <mergeCells count="28">
    <mergeCell ref="A13:A15"/>
    <mergeCell ref="A1:K1"/>
    <mergeCell ref="A2:K2"/>
    <mergeCell ref="A3:K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A7:A12"/>
    <mergeCell ref="A69:A73"/>
    <mergeCell ref="A16:A17"/>
    <mergeCell ref="A19:A20"/>
    <mergeCell ref="A21:A25"/>
    <mergeCell ref="A26:A32"/>
    <mergeCell ref="A33:A35"/>
    <mergeCell ref="A43:A45"/>
    <mergeCell ref="A46:A48"/>
    <mergeCell ref="A52:A53"/>
    <mergeCell ref="A54:A55"/>
    <mergeCell ref="A56:A60"/>
    <mergeCell ref="A63:A6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REKAPITULASI</vt:lpstr>
      <vt:lpstr>GRAFIK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HAPU</cp:lastModifiedBy>
  <cp:lastPrinted>2023-05-31T09:23:14Z</cp:lastPrinted>
  <dcterms:created xsi:type="dcterms:W3CDTF">2022-08-09T08:09:18Z</dcterms:created>
  <dcterms:modified xsi:type="dcterms:W3CDTF">2024-01-17T08:18:32Z</dcterms:modified>
</cp:coreProperties>
</file>